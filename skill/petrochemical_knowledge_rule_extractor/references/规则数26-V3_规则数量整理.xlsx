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8ed110075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则明细" sheetId="1" r:id="Re69b66007fff4913"/>
    <x:sheet xmlns:r="http://schemas.openxmlformats.org/officeDocument/2006/relationships" name="大类汇总" sheetId="2" r:id="R422fd2c4bc78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8482187714d2e" /><Relationship Type="http://schemas.openxmlformats.org/officeDocument/2006/relationships/theme" Target="/xl/theme/theme1.xml" Id="Rd916cbcd1a9b4753" /><Relationship Type="http://schemas.openxmlformats.org/officeDocument/2006/relationships/sharedStrings" Target="/xl/sharedStrings.xml" Id="R5a59ada0ee1c4aa7" /><Relationship Type="http://schemas.openxmlformats.org/officeDocument/2006/relationships/worksheet" Target="/xl/worksheets/sheet1.xml" Id="Re69b66007fff4913" /><Relationship Type="http://schemas.openxmlformats.org/officeDocument/2006/relationships/worksheet" Target="/xl/worksheets/sheet2.xml" Id="R422fd2c4bc78470a" /></Relationships>
</file>

<file path=xl/tables/table1.xml><?xml version="1.0" encoding="utf-8"?>
<x:table xmlns:x="http://schemas.openxmlformats.org/spreadsheetml/2006/main" id="1" name="RuleDetailTable" displayName="RuleDetailTable" ref="A2:G56" headerRowCount="1" totalsRowCount="0" totalsRowShown="0">
  <x:tableColumns count="7">
    <x:tableColumn id="1" name="大类"/>
    <x:tableColumn id="2" name="大类目标数量"/>
    <x:tableColumn id="3" name="子类"/>
    <x:tableColumn id="4" name="子类需求数量"/>
    <x:tableColumn id="5" name="数量类型"/>
    <x:tableColumn id="6" name="计算方式 / 原文依据"/>
    <x:tableColumn id="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SummaryTable" displayName="CategorySummaryTable" ref="A2:C10" headerRowCount="1" totalsRowCount="0" totalsRowShown="0">
  <x:tableColumns count="3">
    <x:tableColumn id="1" name="大类"/>
    <x:tableColumn id="2" name="目标数量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e87558188b49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ecad6a848e4e1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40" hidden="0" customWidth="1"/>
    <x:col min="4" max="4" width="16" hidden="0" customWidth="1"/>
    <x:col min="5" max="5" width="14" hidden="0" customWidth="1"/>
    <x:col min="6" max="6" width="34" hidden="0" customWidth="1"/>
    <x:col min="7" max="7" width="46" hidden="0" customWidth="1"/>
  </x:cols>
  <x:sheetData>
    <x:row r="1" ht="26" customHeight="1">
      <x:c r="A1" s="5" t="str">
        <x:v>《规则数26-V3(1)》规则数量整理</x:v>
      </x:c>
      <x:c r="B1" s="5"/>
      <x:c r="C1" s="5"/>
      <x:c r="D1" s="5"/>
      <x:c r="E1" s="5"/>
      <x:c r="F1" s="5"/>
      <x:c r="G1" s="5"/>
    </x:row>
    <x:row r="2" ht="24" customHeight="1">
      <x:c r="A2" s="13" t="str">
        <x:v>大类</x:v>
      </x:c>
      <x:c r="B2" s="13" t="str">
        <x:v>大类目标数量</x:v>
      </x:c>
      <x:c r="C2" s="13" t="str">
        <x:v>子类</x:v>
      </x:c>
      <x:c r="D2" s="13" t="str">
        <x:v>子类需求数量</x:v>
      </x:c>
      <x:c r="E2" s="13" t="str">
        <x:v>数量类型</x:v>
      </x:c>
      <x:c r="F2" s="13" t="str">
        <x:v>计算方式 / 原文依据</x:v>
      </x:c>
      <x:c r="G2" s="13" t="str">
        <x:v>备注</x:v>
      </x:c>
    </x:row>
    <x:row r="3">
      <x:c r="A3" s="20" t="str">
        <x:v>原油类</x:v>
      </x:c>
      <x:c r="B3" s="20" t="n">
        <x:v>50</x:v>
      </x:c>
      <x:c r="C3" s="20" t="str">
        <x:v>原油罐物料平衡</x:v>
      </x:c>
      <x:c r="D3" s="20" t="str">
        <x:v>10</x:v>
      </x:c>
      <x:c r="E3" s="20" t="str">
        <x:v>明确</x:v>
      </x:c>
      <x:c r="F3" s="20" t="str">
        <x:v>10 个原油罐，对应（10）</x:v>
      </x:c>
      <x:c r="G3" s="20" t="str"/>
    </x:row>
    <x:row r="4">
      <x:c r="A4" s="20" t="str">
        <x:v>原油类</x:v>
      </x:c>
      <x:c r="B4" s="20" t="n">
        <x:v>50</x:v>
      </x:c>
      <x:c r="C4" s="20" t="str">
        <x:v>原油罐不同收同付约束</x:v>
      </x:c>
      <x:c r="D4" s="20" t="str">
        <x:v>1</x:v>
      </x:c>
      <x:c r="E4" s="20" t="str">
        <x:v>明确</x:v>
      </x:c>
      <x:c r="F4" s="20" t="str">
        <x:v>原文（1）</x:v>
      </x:c>
      <x:c r="G4" s="20" t="str"/>
    </x:row>
    <x:row r="5">
      <x:c r="A5" s="20" t="str">
        <x:v>原油类</x:v>
      </x:c>
      <x:c r="B5" s="20" t="n">
        <x:v>50</x:v>
      </x:c>
      <x:c r="C5" s="20" t="str">
        <x:v>原油罐上下限约束</x:v>
      </x:c>
      <x:c r="D5" s="20" t="str">
        <x:v>10</x:v>
      </x:c>
      <x:c r="E5" s="20" t="str">
        <x:v>明确</x:v>
      </x:c>
      <x:c r="F5" s="20" t="str">
        <x:v>1×10=10</x:v>
      </x:c>
      <x:c r="G5" s="20" t="str"/>
    </x:row>
    <x:row r="6">
      <x:c r="A6" s="20" t="str">
        <x:v>原油类</x:v>
      </x:c>
      <x:c r="B6" s="20" t="n">
        <x:v>50</x:v>
      </x:c>
      <x:c r="C6" s="20" t="str">
        <x:v>原油罐最多同时供料给常减压装置的数量约束</x:v>
      </x:c>
      <x:c r="D6" s="20" t="str">
        <x:v>10</x:v>
      </x:c>
      <x:c r="E6" s="20" t="str">
        <x:v>明确</x:v>
      </x:c>
      <x:c r="F6" s="20" t="str">
        <x:v>1×10=10</x:v>
      </x:c>
      <x:c r="G6" s="20" t="str"/>
    </x:row>
    <x:row r="7">
      <x:c r="A7" s="20" t="str">
        <x:v>原油类</x:v>
      </x:c>
      <x:c r="B7" s="20" t="n">
        <x:v>50</x:v>
      </x:c>
      <x:c r="C7" s="20" t="str">
        <x:v>原油罐静置</x:v>
      </x:c>
      <x:c r="D7" s="20" t="str">
        <x:v>1</x:v>
      </x:c>
      <x:c r="E7" s="20" t="str">
        <x:v>明确</x:v>
      </x:c>
      <x:c r="F7" s="20" t="str">
        <x:v>原文（1）</x:v>
      </x:c>
      <x:c r="G7" s="20" t="str"/>
    </x:row>
    <x:row r="8">
      <x:c r="A8" s="20" t="str">
        <x:v>原油类</x:v>
      </x:c>
      <x:c r="B8" s="20" t="n">
        <x:v>50</x:v>
      </x:c>
      <x:c r="C8" s="20" t="str">
        <x:v>付油罐切换约束</x:v>
      </x:c>
      <x:c r="D8" s="20" t="str">
        <x:v>1</x:v>
      </x:c>
      <x:c r="E8" s="20" t="str">
        <x:v>明确</x:v>
      </x:c>
      <x:c r="F8" s="20" t="str">
        <x:v>原文（1）</x:v>
      </x:c>
      <x:c r="G8" s="20" t="str"/>
    </x:row>
    <x:row r="9">
      <x:c r="A9" s="20" t="str">
        <x:v>原油类</x:v>
      </x:c>
      <x:c r="B9" s="20" t="n">
        <x:v>50</x:v>
      </x:c>
      <x:c r="C9" s="20" t="str">
        <x:v>原油混合计算规则</x:v>
      </x:c>
      <x:c r="D9" s="20" t="str">
        <x:v>未明确</x:v>
      </x:c>
      <x:c r="E9" s="20" t="str">
        <x:v>未明确</x:v>
      </x:c>
      <x:c r="F9" s="20" t="str">
        <x:v>包含：混合原油总量计算、性质计算、侧线产品收率计算</x:v>
      </x:c>
      <x:c r="G9" s="20" t="str">
        <x:v>原文未在该子类后明确给出括号数量</x:v>
      </x:c>
    </x:row>
    <x:row r="10">
      <x:c r="A10" s="20" t="str">
        <x:v>原油类</x:v>
      </x:c>
      <x:c r="B10" s="20" t="n">
        <x:v>50</x:v>
      </x:c>
      <x:c r="C10" s="20" t="str">
        <x:v>同时给常减压装置供油的原油罐数量上下限 / 混油比例</x:v>
      </x:c>
      <x:c r="D10" s="20" t="str">
        <x:v>1</x:v>
      </x:c>
      <x:c r="E10" s="20" t="str">
        <x:v>原文较模糊</x:v>
      </x:c>
      <x:c r="F10" s="20" t="str">
        <x:v>原文附近出现“混有比例（1）”</x:v>
      </x:c>
      <x:c r="G10" s="20" t="str">
        <x:v>原文断句存在歧义，未强行拆分</x:v>
      </x:c>
    </x:row>
    <x:row r="11">
      <x:c r="A11" s="20" t="str">
        <x:v>原油类</x:v>
      </x:c>
      <x:c r="B11" s="20" t="n">
        <x:v>50</x:v>
      </x:c>
      <x:c r="C11" s="20" t="str">
        <x:v>原油罐收油速率上下限约束</x:v>
      </x:c>
      <x:c r="D11" s="20" t="str">
        <x:v>10</x:v>
      </x:c>
      <x:c r="E11" s="20" t="str">
        <x:v>明确</x:v>
      </x:c>
      <x:c r="F11" s="20" t="str">
        <x:v>1×10=10</x:v>
      </x:c>
      <x:c r="G11" s="20" t="str"/>
    </x:row>
    <x:row r="12">
      <x:c r="A12" s="20" t="str">
        <x:v>原油类</x:v>
      </x:c>
      <x:c r="B12" s="20" t="n">
        <x:v>50</x:v>
      </x:c>
      <x:c r="C12" s="20" t="str">
        <x:v>进厂原油在调度期内需要全部收完</x:v>
      </x:c>
      <x:c r="D12" s="20" t="str">
        <x:v>1</x:v>
      </x:c>
      <x:c r="E12" s="20" t="str">
        <x:v>明确</x:v>
      </x:c>
      <x:c r="F12" s="20" t="str">
        <x:v>原文（1）</x:v>
      </x:c>
      <x:c r="G12" s="20" t="str"/>
    </x:row>
    <x:row r="13">
      <x:c r="A13" s="20" t="str">
        <x:v>原油类</x:v>
      </x:c>
      <x:c r="B13" s="20" t="n">
        <x:v>50</x:v>
      </x:c>
      <x:c r="C13" s="20" t="str">
        <x:v>原油收油罐选择规则</x:v>
      </x:c>
      <x:c r="D13" s="20" t="str">
        <x:v>1</x:v>
      </x:c>
      <x:c r="E13" s="20" t="str">
        <x:v>明确</x:v>
      </x:c>
      <x:c r="F13" s="20" t="str">
        <x:v>原文（1）</x:v>
      </x:c>
      <x:c r="G13" s="20" t="str"/>
    </x:row>
    <x:row r="14">
      <x:c r="A14" s="20" t="str">
        <x:v>装置类</x:v>
      </x:c>
      <x:c r="B14" s="20" t="n">
        <x:v>550</x:v>
      </x:c>
      <x:c r="C14" s="20" t="str">
        <x:v>一次装置常减压—每种原油加工量和配方上下限</x:v>
      </x:c>
      <x:c r="D14" s="20" t="str">
        <x:v>60</x:v>
      </x:c>
      <x:c r="E14" s="20" t="str">
        <x:v>明确</x:v>
      </x:c>
      <x:c r="F14" s="20" t="str">
        <x:v>30×2=60</x:v>
      </x:c>
      <x:c r="G14" s="20" t="str"/>
    </x:row>
    <x:row r="15">
      <x:c r="A15" s="20" t="str">
        <x:v>装置类</x:v>
      </x:c>
      <x:c r="B15" s="20" t="n">
        <x:v>550</x:v>
      </x:c>
      <x:c r="C15" s="20" t="str">
        <x:v>一次装置常减压—进料上下限和性质上下限</x:v>
      </x:c>
      <x:c r="D15" s="20" t="str">
        <x:v>20</x:v>
      </x:c>
      <x:c r="E15" s="20" t="str">
        <x:v>明确</x:v>
      </x:c>
      <x:c r="F15" s="20" t="str">
        <x:v>原文（20）</x:v>
      </x:c>
      <x:c r="G15" s="20" t="str"/>
    </x:row>
    <x:row r="16">
      <x:c r="A16" s="20" t="str">
        <x:v>装置类</x:v>
      </x:c>
      <x:c r="B16" s="20" t="n">
        <x:v>550</x:v>
      </x:c>
      <x:c r="C16" s="20" t="str">
        <x:v>一次装置常减压—侧线收率上下限</x:v>
      </x:c>
      <x:c r="D16" s="20" t="str">
        <x:v>10</x:v>
      </x:c>
      <x:c r="E16" s="20" t="str">
        <x:v>明确</x:v>
      </x:c>
      <x:c r="F16" s="20" t="str">
        <x:v>原文（10）</x:v>
      </x:c>
      <x:c r="G16" s="20" t="str"/>
    </x:row>
    <x:row r="17">
      <x:c r="A17" s="20" t="str">
        <x:v>装置类</x:v>
      </x:c>
      <x:c r="B17" s="20" t="n">
        <x:v>550</x:v>
      </x:c>
      <x:c r="C17" s="20" t="str">
        <x:v>一次装置常减压—10个侧线性质上下限</x:v>
      </x:c>
      <x:c r="D17" s="20" t="str">
        <x:v>60</x:v>
      </x:c>
      <x:c r="E17" s="20" t="str">
        <x:v>明确</x:v>
      </x:c>
      <x:c r="F17" s="20" t="str">
        <x:v>10×6=60</x:v>
      </x:c>
      <x:c r="G17" s="20" t="str"/>
    </x:row>
    <x:row r="18">
      <x:c r="A18" s="20" t="str">
        <x:v>装置类</x:v>
      </x:c>
      <x:c r="B18" s="20" t="n">
        <x:v>550</x:v>
      </x:c>
      <x:c r="C18" s="20" t="str">
        <x:v>上游装置（10类）</x:v>
      </x:c>
      <x:c r="D18" s="20" t="str">
        <x:v>300</x:v>
      </x:c>
      <x:c r="E18" s="20" t="str">
        <x:v>明确</x:v>
      </x:c>
      <x:c r="F18" s="20" t="str">
        <x:v>每类30条，30×10=300</x:v>
      </x:c>
      <x:c r="G18" s="20" t="str">
        <x:v>中压加裂、高压加裂、催拆改制、渣加、延迟焦化、汽柴油加氢、重整、催化、芳烃、乙烯</x:v>
      </x:c>
    </x:row>
    <x:row r="19">
      <x:c r="A19" s="20" t="str">
        <x:v>装置类</x:v>
      </x:c>
      <x:c r="B19" s="20" t="n">
        <x:v>550</x:v>
      </x:c>
      <x:c r="C19" s="20" t="str">
        <x:v>下游装置（10类）</x:v>
      </x:c>
      <x:c r="D19" s="20" t="str">
        <x:v>100</x:v>
      </x:c>
      <x:c r="E19" s="20" t="str">
        <x:v>明确</x:v>
      </x:c>
      <x:c r="F19" s="20" t="str">
        <x:v>每类10条，10×10=100</x:v>
      </x:c>
      <x:c r="G19" s="20" t="str">
        <x:v>S-Zorb、航煤加氢、PTA、轻烃回收、气分、MTBE、溶脱、油浆拔头、聚酯、聚烯烃</x:v>
      </x:c>
    </x:row>
    <x:row r="20">
      <x:c r="A20" s="20" t="str">
        <x:v>罐区类</x:v>
      </x:c>
      <x:c r="B20" s="20" t="n">
        <x:v>50</x:v>
      </x:c>
      <x:c r="C20" s="20" t="str">
        <x:v>实体罐（10类）</x:v>
      </x:c>
      <x:c r="D20" s="20" t="str">
        <x:v>50</x:v>
      </x:c>
      <x:c r="E20" s="20" t="str">
        <x:v>明确</x:v>
      </x:c>
      <x:c r="F20" s="20" t="str">
        <x:v>10类罐子×每类5条=50</x:v>
      </x:c>
      <x:c r="G20" s="20" t="str">
        <x:v>示例包括汽油、柴油、煤油、芳烃、加氢料、轻烃、渣油、蜡油等；每类规则含收付油、库存上下限、检修、收油种类等</x:v>
      </x:c>
    </x:row>
    <x:row r="21">
      <x:c r="A21" s="20" t="str">
        <x:v>调合类</x:v>
      </x:c>
      <x:c r="B21" s="20" t="n">
        <x:v>150</x:v>
      </x:c>
      <x:c r="C21" s="20" t="str">
        <x:v>产品调合（6–8种产品）</x:v>
      </x:c>
      <x:c r="D21" s="20" t="str">
        <x:v>约150–160</x:v>
      </x:c>
      <x:c r="E21" s="20" t="str">
        <x:v>约数</x:v>
      </x:c>
      <x:c r="F21" s="20" t="str">
        <x:v>8×（5×2+10）≈150–160</x:v>
      </x:c>
      <x:c r="G21" s="20" t="str">
        <x:v>产品示例：92汽油、95汽油、98汽油、0#柴油、-20#柴油、航煤、船燃等；约5个参调组分及10种性质</x:v>
      </x:c>
    </x:row>
    <x:row r="22">
      <x:c r="A22" s="20" t="str">
        <x:v>产品类</x:v>
      </x:c>
      <x:c r="B22" s="20" t="n">
        <x:v>100</x:v>
      </x:c>
      <x:c r="C22" s="20" t="str">
        <x:v>每种产品每日产量上下限</x:v>
      </x:c>
      <x:c r="D22" s="20" t="str">
        <x:v>50</x:v>
      </x:c>
      <x:c r="E22" s="20" t="str">
        <x:v>明确</x:v>
      </x:c>
      <x:c r="F22" s="20" t="str">
        <x:v>50种产品×1=50</x:v>
      </x:c>
      <x:c r="G22" s="20" t="str"/>
    </x:row>
    <x:row r="23">
      <x:c r="A23" s="20" t="str">
        <x:v>产品类</x:v>
      </x:c>
      <x:c r="B23" s="20" t="n">
        <x:v>100</x:v>
      </x:c>
      <x:c r="C23" s="20" t="str">
        <x:v>每种产品调度周期总产量上下限</x:v>
      </x:c>
      <x:c r="D23" s="20" t="str">
        <x:v>50</x:v>
      </x:c>
      <x:c r="E23" s="20" t="str">
        <x:v>明确</x:v>
      </x:c>
      <x:c r="F23" s="20" t="str">
        <x:v>50种产品×1=50</x:v>
      </x:c>
      <x:c r="G23" s="20" t="str"/>
    </x:row>
    <x:row r="24">
      <x:c r="A24" s="20" t="str">
        <x:v>停工调度规则</x:v>
      </x:c>
      <x:c r="B24" s="20" t="n">
        <x:v>100</x:v>
      </x:c>
      <x:c r="C24" s="20" t="str">
        <x:v>负荷变化幅度约束</x:v>
      </x:c>
      <x:c r="D24" s="20" t="str">
        <x:v>10</x:v>
      </x:c>
      <x:c r="E24" s="20" t="str">
        <x:v>按装置类推</x:v>
      </x:c>
      <x:c r="F24" s="20" t="str">
        <x:v>10类炼油装置×1条</x:v>
      </x:c>
      <x:c r="G24" s="20" t="str"/>
    </x:row>
    <x:row r="25">
      <x:c r="A25" s="20" t="str">
        <x:v>停工调度规则</x:v>
      </x:c>
      <x:c r="B25" s="20" t="n">
        <x:v>100</x:v>
      </x:c>
      <x:c r="C25" s="20" t="str">
        <x:v>负荷切换次数约束</x:v>
      </x:c>
      <x:c r="D25" s="20" t="str">
        <x:v>10</x:v>
      </x:c>
      <x:c r="E25" s="20" t="str">
        <x:v>按装置类推</x:v>
      </x:c>
      <x:c r="F25" s="20" t="str">
        <x:v>10类炼油装置×1条</x:v>
      </x:c>
      <x:c r="G25" s="20" t="str"/>
    </x:row>
    <x:row r="26">
      <x:c r="A26" s="20" t="str">
        <x:v>停工调度规则</x:v>
      </x:c>
      <x:c r="B26" s="20" t="n">
        <x:v>100</x:v>
      </x:c>
      <x:c r="C26" s="20" t="str">
        <x:v>停工持续时间约束</x:v>
      </x:c>
      <x:c r="D26" s="20" t="str">
        <x:v>10</x:v>
      </x:c>
      <x:c r="E26" s="20" t="str">
        <x:v>按装置类推</x:v>
      </x:c>
      <x:c r="F26" s="20" t="str">
        <x:v>10类炼油装置×1条</x:v>
      </x:c>
      <x:c r="G26" s="20" t="str"/>
    </x:row>
    <x:row r="27">
      <x:c r="A27" s="20" t="str">
        <x:v>停工调度规则</x:v>
      </x:c>
      <x:c r="B27" s="20" t="n">
        <x:v>100</x:v>
      </x:c>
      <x:c r="C27" s="20" t="str">
        <x:v>停机连续性</x:v>
      </x:c>
      <x:c r="D27" s="20" t="str">
        <x:v>10</x:v>
      </x:c>
      <x:c r="E27" s="20" t="str">
        <x:v>按装置类推</x:v>
      </x:c>
      <x:c r="F27" s="20" t="str">
        <x:v>10类炼油装置×1条</x:v>
      </x:c>
      <x:c r="G27" s="20" t="str"/>
    </x:row>
    <x:row r="28">
      <x:c r="A28" s="20" t="str">
        <x:v>停工调度规则</x:v>
      </x:c>
      <x:c r="B28" s="20" t="n">
        <x:v>100</x:v>
      </x:c>
      <x:c r="C28" s="20" t="str">
        <x:v>停机前降负荷过渡期</x:v>
      </x:c>
      <x:c r="D28" s="20" t="str">
        <x:v>10</x:v>
      </x:c>
      <x:c r="E28" s="20" t="str">
        <x:v>按装置类推</x:v>
      </x:c>
      <x:c r="F28" s="20" t="str">
        <x:v>10类炼油装置×1条</x:v>
      </x:c>
      <x:c r="G28" s="20" t="str"/>
    </x:row>
    <x:row r="29">
      <x:c r="A29" s="20" t="str">
        <x:v>停工调度规则</x:v>
      </x:c>
      <x:c r="B29" s="20" t="n">
        <x:v>100</x:v>
      </x:c>
      <x:c r="C29" s="20" t="str">
        <x:v>停工后加负荷过渡期</x:v>
      </x:c>
      <x:c r="D29" s="20" t="str">
        <x:v>10</x:v>
      </x:c>
      <x:c r="E29" s="20" t="str">
        <x:v>按装置类推</x:v>
      </x:c>
      <x:c r="F29" s="20" t="str">
        <x:v>10类炼油装置×1条</x:v>
      </x:c>
      <x:c r="G29" s="20" t="str"/>
    </x:row>
    <x:row r="30">
      <x:c r="A30" s="20" t="str">
        <x:v>停工调度规则</x:v>
      </x:c>
      <x:c r="B30" s="20" t="n">
        <x:v>100</x:v>
      </x:c>
      <x:c r="C30" s="20" t="str">
        <x:v>停工前进料库存清空</x:v>
      </x:c>
      <x:c r="D30" s="20" t="str">
        <x:v>10</x:v>
      </x:c>
      <x:c r="E30" s="20" t="str">
        <x:v>按装置类推</x:v>
      </x:c>
      <x:c r="F30" s="20" t="str">
        <x:v>10类炼油装置×1条</x:v>
      </x:c>
      <x:c r="G30" s="20" t="str"/>
    </x:row>
    <x:row r="31">
      <x:c r="A31" s="20" t="str">
        <x:v>停工调度规则</x:v>
      </x:c>
      <x:c r="B31" s="20" t="n">
        <x:v>100</x:v>
      </x:c>
      <x:c r="C31" s="20" t="str">
        <x:v>停工前下游装置进料及产品库存备罐</x:v>
      </x:c>
      <x:c r="D31" s="20" t="str">
        <x:v>10</x:v>
      </x:c>
      <x:c r="E31" s="20" t="str">
        <x:v>按装置类推</x:v>
      </x:c>
      <x:c r="F31" s="20" t="str">
        <x:v>10类炼油装置×1条</x:v>
      </x:c>
      <x:c r="G31" s="20" t="str"/>
    </x:row>
    <x:row r="32">
      <x:c r="A32" s="20" t="str">
        <x:v>停工调度规则</x:v>
      </x:c>
      <x:c r="B32" s="20" t="n">
        <x:v>100</x:v>
      </x:c>
      <x:c r="C32" s="20" t="str">
        <x:v>停工期间外购料约束</x:v>
      </x:c>
      <x:c r="D32" s="20" t="str">
        <x:v>10</x:v>
      </x:c>
      <x:c r="E32" s="20" t="str">
        <x:v>按装置类推</x:v>
      </x:c>
      <x:c r="F32" s="20" t="str">
        <x:v>10类炼油装置×1条</x:v>
      </x:c>
      <x:c r="G32" s="20" t="str"/>
    </x:row>
    <x:row r="33">
      <x:c r="A33" s="20" t="str">
        <x:v>停工调度规则</x:v>
      </x:c>
      <x:c r="B33" s="20" t="n">
        <x:v>100</x:v>
      </x:c>
      <x:c r="C33" s="20" t="str">
        <x:v>复工后各装置负荷恢复至正常工况</x:v>
      </x:c>
      <x:c r="D33" s="20" t="str">
        <x:v>10</x:v>
      </x:c>
      <x:c r="E33" s="20" t="str">
        <x:v>按装置类推</x:v>
      </x:c>
      <x:c r="F33" s="20" t="str">
        <x:v>10类炼油装置×1条</x:v>
      </x:c>
      <x:c r="G33" s="20" t="str"/>
    </x:row>
    <x:row r="34">
      <x:c r="A34" s="20" t="str">
        <x:v>停工调度规则</x:v>
      </x:c>
      <x:c r="B34" s="20" t="n">
        <x:v>100</x:v>
      </x:c>
      <x:c r="C34" s="20" t="str">
        <x:v>复工后生产偏差补偿</x:v>
      </x:c>
      <x:c r="D34" s="20" t="str">
        <x:v>10</x:v>
      </x:c>
      <x:c r="E34" s="20" t="str">
        <x:v>按装置类推</x:v>
      </x:c>
      <x:c r="F34" s="20" t="str">
        <x:v>10类炼油装置×1条</x:v>
      </x:c>
      <x:c r="G34" s="20" t="str">
        <x:v>原文同时写明10×11=110，与大类标题“100种”不一致</x:v>
      </x:c>
    </x:row>
    <x:row r="35">
      <x:c r="A35" s="20" t="str">
        <x:v>流程特征和协同规则</x:v>
      </x:c>
      <x:c r="B35" s="20" t="n">
        <x:v>100</x:v>
      </x:c>
      <x:c r="C35" s="20" t="str">
        <x:v>物料流向规则</x:v>
      </x:c>
      <x:c r="D35" s="20" t="str">
        <x:v>约30</x:v>
      </x:c>
      <x:c r="E35" s="20" t="str">
        <x:v>约数</x:v>
      </x:c>
      <x:c r="F35" s="20" t="str">
        <x:v>原文约30条</x:v>
      </x:c>
      <x:c r="G35" s="20" t="str"/>
    </x:row>
    <x:row r="36">
      <x:c r="A36" s="20" t="str">
        <x:v>流程特征和协同规则</x:v>
      </x:c>
      <x:c r="B36" s="20" t="n">
        <x:v>100</x:v>
      </x:c>
      <x:c r="C36" s="20" t="str">
        <x:v>常压装置协同规则</x:v>
      </x:c>
      <x:c r="D36" s="20" t="str">
        <x:v>约20</x:v>
      </x:c>
      <x:c r="E36" s="20" t="str">
        <x:v>约数</x:v>
      </x:c>
      <x:c r="F36" s="20" t="str">
        <x:v>原文约20条</x:v>
      </x:c>
      <x:c r="G36" s="20" t="str"/>
    </x:row>
    <x:row r="37">
      <x:c r="A37" s="20" t="str">
        <x:v>流程特征和协同规则</x:v>
      </x:c>
      <x:c r="B37" s="20" t="n">
        <x:v>100</x:v>
      </x:c>
      <x:c r="C37" s="20" t="str">
        <x:v>催化装置协同规则</x:v>
      </x:c>
      <x:c r="D37" s="20" t="str">
        <x:v>约10</x:v>
      </x:c>
      <x:c r="E37" s="20" t="str">
        <x:v>约数</x:v>
      </x:c>
      <x:c r="F37" s="20" t="str">
        <x:v>原文约10条</x:v>
      </x:c>
      <x:c r="G37" s="20" t="str"/>
    </x:row>
    <x:row r="38">
      <x:c r="A38" s="20" t="str">
        <x:v>流程特征和协同规则</x:v>
      </x:c>
      <x:c r="B38" s="20" t="n">
        <x:v>100</x:v>
      </x:c>
      <x:c r="C38" s="20" t="str">
        <x:v>加氢装置协同规则</x:v>
      </x:c>
      <x:c r="D38" s="20" t="str">
        <x:v>约10</x:v>
      </x:c>
      <x:c r="E38" s="20" t="str">
        <x:v>约数</x:v>
      </x:c>
      <x:c r="F38" s="20" t="str">
        <x:v>原文约10条</x:v>
      </x:c>
      <x:c r="G38" s="20" t="str"/>
    </x:row>
    <x:row r="39">
      <x:c r="A39" s="20" t="str">
        <x:v>流程特征和协同规则</x:v>
      </x:c>
      <x:c r="B39" s="20" t="n">
        <x:v>100</x:v>
      </x:c>
      <x:c r="C39" s="20" t="str">
        <x:v>芳烃链（重整-PX-PTA）协同规则</x:v>
      </x:c>
      <x:c r="D39" s="20" t="str">
        <x:v>约10</x:v>
      </x:c>
      <x:c r="E39" s="20" t="str">
        <x:v>约数</x:v>
      </x:c>
      <x:c r="F39" s="20" t="str">
        <x:v>原文约10条</x:v>
      </x:c>
      <x:c r="G39" s="20" t="str"/>
    </x:row>
    <x:row r="40">
      <x:c r="A40" s="20" t="str">
        <x:v>流程特征和协同规则</x:v>
      </x:c>
      <x:c r="B40" s="20" t="n">
        <x:v>100</x:v>
      </x:c>
      <x:c r="C40" s="20" t="str">
        <x:v>烯烃链（乙烯-塑料）协同规则</x:v>
      </x:c>
      <x:c r="D40" s="20" t="str">
        <x:v>约10</x:v>
      </x:c>
      <x:c r="E40" s="20" t="str">
        <x:v>约数</x:v>
      </x:c>
      <x:c r="F40" s="20" t="str">
        <x:v>原文约10条</x:v>
      </x:c>
      <x:c r="G40" s="20" t="str"/>
    </x:row>
    <x:row r="41">
      <x:c r="A41" s="20" t="str">
        <x:v>流程特征和协同规则</x:v>
      </x:c>
      <x:c r="B41" s="20" t="n">
        <x:v>100</x:v>
      </x:c>
      <x:c r="C41" s="20" t="str">
        <x:v>聚酯链（PTA-MEG-PET）协同规则</x:v>
      </x:c>
      <x:c r="D41" s="20" t="str">
        <x:v>约10</x:v>
      </x:c>
      <x:c r="E41" s="20" t="str">
        <x:v>约数</x:v>
      </x:c>
      <x:c r="F41" s="20" t="str">
        <x:v>原文约10条</x:v>
      </x:c>
      <x:c r="G41" s="20" t="str"/>
    </x:row>
    <x:row r="42">
      <x:c r="A42" s="20" t="str">
        <x:v>流程特征和协同规则</x:v>
      </x:c>
      <x:c r="B42" s="20" t="n">
        <x:v>100</x:v>
      </x:c>
      <x:c r="C42" s="20" t="str">
        <x:v>纺丝前纺与后纺协同规则</x:v>
      </x:c>
      <x:c r="D42" s="20" t="str">
        <x:v>约10</x:v>
      </x:c>
      <x:c r="E42" s="20" t="str">
        <x:v>约数</x:v>
      </x:c>
      <x:c r="F42" s="20" t="str">
        <x:v>原文约10条</x:v>
      </x:c>
      <x:c r="G42" s="20" t="str"/>
    </x:row>
    <x:row r="43">
      <x:c r="A43" s="20" t="str">
        <x:v>流程特征和协同规则</x:v>
      </x:c>
      <x:c r="B43" s="20" t="n">
        <x:v>100</x:v>
      </x:c>
      <x:c r="C43" s="20" t="str">
        <x:v>中间罐区缓冲与调合协同规则</x:v>
      </x:c>
      <x:c r="D43" s="20" t="str">
        <x:v>约10</x:v>
      </x:c>
      <x:c r="E43" s="20" t="str">
        <x:v>约数</x:v>
      </x:c>
      <x:c r="F43" s="20" t="str">
        <x:v>原文约10条</x:v>
      </x:c>
      <x:c r="G43" s="20" t="str">
        <x:v>按子项直接相加约120条，与大类标题100条不一致</x:v>
      </x:c>
    </x:row>
    <x:row r="44">
      <x:c r="A44" s="20" t="str">
        <x:v>调度经验规则</x:v>
      </x:c>
      <x:c r="B44" s="20" t="n">
        <x:v>100</x:v>
      </x:c>
      <x:c r="C44" s="20" t="str">
        <x:v>装置运行模型切换</x:v>
      </x:c>
      <x:c r="D44" s="20" t="str">
        <x:v>约10</x:v>
      </x:c>
      <x:c r="E44" s="20" t="str">
        <x:v>约数</x:v>
      </x:c>
      <x:c r="F44" s="20" t="str">
        <x:v>约10条左右</x:v>
      </x:c>
      <x:c r="G44" s="20" t="str">
        <x:v>取决于具备多种工作模式的装置数量</x:v>
      </x:c>
    </x:row>
    <x:row r="45">
      <x:c r="A45" s="20" t="str">
        <x:v>调度经验规则</x:v>
      </x:c>
      <x:c r="B45" s="20" t="n">
        <x:v>100</x:v>
      </x:c>
      <x:c r="C45" s="20" t="str">
        <x:v>物性平滑规则</x:v>
      </x:c>
      <x:c r="D45" s="20" t="str">
        <x:v>约15–20</x:v>
      </x:c>
      <x:c r="E45" s="20" t="str">
        <x:v>区间</x:v>
      </x:c>
      <x:c r="F45" s="20" t="str">
        <x:v>原文约15–20条</x:v>
      </x:c>
      <x:c r="G45" s="20" t="str"/>
    </x:row>
    <x:row r="46">
      <x:c r="A46" s="20" t="str">
        <x:v>调度经验规则</x:v>
      </x:c>
      <x:c r="B46" s="20" t="n">
        <x:v>100</x:v>
      </x:c>
      <x:c r="C46" s="20" t="str">
        <x:v>负荷联动规则</x:v>
      </x:c>
      <x:c r="D46" s="20" t="str">
        <x:v>约10–15</x:v>
      </x:c>
      <x:c r="E46" s="20" t="str">
        <x:v>区间</x:v>
      </x:c>
      <x:c r="F46" s="20" t="str">
        <x:v>原文约10–15条</x:v>
      </x:c>
      <x:c r="G46" s="20" t="str"/>
    </x:row>
    <x:row r="47">
      <x:c r="A47" s="20" t="str">
        <x:v>调度经验规则</x:v>
      </x:c>
      <x:c r="B47" s="20" t="n">
        <x:v>100</x:v>
      </x:c>
      <x:c r="C47" s="20" t="str">
        <x:v>操作频次规则</x:v>
      </x:c>
      <x:c r="D47" s="20" t="str">
        <x:v>约15</x:v>
      </x:c>
      <x:c r="E47" s="20" t="str">
        <x:v>约数</x:v>
      </x:c>
      <x:c r="F47" s="20" t="str">
        <x:v>原文约15条</x:v>
      </x:c>
      <x:c r="G47" s="20" t="str"/>
    </x:row>
    <x:row r="48">
      <x:c r="A48" s="20" t="str">
        <x:v>调度经验规则</x:v>
      </x:c>
      <x:c r="B48" s="20" t="n">
        <x:v>100</x:v>
      </x:c>
      <x:c r="C48" s="20" t="str">
        <x:v>安全边际规则</x:v>
      </x:c>
      <x:c r="D48" s="20" t="str">
        <x:v>约10</x:v>
      </x:c>
      <x:c r="E48" s="20" t="str">
        <x:v>约数</x:v>
      </x:c>
      <x:c r="F48" s="20" t="str">
        <x:v>原文约10条</x:v>
      </x:c>
      <x:c r="G48" s="20" t="str"/>
    </x:row>
    <x:row r="49">
      <x:c r="A49" s="20" t="str">
        <x:v>调度经验规则</x:v>
      </x:c>
      <x:c r="B49" s="20" t="n">
        <x:v>100</x:v>
      </x:c>
      <x:c r="C49" s="20" t="str">
        <x:v>库位平衡规则</x:v>
      </x:c>
      <x:c r="D49" s="20" t="str">
        <x:v>约10</x:v>
      </x:c>
      <x:c r="E49" s="20" t="str">
        <x:v>约数</x:v>
      </x:c>
      <x:c r="F49" s="20" t="str">
        <x:v>原文约10条</x:v>
      </x:c>
      <x:c r="G49" s="20" t="str"/>
    </x:row>
    <x:row r="50">
      <x:c r="A50" s="20" t="str">
        <x:v>调度经验规则</x:v>
      </x:c>
      <x:c r="B50" s="20" t="n">
        <x:v>100</x:v>
      </x:c>
      <x:c r="C50" s="20" t="str">
        <x:v>预防性腾挪规则</x:v>
      </x:c>
      <x:c r="D50" s="20" t="str">
        <x:v>约10</x:v>
      </x:c>
      <x:c r="E50" s="20" t="str">
        <x:v>约数</x:v>
      </x:c>
      <x:c r="F50" s="20" t="str">
        <x:v>原文约10条</x:v>
      </x:c>
      <x:c r="G50" s="20" t="str"/>
    </x:row>
    <x:row r="51">
      <x:c r="A51" s="20" t="str">
        <x:v>调度经验规则</x:v>
      </x:c>
      <x:c r="B51" s="20" t="n">
        <x:v>100</x:v>
      </x:c>
      <x:c r="C51" s="20" t="str">
        <x:v>效益优先规则</x:v>
      </x:c>
      <x:c r="D51" s="20" t="str">
        <x:v>约10</x:v>
      </x:c>
      <x:c r="E51" s="20" t="str">
        <x:v>约数</x:v>
      </x:c>
      <x:c r="F51" s="20" t="str">
        <x:v>原文约10条</x:v>
      </x:c>
      <x:c r="G51" s="20" t="str"/>
    </x:row>
    <x:row r="52">
      <x:c r="A52" s="20" t="str">
        <x:v>调度经验规则</x:v>
      </x:c>
      <x:c r="B52" s="20" t="n">
        <x:v>100</x:v>
      </x:c>
      <x:c r="C52" s="20" t="str">
        <x:v>能耗成本规则</x:v>
      </x:c>
      <x:c r="D52" s="20" t="str">
        <x:v>约10</x:v>
      </x:c>
      <x:c r="E52" s="20" t="str">
        <x:v>约数</x:v>
      </x:c>
      <x:c r="F52" s="20" t="str">
        <x:v>原文约10条</x:v>
      </x:c>
      <x:c r="G52" s="20" t="str"/>
    </x:row>
    <x:row r="53">
      <x:c r="A53" s="20" t="str">
        <x:v>调度经验规则</x:v>
      </x:c>
      <x:c r="B53" s="20" t="n">
        <x:v>100</x:v>
      </x:c>
      <x:c r="C53" s="20" t="str">
        <x:v>质量“卡边”规则</x:v>
      </x:c>
      <x:c r="D53" s="20" t="str">
        <x:v>约5–10</x:v>
      </x:c>
      <x:c r="E53" s="20" t="str">
        <x:v>区间</x:v>
      </x:c>
      <x:c r="F53" s="20" t="str">
        <x:v>原文约5–10条</x:v>
      </x:c>
      <x:c r="G53" s="20" t="str"/>
    </x:row>
    <x:row r="54">
      <x:c r="A54" s="20" t="str">
        <x:v>调度经验规则</x:v>
      </x:c>
      <x:c r="B54" s="20" t="n">
        <x:v>100</x:v>
      </x:c>
      <x:c r="C54" s="20" t="str">
        <x:v>故障导向规则</x:v>
      </x:c>
      <x:c r="D54" s="20" t="str">
        <x:v>约10</x:v>
      </x:c>
      <x:c r="E54" s="20" t="str">
        <x:v>约数</x:v>
      </x:c>
      <x:c r="F54" s="20" t="str">
        <x:v>原文约10条</x:v>
      </x:c>
      <x:c r="G54" s="20" t="str"/>
    </x:row>
    <x:row r="55">
      <x:c r="A55" s="20" t="str">
        <x:v>调度经验规则</x:v>
      </x:c>
      <x:c r="B55" s="20" t="n">
        <x:v>100</x:v>
      </x:c>
      <x:c r="C55" s="20" t="str">
        <x:v>指标超差处理</x:v>
      </x:c>
      <x:c r="D55" s="20" t="str">
        <x:v>约10</x:v>
      </x:c>
      <x:c r="E55" s="20" t="str">
        <x:v>约数</x:v>
      </x:c>
      <x:c r="F55" s="20" t="str">
        <x:v>原文约10条</x:v>
      </x:c>
      <x:c r="G55" s="20" t="str"/>
    </x:row>
    <x:row r="56">
      <x:c r="A56" s="20" t="str">
        <x:v>调度经验规则</x:v>
      </x:c>
      <x:c r="B56" s="20" t="n">
        <x:v>100</x:v>
      </x:c>
      <x:c r="C56" s="20" t="str">
        <x:v>极端天气/外部中断</x:v>
      </x:c>
      <x:c r="D56" s="20" t="str">
        <x:v>约5–10</x:v>
      </x:c>
      <x:c r="E56" s="20" t="str">
        <x:v>区间</x:v>
      </x:c>
      <x:c r="F56" s="20" t="str">
        <x:v>原文约5–10条</x:v>
      </x:c>
      <x:c r="G56" s="20" t="str">
        <x:v>按子项直接相加明显超过大类标题100条</x:v>
      </x:c>
    </x:row>
  </x:sheetData>
  <x:mergeCells>
    <x:mergeCell ref="A1:G1"/>
  </x:mergeCells>
  <x:conditionalFormatting sqref="E3:E56">
    <x:cfRule type="expression" dxfId="0" priority="1">
      <x:formula>OR(E3="约数",E3="区间",E3="原文较模糊",E3="未明确")</x:formula>
    </x:cfRule>
    <x:cfRule type="expression" dxfId="1" priority="2">
      <x:formula>E3="明确"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e87558188b49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62" hidden="0" customWidth="1"/>
  </x:cols>
  <x:sheetData>
    <x:row r="1">
      <x:c r="A1" s="30" t="str">
        <x:v>8个大类目标数量汇总</x:v>
      </x:c>
      <x:c r="B1" s="30"/>
      <x:c r="C1" s="30"/>
    </x:row>
    <x:row r="2">
      <x:c r="A2" s="31" t="str">
        <x:v>大类</x:v>
      </x:c>
      <x:c r="B2" s="31" t="str">
        <x:v>目标数量</x:v>
      </x:c>
      <x:c r="C2" s="31" t="str">
        <x:v>说明</x:v>
      </x:c>
    </x:row>
    <x:row r="3">
      <x:c r="A3" s="18" t="str">
        <x:v>原油类</x:v>
      </x:c>
      <x:c r="B3" s="18" t="n">
        <x:v>50</x:v>
      </x:c>
      <x:c r="C3" s="18" t="str">
        <x:v>部分子类数量明确；混合计算规则处原文断句存在歧义</x:v>
      </x:c>
    </x:row>
    <x:row r="4">
      <x:c r="A4" s="18" t="str">
        <x:v>装置类</x:v>
      </x:c>
      <x:c r="B4" s="18" t="n">
        <x:v>550</x:v>
      </x:c>
      <x:c r="C4" s="18" t="str">
        <x:v>150（一次常减压）+300（上游）+100（下游）=550</x:v>
      </x:c>
    </x:row>
    <x:row r="5">
      <x:c r="A5" s="18" t="str">
        <x:v>罐区类</x:v>
      </x:c>
      <x:c r="B5" s="18" t="n">
        <x:v>50</x:v>
      </x:c>
      <x:c r="C5" s="18" t="str">
        <x:v>10类实体罐×每类5条</x:v>
      </x:c>
    </x:row>
    <x:row r="6">
      <x:c r="A6" s="18" t="str">
        <x:v>调合类</x:v>
      </x:c>
      <x:c r="B6" s="18" t="n">
        <x:v>150</x:v>
      </x:c>
      <x:c r="C6" s="18" t="str">
        <x:v>正文写约150–160条</x:v>
      </x:c>
    </x:row>
    <x:row r="7">
      <x:c r="A7" s="18" t="str">
        <x:v>产品类</x:v>
      </x:c>
      <x:c r="B7" s="18" t="n">
        <x:v>100</x:v>
      </x:c>
      <x:c r="C7" s="18" t="str">
        <x:v>50种产品×2类产量约束=100</x:v>
      </x:c>
    </x:row>
    <x:row r="8">
      <x:c r="A8" s="18" t="str">
        <x:v>停工调度规则</x:v>
      </x:c>
      <x:c r="B8" s="18" t="n">
        <x:v>100</x:v>
      </x:c>
      <x:c r="C8" s="18" t="str">
        <x:v>正文列11类规则×10类装置=110，与标题100不一致</x:v>
      </x:c>
    </x:row>
    <x:row r="9">
      <x:c r="A9" s="18" t="str">
        <x:v>流程特征和协同规则</x:v>
      </x:c>
      <x:c r="B9" s="18" t="n">
        <x:v>100</x:v>
      </x:c>
      <x:c r="C9" s="18" t="str">
        <x:v>子项直接相加约120，与标题100不一致</x:v>
      </x:c>
    </x:row>
    <x:row r="10">
      <x:c r="A10" s="18" t="str">
        <x:v>调度经验规则</x:v>
      </x:c>
      <x:c r="B10" s="18" t="n">
        <x:v>100</x:v>
      </x:c>
      <x:c r="C10" s="18" t="str">
        <x:v>各子项为约数/区间，直接相加明显超过100</x:v>
      </x:c>
    </x:row>
    <x:row r="11">
      <x:c r="A11" s="32" t="str">
        <x:v>合计</x:v>
      </x:c>
      <x:c r="B11" s="32" t="n">
        <x:f>SUM(B3:B10)</x:f>
        <x:v>1200</x:v>
      </x:c>
      <x:c r="C11" s="32" t="str">
        <x:v>文档标题目标总量应为1200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beecad6a848e4e13"/>
  </x:tableParts>
</x:worksheet>
</file>