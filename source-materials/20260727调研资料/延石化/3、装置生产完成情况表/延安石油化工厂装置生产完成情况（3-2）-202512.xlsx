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石化厂装置生产完成情况（3-2）" sheetId="1" r:id="rId2"/>
    <sheet name="公式" sheetId="2" state="hidden" r:id="rId3"/>
    <sheet name="取值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#Input("延安石油化工厂_生产_装置生产完成情况2_60气分装置_原料处理量",":key{{dw}}")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#Input("延安石油化工厂_生产_装置生产完成情况2_60气分装置_精制液化气",":key{{dw}}")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#Input("延安石油化工厂_生产_装置生产完成情况2_60气分装置_OG气",":key{{dw}}")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#Input("延安石油化工厂_生产_装置生产完成情况2_60气分装置_燃料气",":key{{dw}}")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#Input("延安石油化工厂_生产_装置生产完成情况2_60气分装置_丙烯",":key{{dw}}")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#Input("延安石油化工厂_生产_装置生产完成情况2_60气分装置_戊烷馏分",":key{{dw}}")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#Input("延安石油化工厂_生产_装置生产完成情况2_60气分装置_丙烷",":key{{dw}}")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#Input("延安石油化工厂_生产_装置生产完成情况2_60气分装置_气分碳四",":key{{dw}}")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#Input("延安石油化工厂_生产_装置生产完成情况2_60气分装置_不合格丙烯",":key{{dw}}")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#Input("延安石油化工厂_生产_装置生产完成情况2_20聚丙烯装置_丙烯原料",":key{{dw}}")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#Input("延安石油化工厂_生产_装置生产完成情况2_20聚丙烯装置_聚丙烯粒料(T30S)",":key{{dw}}")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#Input("延安石油化工厂_生产_装置生产完成情况2_20聚丙烯装置_聚丙烯粒料(C30S)",":key{{dw}}")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#Input("延安石油化工厂_生产_装置生产完成情况2_20聚丙烯装置_聚丙烯粉料",":key{{dw}}")</t>
        </r>
      </text>
    </comment>
    <comment ref="E2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#Input("延安石油化工厂_生产_装置生产完成情况2_20聚丙烯装置_大块料",":key{{dw}}")</t>
        </r>
      </text>
    </comment>
    <comment ref="E2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#Input("延安石油化工厂_生产_装置生产完成情况2_20聚丙烯装置_落地料",":key{{dw}}")</t>
        </r>
      </text>
    </comment>
    <comment ref="E22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#Input("延安石油化工厂_生产_装置生产完成情况2_20聚丙烯装置_粉尘料",":key{{dw}}")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#Input("延安石油化工厂_生产_装置生产完成情况2_20聚丙烯装置_不合格料",":key{{dw}}")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#Input("延安石油化工厂_生产_装置生产完成情况2_20聚丙烯装置_回收气OG",":key{{dw}}")</t>
        </r>
      </text>
    </comment>
    <comment ref="E2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#Input("延安石油化工厂_生产_装置生产完成情况2_12MTBE装置_原料处理量",":key{{dw}}")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#Input("延安石油化工厂_生产_装置生产完成情况2_12MTBE装置_碳四馏分",":key{{dw}}")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#Input("延安石油化工厂_生产_装置生产完成情况2_12MTBE装置_甲醇",":key{{dw}}")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#Input("延安石油化工厂_生产_装置生产完成情况2_12MTBE装置_MTBE",":key{{dw}}")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#Input("延安石油化工厂_生产_装置生产完成情况2_12MTBE装置_醚后C4",":key{{dw}}")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#Input("延安石油化工厂_生产_装置生产完成情况2_12MTBE装置_不合格MTBE",":key{{dw}}")</t>
        </r>
      </text>
    </comment>
    <comment ref="E33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#Input("延安石油化工厂_生产_装置生产完成情况2_2制氢装置_原料加工量",":key{{dw}}")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#Input("延安石油化工厂_生产_装置生产完成情况2_2制氢装置_重整氢",":key{{dw}}")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#Input("延安石油化工厂_生产_装置生产完成情况2_2制氢装置_丙烷馏分",":key{{dw}}")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#Input("延安石油化工厂_生产_装置生产完成情况2_2制氢装置_天然气",":key{{dw}}")</t>
        </r>
      </text>
    </comment>
    <comment ref="E37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#Input("延安石油化工厂_生产_装置生产完成情况2_2制氢装置_工业氢",":key{{dw}}")</t>
        </r>
      </text>
    </comment>
    <comment ref="E38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#Input("延安石油化工厂_生产_装置生产完成情况2_2制氢装置_燃料气",":key{{dw}}")</t>
        </r>
      </text>
    </comment>
    <comment ref="D4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#Input("延安石油化工厂_生产_装置生产完成情况2_主管领导",":key{{dw}}")</t>
        </r>
      </text>
    </comment>
    <comment ref="G4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#Input("延安石油化工厂_生产_装置生产完成情况2_单位负责人",":key{{dw}}")</t>
        </r>
      </text>
    </comment>
    <comment ref="J41" authorId="0">
      <text>
        <r>
          <rPr>
            <b/>
            <sz val="9"/>
            <color indexed="81"/>
            <rFont val="宋体"/>
            <family val="2"/>
          </rPr>
          <t>#Input("延安石油化工厂_生产_装置生产完成情况2_填报人",":key{{dw}}")</t>
        </r>
      </text>
    </comment>
  </commentList>
</comments>
</file>

<file path=xl/sharedStrings.xml><?xml version="1.0" encoding="utf-8"?>
<sst xmlns="http://schemas.openxmlformats.org/spreadsheetml/2006/main" count="313" uniqueCount="99">
  <si>
    <t>延安石化厂装置生产完成情况（3-2）</t>
  </si>
  <si>
    <t>编制单位：延安石油化工厂</t>
  </si>
  <si>
    <t>日期：</t>
  </si>
  <si>
    <t>2025-12</t>
  </si>
  <si>
    <t>附表3-2</t>
  </si>
  <si>
    <t>单位名称</t>
  </si>
  <si>
    <t>装置名称</t>
  </si>
  <si>
    <t>指标名称</t>
  </si>
  <si>
    <t>产量（吨）</t>
  </si>
  <si>
    <t>收率（%）</t>
  </si>
  <si>
    <t>去年同期</t>
  </si>
  <si>
    <t>备注</t>
  </si>
  <si>
    <t>本 月</t>
  </si>
  <si>
    <t>累 计</t>
  </si>
  <si>
    <t>产 量</t>
  </si>
  <si>
    <t>收 率</t>
  </si>
  <si>
    <t>联
合
二
车
间</t>
  </si>
  <si>
    <t>60
万
吨/
年
气
体
分
馏
装
置</t>
  </si>
  <si>
    <t>原料处理量</t>
  </si>
  <si>
    <t>/</t>
  </si>
  <si>
    <t>其中： 精制液化气</t>
  </si>
  <si>
    <t xml:space="preserve">       OG气</t>
  </si>
  <si>
    <t>燃料气</t>
  </si>
  <si>
    <t>丙烯</t>
  </si>
  <si>
    <t>戊烷馏分</t>
  </si>
  <si>
    <t>丙烷</t>
  </si>
  <si>
    <t>气分碳四</t>
  </si>
  <si>
    <t>不合格丙烯</t>
  </si>
  <si>
    <t>加工损失</t>
  </si>
  <si>
    <t>20
万
吨/
年
聚 
丙
烯
装
置</t>
  </si>
  <si>
    <t>丙烯原料</t>
  </si>
  <si>
    <t>聚丙烯粒料(T30S)</t>
  </si>
  <si>
    <t>聚丙烯粒料(C30S)</t>
  </si>
  <si>
    <t>聚丙烯粉料</t>
  </si>
  <si>
    <t>大块料</t>
  </si>
  <si>
    <t>落地料</t>
  </si>
  <si>
    <t>粉尘料</t>
  </si>
  <si>
    <t>不合格料</t>
  </si>
  <si>
    <t>回收气OG</t>
  </si>
  <si>
    <t>12
万
吨/
年
MTBE
装
置</t>
  </si>
  <si>
    <t>其中：碳四馏分</t>
  </si>
  <si>
    <t xml:space="preserve">     甲醇</t>
  </si>
  <si>
    <t>MTBE</t>
  </si>
  <si>
    <t>醚后C4</t>
  </si>
  <si>
    <t>不合格MTBE</t>
  </si>
  <si>
    <t>联
合
三
车
间</t>
  </si>
  <si>
    <t>2万标立方米/年制氢装置</t>
  </si>
  <si>
    <t>原料加工量</t>
  </si>
  <si>
    <t>其中：重整氢</t>
  </si>
  <si>
    <t xml:space="preserve">      丙烷馏分</t>
  </si>
  <si>
    <t xml:space="preserve">      天然气</t>
  </si>
  <si>
    <t>工业氢</t>
  </si>
  <si>
    <t>主管领导：</t>
  </si>
  <si>
    <t>陈张友</t>
  </si>
  <si>
    <t>单位负责人：</t>
  </si>
  <si>
    <t>温铜川</t>
  </si>
  <si>
    <t>填报人：</t>
  </si>
  <si>
    <t>李洛娟</t>
  </si>
  <si>
    <t>公式类型</t>
  </si>
  <si>
    <t>数据源</t>
  </si>
  <si>
    <t>取值</t>
  </si>
  <si>
    <t>计量点名称</t>
  </si>
  <si>
    <t>取值条件</t>
  </si>
  <si>
    <t>#SQL</t>
  </si>
  <si>
    <t>("</t>
  </si>
  <si>
    <t>SH_PM_ALL_ByMonth</t>
  </si>
  <si>
    <t>","</t>
  </si>
  <si>
    <t>VALUE</t>
  </si>
  <si>
    <t>",":where{NAME=</t>
  </si>
  <si>
    <t>延安石油化工厂_生产_联合二车间_60万吨/年气体分馏装置_进_精制液化气</t>
  </si>
  <si>
    <t>}")</t>
  </si>
  <si>
    <t>延安石油化工厂_生产_联合二车间_60万吨/年气体分馏装置_进_OG气</t>
  </si>
  <si>
    <t>延安石油化工厂_生产_联合二车间_60万吨/年气体分馏装置_出_燃料气</t>
  </si>
  <si>
    <t>延安石油化工厂_生产_联合二车间_60万吨/年气体分馏装置_出_丙烯</t>
  </si>
  <si>
    <t>延安石油化工厂_生产_联合二车间_60万吨/年气体分馏装置_出_戊烷馏分</t>
  </si>
  <si>
    <t>延安石油化工厂_生产_联合二车间_60万吨/年气体分馏装置_出_丙烷</t>
  </si>
  <si>
    <t>延安石油化工厂_生产_联合二车间_60万吨/年气体分馏装置_出_碳四馏分</t>
  </si>
  <si>
    <t>延安石油化工厂_生产_联合二车间_60万吨/年气体分馏装置_出_不合格丙烯</t>
  </si>
  <si>
    <t>延安石油化工厂_生产_联合二车间_60万吨/年气体分馏装置_出_加工损失</t>
  </si>
  <si>
    <t>延安石油化工厂_生产_联合二车间_20万吨/年聚丙烯装置_进_丙烯原料</t>
  </si>
  <si>
    <t>延安石油化工厂_生产_联合二车间_20万吨/年聚丙烯装置_出_聚丙烯粒料(T30S)</t>
  </si>
  <si>
    <t>延安石油化工厂_生产_联合二车间_20万吨/年聚丙烯装置_出_聚丙烯粒料(C30S)</t>
  </si>
  <si>
    <t>延安石油化工厂_生产_联合二车间_20万吨/年聚丙烯装置_出_聚丙烯粉料</t>
  </si>
  <si>
    <t>延安石油化工厂_生产_联合二车间_20万吨/年聚丙烯装置_出_大块料</t>
  </si>
  <si>
    <t>延安石油化工厂_生产_联合二车间_20万吨/年聚丙烯装置_出_落地料</t>
  </si>
  <si>
    <t>延安石油化工厂_生产_联合二车间_20万吨/年聚丙烯装置_出_粉尘料</t>
  </si>
  <si>
    <t>延安石油化工厂_生产_联合二车间_20万吨/年聚丙烯装置_出_不合格料</t>
  </si>
  <si>
    <t>延安石油化工厂_生产_联合二车间_20万吨/年聚丙烯装置_出_回收气OG</t>
  </si>
  <si>
    <t>延安石油化工厂_生产_联合二车间_20万吨/年聚丙烯装置_出_加工损失</t>
  </si>
  <si>
    <t>延安石油化工厂_生产_联合二车间_12万吨/年MTBE装置_进_原料处理量</t>
  </si>
  <si>
    <t>延安石油化工厂_生产_联合二车间_12万吨/年MTBE装置_进_碳四馏分</t>
  </si>
  <si>
    <t>延安石油化工厂_生产_联合二车间_12万吨/年MTBE装置_进_甲醇</t>
  </si>
  <si>
    <t>延安石油化工厂_生产_联合二车间_12万吨/年MTBE装置_出_甲基叔丁基醚</t>
  </si>
  <si>
    <t>延安石油化工厂_生产_联合二车间_12万吨/年MTBE装置_出_醚后C4</t>
  </si>
  <si>
    <t>延安石油化工厂_生产_联合二车间_12万吨/年MTBE装置_出_不合格MTBE</t>
  </si>
  <si>
    <t>延安石油化工厂_生产_联合二车间_12万吨/年MTBE装置_出_加工损失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</si>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</sst>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 "/>
    <numFmt numFmtId="172" formatCode="0_ "/>
  </numFmts>
  <fonts count="2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b/>
      <sz val="18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08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0" borderId="10" xfId="0" applyFont="1" applyBorder="1">
      <alignment vertical="center"/>
    </xf>
    <xf numFmtId="0" fontId="0" fillId="0" borderId="10" xfId="0" applyFont="1" applyBorder="1">
      <alignment horizontal="center" vertical="center"/>
    </xf>
    <xf numFmtId="171" fontId="0" fillId="0" borderId="10" xfId="0" applyFont="1" applyBorder="1" applyNumberFormat="1">
      <alignment vertical="center"/>
    </xf>
    <xf numFmtId="0" fontId="0" fillId="0" borderId="11" xfId="0" applyFont="1" applyBorder="1">
      <alignment horizontal="center" vertical="center"/>
    </xf>
    <xf numFmtId="0" fontId="18" fillId="0" borderId="0" xfId="0" applyFont="1"/>
    <xf numFmtId="0" fontId="0" fillId="0" borderId="12" xfId="0" applyFont="1" applyBorder="1">
      <alignment horizontal="center" vertical="center"/>
    </xf>
    <xf numFmtId="172" fontId="0" fillId="0" borderId="10" xfId="0" applyFont="1" applyBorder="1" applyNumberFormat="1">
      <alignment vertical="center"/>
    </xf>
    <xf numFmtId="172" fontId="0" fillId="0" borderId="10" xfId="0" applyFont="1" applyBorder="1" applyNumberFormat="1">
      <alignment horizontal="right" vertical="center"/>
    </xf>
    <xf numFmtId="0" fontId="0" fillId="0" borderId="13" xfId="0" applyFont="1" applyBorder="1">
      <alignment vertical="center"/>
    </xf>
    <xf numFmtId="0" fontId="0" fillId="0" borderId="13" xfId="0" applyFont="1" applyBorder="1">
      <alignment horizontal="right" vertical="center"/>
    </xf>
    <xf numFmtId="0" fontId="0" fillId="0" borderId="14" xfId="0" applyFont="1" applyBorder="1">
      <alignment vertical="center"/>
    </xf>
    <xf numFmtId="172" fontId="0" fillId="0" borderId="10" xfId="0" applyFont="1" applyBorder="1" applyNumberFormat="1">
      <alignment vertical="center"/>
    </xf>
    <xf numFmtId="0" fontId="19" fillId="0" borderId="15" xfId="0" applyFont="1" applyBorder="1">
      <alignment horizontal="center" vertical="center"/>
    </xf>
    <xf numFmtId="0" fontId="19" fillId="0" borderId="16" xfId="0" applyFont="1" applyBorder="1">
      <alignment horizontal="center" vertical="center"/>
    </xf>
    <xf numFmtId="0" fontId="19" fillId="0" borderId="17" xfId="0" applyFont="1" applyBorder="1">
      <alignment horizontal="center" vertical="center"/>
    </xf>
    <xf numFmtId="0" fontId="0" fillId="0" borderId="18" xfId="0" applyFont="1" applyBorder="1">
      <alignment horizontal="center" vertical="center"/>
    </xf>
    <xf numFmtId="0" fontId="0" fillId="0" borderId="19" xfId="0" applyFont="1" applyBorder="1">
      <alignment horizontal="center" vertical="center"/>
    </xf>
    <xf numFmtId="0" fontId="0" fillId="0" borderId="20" xfId="0" applyFont="1" applyBorder="1">
      <alignment horizontal="center" vertical="center"/>
    </xf>
    <xf numFmtId="0" fontId="0" fillId="0" borderId="11" xfId="0" applyFont="1" applyBorder="1">
      <alignment horizontal="center" vertical="center"/>
    </xf>
    <xf numFmtId="0" fontId="0" fillId="0" borderId="13" xfId="0" applyFont="1" applyBorder="1">
      <alignment horizontal="right" vertical="center"/>
    </xf>
    <xf numFmtId="0" fontId="0" fillId="0" borderId="21" xfId="0" applyFont="1" applyBorder="1">
      <alignment horizontal="left" vertical="center"/>
    </xf>
    <xf numFmtId="0" fontId="0" fillId="0" borderId="13" xfId="0" applyFont="1" applyBorder="1">
      <alignment horizontal="left" vertical="center"/>
    </xf>
    <xf numFmtId="0" fontId="0" fillId="0" borderId="14" xfId="0" applyFont="1" applyBorder="1">
      <alignment horizontal="center" vertical="center" wrapText="1"/>
    </xf>
    <xf numFmtId="0" fontId="0" fillId="0" borderId="21" xfId="0" applyFont="1" applyBorder="1">
      <alignment horizontal="center" vertical="center"/>
    </xf>
    <xf numFmtId="0" fontId="0" fillId="0" borderId="13" xfId="0" applyFont="1" applyBorder="1">
      <alignment horizontal="center" vertical="center"/>
    </xf>
    <xf numFmtId="0" fontId="0" fillId="0" borderId="12" xfId="0" applyFont="1" applyBorder="1">
      <alignment horizontal="center" vertical="center"/>
    </xf>
    <xf numFmtId="0" fontId="16" fillId="0" borderId="0" xfId="0" applyFont="1">
      <alignment horizontal="right" vertical="center"/>
    </xf>
    <xf numFmtId="0" fontId="16" fillId="0" borderId="0" xfId="0" applyFont="1">
      <alignment horizontal="left" vertical="center"/>
    </xf>
    <xf numFmtId="0" fontId="0" fillId="0" borderId="0" xfId="0" applyFont="1">
      <alignment wrapText="1"/>
    </xf>
    <xf numFmtId="0" fontId="19" fillId="0" borderId="15" xfId="0" applyFont="1" applyBorder="1">
      <alignment horizontal="center" vertical="center" wrapText="1"/>
    </xf>
    <xf numFmtId="0" fontId="19" fillId="0" borderId="16" xfId="0" applyFont="1" applyBorder="1">
      <alignment horizontal="center" vertical="center" wrapText="1"/>
    </xf>
    <xf numFmtId="0" fontId="19" fillId="0" borderId="17" xfId="0" applyFont="1" applyBorder="1">
      <alignment horizontal="center" vertical="center" wrapText="1"/>
    </xf>
    <xf numFmtId="0" fontId="0" fillId="0" borderId="21" xfId="0" applyFont="1" applyBorder="1">
      <alignment horizontal="left" vertical="center" wrapText="1"/>
    </xf>
    <xf numFmtId="0" fontId="0" fillId="0" borderId="13" xfId="0" applyFont="1" applyBorder="1">
      <alignment horizontal="left" vertical="center" wrapText="1"/>
    </xf>
    <xf numFmtId="0" fontId="0" fillId="0" borderId="13" xfId="0" applyFont="1" applyBorder="1">
      <alignment horizontal="right" vertical="center" wrapText="1"/>
    </xf>
    <xf numFmtId="0" fontId="0" fillId="0" borderId="13" xfId="0" applyFont="1" applyBorder="1">
      <alignment vertical="center" wrapText="1"/>
    </xf>
    <xf numFmtId="0" fontId="0" fillId="0" borderId="13" xfId="0" applyFont="1" applyBorder="1">
      <alignment horizontal="right" vertical="center" wrapText="1"/>
    </xf>
    <xf numFmtId="0" fontId="0" fillId="0" borderId="12" xfId="0" applyFont="1" applyBorder="1">
      <alignment horizontal="center" vertical="center" wrapText="1"/>
    </xf>
    <xf numFmtId="0" fontId="0" fillId="0" borderId="20" xfId="0" applyFont="1" applyBorder="1">
      <alignment horizontal="center" vertical="center" wrapText="1"/>
    </xf>
    <xf numFmtId="0" fontId="0" fillId="0" borderId="18" xfId="0" applyFont="1" applyBorder="1">
      <alignment horizontal="center" vertical="center" wrapText="1"/>
    </xf>
    <xf numFmtId="0" fontId="0" fillId="0" borderId="19" xfId="0" applyFont="1" applyBorder="1">
      <alignment horizontal="center" vertical="center" wrapText="1"/>
    </xf>
    <xf numFmtId="0" fontId="0" fillId="0" borderId="11" xfId="0" applyFont="1" applyBorder="1">
      <alignment horizontal="center" vertical="center" wrapText="1"/>
    </xf>
    <xf numFmtId="0" fontId="0" fillId="0" borderId="11" xfId="0" applyFont="1" applyBorder="1">
      <alignment horizontal="center" vertical="center" wrapText="1"/>
    </xf>
    <xf numFmtId="0" fontId="0" fillId="0" borderId="10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0" fillId="0" borderId="10" xfId="0" applyFont="1" applyBorder="1">
      <alignment vertical="center" wrapText="1"/>
    </xf>
    <xf numFmtId="172" fontId="0" fillId="0" borderId="10" xfId="0" applyFont="1" applyBorder="1" applyNumberFormat="1">
      <alignment vertical="center" wrapText="1"/>
      <protection locked="0"/>
    </xf>
    <xf numFmtId="172" fontId="0" fillId="0" borderId="10" xfId="0" applyFont="1" applyBorder="1" applyNumberFormat="1">
      <alignment vertical="center" wrapText="1"/>
    </xf>
    <xf numFmtId="172" fontId="0" fillId="0" borderId="10" xfId="0" applyFont="1" applyBorder="1" applyNumberFormat="1">
      <alignment horizontal="right" vertical="center" wrapText="1"/>
      <protection locked="0"/>
    </xf>
    <xf numFmtId="172" fontId="0" fillId="0" borderId="10" xfId="0" applyFont="1" applyBorder="1" applyNumberFormat="1">
      <alignment horizontal="right" vertical="center" wrapText="1"/>
    </xf>
    <xf numFmtId="171" fontId="0" fillId="0" borderId="10" xfId="0" applyFont="1" applyBorder="1" applyNumberFormat="1">
      <alignment vertical="center" wrapText="1"/>
    </xf>
    <xf numFmtId="0" fontId="0" fillId="0" borderId="14" xfId="0" applyFont="1" applyBorder="1">
      <alignment vertical="center" wrapText="1"/>
    </xf>
    <xf numFmtId="0" fontId="0" fillId="0" borderId="21" xfId="0" applyFont="1" applyBorder="1">
      <alignment horizontal="center" vertical="center" wrapText="1"/>
    </xf>
    <xf numFmtId="0" fontId="0" fillId="0" borderId="13" xfId="0" applyFont="1" applyBorder="1">
      <alignment horizontal="center" vertical="center" wrapText="1"/>
    </xf>
    <xf numFmtId="0" fontId="0" fillId="0" borderId="12" xfId="0" applyFont="1" applyBorder="1">
      <alignment horizontal="center" vertical="center" wrapText="1"/>
    </xf>
    <xf numFmtId="0" fontId="16" fillId="0" borderId="0" xfId="0" applyFont="1">
      <alignment horizontal="right" vertical="center" wrapText="1"/>
    </xf>
    <xf numFmtId="0" fontId="16" fillId="0" borderId="0" xfId="0" applyFont="1">
      <alignment horizontal="left" vertical="center" wrapText="1"/>
      <protection locked="0"/>
    </xf>
    <xf numFmtId="0" fontId="18" fillId="0" borderId="0" xfId="0" applyFont="1">
      <alignment wrapText="1"/>
    </xf>
    <xf numFmtId="0" fontId="0" fillId="0" borderId="0" xfId="0" applyFont="1">
      <alignment wrapText="1"/>
    </xf>
    <xf numFmtId="172" fontId="0" fillId="0" borderId="10" xfId="0" applyFont="1" applyBorder="1" applyNumberFormat="1">
      <alignment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1EA635B-6698-62A8-6018-6AECC8B38494}" mc:Ignorable="x14ac xr xr2 xr3">
  <dimension ref="A1:L41"/>
  <sheetViews>
    <sheetView defaultGridColor="0" colorId="31" topLeftCell="A1" showGridLines="0" workbookViewId="0" tabSelected="1">
      <pane ySplit="5" topLeftCell="A24" activePane="bottomLeft" state="frozen"/>
      <selection pane="bottomLeft" activeCell="A1" sqref="A1"/>
    </sheetView>
  </sheetViews>
  <sheetFormatPr customHeight="1" defaultRowHeight="14.100000000000001"/>
  <cols>
    <col min="1" max="1" width="2.7109375" customWidth="1"/>
    <col min="2" max="2" width="10.7109375" customWidth="1"/>
    <col min="3" max="3" width="13.33203125" customWidth="1"/>
    <col min="4" max="4" width="19.7109375" customWidth="1"/>
    <col min="5" max="8" width="14.7109375" customWidth="1"/>
    <col min="9" max="10" width="12.421875" customWidth="1"/>
    <col min="11" max="11" width="21.7109375" customWidth="1"/>
  </cols>
  <sheetData>
    <row customHeight="1" ht="2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customHeight="1" ht="22.5">
      <c r="A2" s="75"/>
      <c r="B2" s="76" t="s">
        <v>0</v>
      </c>
      <c r="C2" s="77"/>
      <c r="D2" s="77"/>
      <c r="E2" s="77"/>
      <c r="F2" s="77"/>
      <c r="G2" s="77"/>
      <c r="H2" s="77"/>
      <c r="I2" s="77"/>
      <c r="J2" s="77"/>
      <c r="K2" s="78"/>
      <c r="L2" s="75"/>
    </row>
    <row customHeight="1" ht="14.25">
      <c r="A3" s="75"/>
      <c r="B3" s="79" t="s">
        <v>1</v>
      </c>
      <c r="C3" s="80"/>
      <c r="D3" s="80"/>
      <c r="E3" s="81" t="s">
        <v>2</v>
      </c>
      <c r="F3" s="82" t="s">
        <v>3</v>
      </c>
      <c r="G3" s="83" t="str">
        <f>取值!A16&amp;取值!B16&amp;取值!C16</f>
        <v>报表生成时间：2026-01-01 8:00:00</v>
      </c>
      <c r="H3" s="83"/>
      <c r="I3" s="83"/>
      <c r="J3" s="83"/>
      <c r="K3" s="84" t="s">
        <v>4</v>
      </c>
      <c r="L3" s="75"/>
    </row>
    <row customHeight="1" ht="14.25">
      <c r="A4" s="75"/>
      <c r="B4" s="85" t="s">
        <v>5</v>
      </c>
      <c r="C4" s="85" t="s">
        <v>6</v>
      </c>
      <c r="D4" s="85" t="s">
        <v>7</v>
      </c>
      <c r="E4" s="86" t="s">
        <v>8</v>
      </c>
      <c r="F4" s="87"/>
      <c r="G4" s="86" t="s">
        <v>9</v>
      </c>
      <c r="H4" s="87"/>
      <c r="I4" s="86" t="s">
        <v>10</v>
      </c>
      <c r="J4" s="87"/>
      <c r="K4" s="88" t="s">
        <v>11</v>
      </c>
      <c r="L4" s="75"/>
    </row>
    <row customHeight="1" ht="14.25">
      <c r="A5" s="75"/>
      <c r="B5" s="89"/>
      <c r="C5" s="89"/>
      <c r="D5" s="89"/>
      <c r="E5" s="90" t="s">
        <v>12</v>
      </c>
      <c r="F5" s="90" t="s">
        <v>13</v>
      </c>
      <c r="G5" s="90" t="s">
        <v>12</v>
      </c>
      <c r="H5" s="90" t="s">
        <v>13</v>
      </c>
      <c r="I5" s="90" t="s">
        <v>14</v>
      </c>
      <c r="J5" s="90" t="s">
        <v>15</v>
      </c>
      <c r="K5" s="90"/>
      <c r="L5" s="75"/>
    </row>
    <row customHeight="1" ht="15">
      <c r="A6" s="75"/>
      <c r="B6" s="69" t="s">
        <v>16</v>
      </c>
      <c r="C6" s="69" t="s">
        <v>17</v>
      </c>
      <c r="D6" s="92" t="s">
        <v>18</v>
      </c>
      <c r="E6" s="93">
        <v>58343</v>
      </c>
      <c r="F6" s="94">
        <f>_xlfn.IFERROR(SUM(F7:F8),"")</f>
        <v>662215</v>
      </c>
      <c r="G6" s="90" t="s">
        <v>19</v>
      </c>
      <c r="H6" s="90" t="s">
        <v>19</v>
      </c>
      <c r="I6" s="94">
        <f>取值!E40</f>
        <v>57282</v>
      </c>
      <c r="J6" s="90" t="s">
        <v>19</v>
      </c>
      <c r="K6" s="92"/>
      <c r="L6" s="75"/>
    </row>
    <row customHeight="1" ht="15">
      <c r="A7" s="75"/>
      <c r="B7" s="85"/>
      <c r="C7" s="85"/>
      <c r="D7" s="92" t="s">
        <v>20</v>
      </c>
      <c r="E7" s="95">
        <v>58343</v>
      </c>
      <c r="F7" s="96">
        <f>取值!F7</f>
        <v>662215</v>
      </c>
      <c r="G7" s="90" t="s">
        <v>19</v>
      </c>
      <c r="H7" s="90" t="s">
        <v>19</v>
      </c>
      <c r="I7" s="94">
        <f>取值!E41</f>
        <v>57282</v>
      </c>
      <c r="J7" s="90" t="s">
        <v>19</v>
      </c>
      <c r="K7" s="92"/>
      <c r="L7" s="75"/>
    </row>
    <row customHeight="1" ht="15">
      <c r="A8" s="75"/>
      <c r="B8" s="85"/>
      <c r="C8" s="85"/>
      <c r="D8" s="92" t="s">
        <v>21</v>
      </c>
      <c r="E8" s="95">
        <v>0</v>
      </c>
      <c r="F8" s="96">
        <f>取值!F8</f>
        <v>0</v>
      </c>
      <c r="G8" s="90" t="s">
        <v>19</v>
      </c>
      <c r="H8" s="90" t="s">
        <v>19</v>
      </c>
      <c r="I8" s="94">
        <f>取值!E42</f>
        <v>0</v>
      </c>
      <c r="J8" s="90" t="s">
        <v>19</v>
      </c>
      <c r="K8" s="92"/>
      <c r="L8" s="75"/>
    </row>
    <row customHeight="1" ht="15">
      <c r="A9" s="75"/>
      <c r="B9" s="85"/>
      <c r="C9" s="85"/>
      <c r="D9" s="92" t="s">
        <v>22</v>
      </c>
      <c r="E9" s="95">
        <v>1040</v>
      </c>
      <c r="F9" s="96">
        <f>取值!F9</f>
        <v>10225</v>
      </c>
      <c r="G9" s="97">
        <f>_xlfn.IFERROR(E9/E6*100,0)</f>
        <v>1.78256174691051</v>
      </c>
      <c r="H9" s="97">
        <f>_xlfn.IFERROR(F9/F6*100,0)</f>
        <v>1.54406046374667</v>
      </c>
      <c r="I9" s="94">
        <f>取值!E43</f>
        <v>1024</v>
      </c>
      <c r="J9" s="97">
        <f>_xlfn.IFERROR(I9/I$6*100,0)</f>
        <v>1.78764707936175</v>
      </c>
      <c r="K9" s="92"/>
      <c r="L9" s="75"/>
    </row>
    <row customHeight="1" ht="15">
      <c r="A10" s="75"/>
      <c r="B10" s="85"/>
      <c r="C10" s="85"/>
      <c r="D10" s="92" t="s">
        <v>23</v>
      </c>
      <c r="E10" s="95">
        <v>15366</v>
      </c>
      <c r="F10" s="96">
        <f>取值!F10</f>
        <v>177839</v>
      </c>
      <c r="G10" s="97">
        <f>_xlfn.IFERROR(E10/E6*100,0)</f>
        <v>26.3373498106028</v>
      </c>
      <c r="H10" s="97">
        <f>_xlfn.IFERROR(F10/F6*100,0)</f>
        <v>26.8551754339603</v>
      </c>
      <c r="I10" s="94">
        <f>取值!E44</f>
        <v>16032</v>
      </c>
      <c r="J10" s="97">
        <f>_xlfn.IFERROR(I10/I$6*100,0)</f>
        <v>27.9878495862575</v>
      </c>
      <c r="K10" s="92"/>
      <c r="L10" s="75"/>
    </row>
    <row customHeight="1" ht="15">
      <c r="A11" s="75"/>
      <c r="B11" s="85"/>
      <c r="C11" s="85"/>
      <c r="D11" s="92" t="s">
        <v>24</v>
      </c>
      <c r="E11" s="95">
        <v>466</v>
      </c>
      <c r="F11" s="96">
        <f>取值!F11</f>
        <v>5870</v>
      </c>
      <c r="G11" s="97">
        <f>_xlfn.IFERROR(E11/E6*100,0)</f>
        <v>0.798724782750287</v>
      </c>
      <c r="H11" s="97">
        <f>_xlfn.IFERROR(F11/F6*100,0)</f>
        <v>0.886419063295153</v>
      </c>
      <c r="I11" s="94">
        <f>取值!E45</f>
        <v>672</v>
      </c>
      <c r="J11" s="97">
        <f>_xlfn.IFERROR(I11/I$6*100,0)</f>
        <v>1.17314339583115</v>
      </c>
      <c r="K11" s="92"/>
      <c r="L11" s="75"/>
    </row>
    <row customHeight="1" ht="15">
      <c r="A12" s="75"/>
      <c r="B12" s="85"/>
      <c r="C12" s="85"/>
      <c r="D12" s="92" t="s">
        <v>25</v>
      </c>
      <c r="E12" s="95">
        <v>7710</v>
      </c>
      <c r="F12" s="96">
        <f>取值!F12</f>
        <v>81368</v>
      </c>
      <c r="G12" s="97">
        <f>_xlfn.IFERROR(E12/E6*100,0)</f>
        <v>13.2149529506539</v>
      </c>
      <c r="H12" s="97">
        <f>_xlfn.IFERROR(F12/F6*100,0)</f>
        <v>12.2872480991823</v>
      </c>
      <c r="I12" s="94">
        <f>取值!E46</f>
        <v>7384</v>
      </c>
      <c r="J12" s="97">
        <f>_xlfn.IFERROR(I12/I$6*100,0)</f>
        <v>12.8906113613352</v>
      </c>
      <c r="K12" s="92"/>
      <c r="L12" s="75"/>
    </row>
    <row customHeight="1" ht="15">
      <c r="A13" s="75"/>
      <c r="B13" s="85"/>
      <c r="C13" s="85"/>
      <c r="D13" s="92" t="s">
        <v>26</v>
      </c>
      <c r="E13" s="95">
        <v>33598</v>
      </c>
      <c r="F13" s="96">
        <f>取值!F13</f>
        <v>385084</v>
      </c>
      <c r="G13" s="97">
        <f>_xlfn.IFERROR(E13/E6*100,0)</f>
        <v>57.5870284352879</v>
      </c>
      <c r="H13" s="97">
        <f>_xlfn.IFERROR(F13/F6*100,0)</f>
        <v>58.1509026524618</v>
      </c>
      <c r="I13" s="94">
        <f>取值!E47</f>
        <v>31905</v>
      </c>
      <c r="J13" s="97">
        <f>_xlfn.IFERROR(I13/I$6*100,0)</f>
        <v>55.6981250654656</v>
      </c>
      <c r="K13" s="92"/>
      <c r="L13" s="75"/>
    </row>
    <row customHeight="1" ht="15">
      <c r="A14" s="75"/>
      <c r="B14" s="85"/>
      <c r="C14" s="85"/>
      <c r="D14" s="92" t="s">
        <v>27</v>
      </c>
      <c r="E14" s="95">
        <v>0</v>
      </c>
      <c r="F14" s="96">
        <f>取值!F14</f>
        <v>0</v>
      </c>
      <c r="G14" s="97">
        <f>_xlfn.IFERROR(E14/E6*100,0)</f>
        <v>0</v>
      </c>
      <c r="H14" s="97">
        <f>_xlfn.IFERROR(F14/F6*100,0)</f>
        <v>0</v>
      </c>
      <c r="I14" s="94">
        <f>取值!E48</f>
        <v>0</v>
      </c>
      <c r="J14" s="97">
        <f>_xlfn.IFERROR(I14/I$6*100,0)</f>
        <v>0</v>
      </c>
      <c r="K14" s="92"/>
      <c r="L14" s="75"/>
    </row>
    <row customHeight="1" ht="15">
      <c r="A15" s="75"/>
      <c r="B15" s="85"/>
      <c r="C15" s="89"/>
      <c r="D15" s="92" t="s">
        <v>28</v>
      </c>
      <c r="E15" s="96">
        <f>E6-SUM(E9,E10,E11,E12,E13,E14)</f>
        <v>163</v>
      </c>
      <c r="F15" s="96">
        <f>F6-SUM(F9,F10,F11,F12,F13,F14)</f>
        <v>1829</v>
      </c>
      <c r="G15" s="97">
        <f>_xlfn.IFERROR(E15/E6*100,0)</f>
        <v>0.279382273794628</v>
      </c>
      <c r="H15" s="97">
        <f>_xlfn.IFERROR(F15/F6*100,0)</f>
        <v>0.276194287353805</v>
      </c>
      <c r="I15" s="96">
        <f>_xlfn.IFERROR(I6-SUM(I9,I10,I11,I12,I13,I14),0)</f>
        <v>265</v>
      </c>
      <c r="J15" s="97">
        <f>_xlfn.IFERROR(I15/I$6*100,0)</f>
        <v>0.462623511748891</v>
      </c>
      <c r="K15" s="92"/>
      <c r="L15" s="75"/>
    </row>
    <row customHeight="1" ht="15">
      <c r="A16" s="75"/>
      <c r="B16" s="85"/>
      <c r="C16" s="69" t="s">
        <v>29</v>
      </c>
      <c r="D16" s="92" t="s">
        <v>30</v>
      </c>
      <c r="E16" s="95">
        <v>19514</v>
      </c>
      <c r="F16" s="96">
        <f>取值!F16</f>
        <v>224400</v>
      </c>
      <c r="G16" s="90" t="s">
        <v>19</v>
      </c>
      <c r="H16" s="90" t="s">
        <v>19</v>
      </c>
      <c r="I16" s="94">
        <f>取值!E50</f>
        <v>18754</v>
      </c>
      <c r="J16" s="90" t="s">
        <v>19</v>
      </c>
      <c r="K16" s="92"/>
      <c r="L16" s="75"/>
    </row>
    <row customHeight="1" ht="15">
      <c r="A17" s="75"/>
      <c r="B17" s="85"/>
      <c r="C17" s="85"/>
      <c r="D17" s="92" t="s">
        <v>31</v>
      </c>
      <c r="E17" s="95">
        <v>18886</v>
      </c>
      <c r="F17" s="96">
        <f>取值!F17</f>
        <v>215576</v>
      </c>
      <c r="G17" s="97">
        <f>_xlfn.IFERROR(E17/E16*100,0)</f>
        <v>96.7817976837143</v>
      </c>
      <c r="H17" s="97">
        <f>_xlfn.IFERROR(F17/F16*100,0)</f>
        <v>96.0677361853832</v>
      </c>
      <c r="I17" s="94">
        <f>取值!E51</f>
        <v>17726</v>
      </c>
      <c r="J17" s="97">
        <f>_xlfn.IFERROR(I17/I$16*100,0)</f>
        <v>94.5185027194199</v>
      </c>
      <c r="K17" s="92"/>
      <c r="L17" s="75"/>
    </row>
    <row customHeight="1" ht="15">
      <c r="A18" s="75"/>
      <c r="B18" s="85"/>
      <c r="C18" s="85"/>
      <c r="D18" s="92" t="s">
        <v>32</v>
      </c>
      <c r="E18" s="95">
        <v>0</v>
      </c>
      <c r="F18" s="96">
        <f>取值!F18</f>
        <v>0</v>
      </c>
      <c r="G18" s="97">
        <f>_xlfn.IFERROR(E18/E16*100,0)</f>
        <v>0</v>
      </c>
      <c r="H18" s="97">
        <f>_xlfn.IFERROR(F18/F16*100,0)</f>
        <v>0</v>
      </c>
      <c r="I18" s="94">
        <f>取值!E52</f>
        <v>0</v>
      </c>
      <c r="J18" s="97">
        <f>_xlfn.IFERROR(I18/I$16*100,0)</f>
        <v>0</v>
      </c>
      <c r="K18" s="92"/>
      <c r="L18" s="75"/>
    </row>
    <row customHeight="1" ht="15">
      <c r="A19" s="75"/>
      <c r="B19" s="85"/>
      <c r="C19" s="85"/>
      <c r="D19" s="92" t="s">
        <v>33</v>
      </c>
      <c r="E19" s="95">
        <v>0</v>
      </c>
      <c r="F19" s="96">
        <f>取值!F19</f>
        <v>1259.72</v>
      </c>
      <c r="G19" s="97">
        <f>_xlfn.IFERROR(E19/E16*100,0)</f>
        <v>0</v>
      </c>
      <c r="H19" s="97">
        <f>_xlfn.IFERROR(F19/F16*100,0)</f>
        <v>0.561372549019608</v>
      </c>
      <c r="I19" s="94">
        <f>取值!E53</f>
        <v>363.94</v>
      </c>
      <c r="J19" s="97">
        <f>_xlfn.IFERROR(I19/I$16*100,0)</f>
        <v>1.94059933880772</v>
      </c>
      <c r="K19" s="92"/>
      <c r="L19" s="75"/>
    </row>
    <row customHeight="1" ht="15">
      <c r="A20" s="75"/>
      <c r="B20" s="85"/>
      <c r="C20" s="85"/>
      <c r="D20" s="92" t="s">
        <v>34</v>
      </c>
      <c r="E20" s="95">
        <v>0</v>
      </c>
      <c r="F20" s="96">
        <f>取值!F20</f>
        <v>51.66</v>
      </c>
      <c r="G20" s="97">
        <f>_xlfn.IFERROR(E20/E16*100,0)</f>
        <v>0</v>
      </c>
      <c r="H20" s="97">
        <f>_xlfn.IFERROR(F20/F16*100,0)</f>
        <v>0.0230213903743315</v>
      </c>
      <c r="I20" s="94">
        <f>取值!E54</f>
        <v>63.58</v>
      </c>
      <c r="J20" s="97">
        <f>_xlfn.IFERROR(I20/I$16*100,0)</f>
        <v>0.339021008851445</v>
      </c>
      <c r="K20" s="92"/>
      <c r="L20" s="75"/>
    </row>
    <row customHeight="1" ht="15">
      <c r="A21" s="75"/>
      <c r="B21" s="85"/>
      <c r="C21" s="85"/>
      <c r="D21" s="92" t="s">
        <v>35</v>
      </c>
      <c r="E21" s="95">
        <v>0</v>
      </c>
      <c r="F21" s="96">
        <f>取值!F21</f>
        <v>114.62</v>
      </c>
      <c r="G21" s="97">
        <f>_xlfn.IFERROR(E21/E16*100,0)</f>
        <v>0</v>
      </c>
      <c r="H21" s="97">
        <f>_xlfn.IFERROR(F21/F16*100,0)</f>
        <v>0.051078431372549</v>
      </c>
      <c r="I21" s="94">
        <f>取值!E55</f>
        <v>6.48</v>
      </c>
      <c r="J21" s="97">
        <f>_xlfn.IFERROR(I21/I$16*100,0)</f>
        <v>0.0345526287725285</v>
      </c>
      <c r="K21" s="92"/>
      <c r="L21" s="75"/>
    </row>
    <row customHeight="1" ht="15">
      <c r="A22" s="75"/>
      <c r="B22" s="85"/>
      <c r="C22" s="85"/>
      <c r="D22" s="92" t="s">
        <v>36</v>
      </c>
      <c r="E22" s="95">
        <v>24</v>
      </c>
      <c r="F22" s="96">
        <f>取值!F22</f>
        <v>167</v>
      </c>
      <c r="G22" s="97">
        <f>_xlfn.IFERROR(E22/E16*100,0)</f>
        <v>0.122988623552321</v>
      </c>
      <c r="H22" s="97">
        <f>_xlfn.IFERROR(F22/F16*100,0)</f>
        <v>0.0744206773618538</v>
      </c>
      <c r="I22" s="94">
        <f>取值!E56</f>
        <v>0</v>
      </c>
      <c r="J22" s="97">
        <f>_xlfn.IFERROR(I22/I$16*100,0)</f>
        <v>0</v>
      </c>
      <c r="K22" s="92"/>
      <c r="L22" s="75"/>
    </row>
    <row customHeight="1" ht="15">
      <c r="A23" s="75"/>
      <c r="B23" s="85"/>
      <c r="C23" s="85"/>
      <c r="D23" s="92" t="s">
        <v>37</v>
      </c>
      <c r="E23" s="95">
        <v>0</v>
      </c>
      <c r="F23" s="96">
        <f>取值!F23</f>
        <v>0</v>
      </c>
      <c r="G23" s="97">
        <f>_xlfn.IFERROR(E23/E16*100,0)</f>
        <v>0</v>
      </c>
      <c r="H23" s="97">
        <f>_xlfn.IFERROR(F23/F16*100,0)</f>
        <v>0</v>
      </c>
      <c r="I23" s="94">
        <f>取值!E57</f>
        <v>0</v>
      </c>
      <c r="J23" s="97">
        <f>_xlfn.IFERROR(I23/I$16*100,0)</f>
        <v>0</v>
      </c>
      <c r="K23" s="92"/>
      <c r="L23" s="75"/>
    </row>
    <row customHeight="1" ht="15">
      <c r="A24" s="75"/>
      <c r="B24" s="85"/>
      <c r="C24" s="85"/>
      <c r="D24" s="92" t="s">
        <v>38</v>
      </c>
      <c r="E24" s="95">
        <v>467</v>
      </c>
      <c r="F24" s="96">
        <f>取值!F24</f>
        <v>5109</v>
      </c>
      <c r="G24" s="97">
        <f>_xlfn.IFERROR(E24/E16*100,0)</f>
        <v>2.39315363328892</v>
      </c>
      <c r="H24" s="97">
        <f>_xlfn.IFERROR(F24/F16*100,0)</f>
        <v>2.27673796791444</v>
      </c>
      <c r="I24" s="94">
        <f>取值!E58</f>
        <v>440</v>
      </c>
      <c r="J24" s="97">
        <f>_xlfn.IFERROR(I24/I$16*100,0)</f>
        <v>2.34616615122107</v>
      </c>
      <c r="K24" s="92"/>
      <c r="L24" s="75"/>
    </row>
    <row customHeight="1" ht="15">
      <c r="A25" s="75"/>
      <c r="B25" s="85"/>
      <c r="C25" s="89"/>
      <c r="D25" s="92" t="s">
        <v>28</v>
      </c>
      <c r="E25" s="96">
        <f>_xlfn.IFERROR(E16-SUM(E17,E18,E19,E20,E21,E22,E23,E24),0)</f>
        <v>137</v>
      </c>
      <c r="F25" s="96">
        <f>_xlfn.IFERROR(F16-SUM(F17,F18,F19,F20,F21,F22,F23,F24),0)</f>
        <v>2122</v>
      </c>
      <c r="G25" s="97">
        <f>_xlfn.IFERROR(E25/E16*100,0)</f>
        <v>0.702060059444501</v>
      </c>
      <c r="H25" s="97">
        <f>_xlfn.IFERROR(F25/F16*100,0)</f>
        <v>0.945632798573975</v>
      </c>
      <c r="I25" s="96">
        <f>_xlfn.IFERROR(I16-SUM(I17,I18,I19,I20,I21,I22,I23,I24),0)</f>
        <v>154</v>
      </c>
      <c r="J25" s="97">
        <f>_xlfn.IFERROR(I25/I$16*100,0)</f>
        <v>0.821158152927375</v>
      </c>
      <c r="K25" s="92"/>
      <c r="L25" s="75"/>
    </row>
    <row customHeight="1" ht="15">
      <c r="A26" s="75"/>
      <c r="B26" s="85"/>
      <c r="C26" s="69" t="s">
        <v>39</v>
      </c>
      <c r="D26" s="92" t="s">
        <v>18</v>
      </c>
      <c r="E26" s="93">
        <v>35401</v>
      </c>
      <c r="F26" s="94">
        <f>_xlfn.IFERROR(SUM(F27:F28),"")</f>
        <v>409158</v>
      </c>
      <c r="G26" s="92"/>
      <c r="H26" s="92"/>
      <c r="I26" s="94">
        <f>取值!E60</f>
        <v>35044</v>
      </c>
      <c r="J26" s="90" t="s">
        <v>19</v>
      </c>
      <c r="K26" s="92"/>
      <c r="L26" s="75"/>
    </row>
    <row customHeight="1" ht="15">
      <c r="A27" s="75"/>
      <c r="B27" s="85"/>
      <c r="C27" s="85"/>
      <c r="D27" s="92" t="s">
        <v>40</v>
      </c>
      <c r="E27" s="95">
        <v>33299</v>
      </c>
      <c r="F27" s="96">
        <f>取值!F27</f>
        <v>382615</v>
      </c>
      <c r="G27" s="90" t="s">
        <v>19</v>
      </c>
      <c r="H27" s="90" t="s">
        <v>19</v>
      </c>
      <c r="I27" s="94">
        <f>取值!E61</f>
        <v>32760</v>
      </c>
      <c r="J27" s="90" t="s">
        <v>19</v>
      </c>
      <c r="K27" s="92"/>
      <c r="L27" s="75"/>
    </row>
    <row customHeight="1" ht="15">
      <c r="A28" s="75"/>
      <c r="B28" s="85"/>
      <c r="C28" s="85"/>
      <c r="D28" s="92" t="s">
        <v>41</v>
      </c>
      <c r="E28" s="95">
        <v>2102</v>
      </c>
      <c r="F28" s="96">
        <f>取值!F28</f>
        <v>26543</v>
      </c>
      <c r="G28" s="90" t="s">
        <v>19</v>
      </c>
      <c r="H28" s="90" t="s">
        <v>19</v>
      </c>
      <c r="I28" s="94">
        <f>取值!E62</f>
        <v>2284</v>
      </c>
      <c r="J28" s="90" t="s">
        <v>19</v>
      </c>
      <c r="K28" s="92"/>
      <c r="L28" s="75"/>
    </row>
    <row customHeight="1" ht="15">
      <c r="A29" s="75"/>
      <c r="B29" s="85"/>
      <c r="C29" s="85"/>
      <c r="D29" s="92" t="s">
        <v>42</v>
      </c>
      <c r="E29" s="95">
        <v>6538</v>
      </c>
      <c r="F29" s="96">
        <f>取值!F29</f>
        <v>73615</v>
      </c>
      <c r="G29" s="97">
        <f>_xlfn.IFERROR(E29/E26*100,0)</f>
        <v>18.4684048473207</v>
      </c>
      <c r="H29" s="97">
        <f>_xlfn.IFERROR(F29/F26*100,0)</f>
        <v>17.9918271181304</v>
      </c>
      <c r="I29" s="94">
        <f>取值!E63</f>
        <v>6224</v>
      </c>
      <c r="J29" s="97">
        <f>_xlfn.IFERROR(I29/I$26*100,0)</f>
        <v>17.7605296199064</v>
      </c>
      <c r="K29" s="92"/>
      <c r="L29" s="75"/>
    </row>
    <row customHeight="1" ht="15">
      <c r="A30" s="75"/>
      <c r="B30" s="85"/>
      <c r="C30" s="85"/>
      <c r="D30" s="92" t="s">
        <v>43</v>
      </c>
      <c r="E30" s="95">
        <v>28789</v>
      </c>
      <c r="F30" s="96">
        <f>取值!F30</f>
        <v>334537</v>
      </c>
      <c r="G30" s="97">
        <f>_xlfn.IFERROR(E30/E26*100,0)</f>
        <v>81.3225615095619</v>
      </c>
      <c r="H30" s="97">
        <f>_xlfn.IFERROR(F30/F26*100,0)</f>
        <v>81.7623020935678</v>
      </c>
      <c r="I30" s="94">
        <f>取值!E64</f>
        <v>28661</v>
      </c>
      <c r="J30" s="97">
        <f>_xlfn.IFERROR(I30/I$26*100,0)</f>
        <v>81.7857550507933</v>
      </c>
      <c r="K30" s="92"/>
      <c r="L30" s="75"/>
    </row>
    <row customHeight="1" ht="15">
      <c r="A31" s="75"/>
      <c r="B31" s="85"/>
      <c r="C31" s="85"/>
      <c r="D31" s="92" t="s">
        <v>44</v>
      </c>
      <c r="E31" s="95">
        <v>0</v>
      </c>
      <c r="F31" s="96">
        <f>取值!F31</f>
        <v>0</v>
      </c>
      <c r="G31" s="97">
        <f>_xlfn.IFERROR(E31/E26*100,0)</f>
        <v>0</v>
      </c>
      <c r="H31" s="97">
        <f>_xlfn.IFERROR(F31/F26*100,0)</f>
        <v>0</v>
      </c>
      <c r="I31" s="94">
        <f>取值!E65</f>
        <v>0</v>
      </c>
      <c r="J31" s="97">
        <f>_xlfn.IFERROR(I31/I$26*100,0)</f>
        <v>0</v>
      </c>
      <c r="K31" s="92"/>
      <c r="L31" s="75"/>
    </row>
    <row customHeight="1" ht="15">
      <c r="A32" s="75"/>
      <c r="B32" s="89"/>
      <c r="C32" s="85"/>
      <c r="D32" s="98" t="s">
        <v>28</v>
      </c>
      <c r="E32" s="96">
        <f>E26-SUM(E29,E30,E31)</f>
        <v>74</v>
      </c>
      <c r="F32" s="96">
        <f>F26-SUM(F29,F30,F31)</f>
        <v>1006</v>
      </c>
      <c r="G32" s="97">
        <f>_xlfn.IFERROR(E32/E26*100,0)</f>
        <v>0.209033643117426</v>
      </c>
      <c r="H32" s="97">
        <f>_xlfn.IFERROR(F32/F26*100,0)</f>
        <v>0.24587078830183</v>
      </c>
      <c r="I32" s="96">
        <f>_xlfn.IFERROR(I26-SUM(I29,I30,I31),0)</f>
        <v>159</v>
      </c>
      <c r="J32" s="97">
        <f>_xlfn.IFERROR(I32/I$26*100,0)</f>
        <v>0.453715329300308</v>
      </c>
      <c r="K32" s="92"/>
      <c r="L32" s="75"/>
    </row>
    <row customHeight="1" ht="15">
      <c r="A33" s="75"/>
      <c r="B33" s="69" t="s">
        <v>45</v>
      </c>
      <c r="C33" s="69" t="s">
        <v>46</v>
      </c>
      <c r="D33" s="92" t="s">
        <v>47</v>
      </c>
      <c r="E33" s="95">
        <v>0</v>
      </c>
      <c r="F33" s="96">
        <f>SUM(F34,F35,F36)</f>
        <v>0</v>
      </c>
      <c r="G33" s="97"/>
      <c r="H33" s="97"/>
      <c r="I33" s="94">
        <f>取值!E67</f>
        <v>0</v>
      </c>
      <c r="J33" s="90" t="s">
        <v>19</v>
      </c>
      <c r="K33" s="92"/>
      <c r="L33" s="75"/>
    </row>
    <row customHeight="1" ht="15">
      <c r="A34" s="75"/>
      <c r="B34" s="85"/>
      <c r="C34" s="85"/>
      <c r="D34" s="92" t="s">
        <v>48</v>
      </c>
      <c r="E34" s="95">
        <v>0</v>
      </c>
      <c r="F34" s="96">
        <f>取值!F34</f>
        <v>0</v>
      </c>
      <c r="G34" s="90" t="s">
        <v>19</v>
      </c>
      <c r="H34" s="90" t="s">
        <v>19</v>
      </c>
      <c r="I34" s="94">
        <f>取值!E68</f>
        <v>0</v>
      </c>
      <c r="J34" s="90" t="s">
        <v>19</v>
      </c>
      <c r="K34" s="92"/>
      <c r="L34" s="75"/>
    </row>
    <row customHeight="1" ht="15">
      <c r="A35" s="75"/>
      <c r="B35" s="85"/>
      <c r="C35" s="85"/>
      <c r="D35" s="92" t="s">
        <v>49</v>
      </c>
      <c r="E35" s="95">
        <v>0</v>
      </c>
      <c r="F35" s="96">
        <f>取值!F35</f>
        <v>0</v>
      </c>
      <c r="G35" s="90" t="s">
        <v>19</v>
      </c>
      <c r="H35" s="90" t="s">
        <v>19</v>
      </c>
      <c r="I35" s="94">
        <f>取值!E69</f>
        <v>0</v>
      </c>
      <c r="J35" s="90" t="s">
        <v>19</v>
      </c>
      <c r="K35" s="92"/>
      <c r="L35" s="75"/>
    </row>
    <row customHeight="1" ht="15">
      <c r="A36" s="75"/>
      <c r="B36" s="85"/>
      <c r="C36" s="85"/>
      <c r="D36" s="92" t="s">
        <v>50</v>
      </c>
      <c r="E36" s="95">
        <v>0</v>
      </c>
      <c r="F36" s="96">
        <f>取值!F36</f>
        <v>0</v>
      </c>
      <c r="G36" s="90" t="s">
        <v>19</v>
      </c>
      <c r="H36" s="90" t="s">
        <v>19</v>
      </c>
      <c r="I36" s="94">
        <f>取值!E70</f>
        <v>0</v>
      </c>
      <c r="J36" s="90" t="s">
        <v>19</v>
      </c>
      <c r="K36" s="92"/>
      <c r="L36" s="75"/>
    </row>
    <row customHeight="1" ht="15">
      <c r="A37" s="75"/>
      <c r="B37" s="85"/>
      <c r="C37" s="85"/>
      <c r="D37" s="92" t="s">
        <v>51</v>
      </c>
      <c r="E37" s="95">
        <v>0</v>
      </c>
      <c r="F37" s="96">
        <f>取值!F37</f>
        <v>0</v>
      </c>
      <c r="G37" s="97">
        <f>_xlfn.IFERROR(E37/E33*100,0)</f>
        <v>0</v>
      </c>
      <c r="H37" s="97">
        <f>_xlfn.IFERROR(F37/F33*100,0)</f>
        <v>0</v>
      </c>
      <c r="I37" s="94">
        <f>取值!E71</f>
        <v>0</v>
      </c>
      <c r="J37" s="97">
        <f>_xlfn.IFERROR(I37/I$33*100,0)</f>
        <v>0</v>
      </c>
      <c r="K37" s="92"/>
      <c r="L37" s="75"/>
    </row>
    <row customHeight="1" ht="15">
      <c r="A38" s="75"/>
      <c r="B38" s="85"/>
      <c r="C38" s="85"/>
      <c r="D38" s="92" t="s">
        <v>22</v>
      </c>
      <c r="E38" s="95">
        <v>0</v>
      </c>
      <c r="F38" s="96">
        <f>取值!F38</f>
        <v>0</v>
      </c>
      <c r="G38" s="97">
        <f>_xlfn.IFERROR(E38/E33*100,0)</f>
        <v>0</v>
      </c>
      <c r="H38" s="97">
        <f>_xlfn.IFERROR(F38/F33*100,0)</f>
        <v>0</v>
      </c>
      <c r="I38" s="94">
        <f>取值!E72</f>
        <v>0</v>
      </c>
      <c r="J38" s="97">
        <f>_xlfn.IFERROR(I38/I$33*100,0)</f>
        <v>0</v>
      </c>
      <c r="K38" s="92"/>
      <c r="L38" s="75"/>
    </row>
    <row customHeight="1" ht="15">
      <c r="A39" s="75"/>
      <c r="B39" s="89"/>
      <c r="C39" s="85"/>
      <c r="D39" s="92" t="s">
        <v>28</v>
      </c>
      <c r="E39" s="96">
        <f>E33-SUM(E37,E38)</f>
        <v>0</v>
      </c>
      <c r="F39" s="96">
        <f>F33-SUM(F37,F38)</f>
        <v>0</v>
      </c>
      <c r="G39" s="97">
        <f>_xlfn.IFERROR(E39/E33*100,0)</f>
        <v>0</v>
      </c>
      <c r="H39" s="97">
        <f>_xlfn.IFERROR(F39/F33*100,0)</f>
        <v>0</v>
      </c>
      <c r="I39" s="96">
        <f>_xlfn.IFERROR(I33-SUM(I37,I38),0)</f>
        <v>0</v>
      </c>
      <c r="J39" s="97">
        <f>_xlfn.IFERROR(I39/I$33*100,0)</f>
        <v>0</v>
      </c>
      <c r="K39" s="92"/>
      <c r="L39" s="75"/>
    </row>
    <row customHeight="1" ht="27">
      <c r="A40" s="75"/>
      <c r="B40" s="90" t="s">
        <v>11</v>
      </c>
      <c r="C40" s="99"/>
      <c r="D40" s="100"/>
      <c r="E40" s="100"/>
      <c r="F40" s="100"/>
      <c r="G40" s="100"/>
      <c r="H40" s="100"/>
      <c r="I40" s="100"/>
      <c r="J40" s="100"/>
      <c r="K40" s="101"/>
      <c r="L40" s="75"/>
    </row>
    <row customHeight="1" ht="14.25">
      <c r="A41" s="75"/>
      <c r="B41" s="75"/>
      <c r="C41" s="102" t="s">
        <v>52</v>
      </c>
      <c r="D41" s="103" t="s">
        <v>53</v>
      </c>
      <c r="E41" s="75"/>
      <c r="F41" s="102" t="s">
        <v>54</v>
      </c>
      <c r="G41" s="103" t="s">
        <v>55</v>
      </c>
      <c r="H41" s="75"/>
      <c r="I41" s="102" t="s">
        <v>56</v>
      </c>
      <c r="J41" s="103" t="s">
        <v>57</v>
      </c>
      <c r="K41" s="75"/>
      <c r="L41" s="75"/>
    </row>
  </sheetData>
  <mergeCells count="16">
    <mergeCell ref="C6:C15"/>
    <mergeCell ref="C16:C25"/>
    <mergeCell ref="C26:C32"/>
    <mergeCell ref="B6:B32"/>
    <mergeCell ref="C40:K40"/>
    <mergeCell ref="C33:C39"/>
    <mergeCell ref="B33:B39"/>
    <mergeCell ref="B2:K2"/>
    <mergeCell ref="E4:F4"/>
    <mergeCell ref="G4:H4"/>
    <mergeCell ref="I4:J4"/>
    <mergeCell ref="B4:B5"/>
    <mergeCell ref="C4:C5"/>
    <mergeCell ref="D4:D5"/>
    <mergeCell ref="G3:J3"/>
    <mergeCell ref="B3:D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7E47EB8-BA88-AEB1-0043-D61D6F9041A8}" mc:Ignorable="x14ac xr xr2 xr3">
  <dimension ref="A1:I27"/>
  <sheetViews>
    <sheetView defaultGridColor="0" colorId="31" topLeftCell="A1" workbookViewId="0">
      <selection activeCell="A1" sqref="A1"/>
    </sheetView>
  </sheetViews>
  <sheetFormatPr customHeight="1" defaultRowHeight="14.100000000000001"/>
  <cols>
    <col min="3" max="3" width="17.57421875" customWidth="1"/>
    <col min="6" max="6" width="16.00390625" customWidth="1"/>
    <col min="7" max="7" width="73.28125" customWidth="1"/>
  </cols>
  <sheetData>
    <row customHeight="1" ht="14.25">
      <c r="A1" s="75" t="s">
        <v>58</v>
      </c>
      <c r="B1" s="104"/>
      <c r="C1" s="104" t="s">
        <v>59</v>
      </c>
      <c r="D1" s="104"/>
      <c r="E1" s="104" t="s">
        <v>60</v>
      </c>
      <c r="F1" s="104"/>
      <c r="G1" s="104" t="s">
        <v>61</v>
      </c>
      <c r="H1" s="104"/>
      <c r="I1" s="104" t="s">
        <v>62</v>
      </c>
    </row>
    <row customHeight="1" ht="14.25">
      <c r="A2" s="75" t="s">
        <v>63</v>
      </c>
      <c r="B2" s="104" t="s">
        <v>64</v>
      </c>
      <c r="C2" s="104" t="s">
        <v>65</v>
      </c>
      <c r="D2" s="104" t="s">
        <v>66</v>
      </c>
      <c r="E2" s="104" t="s">
        <v>67</v>
      </c>
      <c r="F2" s="104" t="s">
        <v>68</v>
      </c>
      <c r="G2" s="104" t="s">
        <v>69</v>
      </c>
      <c r="H2" s="104" t="s">
        <v>70</v>
      </c>
      <c r="I2" s="104" t="str">
        <f>A2&amp;B2&amp;C2&amp;D2&amp;E2&amp;F2&amp;G2&amp;H2</f>
        <v>#SQL("SH_PM_ALL_ByMonth","VALUE",":where{NAME=延安石油化工厂_生产_联合二车间_60万吨/年气体分馏装置_进_精制液化气}")</v>
      </c>
    </row>
    <row customHeight="1" ht="14.25">
      <c r="A3" s="75" t="s">
        <v>63</v>
      </c>
      <c r="B3" s="104" t="s">
        <v>64</v>
      </c>
      <c r="C3" s="104" t="s">
        <v>65</v>
      </c>
      <c r="D3" s="104" t="s">
        <v>66</v>
      </c>
      <c r="E3" s="104" t="s">
        <v>67</v>
      </c>
      <c r="F3" s="104" t="s">
        <v>68</v>
      </c>
      <c r="G3" s="75" t="s">
        <v>71</v>
      </c>
      <c r="H3" s="104" t="s">
        <v>70</v>
      </c>
      <c r="I3" s="104" t="str">
        <f>A3&amp;B3&amp;C3&amp;D3&amp;E3&amp;F3&amp;G3&amp;H3</f>
        <v>#SQL("SH_PM_ALL_ByMonth","VALUE",":where{NAME=延安石油化工厂_生产_联合二车间_60万吨/年气体分馏装置_进_OG气}")</v>
      </c>
    </row>
    <row customHeight="1" ht="14.25">
      <c r="A4" s="75" t="s">
        <v>63</v>
      </c>
      <c r="B4" s="104" t="s">
        <v>64</v>
      </c>
      <c r="C4" s="104" t="s">
        <v>65</v>
      </c>
      <c r="D4" s="104" t="s">
        <v>66</v>
      </c>
      <c r="E4" s="104" t="s">
        <v>67</v>
      </c>
      <c r="F4" s="104" t="s">
        <v>68</v>
      </c>
      <c r="G4" s="75" t="s">
        <v>72</v>
      </c>
      <c r="H4" s="104" t="s">
        <v>70</v>
      </c>
      <c r="I4" s="104" t="str">
        <f>A4&amp;B4&amp;C4&amp;D4&amp;E4&amp;F4&amp;G4&amp;H4</f>
        <v>#SQL("SH_PM_ALL_ByMonth","VALUE",":where{NAME=延安石油化工厂_生产_联合二车间_60万吨/年气体分馏装置_出_燃料气}")</v>
      </c>
    </row>
    <row customHeight="1" ht="14.25">
      <c r="A5" s="75" t="s">
        <v>63</v>
      </c>
      <c r="B5" s="104" t="s">
        <v>64</v>
      </c>
      <c r="C5" s="104" t="s">
        <v>65</v>
      </c>
      <c r="D5" s="104" t="s">
        <v>66</v>
      </c>
      <c r="E5" s="104" t="s">
        <v>67</v>
      </c>
      <c r="F5" s="104" t="s">
        <v>68</v>
      </c>
      <c r="G5" s="75" t="s">
        <v>73</v>
      </c>
      <c r="H5" s="104" t="s">
        <v>70</v>
      </c>
      <c r="I5" s="104" t="str">
        <f>A5&amp;B5&amp;C5&amp;D5&amp;E5&amp;F5&amp;G5&amp;H5</f>
        <v>#SQL("SH_PM_ALL_ByMonth","VALUE",":where{NAME=延安石油化工厂_生产_联合二车间_60万吨/年气体分馏装置_出_丙烯}")</v>
      </c>
    </row>
    <row customHeight="1" ht="14.25">
      <c r="A6" s="75" t="s">
        <v>63</v>
      </c>
      <c r="B6" s="104" t="s">
        <v>64</v>
      </c>
      <c r="C6" s="104" t="s">
        <v>65</v>
      </c>
      <c r="D6" s="104" t="s">
        <v>66</v>
      </c>
      <c r="E6" s="104" t="s">
        <v>67</v>
      </c>
      <c r="F6" s="104" t="s">
        <v>68</v>
      </c>
      <c r="G6" s="75" t="s">
        <v>74</v>
      </c>
      <c r="H6" s="104" t="s">
        <v>70</v>
      </c>
      <c r="I6" s="104" t="str">
        <f>A6&amp;B6&amp;C6&amp;D6&amp;E6&amp;F6&amp;G6&amp;H6</f>
        <v>#SQL("SH_PM_ALL_ByMonth","VALUE",":where{NAME=延安石油化工厂_生产_联合二车间_60万吨/年气体分馏装置_出_戊烷馏分}")</v>
      </c>
    </row>
    <row customHeight="1" ht="14.25">
      <c r="A7" s="75" t="s">
        <v>63</v>
      </c>
      <c r="B7" s="104" t="s">
        <v>64</v>
      </c>
      <c r="C7" s="104" t="s">
        <v>65</v>
      </c>
      <c r="D7" s="104" t="s">
        <v>66</v>
      </c>
      <c r="E7" s="104" t="s">
        <v>67</v>
      </c>
      <c r="F7" s="104" t="s">
        <v>68</v>
      </c>
      <c r="G7" s="75" t="s">
        <v>75</v>
      </c>
      <c r="H7" s="104" t="s">
        <v>70</v>
      </c>
      <c r="I7" s="104" t="str">
        <f>A7&amp;B7&amp;C7&amp;D7&amp;E7&amp;F7&amp;G7&amp;H7</f>
        <v>#SQL("SH_PM_ALL_ByMonth","VALUE",":where{NAME=延安石油化工厂_生产_联合二车间_60万吨/年气体分馏装置_出_丙烷}")</v>
      </c>
    </row>
    <row customHeight="1" ht="14.25">
      <c r="A8" s="75" t="s">
        <v>63</v>
      </c>
      <c r="B8" s="104" t="s">
        <v>64</v>
      </c>
      <c r="C8" s="104" t="s">
        <v>65</v>
      </c>
      <c r="D8" s="104" t="s">
        <v>66</v>
      </c>
      <c r="E8" s="104" t="s">
        <v>67</v>
      </c>
      <c r="F8" s="104" t="s">
        <v>68</v>
      </c>
      <c r="G8" s="75" t="s">
        <v>76</v>
      </c>
      <c r="H8" s="104" t="s">
        <v>70</v>
      </c>
      <c r="I8" s="104" t="str">
        <f>A8&amp;B8&amp;C8&amp;D8&amp;E8&amp;F8&amp;G8&amp;H8</f>
        <v>#SQL("SH_PM_ALL_ByMonth","VALUE",":where{NAME=延安石油化工厂_生产_联合二车间_60万吨/年气体分馏装置_出_碳四馏分}")</v>
      </c>
    </row>
    <row customHeight="1" ht="14.25">
      <c r="A9" s="75" t="s">
        <v>63</v>
      </c>
      <c r="B9" s="104" t="s">
        <v>64</v>
      </c>
      <c r="C9" s="104" t="s">
        <v>65</v>
      </c>
      <c r="D9" s="104" t="s">
        <v>66</v>
      </c>
      <c r="E9" s="104" t="s">
        <v>67</v>
      </c>
      <c r="F9" s="104" t="s">
        <v>68</v>
      </c>
      <c r="G9" s="75" t="s">
        <v>77</v>
      </c>
      <c r="H9" s="104" t="s">
        <v>70</v>
      </c>
      <c r="I9" s="104" t="str">
        <f>A9&amp;B9&amp;C9&amp;D9&amp;E9&amp;F9&amp;G9&amp;H9</f>
        <v>#SQL("SH_PM_ALL_ByMonth","VALUE",":where{NAME=延安石油化工厂_生产_联合二车间_60万吨/年气体分馏装置_出_不合格丙烯}")</v>
      </c>
    </row>
    <row customHeight="1" ht="14.25">
      <c r="A10" s="75" t="s">
        <v>63</v>
      </c>
      <c r="B10" s="104" t="s">
        <v>64</v>
      </c>
      <c r="C10" s="104" t="s">
        <v>65</v>
      </c>
      <c r="D10" s="104" t="s">
        <v>66</v>
      </c>
      <c r="E10" s="104" t="s">
        <v>67</v>
      </c>
      <c r="F10" s="104" t="s">
        <v>68</v>
      </c>
      <c r="G10" s="75" t="s">
        <v>78</v>
      </c>
      <c r="H10" s="104" t="s">
        <v>70</v>
      </c>
      <c r="I10" s="104" t="str">
        <f>A10&amp;B10&amp;C10&amp;D10&amp;E10&amp;F10&amp;G10&amp;H10</f>
        <v>#SQL("SH_PM_ALL_ByMonth","VALUE",":where{NAME=延安石油化工厂_生产_联合二车间_60万吨/年气体分馏装置_出_加工损失}")</v>
      </c>
    </row>
    <row customHeight="1" ht="14.25">
      <c r="A11" s="75" t="s">
        <v>63</v>
      </c>
      <c r="B11" s="104" t="s">
        <v>64</v>
      </c>
      <c r="C11" s="104" t="s">
        <v>65</v>
      </c>
      <c r="D11" s="104" t="s">
        <v>66</v>
      </c>
      <c r="E11" s="104" t="s">
        <v>67</v>
      </c>
      <c r="F11" s="104" t="s">
        <v>68</v>
      </c>
      <c r="G11" s="75" t="s">
        <v>79</v>
      </c>
      <c r="H11" s="104" t="s">
        <v>70</v>
      </c>
      <c r="I11" s="104" t="str">
        <f>A11&amp;B11&amp;C11&amp;D11&amp;E11&amp;F11&amp;G11&amp;H11</f>
        <v>#SQL("SH_PM_ALL_ByMonth","VALUE",":where{NAME=延安石油化工厂_生产_联合二车间_20万吨/年聚丙烯装置_进_丙烯原料}")</v>
      </c>
    </row>
    <row customHeight="1" ht="14.25">
      <c r="A12" s="75" t="s">
        <v>63</v>
      </c>
      <c r="B12" s="104" t="s">
        <v>64</v>
      </c>
      <c r="C12" s="104" t="s">
        <v>65</v>
      </c>
      <c r="D12" s="104" t="s">
        <v>66</v>
      </c>
      <c r="E12" s="104" t="s">
        <v>67</v>
      </c>
      <c r="F12" s="104" t="s">
        <v>68</v>
      </c>
      <c r="G12" s="75" t="s">
        <v>80</v>
      </c>
      <c r="H12" s="104" t="s">
        <v>70</v>
      </c>
      <c r="I12" s="104" t="str">
        <f>A12&amp;B12&amp;C12&amp;D12&amp;E12&amp;F12&amp;G12&amp;H12</f>
        <v>#SQL("SH_PM_ALL_ByMonth","VALUE",":where{NAME=延安石油化工厂_生产_联合二车间_20万吨/年聚丙烯装置_出_聚丙烯粒料(T30S)}")</v>
      </c>
    </row>
    <row customHeight="1" ht="14.25">
      <c r="A13" s="75" t="s">
        <v>63</v>
      </c>
      <c r="B13" s="104" t="s">
        <v>64</v>
      </c>
      <c r="C13" s="104" t="s">
        <v>65</v>
      </c>
      <c r="D13" s="104" t="s">
        <v>66</v>
      </c>
      <c r="E13" s="104" t="s">
        <v>67</v>
      </c>
      <c r="F13" s="104" t="s">
        <v>68</v>
      </c>
      <c r="G13" s="75" t="s">
        <v>81</v>
      </c>
      <c r="H13" s="104" t="s">
        <v>70</v>
      </c>
      <c r="I13" s="104" t="str">
        <f>A13&amp;B13&amp;C13&amp;D13&amp;E13&amp;F13&amp;G13&amp;H13</f>
        <v>#SQL("SH_PM_ALL_ByMonth","VALUE",":where{NAME=延安石油化工厂_生产_联合二车间_20万吨/年聚丙烯装置_出_聚丙烯粒料(C30S)}")</v>
      </c>
    </row>
    <row customHeight="1" ht="14.25">
      <c r="A14" s="75" t="s">
        <v>63</v>
      </c>
      <c r="B14" s="104" t="s">
        <v>64</v>
      </c>
      <c r="C14" s="104" t="s">
        <v>65</v>
      </c>
      <c r="D14" s="104" t="s">
        <v>66</v>
      </c>
      <c r="E14" s="104" t="s">
        <v>67</v>
      </c>
      <c r="F14" s="104" t="s">
        <v>68</v>
      </c>
      <c r="G14" s="75" t="s">
        <v>82</v>
      </c>
      <c r="H14" s="104" t="s">
        <v>70</v>
      </c>
      <c r="I14" s="104" t="str">
        <f>A14&amp;B14&amp;C14&amp;D14&amp;E14&amp;F14&amp;G14&amp;H14</f>
        <v>#SQL("SH_PM_ALL_ByMonth","VALUE",":where{NAME=延安石油化工厂_生产_联合二车间_20万吨/年聚丙烯装置_出_聚丙烯粉料}")</v>
      </c>
    </row>
    <row customHeight="1" ht="14.25">
      <c r="A15" s="75" t="s">
        <v>63</v>
      </c>
      <c r="B15" s="104" t="s">
        <v>64</v>
      </c>
      <c r="C15" s="104" t="s">
        <v>65</v>
      </c>
      <c r="D15" s="104" t="s">
        <v>66</v>
      </c>
      <c r="E15" s="104" t="s">
        <v>67</v>
      </c>
      <c r="F15" s="104" t="s">
        <v>68</v>
      </c>
      <c r="G15" s="75" t="s">
        <v>83</v>
      </c>
      <c r="H15" s="104" t="s">
        <v>70</v>
      </c>
      <c r="I15" s="104" t="str">
        <f>A15&amp;B15&amp;C15&amp;D15&amp;E15&amp;F15&amp;G15&amp;H15</f>
        <v>#SQL("SH_PM_ALL_ByMonth","VALUE",":where{NAME=延安石油化工厂_生产_联合二车间_20万吨/年聚丙烯装置_出_大块料}")</v>
      </c>
    </row>
    <row customHeight="1" ht="14.25">
      <c r="A16" s="75" t="s">
        <v>63</v>
      </c>
      <c r="B16" s="104" t="s">
        <v>64</v>
      </c>
      <c r="C16" s="104" t="s">
        <v>65</v>
      </c>
      <c r="D16" s="104" t="s">
        <v>66</v>
      </c>
      <c r="E16" s="104" t="s">
        <v>67</v>
      </c>
      <c r="F16" s="104" t="s">
        <v>68</v>
      </c>
      <c r="G16" s="75" t="s">
        <v>84</v>
      </c>
      <c r="H16" s="104" t="s">
        <v>70</v>
      </c>
      <c r="I16" s="104" t="str">
        <f>A16&amp;B16&amp;C16&amp;D16&amp;E16&amp;F16&amp;G16&amp;H16</f>
        <v>#SQL("SH_PM_ALL_ByMonth","VALUE",":where{NAME=延安石油化工厂_生产_联合二车间_20万吨/年聚丙烯装置_出_落地料}")</v>
      </c>
    </row>
    <row customHeight="1" ht="14.25">
      <c r="A17" s="75" t="s">
        <v>63</v>
      </c>
      <c r="B17" s="104" t="s">
        <v>64</v>
      </c>
      <c r="C17" s="104" t="s">
        <v>65</v>
      </c>
      <c r="D17" s="104" t="s">
        <v>66</v>
      </c>
      <c r="E17" s="104" t="s">
        <v>67</v>
      </c>
      <c r="F17" s="104" t="s">
        <v>68</v>
      </c>
      <c r="G17" s="75" t="s">
        <v>85</v>
      </c>
      <c r="H17" s="104" t="s">
        <v>70</v>
      </c>
      <c r="I17" s="104" t="str">
        <f>A17&amp;B17&amp;C17&amp;D17&amp;E17&amp;F17&amp;G17&amp;H17</f>
        <v>#SQL("SH_PM_ALL_ByMonth","VALUE",":where{NAME=延安石油化工厂_生产_联合二车间_20万吨/年聚丙烯装置_出_粉尘料}")</v>
      </c>
    </row>
    <row customHeight="1" ht="14.25">
      <c r="A18" s="75" t="s">
        <v>63</v>
      </c>
      <c r="B18" s="104" t="s">
        <v>64</v>
      </c>
      <c r="C18" s="104" t="s">
        <v>65</v>
      </c>
      <c r="D18" s="104" t="s">
        <v>66</v>
      </c>
      <c r="E18" s="104" t="s">
        <v>67</v>
      </c>
      <c r="F18" s="104" t="s">
        <v>68</v>
      </c>
      <c r="G18" s="75" t="s">
        <v>86</v>
      </c>
      <c r="H18" s="104" t="s">
        <v>70</v>
      </c>
      <c r="I18" s="104" t="str">
        <f>A18&amp;B18&amp;C18&amp;D18&amp;E18&amp;F18&amp;G18&amp;H18</f>
        <v>#SQL("SH_PM_ALL_ByMonth","VALUE",":where{NAME=延安石油化工厂_生产_联合二车间_20万吨/年聚丙烯装置_出_不合格料}")</v>
      </c>
    </row>
    <row customHeight="1" ht="14.25">
      <c r="A19" s="75" t="s">
        <v>63</v>
      </c>
      <c r="B19" s="104" t="s">
        <v>64</v>
      </c>
      <c r="C19" s="104" t="s">
        <v>65</v>
      </c>
      <c r="D19" s="104" t="s">
        <v>66</v>
      </c>
      <c r="E19" s="104" t="s">
        <v>67</v>
      </c>
      <c r="F19" s="104" t="s">
        <v>68</v>
      </c>
      <c r="G19" s="75" t="s">
        <v>87</v>
      </c>
      <c r="H19" s="104" t="s">
        <v>70</v>
      </c>
      <c r="I19" s="104" t="str">
        <f>A19&amp;B19&amp;C19&amp;D19&amp;E19&amp;F19&amp;G19&amp;H19</f>
        <v>#SQL("SH_PM_ALL_ByMonth","VALUE",":where{NAME=延安石油化工厂_生产_联合二车间_20万吨/年聚丙烯装置_出_回收气OG}")</v>
      </c>
    </row>
    <row customHeight="1" ht="14.25">
      <c r="A20" s="75" t="s">
        <v>63</v>
      </c>
      <c r="B20" s="104" t="s">
        <v>64</v>
      </c>
      <c r="C20" s="104" t="s">
        <v>65</v>
      </c>
      <c r="D20" s="104" t="s">
        <v>66</v>
      </c>
      <c r="E20" s="104" t="s">
        <v>67</v>
      </c>
      <c r="F20" s="104" t="s">
        <v>68</v>
      </c>
      <c r="G20" s="75" t="s">
        <v>88</v>
      </c>
      <c r="H20" s="104" t="s">
        <v>70</v>
      </c>
      <c r="I20" s="104" t="str">
        <f>A20&amp;B20&amp;C20&amp;D20&amp;E20&amp;F20&amp;G20&amp;H20</f>
        <v>#SQL("SH_PM_ALL_ByMonth","VALUE",":where{NAME=延安石油化工厂_生产_联合二车间_20万吨/年聚丙烯装置_出_加工损失}")</v>
      </c>
    </row>
    <row customHeight="1" ht="14.25">
      <c r="A21" s="75" t="s">
        <v>63</v>
      </c>
      <c r="B21" s="104" t="s">
        <v>64</v>
      </c>
      <c r="C21" s="104" t="s">
        <v>65</v>
      </c>
      <c r="D21" s="104" t="s">
        <v>66</v>
      </c>
      <c r="E21" s="104" t="s">
        <v>67</v>
      </c>
      <c r="F21" s="104" t="s">
        <v>68</v>
      </c>
      <c r="G21" s="75" t="s">
        <v>89</v>
      </c>
      <c r="H21" s="104" t="s">
        <v>70</v>
      </c>
      <c r="I21" s="104" t="str">
        <f>A21&amp;B21&amp;C21&amp;D21&amp;E21&amp;F21&amp;G21&amp;H21</f>
        <v>#SQL("SH_PM_ALL_ByMonth","VALUE",":where{NAME=延安石油化工厂_生产_联合二车间_12万吨/年MTBE装置_进_原料处理量}")</v>
      </c>
    </row>
    <row customHeight="1" ht="14.25">
      <c r="A22" s="75" t="s">
        <v>63</v>
      </c>
      <c r="B22" s="104" t="s">
        <v>64</v>
      </c>
      <c r="C22" s="104" t="s">
        <v>65</v>
      </c>
      <c r="D22" s="104" t="s">
        <v>66</v>
      </c>
      <c r="E22" s="104" t="s">
        <v>67</v>
      </c>
      <c r="F22" s="104" t="s">
        <v>68</v>
      </c>
      <c r="G22" s="75" t="s">
        <v>90</v>
      </c>
      <c r="H22" s="104" t="s">
        <v>70</v>
      </c>
      <c r="I22" s="104" t="str">
        <f>A22&amp;B22&amp;C22&amp;D22&amp;E22&amp;F22&amp;G22&amp;H22</f>
        <v>#SQL("SH_PM_ALL_ByMonth","VALUE",":where{NAME=延安石油化工厂_生产_联合二车间_12万吨/年MTBE装置_进_碳四馏分}")</v>
      </c>
    </row>
    <row customHeight="1" ht="14.25">
      <c r="A23" s="75" t="s">
        <v>63</v>
      </c>
      <c r="B23" s="104" t="s">
        <v>64</v>
      </c>
      <c r="C23" s="104" t="s">
        <v>65</v>
      </c>
      <c r="D23" s="104" t="s">
        <v>66</v>
      </c>
      <c r="E23" s="104" t="s">
        <v>67</v>
      </c>
      <c r="F23" s="104" t="s">
        <v>68</v>
      </c>
      <c r="G23" s="75" t="s">
        <v>91</v>
      </c>
      <c r="H23" s="104" t="s">
        <v>70</v>
      </c>
      <c r="I23" s="104" t="str">
        <f>A23&amp;B23&amp;C23&amp;D23&amp;E23&amp;F23&amp;G23&amp;H23</f>
        <v>#SQL("SH_PM_ALL_ByMonth","VALUE",":where{NAME=延安石油化工厂_生产_联合二车间_12万吨/年MTBE装置_进_甲醇}")</v>
      </c>
    </row>
    <row customHeight="1" ht="14.25">
      <c r="A24" s="75" t="s">
        <v>63</v>
      </c>
      <c r="B24" s="104" t="s">
        <v>64</v>
      </c>
      <c r="C24" s="104" t="s">
        <v>65</v>
      </c>
      <c r="D24" s="104" t="s">
        <v>66</v>
      </c>
      <c r="E24" s="104" t="s">
        <v>67</v>
      </c>
      <c r="F24" s="104" t="s">
        <v>68</v>
      </c>
      <c r="G24" s="75" t="s">
        <v>92</v>
      </c>
      <c r="H24" s="104" t="s">
        <v>70</v>
      </c>
      <c r="I24" s="104" t="str">
        <f>A24&amp;B24&amp;C24&amp;D24&amp;E24&amp;F24&amp;G24&amp;H24</f>
        <v>#SQL("SH_PM_ALL_ByMonth","VALUE",":where{NAME=延安石油化工厂_生产_联合二车间_12万吨/年MTBE装置_出_甲基叔丁基醚}")</v>
      </c>
    </row>
    <row customHeight="1" ht="14.25">
      <c r="A25" s="75" t="s">
        <v>63</v>
      </c>
      <c r="B25" s="104" t="s">
        <v>64</v>
      </c>
      <c r="C25" s="104" t="s">
        <v>65</v>
      </c>
      <c r="D25" s="104" t="s">
        <v>66</v>
      </c>
      <c r="E25" s="104" t="s">
        <v>67</v>
      </c>
      <c r="F25" s="104" t="s">
        <v>68</v>
      </c>
      <c r="G25" s="75" t="s">
        <v>93</v>
      </c>
      <c r="H25" s="104" t="s">
        <v>70</v>
      </c>
      <c r="I25" s="104" t="str">
        <f>A25&amp;B25&amp;C25&amp;D25&amp;E25&amp;F25&amp;G25&amp;H25</f>
        <v>#SQL("SH_PM_ALL_ByMonth","VALUE",":where{NAME=延安石油化工厂_生产_联合二车间_12万吨/年MTBE装置_出_醚后C4}")</v>
      </c>
    </row>
    <row customHeight="1" ht="14.25">
      <c r="A26" s="75" t="s">
        <v>63</v>
      </c>
      <c r="B26" s="104" t="s">
        <v>64</v>
      </c>
      <c r="C26" s="104" t="s">
        <v>65</v>
      </c>
      <c r="D26" s="104" t="s">
        <v>66</v>
      </c>
      <c r="E26" s="104" t="s">
        <v>67</v>
      </c>
      <c r="F26" s="104" t="s">
        <v>68</v>
      </c>
      <c r="G26" s="75" t="s">
        <v>94</v>
      </c>
      <c r="H26" s="104" t="s">
        <v>70</v>
      </c>
      <c r="I26" s="104" t="str">
        <f>A26&amp;B26&amp;C26&amp;D26&amp;E26&amp;F26&amp;G26&amp;H26</f>
        <v>#SQL("SH_PM_ALL_ByMonth","VALUE",":where{NAME=延安石油化工厂_生产_联合二车间_12万吨/年MTBE装置_出_不合格MTBE}")</v>
      </c>
    </row>
    <row customHeight="1" ht="14.25">
      <c r="A27" s="75" t="s">
        <v>63</v>
      </c>
      <c r="B27" s="104" t="s">
        <v>64</v>
      </c>
      <c r="C27" s="104" t="s">
        <v>65</v>
      </c>
      <c r="D27" s="104" t="s">
        <v>66</v>
      </c>
      <c r="E27" s="104" t="s">
        <v>67</v>
      </c>
      <c r="F27" s="104" t="s">
        <v>68</v>
      </c>
      <c r="G27" s="75" t="s">
        <v>95</v>
      </c>
      <c r="H27" s="104" t="s">
        <v>70</v>
      </c>
      <c r="I27" s="104" t="str">
        <f>A27&amp;B27&amp;C27&amp;D27&amp;E27&amp;F27&amp;G27&amp;H27</f>
        <v>#SQL("SH_PM_ALL_ByMonth","VALUE",":where{NAME=延安石油化工厂_生产_联合二车间_12万吨/年MTBE装置_出_加工损失}")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B84E98-23D8-FA58-7298-C1E194439DF9}" mc:Ignorable="x14ac xr xr2 xr3">
  <dimension ref="A1:I79"/>
  <sheetViews>
    <sheetView defaultGridColor="0" colorId="31" topLeftCell="A43" workbookViewId="0">
      <selection activeCell="A79" sqref="A79"/>
    </sheetView>
  </sheetViews>
  <sheetFormatPr customHeight="1" defaultRowHeight="14.100000000000001"/>
  <sheetData>
    <row customHeight="1" ht="14.100000000000001">
      <c r="A1" s="75"/>
      <c r="B1" s="75"/>
      <c r="C1" s="75"/>
      <c r="D1" s="75"/>
      <c r="E1" s="75"/>
      <c r="F1" s="75"/>
      <c r="G1" s="75"/>
      <c r="H1" s="75"/>
      <c r="I1" s="75"/>
    </row>
    <row customHeight="1" ht="14.100000000000001">
      <c r="A2" s="75"/>
      <c r="B2" s="75"/>
      <c r="C2" s="75"/>
      <c r="D2" s="75"/>
      <c r="E2" s="75"/>
      <c r="F2" s="75"/>
      <c r="G2" s="75"/>
      <c r="H2" s="75"/>
      <c r="I2" s="75"/>
    </row>
    <row customHeight="1" ht="14.100000000000001">
      <c r="A3" s="75"/>
      <c r="B3" s="75"/>
      <c r="C3" s="75"/>
      <c r="D3" s="75"/>
      <c r="E3" s="75"/>
      <c r="F3" s="75"/>
      <c r="G3" s="75"/>
      <c r="H3" s="75"/>
      <c r="I3" s="75"/>
    </row>
    <row customHeight="1" ht="14.100000000000001">
      <c r="A4" s="75"/>
      <c r="B4" s="75"/>
      <c r="C4" s="75"/>
      <c r="D4" s="75"/>
      <c r="E4" s="75"/>
      <c r="F4" s="75"/>
      <c r="G4" s="75"/>
      <c r="H4" s="75"/>
      <c r="I4" s="75"/>
    </row>
    <row customHeight="1" ht="14.100000000000001">
      <c r="A5" s="75"/>
      <c r="B5" s="75"/>
      <c r="C5" s="75"/>
      <c r="D5" s="75"/>
      <c r="E5" s="75"/>
      <c r="F5" s="75"/>
      <c r="G5" s="75"/>
      <c r="H5" s="75"/>
      <c r="I5" s="75"/>
    </row>
    <row customHeight="1" ht="14.100000000000001">
      <c r="A6" s="75"/>
      <c r="B6" s="75"/>
      <c r="C6" s="75"/>
      <c r="D6" s="75"/>
      <c r="E6" s="75"/>
      <c r="F6" s="75"/>
      <c r="G6" s="75"/>
      <c r="H6" s="75"/>
      <c r="I6" s="75"/>
    </row>
    <row customHeight="1" ht="14.25">
      <c r="A7" s="75"/>
      <c r="B7" s="75"/>
      <c r="C7" s="75"/>
      <c r="D7" s="75"/>
      <c r="E7" s="105">
        <v>58343</v>
      </c>
      <c r="F7" s="75">
        <v>662215</v>
      </c>
      <c r="G7" s="75"/>
      <c r="H7" s="75"/>
      <c r="I7" s="75">
        <v>660975</v>
      </c>
    </row>
    <row customHeight="1" ht="14.25">
      <c r="A8" s="75"/>
      <c r="B8" s="75"/>
      <c r="C8" s="75"/>
      <c r="D8" s="75"/>
      <c r="E8" s="75">
        <v>0</v>
      </c>
      <c r="F8" s="75">
        <v>0</v>
      </c>
      <c r="G8" s="75"/>
      <c r="H8" s="75"/>
      <c r="I8" s="75">
        <v>0</v>
      </c>
    </row>
    <row customHeight="1" ht="14.25">
      <c r="A9" s="75"/>
      <c r="B9" s="75"/>
      <c r="C9" s="75"/>
      <c r="D9" s="75"/>
      <c r="E9" s="75">
        <v>1040</v>
      </c>
      <c r="F9" s="75">
        <v>10225</v>
      </c>
      <c r="G9" s="75"/>
      <c r="H9" s="75"/>
      <c r="I9" s="75">
        <v>10890</v>
      </c>
    </row>
    <row customHeight="1" ht="14.25">
      <c r="A10" s="75"/>
      <c r="B10" s="75"/>
      <c r="C10" s="75"/>
      <c r="D10" s="75"/>
      <c r="E10" s="75">
        <v>15366</v>
      </c>
      <c r="F10" s="75">
        <v>177839</v>
      </c>
      <c r="G10" s="75"/>
      <c r="H10" s="75"/>
      <c r="I10" s="75">
        <v>179886</v>
      </c>
    </row>
    <row customHeight="1" ht="14.25">
      <c r="A11" s="75"/>
      <c r="B11" s="75"/>
      <c r="C11" s="75"/>
      <c r="D11" s="75"/>
      <c r="E11" s="75">
        <v>466</v>
      </c>
      <c r="F11" s="75">
        <v>5870</v>
      </c>
      <c r="G11" s="75"/>
      <c r="H11" s="75"/>
      <c r="I11" s="75">
        <v>7437</v>
      </c>
    </row>
    <row customHeight="1" ht="14.25">
      <c r="A12" s="75"/>
      <c r="B12" s="75"/>
      <c r="C12" s="75"/>
      <c r="D12" s="75"/>
      <c r="E12" s="75">
        <v>7710</v>
      </c>
      <c r="F12" s="75">
        <v>81368</v>
      </c>
      <c r="G12" s="75"/>
      <c r="H12" s="75"/>
      <c r="I12" s="75">
        <v>75949</v>
      </c>
    </row>
    <row customHeight="1" ht="14.25">
      <c r="A13" s="75"/>
      <c r="B13" s="75"/>
      <c r="C13" s="75"/>
      <c r="D13" s="75"/>
      <c r="E13" s="75">
        <v>33598</v>
      </c>
      <c r="F13" s="75">
        <v>385084</v>
      </c>
      <c r="G13" s="75"/>
      <c r="H13" s="75"/>
      <c r="I13" s="75">
        <v>385136</v>
      </c>
    </row>
    <row customHeight="1" ht="14.25">
      <c r="A14" s="75"/>
      <c r="B14" s="75"/>
      <c r="C14" s="75"/>
      <c r="D14" s="75"/>
      <c r="E14" s="75">
        <v>0</v>
      </c>
      <c r="F14" s="75">
        <v>0</v>
      </c>
      <c r="G14" s="75"/>
      <c r="H14" s="75"/>
      <c r="I14" s="75">
        <v>0</v>
      </c>
    </row>
    <row customHeight="1" ht="14.25">
      <c r="A15" s="75"/>
      <c r="B15" s="75"/>
      <c r="C15" s="75"/>
      <c r="D15" s="75"/>
      <c r="E15" s="75"/>
      <c r="F15" s="75"/>
      <c r="G15" s="75"/>
      <c r="H15" s="75"/>
      <c r="I15" s="75"/>
    </row>
    <row customHeight="1" ht="14.25">
      <c r="A16" s="75" t="s">
        <v>96</v>
      </c>
      <c r="B16" s="75" t="s">
        <v>97</v>
      </c>
      <c r="C16" s="75" t="s">
        <v>98</v>
      </c>
      <c r="D16" s="75"/>
      <c r="E16" s="75">
        <v>19514</v>
      </c>
      <c r="F16" s="75">
        <v>224400</v>
      </c>
      <c r="G16" s="75"/>
      <c r="H16" s="75"/>
      <c r="I16" s="75">
        <v>228247</v>
      </c>
    </row>
    <row customHeight="1" ht="14.25">
      <c r="A17" s="75"/>
      <c r="B17" s="75"/>
      <c r="C17" s="75"/>
      <c r="D17" s="75"/>
      <c r="E17" s="75">
        <v>18886</v>
      </c>
      <c r="F17" s="75">
        <v>215576</v>
      </c>
      <c r="G17" s="75"/>
      <c r="H17" s="75"/>
      <c r="I17" s="75">
        <v>220050</v>
      </c>
    </row>
    <row customHeight="1" ht="14.25">
      <c r="A18" s="75"/>
      <c r="B18" s="75"/>
      <c r="C18" s="75"/>
      <c r="D18" s="75"/>
      <c r="E18" s="75">
        <v>0</v>
      </c>
      <c r="F18" s="75">
        <v>0</v>
      </c>
      <c r="G18" s="75"/>
      <c r="H18" s="75"/>
      <c r="I18" s="75">
        <v>0</v>
      </c>
    </row>
    <row customHeight="1" ht="14.25">
      <c r="A19" s="75"/>
      <c r="B19" s="75"/>
      <c r="C19" s="75"/>
      <c r="D19" s="75"/>
      <c r="E19" s="75">
        <v>0</v>
      </c>
      <c r="F19" s="75">
        <v>1259.72</v>
      </c>
      <c r="G19" s="75"/>
      <c r="H19" s="75"/>
      <c r="I19" s="75">
        <v>866.44</v>
      </c>
    </row>
    <row customHeight="1" ht="14.25">
      <c r="A20" s="75"/>
      <c r="B20" s="75"/>
      <c r="C20" s="75"/>
      <c r="D20" s="75"/>
      <c r="E20" s="75">
        <v>0</v>
      </c>
      <c r="F20" s="75">
        <v>51.66</v>
      </c>
      <c r="G20" s="75"/>
      <c r="H20" s="75"/>
      <c r="I20" s="75">
        <v>83.1</v>
      </c>
    </row>
    <row customHeight="1" ht="14.25">
      <c r="A21" s="75"/>
      <c r="B21" s="75"/>
      <c r="C21" s="75"/>
      <c r="D21" s="75"/>
      <c r="E21" s="75">
        <v>0</v>
      </c>
      <c r="F21" s="75">
        <v>114.62</v>
      </c>
      <c r="G21" s="75"/>
      <c r="H21" s="75"/>
      <c r="I21" s="75">
        <v>78.26</v>
      </c>
    </row>
    <row customHeight="1" ht="14.25">
      <c r="A22" s="75"/>
      <c r="B22" s="75"/>
      <c r="C22" s="75"/>
      <c r="D22" s="75"/>
      <c r="E22" s="75">
        <v>24</v>
      </c>
      <c r="F22" s="75">
        <v>167</v>
      </c>
      <c r="G22" s="75"/>
      <c r="H22" s="75"/>
      <c r="I22" s="75">
        <v>196.2</v>
      </c>
    </row>
    <row customHeight="1" ht="14.25">
      <c r="A23" s="75"/>
      <c r="B23" s="75"/>
      <c r="C23" s="75"/>
      <c r="D23" s="75"/>
      <c r="E23" s="75">
        <v>0</v>
      </c>
      <c r="F23" s="75">
        <v>0</v>
      </c>
      <c r="G23" s="75"/>
      <c r="H23" s="75"/>
      <c r="I23" s="75">
        <v>0</v>
      </c>
    </row>
    <row customHeight="1" ht="14.25">
      <c r="A24" s="75"/>
      <c r="B24" s="75"/>
      <c r="C24" s="75"/>
      <c r="D24" s="75"/>
      <c r="E24" s="75">
        <v>467</v>
      </c>
      <c r="F24" s="75">
        <v>5109</v>
      </c>
      <c r="G24" s="75"/>
      <c r="H24" s="75"/>
      <c r="I24" s="75">
        <v>5216</v>
      </c>
    </row>
    <row customHeight="1" ht="14.25">
      <c r="A25" s="75"/>
      <c r="B25" s="75"/>
      <c r="C25" s="75"/>
      <c r="D25" s="75"/>
      <c r="E25" s="75"/>
      <c r="F25" s="75"/>
      <c r="G25" s="75"/>
      <c r="H25" s="75"/>
      <c r="I25" s="75"/>
    </row>
    <row customHeight="1" ht="14.25">
      <c r="A26" s="75"/>
      <c r="B26" s="75"/>
      <c r="C26" s="75"/>
      <c r="D26" s="75"/>
      <c r="E26" s="75"/>
      <c r="F26" s="75"/>
      <c r="G26" s="75"/>
      <c r="H26" s="75"/>
      <c r="I26" s="75"/>
    </row>
    <row customHeight="1" ht="14.25">
      <c r="A27" s="75"/>
      <c r="B27" s="75"/>
      <c r="C27" s="75"/>
      <c r="D27" s="75"/>
      <c r="E27" s="75">
        <v>33299</v>
      </c>
      <c r="F27" s="75">
        <v>382615</v>
      </c>
      <c r="G27" s="75"/>
      <c r="H27" s="75"/>
      <c r="I27" s="75">
        <v>380530</v>
      </c>
    </row>
    <row customHeight="1" ht="14.25">
      <c r="A28" s="75"/>
      <c r="B28" s="75"/>
      <c r="C28" s="75"/>
      <c r="D28" s="75"/>
      <c r="E28" s="75">
        <v>2102</v>
      </c>
      <c r="F28" s="75">
        <v>26543</v>
      </c>
      <c r="G28" s="75"/>
      <c r="H28" s="75"/>
      <c r="I28" s="75">
        <v>26979</v>
      </c>
    </row>
    <row customHeight="1" ht="14.25">
      <c r="A29" s="75"/>
      <c r="B29" s="75"/>
      <c r="C29" s="75"/>
      <c r="D29" s="75"/>
      <c r="E29" s="75">
        <v>6538</v>
      </c>
      <c r="F29" s="75">
        <v>73615</v>
      </c>
      <c r="G29" s="75"/>
      <c r="H29" s="75"/>
      <c r="I29" s="75">
        <v>74272</v>
      </c>
    </row>
    <row customHeight="1" ht="14.25">
      <c r="A30" s="75"/>
      <c r="B30" s="75"/>
      <c r="C30" s="75"/>
      <c r="D30" s="75"/>
      <c r="E30" s="75">
        <v>28789</v>
      </c>
      <c r="F30" s="75">
        <v>334537</v>
      </c>
      <c r="G30" s="75"/>
      <c r="H30" s="75"/>
      <c r="I30" s="75">
        <v>331930</v>
      </c>
    </row>
    <row customHeight="1" ht="14.25">
      <c r="A31" s="75"/>
      <c r="B31" s="75"/>
      <c r="C31" s="75"/>
      <c r="D31" s="75"/>
      <c r="E31" s="75">
        <v>0</v>
      </c>
      <c r="F31" s="75">
        <v>0</v>
      </c>
      <c r="G31" s="75"/>
      <c r="H31" s="75"/>
      <c r="I31" s="75">
        <v>0</v>
      </c>
    </row>
    <row customHeight="1" ht="14.25">
      <c r="A32" s="75"/>
      <c r="B32" s="75"/>
      <c r="C32" s="75"/>
      <c r="D32" s="75"/>
      <c r="E32" s="75"/>
      <c r="F32" s="75"/>
      <c r="G32" s="75"/>
      <c r="H32" s="75"/>
      <c r="I32" s="75"/>
    </row>
    <row customHeight="1" ht="14.100000000000001">
      <c r="A33" s="75"/>
      <c r="B33" s="75"/>
      <c r="C33" s="75"/>
      <c r="D33" s="75"/>
      <c r="E33" s="75"/>
      <c r="F33" s="75"/>
      <c r="G33" s="75"/>
      <c r="H33" s="75"/>
      <c r="I33" s="75"/>
    </row>
    <row customHeight="1" ht="14.25">
      <c r="A34" s="75"/>
      <c r="B34" s="75"/>
      <c r="C34" s="75"/>
      <c r="D34" s="75"/>
      <c r="E34" s="75"/>
      <c r="F34" s="75"/>
      <c r="G34" s="75"/>
      <c r="H34" s="75"/>
      <c r="I34" s="75"/>
    </row>
    <row customHeight="1" ht="14.25">
      <c r="A35" s="75"/>
      <c r="B35" s="75"/>
      <c r="C35" s="75"/>
      <c r="D35" s="75"/>
      <c r="E35" s="75"/>
      <c r="F35" s="75"/>
      <c r="G35" s="75"/>
      <c r="H35" s="75"/>
      <c r="I35" s="75"/>
    </row>
    <row customHeight="1" ht="14.25">
      <c r="A36" s="75"/>
      <c r="B36" s="75"/>
      <c r="C36" s="75"/>
      <c r="D36" s="75"/>
      <c r="E36" s="75"/>
      <c r="F36" s="75"/>
      <c r="G36" s="75"/>
      <c r="H36" s="75"/>
      <c r="I36" s="75"/>
    </row>
    <row customHeight="1" ht="14.25">
      <c r="A37" s="75"/>
      <c r="B37" s="75"/>
      <c r="C37" s="75"/>
      <c r="D37" s="75"/>
      <c r="E37" s="75"/>
      <c r="F37" s="75"/>
      <c r="G37" s="75"/>
      <c r="H37" s="75"/>
      <c r="I37" s="75"/>
    </row>
    <row customHeight="1" ht="14.25">
      <c r="A38" s="75"/>
      <c r="B38" s="75"/>
      <c r="C38" s="75"/>
      <c r="D38" s="75"/>
      <c r="E38" s="75"/>
      <c r="F38" s="75"/>
      <c r="G38" s="75"/>
      <c r="H38" s="75"/>
      <c r="I38" s="75"/>
    </row>
    <row customHeight="1" ht="14.25">
      <c r="A39" s="75"/>
      <c r="B39" s="75"/>
      <c r="C39" s="75"/>
      <c r="D39" s="75"/>
      <c r="E39" s="75"/>
      <c r="F39" s="75"/>
      <c r="G39" s="75"/>
      <c r="H39" s="75"/>
      <c r="I39" s="75"/>
    </row>
    <row customHeight="1" ht="14.25">
      <c r="A40" s="75"/>
      <c r="B40" s="75"/>
      <c r="C40" s="75"/>
      <c r="D40" s="75"/>
      <c r="E40" s="106">
        <v>57282</v>
      </c>
      <c r="F40" s="75"/>
      <c r="G40" s="75"/>
      <c r="H40" s="75"/>
      <c r="I40" s="75"/>
    </row>
    <row customHeight="1" ht="14.25">
      <c r="A41" s="75"/>
      <c r="B41" s="75"/>
      <c r="C41" s="75"/>
      <c r="D41" s="75"/>
      <c r="E41" s="96">
        <v>57282</v>
      </c>
      <c r="F41" s="75"/>
      <c r="G41" s="75"/>
      <c r="H41" s="75"/>
      <c r="I41" s="75"/>
    </row>
    <row customHeight="1" ht="14.25">
      <c r="A42" s="75"/>
      <c r="B42" s="75"/>
      <c r="C42" s="75"/>
      <c r="D42" s="75"/>
      <c r="E42" s="96">
        <v>0</v>
      </c>
      <c r="F42" s="75"/>
      <c r="G42" s="75"/>
      <c r="H42" s="75"/>
      <c r="I42" s="75"/>
    </row>
    <row customHeight="1" ht="14.25">
      <c r="A43" s="75"/>
      <c r="B43" s="75"/>
      <c r="C43" s="75"/>
      <c r="D43" s="75"/>
      <c r="E43" s="96">
        <v>1024</v>
      </c>
      <c r="F43" s="75"/>
      <c r="G43" s="75"/>
      <c r="H43" s="75"/>
      <c r="I43" s="75"/>
    </row>
    <row customHeight="1" ht="14.25">
      <c r="A44" s="75"/>
      <c r="B44" s="75"/>
      <c r="C44" s="75"/>
      <c r="D44" s="75"/>
      <c r="E44" s="96">
        <v>16032</v>
      </c>
      <c r="F44" s="75"/>
      <c r="G44" s="75"/>
      <c r="H44" s="75"/>
      <c r="I44" s="75"/>
    </row>
    <row customHeight="1" ht="14.25">
      <c r="A45" s="75"/>
      <c r="B45" s="75"/>
      <c r="C45" s="75"/>
      <c r="D45" s="75"/>
      <c r="E45" s="96">
        <v>672</v>
      </c>
      <c r="F45" s="75"/>
      <c r="G45" s="75"/>
      <c r="H45" s="75"/>
      <c r="I45" s="75"/>
    </row>
    <row customHeight="1" ht="14.25">
      <c r="A46" s="75"/>
      <c r="B46" s="75"/>
      <c r="C46" s="75"/>
      <c r="D46" s="75"/>
      <c r="E46" s="96">
        <v>7384</v>
      </c>
      <c r="F46" s="75"/>
      <c r="G46" s="75"/>
      <c r="H46" s="75"/>
      <c r="I46" s="75"/>
    </row>
    <row customHeight="1" ht="14.25">
      <c r="A47" s="75"/>
      <c r="B47" s="75"/>
      <c r="C47" s="75"/>
      <c r="D47" s="75"/>
      <c r="E47" s="96">
        <v>31905</v>
      </c>
      <c r="F47" s="75"/>
      <c r="G47" s="75"/>
      <c r="H47" s="75"/>
      <c r="I47" s="75"/>
    </row>
    <row customHeight="1" ht="14.25">
      <c r="A48" s="75"/>
      <c r="B48" s="75"/>
      <c r="C48" s="75"/>
      <c r="D48" s="75"/>
      <c r="E48" s="96">
        <v>0</v>
      </c>
      <c r="F48" s="75"/>
      <c r="G48" s="75"/>
      <c r="H48" s="75"/>
      <c r="I48" s="75"/>
    </row>
    <row customHeight="1" ht="14.25">
      <c r="A49" s="75"/>
      <c r="B49" s="75"/>
      <c r="C49" s="75"/>
      <c r="D49" s="75"/>
      <c r="E49" s="96"/>
      <c r="F49" s="75"/>
      <c r="G49" s="75"/>
      <c r="H49" s="75"/>
      <c r="I49" s="75"/>
    </row>
    <row customHeight="1" ht="14.25">
      <c r="A50" s="75"/>
      <c r="B50" s="75"/>
      <c r="C50" s="75"/>
      <c r="D50" s="75"/>
      <c r="E50" s="96">
        <v>18754</v>
      </c>
      <c r="F50" s="75"/>
      <c r="G50" s="75"/>
      <c r="H50" s="75"/>
      <c r="I50" s="75"/>
    </row>
    <row customHeight="1" ht="14.25">
      <c r="A51" s="75"/>
      <c r="B51" s="75"/>
      <c r="C51" s="75"/>
      <c r="D51" s="75"/>
      <c r="E51" s="96">
        <v>17726</v>
      </c>
      <c r="F51" s="75"/>
      <c r="G51" s="75"/>
      <c r="H51" s="75"/>
      <c r="I51" s="75"/>
    </row>
    <row customHeight="1" ht="14.25">
      <c r="A52" s="75"/>
      <c r="B52" s="75"/>
      <c r="C52" s="75"/>
      <c r="D52" s="75"/>
      <c r="E52" s="96">
        <v>0</v>
      </c>
      <c r="F52" s="75"/>
      <c r="G52" s="75"/>
      <c r="H52" s="75"/>
      <c r="I52" s="75"/>
    </row>
    <row customHeight="1" ht="14.25">
      <c r="A53" s="75"/>
      <c r="B53" s="75"/>
      <c r="C53" s="75"/>
      <c r="D53" s="75"/>
      <c r="E53" s="96">
        <v>363.94</v>
      </c>
      <c r="F53" s="75"/>
      <c r="G53" s="75"/>
      <c r="H53" s="75"/>
      <c r="I53" s="75"/>
    </row>
    <row customHeight="1" ht="14.25">
      <c r="A54" s="75"/>
      <c r="B54" s="75"/>
      <c r="C54" s="75"/>
      <c r="D54" s="75"/>
      <c r="E54" s="96">
        <v>63.58</v>
      </c>
      <c r="F54" s="75"/>
      <c r="G54" s="75"/>
      <c r="H54" s="75"/>
      <c r="I54" s="75"/>
    </row>
    <row customHeight="1" ht="14.25">
      <c r="A55" s="75"/>
      <c r="B55" s="75"/>
      <c r="C55" s="75"/>
      <c r="D55" s="75"/>
      <c r="E55" s="96">
        <v>6.48</v>
      </c>
      <c r="F55" s="75"/>
      <c r="G55" s="75"/>
      <c r="H55" s="75"/>
      <c r="I55" s="75"/>
    </row>
    <row customHeight="1" ht="14.25">
      <c r="A56" s="75"/>
      <c r="B56" s="75"/>
      <c r="C56" s="75"/>
      <c r="D56" s="75"/>
      <c r="E56" s="96">
        <v>0</v>
      </c>
      <c r="F56" s="75"/>
      <c r="G56" s="75"/>
      <c r="H56" s="75"/>
      <c r="I56" s="75"/>
    </row>
    <row customHeight="1" ht="14.25">
      <c r="A57" s="75"/>
      <c r="B57" s="75"/>
      <c r="C57" s="75"/>
      <c r="D57" s="75"/>
      <c r="E57" s="96">
        <v>0</v>
      </c>
      <c r="F57" s="75"/>
      <c r="G57" s="75"/>
      <c r="H57" s="75"/>
      <c r="I57" s="75"/>
    </row>
    <row customHeight="1" ht="14.25">
      <c r="A58" s="75"/>
      <c r="B58" s="75"/>
      <c r="C58" s="75"/>
      <c r="D58" s="75"/>
      <c r="E58" s="96">
        <v>440</v>
      </c>
      <c r="F58" s="75"/>
      <c r="G58" s="75"/>
      <c r="H58" s="75"/>
      <c r="I58" s="75"/>
    </row>
    <row customHeight="1" ht="14.25">
      <c r="A59" s="75"/>
      <c r="B59" s="75"/>
      <c r="C59" s="75"/>
      <c r="D59" s="75"/>
      <c r="E59" s="96"/>
      <c r="F59" s="75"/>
      <c r="G59" s="75"/>
      <c r="H59" s="75"/>
      <c r="I59" s="75"/>
    </row>
    <row customHeight="1" ht="14.25">
      <c r="A60" s="75"/>
      <c r="B60" s="75"/>
      <c r="C60" s="75"/>
      <c r="D60" s="75"/>
      <c r="E60" s="94">
        <v>35044</v>
      </c>
      <c r="F60" s="75"/>
      <c r="G60" s="75"/>
      <c r="H60" s="75"/>
      <c r="I60" s="75"/>
    </row>
    <row customHeight="1" ht="14.25">
      <c r="A61" s="75"/>
      <c r="B61" s="75"/>
      <c r="C61" s="75"/>
      <c r="D61" s="75"/>
      <c r="E61" s="96">
        <v>32760</v>
      </c>
      <c r="F61" s="75"/>
      <c r="G61" s="75"/>
      <c r="H61" s="75"/>
      <c r="I61" s="75"/>
    </row>
    <row customHeight="1" ht="14.25">
      <c r="A62" s="75"/>
      <c r="B62" s="75"/>
      <c r="C62" s="75"/>
      <c r="D62" s="75"/>
      <c r="E62" s="96">
        <v>2284</v>
      </c>
      <c r="F62" s="75"/>
      <c r="G62" s="75"/>
      <c r="H62" s="75"/>
      <c r="I62" s="75"/>
    </row>
    <row customHeight="1" ht="14.25">
      <c r="A63" s="75"/>
      <c r="B63" s="75"/>
      <c r="C63" s="75"/>
      <c r="D63" s="75"/>
      <c r="E63" s="96">
        <v>6224</v>
      </c>
      <c r="F63" s="75"/>
      <c r="G63" s="75"/>
      <c r="H63" s="75"/>
      <c r="I63" s="75"/>
    </row>
    <row customHeight="1" ht="14.25">
      <c r="A64" s="75"/>
      <c r="B64" s="75"/>
      <c r="C64" s="75"/>
      <c r="D64" s="75"/>
      <c r="E64" s="96">
        <v>28661</v>
      </c>
      <c r="F64" s="75"/>
      <c r="G64" s="75"/>
      <c r="H64" s="75"/>
      <c r="I64" s="75"/>
    </row>
    <row customHeight="1" ht="14.25">
      <c r="A65" s="75"/>
      <c r="B65" s="75"/>
      <c r="C65" s="75"/>
      <c r="D65" s="75"/>
      <c r="E65" s="96">
        <v>0</v>
      </c>
      <c r="F65" s="75"/>
      <c r="G65" s="75"/>
      <c r="H65" s="75"/>
      <c r="I65" s="75"/>
    </row>
    <row customHeight="1" ht="14.25">
      <c r="A66" s="75"/>
      <c r="B66" s="75"/>
      <c r="C66" s="75"/>
      <c r="D66" s="75"/>
      <c r="E66" s="96"/>
      <c r="F66" s="75"/>
      <c r="G66" s="75"/>
      <c r="H66" s="75"/>
      <c r="I66" s="75"/>
    </row>
    <row customHeight="1" ht="14.25">
      <c r="A67" s="75"/>
      <c r="B67" s="75"/>
      <c r="C67" s="75"/>
      <c r="D67" s="75"/>
      <c r="E67" s="96">
        <v>0</v>
      </c>
      <c r="F67" s="75"/>
      <c r="G67" s="75"/>
      <c r="H67" s="75"/>
      <c r="I67" s="75"/>
    </row>
    <row customHeight="1" ht="14.25">
      <c r="A68" s="75"/>
      <c r="B68" s="75"/>
      <c r="C68" s="75"/>
      <c r="D68" s="75"/>
      <c r="E68" s="96">
        <v>0</v>
      </c>
      <c r="F68" s="75"/>
      <c r="G68" s="75"/>
      <c r="H68" s="75"/>
      <c r="I68" s="75"/>
    </row>
    <row customHeight="1" ht="14.25">
      <c r="A69" s="75"/>
      <c r="B69" s="75"/>
      <c r="C69" s="75"/>
      <c r="D69" s="75"/>
      <c r="E69" s="96">
        <v>0</v>
      </c>
      <c r="F69" s="75"/>
      <c r="G69" s="75"/>
      <c r="H69" s="75"/>
      <c r="I69" s="75"/>
    </row>
    <row customHeight="1" ht="14.25">
      <c r="A70" s="75"/>
      <c r="B70" s="75"/>
      <c r="C70" s="75"/>
      <c r="D70" s="75"/>
      <c r="E70" s="96">
        <v>0</v>
      </c>
      <c r="F70" s="75"/>
      <c r="G70" s="75"/>
      <c r="H70" s="75"/>
      <c r="I70" s="75"/>
    </row>
    <row customHeight="1" ht="14.25">
      <c r="A71" s="75"/>
      <c r="B71" s="75"/>
      <c r="C71" s="75"/>
      <c r="D71" s="75"/>
      <c r="E71" s="96">
        <v>0</v>
      </c>
      <c r="F71" s="75"/>
      <c r="G71" s="75"/>
      <c r="H71" s="75"/>
      <c r="I71" s="75"/>
    </row>
    <row customHeight="1" ht="14.25">
      <c r="A72" s="75"/>
      <c r="B72" s="75"/>
      <c r="C72" s="75"/>
      <c r="D72" s="75"/>
      <c r="E72" s="96">
        <v>0</v>
      </c>
      <c r="F72" s="75"/>
      <c r="G72" s="75"/>
      <c r="H72" s="75"/>
      <c r="I72" s="75"/>
    </row>
    <row customHeight="1" ht="14.25">
      <c r="A73" s="75"/>
      <c r="B73" s="75"/>
      <c r="C73" s="75"/>
      <c r="D73" s="75"/>
      <c r="E73" s="96"/>
      <c r="F73" s="75"/>
      <c r="G73" s="75"/>
      <c r="H73" s="75"/>
      <c r="I73" s="75"/>
    </row>
    <row customHeight="1" ht="14.100000000000001">
      <c r="A74" s="75"/>
      <c r="B74" s="75"/>
      <c r="C74" s="75"/>
      <c r="D74" s="75"/>
      <c r="E74" s="75"/>
      <c r="F74" s="75"/>
      <c r="G74" s="75"/>
      <c r="H74" s="75"/>
      <c r="I74" s="75"/>
    </row>
    <row customHeight="1" ht="14.100000000000001">
      <c r="A75" s="75"/>
      <c r="B75" s="75"/>
      <c r="C75" s="75"/>
      <c r="D75" s="75"/>
      <c r="E75" s="75"/>
      <c r="F75" s="75"/>
      <c r="G75" s="75"/>
      <c r="H75" s="75"/>
      <c r="I75" s="75"/>
    </row>
    <row customHeight="1" ht="14.25">
      <c r="A76" s="107" t="s">
        <v>53</v>
      </c>
      <c r="B76" s="75"/>
      <c r="C76" s="75"/>
      <c r="D76" s="75"/>
      <c r="E76" s="75"/>
      <c r="F76" s="75"/>
      <c r="G76" s="75"/>
      <c r="H76" s="75"/>
      <c r="I76" s="75"/>
    </row>
    <row customHeight="1" ht="14.25">
      <c r="A77" s="107" t="s">
        <v>55</v>
      </c>
      <c r="B77" s="75"/>
      <c r="C77" s="75"/>
      <c r="D77" s="75"/>
      <c r="E77" s="75"/>
      <c r="F77" s="75"/>
      <c r="G77" s="75"/>
      <c r="H77" s="75"/>
      <c r="I77" s="75"/>
    </row>
    <row customHeight="1" ht="14.25">
      <c r="A78" s="107" t="s">
        <v>57</v>
      </c>
      <c r="B78" s="75"/>
      <c r="C78" s="75"/>
      <c r="D78" s="75"/>
      <c r="E78" s="75"/>
      <c r="F78" s="75"/>
      <c r="G78" s="75"/>
      <c r="H78" s="75"/>
      <c r="I78" s="75"/>
    </row>
    <row customHeight="1" ht="14.100000000000001">
      <c r="A79" s="75"/>
      <c r="B79" s="75"/>
      <c r="C79" s="75"/>
      <c r="D79" s="75"/>
      <c r="E79" s="75"/>
      <c r="F79" s="75"/>
      <c r="G79" s="75"/>
      <c r="H79" s="75"/>
      <c r="I79" s="75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延安石化厂装置生产完成情况（3-2）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2024-01-07T08:29:12Z</dcterms:modified>
</cp:coreProperties>
</file>