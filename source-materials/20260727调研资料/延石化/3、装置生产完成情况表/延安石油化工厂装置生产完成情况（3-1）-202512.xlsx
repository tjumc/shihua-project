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880"/>
  </bookViews>
  <sheets>
    <sheet name="延安石化厂装置生产完成情况（3-1）" sheetId="1" r:id="rId1"/>
    <sheet name="取值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E6" authorId="0">
      <text>
        <r>
          <rPr>
            <sz val="9"/>
            <rFont val="Arial"/>
            <charset val="134"/>
          </rPr>
          <t>#Input("延安石油化工厂_生产_装置生产完成情况1_重整装置_原料处理量",":key{{dw}}")</t>
        </r>
      </text>
    </comment>
    <comment ref="E7" authorId="0">
      <text>
        <r>
          <rPr>
            <sz val="9"/>
            <rFont val="Arial"/>
            <charset val="134"/>
          </rPr>
          <t>#Input("延安石油化工厂_生产_装置生产完成情况1_重整装置_石脑油",":key{{dw}}")</t>
        </r>
      </text>
    </comment>
    <comment ref="E8" authorId="0">
      <text>
        <r>
          <rPr>
            <sz val="9"/>
            <rFont val="Arial"/>
            <charset val="134"/>
          </rPr>
          <t>#Input("延安石油化工厂_生产_装置生产完成情况1_重整装置_引精制油",":key{{dw}}")</t>
        </r>
      </text>
    </comment>
    <comment ref="E9" authorId="0">
      <text>
        <r>
          <rPr>
            <sz val="9"/>
            <rFont val="Arial"/>
            <charset val="134"/>
          </rPr>
          <t>#Input("延安石油化工厂_生产_装置生产完成情况1_重整装置_液化气",":key{{dw}}")</t>
        </r>
      </text>
    </comment>
    <comment ref="E10" authorId="0">
      <text>
        <r>
          <rPr>
            <sz val="9"/>
            <rFont val="Arial"/>
            <charset val="134"/>
          </rPr>
          <t>#Input("延安石油化工厂_生产_装置生产完成情况1_重整装置_重整汽油",":key{{dw}}")</t>
        </r>
      </text>
    </comment>
    <comment ref="E11" authorId="0">
      <text>
        <r>
          <rPr>
            <sz val="9"/>
            <rFont val="Arial"/>
            <charset val="134"/>
          </rPr>
          <t>#Input("延安石油化工厂_生产_装置生产完成情况1_重整装置_重整轻汽油",":key{{dw}}")</t>
        </r>
      </text>
    </comment>
    <comment ref="E12" authorId="0">
      <text>
        <r>
          <rPr>
            <sz val="9"/>
            <rFont val="Arial"/>
            <charset val="134"/>
          </rPr>
          <t>#Input("延安石油化工厂_生产_装置生产完成情况1_重整装置_精制油",":key{{dw}}")</t>
        </r>
      </text>
    </comment>
    <comment ref="E13" authorId="0">
      <text>
        <r>
          <rPr>
            <sz val="9"/>
            <rFont val="Arial"/>
            <charset val="134"/>
          </rPr>
          <t>#Input("延安石油化工厂_生产_装置生产完成情况1_重整装置_C6馏分",":key{{dw}}")</t>
        </r>
      </text>
    </comment>
    <comment ref="E14" authorId="0">
      <text>
        <r>
          <rPr>
            <sz val="9"/>
            <rFont val="Arial"/>
            <charset val="134"/>
          </rPr>
          <t>#Input("延安石油化工厂_生产_装置生产完成情况1_重整装置_含氢气体",":key{{dw}}")</t>
        </r>
      </text>
    </comment>
    <comment ref="E15" authorId="0">
      <text>
        <r>
          <rPr>
            <sz val="9"/>
            <rFont val="Arial"/>
            <charset val="134"/>
          </rPr>
          <t>#Input("延安石油化工厂_生产_装置生产完成情况1_重整装置_含硫燃料气",":key{{dw}}")</t>
        </r>
      </text>
    </comment>
    <comment ref="E16" authorId="0">
      <text>
        <r>
          <rPr>
            <sz val="9"/>
            <rFont val="Arial"/>
            <charset val="134"/>
          </rPr>
          <t>#Input("延安石油化工厂_生产_装置生产完成情况1_重整装置_燃料气",":key{{dw}}")</t>
        </r>
      </text>
    </comment>
    <comment ref="E17" authorId="0">
      <text>
        <r>
          <rPr>
            <sz val="9"/>
            <rFont val="Arial"/>
            <charset val="134"/>
          </rPr>
          <t>#Input("延安石油化工厂_生产_装置生产完成情况1_重整装置_不合格汽油",":key{{dw}}")</t>
        </r>
      </text>
    </comment>
    <comment ref="E18" authorId="0">
      <text>
        <r>
          <rPr>
            <b/>
            <sz val="9"/>
            <rFont val="宋体"/>
            <charset val="134"/>
          </rPr>
          <t>#Input("延安石油化工厂_生产_装置生产完成情况1_重整装置_污油",":key{{dw}}")</t>
        </r>
      </text>
    </comment>
    <comment ref="E20" authorId="0">
      <text>
        <r>
          <rPr>
            <sz val="9"/>
            <rFont val="Arial"/>
            <charset val="134"/>
          </rPr>
          <t>#Input("延安石油化工厂_生产_装置生产完成情况1_140柴油加氢装置_原料处理量",":key{{dw}}")</t>
        </r>
      </text>
    </comment>
    <comment ref="E21" authorId="0">
      <text>
        <r>
          <rPr>
            <sz val="9"/>
            <rFont val="Arial"/>
            <charset val="134"/>
          </rPr>
          <t>#Input("延安石油化工厂_生产_装置生产完成情况1_140柴油加氢装置_催化柴油",":key{{dw}}")</t>
        </r>
      </text>
    </comment>
    <comment ref="E22" authorId="0">
      <text>
        <r>
          <rPr>
            <sz val="9"/>
            <rFont val="Arial"/>
            <charset val="134"/>
          </rPr>
          <t>#Input("延安石油化工厂_生产_装置生产完成情况1_140柴油加氢装置_氢气",":key{{dw}}")</t>
        </r>
      </text>
    </comment>
    <comment ref="E23" authorId="0">
      <text>
        <r>
          <rPr>
            <sz val="9"/>
            <rFont val="Arial"/>
            <charset val="134"/>
          </rPr>
          <t>#Input("延安石油化工厂_生产_装置生产完成情况1_140柴油加氢装置_轻烃",":key{{dw}}")</t>
        </r>
      </text>
    </comment>
    <comment ref="E24" authorId="0">
      <text>
        <r>
          <rPr>
            <sz val="9"/>
            <rFont val="Arial"/>
            <charset val="134"/>
          </rPr>
          <t>#Input("延安石油化工厂_生产_装置生产完成情况1_140柴油加氢装置_柴油",":key{{dw}}")</t>
        </r>
      </text>
    </comment>
    <comment ref="E25" authorId="0">
      <text>
        <r>
          <rPr>
            <sz val="9"/>
            <rFont val="Arial"/>
            <charset val="134"/>
          </rPr>
          <t>#Input("延安石油化工厂_生产_装置生产完成情况1_140柴油加氢装置_粗汽油",":key{{dw}}")</t>
        </r>
      </text>
    </comment>
    <comment ref="E26" authorId="0">
      <text>
        <r>
          <rPr>
            <sz val="9"/>
            <rFont val="Arial"/>
            <charset val="134"/>
          </rPr>
          <t>#Input("延安石油化工厂_生产_装置生产完成情况1_140柴油加氢装置_液化气",":key{{dw}}")</t>
        </r>
      </text>
    </comment>
    <comment ref="E27" authorId="0">
      <text>
        <r>
          <rPr>
            <sz val="9"/>
            <rFont val="Arial"/>
            <charset val="134"/>
          </rPr>
          <t>#Input("延安石油化工厂_生产_装置生产完成情况1_140柴油加氢装置_高、低气分",":key{{dw}}")</t>
        </r>
      </text>
    </comment>
    <comment ref="E28" authorId="0">
      <text>
        <r>
          <rPr>
            <sz val="9"/>
            <rFont val="Arial"/>
            <charset val="134"/>
          </rPr>
          <t>#Input("延安石油化工厂_生产_装置生产完成情况1_140柴油加氢装置_干气",":key{{dw}}")</t>
        </r>
      </text>
    </comment>
    <comment ref="E29" authorId="0">
      <text>
        <r>
          <rPr>
            <sz val="9"/>
            <rFont val="Arial"/>
            <charset val="134"/>
          </rPr>
          <t>#Input("延安石油化工厂_生产_装置生产完成情况1_140柴油加氢装置_不合格柴油",":key{{dw}}")</t>
        </r>
      </text>
    </comment>
    <comment ref="E30" authorId="0">
      <text>
        <r>
          <rPr>
            <sz val="9"/>
            <rFont val="Arial"/>
            <charset val="134"/>
          </rPr>
          <t>#Input("延安石油化工厂_生产_装置生产完成情况1_140柴油加氢装置_反冲洗污油",":key{{dw}}")</t>
        </r>
      </text>
    </comment>
    <comment ref="E32" authorId="0">
      <text>
        <r>
          <rPr>
            <sz val="9"/>
            <rFont val="Arial"/>
            <charset val="134"/>
          </rPr>
          <t>#Input("延安石油化工厂_生产_装置生产完成情况1_20；苯抽提装置_原料处理量",":key{{dw}}")</t>
        </r>
      </text>
    </comment>
    <comment ref="E33" authorId="0">
      <text>
        <r>
          <rPr>
            <sz val="9"/>
            <rFont val="Arial"/>
            <charset val="134"/>
          </rPr>
          <t>#Input("延安石油化工厂_生产_装置生产完成情况1_20；苯抽提装置_苯",":key{{dw}}")</t>
        </r>
      </text>
    </comment>
    <comment ref="E34" authorId="0">
      <text>
        <r>
          <rPr>
            <sz val="9"/>
            <rFont val="Arial"/>
            <charset val="134"/>
          </rPr>
          <t>#Input("延安石油化工厂_生产_装置生产完成情况1_20；苯抽提装置_非芳烃",":key{{dw}}")</t>
        </r>
      </text>
    </comment>
    <comment ref="E35" authorId="0">
      <text>
        <r>
          <rPr>
            <sz val="9"/>
            <rFont val="Arial"/>
            <charset val="134"/>
          </rPr>
          <t>#Input("延安石油化工厂_生产_装置生产完成情况1_20；苯抽提装置_重组分",":key{{dw}}")</t>
        </r>
      </text>
    </comment>
    <comment ref="E36" authorId="0">
      <text>
        <r>
          <rPr>
            <sz val="9"/>
            <rFont val="Arial"/>
            <charset val="134"/>
          </rPr>
          <t>#Input("延安石油化工厂_生产_装置生产完成情况1_20；苯抽提装置_不合格苯",":key{{dw}}")</t>
        </r>
      </text>
    </comment>
    <comment ref="D39" authorId="0">
      <text>
        <r>
          <rPr>
            <b/>
            <sz val="9"/>
            <rFont val="宋体"/>
            <charset val="134"/>
          </rPr>
          <t>#Input("延安石油化工厂_生产_装置生产完成情况_主管领导",":key{{dw}}")</t>
        </r>
      </text>
    </comment>
    <comment ref="G39" authorId="0">
      <text>
        <r>
          <rPr>
            <b/>
            <sz val="9"/>
            <rFont val="宋体"/>
            <charset val="134"/>
          </rPr>
          <t>#Input("延安石油化工厂_生产_装置生产完成情况_单位负责人",":key{{dw}}")</t>
        </r>
      </text>
    </comment>
    <comment ref="J39" authorId="0">
      <text>
        <r>
          <rPr>
            <b/>
            <sz val="9"/>
            <rFont val="宋体"/>
            <charset val="134"/>
          </rPr>
          <t>#Input("延安石油化工厂_生产_装置生产完成情况_填报人",":key{{dw}}")</t>
        </r>
      </text>
    </comment>
  </commentList>
</comments>
</file>

<file path=xl/sharedStrings.xml><?xml version="1.0" encoding="utf-8"?>
<sst xmlns="http://schemas.openxmlformats.org/spreadsheetml/2006/main" count="91" uniqueCount="58">
  <si>
    <t>延安石化厂装置生产完成情况（3-1）</t>
  </si>
  <si>
    <t>编制单位：延安石油化工厂</t>
  </si>
  <si>
    <t>日期：</t>
  </si>
  <si>
    <t>2025-12</t>
  </si>
  <si>
    <t>附表3-1</t>
  </si>
  <si>
    <t>单位名称</t>
  </si>
  <si>
    <t>装置名称</t>
  </si>
  <si>
    <t>指标名称</t>
  </si>
  <si>
    <t>产量（吨）</t>
  </si>
  <si>
    <t>收率（%）</t>
  </si>
  <si>
    <t>去年同期</t>
  </si>
  <si>
    <t>备注</t>
  </si>
  <si>
    <t>本月</t>
  </si>
  <si>
    <t>累计</t>
  </si>
  <si>
    <t>产量</t>
  </si>
  <si>
    <t>收率</t>
  </si>
  <si>
    <t>联
合
一
车
间</t>
  </si>
  <si>
    <t xml:space="preserve"> 120
万
吨/
年
重
整</t>
  </si>
  <si>
    <t xml:space="preserve"> 原料处理量</t>
  </si>
  <si>
    <t>/</t>
  </si>
  <si>
    <t xml:space="preserve"> 其中：石脑油</t>
  </si>
  <si>
    <t xml:space="preserve">      引精制油</t>
  </si>
  <si>
    <t xml:space="preserve"> 液化气</t>
  </si>
  <si>
    <t xml:space="preserve"> 重整汽油</t>
  </si>
  <si>
    <t xml:space="preserve"> 重整轻汽油</t>
  </si>
  <si>
    <t xml:space="preserve"> 精制油</t>
  </si>
  <si>
    <t xml:space="preserve"> C6馏分</t>
  </si>
  <si>
    <t xml:space="preserve"> 含氢气体</t>
  </si>
  <si>
    <t xml:space="preserve"> 含硫燃料气</t>
  </si>
  <si>
    <t xml:space="preserve"> 燃料气</t>
  </si>
  <si>
    <t xml:space="preserve"> 不合格汽油</t>
  </si>
  <si>
    <t xml:space="preserve"> 污油</t>
  </si>
  <si>
    <t xml:space="preserve"> 加工损失</t>
  </si>
  <si>
    <t xml:space="preserve"> 140
万
吨/
年
加
氢</t>
  </si>
  <si>
    <t xml:space="preserve"> 其中：催化柴油</t>
  </si>
  <si>
    <t xml:space="preserve">      氢气</t>
  </si>
  <si>
    <t xml:space="preserve">      轻烃</t>
  </si>
  <si>
    <t xml:space="preserve"> 柴油</t>
  </si>
  <si>
    <t xml:space="preserve"> 粗汽油</t>
  </si>
  <si>
    <t xml:space="preserve"> 高、低气分</t>
  </si>
  <si>
    <t xml:space="preserve"> 干气</t>
  </si>
  <si>
    <t xml:space="preserve"> 不合格柴油</t>
  </si>
  <si>
    <t xml:space="preserve"> 反冲洗污油</t>
  </si>
  <si>
    <t xml:space="preserve"> 20
万
吨/
年
苯
抽
提</t>
  </si>
  <si>
    <t xml:space="preserve"> 苯</t>
  </si>
  <si>
    <t xml:space="preserve"> 非芳烃</t>
  </si>
  <si>
    <t xml:space="preserve"> 重组分</t>
  </si>
  <si>
    <t xml:space="preserve"> 不合格苯</t>
  </si>
  <si>
    <t>备注：</t>
  </si>
  <si>
    <t>主管领导：</t>
  </si>
  <si>
    <t>陈张友</t>
  </si>
  <si>
    <t>单位负责人：</t>
  </si>
  <si>
    <t>温铜川</t>
  </si>
  <si>
    <t>填报人：</t>
  </si>
  <si>
    <t>李洛娟</t>
  </si>
  <si>
    <t>报表生成时间：</t>
  </si>
  <si>
    <t>2026-01-01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</si>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</sst>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0_ "/>
    <numFmt numFmtId="181" formatCode="0.00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indexed="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9"/>
      <name val="宋体"/>
      <charset val="134"/>
    </font>
    <font>
      <sz val="9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theme="4" tint="0.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4" fillId="0" borderId="0" applyFont="0" applyFill="0" applyBorder="0">
      <alignment vertical="top"/>
    </xf>
    <xf numFmtId="177" fontId="4" fillId="0" borderId="0" applyFont="0" applyFill="0" applyBorder="0">
      <alignment vertical="top"/>
    </xf>
    <xf numFmtId="9" fontId="4" fillId="0" borderId="0" applyFont="0" applyFill="0" applyBorder="0">
      <alignment vertical="top"/>
    </xf>
    <xf numFmtId="178" fontId="4" fillId="0" borderId="0" applyFont="0" applyFill="0" applyBorder="0">
      <alignment vertical="top"/>
    </xf>
    <xf numFmtId="179" fontId="4" fillId="0" borderId="0" applyFont="0" applyFill="0" applyBorder="0">
      <alignment vertical="top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7" applyFont="0">
      <alignment vertical="top"/>
    </xf>
    <xf numFmtId="0" fontId="7" fillId="0" borderId="0" applyFill="0" applyBorder="0">
      <alignment vertical="top"/>
    </xf>
    <xf numFmtId="0" fontId="8" fillId="0" borderId="0" applyFill="0" applyBorder="0">
      <alignment vertical="top"/>
    </xf>
    <xf numFmtId="0" fontId="9" fillId="0" borderId="0" applyFill="0" applyBorder="0">
      <alignment vertical="top"/>
    </xf>
    <xf numFmtId="0" fontId="10" fillId="0" borderId="8" applyFill="0">
      <alignment vertical="top"/>
    </xf>
    <xf numFmtId="0" fontId="11" fillId="0" borderId="9" applyFill="0">
      <alignment vertical="top"/>
    </xf>
    <xf numFmtId="0" fontId="12" fillId="0" borderId="10" applyFill="0">
      <alignment vertical="top"/>
    </xf>
    <xf numFmtId="0" fontId="12" fillId="0" borderId="0" applyFill="0" applyBorder="0">
      <alignment vertical="top"/>
    </xf>
    <xf numFmtId="0" fontId="13" fillId="5" borderId="11">
      <alignment vertical="top"/>
    </xf>
    <xf numFmtId="0" fontId="14" fillId="6" borderId="12">
      <alignment vertical="top"/>
    </xf>
    <xf numFmtId="0" fontId="15" fillId="6" borderId="11">
      <alignment vertical="top"/>
    </xf>
    <xf numFmtId="0" fontId="16" fillId="7" borderId="13">
      <alignment vertical="top"/>
    </xf>
    <xf numFmtId="0" fontId="17" fillId="0" borderId="14" applyFill="0">
      <alignment vertical="top"/>
    </xf>
    <xf numFmtId="0" fontId="3" fillId="0" borderId="15" applyFill="0">
      <alignment vertical="top"/>
    </xf>
    <xf numFmtId="0" fontId="18" fillId="8" borderId="0" applyBorder="0">
      <alignment vertical="top"/>
    </xf>
    <xf numFmtId="0" fontId="19" fillId="9" borderId="0" applyBorder="0">
      <alignment vertical="top"/>
    </xf>
    <xf numFmtId="0" fontId="20" fillId="10" borderId="0" applyBorder="0">
      <alignment vertical="top"/>
    </xf>
    <xf numFmtId="0" fontId="21" fillId="11" borderId="0" applyBorder="0">
      <alignment vertical="top"/>
    </xf>
    <xf numFmtId="0" fontId="0" fillId="12" borderId="0" applyBorder="0">
      <alignment vertical="top"/>
    </xf>
    <xf numFmtId="0" fontId="0" fillId="13" borderId="0" applyBorder="0">
      <alignment vertical="top"/>
    </xf>
    <xf numFmtId="0" fontId="21" fillId="14" borderId="0" applyBorder="0">
      <alignment vertical="top"/>
    </xf>
    <xf numFmtId="0" fontId="21" fillId="15" borderId="0" applyBorder="0">
      <alignment vertical="top"/>
    </xf>
    <xf numFmtId="0" fontId="0" fillId="16" borderId="0" applyBorder="0">
      <alignment vertical="top"/>
    </xf>
    <xf numFmtId="0" fontId="0" fillId="17" borderId="0" applyBorder="0">
      <alignment vertical="top"/>
    </xf>
    <xf numFmtId="0" fontId="21" fillId="18" borderId="0" applyBorder="0">
      <alignment vertical="top"/>
    </xf>
    <xf numFmtId="0" fontId="21" fillId="19" borderId="0" applyBorder="0">
      <alignment vertical="top"/>
    </xf>
    <xf numFmtId="0" fontId="0" fillId="20" borderId="0" applyBorder="0">
      <alignment vertical="top"/>
    </xf>
    <xf numFmtId="0" fontId="0" fillId="21" borderId="0" applyBorder="0">
      <alignment vertical="top"/>
    </xf>
    <xf numFmtId="0" fontId="21" fillId="22" borderId="0" applyBorder="0">
      <alignment vertical="top"/>
    </xf>
    <xf numFmtId="0" fontId="21" fillId="23" borderId="0" applyBorder="0">
      <alignment vertical="top"/>
    </xf>
    <xf numFmtId="0" fontId="0" fillId="24" borderId="0" applyBorder="0">
      <alignment vertical="top"/>
    </xf>
    <xf numFmtId="0" fontId="0" fillId="25" borderId="0" applyBorder="0">
      <alignment vertical="top"/>
    </xf>
    <xf numFmtId="0" fontId="21" fillId="26" borderId="0" applyBorder="0">
      <alignment vertical="top"/>
    </xf>
    <xf numFmtId="0" fontId="21" fillId="27" borderId="0" applyBorder="0">
      <alignment vertical="top"/>
    </xf>
    <xf numFmtId="0" fontId="0" fillId="28" borderId="0" applyBorder="0">
      <alignment vertical="top"/>
    </xf>
    <xf numFmtId="0" fontId="0" fillId="29" borderId="0" applyBorder="0">
      <alignment vertical="top"/>
    </xf>
    <xf numFmtId="0" fontId="21" fillId="30" borderId="0" applyBorder="0">
      <alignment vertical="top"/>
    </xf>
    <xf numFmtId="0" fontId="21" fillId="31" borderId="0" applyBorder="0">
      <alignment vertical="top"/>
    </xf>
    <xf numFmtId="0" fontId="0" fillId="32" borderId="0" applyBorder="0">
      <alignment vertical="top"/>
    </xf>
    <xf numFmtId="0" fontId="0" fillId="33" borderId="0" applyBorder="0">
      <alignment vertical="top"/>
    </xf>
    <xf numFmtId="0" fontId="21" fillId="34" borderId="0" applyBorder="0">
      <alignment vertical="top"/>
    </xf>
  </cellStyleXfs>
  <cellXfs count="21"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wrapText="1"/>
    </xf>
    <xf numFmtId="180" fontId="0" fillId="0" borderId="1" xfId="0" applyNumberFormat="1" applyFont="1" applyBorder="1" applyAlignment="1">
      <alignment horizontal="left" vertical="center" wrapText="1"/>
    </xf>
    <xf numFmtId="0" fontId="0" fillId="2" borderId="0" xfId="0" applyFont="1" applyFill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right" vertical="center" wrapText="1"/>
    </xf>
    <xf numFmtId="0" fontId="0" fillId="0" borderId="4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180" fontId="0" fillId="0" borderId="1" xfId="0" applyNumberFormat="1" applyFont="1" applyBorder="1" applyAlignment="1" applyProtection="1">
      <alignment horizontal="right" vertical="center" wrapText="1"/>
      <protection locked="0"/>
    </xf>
    <xf numFmtId="180" fontId="0" fillId="0" borderId="1" xfId="0" applyNumberFormat="1" applyFont="1" applyBorder="1" applyAlignment="1">
      <alignment horizontal="right" vertical="center" wrapText="1"/>
    </xf>
    <xf numFmtId="181" fontId="0" fillId="0" borderId="1" xfId="0" applyNumberFormat="1" applyFont="1" applyBorder="1" applyAlignment="1">
      <alignment vertical="center" wrapText="1"/>
    </xf>
    <xf numFmtId="181" fontId="0" fillId="0" borderId="1" xfId="0" applyNumberFormat="1" applyFont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right" vertical="center" wrapText="1"/>
    </xf>
    <xf numFmtId="0" fontId="3" fillId="0" borderId="0" xfId="0" applyFont="1" applyAlignment="1" applyProtection="1">
      <alignment horizontal="left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showGridLines="0" tabSelected="1" zoomScale="90" zoomScaleNormal="90" defaultGridColor="0" colorId="31" workbookViewId="0">
      <pane ySplit="5" topLeftCell="A6" activePane="bottomLeft" state="frozen"/>
      <selection/>
      <selection pane="bottomLeft" activeCell="A1" sqref="A1"/>
    </sheetView>
  </sheetViews>
  <sheetFormatPr defaultColWidth="9" defaultRowHeight="14.1" customHeight="1"/>
  <cols>
    <col min="1" max="1" width="2.71153846153846" customWidth="1"/>
    <col min="2" max="2" width="10.7115384615385" customWidth="1"/>
    <col min="3" max="3" width="14.0480769230769" customWidth="1"/>
    <col min="4" max="4" width="21.7115384615385" customWidth="1"/>
    <col min="5" max="10" width="15" customWidth="1"/>
  </cols>
  <sheetData>
    <row r="1" ht="2.25" customHeight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.5" customHeight="1" spans="1:12">
      <c r="A2" s="2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2"/>
    </row>
    <row r="3" ht="14.25" customHeight="1" spans="1:12">
      <c r="A3" s="2"/>
      <c r="B3" s="7" t="s">
        <v>1</v>
      </c>
      <c r="C3" s="8"/>
      <c r="D3" s="8"/>
      <c r="E3" s="9" t="s">
        <v>2</v>
      </c>
      <c r="F3" s="10" t="s">
        <v>3</v>
      </c>
      <c r="G3" s="9"/>
      <c r="H3" s="9" t="str">
        <f>取值!A1&amp;取值!B1&amp;取值!C1</f>
        <v>报表生成时间：2026-01-01 8:00:00</v>
      </c>
      <c r="I3" s="9"/>
      <c r="J3" s="9"/>
      <c r="K3" s="11" t="s">
        <v>4</v>
      </c>
      <c r="L3" s="2"/>
    </row>
    <row r="4" ht="14.25" customHeight="1" spans="1:12">
      <c r="A4" s="2"/>
      <c r="B4" s="12" t="s">
        <v>5</v>
      </c>
      <c r="C4" s="12" t="s">
        <v>6</v>
      </c>
      <c r="D4" s="12" t="s">
        <v>7</v>
      </c>
      <c r="E4" s="12" t="s">
        <v>8</v>
      </c>
      <c r="F4" s="12"/>
      <c r="G4" s="12" t="s">
        <v>9</v>
      </c>
      <c r="H4" s="12"/>
      <c r="I4" s="12" t="s">
        <v>10</v>
      </c>
      <c r="J4" s="12"/>
      <c r="K4" s="12" t="s">
        <v>11</v>
      </c>
      <c r="L4" s="2"/>
    </row>
    <row r="5" ht="14.25" customHeight="1" spans="1:12">
      <c r="A5" s="2"/>
      <c r="B5" s="13"/>
      <c r="C5" s="13"/>
      <c r="D5" s="13"/>
      <c r="E5" s="13" t="s">
        <v>12</v>
      </c>
      <c r="F5" s="13" t="s">
        <v>13</v>
      </c>
      <c r="G5" s="13" t="s">
        <v>12</v>
      </c>
      <c r="H5" s="13" t="s">
        <v>13</v>
      </c>
      <c r="I5" s="13" t="s">
        <v>14</v>
      </c>
      <c r="J5" s="13" t="s">
        <v>15</v>
      </c>
      <c r="K5" s="13"/>
      <c r="L5" s="2"/>
    </row>
    <row r="6" ht="18.75" customHeight="1" spans="1:12">
      <c r="A6" s="2"/>
      <c r="B6" s="13" t="s">
        <v>16</v>
      </c>
      <c r="C6" s="13" t="s">
        <v>17</v>
      </c>
      <c r="D6" s="14" t="s">
        <v>18</v>
      </c>
      <c r="E6" s="15">
        <v>128791</v>
      </c>
      <c r="F6" s="16">
        <f>取值!F6</f>
        <v>1493268</v>
      </c>
      <c r="G6" s="13" t="s">
        <v>19</v>
      </c>
      <c r="H6" s="13" t="s">
        <v>19</v>
      </c>
      <c r="I6" s="16">
        <f>取值!I6</f>
        <v>128893</v>
      </c>
      <c r="J6" s="13" t="s">
        <v>19</v>
      </c>
      <c r="K6" s="14"/>
      <c r="L6" s="2"/>
    </row>
    <row r="7" ht="18.75" customHeight="1" spans="1:12">
      <c r="A7" s="2"/>
      <c r="B7" s="13"/>
      <c r="C7" s="13"/>
      <c r="D7" s="14" t="s">
        <v>20</v>
      </c>
      <c r="E7" s="15">
        <v>128791</v>
      </c>
      <c r="F7" s="16">
        <f>IFERROR(F6-F8,0)</f>
        <v>1491491</v>
      </c>
      <c r="G7" s="13" t="s">
        <v>19</v>
      </c>
      <c r="H7" s="13" t="s">
        <v>19</v>
      </c>
      <c r="I7" s="16">
        <f>取值!I7</f>
        <v>128893</v>
      </c>
      <c r="J7" s="13" t="s">
        <v>19</v>
      </c>
      <c r="K7" s="14"/>
      <c r="L7" s="2"/>
    </row>
    <row r="8" ht="18.75" customHeight="1" spans="1:12">
      <c r="A8" s="2"/>
      <c r="B8" s="13"/>
      <c r="C8" s="13"/>
      <c r="D8" s="14" t="s">
        <v>21</v>
      </c>
      <c r="E8" s="15">
        <v>0</v>
      </c>
      <c r="F8" s="16">
        <f>取值!F10</f>
        <v>1777</v>
      </c>
      <c r="G8" s="13" t="s">
        <v>19</v>
      </c>
      <c r="H8" s="13" t="s">
        <v>19</v>
      </c>
      <c r="I8" s="16">
        <f>取值!I8</f>
        <v>0</v>
      </c>
      <c r="J8" s="13" t="s">
        <v>19</v>
      </c>
      <c r="K8" s="14"/>
      <c r="L8" s="2"/>
    </row>
    <row r="9" ht="18.75" customHeight="1" spans="1:12">
      <c r="A9" s="2"/>
      <c r="B9" s="13"/>
      <c r="C9" s="13"/>
      <c r="D9" s="14" t="s">
        <v>22</v>
      </c>
      <c r="E9" s="15">
        <v>6188</v>
      </c>
      <c r="F9" s="16">
        <f>取值!F13</f>
        <v>69265</v>
      </c>
      <c r="G9" s="17">
        <f>IFERROR(E9/E6*100,0)</f>
        <v>4.80468355708085</v>
      </c>
      <c r="H9" s="17">
        <f>IFERROR(F9/F6*100,0)</f>
        <v>4.63848418368304</v>
      </c>
      <c r="I9" s="16">
        <f>取值!I9</f>
        <v>6162</v>
      </c>
      <c r="J9" s="17">
        <f t="shared" ref="J9:J19" si="0">IFERROR(I9/I$6*100,0)</f>
        <v>4.78070958081509</v>
      </c>
      <c r="K9" s="14"/>
      <c r="L9" s="2"/>
    </row>
    <row r="10" ht="18.75" customHeight="1" spans="1:12">
      <c r="A10" s="2"/>
      <c r="B10" s="13"/>
      <c r="C10" s="13"/>
      <c r="D10" s="14" t="s">
        <v>23</v>
      </c>
      <c r="E10" s="15">
        <v>72842</v>
      </c>
      <c r="F10" s="16">
        <f>取值!F14</f>
        <v>866531</v>
      </c>
      <c r="G10" s="17">
        <f>IFERROR(E10/E6*100,0)</f>
        <v>56.5582998812029</v>
      </c>
      <c r="H10" s="17">
        <f>IFERROR(F10/F6*100,0)</f>
        <v>58.0291682403962</v>
      </c>
      <c r="I10" s="16">
        <f>取值!I10</f>
        <v>74804</v>
      </c>
      <c r="J10" s="17">
        <f t="shared" si="0"/>
        <v>58.0357350670711</v>
      </c>
      <c r="K10" s="14"/>
      <c r="L10" s="2"/>
    </row>
    <row r="11" ht="18.75" customHeight="1" spans="1:12">
      <c r="A11" s="2"/>
      <c r="B11" s="13"/>
      <c r="C11" s="13"/>
      <c r="D11" s="14" t="s">
        <v>24</v>
      </c>
      <c r="E11" s="15">
        <v>23079</v>
      </c>
      <c r="F11" s="16">
        <f>取值!F15</f>
        <v>260107</v>
      </c>
      <c r="G11" s="17">
        <f>IFERROR(E11/E6*100,0)</f>
        <v>17.9197304159452</v>
      </c>
      <c r="H11" s="17">
        <f>IFERROR(F11/F6*100,0)</f>
        <v>17.4186415298526</v>
      </c>
      <c r="I11" s="16">
        <f>取值!I11</f>
        <v>22756</v>
      </c>
      <c r="J11" s="17">
        <f t="shared" si="0"/>
        <v>17.6549541092224</v>
      </c>
      <c r="K11" s="14"/>
      <c r="L11" s="2"/>
    </row>
    <row r="12" ht="18.75" customHeight="1" spans="1:12">
      <c r="A12" s="2"/>
      <c r="B12" s="13"/>
      <c r="C12" s="13"/>
      <c r="D12" s="14" t="s">
        <v>25</v>
      </c>
      <c r="E12" s="15">
        <v>507</v>
      </c>
      <c r="F12" s="16">
        <f>取值!F16</f>
        <v>1849</v>
      </c>
      <c r="G12" s="17">
        <f>IFERROR(E12/E6*100,0)</f>
        <v>0.393661047744019</v>
      </c>
      <c r="H12" s="17">
        <f>IFERROR(F12/F6*100,0)</f>
        <v>0.123822381514906</v>
      </c>
      <c r="I12" s="16">
        <f>取值!I12</f>
        <v>0</v>
      </c>
      <c r="J12" s="17">
        <f t="shared" si="0"/>
        <v>0</v>
      </c>
      <c r="K12" s="14"/>
      <c r="L12" s="2"/>
    </row>
    <row r="13" ht="18.75" customHeight="1" spans="1:12">
      <c r="A13" s="2"/>
      <c r="B13" s="13"/>
      <c r="C13" s="13"/>
      <c r="D13" s="14" t="s">
        <v>26</v>
      </c>
      <c r="E13" s="15">
        <v>17318</v>
      </c>
      <c r="F13" s="16">
        <f>取值!F17</f>
        <v>187561</v>
      </c>
      <c r="G13" s="17">
        <f>IFERROR(E13/E6*100,0)</f>
        <v>13.4465917649525</v>
      </c>
      <c r="H13" s="17">
        <f>IFERROR(F13/F6*100,0)</f>
        <v>12.5604379120158</v>
      </c>
      <c r="I13" s="16">
        <f>取值!I13</f>
        <v>15888</v>
      </c>
      <c r="J13" s="17">
        <f t="shared" si="0"/>
        <v>12.3265033787715</v>
      </c>
      <c r="K13" s="14"/>
      <c r="L13" s="2"/>
    </row>
    <row r="14" ht="18.75" customHeight="1" spans="1:12">
      <c r="A14" s="2"/>
      <c r="B14" s="13"/>
      <c r="C14" s="13"/>
      <c r="D14" s="14" t="s">
        <v>27</v>
      </c>
      <c r="E14" s="15">
        <v>4105</v>
      </c>
      <c r="F14" s="16">
        <f>取值!F18</f>
        <v>49689</v>
      </c>
      <c r="G14" s="17">
        <f>IFERROR(E14/E6*100,0)</f>
        <v>3.18733451871637</v>
      </c>
      <c r="H14" s="17">
        <f>IFERROR(F14/F6*100,0)</f>
        <v>3.32753397246844</v>
      </c>
      <c r="I14" s="16">
        <f>取值!I14</f>
        <v>4405</v>
      </c>
      <c r="J14" s="17">
        <f t="shared" si="0"/>
        <v>3.41756340530518</v>
      </c>
      <c r="K14" s="14"/>
      <c r="L14" s="2"/>
    </row>
    <row r="15" ht="18.75" customHeight="1" spans="1:12">
      <c r="A15" s="2"/>
      <c r="B15" s="13"/>
      <c r="C15" s="13"/>
      <c r="D15" s="14" t="s">
        <v>28</v>
      </c>
      <c r="E15" s="15">
        <v>482</v>
      </c>
      <c r="F15" s="16">
        <f>取值!F19</f>
        <v>5716</v>
      </c>
      <c r="G15" s="17">
        <f>IFERROR(E15/E6*100,0)</f>
        <v>0.374249753476563</v>
      </c>
      <c r="H15" s="17">
        <f>IFERROR(F15/F6*100,0)</f>
        <v>0.382784603969281</v>
      </c>
      <c r="I15" s="16">
        <f>取值!I15</f>
        <v>470</v>
      </c>
      <c r="J15" s="17">
        <f t="shared" si="0"/>
        <v>0.364643541542209</v>
      </c>
      <c r="K15" s="14"/>
      <c r="L15" s="2"/>
    </row>
    <row r="16" ht="18.75" customHeight="1" spans="1:12">
      <c r="A16" s="2"/>
      <c r="B16" s="13"/>
      <c r="C16" s="13"/>
      <c r="D16" s="14" t="s">
        <v>29</v>
      </c>
      <c r="E16" s="15">
        <v>3787</v>
      </c>
      <c r="F16" s="16">
        <f>取值!F20</f>
        <v>45597</v>
      </c>
      <c r="G16" s="17">
        <f>IFERROR(E16/E6*100,0)</f>
        <v>2.94042285563432</v>
      </c>
      <c r="H16" s="17">
        <f>IFERROR(F16/F6*100,0)</f>
        <v>3.05350412651982</v>
      </c>
      <c r="I16" s="16">
        <f>取值!I16</f>
        <v>3990</v>
      </c>
      <c r="J16" s="17">
        <f t="shared" si="0"/>
        <v>3.09559091649663</v>
      </c>
      <c r="K16" s="14"/>
      <c r="L16" s="2"/>
    </row>
    <row r="17" ht="18.75" customHeight="1" spans="1:12">
      <c r="A17" s="2"/>
      <c r="B17" s="13"/>
      <c r="C17" s="13"/>
      <c r="D17" s="14" t="s">
        <v>30</v>
      </c>
      <c r="E17" s="15">
        <v>0</v>
      </c>
      <c r="F17" s="16">
        <f>取值!F21</f>
        <v>854</v>
      </c>
      <c r="G17" s="17">
        <f>IFERROR(E17/E6*100,0)</f>
        <v>0</v>
      </c>
      <c r="H17" s="17">
        <f>IFERROR(F17/F6*100,0)</f>
        <v>0.0571900020625902</v>
      </c>
      <c r="I17" s="16">
        <f>取值!I17</f>
        <v>0</v>
      </c>
      <c r="J17" s="17">
        <f t="shared" si="0"/>
        <v>0</v>
      </c>
      <c r="K17" s="14"/>
      <c r="L17" s="2"/>
    </row>
    <row r="18" ht="18.75" customHeight="1" spans="1:12">
      <c r="A18" s="2"/>
      <c r="B18" s="13"/>
      <c r="C18" s="13"/>
      <c r="D18" s="14" t="s">
        <v>31</v>
      </c>
      <c r="E18" s="15">
        <v>33</v>
      </c>
      <c r="F18" s="16">
        <f>取值!F22</f>
        <v>875</v>
      </c>
      <c r="G18" s="17">
        <f>IFERROR(E18/E6*100,0)</f>
        <v>0.0256229084330427</v>
      </c>
      <c r="H18" s="17">
        <f>IFERROR(F18/F6*100,0)</f>
        <v>0.0585963135887195</v>
      </c>
      <c r="I18" s="16">
        <f>取值!I18</f>
        <v>15</v>
      </c>
      <c r="J18" s="17">
        <f t="shared" si="0"/>
        <v>0.0116375598364535</v>
      </c>
      <c r="K18" s="14"/>
      <c r="L18" s="2"/>
    </row>
    <row r="19" ht="18.75" customHeight="1" spans="1:12">
      <c r="A19" s="2"/>
      <c r="B19" s="13"/>
      <c r="C19" s="13"/>
      <c r="D19" s="14" t="s">
        <v>32</v>
      </c>
      <c r="E19" s="16">
        <f>IFERROR(E6-SUM(E9:E18),"")</f>
        <v>450</v>
      </c>
      <c r="F19" s="16">
        <f>IFERROR(F6-SUM(F9:F18),"")</f>
        <v>5224</v>
      </c>
      <c r="G19" s="17">
        <f>IFERROR(E19/E6*100,0)</f>
        <v>0.349403296814218</v>
      </c>
      <c r="H19" s="17">
        <f>IFERROR(F19/F6*100,0)</f>
        <v>0.349836733928538</v>
      </c>
      <c r="I19" s="16">
        <f>IFERROR(I6-SUM(I9:I18),"")</f>
        <v>403</v>
      </c>
      <c r="J19" s="17">
        <f t="shared" si="0"/>
        <v>0.312662440939384</v>
      </c>
      <c r="K19" s="14"/>
      <c r="L19" s="2"/>
    </row>
    <row r="20" ht="18.75" customHeight="1" spans="1:12">
      <c r="A20" s="2"/>
      <c r="B20" s="13"/>
      <c r="C20" s="13" t="s">
        <v>33</v>
      </c>
      <c r="D20" s="14" t="s">
        <v>18</v>
      </c>
      <c r="E20" s="15">
        <v>78582</v>
      </c>
      <c r="F20" s="16">
        <f>SUM(F21,F22,F23)</f>
        <v>1055917</v>
      </c>
      <c r="G20" s="13" t="s">
        <v>19</v>
      </c>
      <c r="H20" s="13" t="s">
        <v>19</v>
      </c>
      <c r="I20" s="16">
        <f>取值!I19</f>
        <v>87494</v>
      </c>
      <c r="J20" s="18" t="s">
        <v>19</v>
      </c>
      <c r="K20" s="14"/>
      <c r="L20" s="2"/>
    </row>
    <row r="21" ht="18.75" customHeight="1" spans="1:12">
      <c r="A21" s="2"/>
      <c r="B21" s="13"/>
      <c r="C21" s="13"/>
      <c r="D21" s="14" t="s">
        <v>34</v>
      </c>
      <c r="E21" s="15">
        <v>74282</v>
      </c>
      <c r="F21" s="16">
        <f>取值!F25</f>
        <v>1018725</v>
      </c>
      <c r="G21" s="13" t="s">
        <v>19</v>
      </c>
      <c r="H21" s="13" t="s">
        <v>19</v>
      </c>
      <c r="I21" s="16">
        <f>取值!I20</f>
        <v>84009</v>
      </c>
      <c r="J21" s="18" t="s">
        <v>19</v>
      </c>
      <c r="K21" s="14"/>
      <c r="L21" s="2"/>
    </row>
    <row r="22" ht="18.75" customHeight="1" spans="1:12">
      <c r="A22" s="2"/>
      <c r="B22" s="13"/>
      <c r="C22" s="13"/>
      <c r="D22" s="14" t="s">
        <v>35</v>
      </c>
      <c r="E22" s="15">
        <v>1530</v>
      </c>
      <c r="F22" s="16">
        <f>取值!F26</f>
        <v>16051</v>
      </c>
      <c r="G22" s="13" t="s">
        <v>19</v>
      </c>
      <c r="H22" s="13" t="s">
        <v>19</v>
      </c>
      <c r="I22" s="16">
        <f>取值!I21</f>
        <v>1892</v>
      </c>
      <c r="J22" s="18" t="s">
        <v>19</v>
      </c>
      <c r="K22" s="14"/>
      <c r="L22" s="2"/>
    </row>
    <row r="23" ht="18.75" customHeight="1" spans="1:12">
      <c r="A23" s="2"/>
      <c r="B23" s="13"/>
      <c r="C23" s="13"/>
      <c r="D23" s="14" t="s">
        <v>36</v>
      </c>
      <c r="E23" s="15">
        <v>2770</v>
      </c>
      <c r="F23" s="16">
        <f>取值!F27</f>
        <v>21141</v>
      </c>
      <c r="G23" s="13" t="s">
        <v>19</v>
      </c>
      <c r="H23" s="13" t="s">
        <v>19</v>
      </c>
      <c r="I23" s="16">
        <f>取值!I23</f>
        <v>1593</v>
      </c>
      <c r="J23" s="18" t="s">
        <v>19</v>
      </c>
      <c r="K23" s="14"/>
      <c r="L23" s="2"/>
    </row>
    <row r="24" ht="18.75" customHeight="1" spans="1:12">
      <c r="A24" s="2"/>
      <c r="B24" s="13"/>
      <c r="C24" s="13"/>
      <c r="D24" s="14" t="s">
        <v>37</v>
      </c>
      <c r="E24" s="15">
        <v>64655</v>
      </c>
      <c r="F24" s="16">
        <f>取值!F28</f>
        <v>892459</v>
      </c>
      <c r="G24" s="17">
        <f>IFERROR(E24/E20*100,0)</f>
        <v>82.2771118067751</v>
      </c>
      <c r="H24" s="17">
        <f>IFERROR(F24/F20*100,0)</f>
        <v>84.5198060074798</v>
      </c>
      <c r="I24" s="16">
        <f>取值!I24</f>
        <v>73979</v>
      </c>
      <c r="J24" s="17">
        <f t="shared" ref="J24:J31" si="1">IFERROR(I24/I$20*100,0)</f>
        <v>84.5532265069605</v>
      </c>
      <c r="K24" s="14"/>
      <c r="L24" s="2"/>
    </row>
    <row r="25" ht="18.75" customHeight="1" spans="1:12">
      <c r="A25" s="2"/>
      <c r="B25" s="13"/>
      <c r="C25" s="13"/>
      <c r="D25" s="14" t="s">
        <v>38</v>
      </c>
      <c r="E25" s="15">
        <v>10214</v>
      </c>
      <c r="F25" s="16">
        <f>取值!F29</f>
        <v>121561</v>
      </c>
      <c r="G25" s="17">
        <f>IFERROR(E25/E20*100,0)</f>
        <v>12.9978875569469</v>
      </c>
      <c r="H25" s="17">
        <f>IFERROR(F25/F20*100,0)</f>
        <v>11.5123631876369</v>
      </c>
      <c r="I25" s="16">
        <f>取值!I25</f>
        <v>10237</v>
      </c>
      <c r="J25" s="17">
        <f t="shared" si="1"/>
        <v>11.7002308729741</v>
      </c>
      <c r="K25" s="14"/>
      <c r="L25" s="2"/>
    </row>
    <row r="26" ht="18.75" customHeight="1" spans="1:12">
      <c r="A26" s="2"/>
      <c r="B26" s="13"/>
      <c r="C26" s="13"/>
      <c r="D26" s="14" t="s">
        <v>22</v>
      </c>
      <c r="E26" s="15">
        <v>3457</v>
      </c>
      <c r="F26" s="16">
        <f>取值!F30</f>
        <v>36001</v>
      </c>
      <c r="G26" s="17">
        <f>IFERROR(E26/E20*100,0)</f>
        <v>4.39922628591789</v>
      </c>
      <c r="H26" s="17">
        <f>IFERROR(F26/F20*100,0)</f>
        <v>3.40945358394647</v>
      </c>
      <c r="I26" s="16">
        <f>取值!I26</f>
        <v>3019</v>
      </c>
      <c r="J26" s="17">
        <f t="shared" si="1"/>
        <v>3.45052232153062</v>
      </c>
      <c r="K26" s="14"/>
      <c r="L26" s="2"/>
    </row>
    <row r="27" ht="18.75" customHeight="1" spans="1:12">
      <c r="A27" s="2"/>
      <c r="B27" s="13"/>
      <c r="C27" s="13"/>
      <c r="D27" s="14" t="s">
        <v>39</v>
      </c>
      <c r="E27" s="15">
        <v>79</v>
      </c>
      <c r="F27" s="16">
        <f>取值!F31</f>
        <v>1055</v>
      </c>
      <c r="G27" s="17">
        <f>IFERROR(E27/E20*100,0)</f>
        <v>0.100531928431447</v>
      </c>
      <c r="H27" s="17">
        <f>IFERROR(F27/F20*100,0)</f>
        <v>0.0999131560529852</v>
      </c>
      <c r="I27" s="16">
        <f>取值!I27</f>
        <v>95</v>
      </c>
      <c r="J27" s="17">
        <f t="shared" si="1"/>
        <v>0.10857887397993</v>
      </c>
      <c r="K27" s="14"/>
      <c r="L27" s="2"/>
    </row>
    <row r="28" ht="18.75" customHeight="1" spans="1:12">
      <c r="A28" s="2"/>
      <c r="B28" s="13"/>
      <c r="C28" s="13"/>
      <c r="D28" s="14" t="s">
        <v>40</v>
      </c>
      <c r="E28" s="15">
        <v>94</v>
      </c>
      <c r="F28" s="16">
        <f>取值!F32</f>
        <v>1395</v>
      </c>
      <c r="G28" s="17">
        <f>IFERROR(E28/E20*100,0)</f>
        <v>0.119620269272861</v>
      </c>
      <c r="H28" s="17">
        <f>IFERROR(F28/F20*100,0)</f>
        <v>0.132112656581909</v>
      </c>
      <c r="I28" s="16">
        <f>取值!I28</f>
        <v>86</v>
      </c>
      <c r="J28" s="17">
        <f t="shared" si="1"/>
        <v>0.0982924543397262</v>
      </c>
      <c r="K28" s="14"/>
      <c r="L28" s="2"/>
    </row>
    <row r="29" ht="18.75" customHeight="1" spans="1:12">
      <c r="A29" s="2"/>
      <c r="B29" s="13"/>
      <c r="C29" s="13"/>
      <c r="D29" s="14" t="s">
        <v>41</v>
      </c>
      <c r="E29" s="15">
        <v>0</v>
      </c>
      <c r="F29" s="16">
        <f>取值!F33</f>
        <v>2533.8</v>
      </c>
      <c r="G29" s="17">
        <f>IFERROR(E29/E20*100,0)</f>
        <v>0</v>
      </c>
      <c r="H29" s="17">
        <f>IFERROR(F29/F20*100,0)</f>
        <v>0.239962042471141</v>
      </c>
      <c r="I29" s="16">
        <f>取值!I29</f>
        <v>0</v>
      </c>
      <c r="J29" s="17">
        <f t="shared" si="1"/>
        <v>0</v>
      </c>
      <c r="K29" s="14"/>
      <c r="L29" s="2"/>
    </row>
    <row r="30" ht="18.75" customHeight="1" spans="1:12">
      <c r="A30" s="2"/>
      <c r="B30" s="13"/>
      <c r="C30" s="13"/>
      <c r="D30" s="14" t="s">
        <v>42</v>
      </c>
      <c r="E30" s="15">
        <v>52</v>
      </c>
      <c r="F30" s="16">
        <f>取值!F34</f>
        <v>532</v>
      </c>
      <c r="G30" s="17">
        <f>IFERROR(E30/E20*100,0)</f>
        <v>0.0661729149169021</v>
      </c>
      <c r="H30" s="17">
        <f>IFERROR(F30/F20*100,0)</f>
        <v>0.0503827478864343</v>
      </c>
      <c r="I30" s="16">
        <f>取值!I30</f>
        <v>47</v>
      </c>
      <c r="J30" s="17">
        <f t="shared" si="1"/>
        <v>0.0537179692321759</v>
      </c>
      <c r="K30" s="14"/>
      <c r="L30" s="2"/>
    </row>
    <row r="31" ht="18.75" customHeight="1" spans="1:12">
      <c r="A31" s="2"/>
      <c r="B31" s="13"/>
      <c r="C31" s="13"/>
      <c r="D31" s="14" t="s">
        <v>32</v>
      </c>
      <c r="E31" s="16">
        <f>E20-SUM(E24,E25,E26,E27,E28,E29,E30)</f>
        <v>31</v>
      </c>
      <c r="F31" s="16">
        <f>F20-SUM(F24,F25,F26,F27,F28,F29,F30)</f>
        <v>380.199999999953</v>
      </c>
      <c r="G31" s="17">
        <f>IFERROR(E31/E20*100,0)</f>
        <v>0.0394492377389224</v>
      </c>
      <c r="H31" s="17">
        <f>IFERROR(F31/F20*100,0)</f>
        <v>0.0360066179443984</v>
      </c>
      <c r="I31" s="16">
        <f>IFERROR(I20-SUM(I24,I25,I26,I27,I28,I29,I30),0)</f>
        <v>31</v>
      </c>
      <c r="J31" s="17">
        <f t="shared" si="1"/>
        <v>0.0354310009829245</v>
      </c>
      <c r="K31" s="14"/>
      <c r="L31" s="2"/>
    </row>
    <row r="32" ht="18.75" customHeight="1" spans="1:12">
      <c r="A32" s="2"/>
      <c r="B32" s="13"/>
      <c r="C32" s="13" t="s">
        <v>43</v>
      </c>
      <c r="D32" s="14" t="s">
        <v>18</v>
      </c>
      <c r="E32" s="15">
        <v>17318</v>
      </c>
      <c r="F32" s="16">
        <f>取值!F36</f>
        <v>187561</v>
      </c>
      <c r="G32" s="13" t="s">
        <v>19</v>
      </c>
      <c r="H32" s="13" t="s">
        <v>19</v>
      </c>
      <c r="I32" s="16">
        <f>取值!I32</f>
        <v>15888</v>
      </c>
      <c r="J32" s="17" t="s">
        <v>19</v>
      </c>
      <c r="K32" s="14"/>
      <c r="L32" s="2"/>
    </row>
    <row r="33" ht="18.75" customHeight="1" spans="1:12">
      <c r="A33" s="2"/>
      <c r="B33" s="13"/>
      <c r="C33" s="13"/>
      <c r="D33" s="14" t="s">
        <v>44</v>
      </c>
      <c r="E33" s="15">
        <v>5552</v>
      </c>
      <c r="F33" s="16">
        <f>取值!F37</f>
        <v>59342</v>
      </c>
      <c r="G33" s="17">
        <f>IFERROR(E33/E32*100,0)</f>
        <v>32.0591292297032</v>
      </c>
      <c r="H33" s="17">
        <f>IFERROR(F33/F32*100,0)</f>
        <v>31.6387735190151</v>
      </c>
      <c r="I33" s="16">
        <f>取值!I33</f>
        <v>4740</v>
      </c>
      <c r="J33" s="17">
        <f>IFERROR(I33/I$32*100,0)</f>
        <v>29.833836858006</v>
      </c>
      <c r="K33" s="14"/>
      <c r="L33" s="2"/>
    </row>
    <row r="34" ht="18.75" customHeight="1" spans="1:12">
      <c r="A34" s="2"/>
      <c r="B34" s="13"/>
      <c r="C34" s="13"/>
      <c r="D34" s="14" t="s">
        <v>45</v>
      </c>
      <c r="E34" s="15">
        <v>11673</v>
      </c>
      <c r="F34" s="16">
        <f>取值!F38</f>
        <v>126972</v>
      </c>
      <c r="G34" s="17">
        <f>IFERROR(E34/E32*100,0)</f>
        <v>67.4038572583439</v>
      </c>
      <c r="H34" s="17">
        <f>IFERROR(F34/F32*100,0)</f>
        <v>67.6963761123048</v>
      </c>
      <c r="I34" s="16">
        <f>取值!I34</f>
        <v>11056</v>
      </c>
      <c r="J34" s="17">
        <f>IFERROR(I34/I$32*100,0)</f>
        <v>69.5871097683787</v>
      </c>
      <c r="K34" s="14"/>
      <c r="L34" s="2"/>
    </row>
    <row r="35" ht="18.75" customHeight="1" spans="1:12">
      <c r="A35" s="2"/>
      <c r="B35" s="13"/>
      <c r="C35" s="13"/>
      <c r="D35" s="14" t="s">
        <v>46</v>
      </c>
      <c r="E35" s="15">
        <v>0</v>
      </c>
      <c r="F35" s="16">
        <f>取值!F39</f>
        <v>0</v>
      </c>
      <c r="G35" s="17">
        <f>IFERROR(E35/E32*100,0)</f>
        <v>0</v>
      </c>
      <c r="H35" s="17">
        <f>IFERROR(F35/F32*100,0)</f>
        <v>0</v>
      </c>
      <c r="I35" s="16">
        <f>取值!I35</f>
        <v>0</v>
      </c>
      <c r="J35" s="17">
        <f>IFERROR(I35/I$32*100,0)</f>
        <v>0</v>
      </c>
      <c r="K35" s="14"/>
      <c r="L35" s="2"/>
    </row>
    <row r="36" ht="18.75" customHeight="1" spans="1:12">
      <c r="A36" s="2"/>
      <c r="B36" s="13"/>
      <c r="C36" s="13"/>
      <c r="D36" s="14" t="s">
        <v>47</v>
      </c>
      <c r="E36" s="15">
        <v>0</v>
      </c>
      <c r="F36" s="16">
        <f>取值!F40</f>
        <v>0</v>
      </c>
      <c r="G36" s="17">
        <f>IFERROR(E36/E32*100,0)</f>
        <v>0</v>
      </c>
      <c r="H36" s="17">
        <f>IFERROR(F36/F32*100,0)</f>
        <v>0</v>
      </c>
      <c r="I36" s="16">
        <f>取值!I36</f>
        <v>0</v>
      </c>
      <c r="J36" s="17">
        <f>IFERROR(I36/I$32*100,0)</f>
        <v>0</v>
      </c>
      <c r="K36" s="14"/>
      <c r="L36" s="2"/>
    </row>
    <row r="37" ht="18.75" customHeight="1" spans="1:12">
      <c r="A37" s="2"/>
      <c r="B37" s="13"/>
      <c r="C37" s="13"/>
      <c r="D37" s="14" t="s">
        <v>32</v>
      </c>
      <c r="E37" s="16">
        <f>IFERROR(E32-SUM(E33,E34,E35,E36),"")</f>
        <v>93</v>
      </c>
      <c r="F37" s="16">
        <f>IFERROR(F32-SUM(F33,F34,F35,F36),"")</f>
        <v>1247</v>
      </c>
      <c r="G37" s="17">
        <f>IFERROR(E37/E32*100,0)</f>
        <v>0.537013511952881</v>
      </c>
      <c r="H37" s="17">
        <f>IFERROR(F37/F32*100,0)</f>
        <v>0.664850368680056</v>
      </c>
      <c r="I37" s="16">
        <f>IFERROR(I32-SUM(I33,I34,I35,I36),"")</f>
        <v>92</v>
      </c>
      <c r="J37" s="17">
        <f>IFERROR(I37/I$32*100,0)</f>
        <v>0.579053373615307</v>
      </c>
      <c r="K37" s="14"/>
      <c r="L37" s="2"/>
    </row>
    <row r="38" ht="18.75" customHeight="1" spans="1:12">
      <c r="A38" s="2"/>
      <c r="B38" s="13" t="s">
        <v>48</v>
      </c>
      <c r="C38" s="13"/>
      <c r="D38" s="13"/>
      <c r="E38" s="13"/>
      <c r="F38" s="13"/>
      <c r="G38" s="13"/>
      <c r="H38" s="13"/>
      <c r="I38" s="13"/>
      <c r="J38" s="13"/>
      <c r="K38" s="13"/>
      <c r="L38" s="2"/>
    </row>
    <row r="39" ht="14.25" customHeight="1" spans="1:12">
      <c r="A39" s="2"/>
      <c r="B39" s="2"/>
      <c r="C39" s="19" t="s">
        <v>49</v>
      </c>
      <c r="D39" s="20" t="s">
        <v>50</v>
      </c>
      <c r="E39" s="2"/>
      <c r="F39" s="19" t="s">
        <v>51</v>
      </c>
      <c r="G39" s="20" t="s">
        <v>52</v>
      </c>
      <c r="H39" s="2"/>
      <c r="I39" s="19" t="s">
        <v>53</v>
      </c>
      <c r="J39" s="20" t="s">
        <v>54</v>
      </c>
      <c r="K39" s="2"/>
      <c r="L39" s="2"/>
    </row>
  </sheetData>
  <mergeCells count="14">
    <mergeCell ref="B2:K2"/>
    <mergeCell ref="B3:D3"/>
    <mergeCell ref="H3:J3"/>
    <mergeCell ref="E4:F4"/>
    <mergeCell ref="G4:H4"/>
    <mergeCell ref="I4:J4"/>
    <mergeCell ref="C38:K38"/>
    <mergeCell ref="B4:B5"/>
    <mergeCell ref="B6:B37"/>
    <mergeCell ref="C4:C5"/>
    <mergeCell ref="C6:C19"/>
    <mergeCell ref="C20:C31"/>
    <mergeCell ref="C32:C37"/>
    <mergeCell ref="D4:D5"/>
  </mergeCells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defaultGridColor="0" colorId="31" topLeftCell="A13" workbookViewId="0">
      <selection activeCell="C47" sqref="C47"/>
    </sheetView>
  </sheetViews>
  <sheetFormatPr defaultColWidth="9" defaultRowHeight="14.1" customHeight="1"/>
  <cols>
    <col min="5" max="16" width="8.71153846153846" style="1" customWidth="1"/>
  </cols>
  <sheetData>
    <row r="1" ht="14.25" customHeight="1" spans="1:16">
      <c r="A1" s="2" t="s">
        <v>55</v>
      </c>
      <c r="B1" s="2" t="s">
        <v>56</v>
      </c>
      <c r="C1" s="2" t="s">
        <v>57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Height="1" spans="1:16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Height="1" spans="1:16">
      <c r="A3" s="2"/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Height="1" spans="1:16">
      <c r="A4" s="2"/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Height="1" spans="1:16">
      <c r="A5" s="2"/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4.25" customHeight="1" spans="1:16">
      <c r="A6" s="2"/>
      <c r="B6" s="2"/>
      <c r="C6" s="2"/>
      <c r="D6" s="2"/>
      <c r="E6" s="3">
        <v>128791</v>
      </c>
      <c r="F6" s="3">
        <v>1493268</v>
      </c>
      <c r="G6" s="3"/>
      <c r="H6" s="3"/>
      <c r="I6" s="4">
        <v>128893</v>
      </c>
      <c r="J6" s="3">
        <v>1372497</v>
      </c>
      <c r="K6" s="3"/>
      <c r="L6" s="3"/>
      <c r="M6" s="3"/>
      <c r="N6" s="3"/>
      <c r="O6" s="3"/>
      <c r="P6" s="3"/>
    </row>
    <row r="7" ht="14.25" customHeight="1" spans="1:16">
      <c r="A7" s="2"/>
      <c r="B7" s="2"/>
      <c r="C7" s="2"/>
      <c r="D7" s="2"/>
      <c r="E7" s="3">
        <v>128791</v>
      </c>
      <c r="F7" s="3">
        <v>1491491</v>
      </c>
      <c r="G7" s="3"/>
      <c r="H7" s="3"/>
      <c r="I7" s="4">
        <v>128893</v>
      </c>
      <c r="J7" s="3">
        <v>1372497</v>
      </c>
      <c r="K7" s="3"/>
      <c r="L7" s="3"/>
      <c r="M7" s="3"/>
      <c r="N7" s="3"/>
      <c r="O7" s="3"/>
      <c r="P7" s="3"/>
    </row>
    <row r="8" ht="14.25" customHeight="1" spans="1:16">
      <c r="A8" s="2"/>
      <c r="B8" s="2"/>
      <c r="C8" s="2"/>
      <c r="D8" s="2"/>
      <c r="E8" s="3">
        <v>128791</v>
      </c>
      <c r="F8" s="3">
        <v>1491491</v>
      </c>
      <c r="G8" s="3"/>
      <c r="H8" s="3"/>
      <c r="I8" s="4">
        <v>0</v>
      </c>
      <c r="J8" s="3">
        <v>1372497</v>
      </c>
      <c r="K8" s="3"/>
      <c r="L8" s="3"/>
      <c r="M8" s="3"/>
      <c r="N8" s="3"/>
      <c r="O8" s="3"/>
      <c r="P8" s="3"/>
    </row>
    <row r="9" ht="14.25" customHeight="1" spans="1:16">
      <c r="A9" s="2"/>
      <c r="B9" s="2"/>
      <c r="C9" s="2"/>
      <c r="D9" s="2"/>
      <c r="E9" s="3"/>
      <c r="F9" s="3"/>
      <c r="G9" s="3"/>
      <c r="H9" s="3"/>
      <c r="I9" s="4">
        <v>6162</v>
      </c>
      <c r="J9" s="3"/>
      <c r="K9" s="3"/>
      <c r="L9" s="3"/>
      <c r="M9" s="3"/>
      <c r="N9" s="3"/>
      <c r="O9" s="3"/>
      <c r="P9" s="3"/>
    </row>
    <row r="10" ht="14.25" customHeight="1" spans="1:16">
      <c r="A10" s="2"/>
      <c r="B10" s="2"/>
      <c r="C10" s="2"/>
      <c r="D10" s="2"/>
      <c r="E10" s="3">
        <v>0</v>
      </c>
      <c r="F10" s="3">
        <v>1777</v>
      </c>
      <c r="G10" s="3"/>
      <c r="H10" s="3"/>
      <c r="I10" s="4">
        <v>74804</v>
      </c>
      <c r="J10" s="3">
        <v>0</v>
      </c>
      <c r="K10" s="3"/>
      <c r="L10" s="3"/>
      <c r="M10" s="3"/>
      <c r="N10" s="3"/>
      <c r="O10" s="3"/>
      <c r="P10" s="3"/>
    </row>
    <row r="11" ht="14.25" customHeight="1" spans="1:16">
      <c r="A11" s="2"/>
      <c r="B11" s="2"/>
      <c r="C11" s="2"/>
      <c r="D11" s="2"/>
      <c r="E11" s="5"/>
      <c r="F11" s="5"/>
      <c r="G11" s="3"/>
      <c r="H11" s="3"/>
      <c r="I11" s="4">
        <v>22756</v>
      </c>
      <c r="J11" s="5"/>
      <c r="K11" s="3"/>
      <c r="L11" s="3"/>
      <c r="M11" s="3"/>
      <c r="N11" s="3"/>
      <c r="O11" s="3"/>
      <c r="P11" s="3"/>
    </row>
    <row r="12" ht="14.25" customHeight="1" spans="1:16">
      <c r="A12" s="2"/>
      <c r="B12" s="2"/>
      <c r="C12" s="2"/>
      <c r="D12" s="2"/>
      <c r="E12" s="3">
        <v>128791</v>
      </c>
      <c r="F12" s="3">
        <v>1491491</v>
      </c>
      <c r="G12" s="3"/>
      <c r="H12" s="3"/>
      <c r="I12" s="4">
        <v>0</v>
      </c>
      <c r="J12" s="3">
        <v>1372497</v>
      </c>
      <c r="K12" s="3"/>
      <c r="L12" s="3"/>
      <c r="M12" s="3"/>
      <c r="N12" s="3"/>
      <c r="O12" s="3"/>
      <c r="P12" s="3"/>
    </row>
    <row r="13" ht="14.25" customHeight="1" spans="1:16">
      <c r="A13" s="2"/>
      <c r="B13" s="2"/>
      <c r="C13" s="2"/>
      <c r="D13" s="2"/>
      <c r="E13" s="3">
        <v>6188</v>
      </c>
      <c r="F13" s="3">
        <v>69265</v>
      </c>
      <c r="G13" s="3"/>
      <c r="H13" s="3"/>
      <c r="I13" s="4">
        <v>15888</v>
      </c>
      <c r="J13" s="3">
        <v>62907</v>
      </c>
      <c r="K13" s="3"/>
      <c r="L13" s="3"/>
      <c r="M13" s="3"/>
      <c r="N13" s="3"/>
      <c r="O13" s="3"/>
      <c r="P13" s="3"/>
    </row>
    <row r="14" ht="14.25" customHeight="1" spans="1:16">
      <c r="A14" s="2"/>
      <c r="B14" s="2"/>
      <c r="C14" s="2"/>
      <c r="D14" s="2"/>
      <c r="E14" s="3">
        <v>72842</v>
      </c>
      <c r="F14" s="3">
        <v>866531</v>
      </c>
      <c r="G14" s="3"/>
      <c r="H14" s="3"/>
      <c r="I14" s="4">
        <v>4405</v>
      </c>
      <c r="J14" s="3">
        <v>805238</v>
      </c>
      <c r="K14" s="3"/>
      <c r="L14" s="3"/>
      <c r="M14" s="3"/>
      <c r="N14" s="3"/>
      <c r="O14" s="3"/>
      <c r="P14" s="3"/>
    </row>
    <row r="15" ht="14.25" customHeight="1" spans="1:16">
      <c r="A15" s="2"/>
      <c r="B15" s="2"/>
      <c r="C15" s="2"/>
      <c r="D15" s="2"/>
      <c r="E15" s="3">
        <v>23079</v>
      </c>
      <c r="F15" s="3">
        <v>260107</v>
      </c>
      <c r="G15" s="3"/>
      <c r="H15" s="3"/>
      <c r="I15" s="4">
        <v>470</v>
      </c>
      <c r="J15" s="3">
        <v>240282</v>
      </c>
      <c r="K15" s="3"/>
      <c r="L15" s="3"/>
      <c r="M15" s="3"/>
      <c r="N15" s="3"/>
      <c r="O15" s="3"/>
      <c r="P15" s="3"/>
    </row>
    <row r="16" ht="14.25" customHeight="1" spans="1:16">
      <c r="A16" s="2"/>
      <c r="B16" s="2"/>
      <c r="C16" s="2"/>
      <c r="D16" s="2"/>
      <c r="E16" s="3">
        <v>507</v>
      </c>
      <c r="F16" s="3">
        <v>1849</v>
      </c>
      <c r="G16" s="3"/>
      <c r="H16" s="3"/>
      <c r="I16" s="4">
        <v>3990</v>
      </c>
      <c r="J16" s="3">
        <v>0</v>
      </c>
      <c r="K16" s="3"/>
      <c r="L16" s="3"/>
      <c r="M16" s="3"/>
      <c r="N16" s="3"/>
      <c r="O16" s="3"/>
      <c r="P16" s="3"/>
    </row>
    <row r="17" ht="14.25" customHeight="1" spans="1:16">
      <c r="A17" s="2"/>
      <c r="B17" s="2"/>
      <c r="C17" s="2"/>
      <c r="D17" s="2"/>
      <c r="E17" s="3">
        <v>17318</v>
      </c>
      <c r="F17" s="3">
        <v>187561</v>
      </c>
      <c r="G17" s="3"/>
      <c r="H17" s="3"/>
      <c r="I17" s="4">
        <v>0</v>
      </c>
      <c r="J17" s="3">
        <v>165208</v>
      </c>
      <c r="K17" s="3"/>
      <c r="L17" s="3"/>
      <c r="M17" s="3"/>
      <c r="N17" s="3"/>
      <c r="O17" s="3"/>
      <c r="P17" s="3"/>
    </row>
    <row r="18" ht="14.25" customHeight="1" spans="1:16">
      <c r="A18" s="2"/>
      <c r="B18" s="2"/>
      <c r="C18" s="2"/>
      <c r="D18" s="2"/>
      <c r="E18" s="3">
        <v>4105</v>
      </c>
      <c r="F18" s="3">
        <v>49689</v>
      </c>
      <c r="G18" s="3"/>
      <c r="H18" s="3"/>
      <c r="I18" s="4">
        <v>15</v>
      </c>
      <c r="J18" s="3">
        <v>45541</v>
      </c>
      <c r="K18" s="3"/>
      <c r="L18" s="3"/>
      <c r="M18" s="3"/>
      <c r="N18" s="3"/>
      <c r="O18" s="3"/>
      <c r="P18" s="3"/>
    </row>
    <row r="19" ht="14.25" customHeight="1" spans="1:16">
      <c r="A19" s="2"/>
      <c r="B19" s="2"/>
      <c r="C19" s="2"/>
      <c r="D19" s="2"/>
      <c r="E19" s="3">
        <v>482</v>
      </c>
      <c r="F19" s="3">
        <v>5716</v>
      </c>
      <c r="G19" s="3"/>
      <c r="H19" s="3"/>
      <c r="I19" s="4">
        <v>87494</v>
      </c>
      <c r="J19" s="3">
        <v>5413</v>
      </c>
      <c r="K19" s="3"/>
      <c r="L19" s="3"/>
      <c r="M19" s="3"/>
      <c r="N19" s="3"/>
      <c r="O19" s="3"/>
      <c r="P19" s="3"/>
    </row>
    <row r="20" ht="14.25" customHeight="1" spans="1:16">
      <c r="A20" s="2"/>
      <c r="B20" s="2"/>
      <c r="C20" s="2"/>
      <c r="D20" s="2"/>
      <c r="E20" s="3">
        <v>3787</v>
      </c>
      <c r="F20" s="3">
        <v>45597</v>
      </c>
      <c r="G20" s="3"/>
      <c r="H20" s="3"/>
      <c r="I20" s="4">
        <v>84009</v>
      </c>
      <c r="J20" s="3">
        <v>41229</v>
      </c>
      <c r="K20" s="3"/>
      <c r="L20" s="3"/>
      <c r="M20" s="3"/>
      <c r="N20" s="3"/>
      <c r="O20" s="3"/>
      <c r="P20" s="3"/>
    </row>
    <row r="21" ht="14.25" customHeight="1" spans="1:16">
      <c r="A21" s="2"/>
      <c r="B21" s="2"/>
      <c r="C21" s="2"/>
      <c r="D21" s="2"/>
      <c r="E21" s="3">
        <v>0</v>
      </c>
      <c r="F21" s="3">
        <v>854</v>
      </c>
      <c r="G21" s="3"/>
      <c r="H21" s="3"/>
      <c r="I21" s="4">
        <v>1892</v>
      </c>
      <c r="J21" s="3">
        <v>0</v>
      </c>
      <c r="K21" s="3"/>
      <c r="L21" s="3"/>
      <c r="M21" s="3"/>
      <c r="N21" s="3"/>
      <c r="O21" s="3"/>
      <c r="P21" s="3"/>
    </row>
    <row r="22" ht="14.25" customHeight="1" spans="1:16">
      <c r="A22" s="2"/>
      <c r="B22" s="2"/>
      <c r="C22" s="2"/>
      <c r="D22" s="2"/>
      <c r="E22" s="3">
        <v>33</v>
      </c>
      <c r="F22" s="3">
        <v>875</v>
      </c>
      <c r="G22" s="3"/>
      <c r="H22" s="3"/>
      <c r="I22" s="4">
        <v>1892</v>
      </c>
      <c r="J22" s="3">
        <v>1511</v>
      </c>
      <c r="K22" s="3"/>
      <c r="L22" s="3"/>
      <c r="M22" s="3"/>
      <c r="N22" s="3"/>
      <c r="O22" s="3"/>
      <c r="P22" s="3"/>
    </row>
    <row r="23" ht="14.25" customHeight="1" spans="1:16">
      <c r="A23" s="2"/>
      <c r="B23" s="2"/>
      <c r="C23" s="2"/>
      <c r="D23" s="2"/>
      <c r="E23" s="3"/>
      <c r="F23" s="3"/>
      <c r="G23" s="3"/>
      <c r="H23" s="3"/>
      <c r="I23" s="4">
        <v>1593</v>
      </c>
      <c r="J23" s="3"/>
      <c r="K23" s="3"/>
      <c r="L23" s="3"/>
      <c r="M23" s="3"/>
      <c r="N23" s="3"/>
      <c r="O23" s="3"/>
      <c r="P23" s="3"/>
    </row>
    <row r="24" ht="14.25" customHeight="1" spans="1:16">
      <c r="A24" s="2"/>
      <c r="B24" s="2"/>
      <c r="C24" s="2"/>
      <c r="D24" s="2"/>
      <c r="E24" s="3"/>
      <c r="F24" s="3"/>
      <c r="G24" s="3"/>
      <c r="H24" s="3"/>
      <c r="I24" s="4">
        <v>73979</v>
      </c>
      <c r="J24" s="3"/>
      <c r="K24" s="3"/>
      <c r="L24" s="3"/>
      <c r="M24" s="3"/>
      <c r="N24" s="3"/>
      <c r="O24" s="3"/>
      <c r="P24" s="3"/>
    </row>
    <row r="25" ht="14.25" customHeight="1" spans="1:16">
      <c r="A25" s="2"/>
      <c r="B25" s="2"/>
      <c r="C25" s="2"/>
      <c r="D25" s="2"/>
      <c r="E25" s="3">
        <v>74282</v>
      </c>
      <c r="F25" s="3">
        <v>1018725</v>
      </c>
      <c r="G25" s="3"/>
      <c r="H25" s="3"/>
      <c r="I25" s="4">
        <v>10237</v>
      </c>
      <c r="J25" s="3">
        <v>938743</v>
      </c>
      <c r="K25" s="3"/>
      <c r="L25" s="3"/>
      <c r="M25" s="3"/>
      <c r="N25" s="3"/>
      <c r="O25" s="3"/>
      <c r="P25" s="3"/>
    </row>
    <row r="26" ht="14.25" customHeight="1" spans="1:16">
      <c r="A26" s="2"/>
      <c r="B26" s="2"/>
      <c r="C26" s="2"/>
      <c r="D26" s="2"/>
      <c r="E26" s="3">
        <v>1530</v>
      </c>
      <c r="F26" s="3">
        <v>16051</v>
      </c>
      <c r="G26" s="3"/>
      <c r="H26" s="3"/>
      <c r="I26" s="4">
        <v>3019</v>
      </c>
      <c r="J26" s="3">
        <v>18675</v>
      </c>
      <c r="K26" s="3"/>
      <c r="L26" s="3"/>
      <c r="M26" s="3"/>
      <c r="N26" s="3"/>
      <c r="O26" s="3"/>
      <c r="P26" s="3"/>
    </row>
    <row r="27" ht="14.25" customHeight="1" spans="1:16">
      <c r="A27" s="2"/>
      <c r="B27" s="2"/>
      <c r="C27" s="2"/>
      <c r="D27" s="2"/>
      <c r="E27" s="3">
        <v>2770</v>
      </c>
      <c r="F27" s="3">
        <v>21141</v>
      </c>
      <c r="G27" s="3"/>
      <c r="H27" s="3"/>
      <c r="I27" s="4">
        <v>95</v>
      </c>
      <c r="J27" s="3">
        <v>16176</v>
      </c>
      <c r="K27" s="3"/>
      <c r="L27" s="3"/>
      <c r="M27" s="3"/>
      <c r="N27" s="3"/>
      <c r="O27" s="3"/>
      <c r="P27" s="3"/>
    </row>
    <row r="28" ht="14.25" customHeight="1" spans="1:16">
      <c r="A28" s="2"/>
      <c r="B28" s="2"/>
      <c r="C28" s="2"/>
      <c r="D28" s="2"/>
      <c r="E28" s="3">
        <v>64655</v>
      </c>
      <c r="F28" s="3">
        <v>892459</v>
      </c>
      <c r="G28" s="3"/>
      <c r="H28" s="3"/>
      <c r="I28" s="4">
        <v>86</v>
      </c>
      <c r="J28" s="3">
        <v>838272</v>
      </c>
      <c r="K28" s="3"/>
      <c r="L28" s="3"/>
      <c r="M28" s="3"/>
      <c r="N28" s="3"/>
      <c r="O28" s="3"/>
      <c r="P28" s="3"/>
    </row>
    <row r="29" ht="14.25" customHeight="1" spans="1:16">
      <c r="A29" s="2"/>
      <c r="B29" s="2"/>
      <c r="C29" s="2"/>
      <c r="D29" s="2"/>
      <c r="E29" s="3">
        <v>10214</v>
      </c>
      <c r="F29" s="3">
        <v>121561</v>
      </c>
      <c r="G29" s="3"/>
      <c r="H29" s="3"/>
      <c r="I29" s="4">
        <v>0</v>
      </c>
      <c r="J29" s="3">
        <v>101727</v>
      </c>
      <c r="K29" s="3"/>
      <c r="L29" s="3"/>
      <c r="M29" s="3"/>
      <c r="N29" s="3"/>
      <c r="O29" s="3"/>
      <c r="P29" s="3"/>
    </row>
    <row r="30" ht="14.25" customHeight="1" spans="1:16">
      <c r="A30" s="2"/>
      <c r="B30" s="2"/>
      <c r="C30" s="2"/>
      <c r="D30" s="2"/>
      <c r="E30" s="3">
        <v>3457</v>
      </c>
      <c r="F30" s="3">
        <v>36001</v>
      </c>
      <c r="G30" s="3"/>
      <c r="H30" s="3"/>
      <c r="I30" s="4">
        <v>47</v>
      </c>
      <c r="J30" s="3">
        <v>30026</v>
      </c>
      <c r="K30" s="3"/>
      <c r="L30" s="3"/>
      <c r="M30" s="3"/>
      <c r="N30" s="3"/>
      <c r="O30" s="3"/>
      <c r="P30" s="3"/>
    </row>
    <row r="31" ht="14.25" customHeight="1" spans="1:16">
      <c r="A31" s="2"/>
      <c r="B31" s="2"/>
      <c r="C31" s="2"/>
      <c r="D31" s="2"/>
      <c r="E31" s="3">
        <v>79</v>
      </c>
      <c r="F31" s="3">
        <v>1055</v>
      </c>
      <c r="G31" s="3"/>
      <c r="H31" s="3"/>
      <c r="I31" s="4"/>
      <c r="J31" s="3">
        <v>1112</v>
      </c>
      <c r="K31" s="3"/>
      <c r="L31" s="3"/>
      <c r="M31" s="3"/>
      <c r="N31" s="3"/>
      <c r="O31" s="3"/>
      <c r="P31" s="3"/>
    </row>
    <row r="32" ht="14.25" customHeight="1" spans="1:16">
      <c r="A32" s="2"/>
      <c r="B32" s="2"/>
      <c r="C32" s="2"/>
      <c r="D32" s="2"/>
      <c r="E32" s="3">
        <v>94</v>
      </c>
      <c r="F32" s="3">
        <v>1395</v>
      </c>
      <c r="G32" s="3"/>
      <c r="H32" s="3"/>
      <c r="I32" s="4">
        <v>15888</v>
      </c>
      <c r="J32" s="3">
        <v>941</v>
      </c>
      <c r="K32" s="3"/>
      <c r="L32" s="3"/>
      <c r="M32" s="3"/>
      <c r="N32" s="3"/>
      <c r="O32" s="3"/>
      <c r="P32" s="3"/>
    </row>
    <row r="33" ht="14.25" customHeight="1" spans="1:16">
      <c r="A33" s="2"/>
      <c r="B33" s="2"/>
      <c r="C33" s="2"/>
      <c r="D33" s="2"/>
      <c r="E33" s="3">
        <v>0</v>
      </c>
      <c r="F33" s="3">
        <v>2533.8</v>
      </c>
      <c r="G33" s="3"/>
      <c r="H33" s="3"/>
      <c r="I33" s="4">
        <v>4740</v>
      </c>
      <c r="J33" s="3">
        <v>0</v>
      </c>
      <c r="K33" s="3"/>
      <c r="L33" s="3"/>
      <c r="M33" s="3"/>
      <c r="N33" s="3"/>
      <c r="O33" s="3"/>
      <c r="P33" s="3"/>
    </row>
    <row r="34" ht="14.25" customHeight="1" spans="1:16">
      <c r="A34" s="2"/>
      <c r="B34" s="2"/>
      <c r="C34" s="2"/>
      <c r="D34" s="2"/>
      <c r="E34" s="5">
        <v>52</v>
      </c>
      <c r="F34" s="5">
        <v>532</v>
      </c>
      <c r="G34" s="3"/>
      <c r="H34" s="3"/>
      <c r="I34" s="4">
        <v>11056</v>
      </c>
      <c r="J34" s="5">
        <v>1120.1</v>
      </c>
      <c r="K34" s="3"/>
      <c r="L34" s="3"/>
      <c r="M34" s="3"/>
      <c r="N34" s="3"/>
      <c r="O34" s="3"/>
      <c r="P34" s="3"/>
    </row>
    <row r="35" ht="14.25" customHeight="1" spans="1:16">
      <c r="A35" s="2"/>
      <c r="B35" s="2"/>
      <c r="C35" s="2"/>
      <c r="D35" s="2"/>
      <c r="E35" s="3"/>
      <c r="F35" s="3"/>
      <c r="G35" s="3"/>
      <c r="H35" s="3"/>
      <c r="I35" s="4">
        <v>0</v>
      </c>
      <c r="J35" s="3"/>
      <c r="K35" s="3"/>
      <c r="L35" s="3"/>
      <c r="M35" s="3"/>
      <c r="N35" s="3"/>
      <c r="O35" s="3"/>
      <c r="P35" s="3"/>
    </row>
    <row r="36" ht="14.25" customHeight="1" spans="1:16">
      <c r="A36" s="2"/>
      <c r="B36" s="2"/>
      <c r="C36" s="2"/>
      <c r="D36" s="2"/>
      <c r="E36" s="3">
        <v>17318</v>
      </c>
      <c r="F36" s="3">
        <v>187561</v>
      </c>
      <c r="G36" s="3"/>
      <c r="H36" s="3"/>
      <c r="I36" s="4">
        <v>0</v>
      </c>
      <c r="J36" s="3">
        <v>165208</v>
      </c>
      <c r="K36" s="3"/>
      <c r="L36" s="3"/>
      <c r="M36" s="3"/>
      <c r="N36" s="3"/>
      <c r="O36" s="3"/>
      <c r="P36" s="3"/>
    </row>
    <row r="37" ht="14.25" customHeight="1" spans="1:16">
      <c r="A37" s="2"/>
      <c r="B37" s="2"/>
      <c r="C37" s="2"/>
      <c r="D37" s="2"/>
      <c r="E37" s="3">
        <v>5552</v>
      </c>
      <c r="F37" s="3">
        <v>59342</v>
      </c>
      <c r="G37" s="3"/>
      <c r="H37" s="3"/>
      <c r="I37" s="4"/>
      <c r="J37" s="3">
        <v>50497</v>
      </c>
      <c r="K37" s="3"/>
      <c r="L37" s="3"/>
      <c r="M37" s="3"/>
      <c r="N37" s="3"/>
      <c r="O37" s="3"/>
      <c r="P37" s="3"/>
    </row>
    <row r="38" ht="14.25" customHeight="1" spans="1:16">
      <c r="A38" s="2"/>
      <c r="B38" s="2"/>
      <c r="C38" s="2"/>
      <c r="D38" s="2"/>
      <c r="E38" s="3">
        <v>11673</v>
      </c>
      <c r="F38" s="3">
        <v>126972</v>
      </c>
      <c r="G38" s="3"/>
      <c r="H38" s="3"/>
      <c r="I38" s="3"/>
      <c r="J38" s="3">
        <v>113667</v>
      </c>
      <c r="K38" s="3"/>
      <c r="L38" s="3"/>
      <c r="M38" s="3"/>
      <c r="N38" s="3"/>
      <c r="O38" s="3"/>
      <c r="P38" s="3"/>
    </row>
    <row r="39" ht="14.25" customHeight="1" spans="1:16">
      <c r="A39" s="2"/>
      <c r="B39" s="2"/>
      <c r="C39" s="2"/>
      <c r="D39" s="2"/>
      <c r="E39" s="3">
        <v>0</v>
      </c>
      <c r="F39" s="3">
        <v>0</v>
      </c>
      <c r="G39" s="3"/>
      <c r="H39" s="3"/>
      <c r="I39" s="3"/>
      <c r="J39" s="3">
        <v>0</v>
      </c>
      <c r="K39" s="3"/>
      <c r="L39" s="3"/>
      <c r="M39" s="3"/>
      <c r="N39" s="3"/>
      <c r="O39" s="3"/>
      <c r="P39" s="3"/>
    </row>
    <row r="40" ht="14.25" customHeight="1" spans="1:16">
      <c r="A40" s="2"/>
      <c r="B40" s="2"/>
      <c r="C40" s="2"/>
      <c r="D40" s="2"/>
      <c r="E40" s="3">
        <v>0</v>
      </c>
      <c r="F40" s="3">
        <v>0</v>
      </c>
      <c r="G40" s="3"/>
      <c r="H40" s="3"/>
      <c r="I40" s="3"/>
      <c r="J40" s="3">
        <v>0</v>
      </c>
      <c r="K40" s="3"/>
      <c r="L40" s="3"/>
      <c r="M40" s="3"/>
      <c r="N40" s="3"/>
      <c r="O40" s="3"/>
      <c r="P40" s="3"/>
    </row>
    <row r="41" ht="14.25" customHeight="1" spans="1:16">
      <c r="A41" s="2"/>
      <c r="B41" s="2"/>
      <c r="C41" s="2"/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Height="1" spans="1:16">
      <c r="A42" s="2"/>
      <c r="B42" s="2"/>
      <c r="C42" s="2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Height="1" spans="1:16">
      <c r="A43" s="2"/>
      <c r="B43" s="2"/>
      <c r="C43" s="2"/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4.25" customHeight="1" spans="1:16">
      <c r="A44" s="2"/>
      <c r="B44" s="2"/>
      <c r="C44" s="2" t="s">
        <v>50</v>
      </c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4.25" customHeight="1" spans="1:16">
      <c r="A45" s="2"/>
      <c r="B45" s="2"/>
      <c r="C45" s="2" t="s">
        <v>52</v>
      </c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4.25" customHeight="1" spans="1:16">
      <c r="A46" s="2"/>
      <c r="B46" s="2"/>
      <c r="C46" s="2" t="s">
        <v>54</v>
      </c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Height="1" spans="1:16">
      <c r="A47" s="2"/>
      <c r="B47" s="2"/>
      <c r="C47" s="2"/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延安石化厂装置生产完成情况（3-1）</vt:lpstr>
      <vt:lpstr>取值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同舟共济</cp:lastModifiedBy>
  <dcterms:created xsi:type="dcterms:W3CDTF">2015-06-06T02:19:00Z</dcterms:created>
  <dcterms:modified xsi:type="dcterms:W3CDTF">2026-09-08T09:45:00Z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6864D9804E6C92FD9C689F6A36B7A68F_42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