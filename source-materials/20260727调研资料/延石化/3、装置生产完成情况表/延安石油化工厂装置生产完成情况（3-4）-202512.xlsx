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延安石化厂装置生产完成情况（3-4）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E6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#Input("延安石油化工厂_生产_装置生产完成情况4_20烷基化装置_原料处理量",":key{{dw}}")</t>
        </r>
      </text>
    </comment>
    <comment ref="E7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#Input("延安石油化工厂_生产_装置生产完成情况4_20烷基化装置_混合C4",":key{{dw}}")</t>
        </r>
      </text>
    </comment>
    <comment ref="E8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#Input("延安石油化工厂_生产_装置生产完成情况4_20烷基化装置_开工异丁烷",":key{{dw}}")</t>
        </r>
      </text>
    </comment>
    <comment ref="E9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#Input("延安石油化工厂_生产_装置生产完成情况4_20烷基化装置_氢气",":key{{dw}}")</t>
        </r>
      </text>
    </comment>
    <comment ref="E10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#Input("延安石油化工厂_生产_装置生产完成情况4_20烷基化装置_开工异辛烷组分",":key{{dw}}")</t>
        </r>
      </text>
    </comment>
    <comment ref="E11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#Input("延安石油化工厂_生产_装置生产完成情况4_20烷基化装置_异辛烷组分",":key{{dw}}")</t>
        </r>
      </text>
    </comment>
    <comment ref="E12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#Input("延安石油化工厂_生产_装置生产完成情况4_20烷基化装置_烷基化碳四",":key{{dw}}")</t>
        </r>
      </text>
    </comment>
    <comment ref="E13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#Input("延安石油化工厂_生产_装置生产完成情况4_20烷基化装置_预处理碳四",":key{{dw}}")</t>
        </r>
      </text>
    </comment>
    <comment ref="E14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#Input("延安石油化工厂_生产_装置生产完成情况4_20烷基化装置_正丁烷",":key{{dw}}")</t>
        </r>
      </text>
    </comment>
    <comment ref="E15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#Input("延安石油化工厂_生产_装置生产完成情况4_20烷基化装置_干气",":key{{dw}}")</t>
        </r>
      </text>
    </comment>
    <comment ref="E16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#Input("延安石油化工厂_生产_装置生产完成情况4_20烷基化装置_不合格产品",":key{{dw}}")</t>
        </r>
      </text>
    </comment>
    <comment ref="E18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#Input("延安石油化工厂_生产_装置生产完成情况4_30混合脱氢装置_原料处理量",":key{{dw}}")</t>
        </r>
      </text>
    </comment>
    <comment ref="E19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#Input("延安石油化工厂_生产_装置生产完成情况4_30混合脱氢装置_丙烷",":key{{dw}}")</t>
        </r>
      </text>
    </comment>
    <comment ref="E20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#Input("延安石油化工厂_生产_装置生产完成情况4_30混合脱氢装置_饱和液化气",":key{{dw}}")</t>
        </r>
      </text>
    </comment>
    <comment ref="E21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#Input("延安石油化工厂_生产_装置生产完成情况4_30混合脱氢装置_烷基化碳四",":key{{dw}}")</t>
        </r>
      </text>
    </comment>
    <comment ref="E22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#Input("延安石油化工厂_生产_装置生产完成情况4_30混合脱氢装置_醚后碳四",":key{{dw}}")</t>
        </r>
      </text>
    </comment>
    <comment ref="E23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#Input("延安石油化工厂_生产_装置生产完成情况4_30混合脱氢装置_丙烯",":key{{dw}}")</t>
        </r>
      </text>
    </comment>
    <comment ref="E24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#Input("延安石油化工厂_生产_装置生产完成情况4_30混合脱氢装置_富异丁烯碳四",":key{{dw}}")</t>
        </r>
      </text>
    </comment>
    <comment ref="E25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#Input("延安石油化工厂_生产_装置生产完成情况4_30混合脱氢装置_再生碳四",":key{{dw}}")</t>
        </r>
      </text>
    </comment>
    <comment ref="E26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#Input("延安石油化工厂_生产_装置生产完成情况4_30混合脱氢装置_正丁烷",":key{{dw}}")</t>
        </r>
      </text>
    </comment>
    <comment ref="E27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#Input("延安石油化工厂_生产_装置生产完成情况4_30混合脱氢装置_轻污油",":key{{dw}}")</t>
        </r>
      </text>
    </comment>
    <comment ref="E28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#Input("延安石油化工厂_生产_装置生产完成情况4_30混合脱氢装置_燃料气",":key{{dw}}")</t>
        </r>
      </text>
    </comment>
    <comment ref="E29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#Input("延安石油化工厂_生产_装置生产完成情况4_30混合脱氢装置_氢气",":key{{dw}}")</t>
        </r>
      </text>
    </comment>
    <comment ref="E30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#Input("延安石油化工厂_生产_装置生产完成情况4_30混合脱氢装置_不合格产品",":key{{dw}}")</t>
        </r>
      </text>
    </comment>
    <comment ref="E32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#Input("延安石油化工厂_生产_装置生产完成情况4_25MTBE装置_原料处理量",":key{{dw}}")</t>
        </r>
      </text>
    </comment>
    <comment ref="E33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#Input("延安石油化工厂_生产_装置生产完成情况4_25MTBE装置_富异丁烯碳四",":key{{dw}}")</t>
        </r>
      </text>
    </comment>
    <comment ref="E34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#Input("延安石油化工厂_生产_装置生产完成情况4_25MTBE装置_预处理碳四",":key{{dw}}")</t>
        </r>
      </text>
    </comment>
    <comment ref="E35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#Input("延安石油化工厂_生产_装置生产完成情况4_25MTBE装置_再生碳四",":key{{dw}}")</t>
        </r>
      </text>
    </comment>
    <comment ref="E36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#Input("延安石油化工厂_生产_装置生产完成情况4_25MTBE装置_甲醇",":key{{dw}}")</t>
        </r>
      </text>
    </comment>
    <comment ref="E37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#Input("延安石油化工厂_生产_装置生产完成情况4_25MTBE装置_MTBE",":key{{dw}}")</t>
        </r>
      </text>
    </comment>
    <comment ref="E38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#Input("延安石油化工厂_生产_装置生产完成情况4_25MTBE装置_醚后碳四",":key{{dw}}")</t>
        </r>
      </text>
    </comment>
    <comment ref="E39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#Input("延安石油化工厂_生产_装置生产完成情况4_25MTBE装置_不合格产品",":key{{dw}}")</t>
        </r>
      </text>
    </comment>
    <comment ref="D42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#Input("延安石油化工厂_生产_装置生产完成情况4_主管领导",":key{{dw}}")</t>
        </r>
      </text>
    </comment>
    <comment ref="G42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#Input("延安石油化工厂_生产_装置生产完成情况4_单位负责人",":key{{dw}}")</t>
        </r>
      </text>
    </comment>
    <comment ref="J42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#Input("延安石油化工厂_生产_装置生产完成情况4_填报人",":key{{dw}}")</t>
        </r>
      </text>
    </comment>
  </commentList>
</comments>
</file>

<file path=xl/sharedStrings.xml><?xml version="1.0" encoding="utf-8"?>
<sst xmlns="http://schemas.openxmlformats.org/spreadsheetml/2006/main" count="108" uniqueCount="63">
  <si>
    <t>延安石化厂装置生产完成情况（3-4）</t>
  </si>
  <si>
    <t>编制单位：延安石油化工厂</t>
  </si>
  <si>
    <t>日期：</t>
  </si>
  <si>
    <t>2025-12</t>
  </si>
  <si>
    <t>附表3-4</t>
  </si>
  <si>
    <t>单位名称</t>
  </si>
  <si>
    <t>装置名称</t>
  </si>
  <si>
    <t>指标名称</t>
  </si>
  <si>
    <t>产量（吨）</t>
  </si>
  <si>
    <t>收率（%）</t>
  </si>
  <si>
    <t>去年同期</t>
  </si>
  <si>
    <t>备注</t>
  </si>
  <si>
    <t>本月</t>
  </si>
  <si>
    <t>累计</t>
  </si>
  <si>
    <t>产量</t>
  </si>
  <si>
    <t>收率</t>
  </si>
  <si>
    <t>轻   
烃
中
心</t>
  </si>
  <si>
    <t>20
万
吨/
年
烷
基
化
装
置</t>
  </si>
  <si>
    <t>原料处理量</t>
  </si>
  <si>
    <t>/</t>
  </si>
  <si>
    <t xml:space="preserve"> 其中：混合C4</t>
  </si>
  <si>
    <t xml:space="preserve">       开工异丁烷</t>
  </si>
  <si>
    <t xml:space="preserve">       氢气</t>
  </si>
  <si>
    <t xml:space="preserve">       开工异辛烷组分</t>
  </si>
  <si>
    <t xml:space="preserve"> 异辛烷组分</t>
  </si>
  <si>
    <t xml:space="preserve"> 烷基化碳四</t>
  </si>
  <si>
    <t xml:space="preserve"> 预处理碳四</t>
  </si>
  <si>
    <t xml:space="preserve"> 正丁烷</t>
  </si>
  <si>
    <t xml:space="preserve"> 干气</t>
  </si>
  <si>
    <t xml:space="preserve"> 不合格产品</t>
  </si>
  <si>
    <t xml:space="preserve"> 加工损失</t>
  </si>
  <si>
    <t>30
万
吨/
年
混
合
脱
氢
装
置</t>
  </si>
  <si>
    <t xml:space="preserve"> 原料处理量</t>
  </si>
  <si>
    <t xml:space="preserve"> 其中：丙烷</t>
  </si>
  <si>
    <t xml:space="preserve">      饱和液化气</t>
  </si>
  <si>
    <t xml:space="preserve">      烷基化碳四</t>
  </si>
  <si>
    <t xml:space="preserve">      醚后碳四</t>
  </si>
  <si>
    <t>丙烯</t>
  </si>
  <si>
    <t>富异丁烯碳四</t>
  </si>
  <si>
    <t>再生碳四</t>
  </si>
  <si>
    <t>正丁烷</t>
  </si>
  <si>
    <t>轻污油</t>
  </si>
  <si>
    <t>燃料气</t>
  </si>
  <si>
    <t>氢气</t>
  </si>
  <si>
    <t>不合格产品</t>
  </si>
  <si>
    <t>加工损失</t>
  </si>
  <si>
    <t xml:space="preserve"> 25
万
吨/
年
MTBE
装
置</t>
  </si>
  <si>
    <t xml:space="preserve">  其中：富异丁烯碳四</t>
  </si>
  <si>
    <t xml:space="preserve">        预处理碳四</t>
  </si>
  <si>
    <t xml:space="preserve">        再生碳四</t>
  </si>
  <si>
    <t xml:space="preserve">        甲醇</t>
  </si>
  <si>
    <t>MTBE</t>
  </si>
  <si>
    <t>醚后碳四</t>
  </si>
  <si>
    <t>备注：</t>
  </si>
  <si>
    <t>主管领导：</t>
  </si>
  <si>
    <t>陈张友</t>
  </si>
  <si>
    <t>单位负责人：</t>
  </si>
  <si>
    <t>温铜川</t>
  </si>
  <si>
    <t>填报人：</t>
  </si>
  <si>
    <t>李洛娟</t>
  </si>
  <si>
    <t>报表生成时间：</t>
  </si>
  <si>
    <t>2026-01-01</t>
  </si>
  <si>
    <t xml:space="preserve"> 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</si>
</sst>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.00_ "/>
    <numFmt numFmtId="172" formatCode="0_ "/>
  </numFmts>
  <fonts count="19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b/>
      <sz val="18"/>
      <color theme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</patternFill>
    </fill>
  </fills>
  <borders count="20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47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</cellStyleXfs>
  <cellXfs count="113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0" fillId="0" borderId="10" xfId="0" applyFont="1" applyBorder="1">
      <alignment vertical="center"/>
    </xf>
    <xf numFmtId="0" fontId="0" fillId="0" borderId="10" xfId="0" applyFont="1" applyBorder="1">
      <alignment horizontal="center" vertical="center"/>
    </xf>
    <xf numFmtId="0" fontId="0" fillId="0" borderId="11" xfId="0" applyFont="1" applyBorder="1">
      <alignment vertical="center"/>
    </xf>
    <xf numFmtId="171" fontId="0" fillId="0" borderId="10" xfId="0" applyFont="1" applyBorder="1" applyNumberFormat="1">
      <alignment vertical="center"/>
    </xf>
    <xf numFmtId="171" fontId="0" fillId="0" borderId="10" xfId="0" applyFont="1" applyBorder="1" applyNumberFormat="1">
      <alignment horizontal="center" vertical="center"/>
    </xf>
    <xf numFmtId="0" fontId="0" fillId="0" borderId="12" xfId="0" applyFont="1" applyBorder="1">
      <alignment vertical="center"/>
    </xf>
    <xf numFmtId="0" fontId="0" fillId="0" borderId="12" xfId="0" applyFont="1" applyBorder="1">
      <alignment horizontal="right" vertical="center"/>
    </xf>
    <xf numFmtId="0" fontId="0" fillId="33" borderId="0" xfId="0" applyFont="1" applyFill="1"/>
    <xf numFmtId="172" fontId="0" fillId="0" borderId="10" xfId="0" applyFont="1" applyBorder="1" applyNumberFormat="1">
      <alignment vertical="center"/>
    </xf>
    <xf numFmtId="172" fontId="0" fillId="0" borderId="10" xfId="0" applyFont="1" applyBorder="1" applyNumberFormat="1">
      <alignment horizontal="right" vertical="center"/>
    </xf>
    <xf numFmtId="172" fontId="0" fillId="0" borderId="10" xfId="0" applyFont="1" applyBorder="1" applyNumberFormat="1">
      <alignment horizontal="left" vertical="center"/>
    </xf>
    <xf numFmtId="0" fontId="16" fillId="0" borderId="0" xfId="0" applyFont="1">
      <alignment horizontal="right" vertical="center"/>
    </xf>
    <xf numFmtId="0" fontId="16" fillId="0" borderId="0" xfId="0" applyFont="1">
      <alignment horizontal="left" vertical="center"/>
    </xf>
    <xf numFmtId="0" fontId="0" fillId="0" borderId="13" xfId="0" applyFont="1" applyBorder="1">
      <alignment horizontal="center" vertical="center"/>
    </xf>
    <xf numFmtId="0" fontId="0" fillId="0" borderId="11" xfId="0" applyFont="1" applyBorder="1">
      <alignment horizontal="center" vertical="center"/>
    </xf>
    <xf numFmtId="0" fontId="0" fillId="0" borderId="14" xfId="0" applyFont="1" applyBorder="1">
      <alignment horizontal="center" vertical="center"/>
    </xf>
    <xf numFmtId="0" fontId="0" fillId="0" borderId="15" xfId="0" applyFont="1" applyBorder="1">
      <alignment horizontal="center" vertical="center"/>
    </xf>
    <xf numFmtId="0" fontId="18" fillId="0" borderId="16" xfId="0" applyFont="1" applyBorder="1">
      <alignment horizontal="center" vertical="center"/>
    </xf>
    <xf numFmtId="0" fontId="18" fillId="0" borderId="17" xfId="0" applyFont="1" applyBorder="1">
      <alignment horizontal="center" vertical="center"/>
    </xf>
    <xf numFmtId="0" fontId="18" fillId="0" borderId="18" xfId="0" applyFont="1" applyBorder="1">
      <alignment horizontal="center" vertical="center"/>
    </xf>
    <xf numFmtId="0" fontId="0" fillId="0" borderId="12" xfId="0" applyFont="1" applyBorder="1">
      <alignment horizontal="right" vertical="center"/>
    </xf>
    <xf numFmtId="0" fontId="0" fillId="0" borderId="13" xfId="0" applyFont="1" applyBorder="1">
      <alignment horizontal="left" vertical="center"/>
    </xf>
    <xf numFmtId="0" fontId="0" fillId="0" borderId="12" xfId="0" applyFont="1" applyBorder="1">
      <alignment horizontal="left" vertical="center"/>
    </xf>
    <xf numFmtId="0" fontId="0" fillId="0" borderId="13" xfId="0" applyFont="1" applyBorder="1">
      <alignment horizontal="left" vertical="top"/>
    </xf>
    <xf numFmtId="0" fontId="0" fillId="0" borderId="12" xfId="0" applyFont="1" applyBorder="1">
      <alignment horizontal="left" vertical="top"/>
    </xf>
    <xf numFmtId="0" fontId="0" fillId="0" borderId="11" xfId="0" applyFont="1" applyBorder="1">
      <alignment horizontal="left" vertical="top"/>
    </xf>
    <xf numFmtId="0" fontId="0" fillId="0" borderId="14" xfId="0" applyFont="1" applyBorder="1">
      <alignment horizontal="center" vertical="center" wrapText="1"/>
    </xf>
    <xf numFmtId="0" fontId="0" fillId="0" borderId="19" xfId="0" applyFont="1" applyBorder="1">
      <alignment horizontal="center" vertical="center" wrapText="1"/>
    </xf>
    <xf numFmtId="0" fontId="0" fillId="0" borderId="15" xfId="0" applyFont="1" applyBorder="1">
      <alignment horizontal="center" vertical="center" wrapText="1"/>
    </xf>
    <xf numFmtId="0" fontId="0" fillId="0" borderId="19" xfId="0" applyFont="1" applyBorder="1">
      <alignment horizontal="center" vertical="center"/>
    </xf>
    <xf numFmtId="172" fontId="0" fillId="0" borderId="10" xfId="0" applyFont="1" applyBorder="1" applyNumberFormat="1">
      <alignment horizontal="left" vertical="center"/>
    </xf>
    <xf numFmtId="0" fontId="0" fillId="0" borderId="0" xfId="0" applyFont="1">
      <alignment wrapText="1"/>
    </xf>
    <xf numFmtId="0" fontId="18" fillId="0" borderId="16" xfId="0" applyFont="1" applyBorder="1">
      <alignment horizontal="center" vertical="center" wrapText="1"/>
    </xf>
    <xf numFmtId="0" fontId="18" fillId="0" borderId="17" xfId="0" applyFont="1" applyBorder="1">
      <alignment horizontal="center" vertical="center" wrapText="1"/>
    </xf>
    <xf numFmtId="0" fontId="18" fillId="0" borderId="18" xfId="0" applyFont="1" applyBorder="1">
      <alignment horizontal="center" vertical="center" wrapText="1"/>
    </xf>
    <xf numFmtId="0" fontId="0" fillId="0" borderId="13" xfId="0" applyFont="1" applyBorder="1">
      <alignment horizontal="left" vertical="center" wrapText="1"/>
    </xf>
    <xf numFmtId="0" fontId="0" fillId="0" borderId="12" xfId="0" applyFont="1" applyBorder="1">
      <alignment horizontal="left" vertical="center" wrapText="1"/>
    </xf>
    <xf numFmtId="0" fontId="0" fillId="0" borderId="12" xfId="0" applyFont="1" applyBorder="1">
      <alignment horizontal="right" vertical="center" wrapText="1"/>
    </xf>
    <xf numFmtId="0" fontId="0" fillId="0" borderId="12" xfId="0" applyFont="1" applyBorder="1">
      <alignment vertical="center" wrapText="1"/>
    </xf>
    <xf numFmtId="0" fontId="0" fillId="0" borderId="12" xfId="0" applyFont="1" applyBorder="1">
      <alignment horizontal="right" vertical="center" wrapText="1"/>
    </xf>
    <xf numFmtId="0" fontId="0" fillId="0" borderId="11" xfId="0" applyFont="1" applyBorder="1">
      <alignment vertical="center" wrapText="1"/>
    </xf>
    <xf numFmtId="0" fontId="0" fillId="0" borderId="14" xfId="0" applyFont="1" applyBorder="1">
      <alignment horizontal="center" vertical="center" wrapText="1"/>
    </xf>
    <xf numFmtId="0" fontId="0" fillId="0" borderId="13" xfId="0" applyFont="1" applyBorder="1">
      <alignment horizontal="center" vertical="center" wrapText="1"/>
    </xf>
    <xf numFmtId="0" fontId="0" fillId="0" borderId="11" xfId="0" applyFont="1" applyBorder="1">
      <alignment horizontal="center" vertical="center" wrapText="1"/>
    </xf>
    <xf numFmtId="0" fontId="0" fillId="0" borderId="15" xfId="0" applyFont="1" applyBorder="1">
      <alignment horizontal="center" vertical="center" wrapText="1"/>
    </xf>
    <xf numFmtId="0" fontId="0" fillId="0" borderId="10" xfId="0" applyFont="1" applyBorder="1">
      <alignment horizontal="center" vertical="center" wrapText="1"/>
    </xf>
    <xf numFmtId="0" fontId="0" fillId="0" borderId="14" xfId="0" applyFont="1" applyBorder="1">
      <alignment horizontal="center" vertical="center" wrapText="1"/>
    </xf>
    <xf numFmtId="0" fontId="0" fillId="0" borderId="10" xfId="0" applyFont="1" applyBorder="1">
      <alignment vertical="center" wrapText="1"/>
    </xf>
    <xf numFmtId="172" fontId="0" fillId="0" borderId="10" xfId="0" applyFont="1" applyBorder="1" applyNumberFormat="1">
      <alignment vertical="center" wrapText="1"/>
      <protection locked="0"/>
    </xf>
    <xf numFmtId="172" fontId="0" fillId="0" borderId="10" xfId="0" applyFont="1" applyBorder="1" applyNumberFormat="1">
      <alignment vertical="center" wrapText="1"/>
    </xf>
    <xf numFmtId="171" fontId="0" fillId="0" borderId="10" xfId="0" applyFont="1" applyBorder="1" applyNumberFormat="1">
      <alignment horizontal="center" vertical="center" wrapText="1"/>
    </xf>
    <xf numFmtId="0" fontId="0" fillId="0" borderId="19" xfId="0" applyFont="1" applyBorder="1">
      <alignment horizontal="center" vertical="center" wrapText="1"/>
    </xf>
    <xf numFmtId="0" fontId="0" fillId="0" borderId="19" xfId="0" applyFont="1" applyBorder="1">
      <alignment horizontal="center" vertical="center" wrapText="1"/>
    </xf>
    <xf numFmtId="172" fontId="0" fillId="0" borderId="10" xfId="0" applyFont="1" applyBorder="1" applyNumberFormat="1">
      <alignment horizontal="right" vertical="center" wrapText="1"/>
      <protection locked="0"/>
    </xf>
    <xf numFmtId="172" fontId="0" fillId="0" borderId="10" xfId="0" applyFont="1" applyBorder="1" applyNumberFormat="1">
      <alignment horizontal="right" vertical="center" wrapText="1"/>
    </xf>
    <xf numFmtId="171" fontId="0" fillId="0" borderId="10" xfId="0" applyFont="1" applyBorder="1" applyNumberFormat="1">
      <alignment vertical="center" wrapText="1"/>
    </xf>
    <xf numFmtId="0" fontId="0" fillId="0" borderId="15" xfId="0" applyFont="1" applyBorder="1">
      <alignment horizontal="center" vertical="center" wrapText="1"/>
    </xf>
    <xf numFmtId="0" fontId="0" fillId="0" borderId="13" xfId="0" applyFont="1" applyBorder="1">
      <alignment horizontal="left" vertical="top" wrapText="1"/>
    </xf>
    <xf numFmtId="0" fontId="0" fillId="0" borderId="12" xfId="0" applyFont="1" applyBorder="1">
      <alignment horizontal="left" vertical="top" wrapText="1"/>
    </xf>
    <xf numFmtId="0" fontId="0" fillId="0" borderId="11" xfId="0" applyFont="1" applyBorder="1">
      <alignment horizontal="left" vertical="top" wrapText="1"/>
    </xf>
    <xf numFmtId="0" fontId="16" fillId="0" borderId="0" xfId="0" applyFont="1">
      <alignment horizontal="right" vertical="center" wrapText="1"/>
    </xf>
    <xf numFmtId="0" fontId="16" fillId="0" borderId="0" xfId="0" applyFont="1">
      <alignment horizontal="left" vertical="center" wrapText="1"/>
      <protection locked="0"/>
    </xf>
    <xf numFmtId="0" fontId="0" fillId="0" borderId="0" xfId="0" applyFont="1">
      <alignment wrapText="1"/>
    </xf>
    <xf numFmtId="172" fontId="0" fillId="0" borderId="10" xfId="0" applyFont="1" applyBorder="1" applyNumberFormat="1">
      <alignment horizontal="left" vertical="center" wrapText="1"/>
    </xf>
    <xf numFmtId="172" fontId="0" fillId="0" borderId="10" xfId="0" applyFont="1" applyBorder="1" applyNumberFormat="1">
      <alignment horizontal="left" vertical="center" wrapText="1"/>
    </xf>
    <xf numFmtId="0" fontId="0" fillId="33" borderId="0" xfId="0" applyFont="1" applyFill="1">
      <alignment wrapText="1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21AEB83-5E53-E5D8-CF3B-74C2F2BA678B}" mc:Ignorable="x14ac xr xr2 xr3">
  <dimension ref="A1:K42"/>
  <sheetViews>
    <sheetView defaultGridColor="0" colorId="31" topLeftCell="A1" showGridLines="0" workbookViewId="0" tabSelected="1">
      <pane ySplit="5" topLeftCell="A24" activePane="bottomLeft" state="frozen"/>
      <selection pane="bottomLeft" activeCell="A1" sqref="A1"/>
    </sheetView>
  </sheetViews>
  <sheetFormatPr customHeight="1" defaultRowHeight="14.100000000000001"/>
  <cols>
    <col min="1" max="1" width="2.7109375" customWidth="1"/>
    <col min="2" max="2" width="10.7109375" customWidth="1"/>
    <col min="3" max="3" width="18.28125" customWidth="1"/>
    <col min="4" max="4" width="23.421875" customWidth="1"/>
    <col min="5" max="10" width="13.7109375" customWidth="1"/>
    <col min="11" max="11" width="16.57421875" customWidth="1"/>
  </cols>
  <sheetData>
    <row customHeight="1" ht="2.25">
      <c r="A1" s="78"/>
      <c r="B1" s="78"/>
      <c r="C1" s="78"/>
      <c r="D1" s="78"/>
      <c r="E1" s="78"/>
      <c r="F1" s="78"/>
      <c r="G1" s="78"/>
      <c r="H1" s="78"/>
      <c r="I1" s="78"/>
      <c r="J1" s="78"/>
      <c r="K1" s="78"/>
    </row>
    <row customHeight="1" ht="22.5">
      <c r="A2" s="78"/>
      <c r="B2" s="79" t="s">
        <v>0</v>
      </c>
      <c r="C2" s="80"/>
      <c r="D2" s="80"/>
      <c r="E2" s="80"/>
      <c r="F2" s="80"/>
      <c r="G2" s="80"/>
      <c r="H2" s="80"/>
      <c r="I2" s="80"/>
      <c r="J2" s="80"/>
      <c r="K2" s="81"/>
    </row>
    <row customHeight="1" ht="14.25">
      <c r="A3" s="78"/>
      <c r="B3" s="82" t="s">
        <v>1</v>
      </c>
      <c r="C3" s="83"/>
      <c r="D3" s="84" t="s">
        <v>2</v>
      </c>
      <c r="E3" s="85" t="s">
        <v>3</v>
      </c>
      <c r="F3" s="85"/>
      <c r="G3" s="86" t="str">
        <f>取值!A2&amp;取值!B2&amp;取值!C2</f>
        <v>报表生成时间：2026-01-01 8:00:00</v>
      </c>
      <c r="H3" s="86"/>
      <c r="I3" s="86"/>
      <c r="J3" s="86"/>
      <c r="K3" s="87" t="s">
        <v>4</v>
      </c>
    </row>
    <row customHeight="1" ht="14.25">
      <c r="A4" s="78"/>
      <c r="B4" s="88" t="s">
        <v>5</v>
      </c>
      <c r="C4" s="88" t="s">
        <v>6</v>
      </c>
      <c r="D4" s="88" t="s">
        <v>7</v>
      </c>
      <c r="E4" s="89" t="s">
        <v>8</v>
      </c>
      <c r="F4" s="90"/>
      <c r="G4" s="89" t="s">
        <v>9</v>
      </c>
      <c r="H4" s="90"/>
      <c r="I4" s="89" t="s">
        <v>10</v>
      </c>
      <c r="J4" s="90"/>
      <c r="K4" s="88" t="s">
        <v>11</v>
      </c>
    </row>
    <row customHeight="1" ht="14.25">
      <c r="A5" s="78"/>
      <c r="B5" s="91"/>
      <c r="C5" s="91"/>
      <c r="D5" s="91"/>
      <c r="E5" s="92" t="s">
        <v>12</v>
      </c>
      <c r="F5" s="92" t="s">
        <v>13</v>
      </c>
      <c r="G5" s="92" t="s">
        <v>12</v>
      </c>
      <c r="H5" s="92" t="s">
        <v>13</v>
      </c>
      <c r="I5" s="92" t="s">
        <v>14</v>
      </c>
      <c r="J5" s="92" t="s">
        <v>15</v>
      </c>
      <c r="K5" s="91"/>
    </row>
    <row customHeight="1" ht="15">
      <c r="A6" s="78"/>
      <c r="B6" s="73" t="s">
        <v>16</v>
      </c>
      <c r="C6" s="73" t="s">
        <v>17</v>
      </c>
      <c r="D6" s="94" t="s">
        <v>18</v>
      </c>
      <c r="E6" s="95">
        <v>31693.2</v>
      </c>
      <c r="F6" s="96">
        <f>_xlfn.IFERROR(SUM(F7:F10),"")</f>
        <v>349590</v>
      </c>
      <c r="G6" s="97" t="s">
        <v>19</v>
      </c>
      <c r="H6" s="97" t="s">
        <v>19</v>
      </c>
      <c r="I6" s="96">
        <f>取值!M5</f>
        <v>0</v>
      </c>
      <c r="J6" s="97" t="s">
        <v>19</v>
      </c>
      <c r="K6" s="94"/>
    </row>
    <row customHeight="1" ht="15">
      <c r="A7" s="78"/>
      <c r="B7" s="74"/>
      <c r="C7" s="99"/>
      <c r="D7" s="94" t="s">
        <v>20</v>
      </c>
      <c r="E7" s="100">
        <v>31687</v>
      </c>
      <c r="F7" s="101">
        <f>取值!F7</f>
        <v>349517</v>
      </c>
      <c r="G7" s="97" t="s">
        <v>19</v>
      </c>
      <c r="H7" s="97" t="s">
        <v>19</v>
      </c>
      <c r="I7" s="96">
        <f>取值!M6</f>
        <v>0</v>
      </c>
      <c r="J7" s="97" t="s">
        <v>19</v>
      </c>
      <c r="K7" s="94"/>
    </row>
    <row customHeight="1" ht="15">
      <c r="A8" s="78"/>
      <c r="B8" s="74"/>
      <c r="C8" s="99"/>
      <c r="D8" s="94" t="s">
        <v>21</v>
      </c>
      <c r="E8" s="100">
        <v>0</v>
      </c>
      <c r="F8" s="101">
        <f>取值!F6</f>
        <v>0</v>
      </c>
      <c r="G8" s="97" t="s">
        <v>19</v>
      </c>
      <c r="H8" s="97" t="s">
        <v>19</v>
      </c>
      <c r="I8" s="96">
        <f>取值!M7</f>
        <v>0</v>
      </c>
      <c r="J8" s="97" t="s">
        <v>19</v>
      </c>
      <c r="K8" s="94"/>
    </row>
    <row customHeight="1" ht="15">
      <c r="A9" s="78"/>
      <c r="B9" s="74"/>
      <c r="C9" s="99"/>
      <c r="D9" s="94" t="s">
        <v>22</v>
      </c>
      <c r="E9" s="100">
        <v>6.2</v>
      </c>
      <c r="F9" s="101">
        <f>取值!F8</f>
        <v>73</v>
      </c>
      <c r="G9" s="97" t="s">
        <v>19</v>
      </c>
      <c r="H9" s="97" t="s">
        <v>19</v>
      </c>
      <c r="I9" s="96">
        <f>取值!M8</f>
        <v>0</v>
      </c>
      <c r="J9" s="97" t="s">
        <v>19</v>
      </c>
      <c r="K9" s="94"/>
    </row>
    <row customHeight="1" ht="15">
      <c r="A10" s="78"/>
      <c r="B10" s="74"/>
      <c r="C10" s="99"/>
      <c r="D10" s="94" t="s">
        <v>23</v>
      </c>
      <c r="E10" s="100">
        <v>0</v>
      </c>
      <c r="F10" s="101">
        <f>取值!F5</f>
        <v>0</v>
      </c>
      <c r="G10" s="97" t="s">
        <v>19</v>
      </c>
      <c r="H10" s="97" t="s">
        <v>19</v>
      </c>
      <c r="I10" s="96">
        <f>取值!M9</f>
        <v>0</v>
      </c>
      <c r="J10" s="97" t="s">
        <v>19</v>
      </c>
      <c r="K10" s="94"/>
    </row>
    <row customHeight="1" ht="15">
      <c r="A11" s="78"/>
      <c r="B11" s="74"/>
      <c r="C11" s="99"/>
      <c r="D11" s="94" t="s">
        <v>24</v>
      </c>
      <c r="E11" s="100">
        <v>19752</v>
      </c>
      <c r="F11" s="101">
        <f>取值!F9</f>
        <v>230334</v>
      </c>
      <c r="G11" s="102">
        <f>_xlfn.IFERROR(E11/E6*100,0)</f>
        <v>62.3225171330128</v>
      </c>
      <c r="H11" s="102">
        <f>_xlfn.IFERROR(F11/F6*100,0)</f>
        <v>65.8868960782631</v>
      </c>
      <c r="I11" s="96">
        <f>取值!M10</f>
        <v>0</v>
      </c>
      <c r="J11" s="102">
        <f>_xlfn.IFERROR(I11/I$6*100,0)</f>
        <v>0</v>
      </c>
      <c r="K11" s="94"/>
    </row>
    <row customHeight="1" ht="15">
      <c r="A12" s="78"/>
      <c r="B12" s="74"/>
      <c r="C12" s="99"/>
      <c r="D12" s="94" t="s">
        <v>25</v>
      </c>
      <c r="E12" s="100">
        <v>6730</v>
      </c>
      <c r="F12" s="101">
        <f>取值!F10</f>
        <v>61856</v>
      </c>
      <c r="G12" s="102">
        <f>_xlfn.IFERROR(E12/E6*100,0)</f>
        <v>21.2348390190956</v>
      </c>
      <c r="H12" s="102">
        <f>_xlfn.IFERROR(F12/F6*100,0)</f>
        <v>17.6938699619554</v>
      </c>
      <c r="I12" s="96">
        <f>取值!M11</f>
        <v>0</v>
      </c>
      <c r="J12" s="102">
        <f>_xlfn.IFERROR(I12/I$6*100,0)</f>
        <v>0</v>
      </c>
      <c r="K12" s="94"/>
    </row>
    <row customHeight="1" ht="15">
      <c r="A13" s="78"/>
      <c r="B13" s="74"/>
      <c r="C13" s="99"/>
      <c r="D13" s="94" t="s">
        <v>26</v>
      </c>
      <c r="E13" s="100">
        <v>0</v>
      </c>
      <c r="F13" s="101">
        <f>取值!F11</f>
        <v>0</v>
      </c>
      <c r="G13" s="102">
        <f>_xlfn.IFERROR(E13/E6*100,0)</f>
        <v>0</v>
      </c>
      <c r="H13" s="102">
        <f>_xlfn.IFERROR(F13/F6*100,0)</f>
        <v>0</v>
      </c>
      <c r="I13" s="96">
        <f>取值!M12</f>
        <v>0</v>
      </c>
      <c r="J13" s="102">
        <f>_xlfn.IFERROR(I13/I$6*100,0)</f>
        <v>0</v>
      </c>
      <c r="K13" s="94"/>
    </row>
    <row customHeight="1" ht="15">
      <c r="A14" s="78"/>
      <c r="B14" s="74"/>
      <c r="C14" s="99"/>
      <c r="D14" s="94" t="s">
        <v>27</v>
      </c>
      <c r="E14" s="100">
        <v>4251</v>
      </c>
      <c r="F14" s="101">
        <f>取值!F12</f>
        <v>46684</v>
      </c>
      <c r="G14" s="102">
        <f>_xlfn.IFERROR(E14/E6*100,0)</f>
        <v>13.4129718677824</v>
      </c>
      <c r="H14" s="102">
        <f>_xlfn.IFERROR(F14/F6*100,0)</f>
        <v>13.3539288881261</v>
      </c>
      <c r="I14" s="96">
        <f>取值!M13</f>
        <v>0</v>
      </c>
      <c r="J14" s="102">
        <f>_xlfn.IFERROR(I14/I$6*100,0)</f>
        <v>0</v>
      </c>
      <c r="K14" s="94"/>
    </row>
    <row customHeight="1" ht="15">
      <c r="A15" s="78"/>
      <c r="B15" s="74"/>
      <c r="C15" s="99"/>
      <c r="D15" s="94" t="s">
        <v>28</v>
      </c>
      <c r="E15" s="100">
        <v>642</v>
      </c>
      <c r="F15" s="101">
        <f>取值!F13</f>
        <v>7219</v>
      </c>
      <c r="G15" s="102">
        <f>_xlfn.IFERROR(E15/E6*100,0)</f>
        <v>2.02567112188103</v>
      </c>
      <c r="H15" s="102">
        <f>_xlfn.IFERROR(F15/F6*100,0)</f>
        <v>2.06499041734603</v>
      </c>
      <c r="I15" s="96">
        <f>取值!M14</f>
        <v>0</v>
      </c>
      <c r="J15" s="102">
        <f>_xlfn.IFERROR(I15/I$6*100,0)</f>
        <v>0</v>
      </c>
      <c r="K15" s="94"/>
    </row>
    <row customHeight="1" ht="15">
      <c r="A16" s="78"/>
      <c r="B16" s="74"/>
      <c r="C16" s="99"/>
      <c r="D16" s="94" t="s">
        <v>29</v>
      </c>
      <c r="E16" s="100">
        <v>0</v>
      </c>
      <c r="F16" s="101">
        <f>取值!F14</f>
        <v>0</v>
      </c>
      <c r="G16" s="102">
        <f>_xlfn.IFERROR(E16/E6*100,0)</f>
        <v>0</v>
      </c>
      <c r="H16" s="102">
        <f>_xlfn.IFERROR(F16/F6*100,0)</f>
        <v>0</v>
      </c>
      <c r="I16" s="96">
        <f>取值!M15</f>
        <v>0</v>
      </c>
      <c r="J16" s="102">
        <f>_xlfn.IFERROR(I16/I$6*100,0)</f>
        <v>0</v>
      </c>
      <c r="K16" s="94"/>
    </row>
    <row customHeight="1" ht="15">
      <c r="A17" s="78"/>
      <c r="B17" s="74"/>
      <c r="C17" s="91"/>
      <c r="D17" s="94" t="s">
        <v>30</v>
      </c>
      <c r="E17" s="101">
        <f>E6-SUM(E11,E12,E13,E14,E15,E16)</f>
        <v>318.200000000001</v>
      </c>
      <c r="F17" s="101">
        <f>F6-SUM(F11,F12,F13,F14,F15,F16)</f>
        <v>3497</v>
      </c>
      <c r="G17" s="102">
        <f>_xlfn.IFERROR(E17/E6*100,0)</f>
        <v>1.00400085822827</v>
      </c>
      <c r="H17" s="102">
        <f>_xlfn.IFERROR(F17/F6*100,0)</f>
        <v>1.00031465430933</v>
      </c>
      <c r="I17" s="101">
        <f>_xlfn.IFERROR(I6-SUM(I11,I12,I13,I14,I15,I16),0)</f>
        <v>0</v>
      </c>
      <c r="J17" s="102">
        <f>_xlfn.IFERROR(I17/I$6*100,0)</f>
        <v>0</v>
      </c>
      <c r="K17" s="94"/>
    </row>
    <row customHeight="1" ht="15">
      <c r="A18" s="78"/>
      <c r="B18" s="74"/>
      <c r="C18" s="73" t="s">
        <v>31</v>
      </c>
      <c r="D18" s="94" t="s">
        <v>32</v>
      </c>
      <c r="E18" s="100">
        <v>58392</v>
      </c>
      <c r="F18" s="101">
        <f>_xlfn.IFERROR(SUM(F19:F22),"")</f>
        <v>545061</v>
      </c>
      <c r="G18" s="102"/>
      <c r="H18" s="102"/>
      <c r="I18" s="96">
        <f>取值!M17</f>
        <v>0</v>
      </c>
      <c r="J18" s="97" t="s">
        <v>19</v>
      </c>
      <c r="K18" s="94"/>
    </row>
    <row customHeight="1" ht="15">
      <c r="A19" s="78"/>
      <c r="B19" s="74"/>
      <c r="C19" s="99"/>
      <c r="D19" s="94" t="s">
        <v>33</v>
      </c>
      <c r="E19" s="100">
        <v>8518</v>
      </c>
      <c r="F19" s="101">
        <f>取值!F17</f>
        <v>85819</v>
      </c>
      <c r="G19" s="97" t="s">
        <v>19</v>
      </c>
      <c r="H19" s="97" t="s">
        <v>19</v>
      </c>
      <c r="I19" s="96">
        <f>取值!M18</f>
        <v>0</v>
      </c>
      <c r="J19" s="97" t="s">
        <v>19</v>
      </c>
      <c r="K19" s="94"/>
    </row>
    <row customHeight="1" ht="15">
      <c r="A20" s="78"/>
      <c r="B20" s="74"/>
      <c r="C20" s="99"/>
      <c r="D20" s="94" t="s">
        <v>34</v>
      </c>
      <c r="E20" s="100">
        <v>13546</v>
      </c>
      <c r="F20" s="101">
        <f>取值!F18</f>
        <v>110180</v>
      </c>
      <c r="G20" s="97" t="s">
        <v>19</v>
      </c>
      <c r="H20" s="97" t="s">
        <v>19</v>
      </c>
      <c r="I20" s="96">
        <f>取值!M19</f>
        <v>0</v>
      </c>
      <c r="J20" s="97" t="s">
        <v>19</v>
      </c>
      <c r="K20" s="94"/>
    </row>
    <row customHeight="1" ht="15">
      <c r="A21" s="78"/>
      <c r="B21" s="74"/>
      <c r="C21" s="99"/>
      <c r="D21" s="94" t="s">
        <v>35</v>
      </c>
      <c r="E21" s="100">
        <v>14674</v>
      </c>
      <c r="F21" s="101">
        <f>取值!F19</f>
        <v>132805</v>
      </c>
      <c r="G21" s="97" t="s">
        <v>19</v>
      </c>
      <c r="H21" s="97" t="s">
        <v>19</v>
      </c>
      <c r="I21" s="96">
        <f>取值!M20</f>
        <v>0</v>
      </c>
      <c r="J21" s="97" t="s">
        <v>19</v>
      </c>
      <c r="K21" s="94"/>
    </row>
    <row customHeight="1" ht="15">
      <c r="A22" s="78"/>
      <c r="B22" s="74"/>
      <c r="C22" s="99"/>
      <c r="D22" s="94" t="s">
        <v>36</v>
      </c>
      <c r="E22" s="100">
        <v>21654</v>
      </c>
      <c r="F22" s="101">
        <f>取值!F20</f>
        <v>216257</v>
      </c>
      <c r="G22" s="97" t="s">
        <v>19</v>
      </c>
      <c r="H22" s="97" t="s">
        <v>19</v>
      </c>
      <c r="I22" s="96">
        <f>取值!M21</f>
        <v>0</v>
      </c>
      <c r="J22" s="97" t="s">
        <v>19</v>
      </c>
      <c r="K22" s="94"/>
    </row>
    <row customHeight="1" ht="15">
      <c r="A23" s="78"/>
      <c r="B23" s="74"/>
      <c r="C23" s="99"/>
      <c r="D23" s="94" t="s">
        <v>37</v>
      </c>
      <c r="E23" s="100">
        <v>11369</v>
      </c>
      <c r="F23" s="101">
        <f>取值!F22</f>
        <v>105638</v>
      </c>
      <c r="G23" s="102">
        <f>_xlfn.IFERROR(E23/E18*100,0)</f>
        <v>19.4701328949171</v>
      </c>
      <c r="H23" s="102">
        <f>_xlfn.IFERROR(F23/F18*100,0)</f>
        <v>19.3809500221076</v>
      </c>
      <c r="I23" s="96">
        <f>取值!M22</f>
        <v>0</v>
      </c>
      <c r="J23" s="102">
        <f>_xlfn.IFERROR(I23/I$18*100,0)</f>
        <v>0</v>
      </c>
      <c r="K23" s="94"/>
    </row>
    <row customHeight="1" ht="15">
      <c r="A24" s="78"/>
      <c r="B24" s="74"/>
      <c r="C24" s="99"/>
      <c r="D24" s="94" t="s">
        <v>38</v>
      </c>
      <c r="E24" s="100">
        <v>31814</v>
      </c>
      <c r="F24" s="101">
        <f>取值!F23</f>
        <v>288599</v>
      </c>
      <c r="G24" s="102">
        <f>_xlfn.IFERROR(E24/E18*100,0)</f>
        <v>54.4834908891629</v>
      </c>
      <c r="H24" s="102">
        <f>_xlfn.IFERROR(F24/F18*100,0)</f>
        <v>52.9480186621314</v>
      </c>
      <c r="I24" s="96">
        <f>取值!M23</f>
        <v>0</v>
      </c>
      <c r="J24" s="102">
        <f>_xlfn.IFERROR(I24/I$18*100,0)</f>
        <v>0</v>
      </c>
      <c r="K24" s="94"/>
    </row>
    <row customHeight="1" ht="15">
      <c r="A25" s="78"/>
      <c r="B25" s="74"/>
      <c r="C25" s="99"/>
      <c r="D25" s="94" t="s">
        <v>39</v>
      </c>
      <c r="E25" s="100">
        <v>5702</v>
      </c>
      <c r="F25" s="101">
        <f>取值!F24</f>
        <v>66081</v>
      </c>
      <c r="G25" s="102">
        <f>_xlfn.IFERROR(E25/E18*100,0)</f>
        <v>9.76503630634333</v>
      </c>
      <c r="H25" s="102">
        <f>_xlfn.IFERROR(F25/F18*100,0)</f>
        <v>12.123597175362</v>
      </c>
      <c r="I25" s="96">
        <f>取值!M24</f>
        <v>0</v>
      </c>
      <c r="J25" s="102">
        <f>_xlfn.IFERROR(I25/I$18*100,0)</f>
        <v>0</v>
      </c>
      <c r="K25" s="94"/>
    </row>
    <row customHeight="1" ht="15">
      <c r="A26" s="78"/>
      <c r="B26" s="74"/>
      <c r="C26" s="99"/>
      <c r="D26" s="94" t="s">
        <v>40</v>
      </c>
      <c r="E26" s="100">
        <v>6665</v>
      </c>
      <c r="F26" s="101">
        <f>取值!F25</f>
        <v>58759</v>
      </c>
      <c r="G26" s="102">
        <f>_xlfn.IFERROR(E26/E18*100,0)</f>
        <v>11.4142348266886</v>
      </c>
      <c r="H26" s="102">
        <f>_xlfn.IFERROR(F26/F18*100,0)</f>
        <v>10.7802612918554</v>
      </c>
      <c r="I26" s="96">
        <f>取值!M25</f>
        <v>0</v>
      </c>
      <c r="J26" s="102">
        <f>_xlfn.IFERROR(I26/I$18*100,0)</f>
        <v>0</v>
      </c>
      <c r="K26" s="94"/>
    </row>
    <row customHeight="1" ht="15">
      <c r="A27" s="78"/>
      <c r="B27" s="74"/>
      <c r="C27" s="99"/>
      <c r="D27" s="94" t="s">
        <v>41</v>
      </c>
      <c r="E27" s="100">
        <v>0</v>
      </c>
      <c r="F27" s="101">
        <f>取值!F26</f>
        <v>323</v>
      </c>
      <c r="G27" s="102">
        <f>_xlfn.IFERROR(E27/E18*100,0)</f>
        <v>0</v>
      </c>
      <c r="H27" s="102">
        <f>_xlfn.IFERROR(F27/F18*100,0)</f>
        <v>0.0592594223398849</v>
      </c>
      <c r="I27" s="96">
        <f>取值!M26</f>
        <v>0</v>
      </c>
      <c r="J27" s="102">
        <f>_xlfn.IFERROR(I27/I$18*100,0)</f>
        <v>0</v>
      </c>
      <c r="K27" s="94"/>
    </row>
    <row customHeight="1" ht="15">
      <c r="A28" s="78"/>
      <c r="B28" s="74"/>
      <c r="C28" s="99"/>
      <c r="D28" s="94" t="s">
        <v>42</v>
      </c>
      <c r="E28" s="100">
        <v>1922</v>
      </c>
      <c r="F28" s="101">
        <f>取值!F27</f>
        <v>18725</v>
      </c>
      <c r="G28" s="102">
        <f>_xlfn.IFERROR(E28/E18*100,0)</f>
        <v>3.29154678723113</v>
      </c>
      <c r="H28" s="102">
        <f>_xlfn.IFERROR(F28/F18*100,0)</f>
        <v>3.43539530437878</v>
      </c>
      <c r="I28" s="96">
        <f>取值!M27</f>
        <v>0</v>
      </c>
      <c r="J28" s="102">
        <f>_xlfn.IFERROR(I28/I$18*100,0)</f>
        <v>0</v>
      </c>
      <c r="K28" s="94"/>
    </row>
    <row customHeight="1" ht="15">
      <c r="A29" s="78"/>
      <c r="B29" s="74"/>
      <c r="C29" s="99"/>
      <c r="D29" s="94" t="s">
        <v>43</v>
      </c>
      <c r="E29" s="100">
        <v>6.2</v>
      </c>
      <c r="F29" s="101">
        <f>取值!F28</f>
        <v>65</v>
      </c>
      <c r="G29" s="102">
        <f>_xlfn.IFERROR(E29/E18*100,0)</f>
        <v>0.0106178928620359</v>
      </c>
      <c r="H29" s="102">
        <f>_xlfn.IFERROR(F29/F18*100,0)</f>
        <v>0.0119252707495124</v>
      </c>
      <c r="I29" s="96">
        <f>取值!M28</f>
        <v>0</v>
      </c>
      <c r="J29" s="102">
        <f>_xlfn.IFERROR(I29/I$18*100,0)</f>
        <v>0</v>
      </c>
      <c r="K29" s="94"/>
    </row>
    <row customHeight="1" ht="15">
      <c r="A30" s="78"/>
      <c r="B30" s="74"/>
      <c r="C30" s="99"/>
      <c r="D30" s="94" t="s">
        <v>44</v>
      </c>
      <c r="E30" s="100">
        <v>0</v>
      </c>
      <c r="F30" s="101">
        <f>取值!F29</f>
        <v>0</v>
      </c>
      <c r="G30" s="102">
        <f>_xlfn.IFERROR(E30/E18*100,0)</f>
        <v>0</v>
      </c>
      <c r="H30" s="102">
        <f>_xlfn.IFERROR(F30/F18*100,0)</f>
        <v>0</v>
      </c>
      <c r="I30" s="96">
        <f>取值!M29</f>
        <v>0</v>
      </c>
      <c r="J30" s="102">
        <f>_xlfn.IFERROR(I30/I$18*100,0)</f>
        <v>0</v>
      </c>
      <c r="K30" s="94"/>
    </row>
    <row customHeight="1" ht="15">
      <c r="A31" s="78"/>
      <c r="B31" s="74"/>
      <c r="C31" s="91"/>
      <c r="D31" s="94" t="s">
        <v>45</v>
      </c>
      <c r="E31" s="101">
        <f>E18-SUM(E23,E24,E25,E26,E27,E28,E29,E30)</f>
        <v>913.800000000003</v>
      </c>
      <c r="F31" s="101">
        <f>F18-SUM(F23,F24,F25,F26,F27,F28,F29,F30)</f>
        <v>6871</v>
      </c>
      <c r="G31" s="102">
        <f>_xlfn.IFERROR(E31/E18*100,0)</f>
        <v>1.56494040279491</v>
      </c>
      <c r="H31" s="102">
        <f>_xlfn.IFERROR(F31/F18*100,0)</f>
        <v>1.26059285107538</v>
      </c>
      <c r="I31" s="101">
        <f>_xlfn.IFERROR(I18-SUM(I23,I24,I25,I26,I27,I28,I29,I30),0)</f>
        <v>0</v>
      </c>
      <c r="J31" s="102">
        <f>_xlfn.IFERROR(I31/I$18*100,0)</f>
        <v>0</v>
      </c>
      <c r="K31" s="94"/>
    </row>
    <row customHeight="1" ht="15">
      <c r="A32" s="78"/>
      <c r="B32" s="74"/>
      <c r="C32" s="73" t="s">
        <v>46</v>
      </c>
      <c r="D32" s="94" t="s">
        <v>32</v>
      </c>
      <c r="E32" s="100">
        <v>45376</v>
      </c>
      <c r="F32" s="101">
        <f>_xlfn.IFERROR(SUM(F33:F36),"")</f>
        <v>424328</v>
      </c>
      <c r="G32" s="102"/>
      <c r="H32" s="102"/>
      <c r="I32" s="96">
        <f>取值!M31</f>
        <v>0</v>
      </c>
      <c r="J32" s="97" t="s">
        <v>19</v>
      </c>
      <c r="K32" s="94"/>
    </row>
    <row customHeight="1" ht="15">
      <c r="A33" s="78"/>
      <c r="B33" s="74"/>
      <c r="C33" s="99"/>
      <c r="D33" s="94" t="s">
        <v>47</v>
      </c>
      <c r="E33" s="100">
        <v>31581</v>
      </c>
      <c r="F33" s="101">
        <f>取值!F32</f>
        <v>286232</v>
      </c>
      <c r="G33" s="97" t="s">
        <v>19</v>
      </c>
      <c r="H33" s="97" t="s">
        <v>19</v>
      </c>
      <c r="I33" s="96">
        <f>取值!M32</f>
        <v>0</v>
      </c>
      <c r="J33" s="97" t="s">
        <v>19</v>
      </c>
      <c r="K33" s="94"/>
    </row>
    <row customHeight="1" ht="15">
      <c r="A34" s="78"/>
      <c r="B34" s="74"/>
      <c r="C34" s="99"/>
      <c r="D34" s="94" t="s">
        <v>48</v>
      </c>
      <c r="E34" s="100">
        <v>0</v>
      </c>
      <c r="F34" s="101">
        <f>取值!F33</f>
        <v>0</v>
      </c>
      <c r="G34" s="97" t="s">
        <v>19</v>
      </c>
      <c r="H34" s="97" t="s">
        <v>19</v>
      </c>
      <c r="I34" s="96">
        <f>取值!M33</f>
        <v>0</v>
      </c>
      <c r="J34" s="97" t="s">
        <v>19</v>
      </c>
      <c r="K34" s="94"/>
    </row>
    <row customHeight="1" ht="15">
      <c r="A35" s="78"/>
      <c r="B35" s="74"/>
      <c r="C35" s="99"/>
      <c r="D35" s="94" t="s">
        <v>49</v>
      </c>
      <c r="E35" s="100">
        <v>5702</v>
      </c>
      <c r="F35" s="101">
        <f>取值!F34</f>
        <v>66081</v>
      </c>
      <c r="G35" s="97" t="s">
        <v>19</v>
      </c>
      <c r="H35" s="97" t="s">
        <v>19</v>
      </c>
      <c r="I35" s="96">
        <f>取值!M34</f>
        <v>0</v>
      </c>
      <c r="J35" s="97" t="s">
        <v>19</v>
      </c>
      <c r="K35" s="94"/>
    </row>
    <row customHeight="1" ht="15">
      <c r="A36" s="78"/>
      <c r="B36" s="74"/>
      <c r="C36" s="99"/>
      <c r="D36" s="94" t="s">
        <v>50</v>
      </c>
      <c r="E36" s="100">
        <v>8093</v>
      </c>
      <c r="F36" s="101">
        <f>取值!F35</f>
        <v>72015</v>
      </c>
      <c r="G36" s="97" t="s">
        <v>19</v>
      </c>
      <c r="H36" s="97" t="s">
        <v>19</v>
      </c>
      <c r="I36" s="96">
        <f>取值!M35</f>
        <v>0</v>
      </c>
      <c r="J36" s="97" t="s">
        <v>19</v>
      </c>
      <c r="K36" s="94"/>
    </row>
    <row customHeight="1" ht="15">
      <c r="A37" s="78"/>
      <c r="B37" s="74"/>
      <c r="C37" s="99"/>
      <c r="D37" s="94" t="s">
        <v>51</v>
      </c>
      <c r="E37" s="100">
        <v>22620</v>
      </c>
      <c r="F37" s="101">
        <f>取值!F36</f>
        <v>197239</v>
      </c>
      <c r="G37" s="102">
        <f>_xlfn.IFERROR(E37/E32*100,0)</f>
        <v>49.8501410437236</v>
      </c>
      <c r="H37" s="102">
        <f>_xlfn.IFERROR(F37/F32*100,0)</f>
        <v>46.4826737806602</v>
      </c>
      <c r="I37" s="96">
        <f>取值!M36</f>
        <v>0</v>
      </c>
      <c r="J37" s="102">
        <f>_xlfn.IFERROR(I37/I$32*100,0)</f>
        <v>0</v>
      </c>
      <c r="K37" s="94"/>
    </row>
    <row customHeight="1" ht="15">
      <c r="A38" s="78"/>
      <c r="B38" s="74"/>
      <c r="C38" s="99"/>
      <c r="D38" s="94" t="s">
        <v>52</v>
      </c>
      <c r="E38" s="100">
        <v>22395</v>
      </c>
      <c r="F38" s="101">
        <f>取值!F37</f>
        <v>223602</v>
      </c>
      <c r="G38" s="102">
        <f>_xlfn.IFERROR(E38/E32*100,0)</f>
        <v>49.354284203103</v>
      </c>
      <c r="H38" s="102">
        <f>_xlfn.IFERROR(F38/F32*100,0)</f>
        <v>52.6955562677928</v>
      </c>
      <c r="I38" s="96">
        <f>取值!M37</f>
        <v>0</v>
      </c>
      <c r="J38" s="102">
        <f>_xlfn.IFERROR(I38/I$32*100,0)</f>
        <v>0</v>
      </c>
      <c r="K38" s="94"/>
    </row>
    <row customHeight="1" ht="15">
      <c r="A39" s="78"/>
      <c r="B39" s="74"/>
      <c r="C39" s="99"/>
      <c r="D39" s="94" t="s">
        <v>44</v>
      </c>
      <c r="E39" s="100">
        <v>0</v>
      </c>
      <c r="F39" s="101">
        <f>取值!F38</f>
        <v>0</v>
      </c>
      <c r="G39" s="102">
        <f>_xlfn.IFERROR(E39/E32*100,0)</f>
        <v>0</v>
      </c>
      <c r="H39" s="102">
        <f>_xlfn.IFERROR(F39/F32*100,0)</f>
        <v>0</v>
      </c>
      <c r="I39" s="96">
        <f>取值!M38</f>
        <v>0</v>
      </c>
      <c r="J39" s="102">
        <f>_xlfn.IFERROR(I39/I$32*100,0)</f>
        <v>0</v>
      </c>
      <c r="K39" s="94"/>
    </row>
    <row customHeight="1" ht="15">
      <c r="A40" s="78"/>
      <c r="B40" s="75"/>
      <c r="C40" s="91"/>
      <c r="D40" s="94" t="s">
        <v>45</v>
      </c>
      <c r="E40" s="101">
        <f>E32-SUM(E37,E38,E39)</f>
        <v>361</v>
      </c>
      <c r="F40" s="101">
        <f>F32-SUM(F37,F38,F39)</f>
        <v>3487</v>
      </c>
      <c r="G40" s="102">
        <f>_xlfn.IFERROR(E40/E32*100,0)</f>
        <v>0.795574753173484</v>
      </c>
      <c r="H40" s="102">
        <f>_xlfn.IFERROR(F40/F32*100,0)</f>
        <v>0.821769951546917</v>
      </c>
      <c r="I40" s="101">
        <f>_xlfn.IFERROR(I32-SUM(I37,I38,I39),0)</f>
        <v>0</v>
      </c>
      <c r="J40" s="102">
        <f>_xlfn.IFERROR(I40/I$32*100,0)</f>
        <v>0</v>
      </c>
      <c r="K40" s="94"/>
    </row>
    <row customHeight="1" ht="24">
      <c r="A41" s="78"/>
      <c r="B41" s="92" t="s">
        <v>53</v>
      </c>
      <c r="C41" s="104"/>
      <c r="D41" s="105"/>
      <c r="E41" s="105"/>
      <c r="F41" s="105"/>
      <c r="G41" s="105"/>
      <c r="H41" s="105"/>
      <c r="I41" s="105"/>
      <c r="J41" s="105"/>
      <c r="K41" s="106"/>
    </row>
    <row customHeight="1" ht="14.25">
      <c r="A42" s="78"/>
      <c r="B42" s="78"/>
      <c r="C42" s="107" t="s">
        <v>54</v>
      </c>
      <c r="D42" s="108" t="s">
        <v>55</v>
      </c>
      <c r="E42" s="78"/>
      <c r="F42" s="107" t="s">
        <v>56</v>
      </c>
      <c r="G42" s="108" t="s">
        <v>57</v>
      </c>
      <c r="H42" s="78"/>
      <c r="I42" s="107" t="s">
        <v>58</v>
      </c>
      <c r="J42" s="108" t="s">
        <v>59</v>
      </c>
      <c r="K42" s="78"/>
    </row>
  </sheetData>
  <mergeCells count="15">
    <mergeCell ref="C41:K41"/>
    <mergeCell ref="B6:B40"/>
    <mergeCell ref="C6:C17"/>
    <mergeCell ref="C18:C31"/>
    <mergeCell ref="C32:C40"/>
    <mergeCell ref="I4:J4"/>
    <mergeCell ref="K4:K5"/>
    <mergeCell ref="B2:K2"/>
    <mergeCell ref="G3:J3"/>
    <mergeCell ref="B3:C3"/>
    <mergeCell ref="E4:F4"/>
    <mergeCell ref="B4:B5"/>
    <mergeCell ref="C4:C5"/>
    <mergeCell ref="D4:D5"/>
    <mergeCell ref="G4:H4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441DDFF-4088-4D7F-DA68-BFB978B52C36}" mc:Ignorable="x14ac xr xr2 xr3">
  <dimension ref="A1:M44"/>
  <sheetViews>
    <sheetView defaultGridColor="0" colorId="31" topLeftCell="A1" workbookViewId="0">
      <selection activeCell="J9" sqref="J9"/>
    </sheetView>
  </sheetViews>
  <sheetFormatPr customHeight="1" defaultRowHeight="14.100000000000001"/>
  <sheetData>
    <row customHeight="1" ht="14.100000000000001">
      <c r="A1" s="78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customHeight="1" ht="14.25">
      <c r="A2" s="78" t="s">
        <v>60</v>
      </c>
      <c r="B2" s="78" t="s">
        <v>61</v>
      </c>
      <c r="C2" s="78" t="s">
        <v>62</v>
      </c>
      <c r="D2" s="78"/>
      <c r="E2" s="78"/>
      <c r="F2" s="78"/>
      <c r="G2" s="78"/>
      <c r="H2" s="78"/>
      <c r="I2" s="78"/>
      <c r="J2" s="78"/>
      <c r="K2" s="78"/>
      <c r="L2" s="78"/>
      <c r="M2" s="78"/>
    </row>
    <row customHeight="1" ht="14.100000000000001">
      <c r="A3" s="78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</row>
    <row customHeight="1" ht="14.100000000000001">
      <c r="A4" s="78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</row>
    <row customHeight="1" ht="14.25">
      <c r="A5" s="78"/>
      <c r="B5" s="78"/>
      <c r="C5" s="78"/>
      <c r="D5" s="78"/>
      <c r="E5" s="109">
        <v>0</v>
      </c>
      <c r="F5" s="78">
        <v>0</v>
      </c>
      <c r="G5" s="78"/>
      <c r="H5" s="78"/>
      <c r="I5" s="78">
        <v>0</v>
      </c>
      <c r="J5" s="78"/>
      <c r="K5" s="78"/>
      <c r="L5" s="78"/>
      <c r="M5" s="110"/>
    </row>
    <row customHeight="1" ht="14.25">
      <c r="A6" s="78"/>
      <c r="B6" s="78"/>
      <c r="C6" s="78"/>
      <c r="D6" s="78"/>
      <c r="E6" s="78">
        <v>0</v>
      </c>
      <c r="F6" s="78">
        <v>0</v>
      </c>
      <c r="G6" s="78"/>
      <c r="H6" s="78"/>
      <c r="I6" s="78">
        <v>0</v>
      </c>
      <c r="J6" s="78"/>
      <c r="K6" s="78"/>
      <c r="L6" s="78"/>
      <c r="M6" s="111"/>
    </row>
    <row customHeight="1" ht="14.25">
      <c r="A7" s="78"/>
      <c r="B7" s="78"/>
      <c r="C7" s="78"/>
      <c r="D7" s="78"/>
      <c r="E7" s="78">
        <v>31687</v>
      </c>
      <c r="F7" s="78">
        <v>349517</v>
      </c>
      <c r="G7" s="78"/>
      <c r="H7" s="78"/>
      <c r="I7" s="78">
        <v>344585</v>
      </c>
      <c r="J7" s="78"/>
      <c r="K7" s="78"/>
      <c r="L7" s="78"/>
      <c r="M7" s="111"/>
    </row>
    <row customHeight="1" ht="14.25">
      <c r="A8" s="78"/>
      <c r="B8" s="78"/>
      <c r="C8" s="78"/>
      <c r="D8" s="78"/>
      <c r="E8" s="78">
        <v>6.2</v>
      </c>
      <c r="F8" s="78">
        <v>73</v>
      </c>
      <c r="G8" s="78"/>
      <c r="H8" s="78"/>
      <c r="I8" s="78">
        <v>73.2</v>
      </c>
      <c r="J8" s="78"/>
      <c r="K8" s="78"/>
      <c r="L8" s="78"/>
      <c r="M8" s="111"/>
    </row>
    <row customHeight="1" ht="14.25">
      <c r="A9" s="78"/>
      <c r="B9" s="78"/>
      <c r="C9" s="78"/>
      <c r="D9" s="78"/>
      <c r="E9" s="78">
        <v>19752</v>
      </c>
      <c r="F9" s="78">
        <v>230334</v>
      </c>
      <c r="G9" s="78"/>
      <c r="H9" s="78"/>
      <c r="I9" s="78">
        <v>231019</v>
      </c>
      <c r="J9" s="78"/>
      <c r="K9" s="78"/>
      <c r="L9" s="78"/>
      <c r="M9" s="111"/>
    </row>
    <row customHeight="1" ht="14.25">
      <c r="A10" s="78"/>
      <c r="B10" s="78"/>
      <c r="C10" s="78"/>
      <c r="D10" s="78"/>
      <c r="E10" s="78">
        <v>6730</v>
      </c>
      <c r="F10" s="78">
        <v>61856</v>
      </c>
      <c r="G10" s="78"/>
      <c r="H10" s="78"/>
      <c r="I10" s="78">
        <v>56444</v>
      </c>
      <c r="J10" s="78"/>
      <c r="K10" s="78"/>
      <c r="L10" s="78"/>
      <c r="M10" s="111"/>
    </row>
    <row customHeight="1" ht="14.25">
      <c r="A11" s="78"/>
      <c r="B11" s="78"/>
      <c r="C11" s="78"/>
      <c r="D11" s="78"/>
      <c r="E11" s="78">
        <v>0</v>
      </c>
      <c r="F11" s="78">
        <v>0</v>
      </c>
      <c r="G11" s="78"/>
      <c r="H11" s="78"/>
      <c r="I11" s="78">
        <v>0</v>
      </c>
      <c r="J11" s="78"/>
      <c r="K11" s="78"/>
      <c r="L11" s="78"/>
      <c r="M11" s="111"/>
    </row>
    <row customHeight="1" ht="14.25">
      <c r="A12" s="78"/>
      <c r="B12" s="78"/>
      <c r="C12" s="78"/>
      <c r="D12" s="78"/>
      <c r="E12" s="78">
        <v>4251</v>
      </c>
      <c r="F12" s="78">
        <v>46684</v>
      </c>
      <c r="G12" s="78"/>
      <c r="H12" s="78"/>
      <c r="I12" s="78">
        <v>46666</v>
      </c>
      <c r="J12" s="78"/>
      <c r="K12" s="78"/>
      <c r="L12" s="78"/>
      <c r="M12" s="111"/>
    </row>
    <row customHeight="1" ht="14.25">
      <c r="A13" s="78"/>
      <c r="B13" s="78"/>
      <c r="C13" s="78"/>
      <c r="D13" s="78"/>
      <c r="E13" s="78">
        <v>642</v>
      </c>
      <c r="F13" s="78">
        <v>7219</v>
      </c>
      <c r="G13" s="78"/>
      <c r="H13" s="78"/>
      <c r="I13" s="78">
        <v>7079</v>
      </c>
      <c r="J13" s="78"/>
      <c r="K13" s="78"/>
      <c r="L13" s="78"/>
      <c r="M13" s="111"/>
    </row>
    <row customHeight="1" ht="14.25">
      <c r="A14" s="78"/>
      <c r="B14" s="78"/>
      <c r="C14" s="78"/>
      <c r="D14" s="78"/>
      <c r="E14" s="78">
        <v>0</v>
      </c>
      <c r="F14" s="78">
        <v>0</v>
      </c>
      <c r="G14" s="78"/>
      <c r="H14" s="78"/>
      <c r="I14" s="78">
        <v>0</v>
      </c>
      <c r="J14" s="78"/>
      <c r="K14" s="78"/>
      <c r="L14" s="78"/>
      <c r="M14" s="111"/>
    </row>
    <row customHeight="1" ht="14.25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111"/>
    </row>
    <row customHeight="1" ht="14.25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111"/>
    </row>
    <row customHeight="1" ht="14.25">
      <c r="A17" s="78"/>
      <c r="B17" s="78"/>
      <c r="C17" s="78"/>
      <c r="D17" s="78"/>
      <c r="E17" s="78">
        <v>8518</v>
      </c>
      <c r="F17" s="78">
        <v>85819</v>
      </c>
      <c r="G17" s="78"/>
      <c r="H17" s="78"/>
      <c r="I17" s="78">
        <v>89790</v>
      </c>
      <c r="J17" s="78"/>
      <c r="K17" s="78"/>
      <c r="L17" s="78"/>
      <c r="M17" s="111"/>
    </row>
    <row customHeight="1" ht="14.25">
      <c r="A18" s="78"/>
      <c r="B18" s="78"/>
      <c r="C18" s="78"/>
      <c r="D18" s="78"/>
      <c r="E18" s="78">
        <v>13546</v>
      </c>
      <c r="F18" s="78">
        <v>110180</v>
      </c>
      <c r="G18" s="78"/>
      <c r="H18" s="78"/>
      <c r="I18" s="78">
        <v>136844</v>
      </c>
      <c r="J18" s="78"/>
      <c r="K18" s="78"/>
      <c r="L18" s="78"/>
      <c r="M18" s="111"/>
    </row>
    <row customHeight="1" ht="14.25">
      <c r="A19" s="78"/>
      <c r="B19" s="78"/>
      <c r="C19" s="78"/>
      <c r="D19" s="78"/>
      <c r="E19" s="78">
        <v>14674</v>
      </c>
      <c r="F19" s="78">
        <v>132805</v>
      </c>
      <c r="G19" s="78"/>
      <c r="H19" s="78"/>
      <c r="I19" s="78">
        <v>115113</v>
      </c>
      <c r="J19" s="78"/>
      <c r="K19" s="78"/>
      <c r="L19" s="78"/>
      <c r="M19" s="111"/>
    </row>
    <row customHeight="1" ht="14.25">
      <c r="A20" s="78"/>
      <c r="B20" s="78"/>
      <c r="C20" s="78"/>
      <c r="D20" s="78"/>
      <c r="E20" s="78">
        <v>21654</v>
      </c>
      <c r="F20" s="78">
        <v>216257</v>
      </c>
      <c r="G20" s="78"/>
      <c r="H20" s="78"/>
      <c r="I20" s="78">
        <v>222139</v>
      </c>
      <c r="J20" s="78"/>
      <c r="K20" s="78"/>
      <c r="L20" s="78"/>
      <c r="M20" s="111"/>
    </row>
    <row customHeight="1" ht="14.25">
      <c r="A21" s="78"/>
      <c r="B21" s="78"/>
      <c r="C21" s="78"/>
      <c r="D21" s="78"/>
      <c r="E21" s="112"/>
      <c r="F21" s="112"/>
      <c r="G21" s="112"/>
      <c r="H21" s="112"/>
      <c r="I21" s="112"/>
      <c r="J21" s="78"/>
      <c r="K21" s="78"/>
      <c r="L21" s="78"/>
      <c r="M21" s="111"/>
    </row>
    <row customHeight="1" ht="14.25">
      <c r="A22" s="78"/>
      <c r="B22" s="78"/>
      <c r="C22" s="78"/>
      <c r="D22" s="78"/>
      <c r="E22" s="78">
        <v>11369</v>
      </c>
      <c r="F22" s="78">
        <v>105638</v>
      </c>
      <c r="G22" s="78"/>
      <c r="H22" s="78"/>
      <c r="I22" s="78">
        <v>115057</v>
      </c>
      <c r="J22" s="78"/>
      <c r="K22" s="78"/>
      <c r="L22" s="78"/>
      <c r="M22" s="111"/>
    </row>
    <row customHeight="1" ht="14.25">
      <c r="A23" s="78"/>
      <c r="B23" s="78"/>
      <c r="C23" s="78"/>
      <c r="D23" s="78"/>
      <c r="E23" s="78">
        <v>31814</v>
      </c>
      <c r="F23" s="78">
        <v>288599</v>
      </c>
      <c r="G23" s="78"/>
      <c r="H23" s="78"/>
      <c r="I23" s="78">
        <v>290147</v>
      </c>
      <c r="J23" s="78"/>
      <c r="K23" s="78"/>
      <c r="L23" s="78"/>
      <c r="M23" s="111"/>
    </row>
    <row customHeight="1" ht="14.25">
      <c r="A24" s="78"/>
      <c r="B24" s="78"/>
      <c r="C24" s="78"/>
      <c r="D24" s="78"/>
      <c r="E24" s="78">
        <v>5702</v>
      </c>
      <c r="F24" s="78">
        <v>66081</v>
      </c>
      <c r="G24" s="78"/>
      <c r="H24" s="78"/>
      <c r="I24" s="78">
        <v>66324</v>
      </c>
      <c r="J24" s="78"/>
      <c r="K24" s="78"/>
      <c r="L24" s="78"/>
      <c r="M24" s="111"/>
    </row>
    <row customHeight="1" ht="14.25">
      <c r="A25" s="78"/>
      <c r="B25" s="78"/>
      <c r="C25" s="78"/>
      <c r="D25" s="78"/>
      <c r="E25" s="78">
        <v>6665</v>
      </c>
      <c r="F25" s="78">
        <v>58759</v>
      </c>
      <c r="G25" s="78"/>
      <c r="H25" s="78"/>
      <c r="I25" s="78">
        <v>65522</v>
      </c>
      <c r="J25" s="78"/>
      <c r="K25" s="78"/>
      <c r="L25" s="78"/>
      <c r="M25" s="111"/>
    </row>
    <row customHeight="1" ht="14.25">
      <c r="A26" s="78"/>
      <c r="B26" s="78"/>
      <c r="C26" s="78"/>
      <c r="D26" s="78"/>
      <c r="E26" s="112">
        <v>0</v>
      </c>
      <c r="F26" s="112">
        <v>323</v>
      </c>
      <c r="G26" s="112"/>
      <c r="H26" s="112"/>
      <c r="I26" s="112">
        <v>828</v>
      </c>
      <c r="J26" s="78"/>
      <c r="K26" s="78"/>
      <c r="L26" s="78"/>
      <c r="M26" s="111"/>
    </row>
    <row customHeight="1" ht="14.25">
      <c r="A27" s="78"/>
      <c r="B27" s="78"/>
      <c r="C27" s="78"/>
      <c r="D27" s="78"/>
      <c r="E27" s="78">
        <v>1922</v>
      </c>
      <c r="F27" s="78">
        <v>18725</v>
      </c>
      <c r="G27" s="78"/>
      <c r="H27" s="78"/>
      <c r="I27" s="78">
        <v>19233</v>
      </c>
      <c r="J27" s="78"/>
      <c r="K27" s="78"/>
      <c r="L27" s="78"/>
      <c r="M27" s="111"/>
    </row>
    <row customHeight="1" ht="14.25">
      <c r="A28" s="78"/>
      <c r="B28" s="78"/>
      <c r="C28" s="78"/>
      <c r="D28" s="78"/>
      <c r="E28" s="78">
        <v>6.2</v>
      </c>
      <c r="F28" s="78">
        <v>65</v>
      </c>
      <c r="G28" s="78"/>
      <c r="H28" s="78"/>
      <c r="I28" s="78">
        <v>68.8</v>
      </c>
      <c r="J28" s="78"/>
      <c r="K28" s="78"/>
      <c r="L28" s="78"/>
      <c r="M28" s="111"/>
    </row>
    <row customHeight="1" ht="14.25">
      <c r="A29" s="78"/>
      <c r="B29" s="78"/>
      <c r="C29" s="78"/>
      <c r="D29" s="78"/>
      <c r="E29" s="78">
        <v>0</v>
      </c>
      <c r="F29" s="78">
        <v>0</v>
      </c>
      <c r="G29" s="78"/>
      <c r="H29" s="78"/>
      <c r="I29" s="78">
        <v>0</v>
      </c>
      <c r="J29" s="78"/>
      <c r="K29" s="78"/>
      <c r="L29" s="78"/>
      <c r="M29" s="111"/>
    </row>
    <row customHeight="1" ht="14.25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111"/>
    </row>
    <row customHeight="1" ht="14.25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111"/>
    </row>
    <row customHeight="1" ht="14.25">
      <c r="A32" s="78"/>
      <c r="B32" s="78"/>
      <c r="C32" s="78"/>
      <c r="D32" s="78"/>
      <c r="E32" s="78">
        <v>31581</v>
      </c>
      <c r="F32" s="78">
        <v>286232</v>
      </c>
      <c r="G32" s="78"/>
      <c r="H32" s="78"/>
      <c r="I32" s="78">
        <v>286266</v>
      </c>
      <c r="J32" s="78"/>
      <c r="K32" s="78"/>
      <c r="L32" s="78"/>
      <c r="M32" s="111"/>
    </row>
    <row customHeight="1" ht="14.25">
      <c r="A33" s="78"/>
      <c r="B33" s="78"/>
      <c r="C33" s="78"/>
      <c r="D33" s="78"/>
      <c r="E33" s="112">
        <v>0</v>
      </c>
      <c r="F33" s="112">
        <v>0</v>
      </c>
      <c r="G33" s="112"/>
      <c r="H33" s="112"/>
      <c r="I33" s="112">
        <v>0</v>
      </c>
      <c r="J33" s="78"/>
      <c r="K33" s="78"/>
      <c r="L33" s="78"/>
      <c r="M33" s="111"/>
    </row>
    <row customHeight="1" ht="14.25">
      <c r="A34" s="78"/>
      <c r="B34" s="78"/>
      <c r="C34" s="78"/>
      <c r="D34" s="78"/>
      <c r="E34" s="78">
        <v>5702</v>
      </c>
      <c r="F34" s="78">
        <v>66081</v>
      </c>
      <c r="G34" s="78"/>
      <c r="H34" s="78"/>
      <c r="I34" s="78">
        <v>66324</v>
      </c>
      <c r="J34" s="78"/>
      <c r="K34" s="78"/>
      <c r="L34" s="78"/>
      <c r="M34" s="111"/>
    </row>
    <row customHeight="1" ht="14.25">
      <c r="A35" s="78"/>
      <c r="B35" s="78"/>
      <c r="C35" s="78"/>
      <c r="D35" s="78"/>
      <c r="E35" s="78">
        <v>8093</v>
      </c>
      <c r="F35" s="78">
        <v>72015</v>
      </c>
      <c r="G35" s="78"/>
      <c r="H35" s="78"/>
      <c r="I35" s="78">
        <v>71620</v>
      </c>
      <c r="J35" s="78"/>
      <c r="K35" s="78"/>
      <c r="L35" s="78"/>
      <c r="M35" s="111"/>
    </row>
    <row customHeight="1" ht="14.25">
      <c r="A36" s="78"/>
      <c r="B36" s="78"/>
      <c r="C36" s="78"/>
      <c r="D36" s="78"/>
      <c r="E36" s="78">
        <v>22620</v>
      </c>
      <c r="F36" s="78">
        <v>197239</v>
      </c>
      <c r="G36" s="78"/>
      <c r="H36" s="78"/>
      <c r="I36" s="78">
        <v>197365</v>
      </c>
      <c r="J36" s="78"/>
      <c r="K36" s="78"/>
      <c r="L36" s="78"/>
      <c r="M36" s="111"/>
    </row>
    <row customHeight="1" ht="14.25">
      <c r="A37" s="78"/>
      <c r="B37" s="78"/>
      <c r="C37" s="78"/>
      <c r="D37" s="78"/>
      <c r="E37" s="78">
        <v>22395</v>
      </c>
      <c r="F37" s="78">
        <v>223602</v>
      </c>
      <c r="G37" s="78"/>
      <c r="H37" s="78"/>
      <c r="I37" s="78">
        <v>223873</v>
      </c>
      <c r="J37" s="78"/>
      <c r="K37" s="78"/>
      <c r="L37" s="78"/>
      <c r="M37" s="111"/>
    </row>
    <row customHeight="1" ht="14.25">
      <c r="A38" s="78"/>
      <c r="B38" s="78"/>
      <c r="C38" s="78"/>
      <c r="D38" s="78"/>
      <c r="E38" s="78">
        <v>0</v>
      </c>
      <c r="F38" s="78">
        <v>0</v>
      </c>
      <c r="G38" s="78"/>
      <c r="H38" s="78"/>
      <c r="I38" s="78">
        <v>0</v>
      </c>
      <c r="J38" s="78"/>
      <c r="K38" s="78"/>
      <c r="L38" s="78"/>
      <c r="M38" s="111"/>
    </row>
    <row customHeight="1" ht="14.25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111"/>
    </row>
    <row customHeight="1" ht="14.10000000000000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</row>
    <row customHeight="1" ht="14.10000000000000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</row>
    <row customHeight="1" ht="14.25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</row>
    <row customHeight="1" ht="14.25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</row>
    <row customHeight="1" ht="14.25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延安石化厂装置生产完成情况（3-4）</vt:lpstr>
      <vt:lpstr>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dhc</cp:lastModifiedBy>
  <dcterms:created xsi:type="dcterms:W3CDTF">2015-06-05T18:19:34Z</dcterms:created>
  <dcterms:modified xsi:type="dcterms:W3CDTF">2025-01-02T02:12:23Z</dcterms:modified>
</cp:coreProperties>
</file>