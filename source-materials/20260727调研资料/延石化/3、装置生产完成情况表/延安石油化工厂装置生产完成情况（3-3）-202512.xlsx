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报表\"/>
    </mc:Choice>
  </mc:AlternateContent>
  <xr:revisionPtr revIDLastSave="0" documentId="11_D3BCE6C48AC16906671E62F9F2476066C9BC8F75" xr6:coauthVersionLast="47" xr6:coauthVersionMax="47" xr10:uidLastSave="{00000000-0000-0000-0000-000000000000}"/>
  <bookViews>
    <workbookView xWindow="12730" yWindow="0" windowWidth="14140" windowHeight="15370" xr2:uid="{00000000-000D-0000-FFFF-FFFF00000000}"/>
  </bookViews>
  <sheets>
    <sheet name="延安石化厂装置生产完成情况（3-3）" sheetId="1" r:id="rId1"/>
    <sheet name="公式" sheetId="2" state="hidden" r:id="rId2"/>
    <sheet name="取值" sheetId="3" state="hidden" r:id="rId3"/>
  </sheets>
  <calcPr calcId="191029"/>
</workbook>
</file>

<file path=xl/calcChain.xml><?xml version="1.0" encoding="utf-8"?>
<calcChain xmlns="http://schemas.openxmlformats.org/spreadsheetml/2006/main">
  <c r="I31" i="2" l="1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38" i="1"/>
  <c r="I37" i="1"/>
  <c r="G37" i="1"/>
  <c r="F37" i="1"/>
  <c r="I36" i="1"/>
  <c r="G36" i="1"/>
  <c r="F36" i="1"/>
  <c r="I35" i="1"/>
  <c r="G35" i="1"/>
  <c r="F35" i="1"/>
  <c r="I34" i="1"/>
  <c r="G34" i="1"/>
  <c r="F34" i="1"/>
  <c r="I33" i="1"/>
  <c r="G33" i="1"/>
  <c r="F33" i="1"/>
  <c r="I32" i="1"/>
  <c r="G32" i="1"/>
  <c r="F32" i="1"/>
  <c r="I31" i="1"/>
  <c r="G31" i="1"/>
  <c r="F31" i="1"/>
  <c r="I30" i="1"/>
  <c r="F30" i="1"/>
  <c r="I29" i="1"/>
  <c r="F29" i="1"/>
  <c r="I28" i="1"/>
  <c r="F28" i="1"/>
  <c r="E27" i="1"/>
  <c r="I26" i="1"/>
  <c r="G26" i="1"/>
  <c r="F26" i="1"/>
  <c r="I25" i="1"/>
  <c r="G25" i="1"/>
  <c r="F25" i="1"/>
  <c r="I24" i="1"/>
  <c r="G24" i="1"/>
  <c r="F24" i="1"/>
  <c r="I23" i="1"/>
  <c r="G23" i="1"/>
  <c r="F23" i="1"/>
  <c r="I22" i="1"/>
  <c r="F22" i="1"/>
  <c r="I21" i="1"/>
  <c r="F21" i="1"/>
  <c r="I20" i="1"/>
  <c r="F20" i="1"/>
  <c r="I19" i="1"/>
  <c r="F19" i="1"/>
  <c r="I18" i="1"/>
  <c r="G18" i="1"/>
  <c r="I17" i="1"/>
  <c r="G17" i="1"/>
  <c r="F17" i="1"/>
  <c r="I16" i="1"/>
  <c r="F16" i="1"/>
  <c r="I15" i="1"/>
  <c r="G15" i="1"/>
  <c r="I14" i="1"/>
  <c r="G14" i="1"/>
  <c r="F14" i="1"/>
  <c r="I13" i="1"/>
  <c r="F13" i="1"/>
  <c r="I12" i="1"/>
  <c r="G12" i="1"/>
  <c r="E12" i="1"/>
  <c r="I11" i="1"/>
  <c r="G11" i="1"/>
  <c r="F11" i="1"/>
  <c r="I10" i="1"/>
  <c r="G10" i="1"/>
  <c r="F10" i="1"/>
  <c r="I9" i="1"/>
  <c r="G9" i="1"/>
  <c r="F9" i="1"/>
  <c r="I8" i="1"/>
  <c r="F8" i="1"/>
  <c r="I7" i="1"/>
  <c r="F7" i="1"/>
  <c r="I6" i="1"/>
  <c r="F6" i="1"/>
  <c r="G3" i="1"/>
  <c r="J37" i="1" l="1"/>
  <c r="H37" i="1"/>
  <c r="J36" i="1"/>
  <c r="J35" i="1"/>
  <c r="H35" i="1"/>
  <c r="H34" i="1"/>
  <c r="H33" i="1"/>
  <c r="J32" i="1"/>
  <c r="H32" i="1"/>
  <c r="H31" i="1"/>
  <c r="G27" i="1"/>
  <c r="F27" i="1"/>
  <c r="H27" i="1" s="1"/>
  <c r="H25" i="1"/>
  <c r="J24" i="1"/>
  <c r="H24" i="1"/>
  <c r="J23" i="1"/>
  <c r="H23" i="1"/>
  <c r="J18" i="1"/>
  <c r="H14" i="1"/>
  <c r="H36" i="1"/>
  <c r="J34" i="1"/>
  <c r="J33" i="1"/>
  <c r="J17" i="1"/>
  <c r="J12" i="1"/>
  <c r="I38" i="1"/>
  <c r="J38" i="1" s="1"/>
  <c r="G38" i="1"/>
  <c r="F38" i="1"/>
  <c r="H38" i="1" s="1"/>
  <c r="J31" i="1"/>
  <c r="I27" i="1"/>
  <c r="J27" i="1" s="1"/>
  <c r="J26" i="1"/>
  <c r="H26" i="1"/>
  <c r="J25" i="1"/>
  <c r="F18" i="1"/>
  <c r="H18" i="1" s="1"/>
  <c r="H17" i="1"/>
  <c r="J14" i="1"/>
  <c r="F12" i="1"/>
  <c r="H12" i="1" s="1"/>
  <c r="J11" i="1"/>
  <c r="H11" i="1"/>
  <c r="J10" i="1"/>
  <c r="H10" i="1"/>
  <c r="J9" i="1"/>
  <c r="H9" i="1"/>
  <c r="J15" i="1"/>
  <c r="F15" i="1"/>
  <c r="H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6" authorId="0" shapeId="0" xr:uid="{00000000-0006-0000-0000-000001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#Input("延安石油化工厂_生产_装置生产完成情况3_60精制装置_原料处理量",":key{{dw}}")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#Input("延安石油化工厂_生产_装置生产完成情况3_60精制装置_催化液化气",":key{{dw}}")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#Input("延安石油化工厂_生产_装置生产完成情况3_60精制装置_加氢液化气",":key{{dw}}")</t>
        </r>
      </text>
    </comment>
    <comment ref="E9" authorId="0" shapeId="0" xr:uid="{00000000-0006-0000-0000-000004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#Input("延安石油化工厂_生产_装置生产完成情况3_60精制装置_精制液化气",":key{{dw}}")</t>
        </r>
      </text>
    </comment>
    <comment ref="E10" authorId="0" shapeId="0" xr:uid="{00000000-0006-0000-0000-000005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#Input("延安石油化工厂_生产_装置生产完成情况3_60精制装置_酸性气",":key{{dw}}")</t>
        </r>
      </text>
    </comment>
    <comment ref="E11" authorId="0" shapeId="0" xr:uid="{00000000-0006-0000-0000-000006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#Input("延安石油化工厂_生产_装置生产完成情况3_60精制装置_不合格液化气",":key{{dw}}")</t>
        </r>
      </text>
    </comment>
    <comment ref="E13" authorId="0" shapeId="0" xr:uid="{00000000-0006-0000-0000-000007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#Input("延安石油化工厂_生产_装置生产完成情况3_0.4硫磺回收装置_酸性气原料",":key{{dw}}")</t>
        </r>
      </text>
    </comment>
    <comment ref="E14" authorId="0" shapeId="0" xr:uid="{00000000-0006-0000-0000-000008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#Input("延安石油化工厂_生产_装置生产完成情况3_0.4硫磺回收装置_粗硫磺",":key{{dw}}")</t>
        </r>
      </text>
    </comment>
    <comment ref="E15" authorId="0" shapeId="0" xr:uid="{00000000-0006-0000-0000-000009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#Input("延安石油化工厂_生产_装置生产完成情况3_0.4硫磺回收装置_烟道气",":key{{dw}}")</t>
        </r>
      </text>
    </comment>
    <comment ref="E16" authorId="0" shapeId="0" xr:uid="{00000000-0006-0000-0000-00000A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#Input("延安石油化工厂_生产_装置生产完成情况3_2硫磺精制装置_粗硫磺",":key{{dw}}")</t>
        </r>
      </text>
    </comment>
    <comment ref="E17" authorId="0" shapeId="0" xr:uid="{00000000-0006-0000-0000-00000B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#Input("延安石油化工厂_生产_装置生产完成情况3_0.4硫磺回收装置_精制硫磺",":key{{dw}}")</t>
        </r>
      </text>
    </comment>
    <comment ref="E18" authorId="0" shapeId="0" xr:uid="{00000000-0006-0000-0000-00000C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#Input("延安石油化工厂_生产_装置生产完成情况3_0.4硫磺回收装置_污水",":key{{dw}}")</t>
        </r>
      </text>
    </comment>
    <comment ref="E19" authorId="0" shapeId="0" xr:uid="{00000000-0006-0000-0000-00000D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#Input("延安石油化工厂_生产_装置生产完成情况3_180汽油精制装置_原料处理量",":key{{dw}}")</t>
        </r>
      </text>
    </comment>
    <comment ref="E20" authorId="0" shapeId="0" xr:uid="{00000000-0006-0000-0000-00000E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#Input("延安石油化工厂_生产_装置生产完成情况3_180汽油精制装置_催化汽油",":key{{dw}}")</t>
        </r>
      </text>
    </comment>
    <comment ref="E21" authorId="0" shapeId="0" xr:uid="{00000000-0006-0000-0000-00000F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#Input("延安石油化工厂_生产_装置生产完成情况3_180汽油精制装置_氢气",":key{{dw}}")</t>
        </r>
      </text>
    </comment>
    <comment ref="E22" authorId="0" shapeId="0" xr:uid="{00000000-0006-0000-0000-000010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#Input("延安石油化工厂_生产_装置生产完成情况3_180汽油精制装置_戊烷",":key{{dw}}")</t>
        </r>
      </text>
    </comment>
    <comment ref="E23" authorId="0" shapeId="0" xr:uid="{00000000-0006-0000-0000-000011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#Input("延安石油化工厂_生产_装置生产完成情况3_180汽油精制装置_精制汽油",":key{{dw}}")</t>
        </r>
      </text>
    </comment>
    <comment ref="E24" authorId="0" shapeId="0" xr:uid="{00000000-0006-0000-0000-000012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#Input("延安石油化工厂_生产_装置生产完成情况3_180汽油精制装置_燃料气",":key{{dw}}")</t>
        </r>
      </text>
    </comment>
    <comment ref="E25" authorId="0" shapeId="0" xr:uid="{00000000-0006-0000-0000-000013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#Input("延安石油化工厂_生产_装置生产完成情况3_180汽油精制装置_不合格汽油",":key{{dw}}")</t>
        </r>
      </text>
    </comment>
    <comment ref="E26" authorId="0" shapeId="0" xr:uid="{00000000-0006-0000-0000-000014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#Input("延安石油化工厂_生产_装置生产完成情况3_180汽油精制装置_污油",":key{{dw}}")</t>
        </r>
      </text>
    </comment>
    <comment ref="E28" authorId="0" shapeId="0" xr:uid="{00000000-0006-0000-0000-000015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#Input("延安石油化工厂_生产_装置生产完成情况3_240柴油加氢装置_原料处理量",":key{{dw}}")</t>
        </r>
      </text>
    </comment>
    <comment ref="E29" authorId="0" shapeId="0" xr:uid="{00000000-0006-0000-0000-000016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#Input("延安石油化工厂_生产_装置生产完成情况3_240柴油加氢装置_常压柴油",":key{{dw}}")</t>
        </r>
      </text>
    </comment>
    <comment ref="E30" authorId="0" shapeId="0" xr:uid="{00000000-0006-0000-0000-000017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#Input("延安石油化工厂_生产_装置生产完成情况3_240柴油加氢装置_氢气",":key{{dw}}")</t>
        </r>
      </text>
    </comment>
    <comment ref="E31" authorId="0" shapeId="0" xr:uid="{00000000-0006-0000-0000-000018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#Input("延安石油化工厂_生产_装置生产完成情况3_240柴油加氢装置_精制柴油",":key{{dw}}")</t>
        </r>
      </text>
    </comment>
    <comment ref="E32" authorId="0" shapeId="0" xr:uid="{00000000-0006-0000-0000-000019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#Input("延安石油化工厂_生产_装置生产完成情况3_240柴油加氢装置_石脑油",":key{{dw}}")</t>
        </r>
      </text>
    </comment>
    <comment ref="E33" authorId="0" shapeId="0" xr:uid="{00000000-0006-0000-0000-00001A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#Input("延安石油化工厂_生产_装置生产完成情况3_240柴油加氢装置_轻烃",":key{{dw}}")</t>
        </r>
      </text>
    </comment>
    <comment ref="E34" authorId="0" shapeId="0" xr:uid="{00000000-0006-0000-0000-00001B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#Input("延安石油化工厂_生产_装置生产完成情况3_240柴油加氢装置_富气",":key{{dw}}")</t>
        </r>
      </text>
    </comment>
    <comment ref="E35" authorId="0" shapeId="0" xr:uid="{00000000-0006-0000-0000-00001C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#Input("延安石油化工厂_生产_装置生产完成情况3_240柴油加氢装置_高、低气分",":key{{dw}}")</t>
        </r>
      </text>
    </comment>
    <comment ref="E36" authorId="0" shapeId="0" xr:uid="{00000000-0006-0000-0000-00001D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#Input("延安石油化工厂_生产_装置生产完成情况3_240柴油加氢装置_不合格柴油",":key{{dw}}")</t>
        </r>
      </text>
    </comment>
    <comment ref="E37" authorId="0" shapeId="0" xr:uid="{00000000-0006-0000-0000-00001E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#Input("延安石油化工厂_生产_装置生产完成情况3_240柴油加氢装置_污油",":key{{dw}}")</t>
        </r>
      </text>
    </comment>
    <comment ref="D40" authorId="0" shapeId="0" xr:uid="{00000000-0006-0000-0000-00001F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#Input("延安石油化工厂_生产_装置生产完成情况3_主管领导",":key{{dw}}")</t>
        </r>
      </text>
    </comment>
    <comment ref="G40" authorId="0" shapeId="0" xr:uid="{00000000-0006-0000-0000-000020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#Input("延安石油化工厂_生产_装置生产完成情况3_单位负责人",":key{{dw}}")</t>
        </r>
      </text>
    </comment>
    <comment ref="J40" authorId="0" shapeId="0" xr:uid="{00000000-0006-0000-0000-000021000000}">
      <text>
        <r>
          <rPr>
            <b/>
            <sz val="9"/>
            <color indexed="81"/>
            <rFont val="宋体"/>
            <family val="2"/>
          </rPr>
          <t>#Input("延安石油化工厂_生产_装置生产完成情况3_填报人",":key{{dw}}")</t>
        </r>
      </text>
    </comment>
  </commentList>
</comments>
</file>

<file path=xl/sharedStrings.xml><?xml version="1.0" encoding="utf-8"?>
<sst xmlns="http://schemas.openxmlformats.org/spreadsheetml/2006/main" count="348" uniqueCount="102">
  <si>
    <t>延安石化厂装置生产完成情况（3-3）</t>
  </si>
  <si>
    <t>编制单位：延安石油化工厂</t>
  </si>
  <si>
    <t>日期：</t>
  </si>
  <si>
    <t>2025-12</t>
  </si>
  <si>
    <t>附表3-3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</si>
  <si>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</si>
  <si>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</si>
  <si>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</si>
  <si>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</si>
  <si>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</si>
  <si>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</si>
  <si>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</si>
  <si>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本月</t>
  </si>
  <si>
    <t>累计</t>
  </si>
  <si>
    <t>产量</t>
  </si>
  <si>
    <t>收率</t>
  </si>
  <si>
    <t>联
合
四
车
间</t>
  </si>
  <si>
    <t xml:space="preserve"> 60万吨/
年精制
装置</t>
  </si>
  <si>
    <t xml:space="preserve"> 原料处理量</t>
  </si>
  <si>
    <t>/</t>
  </si>
  <si>
    <t xml:space="preserve"> 其中：催化液化气</t>
  </si>
  <si>
    <t xml:space="preserve">      加氢液化气</t>
  </si>
  <si>
    <t xml:space="preserve"> 精制液化气</t>
  </si>
  <si>
    <t xml:space="preserve"> 酸性气</t>
  </si>
  <si>
    <t xml:space="preserve"> 不合格液化气</t>
  </si>
  <si>
    <t xml:space="preserve"> 加工损失</t>
  </si>
  <si>
    <t>0.40万吨/
年硫磺回收</t>
  </si>
  <si>
    <t xml:space="preserve"> 酸性气原料</t>
  </si>
  <si>
    <t xml:space="preserve"> 粗硫磺</t>
  </si>
  <si>
    <t xml:space="preserve"> 烟道气</t>
  </si>
  <si>
    <t xml:space="preserve"> 2万吨/年
硫磺精制</t>
  </si>
  <si>
    <t xml:space="preserve"> 精制硫磺</t>
  </si>
  <si>
    <t xml:space="preserve"> 污水</t>
  </si>
  <si>
    <t>联
合
三
车
间</t>
  </si>
  <si>
    <t xml:space="preserve"> 180万吨/年
汽油精制
装置</t>
  </si>
  <si>
    <t xml:space="preserve"> 其中：催化汽油</t>
  </si>
  <si>
    <t xml:space="preserve">       氢气</t>
  </si>
  <si>
    <t xml:space="preserve">       戊烷</t>
  </si>
  <si>
    <t xml:space="preserve"> 精制汽油</t>
  </si>
  <si>
    <t xml:space="preserve"> 燃料气</t>
  </si>
  <si>
    <t xml:space="preserve"> 不合格汽油</t>
  </si>
  <si>
    <t xml:space="preserve"> 污油</t>
  </si>
  <si>
    <t xml:space="preserve"> 240万吨/
年柴油加氢
装置</t>
  </si>
  <si>
    <t xml:space="preserve"> 其中：常压柴油</t>
  </si>
  <si>
    <t xml:space="preserve"> 精制柴油</t>
  </si>
  <si>
    <t xml:space="preserve"> 石脑油</t>
  </si>
  <si>
    <t xml:space="preserve"> 轻烃</t>
  </si>
  <si>
    <t xml:space="preserve"> 富气</t>
  </si>
  <si>
    <t xml:space="preserve"> 高、低气分</t>
  </si>
  <si>
    <t xml:space="preserve"> 不合格柴油</t>
  </si>
  <si>
    <t>备注：</t>
  </si>
  <si>
    <t>主管领导：</t>
  </si>
  <si>
    <t>陈张友</t>
  </si>
  <si>
    <t>单位负责人：</t>
  </si>
  <si>
    <t>温铜川</t>
  </si>
  <si>
    <t>填报人：</t>
  </si>
  <si>
    <t>李洛娟</t>
  </si>
  <si>
    <t>公式类型</t>
  </si>
  <si>
    <t>数据源</t>
  </si>
  <si>
    <t>取值</t>
  </si>
  <si>
    <t>计量点名称</t>
  </si>
  <si>
    <t>取值条件</t>
  </si>
  <si>
    <t>#SQL</t>
  </si>
  <si>
    <t>("</t>
  </si>
  <si>
    <t>SH_PM_ALL_ByMonth</t>
  </si>
  <si>
    <t>","</t>
  </si>
  <si>
    <t>VALUE</t>
  </si>
  <si>
    <t>",":where{NAME=</t>
  </si>
  <si>
    <t>延安石油化工厂_生产_联合四车间_60万吨/年液化气精制装置_进_催化液化气</t>
  </si>
  <si>
    <t>}")</t>
  </si>
  <si>
    <t>延安石油化工厂_生产_联合四车间_60万吨/年液化气精制装置_进_加氢液化气</t>
  </si>
  <si>
    <t>延安石油化工厂_生产_联合四车间_60万吨/年液化气精制装置_出_精制液化气</t>
  </si>
  <si>
    <t>延安石油化工厂_生产_联合四车间_60万吨/年液化气精制装置_出_酸性气</t>
  </si>
  <si>
    <t>延安石油化工厂_生产_联合四车间_60万吨/年液化气精制装置_出_不合格液化气</t>
  </si>
  <si>
    <t>延安石油化工厂_生产_联合四车间_60万吨/年液化气精制装置_出_加工损失</t>
  </si>
  <si>
    <t>延安石油化工厂_生产_联合四车间_4000吨/年硫磺回收装置_进_ 酸性气原料</t>
  </si>
  <si>
    <t>延安石油化工厂_生产_联合四车间_4000吨/年硫磺回收装置_出_ 粗硫磺</t>
  </si>
  <si>
    <t>延安石油化工厂_生产_联合四车间_4000吨/年硫磺回收装置_出_ 烟道气</t>
  </si>
  <si>
    <t>延安石油化工厂_生产_联合四车间_ 2万吨/年硫磺精制_进_ 粗硫磺</t>
  </si>
  <si>
    <t>延安石油化工厂_生产_联合四车间_ 2万吨/年硫磺精制_出_ 精制硫磺</t>
  </si>
  <si>
    <t>延安石油化工厂_生产_联合四车间_ 2万吨/年硫磺精制_出_ 污水</t>
  </si>
  <si>
    <t>延安石油化工厂_生产_联合三车间_180万吨/年汽油精制装置_进_催化汽油</t>
  </si>
  <si>
    <t>延安石油化工厂_生产_联合三车间_180万吨/年汽油精制装置_进_氢气</t>
  </si>
  <si>
    <t>延安石油化工厂_生产_联合三车间_180万吨/年汽油精制装置_进_戊烷</t>
  </si>
  <si>
    <t>延安石油化工厂_生产_联合三车间_180万吨/年汽油精制装置_出_精制汽油</t>
  </si>
  <si>
    <t>延安石油化工厂_生产_联合三车间_180万吨/年汽油精制装置_出_燃料气</t>
  </si>
  <si>
    <t>延安石油化工厂_生产_联合三车间_180万吨/年汽油精制装置_出_不合格汽油</t>
  </si>
  <si>
    <t>延安石油化工厂_生产_联合三车间_180万吨/年汽油精制装置_出_污油</t>
  </si>
  <si>
    <t>延安石油化工厂_生产_联合三车间_180万吨/年汽油精制装置_出_加工损失</t>
  </si>
  <si>
    <t>延安石油化工厂_生产_联合三车间_240万吨/年柴油精制装置_进_常压柴油</t>
  </si>
  <si>
    <t>延安石油化工厂_生产_联合三车间_240万吨/年柴油精制装置_进_氢气</t>
  </si>
  <si>
    <t>延安石油化工厂_生产_联合三车间_240万吨/年柴油精制装置_出_精制柴油</t>
  </si>
  <si>
    <t>延安石油化工厂_生产_联合三车间_240万吨/年柴油精制装置_出_石脑油（常压）</t>
  </si>
  <si>
    <t>延安石油化工厂_生产_联合三车间_240万吨/年柴油精制装置_出_轻烃</t>
  </si>
  <si>
    <t>延安石油化工厂_生产_联合三车间_240万吨/年柴油精制装置_出_含硫气体</t>
  </si>
  <si>
    <t>延安石油化工厂_生产_联合三车间_240万吨/年柴油精制装置_出_高、低气分</t>
  </si>
  <si>
    <t>延安石油化工厂_生产_联合三车间_240万吨/年柴油精制装置_出_不合格柴油</t>
  </si>
  <si>
    <t>延安石油化工厂_生产_联合三车间_240万吨/年柴油精制装置_出_污油</t>
  </si>
  <si>
    <t>延安石油化工厂_生产_联合三车间_240万吨/年柴油精制装置_出_加工损失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</si>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</sst>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 "/>
    <numFmt numFmtId="181" formatCode="0_ "/>
  </numFmts>
  <fonts count="7" x14ac:knownFonts="1">
    <font>
      <sz val="11"/>
      <color theme="1"/>
      <name val="宋体"/>
      <scheme val="minor"/>
    </font>
    <font>
      <b/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b/>
      <sz val="18"/>
      <color theme="1"/>
      <name val="宋体"/>
      <family val="2"/>
      <scheme val="minor"/>
    </font>
    <font>
      <b/>
      <sz val="11"/>
      <color theme="1"/>
      <name val="Calibri"/>
      <family val="2"/>
    </font>
    <font>
      <b/>
      <sz val="9"/>
      <color indexed="81"/>
      <name val="宋体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Fill="0" applyBorder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81" fontId="0" fillId="0" borderId="1" xfId="0" applyNumberFormat="1" applyBorder="1" applyAlignment="1" applyProtection="1">
      <alignment vertical="center" wrapText="1"/>
      <protection locked="0"/>
    </xf>
    <xf numFmtId="181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 applyProtection="1">
      <alignment horizontal="right" vertical="center" wrapText="1"/>
      <protection locked="0"/>
    </xf>
    <xf numFmtId="181" fontId="0" fillId="0" borderId="1" xfId="0" applyNumberFormat="1" applyBorder="1" applyAlignment="1">
      <alignment horizontal="right" vertical="center" wrapText="1"/>
    </xf>
    <xf numFmtId="180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wrapText="1"/>
    </xf>
    <xf numFmtId="181" fontId="0" fillId="0" borderId="1" xfId="0" applyNumberForma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80C8-F248-FCBE-3911-A3045B80800D}">
  <dimension ref="A1:L40"/>
  <sheetViews>
    <sheetView showGridLines="0" tabSelected="1" defaultGridColor="0" colorId="31" workbookViewId="0">
      <pane xSplit="3" ySplit="5" topLeftCell="D20" activePane="bottomRight" state="frozen"/>
      <selection pane="topRight" activeCell="D1" sqref="D1"/>
      <selection pane="bottomLeft" activeCell="A6" sqref="A6"/>
      <selection pane="bottomRight"/>
    </sheetView>
  </sheetViews>
  <sheetFormatPr defaultRowHeight="14.15" customHeight="1" x14ac:dyDescent="0.25"/>
  <cols>
    <col min="1" max="1" width="2.7265625" customWidth="1"/>
    <col min="2" max="3" width="10.7265625" customWidth="1"/>
    <col min="4" max="4" width="17.7265625" customWidth="1"/>
    <col min="5" max="6" width="15.81640625" customWidth="1"/>
    <col min="7" max="8" width="12.453125" customWidth="1"/>
    <col min="9" max="9" width="14.54296875" customWidth="1"/>
    <col min="10" max="10" width="15.81640625" customWidth="1"/>
  </cols>
  <sheetData>
    <row r="1" spans="1:12" ht="2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5" customHeight="1" x14ac:dyDescent="0.2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5"/>
      <c r="L2" s="1"/>
    </row>
    <row r="3" spans="1:12" ht="14.25" customHeight="1" x14ac:dyDescent="0.25">
      <c r="A3" s="1"/>
      <c r="B3" s="29" t="s">
        <v>1</v>
      </c>
      <c r="C3" s="30"/>
      <c r="D3" s="30"/>
      <c r="E3" s="2" t="s">
        <v>2</v>
      </c>
      <c r="F3" s="3" t="s">
        <v>3</v>
      </c>
      <c r="G3" s="28" t="str">
        <f>取值!A7&amp;取值!B7&amp;取值!C7</f>
        <v>报表生成时间：2026-01-01 8:00:00</v>
      </c>
      <c r="H3" s="28"/>
      <c r="I3" s="28"/>
      <c r="J3" s="28"/>
      <c r="K3" s="4" t="s">
        <v>4</v>
      </c>
      <c r="L3" s="1"/>
    </row>
    <row r="4" spans="1:12" ht="14.25" customHeight="1" x14ac:dyDescent="0.25">
      <c r="A4" s="1"/>
      <c r="B4" s="21" t="s">
        <v>5</v>
      </c>
      <c r="C4" s="21" t="s">
        <v>6</v>
      </c>
      <c r="D4" s="21" t="s">
        <v>7</v>
      </c>
      <c r="E4" s="26" t="s">
        <v>8</v>
      </c>
      <c r="F4" s="27"/>
      <c r="G4" s="26" t="s">
        <v>9</v>
      </c>
      <c r="H4" s="27"/>
      <c r="I4" s="26" t="s">
        <v>10</v>
      </c>
      <c r="J4" s="27"/>
      <c r="K4" s="5" t="s">
        <v>11</v>
      </c>
      <c r="L4" s="1"/>
    </row>
    <row r="5" spans="1:12" ht="14.25" customHeight="1" x14ac:dyDescent="0.25">
      <c r="A5" s="1"/>
      <c r="B5" s="22"/>
      <c r="C5" s="22"/>
      <c r="D5" s="22"/>
      <c r="E5" s="6" t="s">
        <v>12</v>
      </c>
      <c r="F5" s="6" t="s">
        <v>13</v>
      </c>
      <c r="G5" s="6" t="s">
        <v>12</v>
      </c>
      <c r="H5" s="6" t="s">
        <v>13</v>
      </c>
      <c r="I5" s="6" t="s">
        <v>14</v>
      </c>
      <c r="J5" s="6" t="s">
        <v>15</v>
      </c>
      <c r="K5" s="7"/>
      <c r="L5" s="1"/>
    </row>
    <row r="6" spans="1:12" ht="15" customHeight="1" x14ac:dyDescent="0.25">
      <c r="A6" s="1"/>
      <c r="B6" s="20" t="s">
        <v>16</v>
      </c>
      <c r="C6" s="20" t="s">
        <v>17</v>
      </c>
      <c r="D6" s="7" t="s">
        <v>18</v>
      </c>
      <c r="E6" s="8">
        <v>57350</v>
      </c>
      <c r="F6" s="9">
        <f>IFERROR(SUM(F7:F8),"")</f>
        <v>657090</v>
      </c>
      <c r="G6" s="6" t="s">
        <v>19</v>
      </c>
      <c r="H6" s="6" t="s">
        <v>19</v>
      </c>
      <c r="I6" s="9">
        <f>取值!M7</f>
        <v>57035</v>
      </c>
      <c r="J6" s="6" t="s">
        <v>19</v>
      </c>
      <c r="K6" s="7"/>
      <c r="L6" s="1"/>
    </row>
    <row r="7" spans="1:12" ht="15" customHeight="1" x14ac:dyDescent="0.25">
      <c r="A7" s="1"/>
      <c r="B7" s="21"/>
      <c r="C7" s="21"/>
      <c r="D7" s="7" t="s">
        <v>20</v>
      </c>
      <c r="E7" s="10">
        <v>53893</v>
      </c>
      <c r="F7" s="11">
        <f>取值!F7</f>
        <v>621089</v>
      </c>
      <c r="G7" s="6" t="s">
        <v>19</v>
      </c>
      <c r="H7" s="6" t="s">
        <v>19</v>
      </c>
      <c r="I7" s="9">
        <f>取值!M8</f>
        <v>54016</v>
      </c>
      <c r="J7" s="6" t="s">
        <v>19</v>
      </c>
      <c r="K7" s="7"/>
      <c r="L7" s="1"/>
    </row>
    <row r="8" spans="1:12" ht="15" customHeight="1" x14ac:dyDescent="0.25">
      <c r="A8" s="1"/>
      <c r="B8" s="21"/>
      <c r="C8" s="21"/>
      <c r="D8" s="7" t="s">
        <v>21</v>
      </c>
      <c r="E8" s="10">
        <v>3457</v>
      </c>
      <c r="F8" s="11">
        <f>取值!F8</f>
        <v>36001</v>
      </c>
      <c r="G8" s="6" t="s">
        <v>19</v>
      </c>
      <c r="H8" s="6" t="s">
        <v>19</v>
      </c>
      <c r="I8" s="9">
        <f>取值!M9</f>
        <v>3019</v>
      </c>
      <c r="J8" s="6" t="s">
        <v>19</v>
      </c>
      <c r="K8" s="7"/>
      <c r="L8" s="1"/>
    </row>
    <row r="9" spans="1:12" ht="15" customHeight="1" x14ac:dyDescent="0.25">
      <c r="A9" s="1"/>
      <c r="B9" s="21"/>
      <c r="C9" s="21"/>
      <c r="D9" s="7" t="s">
        <v>22</v>
      </c>
      <c r="E9" s="10">
        <v>57335</v>
      </c>
      <c r="F9" s="11">
        <f>取值!F9</f>
        <v>656868</v>
      </c>
      <c r="G9" s="12">
        <f>IFERROR(E9/E6*100,0)</f>
        <v>99.973844812554489</v>
      </c>
      <c r="H9" s="12">
        <f>IFERROR(F9/F6*100,0)</f>
        <v>99.966214673788983</v>
      </c>
      <c r="I9" s="9">
        <f>取值!M10</f>
        <v>57018</v>
      </c>
      <c r="J9" s="12">
        <f>IFERROR(I9/I$6*100,0)</f>
        <v>99.970193740685545</v>
      </c>
      <c r="K9" s="7"/>
      <c r="L9" s="1"/>
    </row>
    <row r="10" spans="1:12" ht="15" customHeight="1" x14ac:dyDescent="0.25">
      <c r="A10" s="1"/>
      <c r="B10" s="21"/>
      <c r="C10" s="21"/>
      <c r="D10" s="7" t="s">
        <v>23</v>
      </c>
      <c r="E10" s="10">
        <v>0</v>
      </c>
      <c r="F10" s="11">
        <f>取值!F10</f>
        <v>0</v>
      </c>
      <c r="G10" s="12">
        <f>IFERROR(E10/E6*100,0)</f>
        <v>0</v>
      </c>
      <c r="H10" s="12">
        <f>IFERROR(F10/F6*100,0)</f>
        <v>0</v>
      </c>
      <c r="I10" s="9">
        <f>取值!M11</f>
        <v>0</v>
      </c>
      <c r="J10" s="12">
        <f>IFERROR(I10/I$6*100,0)</f>
        <v>0</v>
      </c>
      <c r="K10" s="7"/>
      <c r="L10" s="1"/>
    </row>
    <row r="11" spans="1:12" ht="15" customHeight="1" x14ac:dyDescent="0.25">
      <c r="A11" s="1"/>
      <c r="B11" s="21"/>
      <c r="C11" s="21"/>
      <c r="D11" s="7" t="s">
        <v>24</v>
      </c>
      <c r="E11" s="10">
        <v>0</v>
      </c>
      <c r="F11" s="11">
        <f>取值!F11</f>
        <v>0</v>
      </c>
      <c r="G11" s="12">
        <f>IFERROR(E11/E6*100,0)</f>
        <v>0</v>
      </c>
      <c r="H11" s="12">
        <f>IFERROR(F11/F6*100,0)</f>
        <v>0</v>
      </c>
      <c r="I11" s="9">
        <f>取值!M12</f>
        <v>0</v>
      </c>
      <c r="J11" s="12">
        <f>IFERROR(I11/I$6*100,0)</f>
        <v>0</v>
      </c>
      <c r="K11" s="7"/>
      <c r="L11" s="1"/>
    </row>
    <row r="12" spans="1:12" ht="15" customHeight="1" x14ac:dyDescent="0.25">
      <c r="A12" s="1"/>
      <c r="B12" s="21"/>
      <c r="C12" s="22"/>
      <c r="D12" s="7" t="s">
        <v>25</v>
      </c>
      <c r="E12" s="11">
        <f>E6-SUM(E9,E10,E11)</f>
        <v>15</v>
      </c>
      <c r="F12" s="11">
        <f>F6-SUM(F9,F10,F11)</f>
        <v>222</v>
      </c>
      <c r="G12" s="12">
        <f>IFERROR(E12/E6*100,0)</f>
        <v>2.6155187445510025E-2</v>
      </c>
      <c r="H12" s="12">
        <f>IFERROR(F12/F6*100,0)</f>
        <v>3.3785326211021316E-2</v>
      </c>
      <c r="I12" s="11">
        <f>IFERROR(I6-SUM(I9,I10,I11),0)</f>
        <v>17</v>
      </c>
      <c r="J12" s="12">
        <f>IFERROR(I12/I$6*100,0)</f>
        <v>2.9806259314456036E-2</v>
      </c>
      <c r="K12" s="7"/>
      <c r="L12" s="1"/>
    </row>
    <row r="13" spans="1:12" ht="15" customHeight="1" x14ac:dyDescent="0.25">
      <c r="A13" s="1"/>
      <c r="B13" s="21"/>
      <c r="C13" s="20" t="s">
        <v>26</v>
      </c>
      <c r="D13" s="7" t="s">
        <v>27</v>
      </c>
      <c r="E13" s="10">
        <v>1652</v>
      </c>
      <c r="F13" s="11">
        <f>取值!F13</f>
        <v>13576</v>
      </c>
      <c r="G13" s="6" t="s">
        <v>19</v>
      </c>
      <c r="H13" s="6" t="s">
        <v>19</v>
      </c>
      <c r="I13" s="9">
        <f>取值!M14</f>
        <v>876</v>
      </c>
      <c r="J13" s="6" t="s">
        <v>19</v>
      </c>
      <c r="K13" s="7"/>
      <c r="L13" s="1"/>
    </row>
    <row r="14" spans="1:12" ht="15" customHeight="1" x14ac:dyDescent="0.25">
      <c r="A14" s="1"/>
      <c r="B14" s="21"/>
      <c r="C14" s="21"/>
      <c r="D14" s="7" t="s">
        <v>28</v>
      </c>
      <c r="E14" s="10">
        <v>412</v>
      </c>
      <c r="F14" s="11">
        <f>取值!F14</f>
        <v>3393</v>
      </c>
      <c r="G14" s="12">
        <f>IFERROR(E14/E13*100,0)</f>
        <v>24.939467312348668</v>
      </c>
      <c r="H14" s="12">
        <f>IFERROR(F14/F13*100,0)</f>
        <v>24.99263406010607</v>
      </c>
      <c r="I14" s="9">
        <f>取值!M15</f>
        <v>219</v>
      </c>
      <c r="J14" s="12">
        <f>IFERROR(I14/I$13*100,0)</f>
        <v>25</v>
      </c>
      <c r="K14" s="7"/>
      <c r="L14" s="1"/>
    </row>
    <row r="15" spans="1:12" ht="15" customHeight="1" x14ac:dyDescent="0.25">
      <c r="A15" s="1"/>
      <c r="B15" s="21"/>
      <c r="C15" s="22"/>
      <c r="D15" s="7" t="s">
        <v>29</v>
      </c>
      <c r="E15" s="10">
        <v>1240</v>
      </c>
      <c r="F15" s="11">
        <f>F13-F14</f>
        <v>10183</v>
      </c>
      <c r="G15" s="12">
        <f>IFERROR(E15/E13*100,0)</f>
        <v>75.060532687651332</v>
      </c>
      <c r="H15" s="12">
        <f>IFERROR(F15/F13*100,0)</f>
        <v>75.00736593989393</v>
      </c>
      <c r="I15" s="9">
        <f>取值!M16</f>
        <v>657</v>
      </c>
      <c r="J15" s="12">
        <f>IFERROR(I15/I$13*100,0)</f>
        <v>75</v>
      </c>
      <c r="K15" s="7"/>
      <c r="L15" s="1"/>
    </row>
    <row r="16" spans="1:12" ht="15" customHeight="1" x14ac:dyDescent="0.25">
      <c r="A16" s="1"/>
      <c r="B16" s="21"/>
      <c r="C16" s="20" t="s">
        <v>30</v>
      </c>
      <c r="D16" s="7" t="s">
        <v>28</v>
      </c>
      <c r="E16" s="10">
        <v>342</v>
      </c>
      <c r="F16" s="11">
        <f>取值!F16</f>
        <v>3194</v>
      </c>
      <c r="G16" s="6" t="s">
        <v>19</v>
      </c>
      <c r="H16" s="6" t="s">
        <v>19</v>
      </c>
      <c r="I16" s="9">
        <f>取值!M17</f>
        <v>219</v>
      </c>
      <c r="J16" s="6" t="s">
        <v>19</v>
      </c>
      <c r="K16" s="7"/>
      <c r="L16" s="1"/>
    </row>
    <row r="17" spans="1:12" ht="15" customHeight="1" x14ac:dyDescent="0.25">
      <c r="A17" s="1"/>
      <c r="B17" s="21"/>
      <c r="C17" s="21"/>
      <c r="D17" s="7" t="s">
        <v>31</v>
      </c>
      <c r="E17" s="10">
        <v>292</v>
      </c>
      <c r="F17" s="11">
        <f>取值!F17</f>
        <v>2231</v>
      </c>
      <c r="G17" s="12">
        <f>IFERROR(E17/E16*100,0)</f>
        <v>85.380116959064324</v>
      </c>
      <c r="H17" s="12">
        <f>IFERROR(F17/F16*100,0)</f>
        <v>69.849718221665626</v>
      </c>
      <c r="I17" s="9">
        <f>取值!M18</f>
        <v>115</v>
      </c>
      <c r="J17" s="12">
        <f>IFERROR(I17/I$16*100,0)</f>
        <v>52.51141552511416</v>
      </c>
      <c r="K17" s="7"/>
      <c r="L17" s="1"/>
    </row>
    <row r="18" spans="1:12" ht="15" customHeight="1" x14ac:dyDescent="0.25">
      <c r="A18" s="1"/>
      <c r="B18" s="22"/>
      <c r="C18" s="22"/>
      <c r="D18" s="7" t="s">
        <v>32</v>
      </c>
      <c r="E18" s="10">
        <v>50</v>
      </c>
      <c r="F18" s="11">
        <f>F16-F17</f>
        <v>963</v>
      </c>
      <c r="G18" s="12">
        <f>IFERROR(E18/E16*100,0)</f>
        <v>14.619883040935672</v>
      </c>
      <c r="H18" s="12">
        <f>IFERROR(F18/F16*100,0)</f>
        <v>30.150281778334374</v>
      </c>
      <c r="I18" s="9">
        <f>取值!M19</f>
        <v>104</v>
      </c>
      <c r="J18" s="12">
        <f>IFERROR(I18/I$16*100,0)</f>
        <v>47.48858447488584</v>
      </c>
      <c r="K18" s="7"/>
      <c r="L18" s="1"/>
    </row>
    <row r="19" spans="1:12" ht="15" customHeight="1" x14ac:dyDescent="0.25">
      <c r="A19" s="1"/>
      <c r="B19" s="20" t="s">
        <v>33</v>
      </c>
      <c r="C19" s="20" t="s">
        <v>34</v>
      </c>
      <c r="D19" s="7" t="s">
        <v>18</v>
      </c>
      <c r="E19" s="10">
        <v>129722</v>
      </c>
      <c r="F19" s="11">
        <f>IFERROR(SUM(F20:F22),"")</f>
        <v>1540872</v>
      </c>
      <c r="G19" s="12"/>
      <c r="H19" s="12"/>
      <c r="I19" s="9">
        <f>取值!M20</f>
        <v>117174</v>
      </c>
      <c r="J19" s="13" t="s">
        <v>19</v>
      </c>
      <c r="K19" s="7"/>
      <c r="L19" s="1"/>
    </row>
    <row r="20" spans="1:12" ht="15" customHeight="1" x14ac:dyDescent="0.25">
      <c r="A20" s="1"/>
      <c r="B20" s="21"/>
      <c r="C20" s="21"/>
      <c r="D20" s="7" t="s">
        <v>35</v>
      </c>
      <c r="E20" s="10">
        <v>129316</v>
      </c>
      <c r="F20" s="11">
        <f>取值!F20</f>
        <v>1533158</v>
      </c>
      <c r="G20" s="6" t="s">
        <v>19</v>
      </c>
      <c r="H20" s="6" t="s">
        <v>19</v>
      </c>
      <c r="I20" s="9">
        <f>取值!M21</f>
        <v>116898</v>
      </c>
      <c r="J20" s="6" t="s">
        <v>19</v>
      </c>
      <c r="K20" s="7"/>
      <c r="L20" s="1"/>
    </row>
    <row r="21" spans="1:12" ht="15" customHeight="1" x14ac:dyDescent="0.25">
      <c r="A21" s="1"/>
      <c r="B21" s="21"/>
      <c r="C21" s="21"/>
      <c r="D21" s="7" t="s">
        <v>36</v>
      </c>
      <c r="E21" s="10">
        <v>393</v>
      </c>
      <c r="F21" s="11">
        <f>取值!F21</f>
        <v>5937</v>
      </c>
      <c r="G21" s="6" t="s">
        <v>19</v>
      </c>
      <c r="H21" s="6" t="s">
        <v>19</v>
      </c>
      <c r="I21" s="9">
        <f>取值!M22</f>
        <v>276</v>
      </c>
      <c r="J21" s="6" t="s">
        <v>19</v>
      </c>
      <c r="K21" s="7"/>
      <c r="L21" s="1"/>
    </row>
    <row r="22" spans="1:12" ht="15" customHeight="1" x14ac:dyDescent="0.25">
      <c r="A22" s="1"/>
      <c r="B22" s="21"/>
      <c r="C22" s="21"/>
      <c r="D22" s="7" t="s">
        <v>37</v>
      </c>
      <c r="E22" s="10">
        <v>13</v>
      </c>
      <c r="F22" s="11">
        <f>取值!F22</f>
        <v>1777</v>
      </c>
      <c r="G22" s="6" t="s">
        <v>19</v>
      </c>
      <c r="H22" s="6" t="s">
        <v>19</v>
      </c>
      <c r="I22" s="9">
        <f>取值!M23</f>
        <v>0</v>
      </c>
      <c r="J22" s="6" t="s">
        <v>19</v>
      </c>
      <c r="K22" s="7"/>
      <c r="L22" s="1"/>
    </row>
    <row r="23" spans="1:12" ht="15" customHeight="1" x14ac:dyDescent="0.25">
      <c r="A23" s="1"/>
      <c r="B23" s="21"/>
      <c r="C23" s="21"/>
      <c r="D23" s="7" t="s">
        <v>38</v>
      </c>
      <c r="E23" s="10">
        <v>128090</v>
      </c>
      <c r="F23" s="11">
        <f>取值!F23</f>
        <v>1517866</v>
      </c>
      <c r="G23" s="12">
        <f>IFERROR(E23/E19*100,0)</f>
        <v>98.741925039700291</v>
      </c>
      <c r="H23" s="12">
        <f>IFERROR(F23/F19*100,0)</f>
        <v>98.506949311818246</v>
      </c>
      <c r="I23" s="9">
        <f>取值!M24</f>
        <v>114910</v>
      </c>
      <c r="J23" s="12">
        <f>IFERROR(I23/I$19*100,0)</f>
        <v>98.067830747435437</v>
      </c>
      <c r="K23" s="7"/>
      <c r="L23" s="1"/>
    </row>
    <row r="24" spans="1:12" ht="15" customHeight="1" x14ac:dyDescent="0.25">
      <c r="A24" s="1"/>
      <c r="B24" s="21"/>
      <c r="C24" s="21"/>
      <c r="D24" s="7" t="s">
        <v>39</v>
      </c>
      <c r="E24" s="10">
        <v>1494</v>
      </c>
      <c r="F24" s="11">
        <f>取值!F24</f>
        <v>20599</v>
      </c>
      <c r="G24" s="12">
        <f>IFERROR(E24/E19*100,0)</f>
        <v>1.1516936217449623</v>
      </c>
      <c r="H24" s="12">
        <f>IFERROR(F24/F19*100,0)</f>
        <v>1.336840438401113</v>
      </c>
      <c r="I24" s="9">
        <f>取值!M25</f>
        <v>1885</v>
      </c>
      <c r="J24" s="12">
        <f>IFERROR(I24/I$19*100,0)</f>
        <v>1.6087186577227031</v>
      </c>
      <c r="K24" s="7"/>
      <c r="L24" s="1"/>
    </row>
    <row r="25" spans="1:12" ht="15" customHeight="1" x14ac:dyDescent="0.25">
      <c r="A25" s="1"/>
      <c r="B25" s="21"/>
      <c r="C25" s="21"/>
      <c r="D25" s="7" t="s">
        <v>40</v>
      </c>
      <c r="E25" s="10">
        <v>0</v>
      </c>
      <c r="F25" s="11">
        <f>取值!F25</f>
        <v>0</v>
      </c>
      <c r="G25" s="12">
        <f>IFERROR(E25/E19*100,0)</f>
        <v>0</v>
      </c>
      <c r="H25" s="12">
        <f>IFERROR(F25/F19*100,0)</f>
        <v>0</v>
      </c>
      <c r="I25" s="9">
        <f>取值!M26</f>
        <v>0</v>
      </c>
      <c r="J25" s="12">
        <f>IFERROR(I25/I$19*100,0)</f>
        <v>0</v>
      </c>
      <c r="K25" s="7"/>
      <c r="L25" s="1"/>
    </row>
    <row r="26" spans="1:12" ht="15" customHeight="1" x14ac:dyDescent="0.25">
      <c r="A26" s="1"/>
      <c r="B26" s="21"/>
      <c r="C26" s="21"/>
      <c r="D26" s="7" t="s">
        <v>41</v>
      </c>
      <c r="E26" s="10">
        <v>86</v>
      </c>
      <c r="F26" s="11">
        <f>取值!F26</f>
        <v>167</v>
      </c>
      <c r="G26" s="12">
        <f>IFERROR(E26/E19*100,0)</f>
        <v>6.6295616780499833E-2</v>
      </c>
      <c r="H26" s="12">
        <f>IFERROR(F26/F19*100,0)</f>
        <v>1.0838018991843579E-2</v>
      </c>
      <c r="I26" s="9">
        <f>取值!M27</f>
        <v>11</v>
      </c>
      <c r="J26" s="12">
        <f>IFERROR(I26/I$19*100,0)</f>
        <v>9.3877481352518475E-3</v>
      </c>
      <c r="K26" s="7"/>
      <c r="L26" s="1"/>
    </row>
    <row r="27" spans="1:12" ht="15" customHeight="1" x14ac:dyDescent="0.25">
      <c r="A27" s="1"/>
      <c r="B27" s="21"/>
      <c r="C27" s="22"/>
      <c r="D27" s="7" t="s">
        <v>25</v>
      </c>
      <c r="E27" s="11">
        <f>E19-SUM(E23,E24,E25,E26)</f>
        <v>52</v>
      </c>
      <c r="F27" s="11">
        <f>F19-SUM(F23,F24,F25,F26)</f>
        <v>2240</v>
      </c>
      <c r="G27" s="12">
        <f>IFERROR(E27/E19*100,0)</f>
        <v>4.008572177425572E-2</v>
      </c>
      <c r="H27" s="12">
        <f>IFERROR(F27/F19*100,0)</f>
        <v>0.1453722307888001</v>
      </c>
      <c r="I27" s="11">
        <f>IFERROR(I19-SUM(I23,I24,I25,I26),0)</f>
        <v>368</v>
      </c>
      <c r="J27" s="12">
        <f>IFERROR(I27/I$19*100,0)</f>
        <v>0.31406284670660728</v>
      </c>
      <c r="K27" s="7"/>
      <c r="L27" s="1"/>
    </row>
    <row r="28" spans="1:12" ht="15" customHeight="1" x14ac:dyDescent="0.25">
      <c r="A28" s="1"/>
      <c r="B28" s="21"/>
      <c r="C28" s="20" t="s">
        <v>42</v>
      </c>
      <c r="D28" s="7" t="s">
        <v>18</v>
      </c>
      <c r="E28" s="10">
        <v>143531</v>
      </c>
      <c r="F28" s="11">
        <f>IFERROR(SUM(F29:F30),"")</f>
        <v>1868244</v>
      </c>
      <c r="G28" s="12"/>
      <c r="H28" s="12"/>
      <c r="I28" s="9">
        <f>取值!M29</f>
        <v>156453</v>
      </c>
      <c r="J28" s="6" t="s">
        <v>19</v>
      </c>
      <c r="K28" s="7"/>
      <c r="L28" s="1"/>
    </row>
    <row r="29" spans="1:12" ht="15" customHeight="1" x14ac:dyDescent="0.25">
      <c r="A29" s="1"/>
      <c r="B29" s="21"/>
      <c r="C29" s="21"/>
      <c r="D29" s="7" t="s">
        <v>43</v>
      </c>
      <c r="E29" s="10">
        <v>143241</v>
      </c>
      <c r="F29" s="11">
        <f>取值!F29</f>
        <v>1864458</v>
      </c>
      <c r="G29" s="6" t="s">
        <v>19</v>
      </c>
      <c r="H29" s="6" t="s">
        <v>19</v>
      </c>
      <c r="I29" s="9">
        <f>取值!M30</f>
        <v>156187</v>
      </c>
      <c r="J29" s="6" t="s">
        <v>19</v>
      </c>
      <c r="K29" s="7"/>
      <c r="L29" s="1"/>
    </row>
    <row r="30" spans="1:12" ht="15" customHeight="1" x14ac:dyDescent="0.25">
      <c r="A30" s="1"/>
      <c r="B30" s="21"/>
      <c r="C30" s="21"/>
      <c r="D30" s="7" t="s">
        <v>36</v>
      </c>
      <c r="E30" s="10">
        <v>290</v>
      </c>
      <c r="F30" s="11">
        <f>取值!F30</f>
        <v>3786</v>
      </c>
      <c r="G30" s="6" t="s">
        <v>19</v>
      </c>
      <c r="H30" s="6" t="s">
        <v>19</v>
      </c>
      <c r="I30" s="9">
        <f>取值!M31</f>
        <v>266</v>
      </c>
      <c r="J30" s="6" t="s">
        <v>19</v>
      </c>
      <c r="K30" s="7"/>
      <c r="L30" s="1"/>
    </row>
    <row r="31" spans="1:12" ht="15" customHeight="1" x14ac:dyDescent="0.25">
      <c r="A31" s="1"/>
      <c r="B31" s="21"/>
      <c r="C31" s="21"/>
      <c r="D31" s="7" t="s">
        <v>44</v>
      </c>
      <c r="E31" s="10">
        <v>133093</v>
      </c>
      <c r="F31" s="11">
        <f>取值!F31</f>
        <v>1743551</v>
      </c>
      <c r="G31" s="12">
        <f>IFERROR(E31/E28*100,0)</f>
        <v>92.727703422953923</v>
      </c>
      <c r="H31" s="12">
        <f>IFERROR(F31/F28*100,0)</f>
        <v>93.325657676406294</v>
      </c>
      <c r="I31" s="9">
        <f>取值!M32</f>
        <v>145602</v>
      </c>
      <c r="J31" s="12">
        <f t="shared" ref="J31:J38" si="0">IFERROR(I31/I$28*100,0)</f>
        <v>93.064370769496279</v>
      </c>
      <c r="K31" s="7"/>
      <c r="L31" s="1"/>
    </row>
    <row r="32" spans="1:12" ht="15" customHeight="1" x14ac:dyDescent="0.25">
      <c r="A32" s="1"/>
      <c r="B32" s="21"/>
      <c r="C32" s="21"/>
      <c r="D32" s="7" t="s">
        <v>45</v>
      </c>
      <c r="E32" s="10">
        <v>5301</v>
      </c>
      <c r="F32" s="11">
        <f>取值!F32</f>
        <v>74643</v>
      </c>
      <c r="G32" s="12">
        <f>IFERROR(E32/E28*100,0)</f>
        <v>3.6932788038820883</v>
      </c>
      <c r="H32" s="12">
        <f>IFERROR(F32/F28*100,0)</f>
        <v>3.9953560669805448</v>
      </c>
      <c r="I32" s="9">
        <f>取值!M33</f>
        <v>7473</v>
      </c>
      <c r="J32" s="12">
        <f t="shared" si="0"/>
        <v>4.7765143525531624</v>
      </c>
      <c r="K32" s="7"/>
      <c r="L32" s="1"/>
    </row>
    <row r="33" spans="1:12" ht="15" customHeight="1" x14ac:dyDescent="0.25">
      <c r="A33" s="1"/>
      <c r="B33" s="21"/>
      <c r="C33" s="21"/>
      <c r="D33" s="7" t="s">
        <v>46</v>
      </c>
      <c r="E33" s="10">
        <v>2770</v>
      </c>
      <c r="F33" s="11">
        <f>取值!F33</f>
        <v>21141</v>
      </c>
      <c r="G33" s="12">
        <f>IFERROR(E33/E28*100,0)</f>
        <v>1.9298966773728325</v>
      </c>
      <c r="H33" s="12">
        <f>IFERROR(F33/F28*100,0)</f>
        <v>1.1315973716495276</v>
      </c>
      <c r="I33" s="9">
        <f>取值!M34</f>
        <v>1593</v>
      </c>
      <c r="J33" s="12">
        <f t="shared" si="0"/>
        <v>1.0181971582519991</v>
      </c>
      <c r="K33" s="7"/>
      <c r="L33" s="1"/>
    </row>
    <row r="34" spans="1:12" ht="15" customHeight="1" x14ac:dyDescent="0.25">
      <c r="A34" s="1"/>
      <c r="B34" s="21"/>
      <c r="C34" s="21"/>
      <c r="D34" s="7" t="s">
        <v>47</v>
      </c>
      <c r="E34" s="10">
        <v>885</v>
      </c>
      <c r="F34" s="11">
        <f>取值!F34</f>
        <v>11768</v>
      </c>
      <c r="G34" s="12">
        <f>IFERROR(E34/E28*100,0)</f>
        <v>0.61659153771659081</v>
      </c>
      <c r="H34" s="12">
        <f>IFERROR(F34/F28*100,0)</f>
        <v>0.62989630904742633</v>
      </c>
      <c r="I34" s="9">
        <f>取值!M35</f>
        <v>988</v>
      </c>
      <c r="J34" s="12">
        <f t="shared" si="0"/>
        <v>0.63149955577713435</v>
      </c>
      <c r="K34" s="7"/>
      <c r="L34" s="1"/>
    </row>
    <row r="35" spans="1:12" ht="15" customHeight="1" x14ac:dyDescent="0.25">
      <c r="A35" s="1"/>
      <c r="B35" s="21"/>
      <c r="C35" s="21"/>
      <c r="D35" s="7" t="s">
        <v>48</v>
      </c>
      <c r="E35" s="10">
        <v>361</v>
      </c>
      <c r="F35" s="11">
        <f>取值!F35</f>
        <v>3978</v>
      </c>
      <c r="G35" s="12">
        <f>IFERROR(E35/E28*100,0)</f>
        <v>0.25151361030021385</v>
      </c>
      <c r="H35" s="12">
        <f>IFERROR(F35/F28*100,0)</f>
        <v>0.21292721935678638</v>
      </c>
      <c r="I35" s="9">
        <f>取值!M36</f>
        <v>337</v>
      </c>
      <c r="J35" s="12">
        <f t="shared" si="0"/>
        <v>0.21540015212236263</v>
      </c>
      <c r="K35" s="7"/>
      <c r="L35" s="1"/>
    </row>
    <row r="36" spans="1:12" ht="15" customHeight="1" x14ac:dyDescent="0.25">
      <c r="A36" s="1"/>
      <c r="B36" s="21"/>
      <c r="C36" s="21"/>
      <c r="D36" s="7" t="s">
        <v>49</v>
      </c>
      <c r="E36" s="10">
        <v>0</v>
      </c>
      <c r="F36" s="11">
        <f>取值!F36</f>
        <v>0</v>
      </c>
      <c r="G36" s="12">
        <f>IFERROR(E36/E28*100,0)</f>
        <v>0</v>
      </c>
      <c r="H36" s="12">
        <f>IFERROR(F36/F28*100,0)</f>
        <v>0</v>
      </c>
      <c r="I36" s="9">
        <f>取值!M37</f>
        <v>0</v>
      </c>
      <c r="J36" s="12">
        <f t="shared" si="0"/>
        <v>0</v>
      </c>
      <c r="K36" s="7"/>
      <c r="L36" s="1"/>
    </row>
    <row r="37" spans="1:12" ht="15" customHeight="1" x14ac:dyDescent="0.25">
      <c r="A37" s="1"/>
      <c r="B37" s="21"/>
      <c r="C37" s="21"/>
      <c r="D37" s="7" t="s">
        <v>41</v>
      </c>
      <c r="E37" s="10">
        <v>1088</v>
      </c>
      <c r="F37" s="11">
        <f>取值!F37</f>
        <v>12277</v>
      </c>
      <c r="G37" s="12">
        <f>IFERROR(E37/E28*100,0)</f>
        <v>0.7580243989103399</v>
      </c>
      <c r="H37" s="12">
        <f>IFERROR(F37/F28*100,0)</f>
        <v>0.65714114430449122</v>
      </c>
      <c r="I37" s="9">
        <f>取值!M38</f>
        <v>394</v>
      </c>
      <c r="J37" s="12">
        <f t="shared" si="0"/>
        <v>0.25183281880181269</v>
      </c>
      <c r="K37" s="7"/>
      <c r="L37" s="1"/>
    </row>
    <row r="38" spans="1:12" ht="15" customHeight="1" x14ac:dyDescent="0.25">
      <c r="A38" s="1"/>
      <c r="B38" s="22"/>
      <c r="C38" s="22"/>
      <c r="D38" s="7" t="s">
        <v>25</v>
      </c>
      <c r="E38" s="11">
        <f>E28-SUM(E31,E32,E33,E34,E35,E36,E37)</f>
        <v>33</v>
      </c>
      <c r="F38" s="11">
        <f>F28-SUM(F31,F32,F33,F34,F35,F36,F37)</f>
        <v>886</v>
      </c>
      <c r="G38" s="12">
        <f>IFERROR(E38/E28*100,0)</f>
        <v>2.2991548864008473E-2</v>
      </c>
      <c r="H38" s="12">
        <f>IFERROR(F38/F28*100,0)</f>
        <v>4.7424212254930299E-2</v>
      </c>
      <c r="I38" s="11">
        <f>IFERROR(I28-SUM(I31,I32,I33,I34,I35,I36,I37),0)</f>
        <v>66</v>
      </c>
      <c r="J38" s="12">
        <f t="shared" si="0"/>
        <v>4.218519299725796E-2</v>
      </c>
      <c r="K38" s="7"/>
      <c r="L38" s="1"/>
    </row>
    <row r="39" spans="1:12" ht="18" customHeight="1" x14ac:dyDescent="0.25">
      <c r="A39" s="1"/>
      <c r="B39" s="6" t="s">
        <v>50</v>
      </c>
      <c r="C39" s="17"/>
      <c r="D39" s="18"/>
      <c r="E39" s="18"/>
      <c r="F39" s="18"/>
      <c r="G39" s="18"/>
      <c r="H39" s="18"/>
      <c r="I39" s="18"/>
      <c r="J39" s="18"/>
      <c r="K39" s="19"/>
      <c r="L39" s="1"/>
    </row>
    <row r="40" spans="1:12" ht="14.25" customHeight="1" x14ac:dyDescent="0.25">
      <c r="A40" s="1"/>
      <c r="B40" s="31" t="s">
        <v>51</v>
      </c>
      <c r="C40" s="31"/>
      <c r="D40" s="14" t="s">
        <v>52</v>
      </c>
      <c r="E40" s="31" t="s">
        <v>53</v>
      </c>
      <c r="F40" s="31"/>
      <c r="G40" s="14" t="s">
        <v>54</v>
      </c>
      <c r="H40" s="31" t="s">
        <v>55</v>
      </c>
      <c r="I40" s="31"/>
      <c r="J40" s="14" t="s">
        <v>56</v>
      </c>
      <c r="K40" s="1"/>
      <c r="L40" s="1"/>
    </row>
  </sheetData>
  <mergeCells count="20">
    <mergeCell ref="B40:C40"/>
    <mergeCell ref="E40:F40"/>
    <mergeCell ref="H40:I40"/>
    <mergeCell ref="B2:K2"/>
    <mergeCell ref="B4:B5"/>
    <mergeCell ref="C4:C5"/>
    <mergeCell ref="D4:D5"/>
    <mergeCell ref="E4:F4"/>
    <mergeCell ref="G4:H4"/>
    <mergeCell ref="I4:J4"/>
    <mergeCell ref="G3:J3"/>
    <mergeCell ref="B3:D3"/>
    <mergeCell ref="C39:K39"/>
    <mergeCell ref="C6:C12"/>
    <mergeCell ref="C13:C15"/>
    <mergeCell ref="C16:C18"/>
    <mergeCell ref="B6:B18"/>
    <mergeCell ref="B19:B38"/>
    <mergeCell ref="C19:C27"/>
    <mergeCell ref="C28:C38"/>
  </mergeCells>
  <phoneticPr fontId="6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4D96-9488-F8A8-A728-29B2EBA11F08}">
  <dimension ref="A1:I31"/>
  <sheetViews>
    <sheetView defaultGridColor="0" colorId="31" workbookViewId="0"/>
  </sheetViews>
  <sheetFormatPr defaultRowHeight="14.15" customHeight="1" x14ac:dyDescent="0.25"/>
  <cols>
    <col min="3" max="3" width="17.453125" customWidth="1"/>
    <col min="6" max="6" width="17.1796875" customWidth="1"/>
    <col min="7" max="7" width="73.7265625" customWidth="1"/>
  </cols>
  <sheetData>
    <row r="1" spans="1:9" ht="14.25" customHeight="1" x14ac:dyDescent="0.3">
      <c r="A1" s="1" t="s">
        <v>57</v>
      </c>
      <c r="B1" s="15"/>
      <c r="C1" s="15" t="s">
        <v>58</v>
      </c>
      <c r="D1" s="15"/>
      <c r="E1" s="15" t="s">
        <v>59</v>
      </c>
      <c r="F1" s="15"/>
      <c r="G1" s="15" t="s">
        <v>60</v>
      </c>
      <c r="H1" s="15"/>
      <c r="I1" s="15" t="s">
        <v>61</v>
      </c>
    </row>
    <row r="2" spans="1:9" ht="14.25" customHeight="1" x14ac:dyDescent="0.3">
      <c r="A2" s="1" t="s">
        <v>62</v>
      </c>
      <c r="B2" s="15" t="s">
        <v>63</v>
      </c>
      <c r="C2" s="15" t="s">
        <v>64</v>
      </c>
      <c r="D2" s="15" t="s">
        <v>65</v>
      </c>
      <c r="E2" s="15" t="s">
        <v>66</v>
      </c>
      <c r="F2" s="15" t="s">
        <v>67</v>
      </c>
      <c r="G2" s="15" t="s">
        <v>68</v>
      </c>
      <c r="H2" s="15" t="s">
        <v>69</v>
      </c>
      <c r="I2" s="15" t="str">
        <f t="shared" ref="I2:I31" si="0">A2&amp;B2&amp;C2&amp;D2&amp;E2&amp;F2&amp;G2&amp;H2</f>
        <v>#SQL("SH_PM_ALL_ByMonth","VALUE",":where{NAME=延安石油化工厂_生产_联合四车间_60万吨/年液化气精制装置_进_催化液化气}")</v>
      </c>
    </row>
    <row r="3" spans="1:9" ht="14.25" customHeight="1" x14ac:dyDescent="0.3">
      <c r="A3" s="1" t="s">
        <v>62</v>
      </c>
      <c r="B3" s="15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" t="s">
        <v>70</v>
      </c>
      <c r="H3" s="15" t="s">
        <v>69</v>
      </c>
      <c r="I3" s="15" t="str">
        <f t="shared" si="0"/>
        <v>#SQL("SH_PM_ALL_ByMonth","VALUE",":where{NAME=延安石油化工厂_生产_联合四车间_60万吨/年液化气精制装置_进_加氢液化气}")</v>
      </c>
    </row>
    <row r="4" spans="1:9" ht="14.25" customHeight="1" x14ac:dyDescent="0.3">
      <c r="A4" s="1" t="s">
        <v>62</v>
      </c>
      <c r="B4" s="15" t="s">
        <v>63</v>
      </c>
      <c r="C4" s="15" t="s">
        <v>64</v>
      </c>
      <c r="D4" s="15" t="s">
        <v>65</v>
      </c>
      <c r="E4" s="15" t="s">
        <v>66</v>
      </c>
      <c r="F4" s="15" t="s">
        <v>67</v>
      </c>
      <c r="G4" s="1" t="s">
        <v>71</v>
      </c>
      <c r="H4" s="15" t="s">
        <v>69</v>
      </c>
      <c r="I4" s="15" t="str">
        <f t="shared" si="0"/>
        <v>#SQL("SH_PM_ALL_ByMonth","VALUE",":where{NAME=延安石油化工厂_生产_联合四车间_60万吨/年液化气精制装置_出_精制液化气}")</v>
      </c>
    </row>
    <row r="5" spans="1:9" ht="14.25" customHeight="1" x14ac:dyDescent="0.3">
      <c r="A5" s="1" t="s">
        <v>62</v>
      </c>
      <c r="B5" s="15" t="s">
        <v>63</v>
      </c>
      <c r="C5" s="15" t="s">
        <v>64</v>
      </c>
      <c r="D5" s="15" t="s">
        <v>65</v>
      </c>
      <c r="E5" s="15" t="s">
        <v>66</v>
      </c>
      <c r="F5" s="15" t="s">
        <v>67</v>
      </c>
      <c r="G5" s="1" t="s">
        <v>72</v>
      </c>
      <c r="H5" s="15" t="s">
        <v>69</v>
      </c>
      <c r="I5" s="15" t="str">
        <f t="shared" si="0"/>
        <v>#SQL("SH_PM_ALL_ByMonth","VALUE",":where{NAME=延安石油化工厂_生产_联合四车间_60万吨/年液化气精制装置_出_酸性气}")</v>
      </c>
    </row>
    <row r="6" spans="1:9" ht="14.25" customHeight="1" x14ac:dyDescent="0.3">
      <c r="A6" s="1" t="s">
        <v>62</v>
      </c>
      <c r="B6" s="15" t="s">
        <v>63</v>
      </c>
      <c r="C6" s="15" t="s">
        <v>64</v>
      </c>
      <c r="D6" s="15" t="s">
        <v>65</v>
      </c>
      <c r="E6" s="15" t="s">
        <v>66</v>
      </c>
      <c r="F6" s="15" t="s">
        <v>67</v>
      </c>
      <c r="G6" s="1" t="s">
        <v>73</v>
      </c>
      <c r="H6" s="15" t="s">
        <v>69</v>
      </c>
      <c r="I6" s="15" t="str">
        <f t="shared" si="0"/>
        <v>#SQL("SH_PM_ALL_ByMonth","VALUE",":where{NAME=延安石油化工厂_生产_联合四车间_60万吨/年液化气精制装置_出_不合格液化气}")</v>
      </c>
    </row>
    <row r="7" spans="1:9" ht="14.25" customHeight="1" x14ac:dyDescent="0.3">
      <c r="A7" s="1" t="s">
        <v>62</v>
      </c>
      <c r="B7" s="15" t="s">
        <v>63</v>
      </c>
      <c r="C7" s="15" t="s">
        <v>64</v>
      </c>
      <c r="D7" s="15" t="s">
        <v>65</v>
      </c>
      <c r="E7" s="15" t="s">
        <v>66</v>
      </c>
      <c r="F7" s="15" t="s">
        <v>67</v>
      </c>
      <c r="G7" s="1" t="s">
        <v>74</v>
      </c>
      <c r="H7" s="15" t="s">
        <v>69</v>
      </c>
      <c r="I7" s="15" t="str">
        <f t="shared" si="0"/>
        <v>#SQL("SH_PM_ALL_ByMonth","VALUE",":where{NAME=延安石油化工厂_生产_联合四车间_60万吨/年液化气精制装置_出_加工损失}")</v>
      </c>
    </row>
    <row r="8" spans="1:9" ht="14.25" customHeight="1" x14ac:dyDescent="0.3">
      <c r="A8" s="1" t="s">
        <v>62</v>
      </c>
      <c r="B8" s="15" t="s">
        <v>63</v>
      </c>
      <c r="C8" s="15" t="s">
        <v>64</v>
      </c>
      <c r="D8" s="15" t="s">
        <v>65</v>
      </c>
      <c r="E8" s="15" t="s">
        <v>66</v>
      </c>
      <c r="F8" s="15" t="s">
        <v>67</v>
      </c>
      <c r="G8" s="1" t="s">
        <v>75</v>
      </c>
      <c r="H8" s="15" t="s">
        <v>69</v>
      </c>
      <c r="I8" s="15" t="str">
        <f t="shared" si="0"/>
        <v>#SQL("SH_PM_ALL_ByMonth","VALUE",":where{NAME=延安石油化工厂_生产_联合四车间_4000吨/年硫磺回收装置_进_ 酸性气原料}")</v>
      </c>
    </row>
    <row r="9" spans="1:9" ht="14.25" customHeight="1" x14ac:dyDescent="0.3">
      <c r="A9" s="1" t="s">
        <v>62</v>
      </c>
      <c r="B9" s="15" t="s">
        <v>63</v>
      </c>
      <c r="C9" s="15" t="s">
        <v>64</v>
      </c>
      <c r="D9" s="15" t="s">
        <v>65</v>
      </c>
      <c r="E9" s="15" t="s">
        <v>66</v>
      </c>
      <c r="F9" s="15" t="s">
        <v>67</v>
      </c>
      <c r="G9" s="1" t="s">
        <v>76</v>
      </c>
      <c r="H9" s="15" t="s">
        <v>69</v>
      </c>
      <c r="I9" s="15" t="str">
        <f t="shared" si="0"/>
        <v>#SQL("SH_PM_ALL_ByMonth","VALUE",":where{NAME=延安石油化工厂_生产_联合四车间_4000吨/年硫磺回收装置_出_ 粗硫磺}")</v>
      </c>
    </row>
    <row r="10" spans="1:9" ht="14.25" customHeight="1" x14ac:dyDescent="0.3">
      <c r="A10" s="1" t="s">
        <v>62</v>
      </c>
      <c r="B10" s="15" t="s">
        <v>63</v>
      </c>
      <c r="C10" s="15" t="s">
        <v>64</v>
      </c>
      <c r="D10" s="15" t="s">
        <v>65</v>
      </c>
      <c r="E10" s="15" t="s">
        <v>66</v>
      </c>
      <c r="F10" s="15" t="s">
        <v>67</v>
      </c>
      <c r="G10" s="1" t="s">
        <v>77</v>
      </c>
      <c r="H10" s="15" t="s">
        <v>69</v>
      </c>
      <c r="I10" s="15" t="str">
        <f t="shared" si="0"/>
        <v>#SQL("SH_PM_ALL_ByMonth","VALUE",":where{NAME=延安石油化工厂_生产_联合四车间_4000吨/年硫磺回收装置_出_ 烟道气}")</v>
      </c>
    </row>
    <row r="11" spans="1:9" ht="14.25" customHeight="1" x14ac:dyDescent="0.3">
      <c r="A11" s="1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1" t="s">
        <v>78</v>
      </c>
      <c r="H11" s="15" t="s">
        <v>69</v>
      </c>
      <c r="I11" s="15" t="str">
        <f t="shared" si="0"/>
        <v>#SQL("SH_PM_ALL_ByMonth","VALUE",":where{NAME=延安石油化工厂_生产_联合四车间_ 2万吨/年硫磺精制_进_ 粗硫磺}")</v>
      </c>
    </row>
    <row r="12" spans="1:9" ht="14.25" customHeight="1" x14ac:dyDescent="0.3">
      <c r="A12" s="1" t="s">
        <v>62</v>
      </c>
      <c r="B12" s="15" t="s">
        <v>63</v>
      </c>
      <c r="C12" s="15" t="s">
        <v>64</v>
      </c>
      <c r="D12" s="15" t="s">
        <v>65</v>
      </c>
      <c r="E12" s="15" t="s">
        <v>66</v>
      </c>
      <c r="F12" s="15" t="s">
        <v>67</v>
      </c>
      <c r="G12" s="1" t="s">
        <v>79</v>
      </c>
      <c r="H12" s="15" t="s">
        <v>69</v>
      </c>
      <c r="I12" s="15" t="str">
        <f t="shared" si="0"/>
        <v>#SQL("SH_PM_ALL_ByMonth","VALUE",":where{NAME=延安石油化工厂_生产_联合四车间_ 2万吨/年硫磺精制_出_ 精制硫磺}")</v>
      </c>
    </row>
    <row r="13" spans="1:9" ht="14.25" customHeight="1" x14ac:dyDescent="0.3">
      <c r="A13" s="1" t="s">
        <v>62</v>
      </c>
      <c r="B13" s="15" t="s">
        <v>63</v>
      </c>
      <c r="C13" s="15" t="s">
        <v>64</v>
      </c>
      <c r="D13" s="15" t="s">
        <v>65</v>
      </c>
      <c r="E13" s="15" t="s">
        <v>66</v>
      </c>
      <c r="F13" s="15" t="s">
        <v>67</v>
      </c>
      <c r="G13" s="1" t="s">
        <v>80</v>
      </c>
      <c r="H13" s="15" t="s">
        <v>69</v>
      </c>
      <c r="I13" s="15" t="str">
        <f t="shared" si="0"/>
        <v>#SQL("SH_PM_ALL_ByMonth","VALUE",":where{NAME=延安石油化工厂_生产_联合四车间_ 2万吨/年硫磺精制_出_ 污水}")</v>
      </c>
    </row>
    <row r="14" spans="1:9" ht="14.25" customHeight="1" x14ac:dyDescent="0.3">
      <c r="A14" s="1" t="s">
        <v>62</v>
      </c>
      <c r="B14" s="15" t="s">
        <v>63</v>
      </c>
      <c r="C14" s="15" t="s">
        <v>64</v>
      </c>
      <c r="D14" s="15" t="s">
        <v>65</v>
      </c>
      <c r="E14" s="15" t="s">
        <v>66</v>
      </c>
      <c r="F14" s="15" t="s">
        <v>67</v>
      </c>
      <c r="G14" s="1" t="s">
        <v>81</v>
      </c>
      <c r="H14" s="15" t="s">
        <v>69</v>
      </c>
      <c r="I14" s="15" t="str">
        <f t="shared" si="0"/>
        <v>#SQL("SH_PM_ALL_ByMonth","VALUE",":where{NAME=延安石油化工厂_生产_联合三车间_180万吨/年汽油精制装置_进_催化汽油}")</v>
      </c>
    </row>
    <row r="15" spans="1:9" ht="14.25" customHeight="1" x14ac:dyDescent="0.3">
      <c r="A15" s="1" t="s">
        <v>62</v>
      </c>
      <c r="B15" s="15" t="s">
        <v>63</v>
      </c>
      <c r="C15" s="15" t="s">
        <v>64</v>
      </c>
      <c r="D15" s="15" t="s">
        <v>65</v>
      </c>
      <c r="E15" s="15" t="s">
        <v>66</v>
      </c>
      <c r="F15" s="15" t="s">
        <v>67</v>
      </c>
      <c r="G15" s="1" t="s">
        <v>82</v>
      </c>
      <c r="H15" s="15" t="s">
        <v>69</v>
      </c>
      <c r="I15" s="15" t="str">
        <f t="shared" si="0"/>
        <v>#SQL("SH_PM_ALL_ByMonth","VALUE",":where{NAME=延安石油化工厂_生产_联合三车间_180万吨/年汽油精制装置_进_氢气}")</v>
      </c>
    </row>
    <row r="16" spans="1:9" ht="14.25" customHeight="1" x14ac:dyDescent="0.3">
      <c r="A16" s="1" t="s">
        <v>62</v>
      </c>
      <c r="B16" s="15" t="s">
        <v>63</v>
      </c>
      <c r="C16" s="15" t="s">
        <v>64</v>
      </c>
      <c r="D16" s="15" t="s">
        <v>65</v>
      </c>
      <c r="E16" s="15" t="s">
        <v>66</v>
      </c>
      <c r="F16" s="15" t="s">
        <v>67</v>
      </c>
      <c r="G16" s="1" t="s">
        <v>83</v>
      </c>
      <c r="H16" s="15" t="s">
        <v>69</v>
      </c>
      <c r="I16" s="15" t="str">
        <f t="shared" si="0"/>
        <v>#SQL("SH_PM_ALL_ByMonth","VALUE",":where{NAME=延安石油化工厂_生产_联合三车间_180万吨/年汽油精制装置_进_戊烷}")</v>
      </c>
    </row>
    <row r="17" spans="1:9" ht="14.25" customHeight="1" x14ac:dyDescent="0.3">
      <c r="A17" s="1" t="s">
        <v>62</v>
      </c>
      <c r="B17" s="15" t="s">
        <v>63</v>
      </c>
      <c r="C17" s="15" t="s">
        <v>64</v>
      </c>
      <c r="D17" s="15" t="s">
        <v>65</v>
      </c>
      <c r="E17" s="15" t="s">
        <v>66</v>
      </c>
      <c r="F17" s="15" t="s">
        <v>67</v>
      </c>
      <c r="G17" s="1" t="s">
        <v>84</v>
      </c>
      <c r="H17" s="15" t="s">
        <v>69</v>
      </c>
      <c r="I17" s="15" t="str">
        <f t="shared" si="0"/>
        <v>#SQL("SH_PM_ALL_ByMonth","VALUE",":where{NAME=延安石油化工厂_生产_联合三车间_180万吨/年汽油精制装置_出_精制汽油}")</v>
      </c>
    </row>
    <row r="18" spans="1:9" ht="14.25" customHeight="1" x14ac:dyDescent="0.3">
      <c r="A18" s="1" t="s">
        <v>62</v>
      </c>
      <c r="B18" s="15" t="s">
        <v>63</v>
      </c>
      <c r="C18" s="15" t="s">
        <v>64</v>
      </c>
      <c r="D18" s="15" t="s">
        <v>65</v>
      </c>
      <c r="E18" s="15" t="s">
        <v>66</v>
      </c>
      <c r="F18" s="15" t="s">
        <v>67</v>
      </c>
      <c r="G18" s="1" t="s">
        <v>85</v>
      </c>
      <c r="H18" s="15" t="s">
        <v>69</v>
      </c>
      <c r="I18" s="15" t="str">
        <f t="shared" si="0"/>
        <v>#SQL("SH_PM_ALL_ByMonth","VALUE",":where{NAME=延安石油化工厂_生产_联合三车间_180万吨/年汽油精制装置_出_燃料气}")</v>
      </c>
    </row>
    <row r="19" spans="1:9" ht="14.25" customHeight="1" x14ac:dyDescent="0.3">
      <c r="A19" s="1" t="s">
        <v>62</v>
      </c>
      <c r="B19" s="15" t="s">
        <v>63</v>
      </c>
      <c r="C19" s="15" t="s">
        <v>64</v>
      </c>
      <c r="D19" s="15" t="s">
        <v>65</v>
      </c>
      <c r="E19" s="15" t="s">
        <v>66</v>
      </c>
      <c r="F19" s="15" t="s">
        <v>67</v>
      </c>
      <c r="G19" s="1" t="s">
        <v>86</v>
      </c>
      <c r="H19" s="15" t="s">
        <v>69</v>
      </c>
      <c r="I19" s="15" t="str">
        <f t="shared" si="0"/>
        <v>#SQL("SH_PM_ALL_ByMonth","VALUE",":where{NAME=延安石油化工厂_生产_联合三车间_180万吨/年汽油精制装置_出_不合格汽油}")</v>
      </c>
    </row>
    <row r="20" spans="1:9" ht="14.25" customHeight="1" x14ac:dyDescent="0.3">
      <c r="A20" s="1" t="s">
        <v>62</v>
      </c>
      <c r="B20" s="15" t="s">
        <v>63</v>
      </c>
      <c r="C20" s="15" t="s">
        <v>64</v>
      </c>
      <c r="D20" s="15" t="s">
        <v>65</v>
      </c>
      <c r="E20" s="15" t="s">
        <v>66</v>
      </c>
      <c r="F20" s="15" t="s">
        <v>67</v>
      </c>
      <c r="G20" s="1" t="s">
        <v>87</v>
      </c>
      <c r="H20" s="15" t="s">
        <v>69</v>
      </c>
      <c r="I20" s="15" t="str">
        <f t="shared" si="0"/>
        <v>#SQL("SH_PM_ALL_ByMonth","VALUE",":where{NAME=延安石油化工厂_生产_联合三车间_180万吨/年汽油精制装置_出_污油}")</v>
      </c>
    </row>
    <row r="21" spans="1:9" ht="14.25" customHeight="1" x14ac:dyDescent="0.3">
      <c r="A21" s="1" t="s">
        <v>62</v>
      </c>
      <c r="B21" s="15" t="s">
        <v>63</v>
      </c>
      <c r="C21" s="15" t="s">
        <v>64</v>
      </c>
      <c r="D21" s="15" t="s">
        <v>65</v>
      </c>
      <c r="E21" s="15" t="s">
        <v>66</v>
      </c>
      <c r="F21" s="15" t="s">
        <v>67</v>
      </c>
      <c r="G21" s="1" t="s">
        <v>88</v>
      </c>
      <c r="H21" s="15" t="s">
        <v>69</v>
      </c>
      <c r="I21" s="15" t="str">
        <f t="shared" si="0"/>
        <v>#SQL("SH_PM_ALL_ByMonth","VALUE",":where{NAME=延安石油化工厂_生产_联合三车间_180万吨/年汽油精制装置_出_加工损失}")</v>
      </c>
    </row>
    <row r="22" spans="1:9" ht="14.25" customHeight="1" x14ac:dyDescent="0.3">
      <c r="A22" s="1" t="s">
        <v>62</v>
      </c>
      <c r="B22" s="15" t="s">
        <v>63</v>
      </c>
      <c r="C22" s="15" t="s">
        <v>64</v>
      </c>
      <c r="D22" s="15" t="s">
        <v>65</v>
      </c>
      <c r="E22" s="15" t="s">
        <v>66</v>
      </c>
      <c r="F22" s="15" t="s">
        <v>67</v>
      </c>
      <c r="G22" s="1" t="s">
        <v>89</v>
      </c>
      <c r="H22" s="15" t="s">
        <v>69</v>
      </c>
      <c r="I22" s="15" t="str">
        <f t="shared" si="0"/>
        <v>#SQL("SH_PM_ALL_ByMonth","VALUE",":where{NAME=延安石油化工厂_生产_联合三车间_240万吨/年柴油精制装置_进_常压柴油}")</v>
      </c>
    </row>
    <row r="23" spans="1:9" ht="14.25" customHeight="1" x14ac:dyDescent="0.3">
      <c r="A23" s="1" t="s">
        <v>62</v>
      </c>
      <c r="B23" s="15" t="s">
        <v>63</v>
      </c>
      <c r="C23" s="15" t="s">
        <v>64</v>
      </c>
      <c r="D23" s="15" t="s">
        <v>65</v>
      </c>
      <c r="E23" s="15" t="s">
        <v>66</v>
      </c>
      <c r="F23" s="15" t="s">
        <v>67</v>
      </c>
      <c r="G23" s="1" t="s">
        <v>90</v>
      </c>
      <c r="H23" s="15" t="s">
        <v>69</v>
      </c>
      <c r="I23" s="15" t="str">
        <f t="shared" si="0"/>
        <v>#SQL("SH_PM_ALL_ByMonth","VALUE",":where{NAME=延安石油化工厂_生产_联合三车间_240万吨/年柴油精制装置_进_氢气}")</v>
      </c>
    </row>
    <row r="24" spans="1:9" ht="14.25" customHeight="1" x14ac:dyDescent="0.3">
      <c r="A24" s="1" t="s">
        <v>62</v>
      </c>
      <c r="B24" s="15" t="s">
        <v>63</v>
      </c>
      <c r="C24" s="15" t="s">
        <v>64</v>
      </c>
      <c r="D24" s="15" t="s">
        <v>65</v>
      </c>
      <c r="E24" s="15" t="s">
        <v>66</v>
      </c>
      <c r="F24" s="15" t="s">
        <v>67</v>
      </c>
      <c r="G24" s="1" t="s">
        <v>91</v>
      </c>
      <c r="H24" s="15" t="s">
        <v>69</v>
      </c>
      <c r="I24" s="15" t="str">
        <f t="shared" si="0"/>
        <v>#SQL("SH_PM_ALL_ByMonth","VALUE",":where{NAME=延安石油化工厂_生产_联合三车间_240万吨/年柴油精制装置_出_精制柴油}")</v>
      </c>
    </row>
    <row r="25" spans="1:9" ht="14.25" customHeight="1" x14ac:dyDescent="0.3">
      <c r="A25" s="1" t="s">
        <v>62</v>
      </c>
      <c r="B25" s="15" t="s">
        <v>63</v>
      </c>
      <c r="C25" s="15" t="s">
        <v>64</v>
      </c>
      <c r="D25" s="15" t="s">
        <v>65</v>
      </c>
      <c r="E25" s="15" t="s">
        <v>66</v>
      </c>
      <c r="F25" s="15" t="s">
        <v>67</v>
      </c>
      <c r="G25" s="1" t="s">
        <v>92</v>
      </c>
      <c r="H25" s="15" t="s">
        <v>69</v>
      </c>
      <c r="I25" s="15" t="str">
        <f t="shared" si="0"/>
        <v>#SQL("SH_PM_ALL_ByMonth","VALUE",":where{NAME=延安石油化工厂_生产_联合三车间_240万吨/年柴油精制装置_出_石脑油（常压）}")</v>
      </c>
    </row>
    <row r="26" spans="1:9" ht="14.25" customHeight="1" x14ac:dyDescent="0.3">
      <c r="A26" s="1" t="s">
        <v>62</v>
      </c>
      <c r="B26" s="15" t="s">
        <v>63</v>
      </c>
      <c r="C26" s="15" t="s">
        <v>64</v>
      </c>
      <c r="D26" s="15" t="s">
        <v>65</v>
      </c>
      <c r="E26" s="15" t="s">
        <v>66</v>
      </c>
      <c r="F26" s="15" t="s">
        <v>67</v>
      </c>
      <c r="G26" s="1" t="s">
        <v>93</v>
      </c>
      <c r="H26" s="15" t="s">
        <v>69</v>
      </c>
      <c r="I26" s="15" t="str">
        <f t="shared" si="0"/>
        <v>#SQL("SH_PM_ALL_ByMonth","VALUE",":where{NAME=延安石油化工厂_生产_联合三车间_240万吨/年柴油精制装置_出_轻烃}")</v>
      </c>
    </row>
    <row r="27" spans="1:9" ht="14.25" customHeight="1" x14ac:dyDescent="0.3">
      <c r="A27" s="1" t="s">
        <v>62</v>
      </c>
      <c r="B27" s="15" t="s">
        <v>63</v>
      </c>
      <c r="C27" s="15" t="s">
        <v>64</v>
      </c>
      <c r="D27" s="15" t="s">
        <v>65</v>
      </c>
      <c r="E27" s="15" t="s">
        <v>66</v>
      </c>
      <c r="F27" s="15" t="s">
        <v>67</v>
      </c>
      <c r="G27" s="1" t="s">
        <v>94</v>
      </c>
      <c r="H27" s="15" t="s">
        <v>69</v>
      </c>
      <c r="I27" s="15" t="str">
        <f t="shared" si="0"/>
        <v>#SQL("SH_PM_ALL_ByMonth","VALUE",":where{NAME=延安石油化工厂_生产_联合三车间_240万吨/年柴油精制装置_出_含硫气体}")</v>
      </c>
    </row>
    <row r="28" spans="1:9" ht="14.25" customHeight="1" x14ac:dyDescent="0.3">
      <c r="A28" s="1" t="s">
        <v>62</v>
      </c>
      <c r="B28" s="15" t="s">
        <v>63</v>
      </c>
      <c r="C28" s="15" t="s">
        <v>64</v>
      </c>
      <c r="D28" s="15" t="s">
        <v>65</v>
      </c>
      <c r="E28" s="15" t="s">
        <v>66</v>
      </c>
      <c r="F28" s="15" t="s">
        <v>67</v>
      </c>
      <c r="G28" s="1" t="s">
        <v>95</v>
      </c>
      <c r="H28" s="15" t="s">
        <v>69</v>
      </c>
      <c r="I28" s="15" t="str">
        <f t="shared" si="0"/>
        <v>#SQL("SH_PM_ALL_ByMonth","VALUE",":where{NAME=延安石油化工厂_生产_联合三车间_240万吨/年柴油精制装置_出_高、低气分}")</v>
      </c>
    </row>
    <row r="29" spans="1:9" ht="14.25" customHeight="1" x14ac:dyDescent="0.3">
      <c r="A29" s="1" t="s">
        <v>62</v>
      </c>
      <c r="B29" s="15" t="s">
        <v>63</v>
      </c>
      <c r="C29" s="15" t="s">
        <v>64</v>
      </c>
      <c r="D29" s="15" t="s">
        <v>65</v>
      </c>
      <c r="E29" s="15" t="s">
        <v>66</v>
      </c>
      <c r="F29" s="15" t="s">
        <v>67</v>
      </c>
      <c r="G29" s="1" t="s">
        <v>96</v>
      </c>
      <c r="H29" s="15" t="s">
        <v>69</v>
      </c>
      <c r="I29" s="15" t="str">
        <f t="shared" si="0"/>
        <v>#SQL("SH_PM_ALL_ByMonth","VALUE",":where{NAME=延安石油化工厂_生产_联合三车间_240万吨/年柴油精制装置_出_不合格柴油}")</v>
      </c>
    </row>
    <row r="30" spans="1:9" ht="14.25" customHeight="1" x14ac:dyDescent="0.3">
      <c r="A30" s="1" t="s">
        <v>62</v>
      </c>
      <c r="B30" s="15" t="s">
        <v>63</v>
      </c>
      <c r="C30" s="15" t="s">
        <v>64</v>
      </c>
      <c r="D30" s="15" t="s">
        <v>65</v>
      </c>
      <c r="E30" s="15" t="s">
        <v>66</v>
      </c>
      <c r="F30" s="15" t="s">
        <v>67</v>
      </c>
      <c r="G30" s="1" t="s">
        <v>97</v>
      </c>
      <c r="H30" s="15" t="s">
        <v>69</v>
      </c>
      <c r="I30" s="15" t="str">
        <f t="shared" si="0"/>
        <v>#SQL("SH_PM_ALL_ByMonth","VALUE",":where{NAME=延安石油化工厂_生产_联合三车间_240万吨/年柴油精制装置_出_污油}")</v>
      </c>
    </row>
    <row r="31" spans="1:9" ht="14.25" customHeight="1" x14ac:dyDescent="0.3">
      <c r="A31" s="1" t="s">
        <v>62</v>
      </c>
      <c r="B31" s="15" t="s">
        <v>63</v>
      </c>
      <c r="C31" s="15" t="s">
        <v>64</v>
      </c>
      <c r="D31" s="15" t="s">
        <v>65</v>
      </c>
      <c r="E31" s="15" t="s">
        <v>66</v>
      </c>
      <c r="F31" s="15" t="s">
        <v>67</v>
      </c>
      <c r="G31" s="1" t="s">
        <v>98</v>
      </c>
      <c r="H31" s="15" t="s">
        <v>69</v>
      </c>
      <c r="I31" s="15" t="str">
        <f t="shared" si="0"/>
        <v>#SQL("SH_PM_ALL_ByMonth","VALUE",":where{NAME=延安石油化工厂_生产_联合三车间_240万吨/年柴油精制装置_出_加工损失}")</v>
      </c>
    </row>
  </sheetData>
  <phoneticPr fontId="6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0E38-D688-E818-7D91-1F6FF3257E68}">
  <dimension ref="A1:M45"/>
  <sheetViews>
    <sheetView defaultGridColor="0" topLeftCell="A7" colorId="31" workbookViewId="0">
      <selection activeCell="C45" sqref="C45"/>
    </sheetView>
  </sheetViews>
  <sheetFormatPr defaultRowHeight="14.15" customHeight="1" x14ac:dyDescent="0.25"/>
  <sheetData>
    <row r="1" spans="1:13" ht="14.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4.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4.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4.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4.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4.25" customHeight="1" x14ac:dyDescent="0.25">
      <c r="A7" s="1" t="s">
        <v>99</v>
      </c>
      <c r="B7" s="1" t="s">
        <v>100</v>
      </c>
      <c r="C7" s="1" t="s">
        <v>101</v>
      </c>
      <c r="D7" s="1"/>
      <c r="E7" s="1">
        <v>53893</v>
      </c>
      <c r="F7" s="1">
        <v>621089</v>
      </c>
      <c r="G7" s="1"/>
      <c r="H7" s="1"/>
      <c r="I7" s="1">
        <v>626994</v>
      </c>
      <c r="J7" s="1"/>
      <c r="K7" s="1"/>
      <c r="L7" s="1"/>
      <c r="M7" s="16">
        <v>57035</v>
      </c>
    </row>
    <row r="8" spans="1:13" ht="14.25" customHeight="1" x14ac:dyDescent="0.25">
      <c r="A8" s="1"/>
      <c r="B8" s="1"/>
      <c r="C8" s="1"/>
      <c r="D8" s="1"/>
      <c r="E8" s="1">
        <v>3457</v>
      </c>
      <c r="F8" s="1">
        <v>36001</v>
      </c>
      <c r="G8" s="1"/>
      <c r="H8" s="1"/>
      <c r="I8" s="1">
        <v>30026</v>
      </c>
      <c r="J8" s="1"/>
      <c r="K8" s="1"/>
      <c r="L8" s="1"/>
      <c r="M8" s="16">
        <v>54016</v>
      </c>
    </row>
    <row r="9" spans="1:13" ht="14.25" customHeight="1" x14ac:dyDescent="0.25">
      <c r="A9" s="1"/>
      <c r="B9" s="1"/>
      <c r="C9" s="1"/>
      <c r="D9" s="1"/>
      <c r="E9" s="1">
        <v>57335</v>
      </c>
      <c r="F9" s="1">
        <v>656868</v>
      </c>
      <c r="G9" s="1"/>
      <c r="H9" s="1"/>
      <c r="I9" s="1">
        <v>656805</v>
      </c>
      <c r="J9" s="1"/>
      <c r="K9" s="1"/>
      <c r="L9" s="1"/>
      <c r="M9" s="16">
        <v>3019</v>
      </c>
    </row>
    <row r="10" spans="1:13" ht="14.25" customHeight="1" x14ac:dyDescent="0.25">
      <c r="A10" s="1"/>
      <c r="B10" s="1"/>
      <c r="C10" s="1"/>
      <c r="D10" s="1"/>
      <c r="E10" s="1">
        <v>0</v>
      </c>
      <c r="F10" s="1">
        <v>0</v>
      </c>
      <c r="G10" s="1"/>
      <c r="H10" s="1"/>
      <c r="I10" s="1">
        <v>0</v>
      </c>
      <c r="J10" s="1"/>
      <c r="K10" s="1"/>
      <c r="L10" s="1"/>
      <c r="M10" s="16">
        <v>57018</v>
      </c>
    </row>
    <row r="11" spans="1:13" ht="14.25" customHeight="1" x14ac:dyDescent="0.25">
      <c r="A11" s="1"/>
      <c r="B11" s="1"/>
      <c r="C11" s="1"/>
      <c r="D11" s="1"/>
      <c r="E11" s="1">
        <v>0</v>
      </c>
      <c r="F11" s="1">
        <v>0</v>
      </c>
      <c r="G11" s="1"/>
      <c r="H11" s="1"/>
      <c r="I11" s="1">
        <v>0</v>
      </c>
      <c r="J11" s="1"/>
      <c r="K11" s="1"/>
      <c r="L11" s="1"/>
      <c r="M11" s="16">
        <v>0</v>
      </c>
    </row>
    <row r="12" spans="1:13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6">
        <v>0</v>
      </c>
    </row>
    <row r="13" spans="1:13" ht="14.25" customHeight="1" x14ac:dyDescent="0.25">
      <c r="A13" s="1"/>
      <c r="B13" s="1"/>
      <c r="C13" s="1"/>
      <c r="D13" s="1"/>
      <c r="E13" s="1">
        <v>1652</v>
      </c>
      <c r="F13" s="1">
        <v>13576</v>
      </c>
      <c r="G13" s="1"/>
      <c r="H13" s="1"/>
      <c r="I13" s="1">
        <v>11020</v>
      </c>
      <c r="J13" s="1"/>
      <c r="K13" s="1"/>
      <c r="L13" s="1"/>
      <c r="M13" s="16"/>
    </row>
    <row r="14" spans="1:13" ht="14.25" customHeight="1" x14ac:dyDescent="0.25">
      <c r="A14" s="1"/>
      <c r="B14" s="1"/>
      <c r="C14" s="1"/>
      <c r="D14" s="1"/>
      <c r="E14" s="1">
        <v>412</v>
      </c>
      <c r="F14" s="1">
        <v>3393</v>
      </c>
      <c r="G14" s="1"/>
      <c r="H14" s="1"/>
      <c r="I14" s="1">
        <v>2755</v>
      </c>
      <c r="J14" s="1"/>
      <c r="K14" s="1"/>
      <c r="L14" s="1"/>
      <c r="M14" s="16">
        <v>876</v>
      </c>
    </row>
    <row r="15" spans="1:13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6">
        <v>219</v>
      </c>
    </row>
    <row r="16" spans="1:13" ht="14.25" customHeight="1" x14ac:dyDescent="0.25">
      <c r="A16" s="1"/>
      <c r="B16" s="1"/>
      <c r="C16" s="1"/>
      <c r="D16" s="1"/>
      <c r="E16" s="1">
        <v>342</v>
      </c>
      <c r="F16" s="1">
        <v>3194</v>
      </c>
      <c r="G16" s="1"/>
      <c r="H16" s="1"/>
      <c r="I16" s="1"/>
      <c r="J16" s="1"/>
      <c r="K16" s="1"/>
      <c r="L16" s="1"/>
      <c r="M16" s="16">
        <v>657</v>
      </c>
    </row>
    <row r="17" spans="1:13" ht="14.25" customHeight="1" x14ac:dyDescent="0.25">
      <c r="A17" s="1"/>
      <c r="B17" s="1"/>
      <c r="C17" s="1"/>
      <c r="D17" s="1"/>
      <c r="E17" s="1">
        <v>292</v>
      </c>
      <c r="F17" s="1">
        <v>2231</v>
      </c>
      <c r="G17" s="1"/>
      <c r="H17" s="1"/>
      <c r="I17" s="1"/>
      <c r="J17" s="1"/>
      <c r="K17" s="1"/>
      <c r="L17" s="1"/>
      <c r="M17" s="16">
        <v>219</v>
      </c>
    </row>
    <row r="18" spans="1:13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6">
        <v>115</v>
      </c>
    </row>
    <row r="19" spans="1:13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6">
        <v>104</v>
      </c>
    </row>
    <row r="20" spans="1:13" ht="14.25" customHeight="1" x14ac:dyDescent="0.25">
      <c r="A20" s="1"/>
      <c r="B20" s="1"/>
      <c r="C20" s="1"/>
      <c r="D20" s="1"/>
      <c r="E20" s="1">
        <v>129316</v>
      </c>
      <c r="F20" s="1">
        <v>1533158</v>
      </c>
      <c r="G20" s="1"/>
      <c r="H20" s="1"/>
      <c r="I20" s="1">
        <v>1501498</v>
      </c>
      <c r="J20" s="1"/>
      <c r="K20" s="1"/>
      <c r="L20" s="1"/>
      <c r="M20" s="16">
        <v>117174</v>
      </c>
    </row>
    <row r="21" spans="1:13" ht="14.25" customHeight="1" x14ac:dyDescent="0.25">
      <c r="A21" s="1"/>
      <c r="B21" s="1"/>
      <c r="C21" s="1"/>
      <c r="D21" s="1"/>
      <c r="E21" s="1">
        <v>393</v>
      </c>
      <c r="F21" s="1">
        <v>5937</v>
      </c>
      <c r="G21" s="1"/>
      <c r="H21" s="1"/>
      <c r="I21" s="1">
        <v>4293</v>
      </c>
      <c r="J21" s="1"/>
      <c r="K21" s="1"/>
      <c r="L21" s="1"/>
      <c r="M21" s="16">
        <v>116898</v>
      </c>
    </row>
    <row r="22" spans="1:13" ht="14.25" customHeight="1" x14ac:dyDescent="0.25">
      <c r="A22" s="1"/>
      <c r="B22" s="1"/>
      <c r="C22" s="1"/>
      <c r="D22" s="1"/>
      <c r="E22" s="1">
        <v>13</v>
      </c>
      <c r="F22" s="1">
        <v>1777</v>
      </c>
      <c r="G22" s="1"/>
      <c r="H22" s="1"/>
      <c r="I22" s="1">
        <v>652</v>
      </c>
      <c r="J22" s="1"/>
      <c r="K22" s="1"/>
      <c r="L22" s="1"/>
      <c r="M22" s="16">
        <v>276</v>
      </c>
    </row>
    <row r="23" spans="1:13" ht="14.25" customHeight="1" x14ac:dyDescent="0.25">
      <c r="A23" s="1"/>
      <c r="B23" s="1"/>
      <c r="C23" s="1"/>
      <c r="D23" s="1"/>
      <c r="E23" s="1">
        <v>128090</v>
      </c>
      <c r="F23" s="1">
        <v>1517866</v>
      </c>
      <c r="G23" s="1"/>
      <c r="H23" s="1"/>
      <c r="I23" s="1">
        <v>1485118</v>
      </c>
      <c r="J23" s="1"/>
      <c r="K23" s="1"/>
      <c r="L23" s="1"/>
      <c r="M23" s="16">
        <v>0</v>
      </c>
    </row>
    <row r="24" spans="1:13" ht="14.25" customHeight="1" x14ac:dyDescent="0.25">
      <c r="A24" s="1"/>
      <c r="B24" s="1"/>
      <c r="C24" s="1"/>
      <c r="D24" s="1"/>
      <c r="E24" s="1">
        <v>1494</v>
      </c>
      <c r="F24" s="1">
        <v>20599</v>
      </c>
      <c r="G24" s="1"/>
      <c r="H24" s="1"/>
      <c r="I24" s="1">
        <v>15974</v>
      </c>
      <c r="J24" s="1"/>
      <c r="K24" s="1"/>
      <c r="L24" s="1"/>
      <c r="M24" s="16">
        <v>114910</v>
      </c>
    </row>
    <row r="25" spans="1:13" ht="14.25" customHeight="1" x14ac:dyDescent="0.25">
      <c r="A25" s="1"/>
      <c r="B25" s="1"/>
      <c r="C25" s="1"/>
      <c r="D25" s="1"/>
      <c r="E25" s="1">
        <v>0</v>
      </c>
      <c r="F25" s="1">
        <v>0</v>
      </c>
      <c r="G25" s="1"/>
      <c r="H25" s="1"/>
      <c r="I25" s="1">
        <v>0</v>
      </c>
      <c r="J25" s="1"/>
      <c r="K25" s="1"/>
      <c r="L25" s="1"/>
      <c r="M25" s="16">
        <v>1885</v>
      </c>
    </row>
    <row r="26" spans="1:13" ht="14.25" customHeight="1" x14ac:dyDescent="0.25">
      <c r="A26" s="1"/>
      <c r="B26" s="1"/>
      <c r="C26" s="1"/>
      <c r="D26" s="1"/>
      <c r="E26" s="1">
        <v>86</v>
      </c>
      <c r="F26" s="1">
        <v>167</v>
      </c>
      <c r="G26" s="1"/>
      <c r="H26" s="1"/>
      <c r="I26" s="1">
        <v>934</v>
      </c>
      <c r="J26" s="1"/>
      <c r="K26" s="1"/>
      <c r="L26" s="1"/>
      <c r="M26" s="16">
        <v>0</v>
      </c>
    </row>
    <row r="27" spans="1:13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6">
        <v>11</v>
      </c>
    </row>
    <row r="28" spans="1:13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6"/>
    </row>
    <row r="29" spans="1:13" ht="14.25" customHeight="1" x14ac:dyDescent="0.25">
      <c r="A29" s="1"/>
      <c r="B29" s="1"/>
      <c r="C29" s="1"/>
      <c r="D29" s="1"/>
      <c r="E29" s="1">
        <v>143241</v>
      </c>
      <c r="F29" s="1">
        <v>1864458</v>
      </c>
      <c r="G29" s="1"/>
      <c r="H29" s="1"/>
      <c r="I29" s="1">
        <v>1828344</v>
      </c>
      <c r="J29" s="1"/>
      <c r="K29" s="1"/>
      <c r="L29" s="1"/>
      <c r="M29" s="16">
        <v>156453</v>
      </c>
    </row>
    <row r="30" spans="1:13" ht="14.25" customHeight="1" x14ac:dyDescent="0.25">
      <c r="A30" s="1"/>
      <c r="B30" s="1"/>
      <c r="C30" s="1"/>
      <c r="D30" s="1"/>
      <c r="E30" s="1">
        <v>290</v>
      </c>
      <c r="F30" s="1">
        <v>3786</v>
      </c>
      <c r="G30" s="1"/>
      <c r="H30" s="1"/>
      <c r="I30" s="1">
        <v>5480</v>
      </c>
      <c r="J30" s="1"/>
      <c r="K30" s="1"/>
      <c r="L30" s="1"/>
      <c r="M30" s="16">
        <v>156187</v>
      </c>
    </row>
    <row r="31" spans="1:13" ht="14.25" customHeight="1" x14ac:dyDescent="0.25">
      <c r="A31" s="1"/>
      <c r="B31" s="1"/>
      <c r="C31" s="1"/>
      <c r="D31" s="1"/>
      <c r="E31" s="1">
        <v>133093</v>
      </c>
      <c r="F31" s="1">
        <v>1743551</v>
      </c>
      <c r="G31" s="1"/>
      <c r="H31" s="1"/>
      <c r="I31" s="1">
        <v>1728578</v>
      </c>
      <c r="J31" s="1"/>
      <c r="K31" s="1"/>
      <c r="L31" s="1"/>
      <c r="M31" s="16">
        <v>266</v>
      </c>
    </row>
    <row r="32" spans="1:13" ht="14.25" customHeight="1" x14ac:dyDescent="0.25">
      <c r="A32" s="1"/>
      <c r="B32" s="1"/>
      <c r="C32" s="1"/>
      <c r="D32" s="1"/>
      <c r="E32" s="1">
        <v>5301</v>
      </c>
      <c r="F32" s="1">
        <v>74643</v>
      </c>
      <c r="G32" s="1"/>
      <c r="H32" s="1"/>
      <c r="I32" s="1">
        <v>62166</v>
      </c>
      <c r="J32" s="1"/>
      <c r="K32" s="1"/>
      <c r="L32" s="1"/>
      <c r="M32" s="16">
        <v>145602</v>
      </c>
    </row>
    <row r="33" spans="1:13" ht="14.25" customHeight="1" x14ac:dyDescent="0.25">
      <c r="A33" s="1"/>
      <c r="B33" s="1"/>
      <c r="C33" s="1"/>
      <c r="D33" s="1"/>
      <c r="E33" s="1">
        <v>2770</v>
      </c>
      <c r="F33" s="1">
        <v>21141</v>
      </c>
      <c r="G33" s="1"/>
      <c r="H33" s="1"/>
      <c r="I33" s="1">
        <v>16176</v>
      </c>
      <c r="J33" s="1"/>
      <c r="K33" s="1"/>
      <c r="L33" s="1"/>
      <c r="M33" s="16">
        <v>7473</v>
      </c>
    </row>
    <row r="34" spans="1:13" ht="14.25" customHeight="1" x14ac:dyDescent="0.25">
      <c r="A34" s="1"/>
      <c r="B34" s="1"/>
      <c r="C34" s="1"/>
      <c r="D34" s="1"/>
      <c r="E34" s="1">
        <v>885</v>
      </c>
      <c r="F34" s="1">
        <v>11768</v>
      </c>
      <c r="G34" s="1"/>
      <c r="H34" s="1"/>
      <c r="I34" s="1">
        <v>12230</v>
      </c>
      <c r="J34" s="1"/>
      <c r="K34" s="1"/>
      <c r="L34" s="1"/>
      <c r="M34" s="16">
        <v>1593</v>
      </c>
    </row>
    <row r="35" spans="1:13" ht="14.25" customHeight="1" x14ac:dyDescent="0.25">
      <c r="A35" s="1"/>
      <c r="B35" s="1"/>
      <c r="C35" s="1"/>
      <c r="D35" s="1"/>
      <c r="E35" s="1">
        <v>361</v>
      </c>
      <c r="F35" s="1">
        <v>3978</v>
      </c>
      <c r="G35" s="1"/>
      <c r="H35" s="1"/>
      <c r="I35" s="1">
        <v>4172</v>
      </c>
      <c r="J35" s="1"/>
      <c r="K35" s="1"/>
      <c r="L35" s="1"/>
      <c r="M35" s="16">
        <v>988</v>
      </c>
    </row>
    <row r="36" spans="1:13" ht="14.25" customHeight="1" x14ac:dyDescent="0.25">
      <c r="A36" s="1"/>
      <c r="B36" s="1"/>
      <c r="C36" s="1"/>
      <c r="D36" s="1"/>
      <c r="E36" s="1">
        <v>0</v>
      </c>
      <c r="F36" s="1">
        <v>0</v>
      </c>
      <c r="G36" s="1"/>
      <c r="H36" s="1"/>
      <c r="I36" s="1">
        <v>0</v>
      </c>
      <c r="J36" s="1"/>
      <c r="K36" s="1"/>
      <c r="L36" s="1"/>
      <c r="M36" s="16">
        <v>337</v>
      </c>
    </row>
    <row r="37" spans="1:13" ht="14.25" customHeight="1" x14ac:dyDescent="0.25">
      <c r="A37" s="1"/>
      <c r="B37" s="1"/>
      <c r="C37" s="1"/>
      <c r="D37" s="1"/>
      <c r="E37" s="1">
        <v>1088</v>
      </c>
      <c r="F37" s="1">
        <v>12277</v>
      </c>
      <c r="G37" s="1"/>
      <c r="H37" s="1"/>
      <c r="I37" s="1">
        <v>9126</v>
      </c>
      <c r="J37" s="1"/>
      <c r="K37" s="1"/>
      <c r="L37" s="1"/>
      <c r="M37" s="16">
        <v>0</v>
      </c>
    </row>
    <row r="38" spans="1:13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6">
        <v>394</v>
      </c>
    </row>
    <row r="39" spans="1:13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6"/>
    </row>
    <row r="40" spans="1:13" ht="14.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4.25" customHeight="1" x14ac:dyDescent="0.25">
      <c r="A41" s="1" t="s">
        <v>52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4.25" customHeight="1" x14ac:dyDescent="0.25">
      <c r="A42" s="1" t="s">
        <v>54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4.25" customHeight="1" x14ac:dyDescent="0.25">
      <c r="A43" s="1" t="s">
        <v>56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4.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4.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phoneticPr fontId="6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延安石化厂装置生产完成情况（3-3）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烨铭 成</cp:lastModifiedBy>
  <dcterms:created xsi:type="dcterms:W3CDTF">2015-06-05T18:19:34Z</dcterms:created>
  <dcterms:modified xsi:type="dcterms:W3CDTF">2026-06-17T06:57:15Z</dcterms:modified>
</cp:coreProperties>
</file>