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延长石油\延长炼化公司（三炼一厂）数据及截图\报表\"/>
    </mc:Choice>
  </mc:AlternateContent>
  <xr:revisionPtr revIDLastSave="0" documentId="13_ncr:1_{1499DB02-B09A-4711-8FD9-C191DDD7B13C}" xr6:coauthVersionLast="47" xr6:coauthVersionMax="47" xr10:uidLastSave="{00000000-0000-0000-0000-000000000000}"/>
  <bookViews>
    <workbookView xWindow="740" yWindow="640" windowWidth="14140" windowHeight="13550" xr2:uid="{00000000-000D-0000-FFFF-FFFF00000000}"/>
  </bookViews>
  <sheets>
    <sheet name="延安石油化工厂油品动态 " sheetId="1" r:id="rId1"/>
    <sheet name="取值" sheetId="2" state="hidden" r:id="rId2"/>
  </sheets>
  <calcPr calcId="191029"/>
</workbook>
</file>

<file path=xl/calcChain.xml><?xml version="1.0" encoding="utf-8"?>
<calcChain xmlns="http://schemas.openxmlformats.org/spreadsheetml/2006/main">
  <c r="J4" i="2" l="1"/>
  <c r="G63" i="1"/>
  <c r="N62" i="1"/>
  <c r="G62" i="1"/>
  <c r="N61" i="1"/>
  <c r="G61" i="1"/>
  <c r="N60" i="1"/>
  <c r="L60" i="1"/>
  <c r="G60" i="1"/>
  <c r="N59" i="1"/>
  <c r="G59" i="1"/>
  <c r="N58" i="1"/>
  <c r="G58" i="1"/>
  <c r="N57" i="1"/>
  <c r="G57" i="1"/>
  <c r="N56" i="1"/>
  <c r="L56" i="1"/>
  <c r="G56" i="1"/>
  <c r="N55" i="1"/>
  <c r="L55" i="1"/>
  <c r="G55" i="1"/>
  <c r="N52" i="1"/>
  <c r="M52" i="1"/>
  <c r="G52" i="1"/>
  <c r="F52" i="1"/>
  <c r="G47" i="1"/>
  <c r="F47" i="1"/>
  <c r="N46" i="1"/>
  <c r="M46" i="1"/>
  <c r="N42" i="1"/>
  <c r="M42" i="1"/>
  <c r="G42" i="1"/>
  <c r="F42" i="1"/>
  <c r="N36" i="1"/>
  <c r="M36" i="1"/>
  <c r="G36" i="1"/>
  <c r="F36" i="1"/>
  <c r="N32" i="1"/>
  <c r="M32" i="1"/>
  <c r="G32" i="1"/>
  <c r="F32" i="1"/>
  <c r="N27" i="1"/>
  <c r="M27" i="1"/>
  <c r="G24" i="1"/>
  <c r="F24" i="1"/>
  <c r="N23" i="1"/>
  <c r="M23" i="1"/>
  <c r="N18" i="1"/>
  <c r="M18" i="1"/>
  <c r="G18" i="1"/>
  <c r="F18" i="1"/>
  <c r="N11" i="1"/>
  <c r="M11" i="1"/>
  <c r="G11" i="1"/>
  <c r="F11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4" authorId="0" shapeId="0" xr:uid="{00000000-0006-0000-0000-000001000000}">
      <text>
        <r>
          <rPr>
            <b/>
            <sz val="9"/>
            <color indexed="81"/>
            <rFont val="宋体"/>
            <family val="2"/>
          </rPr>
          <t>#Input("延安石油化工厂_生产_罐量日动态表_备注",":key{{dw}}")</t>
        </r>
      </text>
    </comment>
    <comment ref="E5" authorId="0" shapeId="0" xr:uid="{00000000-0006-0000-0000-000002000000}">
      <text>
        <r>
          <rPr>
            <sz val="9"/>
            <color indexed="81"/>
            <rFont val="Arial"/>
            <family val="2"/>
          </rPr>
          <t>#Input("延安石油化工厂_生产_罐量日动态表_4101油尺",":key{{dw}}")</t>
        </r>
      </text>
    </comment>
    <comment ref="F5" authorId="0" shapeId="0" xr:uid="{00000000-0006-0000-0000-000003000000}">
      <text>
        <r>
          <rPr>
            <sz val="9"/>
            <color indexed="81"/>
            <rFont val="Arial"/>
            <family val="2"/>
          </rPr>
          <t>#Input("延安石油化工厂_生产_罐量日动态表_4101油量",":key{{dw}}")</t>
        </r>
      </text>
    </comment>
    <comment ref="G5" authorId="0" shapeId="0" xr:uid="{00000000-0006-0000-0000-000004000000}">
      <text>
        <r>
          <rPr>
            <sz val="9"/>
            <color indexed="81"/>
            <rFont val="Arial"/>
            <family val="2"/>
          </rPr>
          <t>#Input("延安石油化工厂_生产_罐量日动态表_4101空量",":key{{dw}}")</t>
        </r>
      </text>
    </comment>
    <comment ref="L5" authorId="0" shapeId="0" xr:uid="{00000000-0006-0000-0000-000005000000}">
      <text>
        <r>
          <rPr>
            <sz val="9"/>
            <color indexed="81"/>
            <rFont val="Arial"/>
            <family val="2"/>
          </rPr>
          <t>#Input("延安石油化工厂_生产_罐量日动态表_4107油尺",":key{{dw}}")</t>
        </r>
      </text>
    </comment>
    <comment ref="M5" authorId="0" shapeId="0" xr:uid="{00000000-0006-0000-0000-000006000000}">
      <text>
        <r>
          <rPr>
            <sz val="9"/>
            <color indexed="81"/>
            <rFont val="Arial"/>
            <family val="2"/>
          </rPr>
          <t>#Input("延安石油化工厂_生产_罐量日动态表_4107油量",":key{{dw}}")</t>
        </r>
      </text>
    </comment>
    <comment ref="N5" authorId="0" shapeId="0" xr:uid="{00000000-0006-0000-0000-000007000000}">
      <text>
        <r>
          <rPr>
            <sz val="9"/>
            <color indexed="81"/>
            <rFont val="Arial"/>
            <family val="2"/>
          </rPr>
          <t>#Input("延安石油化工厂_生产_罐量日动态表_4107空量",":key{{dw}}")</t>
        </r>
      </text>
    </comment>
    <comment ref="E6" authorId="0" shapeId="0" xr:uid="{00000000-0006-0000-0000-000008000000}">
      <text>
        <r>
          <rPr>
            <sz val="9"/>
            <color indexed="81"/>
            <rFont val="Arial"/>
            <family val="2"/>
          </rPr>
          <t>#Input("延安石油化工厂_生产_罐量日动态表_4102油尺",":key{{dw}}")</t>
        </r>
      </text>
    </comment>
    <comment ref="F6" authorId="0" shapeId="0" xr:uid="{00000000-0006-0000-0000-000009000000}">
      <text>
        <r>
          <rPr>
            <sz val="9"/>
            <color indexed="81"/>
            <rFont val="Arial"/>
            <family val="2"/>
          </rPr>
          <t>#Input("延安石油化工厂_生产_罐量日动态表_4102油量",":key{{dw}}")</t>
        </r>
      </text>
    </comment>
    <comment ref="G6" authorId="0" shapeId="0" xr:uid="{00000000-0006-0000-0000-00000A000000}">
      <text>
        <r>
          <rPr>
            <sz val="9"/>
            <color indexed="81"/>
            <rFont val="Arial"/>
            <family val="2"/>
          </rPr>
          <t>#Input("延安石油化工厂_生产_罐量日动态表_4102空量",":key{{dw}}")</t>
        </r>
      </text>
    </comment>
    <comment ref="L6" authorId="0" shapeId="0" xr:uid="{00000000-0006-0000-0000-00000B000000}">
      <text>
        <r>
          <rPr>
            <sz val="9"/>
            <color indexed="81"/>
            <rFont val="Arial"/>
            <family val="2"/>
          </rPr>
          <t>#Input("延安石油化工厂_生产_罐量日动态表_4108油尺",":key{{dw}}")</t>
        </r>
      </text>
    </comment>
    <comment ref="M6" authorId="0" shapeId="0" xr:uid="{00000000-0006-0000-0000-00000C000000}">
      <text>
        <r>
          <rPr>
            <sz val="9"/>
            <color indexed="81"/>
            <rFont val="Arial"/>
            <family val="2"/>
          </rPr>
          <t>#Input("延安石油化工厂_生产_罐量日动态表_4108油量",":key{{dw}}")</t>
        </r>
      </text>
    </comment>
    <comment ref="N6" authorId="0" shapeId="0" xr:uid="{00000000-0006-0000-0000-00000D000000}">
      <text>
        <r>
          <rPr>
            <sz val="9"/>
            <color indexed="81"/>
            <rFont val="Arial"/>
            <family val="2"/>
          </rPr>
          <t>#Input("延安石油化工厂_生产_罐量日动态表_4108空量",":key{{dw}}")</t>
        </r>
      </text>
    </comment>
    <comment ref="E7" authorId="0" shapeId="0" xr:uid="{00000000-0006-0000-0000-00000E000000}">
      <text>
        <r>
          <rPr>
            <sz val="9"/>
            <color indexed="81"/>
            <rFont val="Arial"/>
            <family val="2"/>
          </rPr>
          <t>#Input("延安石油化工厂_生产_罐量日动态表_4103油尺",":key{{dw}}")</t>
        </r>
      </text>
    </comment>
    <comment ref="F7" authorId="0" shapeId="0" xr:uid="{00000000-0006-0000-0000-00000F000000}">
      <text>
        <r>
          <rPr>
            <sz val="9"/>
            <color indexed="81"/>
            <rFont val="Arial"/>
            <family val="2"/>
          </rPr>
          <t>#Input("延安石油化工厂_生产_罐量日动态表_4103油量",":key{{dw}}")</t>
        </r>
      </text>
    </comment>
    <comment ref="G7" authorId="0" shapeId="0" xr:uid="{00000000-0006-0000-0000-000010000000}">
      <text>
        <r>
          <rPr>
            <sz val="9"/>
            <color indexed="81"/>
            <rFont val="Arial"/>
            <family val="2"/>
          </rPr>
          <t>#Input("延安石油化工厂_生产_罐量日动态表_4103空量",":key{{dw}}")</t>
        </r>
      </text>
    </comment>
    <comment ref="L7" authorId="0" shapeId="0" xr:uid="{00000000-0006-0000-0000-000011000000}">
      <text>
        <r>
          <rPr>
            <sz val="9"/>
            <color indexed="81"/>
            <rFont val="Arial"/>
            <family val="2"/>
          </rPr>
          <t>#Input("延安石油化工厂_生产_罐量日动态表_4109油尺",":key{{dw}}")</t>
        </r>
      </text>
    </comment>
    <comment ref="M7" authorId="0" shapeId="0" xr:uid="{00000000-0006-0000-0000-000012000000}">
      <text>
        <r>
          <rPr>
            <sz val="9"/>
            <color indexed="81"/>
            <rFont val="Arial"/>
            <family val="2"/>
          </rPr>
          <t>#Input("延安石油化工厂_生产_罐量日动态表_4109油量",":key{{dw}}")</t>
        </r>
      </text>
    </comment>
    <comment ref="N7" authorId="0" shapeId="0" xr:uid="{00000000-0006-0000-0000-000013000000}">
      <text>
        <r>
          <rPr>
            <sz val="9"/>
            <color indexed="81"/>
            <rFont val="Arial"/>
            <family val="2"/>
          </rPr>
          <t>#Input("延安石油化工厂_生产_罐量日动态表_4109空量",":key{{dw}}")</t>
        </r>
      </text>
    </comment>
    <comment ref="E8" authorId="0" shapeId="0" xr:uid="{00000000-0006-0000-0000-000014000000}">
      <text>
        <r>
          <rPr>
            <sz val="9"/>
            <color indexed="81"/>
            <rFont val="Arial"/>
            <family val="2"/>
          </rPr>
          <t>#Input("延安石油化工厂_生产_罐量日动态表_4104油尺",":key{{dw}}")</t>
        </r>
      </text>
    </comment>
    <comment ref="F8" authorId="0" shapeId="0" xr:uid="{00000000-0006-0000-0000-000015000000}">
      <text>
        <r>
          <rPr>
            <sz val="9"/>
            <color indexed="81"/>
            <rFont val="Arial"/>
            <family val="2"/>
          </rPr>
          <t>#Input("延安石油化工厂_生产_罐量日动态表_4104油量",":key{{dw}}")</t>
        </r>
      </text>
    </comment>
    <comment ref="G8" authorId="0" shapeId="0" xr:uid="{00000000-0006-0000-0000-000016000000}">
      <text>
        <r>
          <rPr>
            <sz val="9"/>
            <color indexed="81"/>
            <rFont val="Arial"/>
            <family val="2"/>
          </rPr>
          <t>#Input("延安石油化工厂_生产_罐量日动态表_4104空量",":key{{dw}}")</t>
        </r>
      </text>
    </comment>
    <comment ref="L8" authorId="0" shapeId="0" xr:uid="{00000000-0006-0000-0000-000017000000}">
      <text>
        <r>
          <rPr>
            <sz val="9"/>
            <color indexed="81"/>
            <rFont val="Arial"/>
            <family val="2"/>
          </rPr>
          <t>#Input("延安石油化工厂_生产_罐量日动态表_4110油尺",":key{{dw}}")</t>
        </r>
      </text>
    </comment>
    <comment ref="M8" authorId="0" shapeId="0" xr:uid="{00000000-0006-0000-0000-000018000000}">
      <text>
        <r>
          <rPr>
            <sz val="9"/>
            <color indexed="81"/>
            <rFont val="Arial"/>
            <family val="2"/>
          </rPr>
          <t>#Input("延安石油化工厂_生产_罐量日动态表_4110油量",":key{{dw}}")</t>
        </r>
      </text>
    </comment>
    <comment ref="N8" authorId="0" shapeId="0" xr:uid="{00000000-0006-0000-0000-000019000000}">
      <text>
        <r>
          <rPr>
            <sz val="9"/>
            <color indexed="81"/>
            <rFont val="Arial"/>
            <family val="2"/>
          </rPr>
          <t>#Input("延安石油化工厂_生产_罐量日动态表_4110空量",":key{{dw}}")</t>
        </r>
      </text>
    </comment>
    <comment ref="E9" authorId="0" shapeId="0" xr:uid="{00000000-0006-0000-0000-00001A000000}">
      <text>
        <r>
          <rPr>
            <sz val="9"/>
            <color indexed="81"/>
            <rFont val="Arial"/>
            <family val="2"/>
          </rPr>
          <t>#Input("延安石油化工厂_生产_罐量日动态表_4807油尺",":key{{dw}}")</t>
        </r>
      </text>
    </comment>
    <comment ref="F9" authorId="0" shapeId="0" xr:uid="{00000000-0006-0000-0000-00001B000000}">
      <text>
        <r>
          <rPr>
            <sz val="9"/>
            <color indexed="81"/>
            <rFont val="Arial"/>
            <family val="2"/>
          </rPr>
          <t>#Input("延安石油化工厂_生产_罐量日动态表_4807油量",":key{{dw}}")</t>
        </r>
      </text>
    </comment>
    <comment ref="G9" authorId="0" shapeId="0" xr:uid="{00000000-0006-0000-0000-00001C000000}">
      <text>
        <r>
          <rPr>
            <sz val="9"/>
            <color indexed="81"/>
            <rFont val="Arial"/>
            <family val="2"/>
          </rPr>
          <t>#Input("延安石油化工厂_生产_罐量日动态表_4807空量",":key{{dw}}")</t>
        </r>
      </text>
    </comment>
    <comment ref="E10" authorId="0" shapeId="0" xr:uid="{00000000-0006-0000-0000-00001D000000}">
      <text>
        <r>
          <rPr>
            <sz val="9"/>
            <color indexed="81"/>
            <rFont val="Arial"/>
            <family val="2"/>
          </rPr>
          <t>#Input("延安石油化工厂_生产_罐量日动态表_4808油尺",":key{{dw}}")</t>
        </r>
      </text>
    </comment>
    <comment ref="F10" authorId="0" shapeId="0" xr:uid="{00000000-0006-0000-0000-00001E000000}">
      <text>
        <r>
          <rPr>
            <sz val="9"/>
            <color indexed="81"/>
            <rFont val="Arial"/>
            <family val="2"/>
          </rPr>
          <t>#Input("延安石油化工厂_生产_罐量日动态表_4808油量",":key{{dw}}")</t>
        </r>
      </text>
    </comment>
    <comment ref="G10" authorId="0" shapeId="0" xr:uid="{00000000-0006-0000-0000-00001F000000}">
      <text>
        <r>
          <rPr>
            <sz val="9"/>
            <color indexed="81"/>
            <rFont val="Arial"/>
            <family val="2"/>
          </rPr>
          <t>#Input("延安石油化工厂_生产_罐量日动态表_4808空量",":key{{dw}}")</t>
        </r>
      </text>
    </comment>
    <comment ref="E13" authorId="0" shapeId="0" xr:uid="{00000000-0006-0000-0000-000020000000}">
      <text>
        <r>
          <rPr>
            <sz val="9"/>
            <color indexed="81"/>
            <rFont val="Arial"/>
            <family val="2"/>
          </rPr>
          <t>#Input("延安石油化工厂_生产_罐量日动态表_4904油尺",":key{{dw}}")</t>
        </r>
      </text>
    </comment>
    <comment ref="F13" authorId="0" shapeId="0" xr:uid="{00000000-0006-0000-0000-000021000000}">
      <text>
        <r>
          <rPr>
            <sz val="9"/>
            <color indexed="81"/>
            <rFont val="Arial"/>
            <family val="2"/>
          </rPr>
          <t>#Input("延安石油化工厂_生产_罐量日动态表_4904油量",":key{{dw}}")</t>
        </r>
      </text>
    </comment>
    <comment ref="G13" authorId="0" shapeId="0" xr:uid="{00000000-0006-0000-0000-000022000000}">
      <text>
        <r>
          <rPr>
            <sz val="9"/>
            <color indexed="81"/>
            <rFont val="Arial"/>
            <family val="2"/>
          </rPr>
          <t>#Input("延安石油化工厂_生产_罐量日动态表_4904空量",":key{{dw}}")</t>
        </r>
      </text>
    </comment>
    <comment ref="L13" authorId="0" shapeId="0" xr:uid="{00000000-0006-0000-0000-000023000000}">
      <text>
        <r>
          <rPr>
            <sz val="9"/>
            <color indexed="81"/>
            <rFont val="Arial"/>
            <family val="2"/>
          </rPr>
          <t>#Input("延安石油化工厂_生产_罐量日动态表_4901油尺",":key{{dw}}")</t>
        </r>
      </text>
    </comment>
    <comment ref="M13" authorId="0" shapeId="0" xr:uid="{00000000-0006-0000-0000-000024000000}">
      <text>
        <r>
          <rPr>
            <sz val="9"/>
            <color indexed="81"/>
            <rFont val="Arial"/>
            <family val="2"/>
          </rPr>
          <t>#Input("延安石油化工厂_生产_罐量日动态表_4901油量",":key{{dw}}")</t>
        </r>
      </text>
    </comment>
    <comment ref="N13" authorId="0" shapeId="0" xr:uid="{00000000-0006-0000-0000-000025000000}">
      <text>
        <r>
          <rPr>
            <sz val="9"/>
            <color indexed="81"/>
            <rFont val="Arial"/>
            <family val="2"/>
          </rPr>
          <t>#Input("延安石油化工厂_生产_罐量日动态表_4901空量",":key{{dw}}")</t>
        </r>
      </text>
    </comment>
    <comment ref="E14" authorId="0" shapeId="0" xr:uid="{00000000-0006-0000-0000-000026000000}">
      <text>
        <r>
          <rPr>
            <sz val="9"/>
            <color indexed="81"/>
            <rFont val="Arial"/>
            <family val="2"/>
          </rPr>
          <t>#Input("延安石油化工厂_生产_罐量日动态表_4905油尺",":key{{dw}}")</t>
        </r>
      </text>
    </comment>
    <comment ref="F14" authorId="0" shapeId="0" xr:uid="{00000000-0006-0000-0000-000027000000}">
      <text>
        <r>
          <rPr>
            <sz val="9"/>
            <color indexed="81"/>
            <rFont val="Arial"/>
            <family val="2"/>
          </rPr>
          <t>#Input("延安石油化工厂_生产_罐量日动态表_4905油量",":key{{dw}}")</t>
        </r>
      </text>
    </comment>
    <comment ref="G14" authorId="0" shapeId="0" xr:uid="{00000000-0006-0000-0000-000028000000}">
      <text>
        <r>
          <rPr>
            <sz val="9"/>
            <color indexed="81"/>
            <rFont val="Arial"/>
            <family val="2"/>
          </rPr>
          <t>#Input("延安石油化工厂_生产_罐量日动态表_4905空量",":key{{dw}}")</t>
        </r>
      </text>
    </comment>
    <comment ref="L14" authorId="0" shapeId="0" xr:uid="{00000000-0006-0000-0000-000029000000}">
      <text>
        <r>
          <rPr>
            <sz val="9"/>
            <color indexed="81"/>
            <rFont val="Arial"/>
            <family val="2"/>
          </rPr>
          <t>#Input("延安石油化工厂_生产_罐量日动态表_4902油尺",":key{{dw}}")</t>
        </r>
      </text>
    </comment>
    <comment ref="M14" authorId="0" shapeId="0" xr:uid="{00000000-0006-0000-0000-00002A000000}">
      <text>
        <r>
          <rPr>
            <sz val="9"/>
            <color indexed="81"/>
            <rFont val="Arial"/>
            <family val="2"/>
          </rPr>
          <t>#Input("延安石油化工厂_生产_罐量日动态表_4902油量",":key{{dw}}")</t>
        </r>
      </text>
    </comment>
    <comment ref="N14" authorId="0" shapeId="0" xr:uid="{00000000-0006-0000-0000-00002B000000}">
      <text>
        <r>
          <rPr>
            <sz val="9"/>
            <color indexed="81"/>
            <rFont val="Arial"/>
            <family val="2"/>
          </rPr>
          <t>#Input("延安石油化工厂_生产_罐量日动态表_4902空量",":key{{dw}}")</t>
        </r>
      </text>
    </comment>
    <comment ref="E15" authorId="0" shapeId="0" xr:uid="{00000000-0006-0000-0000-00002C000000}">
      <text>
        <r>
          <rPr>
            <sz val="9"/>
            <color indexed="81"/>
            <rFont val="Arial"/>
            <family val="2"/>
          </rPr>
          <t>#Input("延安石油化工厂_生产_罐量日动态表_4906油尺",":key{{dw}}")</t>
        </r>
      </text>
    </comment>
    <comment ref="F15" authorId="0" shapeId="0" xr:uid="{00000000-0006-0000-0000-00002D000000}">
      <text>
        <r>
          <rPr>
            <sz val="9"/>
            <color indexed="81"/>
            <rFont val="Arial"/>
            <family val="2"/>
          </rPr>
          <t>#Input("延安石油化工厂_生产_罐量日动态表_4906油量",":key{{dw}}")</t>
        </r>
      </text>
    </comment>
    <comment ref="G15" authorId="0" shapeId="0" xr:uid="{00000000-0006-0000-0000-00002E000000}">
      <text>
        <r>
          <rPr>
            <sz val="9"/>
            <color indexed="81"/>
            <rFont val="Arial"/>
            <family val="2"/>
          </rPr>
          <t>#Input("延安石油化工厂_生产_罐量日动态表_4906空量",":key{{dw}}")</t>
        </r>
      </text>
    </comment>
    <comment ref="L15" authorId="0" shapeId="0" xr:uid="{00000000-0006-0000-0000-00002F000000}">
      <text>
        <r>
          <rPr>
            <sz val="9"/>
            <color indexed="81"/>
            <rFont val="Arial"/>
            <family val="2"/>
          </rPr>
          <t>#Input("延安石油化工厂_生产_罐量日动态表_4903油尺",":key{{dw}}")</t>
        </r>
      </text>
    </comment>
    <comment ref="M15" authorId="0" shapeId="0" xr:uid="{00000000-0006-0000-0000-000030000000}">
      <text>
        <r>
          <rPr>
            <sz val="9"/>
            <color indexed="81"/>
            <rFont val="Arial"/>
            <family val="2"/>
          </rPr>
          <t>#Input("延安石油化工厂_生产_罐量日动态表_4903油量",":key{{dw}}")</t>
        </r>
      </text>
    </comment>
    <comment ref="N15" authorId="0" shapeId="0" xr:uid="{00000000-0006-0000-0000-000031000000}">
      <text>
        <r>
          <rPr>
            <sz val="9"/>
            <color indexed="81"/>
            <rFont val="Arial"/>
            <family val="2"/>
          </rPr>
          <t>#Input("延安石油化工厂_生产_罐量日动态表_4903空量",":key{{dw}}")</t>
        </r>
      </text>
    </comment>
    <comment ref="E16" authorId="0" shapeId="0" xr:uid="{00000000-0006-0000-0000-000032000000}">
      <text>
        <r>
          <rPr>
            <sz val="9"/>
            <color indexed="81"/>
            <rFont val="Arial"/>
            <family val="2"/>
          </rPr>
          <t>#Input("延安石油化工厂_生产_罐量日动态表_4809油尺",":key{{dw}}")</t>
        </r>
      </text>
    </comment>
    <comment ref="F16" authorId="0" shapeId="0" xr:uid="{00000000-0006-0000-0000-000033000000}">
      <text>
        <r>
          <rPr>
            <sz val="9"/>
            <color indexed="81"/>
            <rFont val="Arial"/>
            <family val="2"/>
          </rPr>
          <t>#Input("延安石油化工厂_生产_罐量日动态表_4809油量",":key{{dw}}")</t>
        </r>
      </text>
    </comment>
    <comment ref="G16" authorId="0" shapeId="0" xr:uid="{00000000-0006-0000-0000-000034000000}">
      <text>
        <r>
          <rPr>
            <sz val="9"/>
            <color indexed="81"/>
            <rFont val="Arial"/>
            <family val="2"/>
          </rPr>
          <t>#Input("延安石油化工厂_生产_罐量日动态表_4809空量",":key{{dw}}")</t>
        </r>
      </text>
    </comment>
    <comment ref="E17" authorId="0" shapeId="0" xr:uid="{00000000-0006-0000-0000-000035000000}">
      <text>
        <r>
          <rPr>
            <sz val="9"/>
            <color indexed="81"/>
            <rFont val="Arial"/>
            <family val="2"/>
          </rPr>
          <t>#Input("延安石油化工厂_生产_罐量日动态表_4810油尺",":key{{dw}}")</t>
        </r>
      </text>
    </comment>
    <comment ref="F17" authorId="0" shapeId="0" xr:uid="{00000000-0006-0000-0000-000036000000}">
      <text>
        <r>
          <rPr>
            <sz val="9"/>
            <color indexed="81"/>
            <rFont val="Arial"/>
            <family val="2"/>
          </rPr>
          <t>#Input("延安石油化工厂_生产_罐量日动态表_4810油量",":key{{dw}}")</t>
        </r>
      </text>
    </comment>
    <comment ref="G17" authorId="0" shapeId="0" xr:uid="{00000000-0006-0000-0000-000037000000}">
      <text>
        <r>
          <rPr>
            <sz val="9"/>
            <color indexed="81"/>
            <rFont val="Arial"/>
            <family val="2"/>
          </rPr>
          <t>#Input("延安石油化工厂_生产_罐量日动态表_4810空量",":key{{dw}}")</t>
        </r>
      </text>
    </comment>
    <comment ref="E20" authorId="0" shapeId="0" xr:uid="{00000000-0006-0000-0000-000038000000}">
      <text>
        <r>
          <rPr>
            <sz val="9"/>
            <color indexed="81"/>
            <rFont val="Arial"/>
            <family val="2"/>
          </rPr>
          <t>#Input("延安石油化工厂_生产_罐量日动态表_4201油尺",":key{{dw}}")</t>
        </r>
      </text>
    </comment>
    <comment ref="F20" authorId="0" shapeId="0" xr:uid="{00000000-0006-0000-0000-000039000000}">
      <text>
        <r>
          <rPr>
            <sz val="9"/>
            <color indexed="81"/>
            <rFont val="Arial"/>
            <family val="2"/>
          </rPr>
          <t>#Input("延安石油化工厂_生产_罐量日动态表_4201油量",":key{{dw}}")</t>
        </r>
      </text>
    </comment>
    <comment ref="G20" authorId="0" shapeId="0" xr:uid="{00000000-0006-0000-0000-00003A000000}">
      <text>
        <r>
          <rPr>
            <sz val="9"/>
            <color indexed="81"/>
            <rFont val="Arial"/>
            <family val="2"/>
          </rPr>
          <t>#Input("延安石油化工厂_生产_罐量日动态表_4201空量",":key{{dw}}")</t>
        </r>
      </text>
    </comment>
    <comment ref="L20" authorId="0" shapeId="0" xr:uid="{00000000-0006-0000-0000-00003B000000}">
      <text>
        <r>
          <rPr>
            <sz val="9"/>
            <color indexed="81"/>
            <rFont val="Arial"/>
            <family val="2"/>
          </rPr>
          <t>#Input("延安石油化工厂_生产_罐量日动态表_4301油尺",":key{{dw}}")</t>
        </r>
      </text>
    </comment>
    <comment ref="M20" authorId="0" shapeId="0" xr:uid="{00000000-0006-0000-0000-00003C000000}">
      <text>
        <r>
          <rPr>
            <sz val="9"/>
            <color indexed="81"/>
            <rFont val="Arial"/>
            <family val="2"/>
          </rPr>
          <t>#Input("延安石油化工厂_生产_罐量日动态表_4301油量",":key{{dw}}")</t>
        </r>
      </text>
    </comment>
    <comment ref="N20" authorId="0" shapeId="0" xr:uid="{00000000-0006-0000-0000-00003D000000}">
      <text>
        <r>
          <rPr>
            <sz val="9"/>
            <color indexed="81"/>
            <rFont val="Arial"/>
            <family val="2"/>
          </rPr>
          <t>#Input("延安石油化工厂_生产_罐量日动态表_4301空量",":key{{dw}}")</t>
        </r>
      </text>
    </comment>
    <comment ref="E21" authorId="0" shapeId="0" xr:uid="{00000000-0006-0000-0000-00003E000000}">
      <text>
        <r>
          <rPr>
            <sz val="9"/>
            <color indexed="81"/>
            <rFont val="Arial"/>
            <family val="2"/>
          </rPr>
          <t>#Input("延安石油化工厂_生产_罐量日动态表_4202油尺",":key{{dw}}")</t>
        </r>
      </text>
    </comment>
    <comment ref="F21" authorId="0" shapeId="0" xr:uid="{00000000-0006-0000-0000-00003F000000}">
      <text>
        <r>
          <rPr>
            <sz val="9"/>
            <color indexed="81"/>
            <rFont val="Arial"/>
            <family val="2"/>
          </rPr>
          <t>#Input("延安石油化工厂_生产_罐量日动态表_4202油量",":key{{dw}}")</t>
        </r>
      </text>
    </comment>
    <comment ref="G21" authorId="0" shapeId="0" xr:uid="{00000000-0006-0000-0000-000040000000}">
      <text>
        <r>
          <rPr>
            <sz val="9"/>
            <color indexed="81"/>
            <rFont val="Arial"/>
            <family val="2"/>
          </rPr>
          <t>#Input("延安石油化工厂_生产_罐量日动态表_4202空量",":key{{dw}}")</t>
        </r>
      </text>
    </comment>
    <comment ref="L21" authorId="0" shapeId="0" xr:uid="{00000000-0006-0000-0000-000041000000}">
      <text>
        <r>
          <rPr>
            <sz val="9"/>
            <color indexed="81"/>
            <rFont val="Arial"/>
            <family val="2"/>
          </rPr>
          <t>#Input("延安石油化工厂_生产_罐量日动态表_4302油尺",":key{{dw}}")</t>
        </r>
      </text>
    </comment>
    <comment ref="M21" authorId="0" shapeId="0" xr:uid="{00000000-0006-0000-0000-000042000000}">
      <text>
        <r>
          <rPr>
            <sz val="9"/>
            <color indexed="81"/>
            <rFont val="Arial"/>
            <family val="2"/>
          </rPr>
          <t>#Input("延安石油化工厂_生产_罐量日动态表_4302油量",":key{{dw}}")</t>
        </r>
      </text>
    </comment>
    <comment ref="N21" authorId="0" shapeId="0" xr:uid="{00000000-0006-0000-0000-000043000000}">
      <text>
        <r>
          <rPr>
            <sz val="9"/>
            <color indexed="81"/>
            <rFont val="Arial"/>
            <family val="2"/>
          </rPr>
          <t>#Input("延安石油化工厂_生产_罐量日动态表_4302空量",":key{{dw}}")</t>
        </r>
      </text>
    </comment>
    <comment ref="E22" authorId="0" shapeId="0" xr:uid="{00000000-0006-0000-0000-000044000000}">
      <text>
        <r>
          <rPr>
            <sz val="9"/>
            <color indexed="81"/>
            <rFont val="Arial"/>
            <family val="2"/>
          </rPr>
          <t>#Input("延安石油化工厂_生产_罐量日动态表_4203油尺",":key{{dw}}")</t>
        </r>
      </text>
    </comment>
    <comment ref="F22" authorId="0" shapeId="0" xr:uid="{00000000-0006-0000-0000-000045000000}">
      <text>
        <r>
          <rPr>
            <sz val="9"/>
            <color indexed="81"/>
            <rFont val="Arial"/>
            <family val="2"/>
          </rPr>
          <t>#Input("延安石油化工厂_生产_罐量日动态表_4203油量",":key{{dw}}")</t>
        </r>
      </text>
    </comment>
    <comment ref="G22" authorId="0" shapeId="0" xr:uid="{00000000-0006-0000-0000-000046000000}">
      <text>
        <r>
          <rPr>
            <sz val="9"/>
            <color indexed="81"/>
            <rFont val="Arial"/>
            <family val="2"/>
          </rPr>
          <t>#Input("延安石油化工厂_生产_罐量日动态表_4203空量",":key{{dw}}")</t>
        </r>
      </text>
    </comment>
    <comment ref="L22" authorId="0" shapeId="0" xr:uid="{00000000-0006-0000-0000-000047000000}">
      <text>
        <r>
          <rPr>
            <sz val="9"/>
            <color indexed="81"/>
            <rFont val="Arial"/>
            <family val="2"/>
          </rPr>
          <t>#Input("延安石油化工厂_生产_罐量日动态表_4303油尺",":key{{dw}}")</t>
        </r>
      </text>
    </comment>
    <comment ref="M22" authorId="0" shapeId="0" xr:uid="{00000000-0006-0000-0000-000048000000}">
      <text>
        <r>
          <rPr>
            <sz val="9"/>
            <color indexed="81"/>
            <rFont val="Arial"/>
            <family val="2"/>
          </rPr>
          <t>#Input("延安石油化工厂_生产_罐量日动态表_4303油量",":key{{dw}}")</t>
        </r>
      </text>
    </comment>
    <comment ref="N22" authorId="0" shapeId="0" xr:uid="{00000000-0006-0000-0000-000049000000}">
      <text>
        <r>
          <rPr>
            <sz val="9"/>
            <color indexed="81"/>
            <rFont val="Arial"/>
            <family val="2"/>
          </rPr>
          <t>#Input("延安石油化工厂_生产_罐量日动态表_4303空量",":key{{dw}}")</t>
        </r>
      </text>
    </comment>
    <comment ref="E23" authorId="0" shapeId="0" xr:uid="{00000000-0006-0000-0000-00004A000000}">
      <text>
        <r>
          <rPr>
            <sz val="9"/>
            <color indexed="81"/>
            <rFont val="Arial"/>
            <family val="2"/>
          </rPr>
          <t>#Input("延安石油化工厂_生产_罐量日动态表_4204油尺",":key{{dw}}")</t>
        </r>
      </text>
    </comment>
    <comment ref="F23" authorId="0" shapeId="0" xr:uid="{00000000-0006-0000-0000-00004B000000}">
      <text>
        <r>
          <rPr>
            <sz val="9"/>
            <color indexed="81"/>
            <rFont val="Arial"/>
            <family val="2"/>
          </rPr>
          <t>#Input("延安石油化工厂_生产_罐量日动态表_4204油量",":key{{dw}}")</t>
        </r>
      </text>
    </comment>
    <comment ref="G23" authorId="0" shapeId="0" xr:uid="{00000000-0006-0000-0000-00004C000000}">
      <text>
        <r>
          <rPr>
            <sz val="9"/>
            <color indexed="81"/>
            <rFont val="Arial"/>
            <family val="2"/>
          </rPr>
          <t>#Input("延安石油化工厂_生产_罐量日动态表_4204空量",":key{{dw}}")</t>
        </r>
      </text>
    </comment>
    <comment ref="L25" authorId="0" shapeId="0" xr:uid="{00000000-0006-0000-0000-00004D000000}">
      <text>
        <r>
          <rPr>
            <sz val="9"/>
            <color indexed="81"/>
            <rFont val="Arial"/>
            <family val="2"/>
          </rPr>
          <t>#Input("延安石油化工厂_生产_罐量日动态表_4304油尺",":key{{dw}}")</t>
        </r>
      </text>
    </comment>
    <comment ref="M25" authorId="0" shapeId="0" xr:uid="{00000000-0006-0000-0000-00004E000000}">
      <text>
        <r>
          <rPr>
            <sz val="9"/>
            <color indexed="81"/>
            <rFont val="Arial"/>
            <family val="2"/>
          </rPr>
          <t>#Input("延安石油化工厂_生产_罐量日动态表_4304油量",":key{{dw}}")</t>
        </r>
      </text>
    </comment>
    <comment ref="N25" authorId="0" shapeId="0" xr:uid="{00000000-0006-0000-0000-00004F000000}">
      <text>
        <r>
          <rPr>
            <sz val="9"/>
            <color indexed="81"/>
            <rFont val="Arial"/>
            <family val="2"/>
          </rPr>
          <t>#Input("延安石油化工厂_生产_罐量日动态表_4304空量",":key{{dw}}")</t>
        </r>
      </text>
    </comment>
    <comment ref="E26" authorId="0" shapeId="0" xr:uid="{00000000-0006-0000-0000-000050000000}">
      <text>
        <r>
          <rPr>
            <sz val="9"/>
            <color indexed="81"/>
            <rFont val="Arial"/>
            <family val="2"/>
          </rPr>
          <t>#Input("延安石油化工厂_生产_罐量日动态表_4205油尺",":key{{dw}}")</t>
        </r>
      </text>
    </comment>
    <comment ref="F26" authorId="0" shapeId="0" xr:uid="{00000000-0006-0000-0000-000051000000}">
      <text>
        <r>
          <rPr>
            <sz val="9"/>
            <color indexed="81"/>
            <rFont val="Arial"/>
            <family val="2"/>
          </rPr>
          <t>#Input("延安石油化工厂_生产_罐量日动态表_4205油量",":key{{dw}}")</t>
        </r>
      </text>
    </comment>
    <comment ref="G26" authorId="0" shapeId="0" xr:uid="{00000000-0006-0000-0000-000052000000}">
      <text>
        <r>
          <rPr>
            <sz val="9"/>
            <color indexed="81"/>
            <rFont val="Arial"/>
            <family val="2"/>
          </rPr>
          <t>#Input("延安石油化工厂_生产_罐量日动态表_4205空量",":key{{dw}}")</t>
        </r>
      </text>
    </comment>
    <comment ref="L26" authorId="0" shapeId="0" xr:uid="{00000000-0006-0000-0000-000053000000}">
      <text>
        <r>
          <rPr>
            <sz val="9"/>
            <color indexed="81"/>
            <rFont val="Arial"/>
            <family val="2"/>
          </rPr>
          <t>#Input("延安石油化工厂_生产_罐量日动态表_4305油尺",":key{{dw}}")</t>
        </r>
      </text>
    </comment>
    <comment ref="M26" authorId="0" shapeId="0" xr:uid="{00000000-0006-0000-0000-000054000000}">
      <text>
        <r>
          <rPr>
            <sz val="9"/>
            <color indexed="81"/>
            <rFont val="Arial"/>
            <family val="2"/>
          </rPr>
          <t>#Input("延安石油化工厂_生产_罐量日动态表_4305油量",":key{{dw}}")</t>
        </r>
      </text>
    </comment>
    <comment ref="N26" authorId="0" shapeId="0" xr:uid="{00000000-0006-0000-0000-000055000000}">
      <text>
        <r>
          <rPr>
            <sz val="9"/>
            <color indexed="81"/>
            <rFont val="Arial"/>
            <family val="2"/>
          </rPr>
          <t>#Input("延安石油化工厂_生产_罐量日动态表_4305空量",":key{{dw}}")</t>
        </r>
      </text>
    </comment>
    <comment ref="E27" authorId="0" shapeId="0" xr:uid="{00000000-0006-0000-0000-000056000000}">
      <text>
        <r>
          <rPr>
            <sz val="9"/>
            <color indexed="81"/>
            <rFont val="Arial"/>
            <family val="2"/>
          </rPr>
          <t>#Input("延安石油化工厂_生产_罐量日动态表_4206油尺",":key{{dw}}")</t>
        </r>
      </text>
    </comment>
    <comment ref="F27" authorId="0" shapeId="0" xr:uid="{00000000-0006-0000-0000-000057000000}">
      <text>
        <r>
          <rPr>
            <sz val="9"/>
            <color indexed="81"/>
            <rFont val="Arial"/>
            <family val="2"/>
          </rPr>
          <t>#Input("延安石油化工厂_生产_罐量日动态表_4206油量",":key{{dw}}")</t>
        </r>
      </text>
    </comment>
    <comment ref="G27" authorId="0" shapeId="0" xr:uid="{00000000-0006-0000-0000-000058000000}">
      <text>
        <r>
          <rPr>
            <sz val="9"/>
            <color indexed="81"/>
            <rFont val="Arial"/>
            <family val="2"/>
          </rPr>
          <t>#Input("延安石油化工厂_生产_罐量日动态表_4206空量",":key{{dw}}")</t>
        </r>
      </text>
    </comment>
    <comment ref="E28" authorId="0" shapeId="0" xr:uid="{00000000-0006-0000-0000-000059000000}">
      <text>
        <r>
          <rPr>
            <sz val="9"/>
            <color indexed="81"/>
            <rFont val="Arial"/>
            <family val="2"/>
          </rPr>
          <t>#Input("延安石油化工厂_生产_罐量日动态表_4207油尺",":key{{dw}}")</t>
        </r>
      </text>
    </comment>
    <comment ref="F28" authorId="0" shapeId="0" xr:uid="{00000000-0006-0000-0000-00005A000000}">
      <text>
        <r>
          <rPr>
            <sz val="9"/>
            <color indexed="81"/>
            <rFont val="Arial"/>
            <family val="2"/>
          </rPr>
          <t>#Input("延安石油化工厂_生产_罐量日动态表_4207油量",":key{{dw}}")</t>
        </r>
      </text>
    </comment>
    <comment ref="G28" authorId="0" shapeId="0" xr:uid="{00000000-0006-0000-0000-00005B000000}">
      <text>
        <r>
          <rPr>
            <sz val="9"/>
            <color indexed="81"/>
            <rFont val="Arial"/>
            <family val="2"/>
          </rPr>
          <t>#Input("延安石油化工厂_生产_罐量日动态表_4207空量",":key{{dw}}")</t>
        </r>
      </text>
    </comment>
    <comment ref="E29" authorId="0" shapeId="0" xr:uid="{00000000-0006-0000-0000-00005C000000}">
      <text>
        <r>
          <rPr>
            <sz val="9"/>
            <color indexed="81"/>
            <rFont val="Arial"/>
            <family val="2"/>
          </rPr>
          <t>#Input("延安石油化工厂_生产_罐量日动态表_4208油尺",":key{{dw}}")</t>
        </r>
      </text>
    </comment>
    <comment ref="F29" authorId="0" shapeId="0" xr:uid="{00000000-0006-0000-0000-00005D000000}">
      <text>
        <r>
          <rPr>
            <sz val="9"/>
            <color indexed="81"/>
            <rFont val="Arial"/>
            <family val="2"/>
          </rPr>
          <t>#Input("延安石油化工厂_生产_罐量日动态表_4208油量",":key{{dw}}")</t>
        </r>
      </text>
    </comment>
    <comment ref="G29" authorId="0" shapeId="0" xr:uid="{00000000-0006-0000-0000-00005E000000}">
      <text>
        <r>
          <rPr>
            <sz val="9"/>
            <color indexed="81"/>
            <rFont val="Arial"/>
            <family val="2"/>
          </rPr>
          <t>#Input("延安石油化工厂_生产_罐量日动态表_4208空量",":key{{dw}}")</t>
        </r>
      </text>
    </comment>
    <comment ref="L29" authorId="0" shapeId="0" xr:uid="{00000000-0006-0000-0000-00005F000000}">
      <text>
        <r>
          <rPr>
            <sz val="9"/>
            <color indexed="81"/>
            <rFont val="Arial"/>
            <family val="2"/>
          </rPr>
          <t>#Input("延安石油化工厂_生产_罐量日动态表_4306油尺",":key{{dw}}")</t>
        </r>
      </text>
    </comment>
    <comment ref="M29" authorId="0" shapeId="0" xr:uid="{00000000-0006-0000-0000-000060000000}">
      <text>
        <r>
          <rPr>
            <sz val="9"/>
            <color indexed="81"/>
            <rFont val="Arial"/>
            <family val="2"/>
          </rPr>
          <t>#Input("延安石油化工厂_生产_罐量日动态表_4306油量",":key{{dw}}")</t>
        </r>
      </text>
    </comment>
    <comment ref="N29" authorId="0" shapeId="0" xr:uid="{00000000-0006-0000-0000-000061000000}">
      <text>
        <r>
          <rPr>
            <sz val="9"/>
            <color indexed="81"/>
            <rFont val="Arial"/>
            <family val="2"/>
          </rPr>
          <t>#Input("延安石油化工厂_生产_罐量日动态表_4306空量",":key{{dw}}")</t>
        </r>
      </text>
    </comment>
    <comment ref="E30" authorId="0" shapeId="0" xr:uid="{00000000-0006-0000-0000-000062000000}">
      <text>
        <r>
          <rPr>
            <sz val="9"/>
            <color indexed="81"/>
            <rFont val="Arial"/>
            <family val="2"/>
          </rPr>
          <t>#Input("延安石油化工厂_生产_罐量日动态表_4209油尺",":key{{dw}}")</t>
        </r>
      </text>
    </comment>
    <comment ref="F30" authorId="0" shapeId="0" xr:uid="{00000000-0006-0000-0000-000063000000}">
      <text>
        <r>
          <rPr>
            <sz val="9"/>
            <color indexed="81"/>
            <rFont val="Arial"/>
            <family val="2"/>
          </rPr>
          <t>#Input("延安石油化工厂_生产_罐量日动态表_4209油量",":key{{dw}}")</t>
        </r>
      </text>
    </comment>
    <comment ref="G30" authorId="0" shapeId="0" xr:uid="{00000000-0006-0000-0000-000064000000}">
      <text>
        <r>
          <rPr>
            <sz val="9"/>
            <color indexed="81"/>
            <rFont val="Arial"/>
            <family val="2"/>
          </rPr>
          <t>#Input("延安石油化工厂_生产_罐量日动态表_4209空量",":key{{dw}}")</t>
        </r>
      </text>
    </comment>
    <comment ref="L30" authorId="0" shapeId="0" xr:uid="{00000000-0006-0000-0000-000065000000}">
      <text>
        <r>
          <rPr>
            <sz val="9"/>
            <color indexed="81"/>
            <rFont val="Arial"/>
            <family val="2"/>
          </rPr>
          <t>#Input("延安石油化工厂_生产_罐量日动态表_4307油尺",":key{{dw}}")</t>
        </r>
      </text>
    </comment>
    <comment ref="M30" authorId="0" shapeId="0" xr:uid="{00000000-0006-0000-0000-000066000000}">
      <text>
        <r>
          <rPr>
            <sz val="9"/>
            <color indexed="81"/>
            <rFont val="Arial"/>
            <family val="2"/>
          </rPr>
          <t>#Input("延安石油化工厂_生产_罐量日动态表_4307油量",":key{{dw}}")</t>
        </r>
      </text>
    </comment>
    <comment ref="N30" authorId="0" shapeId="0" xr:uid="{00000000-0006-0000-0000-000067000000}">
      <text>
        <r>
          <rPr>
            <sz val="9"/>
            <color indexed="81"/>
            <rFont val="Arial"/>
            <family val="2"/>
          </rPr>
          <t>#Input("延安石油化工厂_生产_罐量日动态表_4307空量",":key{{dw}}")</t>
        </r>
      </text>
    </comment>
    <comment ref="E31" authorId="0" shapeId="0" xr:uid="{00000000-0006-0000-0000-000068000000}">
      <text>
        <r>
          <rPr>
            <sz val="9"/>
            <color indexed="81"/>
            <rFont val="Arial"/>
            <family val="2"/>
          </rPr>
          <t>#Input("延安石油化工厂_生产_罐量日动态表_4210油尺",":key{{dw}}")</t>
        </r>
      </text>
    </comment>
    <comment ref="F31" authorId="0" shapeId="0" xr:uid="{00000000-0006-0000-0000-000069000000}">
      <text>
        <r>
          <rPr>
            <sz val="9"/>
            <color indexed="81"/>
            <rFont val="Arial"/>
            <family val="2"/>
          </rPr>
          <t>#Input("延安石油化工厂_生产_罐量日动态表_4210油量",":key{{dw}}")</t>
        </r>
      </text>
    </comment>
    <comment ref="G31" authorId="0" shapeId="0" xr:uid="{00000000-0006-0000-0000-00006A000000}">
      <text>
        <r>
          <rPr>
            <sz val="9"/>
            <color indexed="81"/>
            <rFont val="Arial"/>
            <family val="2"/>
          </rPr>
          <t>#Input("延安石油化工厂_生产_罐量日动态表_4210空量",":key{{dw}}")</t>
        </r>
      </text>
    </comment>
    <comment ref="L31" authorId="0" shapeId="0" xr:uid="{00000000-0006-0000-0000-00006B000000}">
      <text>
        <r>
          <rPr>
            <sz val="9"/>
            <color indexed="81"/>
            <rFont val="Arial"/>
            <family val="2"/>
          </rPr>
          <t>#Input("延安石油化工厂_生产_罐量日动态表_4308油尺",":key{{dw}}")</t>
        </r>
      </text>
    </comment>
    <comment ref="M31" authorId="0" shapeId="0" xr:uid="{00000000-0006-0000-0000-00006C000000}">
      <text>
        <r>
          <rPr>
            <sz val="9"/>
            <color indexed="81"/>
            <rFont val="Arial"/>
            <family val="2"/>
          </rPr>
          <t>#Input("延安石油化工厂_生产_罐量日动态表_4308油量",":key{{dw}}")</t>
        </r>
      </text>
    </comment>
    <comment ref="N31" authorId="0" shapeId="0" xr:uid="{00000000-0006-0000-0000-00006D000000}">
      <text>
        <r>
          <rPr>
            <sz val="9"/>
            <color indexed="81"/>
            <rFont val="Arial"/>
            <family val="2"/>
          </rPr>
          <t>#Input("延安石油化工厂_生产_罐量日动态表_4308空量",":key{{dw}}")</t>
        </r>
      </text>
    </comment>
    <comment ref="E34" authorId="0" shapeId="0" xr:uid="{00000000-0006-0000-0000-00006E000000}">
      <text>
        <r>
          <rPr>
            <sz val="9"/>
            <color indexed="81"/>
            <rFont val="Arial"/>
            <family val="2"/>
          </rPr>
          <t>#Input("延安石油化工厂_生产_罐量日动态表_4105油尺",":key{{dw}}")</t>
        </r>
      </text>
    </comment>
    <comment ref="F34" authorId="0" shapeId="0" xr:uid="{00000000-0006-0000-0000-00006F000000}">
      <text>
        <r>
          <rPr>
            <sz val="9"/>
            <color indexed="81"/>
            <rFont val="Arial"/>
            <family val="2"/>
          </rPr>
          <t>#Input("延安石油化工厂_生产_罐量日动态表_4105油量",":key{{dw}}")</t>
        </r>
      </text>
    </comment>
    <comment ref="G34" authorId="0" shapeId="0" xr:uid="{00000000-0006-0000-0000-000070000000}">
      <text>
        <r>
          <rPr>
            <sz val="9"/>
            <color indexed="81"/>
            <rFont val="Arial"/>
            <family val="2"/>
          </rPr>
          <t>#Input("延安石油化工厂_生产_罐量日动态表_4105空量",":key{{dw}}")</t>
        </r>
      </text>
    </comment>
    <comment ref="L34" authorId="0" shapeId="0" xr:uid="{00000000-0006-0000-0000-000071000000}">
      <text>
        <r>
          <rPr>
            <sz val="9"/>
            <color indexed="81"/>
            <rFont val="Arial"/>
            <family val="2"/>
          </rPr>
          <t>#Input("延安石油化工厂_生产_罐量日动态表_4309油尺",":key{{dw}}")</t>
        </r>
      </text>
    </comment>
    <comment ref="M34" authorId="0" shapeId="0" xr:uid="{00000000-0006-0000-0000-000072000000}">
      <text>
        <r>
          <rPr>
            <sz val="9"/>
            <color indexed="81"/>
            <rFont val="Arial"/>
            <family val="2"/>
          </rPr>
          <t>#Input("延安石油化工厂_生产_罐量日动态表_4309油量",":key{{dw}}")</t>
        </r>
      </text>
    </comment>
    <comment ref="N34" authorId="0" shapeId="0" xr:uid="{00000000-0006-0000-0000-000073000000}">
      <text>
        <r>
          <rPr>
            <sz val="9"/>
            <color indexed="81"/>
            <rFont val="Arial"/>
            <family val="2"/>
          </rPr>
          <t>#Input("延安石油化工厂_生产_罐量日动态表_4309空量",":key{{dw}}")</t>
        </r>
      </text>
    </comment>
    <comment ref="E35" authorId="0" shapeId="0" xr:uid="{00000000-0006-0000-0000-000074000000}">
      <text>
        <r>
          <rPr>
            <sz val="9"/>
            <color indexed="81"/>
            <rFont val="Arial"/>
            <family val="2"/>
          </rPr>
          <t>#Input("延安石油化工厂_生产_罐量日动态表_4106油尺",":key{{dw}}")</t>
        </r>
      </text>
    </comment>
    <comment ref="F35" authorId="0" shapeId="0" xr:uid="{00000000-0006-0000-0000-000075000000}">
      <text>
        <r>
          <rPr>
            <sz val="9"/>
            <color indexed="81"/>
            <rFont val="Arial"/>
            <family val="2"/>
          </rPr>
          <t>#Input("延安石油化工厂_生产_罐量日动态表_4106油量",":key{{dw}}")</t>
        </r>
      </text>
    </comment>
    <comment ref="G35" authorId="0" shapeId="0" xr:uid="{00000000-0006-0000-0000-000076000000}">
      <text>
        <r>
          <rPr>
            <sz val="9"/>
            <color indexed="81"/>
            <rFont val="Arial"/>
            <family val="2"/>
          </rPr>
          <t>#Input("延安石油化工厂_生产_罐量日动态表_4106空量",":key{{dw}}")</t>
        </r>
      </text>
    </comment>
    <comment ref="L35" authorId="0" shapeId="0" xr:uid="{00000000-0006-0000-0000-000077000000}">
      <text>
        <r>
          <rPr>
            <sz val="9"/>
            <color indexed="81"/>
            <rFont val="Arial"/>
            <family val="2"/>
          </rPr>
          <t>#Input("延安石油化工厂_生产_罐量日动态表_4310油尺",":key{{dw}}")</t>
        </r>
      </text>
    </comment>
    <comment ref="M35" authorId="0" shapeId="0" xr:uid="{00000000-0006-0000-0000-000078000000}">
      <text>
        <r>
          <rPr>
            <sz val="9"/>
            <color indexed="81"/>
            <rFont val="Arial"/>
            <family val="2"/>
          </rPr>
          <t>#Input("延安石油化工厂_生产_罐量日动态表_4310油量",":key{{dw}}")</t>
        </r>
      </text>
    </comment>
    <comment ref="N35" authorId="0" shapeId="0" xr:uid="{00000000-0006-0000-0000-000079000000}">
      <text>
        <r>
          <rPr>
            <sz val="9"/>
            <color indexed="81"/>
            <rFont val="Arial"/>
            <family val="2"/>
          </rPr>
          <t>#Input("延安石油化工厂_生产_罐量日动态表_4310空量",":key{{dw}}")</t>
        </r>
      </text>
    </comment>
    <comment ref="E38" authorId="0" shapeId="0" xr:uid="{00000000-0006-0000-0000-00007A000000}">
      <text>
        <r>
          <rPr>
            <sz val="9"/>
            <color indexed="81"/>
            <rFont val="Arial"/>
            <family val="2"/>
          </rPr>
          <t>#Input("延安石油化工厂_生产_罐量日动态表_4801油尺",":key{{dw}}")</t>
        </r>
      </text>
    </comment>
    <comment ref="F38" authorId="0" shapeId="0" xr:uid="{00000000-0006-0000-0000-00007B000000}">
      <text>
        <r>
          <rPr>
            <sz val="9"/>
            <color indexed="81"/>
            <rFont val="Arial"/>
            <family val="2"/>
          </rPr>
          <t>#Input("延安石油化工厂_生产_罐量日动态表_4801油量",":key{{dw}}")</t>
        </r>
      </text>
    </comment>
    <comment ref="G38" authorId="0" shapeId="0" xr:uid="{00000000-0006-0000-0000-00007C000000}">
      <text>
        <r>
          <rPr>
            <sz val="9"/>
            <color indexed="81"/>
            <rFont val="Arial"/>
            <family val="2"/>
          </rPr>
          <t>#Input("延安石油化工厂_生产_罐量日动态表_4801空量",":key{{dw}}")</t>
        </r>
      </text>
    </comment>
    <comment ref="L38" authorId="0" shapeId="0" xr:uid="{00000000-0006-0000-0000-00007D000000}">
      <text>
        <r>
          <rPr>
            <sz val="9"/>
            <color indexed="81"/>
            <rFont val="Arial"/>
            <family val="2"/>
          </rPr>
          <t>#Input("延安石油化工厂_生产_罐量日动态表_4805油尺",":key{{dw}}")</t>
        </r>
      </text>
    </comment>
    <comment ref="M38" authorId="0" shapeId="0" xr:uid="{00000000-0006-0000-0000-00007E000000}">
      <text>
        <r>
          <rPr>
            <sz val="9"/>
            <color indexed="81"/>
            <rFont val="Arial"/>
            <family val="2"/>
          </rPr>
          <t>#Input("延安石油化工厂_生产_罐量日动态表_4805油量",":key{{dw}}")</t>
        </r>
      </text>
    </comment>
    <comment ref="N38" authorId="0" shapeId="0" xr:uid="{00000000-0006-0000-0000-00007F000000}">
      <text>
        <r>
          <rPr>
            <sz val="9"/>
            <color indexed="81"/>
            <rFont val="Arial"/>
            <family val="2"/>
          </rPr>
          <t>#Input("延安石油化工厂_生产_罐量日动态表_4805空量",":key{{dw}}")</t>
        </r>
      </text>
    </comment>
    <comment ref="E39" authorId="0" shapeId="0" xr:uid="{00000000-0006-0000-0000-000080000000}">
      <text>
        <r>
          <rPr>
            <sz val="9"/>
            <color indexed="81"/>
            <rFont val="Arial"/>
            <family val="2"/>
          </rPr>
          <t>#Input("延安石油化工厂_生产_罐量日动态表_4802油尺",":key{{dw}}")</t>
        </r>
      </text>
    </comment>
    <comment ref="F39" authorId="0" shapeId="0" xr:uid="{00000000-0006-0000-0000-000081000000}">
      <text>
        <r>
          <rPr>
            <sz val="9"/>
            <color indexed="81"/>
            <rFont val="Arial"/>
            <family val="2"/>
          </rPr>
          <t>#Input("延安石油化工厂_生产_罐量日动态表_4802油量",":key{{dw}}")</t>
        </r>
      </text>
    </comment>
    <comment ref="G39" authorId="0" shapeId="0" xr:uid="{00000000-0006-0000-0000-000082000000}">
      <text>
        <r>
          <rPr>
            <sz val="9"/>
            <color indexed="81"/>
            <rFont val="Arial"/>
            <family val="2"/>
          </rPr>
          <t>#Input("延安石油化工厂_生产_罐量日动态表_4802空量",":key{{dw}}")</t>
        </r>
      </text>
    </comment>
    <comment ref="L39" authorId="0" shapeId="0" xr:uid="{00000000-0006-0000-0000-000083000000}">
      <text>
        <r>
          <rPr>
            <sz val="9"/>
            <color indexed="81"/>
            <rFont val="Arial"/>
            <family val="2"/>
          </rPr>
          <t>#Input("延安石油化工厂_生产_罐量日动态表_4806油尺",":key{{dw}}")</t>
        </r>
      </text>
    </comment>
    <comment ref="M39" authorId="0" shapeId="0" xr:uid="{00000000-0006-0000-0000-000084000000}">
      <text>
        <r>
          <rPr>
            <sz val="9"/>
            <color indexed="81"/>
            <rFont val="Arial"/>
            <family val="2"/>
          </rPr>
          <t>#Input("延安石油化工厂_生产_罐量日动态表_4806油量",":key{{dw}}")</t>
        </r>
      </text>
    </comment>
    <comment ref="N39" authorId="0" shapeId="0" xr:uid="{00000000-0006-0000-0000-000085000000}">
      <text>
        <r>
          <rPr>
            <sz val="9"/>
            <color indexed="81"/>
            <rFont val="Arial"/>
            <family val="2"/>
          </rPr>
          <t>#Input("延安石油化工厂_生产_罐量日动态表_4806空量",":key{{dw}}")</t>
        </r>
      </text>
    </comment>
    <comment ref="E40" authorId="0" shapeId="0" xr:uid="{00000000-0006-0000-0000-000086000000}">
      <text>
        <r>
          <rPr>
            <sz val="9"/>
            <color indexed="81"/>
            <rFont val="Arial"/>
            <family val="2"/>
          </rPr>
          <t>#Input("延安石油化工厂_生产_罐量日动态表_41005油尺",":key{{dw}}")</t>
        </r>
      </text>
    </comment>
    <comment ref="F40" authorId="0" shapeId="0" xr:uid="{00000000-0006-0000-0000-000087000000}">
      <text>
        <r>
          <rPr>
            <sz val="9"/>
            <color indexed="81"/>
            <rFont val="Arial"/>
            <family val="2"/>
          </rPr>
          <t>#Input("延安石油化工厂_生产_罐量日动态表_41005油量",":key{{dw}}")</t>
        </r>
      </text>
    </comment>
    <comment ref="G40" authorId="0" shapeId="0" xr:uid="{00000000-0006-0000-0000-000088000000}">
      <text>
        <r>
          <rPr>
            <sz val="9"/>
            <color indexed="81"/>
            <rFont val="Arial"/>
            <family val="2"/>
          </rPr>
          <t>#Input("延安石油化工厂_生产_罐量日动态表_41005空量",":key{{dw}}")</t>
        </r>
      </text>
    </comment>
    <comment ref="L40" authorId="0" shapeId="0" xr:uid="{00000000-0006-0000-0000-000089000000}">
      <text>
        <r>
          <rPr>
            <sz val="9"/>
            <color indexed="81"/>
            <rFont val="Arial"/>
            <family val="2"/>
          </rPr>
          <t>#Input("延安石油化工厂_生产_罐量日动态表_41003油尺",":key{{dw}}")</t>
        </r>
      </text>
    </comment>
    <comment ref="M40" authorId="0" shapeId="0" xr:uid="{00000000-0006-0000-0000-00008A000000}">
      <text>
        <r>
          <rPr>
            <sz val="9"/>
            <color indexed="81"/>
            <rFont val="Arial"/>
            <family val="2"/>
          </rPr>
          <t>#Input("延安石油化工厂_生产_罐量日动态表_41003油量",":key{{dw}}")</t>
        </r>
      </text>
    </comment>
    <comment ref="N40" authorId="0" shapeId="0" xr:uid="{00000000-0006-0000-0000-00008B000000}">
      <text>
        <r>
          <rPr>
            <sz val="9"/>
            <color indexed="81"/>
            <rFont val="Arial"/>
            <family val="2"/>
          </rPr>
          <t>#Input("延安石油化工厂_生产_罐量日动态表_41003空量",":key{{dw}}")</t>
        </r>
      </text>
    </comment>
    <comment ref="E41" authorId="0" shapeId="0" xr:uid="{00000000-0006-0000-0000-00008C000000}">
      <text>
        <r>
          <rPr>
            <sz val="9"/>
            <color indexed="81"/>
            <rFont val="Arial"/>
            <family val="2"/>
          </rPr>
          <t>#Input("延安石油化工厂_生产_罐量日动态表_41006油尺",":key{{dw}}")</t>
        </r>
      </text>
    </comment>
    <comment ref="F41" authorId="0" shapeId="0" xr:uid="{00000000-0006-0000-0000-00008D000000}">
      <text>
        <r>
          <rPr>
            <sz val="9"/>
            <color indexed="81"/>
            <rFont val="Arial"/>
            <family val="2"/>
          </rPr>
          <t>#Input("延安石油化工厂_生产_罐量日动态表_41006油量",":key{{dw}}")</t>
        </r>
      </text>
    </comment>
    <comment ref="G41" authorId="0" shapeId="0" xr:uid="{00000000-0006-0000-0000-00008E000000}">
      <text>
        <r>
          <rPr>
            <sz val="9"/>
            <color indexed="81"/>
            <rFont val="Arial"/>
            <family val="2"/>
          </rPr>
          <t>#Input("延安石油化工厂_生产_罐量日动态表_41006空量",":key{{dw}}")</t>
        </r>
      </text>
    </comment>
    <comment ref="L41" authorId="0" shapeId="0" xr:uid="{00000000-0006-0000-0000-00008F000000}">
      <text>
        <r>
          <rPr>
            <sz val="9"/>
            <color indexed="81"/>
            <rFont val="Arial"/>
            <family val="2"/>
          </rPr>
          <t>#Input("延安石油化工厂_生产_罐量日动态表_41004油尺",":key{{dw}}")</t>
        </r>
      </text>
    </comment>
    <comment ref="M41" authorId="0" shapeId="0" xr:uid="{00000000-0006-0000-0000-000090000000}">
      <text>
        <r>
          <rPr>
            <sz val="9"/>
            <color indexed="81"/>
            <rFont val="Arial"/>
            <family val="2"/>
          </rPr>
          <t>#Input("延安石油化工厂_生产_罐量日动态表_41004油量",":key{{dw}}")</t>
        </r>
      </text>
    </comment>
    <comment ref="N41" authorId="0" shapeId="0" xr:uid="{00000000-0006-0000-0000-000091000000}">
      <text>
        <r>
          <rPr>
            <sz val="9"/>
            <color indexed="81"/>
            <rFont val="Arial"/>
            <family val="2"/>
          </rPr>
          <t>#Input("延安石油化工厂_生产_罐量日动态表_41004空量",":key{{dw}}")</t>
        </r>
      </text>
    </comment>
    <comment ref="E44" authorId="0" shapeId="0" xr:uid="{00000000-0006-0000-0000-000092000000}">
      <text>
        <r>
          <rPr>
            <sz val="9"/>
            <color indexed="81"/>
            <rFont val="Arial"/>
            <family val="2"/>
          </rPr>
          <t>#Input("延安石油化工厂_生产_罐量日动态表_41001油尺",":key{{dw}}")</t>
        </r>
      </text>
    </comment>
    <comment ref="F44" authorId="0" shapeId="0" xr:uid="{00000000-0006-0000-0000-000093000000}">
      <text>
        <r>
          <rPr>
            <sz val="9"/>
            <color indexed="81"/>
            <rFont val="Arial"/>
            <family val="2"/>
          </rPr>
          <t>#Input("延安石油化工厂_生产_罐量日动态表_41001油量",":key{{dw}}")</t>
        </r>
      </text>
    </comment>
    <comment ref="G44" authorId="0" shapeId="0" xr:uid="{00000000-0006-0000-0000-000094000000}">
      <text>
        <r>
          <rPr>
            <sz val="9"/>
            <color indexed="81"/>
            <rFont val="Arial"/>
            <family val="2"/>
          </rPr>
          <t>#Input("延安石油化工厂_生产_罐量日动态表_41001空量",":key{{dw}}")</t>
        </r>
      </text>
    </comment>
    <comment ref="L44" authorId="0" shapeId="0" xr:uid="{00000000-0006-0000-0000-000095000000}">
      <text>
        <r>
          <rPr>
            <sz val="9"/>
            <color indexed="81"/>
            <rFont val="Arial"/>
            <family val="2"/>
          </rPr>
          <t>#Input("延安石油化工厂_生产_罐量日动态表_44001油尺",":key{{dw}}")</t>
        </r>
      </text>
    </comment>
    <comment ref="M44" authorId="0" shapeId="0" xr:uid="{00000000-0006-0000-0000-000096000000}">
      <text>
        <r>
          <rPr>
            <sz val="9"/>
            <color indexed="81"/>
            <rFont val="Arial"/>
            <family val="2"/>
          </rPr>
          <t>#Input("延安石油化工厂_生产_罐量日动态表_44001油量",":key{{dw}}")</t>
        </r>
      </text>
    </comment>
    <comment ref="N44" authorId="0" shapeId="0" xr:uid="{00000000-0006-0000-0000-000097000000}">
      <text>
        <r>
          <rPr>
            <sz val="9"/>
            <color indexed="81"/>
            <rFont val="Arial"/>
            <family val="2"/>
          </rPr>
          <t>#Input("延安石油化工厂_生产_罐量日动态表_44001空量",":key{{dw}}")</t>
        </r>
      </text>
    </comment>
    <comment ref="E45" authorId="0" shapeId="0" xr:uid="{00000000-0006-0000-0000-000098000000}">
      <text>
        <r>
          <rPr>
            <sz val="9"/>
            <color indexed="81"/>
            <rFont val="Arial"/>
            <family val="2"/>
          </rPr>
          <t>#Input("延安石油化工厂_生产_罐量日动态表_41002油尺",":key{{dw}}")</t>
        </r>
      </text>
    </comment>
    <comment ref="F45" authorId="0" shapeId="0" xr:uid="{00000000-0006-0000-0000-000099000000}">
      <text>
        <r>
          <rPr>
            <sz val="9"/>
            <color indexed="81"/>
            <rFont val="Arial"/>
            <family val="2"/>
          </rPr>
          <t>#Input("延安石油化工厂_生产_罐量日动态表_41002油量",":key{{dw}}")</t>
        </r>
      </text>
    </comment>
    <comment ref="G45" authorId="0" shapeId="0" xr:uid="{00000000-0006-0000-0000-00009A000000}">
      <text>
        <r>
          <rPr>
            <sz val="9"/>
            <color indexed="81"/>
            <rFont val="Arial"/>
            <family val="2"/>
          </rPr>
          <t>#Input("延安石油化工厂_生产_罐量日动态表_41002空量",":key{{dw}}")</t>
        </r>
      </text>
    </comment>
    <comment ref="L45" authorId="0" shapeId="0" xr:uid="{00000000-0006-0000-0000-00009B000000}">
      <text>
        <r>
          <rPr>
            <sz val="9"/>
            <color indexed="81"/>
            <rFont val="Arial"/>
            <family val="2"/>
          </rPr>
          <t>#Input("延安石油化工厂_生产_罐量日动态表_44002油尺",":key{{dw}}")</t>
        </r>
      </text>
    </comment>
    <comment ref="M45" authorId="0" shapeId="0" xr:uid="{00000000-0006-0000-0000-00009C000000}">
      <text>
        <r>
          <rPr>
            <sz val="9"/>
            <color indexed="81"/>
            <rFont val="Arial"/>
            <family val="2"/>
          </rPr>
          <t>#Input("延安石油化工厂_生产_罐量日动态表_44002油量",":key{{dw}}")</t>
        </r>
      </text>
    </comment>
    <comment ref="N45" authorId="0" shapeId="0" xr:uid="{00000000-0006-0000-0000-00009D000000}">
      <text>
        <r>
          <rPr>
            <sz val="9"/>
            <color indexed="81"/>
            <rFont val="Arial"/>
            <family val="2"/>
          </rPr>
          <t>#Input("延安石油化工厂_生产_罐量日动态表_44002空量",":key{{dw}}")</t>
        </r>
      </text>
    </comment>
    <comment ref="E46" authorId="0" shapeId="0" xr:uid="{00000000-0006-0000-0000-00009E000000}">
      <text>
        <r>
          <rPr>
            <sz val="9"/>
            <color indexed="81"/>
            <rFont val="Arial"/>
            <family val="2"/>
          </rPr>
          <t>#Input("延安石油化工厂_生产_罐量日动态表_41008油尺",":key{{dw}}")</t>
        </r>
      </text>
    </comment>
    <comment ref="F46" authorId="0" shapeId="0" xr:uid="{00000000-0006-0000-0000-00009F000000}">
      <text>
        <r>
          <rPr>
            <sz val="9"/>
            <color indexed="81"/>
            <rFont val="Arial"/>
            <family val="2"/>
          </rPr>
          <t>#Input("延安石油化工厂_生产_罐量日动态表_41008油量",":key{{dw}}")</t>
        </r>
      </text>
    </comment>
    <comment ref="G46" authorId="0" shapeId="0" xr:uid="{00000000-0006-0000-0000-0000A0000000}">
      <text>
        <r>
          <rPr>
            <sz val="9"/>
            <color indexed="81"/>
            <rFont val="Arial"/>
            <family val="2"/>
          </rPr>
          <t>#Input("延安石油化工厂_生产_罐量日动态表_41008空量",":key{{dw}}")</t>
        </r>
      </text>
    </comment>
    <comment ref="L48" authorId="0" shapeId="0" xr:uid="{00000000-0006-0000-0000-0000A1000000}">
      <text>
        <r>
          <rPr>
            <sz val="9"/>
            <color indexed="81"/>
            <rFont val="Arial"/>
            <family val="2"/>
          </rPr>
          <t>#Input("延安石油化工厂_生产_罐量日动态表_D111A油尺",":key{{dw}}")</t>
        </r>
      </text>
    </comment>
    <comment ref="M48" authorId="0" shapeId="0" xr:uid="{00000000-0006-0000-0000-0000A2000000}">
      <text>
        <r>
          <rPr>
            <sz val="9"/>
            <color indexed="81"/>
            <rFont val="Arial"/>
            <family val="2"/>
          </rPr>
          <t>#Input("延安石油化工厂_生产_罐量日动态表_D111A油量",":key{{dw}}")</t>
        </r>
      </text>
    </comment>
    <comment ref="N48" authorId="0" shapeId="0" xr:uid="{00000000-0006-0000-0000-0000A3000000}">
      <text>
        <r>
          <rPr>
            <sz val="9"/>
            <color indexed="81"/>
            <rFont val="Arial"/>
            <family val="2"/>
          </rPr>
          <t>#Input("延安石油化工厂_生产_罐量日动态表_D111A空量",":key{{dw}}")</t>
        </r>
      </text>
    </comment>
    <comment ref="L49" authorId="0" shapeId="0" xr:uid="{00000000-0006-0000-0000-0000A4000000}">
      <text>
        <r>
          <rPr>
            <sz val="9"/>
            <color indexed="81"/>
            <rFont val="Arial"/>
            <family val="2"/>
          </rPr>
          <t>#Input("延安石油化工厂_生产_罐量日动态表_D111B油尺",":key{{dw}}")</t>
        </r>
      </text>
    </comment>
    <comment ref="M49" authorId="0" shapeId="0" xr:uid="{00000000-0006-0000-0000-0000A5000000}">
      <text>
        <r>
          <rPr>
            <sz val="9"/>
            <color indexed="81"/>
            <rFont val="Arial"/>
            <family val="2"/>
          </rPr>
          <t>#Input("延安石油化工厂_生产_罐量日动态表_D111B油量",":key{{dw}}")</t>
        </r>
      </text>
    </comment>
    <comment ref="N49" authorId="0" shapeId="0" xr:uid="{00000000-0006-0000-0000-0000A6000000}">
      <text>
        <r>
          <rPr>
            <sz val="9"/>
            <color indexed="81"/>
            <rFont val="Arial"/>
            <family val="2"/>
          </rPr>
          <t>#Input("延安石油化工厂_生产_罐量日动态表_D111B空量",":key{{dw}}")</t>
        </r>
      </text>
    </comment>
    <comment ref="E50" authorId="0" shapeId="0" xr:uid="{00000000-0006-0000-0000-0000A7000000}">
      <text>
        <r>
          <rPr>
            <sz val="9"/>
            <color indexed="81"/>
            <rFont val="Arial"/>
            <family val="2"/>
          </rPr>
          <t>#Input("延安石油化工厂_生产_罐量日动态表_44003油尺",":key{{dw}}")</t>
        </r>
      </text>
    </comment>
    <comment ref="F50" authorId="0" shapeId="0" xr:uid="{00000000-0006-0000-0000-0000A8000000}">
      <text>
        <r>
          <rPr>
            <sz val="9"/>
            <color indexed="81"/>
            <rFont val="Arial"/>
            <family val="2"/>
          </rPr>
          <t>#Input("延安石油化工厂_生产_罐量日动态表_44003油量",":key{{dw}}")</t>
        </r>
      </text>
    </comment>
    <comment ref="G50" authorId="0" shapeId="0" xr:uid="{00000000-0006-0000-0000-0000A9000000}">
      <text>
        <r>
          <rPr>
            <sz val="9"/>
            <color indexed="81"/>
            <rFont val="Arial"/>
            <family val="2"/>
          </rPr>
          <t>#Input("延安石油化工厂_生产_罐量日动态表_44003空量",":key{{dw}}")</t>
        </r>
      </text>
    </comment>
    <comment ref="L50" authorId="0" shapeId="0" xr:uid="{00000000-0006-0000-0000-0000AA000000}">
      <text>
        <r>
          <rPr>
            <sz val="9"/>
            <color indexed="81"/>
            <rFont val="Arial"/>
            <family val="2"/>
          </rPr>
          <t>#Input("延安石油化工厂_生产_罐量日动态表_D111C油尺",":key{{dw}}")</t>
        </r>
      </text>
    </comment>
    <comment ref="M50" authorId="0" shapeId="0" xr:uid="{00000000-0006-0000-0000-0000AB000000}">
      <text>
        <r>
          <rPr>
            <sz val="9"/>
            <color indexed="81"/>
            <rFont val="Arial"/>
            <family val="2"/>
          </rPr>
          <t>#Input("延安石油化工厂_生产_罐量日动态表_D111C油量",":key{{dw}}")</t>
        </r>
      </text>
    </comment>
    <comment ref="N50" authorId="0" shapeId="0" xr:uid="{00000000-0006-0000-0000-0000AC000000}">
      <text>
        <r>
          <rPr>
            <sz val="9"/>
            <color indexed="81"/>
            <rFont val="Arial"/>
            <family val="2"/>
          </rPr>
          <t>#Input("延安石油化工厂_生产_罐量日动态表_D111C空量",":key{{dw}}")</t>
        </r>
      </text>
    </comment>
    <comment ref="E51" authorId="0" shapeId="0" xr:uid="{00000000-0006-0000-0000-0000AD000000}">
      <text>
        <r>
          <rPr>
            <sz val="9"/>
            <color indexed="81"/>
            <rFont val="Arial"/>
            <family val="2"/>
          </rPr>
          <t>#Input("延安石油化工厂_生产_罐量日动态表_44004油尺",":key{{dw}}")</t>
        </r>
      </text>
    </comment>
    <comment ref="F51" authorId="0" shapeId="0" xr:uid="{00000000-0006-0000-0000-0000AE000000}">
      <text>
        <r>
          <rPr>
            <sz val="9"/>
            <color indexed="81"/>
            <rFont val="Arial"/>
            <family val="2"/>
          </rPr>
          <t>#Input("延安石油化工厂_生产_罐量日动态表_44004油量",":key{{dw}}")</t>
        </r>
      </text>
    </comment>
    <comment ref="G51" authorId="0" shapeId="0" xr:uid="{00000000-0006-0000-0000-0000AF000000}">
      <text>
        <r>
          <rPr>
            <sz val="9"/>
            <color indexed="81"/>
            <rFont val="Arial"/>
            <family val="2"/>
          </rPr>
          <t>#Input("延安石油化工厂_生产_罐量日动态表_44004空量",":key{{dw}}")</t>
        </r>
      </text>
    </comment>
    <comment ref="L51" authorId="0" shapeId="0" xr:uid="{00000000-0006-0000-0000-0000B0000000}">
      <text>
        <r>
          <rPr>
            <sz val="9"/>
            <color indexed="81"/>
            <rFont val="Arial"/>
            <family val="2"/>
          </rPr>
          <t>#Input("延安石油化工厂_生产_罐量日动态表_D111D油尺",":key{{dw}}")</t>
        </r>
      </text>
    </comment>
    <comment ref="M51" authorId="0" shapeId="0" xr:uid="{00000000-0006-0000-0000-0000B1000000}">
      <text>
        <r>
          <rPr>
            <sz val="9"/>
            <color indexed="81"/>
            <rFont val="Arial"/>
            <family val="2"/>
          </rPr>
          <t>#Input("延安石油化工厂_生产_罐量日动态表_D111D油量",":key{{dw}}")</t>
        </r>
      </text>
    </comment>
    <comment ref="N51" authorId="0" shapeId="0" xr:uid="{00000000-0006-0000-0000-0000B2000000}">
      <text>
        <r>
          <rPr>
            <sz val="9"/>
            <color indexed="81"/>
            <rFont val="Arial"/>
            <family val="2"/>
          </rPr>
          <t>#Input("延安石油化工厂_生产_罐量日动态表_D111D空量",":key{{dw}}")</t>
        </r>
      </text>
    </comment>
    <comment ref="C55" authorId="0" shapeId="0" xr:uid="{00000000-0006-0000-0000-0000B3000000}">
      <text>
        <r>
          <rPr>
            <sz val="9"/>
            <color indexed="81"/>
            <rFont val="Arial"/>
            <family val="2"/>
          </rPr>
          <t>#Input("延安石油化工厂_生产_罐量日动态表_120万吨/年重整装置原料",":key{{dw}}")</t>
        </r>
      </text>
    </comment>
    <comment ref="E55" authorId="0" shapeId="0" xr:uid="{00000000-0006-0000-0000-0000B4000000}">
      <text>
        <r>
          <rPr>
            <sz val="9"/>
            <color indexed="81"/>
            <rFont val="Arial"/>
            <family val="2"/>
          </rPr>
          <t>#Input("延安石油化工厂_生产_罐量日动态表_120万吨/年重整装置本月生产计划",":key{{dw}}")</t>
        </r>
      </text>
    </comment>
    <comment ref="J55" authorId="0" shapeId="0" xr:uid="{00000000-0006-0000-0000-0000B5000000}">
      <text>
        <r>
          <rPr>
            <sz val="9"/>
            <color indexed="81"/>
            <rFont val="Arial"/>
            <family val="2"/>
          </rPr>
          <t>#Input("延安石油化工厂_生产_罐量日动态表_MTBE产量",":key{{dw}}")</t>
        </r>
      </text>
    </comment>
    <comment ref="L55" authorId="0" shapeId="0" xr:uid="{00000000-0006-0000-0000-0000B6000000}">
      <text>
        <r>
          <rPr>
            <sz val="9"/>
            <color indexed="81"/>
            <rFont val="Arial"/>
            <family val="2"/>
          </rPr>
          <t>#Input("延安石油化工厂_生产_罐量日动态表_MTBE本月份计划",":key{{dw}}")</t>
        </r>
      </text>
    </comment>
    <comment ref="C56" authorId="0" shapeId="0" xr:uid="{00000000-0006-0000-0000-0000B7000000}">
      <text>
        <r>
          <rPr>
            <sz val="9"/>
            <color indexed="81"/>
            <rFont val="Arial"/>
            <family val="2"/>
          </rPr>
          <t>#Input("延安石油化工厂_生产_罐量日动态表_240万吨/年柴油精制原料",":key{{dw}}")</t>
        </r>
      </text>
    </comment>
    <comment ref="E56" authorId="0" shapeId="0" xr:uid="{00000000-0006-0000-0000-0000B8000000}">
      <text>
        <r>
          <rPr>
            <sz val="9"/>
            <color indexed="81"/>
            <rFont val="Arial"/>
            <family val="2"/>
          </rPr>
          <t>#Input("延安石油化工厂_生产_罐量日动态表_240万吨/年柴油精制本月生产计划",":key{{dw}}")</t>
        </r>
      </text>
    </comment>
    <comment ref="J56" authorId="0" shapeId="0" xr:uid="{00000000-0006-0000-0000-0000B9000000}">
      <text>
        <r>
          <rPr>
            <sz val="9"/>
            <color indexed="81"/>
            <rFont val="Arial"/>
            <family val="2"/>
          </rPr>
          <t>#Input("延安石油化工厂_生产_罐量日动态表_轻烃MTBE产量",":key{{dw}}")</t>
        </r>
      </text>
    </comment>
    <comment ref="L56" authorId="0" shapeId="0" xr:uid="{00000000-0006-0000-0000-0000BA000000}">
      <text>
        <r>
          <rPr>
            <sz val="9"/>
            <color indexed="81"/>
            <rFont val="Arial"/>
            <family val="2"/>
          </rPr>
          <t>#Input("延安石油化工厂_生产_罐量日动态表_轻烃MTBE本月份计划",":key{{dw}}")</t>
        </r>
      </text>
    </comment>
    <comment ref="C57" authorId="0" shapeId="0" xr:uid="{00000000-0006-0000-0000-0000BB000000}">
      <text>
        <r>
          <rPr>
            <sz val="9"/>
            <color indexed="81"/>
            <rFont val="Arial"/>
            <family val="2"/>
          </rPr>
          <t>#Input("延安石油化工厂_生产_罐量日动态表_180万吨/年汽油精制原料",":key{{dw}}")</t>
        </r>
      </text>
    </comment>
    <comment ref="E57" authorId="0" shapeId="0" xr:uid="{00000000-0006-0000-0000-0000BC000000}">
      <text>
        <r>
          <rPr>
            <sz val="9"/>
            <color indexed="81"/>
            <rFont val="Arial"/>
            <family val="2"/>
          </rPr>
          <t>#Input("延安石油化工厂_生产_罐量日动态表_180万吨/年汽油精制本月生产计划",":key{{dw}}")</t>
        </r>
      </text>
    </comment>
    <comment ref="J57" authorId="0" shapeId="0" xr:uid="{00000000-0006-0000-0000-0000BD000000}">
      <text>
        <r>
          <rPr>
            <sz val="9"/>
            <color indexed="81"/>
            <rFont val="Arial"/>
            <family val="2"/>
          </rPr>
          <t>#Input("延安石油化工厂_生产_罐量日动态表_苯产量",":key{{dw}}")</t>
        </r>
      </text>
    </comment>
    <comment ref="L57" authorId="0" shapeId="0" xr:uid="{00000000-0006-0000-0000-0000BE000000}">
      <text>
        <r>
          <rPr>
            <sz val="9"/>
            <color indexed="81"/>
            <rFont val="Arial"/>
            <family val="2"/>
          </rPr>
          <t>#Input("延安石油化工厂_生产_罐量日动态表_苯本月份计划",":key{{dw}}")</t>
        </r>
      </text>
    </comment>
    <comment ref="C58" authorId="0" shapeId="0" xr:uid="{00000000-0006-0000-0000-0000BF000000}">
      <text>
        <r>
          <rPr>
            <sz val="9"/>
            <color indexed="81"/>
            <rFont val="Arial"/>
            <family val="2"/>
          </rPr>
          <t>#Input("延安石油化工厂_生产_罐量日动态表_140万吨/年柴油加氢原料",":key{{dw}}")</t>
        </r>
      </text>
    </comment>
    <comment ref="E58" authorId="0" shapeId="0" xr:uid="{00000000-0006-0000-0000-0000C0000000}">
      <text>
        <r>
          <rPr>
            <sz val="9"/>
            <color indexed="81"/>
            <rFont val="Arial"/>
            <family val="2"/>
          </rPr>
          <t>#Input("延安石油化工厂_生产_罐量日动态表_140万吨/年柴油加氢本月生产计划",":key{{dw}}")</t>
        </r>
      </text>
    </comment>
    <comment ref="J58" authorId="0" shapeId="0" xr:uid="{00000000-0006-0000-0000-0000C1000000}">
      <text>
        <r>
          <rPr>
            <sz val="9"/>
            <color indexed="81"/>
            <rFont val="Arial"/>
            <family val="2"/>
          </rPr>
          <t>#Input("延安石油化工厂_生产_罐量日动态表_烷基化油产量",":key{{dw}}")</t>
        </r>
      </text>
    </comment>
    <comment ref="L58" authorId="0" shapeId="0" xr:uid="{00000000-0006-0000-0000-0000C2000000}">
      <text>
        <r>
          <rPr>
            <sz val="9"/>
            <color indexed="81"/>
            <rFont val="Arial"/>
            <family val="2"/>
          </rPr>
          <t>#Input("延安石油化工厂_生产_罐量日动态表_烷基化油本月份计划",":key{{dw}}")</t>
        </r>
      </text>
    </comment>
    <comment ref="C59" authorId="0" shapeId="0" xr:uid="{00000000-0006-0000-0000-0000C3000000}">
      <text>
        <r>
          <rPr>
            <sz val="9"/>
            <color indexed="81"/>
            <rFont val="Arial"/>
            <family val="2"/>
          </rPr>
          <t>#Input("延安石油化工厂_生产_罐量日动态表_60万吨/年气分装置原料",":key{{dw}}")</t>
        </r>
      </text>
    </comment>
    <comment ref="E59" authorId="0" shapeId="0" xr:uid="{00000000-0006-0000-0000-0000C4000000}">
      <text>
        <r>
          <rPr>
            <sz val="9"/>
            <color indexed="81"/>
            <rFont val="Arial"/>
            <family val="2"/>
          </rPr>
          <t>#Input("延安石油化工厂_生产_罐量日动态表_60万吨/年气分装置本月生产计划",":key{{dw}}")</t>
        </r>
      </text>
    </comment>
    <comment ref="J59" authorId="0" shapeId="0" xr:uid="{00000000-0006-0000-0000-0000C5000000}">
      <text>
        <r>
          <rPr>
            <sz val="9"/>
            <color indexed="81"/>
            <rFont val="Arial"/>
            <family val="2"/>
          </rPr>
          <t>#Input("延安石油化工厂_生产_罐量日动态表_聚丙烯产量",":key{{dw}}")</t>
        </r>
      </text>
    </comment>
    <comment ref="L59" authorId="0" shapeId="0" xr:uid="{00000000-0006-0000-0000-0000C6000000}">
      <text>
        <r>
          <rPr>
            <sz val="9"/>
            <color indexed="81"/>
            <rFont val="Arial"/>
            <family val="2"/>
          </rPr>
          <t>#Input("延安石油化工厂_生产_罐量日动态表_聚丙烯本月份计划",":key{{dw}}")</t>
        </r>
      </text>
    </comment>
    <comment ref="C60" authorId="0" shapeId="0" xr:uid="{00000000-0006-0000-0000-0000C7000000}">
      <text>
        <r>
          <rPr>
            <sz val="9"/>
            <color indexed="81"/>
            <rFont val="Arial"/>
            <family val="2"/>
          </rPr>
          <t>#Input("延安石油化工厂_生产_罐量日动态表_60万吨/年液化气精制原料",":key{{dw}}")</t>
        </r>
      </text>
    </comment>
    <comment ref="E60" authorId="0" shapeId="0" xr:uid="{00000000-0006-0000-0000-0000C8000000}">
      <text>
        <r>
          <rPr>
            <sz val="9"/>
            <color indexed="81"/>
            <rFont val="Arial"/>
            <family val="2"/>
          </rPr>
          <t>#Input("延安石油化工厂_生产_罐量日动态表_60万吨/年液化气精制本月生产计划",":key{{dw}}")</t>
        </r>
      </text>
    </comment>
    <comment ref="J60" authorId="0" shapeId="0" xr:uid="{00000000-0006-0000-0000-0000C9000000}">
      <text>
        <r>
          <rPr>
            <sz val="9"/>
            <color indexed="81"/>
            <rFont val="Arial"/>
            <family val="2"/>
          </rPr>
          <t>#Input("延安石油化工厂_生产_罐量日动态表_剩余C4产量",":key{{dw}}")</t>
        </r>
      </text>
    </comment>
    <comment ref="L60" authorId="0" shapeId="0" xr:uid="{00000000-0006-0000-0000-0000CA000000}">
      <text>
        <r>
          <rPr>
            <sz val="9"/>
            <color indexed="81"/>
            <rFont val="Arial"/>
            <family val="2"/>
          </rPr>
          <t>#Input("延安石油化工厂_生产_罐量日动态表_剩余C4本月份计划",":key{{dw}}")</t>
        </r>
      </text>
    </comment>
    <comment ref="C61" authorId="0" shapeId="0" xr:uid="{00000000-0006-0000-0000-0000CB000000}">
      <text>
        <r>
          <rPr>
            <sz val="9"/>
            <color indexed="81"/>
            <rFont val="Arial"/>
            <family val="2"/>
          </rPr>
          <t>#Input("延安石油化工厂_生产_罐量日动态表_20万吨/年聚丙烯装置原料",":key{{dw}}")</t>
        </r>
      </text>
    </comment>
    <comment ref="E61" authorId="0" shapeId="0" xr:uid="{00000000-0006-0000-0000-0000CC000000}">
      <text>
        <r>
          <rPr>
            <sz val="9"/>
            <color indexed="81"/>
            <rFont val="Arial"/>
            <family val="2"/>
          </rPr>
          <t>#Input("延安石油化工厂_生产_罐量日动态表_20万吨/年聚丙烯装置本月生产计划",":key{{dw}}")</t>
        </r>
      </text>
    </comment>
    <comment ref="J61" authorId="0" shapeId="0" xr:uid="{00000000-0006-0000-0000-0000CD000000}">
      <text>
        <r>
          <rPr>
            <sz val="9"/>
            <color indexed="81"/>
            <rFont val="Arial"/>
            <family val="2"/>
          </rPr>
          <t>#Input("延安石油化工厂_生产_罐量日动态表_气分丙烯产量",":key{{dw}}")</t>
        </r>
      </text>
    </comment>
    <comment ref="L61" authorId="0" shapeId="0" xr:uid="{00000000-0006-0000-0000-0000CE000000}">
      <text>
        <r>
          <rPr>
            <sz val="9"/>
            <color indexed="81"/>
            <rFont val="Arial"/>
            <family val="2"/>
          </rPr>
          <t>#Input("延安石油化工厂_生产_罐量日动态表_气分丙烯本月份计划",":key{{dw}}")</t>
        </r>
      </text>
    </comment>
    <comment ref="C62" authorId="0" shapeId="0" xr:uid="{00000000-0006-0000-0000-0000CF000000}">
      <text>
        <r>
          <rPr>
            <sz val="9"/>
            <color indexed="81"/>
            <rFont val="Arial"/>
            <family val="2"/>
          </rPr>
          <t>#Input("延安石油化工厂_生产_罐量日动态表_20万吨/年烷基化装置原料",":key{{dw}}")</t>
        </r>
      </text>
    </comment>
    <comment ref="E62" authorId="0" shapeId="0" xr:uid="{00000000-0006-0000-0000-0000D0000000}">
      <text>
        <r>
          <rPr>
            <sz val="9"/>
            <color indexed="81"/>
            <rFont val="Arial"/>
            <family val="2"/>
          </rPr>
          <t>#Input("延安石油化工厂_生产_罐量日动态表_20万吨/年烷基化装置本月生产计划",":key{{dw}}")</t>
        </r>
      </text>
    </comment>
    <comment ref="J62" authorId="0" shapeId="0" xr:uid="{00000000-0006-0000-0000-0000D1000000}">
      <text>
        <r>
          <rPr>
            <sz val="9"/>
            <color indexed="81"/>
            <rFont val="Arial"/>
            <family val="2"/>
          </rPr>
          <t>#Input("延安石油化工厂_生产_罐量日动态表_混合脱氢丙烯产量",":key{{dw}}")</t>
        </r>
      </text>
    </comment>
    <comment ref="L62" authorId="0" shapeId="0" xr:uid="{00000000-0006-0000-0000-0000D2000000}">
      <text>
        <r>
          <rPr>
            <sz val="9"/>
            <color indexed="81"/>
            <rFont val="Arial"/>
            <family val="2"/>
          </rPr>
          <t>#Input("延安石油化工厂_生产_罐量日动态表_混合脱氢丙烯本月份计划",":key{{dw}}")</t>
        </r>
      </text>
    </comment>
    <comment ref="C63" authorId="0" shapeId="0" xr:uid="{00000000-0006-0000-0000-0000D3000000}">
      <text>
        <r>
          <rPr>
            <sz val="9"/>
            <color indexed="81"/>
            <rFont val="Arial"/>
            <family val="2"/>
          </rPr>
          <t>#Input("延安石油化工厂_生产_罐量日动态表_30万吨/年混合脱氢装置原料",":key{{dw}}")</t>
        </r>
      </text>
    </comment>
    <comment ref="E63" authorId="0" shapeId="0" xr:uid="{00000000-0006-0000-0000-0000D4000000}">
      <text>
        <r>
          <rPr>
            <sz val="9"/>
            <color indexed="81"/>
            <rFont val="Arial"/>
            <family val="2"/>
          </rPr>
          <t>#Input("延安石油化工厂_生产_罐量日动态表_30万吨/年混合脱氢装置本月生产计划",":key{{dw}}")</t>
        </r>
      </text>
    </comment>
  </commentList>
</comments>
</file>

<file path=xl/sharedStrings.xml><?xml version="1.0" encoding="utf-8"?>
<sst xmlns="http://schemas.openxmlformats.org/spreadsheetml/2006/main" count="285" uniqueCount="121">
  <si>
    <t>石脑油</t>
  </si>
  <si>
    <t>催化柴油</t>
  </si>
  <si>
    <t>备注</t>
  </si>
  <si>
    <t>罐号</t>
  </si>
  <si>
    <r>
      <t>安全库容(m</t>
    </r>
    <r>
      <rPr>
        <vertAlign val="superscript"/>
        <sz val="11"/>
        <color theme="1"/>
        <rFont val="等线"/>
        <family val="3"/>
        <charset val="134"/>
      </rPr>
      <t>3</t>
    </r>
    <r>
      <rPr>
        <sz val="11"/>
        <color theme="1"/>
        <rFont val="等线"/>
        <family val="3"/>
        <charset val="134"/>
      </rPr>
      <t>)</t>
    </r>
  </si>
  <si>
    <t>安全高度(m)</t>
  </si>
  <si>
    <t>油尺</t>
  </si>
  <si>
    <t>油量(吨)</t>
  </si>
  <si>
    <t>空量(吨)</t>
  </si>
  <si>
    <t>T-4101</t>
  </si>
  <si>
    <t>T-4107</t>
  </si>
  <si>
    <t>T-4102</t>
  </si>
  <si>
    <t>T-4108</t>
  </si>
  <si>
    <t>T-4103</t>
  </si>
  <si>
    <t>T-4109</t>
  </si>
  <si>
    <t>T-4104</t>
  </si>
  <si>
    <t>T-4110</t>
  </si>
  <si>
    <t>T-4807</t>
  </si>
  <si>
    <t>T-4808</t>
  </si>
  <si>
    <t>合计</t>
  </si>
  <si>
    <t>常压柴油</t>
  </si>
  <si>
    <t>催化汽油</t>
  </si>
  <si>
    <t>T-4904</t>
  </si>
  <si>
    <t>T-4901</t>
  </si>
  <si>
    <t>T-4905</t>
  </si>
  <si>
    <t>T-4902</t>
  </si>
  <si>
    <t>T-4906</t>
  </si>
  <si>
    <t>T-4903</t>
  </si>
  <si>
    <t>T-4809</t>
  </si>
  <si>
    <t>T-4810</t>
  </si>
  <si>
    <t>气分原料</t>
  </si>
  <si>
    <t>混合碳四</t>
  </si>
  <si>
    <t>T-4201</t>
  </si>
  <si>
    <t>T-4301</t>
  </si>
  <si>
    <t>T-4202</t>
  </si>
  <si>
    <t>T-4302</t>
  </si>
  <si>
    <t>T-4203</t>
  </si>
  <si>
    <t>T-4303</t>
  </si>
  <si>
    <t>T-4204</t>
  </si>
  <si>
    <t>饱和液化气</t>
  </si>
  <si>
    <t>丙烯</t>
  </si>
  <si>
    <t>T-4304</t>
  </si>
  <si>
    <t>T-4205</t>
  </si>
  <si>
    <t>T-4305</t>
  </si>
  <si>
    <t>T-4206</t>
  </si>
  <si>
    <t>T-4207</t>
  </si>
  <si>
    <t>碳四原料</t>
  </si>
  <si>
    <t>T-4208</t>
  </si>
  <si>
    <t>T-4306</t>
  </si>
  <si>
    <t>T-4209</t>
  </si>
  <si>
    <t>T-4307</t>
  </si>
  <si>
    <t>T-4210</t>
  </si>
  <si>
    <t>T-4308</t>
  </si>
  <si>
    <t>精制油</t>
  </si>
  <si>
    <t>丙烷</t>
  </si>
  <si>
    <t>T-4105</t>
  </si>
  <si>
    <t>T-4309</t>
  </si>
  <si>
    <t>T-4106</t>
  </si>
  <si>
    <t>T-4310</t>
  </si>
  <si>
    <t>甲醇</t>
  </si>
  <si>
    <t>MTBE</t>
  </si>
  <si>
    <t>T-4801</t>
  </si>
  <si>
    <t>T-4805</t>
  </si>
  <si>
    <t>T-4802</t>
  </si>
  <si>
    <t>T-4806</t>
  </si>
  <si>
    <t>T-41005</t>
  </si>
  <si>
    <t>T-41003</t>
  </si>
  <si>
    <t>T-41006</t>
  </si>
  <si>
    <t>T-41004</t>
  </si>
  <si>
    <t>烷基化油</t>
  </si>
  <si>
    <t>烷基化碳四</t>
  </si>
  <si>
    <t>T-41001</t>
  </si>
  <si>
    <t>T-44001</t>
  </si>
  <si>
    <t>T-41002</t>
  </si>
  <si>
    <t>T-44002</t>
  </si>
  <si>
    <t>T-41008</t>
  </si>
  <si>
    <t>苯产品</t>
  </si>
  <si>
    <t>D-111A</t>
  </si>
  <si>
    <t>富异丁烯</t>
  </si>
  <si>
    <t>D-111B</t>
  </si>
  <si>
    <t>T-44003</t>
  </si>
  <si>
    <t>D-111C</t>
  </si>
  <si>
    <t>T-44004</t>
  </si>
  <si>
    <t>D-111D</t>
  </si>
  <si>
    <t>装置加工量（吨/天）</t>
  </si>
  <si>
    <t>本月生产计划</t>
  </si>
  <si>
    <t>任务完成情况</t>
  </si>
  <si>
    <t>产品产量（吨/天）</t>
  </si>
  <si>
    <t>本月份计划</t>
  </si>
  <si>
    <t>完成情况</t>
  </si>
  <si>
    <t>120万吨/年重整装置</t>
  </si>
  <si>
    <t>MTBE产量</t>
  </si>
  <si>
    <t>240万吨/年柴油精制</t>
  </si>
  <si>
    <t>轻烃MTBE产量</t>
  </si>
  <si>
    <t>180万吨/年汽油精制</t>
  </si>
  <si>
    <t>苯产量</t>
  </si>
  <si>
    <t>140万吨/年柴油加氢</t>
  </si>
  <si>
    <t>烷基化油产量</t>
  </si>
  <si>
    <t>60万吨/年气分装置</t>
  </si>
  <si>
    <t>聚丙烯产量</t>
  </si>
  <si>
    <t>60万吨/年液化气精制</t>
  </si>
  <si>
    <t>剩余C4产量</t>
  </si>
  <si>
    <t>20万吨/年聚丙烯装置</t>
  </si>
  <si>
    <t>气分丙烯产量</t>
  </si>
  <si>
    <t>20万吨/年烷基化装置</t>
  </si>
  <si>
    <t>混合脱氢丙烯产量</t>
  </si>
  <si>
    <t>30万吨/年混合脱氢装置</t>
  </si>
  <si>
    <t>延安石油化工厂</t>
  </si>
  <si>
    <t>2026-01-07</t>
  </si>
  <si>
    <t>油品动态</t>
  </si>
  <si>
    <t>产品外销量</t>
  </si>
  <si>
    <t>MTBE（轻烃）</t>
  </si>
  <si>
    <t>精制硫磺</t>
  </si>
  <si>
    <t>12万吨/年MTBE装置</t>
  </si>
  <si>
    <t>25万吨/年MTBE装置</t>
  </si>
  <si>
    <t>聚丙烯</t>
  </si>
  <si>
    <t>粗硫磺</t>
  </si>
  <si>
    <t>异辛烷（烷基化油）</t>
  </si>
  <si>
    <t>延炼一次加工量</t>
  </si>
  <si>
    <t>延炼二次加工量</t>
  </si>
  <si>
    <t>气分原料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</si>
</sst>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9" x14ac:knownFonts="1">
    <font>
      <sz val="11"/>
      <color theme="1"/>
      <name val="宋体"/>
      <scheme val="minor"/>
    </font>
    <font>
      <sz val="7"/>
      <color rgb="FF000000"/>
      <name val="Calibri"/>
      <family val="2"/>
    </font>
    <font>
      <sz val="10"/>
      <color theme="1"/>
      <name val="Times New Roman"/>
      <family val="1"/>
    </font>
    <font>
      <sz val="11"/>
      <color theme="1"/>
      <name val="等线"/>
      <family val="3"/>
      <charset val="134"/>
    </font>
    <font>
      <b/>
      <sz val="18"/>
      <color theme="1"/>
      <name val="等线"/>
      <family val="3"/>
      <charset val="134"/>
    </font>
    <font>
      <vertAlign val="superscript"/>
      <sz val="11"/>
      <color theme="1"/>
      <name val="等线"/>
      <family val="3"/>
      <charset val="134"/>
    </font>
    <font>
      <b/>
      <sz val="9"/>
      <color indexed="81"/>
      <name val="宋体"/>
      <family val="2"/>
    </font>
    <font>
      <sz val="9"/>
      <color indexed="81"/>
      <name val="Arial"/>
      <family val="2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FFFFFF"/>
      </patternFill>
    </fill>
    <fill>
      <patternFill patternType="solid">
        <fgColor rgb="FFF8E71C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 applyFill="0" applyBorder="0"/>
  </cellStyleXfs>
  <cellXfs count="6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176" fontId="3" fillId="0" borderId="12" xfId="0" applyNumberFormat="1" applyFont="1" applyBorder="1" applyAlignment="1">
      <alignment horizontal="center" vertical="center" wrapText="1"/>
    </xf>
    <xf numFmtId="176" fontId="3" fillId="2" borderId="12" xfId="0" applyNumberFormat="1" applyFont="1" applyFill="1" applyBorder="1" applyAlignment="1" applyProtection="1">
      <alignment horizontal="right" vertical="center" wrapText="1"/>
      <protection locked="0"/>
    </xf>
    <xf numFmtId="177" fontId="3" fillId="2" borderId="12" xfId="0" applyNumberFormat="1" applyFont="1" applyFill="1" applyBorder="1" applyAlignment="1" applyProtection="1">
      <alignment horizontal="right" vertical="center" wrapText="1"/>
      <protection locked="0"/>
    </xf>
    <xf numFmtId="176" fontId="3" fillId="0" borderId="12" xfId="0" applyNumberFormat="1" applyFont="1" applyBorder="1" applyAlignment="1">
      <alignment horizontal="right" vertical="center" wrapText="1"/>
    </xf>
    <xf numFmtId="177" fontId="3" fillId="0" borderId="12" xfId="0" applyNumberFormat="1" applyFont="1" applyBorder="1" applyAlignment="1">
      <alignment horizontal="right" vertical="center" wrapText="1"/>
    </xf>
    <xf numFmtId="177" fontId="3" fillId="0" borderId="12" xfId="0" applyNumberFormat="1" applyFont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horizontal="right" vertical="center" wrapText="1"/>
    </xf>
    <xf numFmtId="0" fontId="0" fillId="5" borderId="0" xfId="0" applyFill="1" applyAlignment="1">
      <alignment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 shrinkToFi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horizontal="right" wrapText="1" shrinkToFit="1"/>
    </xf>
    <xf numFmtId="0" fontId="0" fillId="0" borderId="0" xfId="0" applyAlignment="1">
      <alignment horizontal="right" vertical="center" wrapText="1" shrinkToFi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 shrinkToFit="1"/>
    </xf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6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177" fontId="3" fillId="2" borderId="12" xfId="0" applyNumberFormat="1" applyFont="1" applyFill="1" applyBorder="1" applyAlignment="1" applyProtection="1">
      <alignment horizontal="center" vertical="center" wrapText="1"/>
      <protection locked="0"/>
    </xf>
    <xf numFmtId="177" fontId="3" fillId="2" borderId="1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>
      <alignment horizontal="left" vertical="top" wrapText="1"/>
    </xf>
    <xf numFmtId="0" fontId="3" fillId="4" borderId="1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BBCC-5EC8-53D2-63DA-85DFB77229F8}">
  <dimension ref="A1:R63"/>
  <sheetViews>
    <sheetView showGridLines="0" tabSelected="1" defaultGridColor="0" topLeftCell="B1" colorId="31" zoomScale="105" workbookViewId="0">
      <pane ySplit="4" topLeftCell="A32" activePane="bottomLeft" state="frozen"/>
      <selection pane="bottomLeft" activeCell="F26" sqref="F26"/>
    </sheetView>
  </sheetViews>
  <sheetFormatPr defaultRowHeight="14" customHeight="1" x14ac:dyDescent="0.3"/>
  <cols>
    <col min="1" max="1" width="2.54296875" style="1" customWidth="1"/>
    <col min="2" max="2" width="22.7265625" style="1" customWidth="1"/>
    <col min="3" max="4" width="13.54296875" style="2" customWidth="1"/>
    <col min="5" max="6" width="10.54296875" style="1" customWidth="1"/>
    <col min="7" max="7" width="15.54296875" style="1" customWidth="1"/>
    <col min="8" max="8" width="13.7265625" style="1" hidden="1" customWidth="1"/>
    <col min="9" max="9" width="25.7265625" style="1" customWidth="1"/>
    <col min="10" max="11" width="13.54296875" style="2" customWidth="1"/>
    <col min="12" max="13" width="10.54296875" style="1" customWidth="1"/>
    <col min="14" max="14" width="15.54296875" style="1" customWidth="1"/>
    <col min="15" max="15" width="8.7265625" style="1" hidden="1" customWidth="1"/>
    <col min="16" max="18" width="9.81640625" style="1" customWidth="1"/>
  </cols>
  <sheetData>
    <row r="1" spans="1:18" ht="2.25" customHeight="1" x14ac:dyDescent="0.3">
      <c r="A1" s="4"/>
      <c r="B1" s="4"/>
      <c r="C1" s="5"/>
      <c r="D1" s="5"/>
      <c r="E1" s="4"/>
      <c r="F1" s="4"/>
      <c r="G1" s="4"/>
      <c r="H1" s="4"/>
      <c r="I1" s="4"/>
      <c r="J1" s="5"/>
      <c r="K1" s="5"/>
      <c r="L1" s="4"/>
      <c r="M1" s="4"/>
      <c r="N1" s="4"/>
      <c r="O1" s="4"/>
      <c r="P1" s="4"/>
      <c r="Q1" s="4"/>
      <c r="R1" s="4"/>
    </row>
    <row r="2" spans="1:18" ht="22.5" customHeight="1" x14ac:dyDescent="0.3">
      <c r="A2" s="4"/>
      <c r="B2" s="42" t="str">
        <f>取值!J1&amp;取值!K1&amp;取值!L1</f>
        <v>延安石油化工厂2026-01-07油品动态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</row>
    <row r="3" spans="1:18" ht="14.25" customHeight="1" x14ac:dyDescent="0.3">
      <c r="A3" s="4"/>
      <c r="B3" s="39" t="s">
        <v>0</v>
      </c>
      <c r="C3" s="39"/>
      <c r="D3" s="39"/>
      <c r="E3" s="39"/>
      <c r="F3" s="39"/>
      <c r="G3" s="39"/>
      <c r="H3" s="3"/>
      <c r="I3" s="39" t="s">
        <v>1</v>
      </c>
      <c r="J3" s="39"/>
      <c r="K3" s="39"/>
      <c r="L3" s="39"/>
      <c r="M3" s="39"/>
      <c r="N3" s="39"/>
      <c r="O3" s="6"/>
      <c r="P3" s="39" t="s">
        <v>2</v>
      </c>
      <c r="Q3" s="39"/>
      <c r="R3" s="39"/>
    </row>
    <row r="4" spans="1:18" ht="14.25" customHeight="1" x14ac:dyDescent="0.3">
      <c r="A4" s="4"/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/>
      <c r="I4" s="7" t="s">
        <v>3</v>
      </c>
      <c r="J4" s="7" t="s">
        <v>4</v>
      </c>
      <c r="K4" s="7" t="s">
        <v>5</v>
      </c>
      <c r="L4" s="7" t="s">
        <v>6</v>
      </c>
      <c r="M4" s="7" t="s">
        <v>7</v>
      </c>
      <c r="N4" s="7" t="s">
        <v>8</v>
      </c>
      <c r="O4" s="8"/>
      <c r="P4" s="45">
        <v>0</v>
      </c>
      <c r="Q4" s="46"/>
      <c r="R4" s="46"/>
    </row>
    <row r="5" spans="1:18" ht="14.25" customHeight="1" x14ac:dyDescent="0.3">
      <c r="A5" s="4"/>
      <c r="B5" s="38" t="s">
        <v>9</v>
      </c>
      <c r="C5" s="9">
        <v>5531.19384765625</v>
      </c>
      <c r="D5" s="7">
        <v>17.64</v>
      </c>
      <c r="E5" s="10">
        <v>16.495999999999999</v>
      </c>
      <c r="F5" s="11">
        <v>3697.7150000000001</v>
      </c>
      <c r="G5" s="11">
        <v>173.285</v>
      </c>
      <c r="H5" s="8">
        <v>3871</v>
      </c>
      <c r="I5" s="38" t="s">
        <v>10</v>
      </c>
      <c r="J5" s="9">
        <v>5529.138671875</v>
      </c>
      <c r="K5" s="7">
        <v>17.64</v>
      </c>
      <c r="L5" s="10">
        <v>10.194000000000001</v>
      </c>
      <c r="M5" s="11">
        <v>2806.55</v>
      </c>
      <c r="N5" s="11">
        <v>1862.45</v>
      </c>
      <c r="O5" s="8">
        <v>4669</v>
      </c>
      <c r="P5" s="46"/>
      <c r="Q5" s="46"/>
      <c r="R5" s="46"/>
    </row>
    <row r="6" spans="1:18" ht="14.25" customHeight="1" x14ac:dyDescent="0.3">
      <c r="A6" s="4"/>
      <c r="B6" s="38" t="s">
        <v>11</v>
      </c>
      <c r="C6" s="9">
        <v>5535.47802734375</v>
      </c>
      <c r="D6" s="7">
        <v>17.64</v>
      </c>
      <c r="E6" s="10">
        <v>6.6280000000000001</v>
      </c>
      <c r="F6" s="11">
        <v>1481.002</v>
      </c>
      <c r="G6" s="11">
        <v>2387.998</v>
      </c>
      <c r="H6" s="8">
        <v>3869</v>
      </c>
      <c r="I6" s="38" t="s">
        <v>12</v>
      </c>
      <c r="J6" s="9">
        <v>5521.99072265625</v>
      </c>
      <c r="K6" s="7">
        <v>17.64</v>
      </c>
      <c r="L6" s="10">
        <v>6.79</v>
      </c>
      <c r="M6" s="11">
        <v>1863.9680000000001</v>
      </c>
      <c r="N6" s="11">
        <v>2786.0320000000002</v>
      </c>
      <c r="O6" s="8">
        <v>4650</v>
      </c>
      <c r="P6" s="46"/>
      <c r="Q6" s="46"/>
      <c r="R6" s="46"/>
    </row>
    <row r="7" spans="1:18" ht="14.25" customHeight="1" x14ac:dyDescent="0.3">
      <c r="A7" s="4"/>
      <c r="B7" s="38" t="s">
        <v>13</v>
      </c>
      <c r="C7" s="9">
        <v>5531.40966796875</v>
      </c>
      <c r="D7" s="7">
        <v>17.64</v>
      </c>
      <c r="E7" s="10">
        <v>15.997999999999999</v>
      </c>
      <c r="F7" s="11">
        <v>3585.0239999999999</v>
      </c>
      <c r="G7" s="11">
        <v>268.976</v>
      </c>
      <c r="H7" s="8">
        <v>3854</v>
      </c>
      <c r="I7" s="38" t="s">
        <v>14</v>
      </c>
      <c r="J7" s="9">
        <v>5492.39501953125</v>
      </c>
      <c r="K7" s="7">
        <v>17.64</v>
      </c>
      <c r="L7" s="10">
        <v>11.913</v>
      </c>
      <c r="M7" s="11">
        <v>3259.3449999999998</v>
      </c>
      <c r="N7" s="11">
        <v>1308.655</v>
      </c>
      <c r="O7" s="8">
        <v>4568</v>
      </c>
      <c r="P7" s="46"/>
      <c r="Q7" s="46"/>
      <c r="R7" s="46"/>
    </row>
    <row r="8" spans="1:18" ht="14.25" customHeight="1" x14ac:dyDescent="0.3">
      <c r="A8" s="4"/>
      <c r="B8" s="38" t="s">
        <v>15</v>
      </c>
      <c r="C8" s="9">
        <v>5537.076171875</v>
      </c>
      <c r="D8" s="7">
        <v>17.64</v>
      </c>
      <c r="E8" s="10">
        <v>6.5190000000000001</v>
      </c>
      <c r="F8" s="11">
        <v>1457.117</v>
      </c>
      <c r="G8" s="11">
        <v>2412.8829999999998</v>
      </c>
      <c r="H8" s="8">
        <v>3870</v>
      </c>
      <c r="I8" s="38" t="s">
        <v>16</v>
      </c>
      <c r="J8" s="9">
        <v>5520.6787109375</v>
      </c>
      <c r="K8" s="7">
        <v>17.64</v>
      </c>
      <c r="L8" s="10"/>
      <c r="M8" s="11"/>
      <c r="N8" s="11">
        <v>0</v>
      </c>
      <c r="O8" s="8">
        <v>0</v>
      </c>
      <c r="P8" s="46"/>
      <c r="Q8" s="46"/>
      <c r="R8" s="46"/>
    </row>
    <row r="9" spans="1:18" ht="14.25" customHeight="1" x14ac:dyDescent="0.3">
      <c r="A9" s="4"/>
      <c r="B9" s="38" t="s">
        <v>17</v>
      </c>
      <c r="C9" s="9">
        <v>1974.75</v>
      </c>
      <c r="D9" s="7">
        <v>12.84</v>
      </c>
      <c r="E9" s="10">
        <v>0</v>
      </c>
      <c r="F9" s="11">
        <v>-3</v>
      </c>
      <c r="G9" s="11">
        <v>1393</v>
      </c>
      <c r="H9" s="8">
        <v>1390</v>
      </c>
      <c r="I9" s="7"/>
      <c r="J9" s="7"/>
      <c r="K9" s="7"/>
      <c r="L9" s="12"/>
      <c r="M9" s="13"/>
      <c r="N9" s="13"/>
      <c r="O9" s="8"/>
      <c r="P9" s="46"/>
      <c r="Q9" s="46"/>
      <c r="R9" s="46"/>
    </row>
    <row r="10" spans="1:18" ht="14.25" customHeight="1" x14ac:dyDescent="0.3">
      <c r="A10" s="4"/>
      <c r="B10" s="38" t="s">
        <v>18</v>
      </c>
      <c r="C10" s="9">
        <v>1974.756103515625</v>
      </c>
      <c r="D10" s="7">
        <v>12.84</v>
      </c>
      <c r="E10" s="10">
        <v>3.6139999999999999</v>
      </c>
      <c r="F10" s="11">
        <v>398.82299999999998</v>
      </c>
      <c r="G10" s="11">
        <v>991.17700000000002</v>
      </c>
      <c r="H10" s="8">
        <v>1390</v>
      </c>
      <c r="I10" s="7"/>
      <c r="J10" s="7"/>
      <c r="K10" s="7"/>
      <c r="L10" s="12"/>
      <c r="M10" s="13"/>
      <c r="N10" s="13"/>
      <c r="O10" s="8"/>
      <c r="P10" s="46"/>
      <c r="Q10" s="46"/>
      <c r="R10" s="46"/>
    </row>
    <row r="11" spans="1:18" ht="14.25" customHeight="1" x14ac:dyDescent="0.3">
      <c r="A11" s="4"/>
      <c r="B11" s="7" t="s">
        <v>19</v>
      </c>
      <c r="C11" s="7"/>
      <c r="D11" s="7"/>
      <c r="E11" s="8"/>
      <c r="F11" s="13">
        <f>SUM(F5:F10)</f>
        <v>10616.681</v>
      </c>
      <c r="G11" s="13">
        <f>SUM(G5:G10)</f>
        <v>7627.3189999999995</v>
      </c>
      <c r="H11" s="8"/>
      <c r="I11" s="7" t="s">
        <v>19</v>
      </c>
      <c r="J11" s="7"/>
      <c r="K11" s="7"/>
      <c r="L11" s="8"/>
      <c r="M11" s="13">
        <f>IFERROR(SUM(M5,M6,M7,M8),"error")</f>
        <v>7929.8629999999994</v>
      </c>
      <c r="N11" s="13">
        <f>IFERROR(SUM(N5,N6,N7,N8),"error")</f>
        <v>5957.1369999999997</v>
      </c>
      <c r="O11" s="8"/>
      <c r="P11" s="46"/>
      <c r="Q11" s="46"/>
      <c r="R11" s="46"/>
    </row>
    <row r="12" spans="1:18" ht="14.25" customHeight="1" x14ac:dyDescent="0.3">
      <c r="A12" s="4"/>
      <c r="B12" s="39" t="s">
        <v>20</v>
      </c>
      <c r="C12" s="39"/>
      <c r="D12" s="39"/>
      <c r="E12" s="39"/>
      <c r="F12" s="39"/>
      <c r="G12" s="39"/>
      <c r="H12" s="8"/>
      <c r="I12" s="39" t="s">
        <v>21</v>
      </c>
      <c r="J12" s="39"/>
      <c r="K12" s="39"/>
      <c r="L12" s="39"/>
      <c r="M12" s="39"/>
      <c r="N12" s="39"/>
      <c r="O12" s="8"/>
      <c r="P12" s="46"/>
      <c r="Q12" s="46"/>
      <c r="R12" s="46"/>
    </row>
    <row r="13" spans="1:18" ht="14.25" customHeight="1" x14ac:dyDescent="0.3">
      <c r="A13" s="4"/>
      <c r="B13" s="38" t="s">
        <v>22</v>
      </c>
      <c r="C13" s="9">
        <v>2842.010986328125</v>
      </c>
      <c r="D13" s="7">
        <v>16.03</v>
      </c>
      <c r="E13" s="10">
        <v>2.9550000000000001</v>
      </c>
      <c r="F13" s="11">
        <v>431.536</v>
      </c>
      <c r="G13" s="11">
        <v>2069.4639999999999</v>
      </c>
      <c r="H13" s="8">
        <v>2501</v>
      </c>
      <c r="I13" s="38" t="s">
        <v>23</v>
      </c>
      <c r="J13" s="9">
        <v>2845.05908203125</v>
      </c>
      <c r="K13" s="7">
        <v>16.03</v>
      </c>
      <c r="L13" s="10">
        <v>3.9340000000000002</v>
      </c>
      <c r="M13" s="11">
        <v>504.24</v>
      </c>
      <c r="N13" s="11">
        <v>1543.76</v>
      </c>
      <c r="O13" s="8">
        <v>2048</v>
      </c>
      <c r="P13" s="46"/>
      <c r="Q13" s="46"/>
      <c r="R13" s="46"/>
    </row>
    <row r="14" spans="1:18" ht="14.25" customHeight="1" x14ac:dyDescent="0.3">
      <c r="A14" s="4"/>
      <c r="B14" s="38" t="s">
        <v>24</v>
      </c>
      <c r="C14" s="9">
        <v>2842.319580078125</v>
      </c>
      <c r="D14" s="7">
        <v>16.03</v>
      </c>
      <c r="E14" s="10">
        <v>8.1880000000000006</v>
      </c>
      <c r="F14" s="11">
        <v>1191.6189999999999</v>
      </c>
      <c r="G14" s="11">
        <v>1310.3810000000001</v>
      </c>
      <c r="H14" s="8">
        <v>2502</v>
      </c>
      <c r="I14" s="38" t="s">
        <v>25</v>
      </c>
      <c r="J14" s="9">
        <v>2844.808349609375</v>
      </c>
      <c r="K14" s="7">
        <v>16.03</v>
      </c>
      <c r="L14" s="10">
        <v>3.8820000000000001</v>
      </c>
      <c r="M14" s="11">
        <v>497.529</v>
      </c>
      <c r="N14" s="11">
        <v>1550.471</v>
      </c>
      <c r="O14" s="8">
        <v>2048</v>
      </c>
      <c r="P14" s="46"/>
      <c r="Q14" s="46"/>
      <c r="R14" s="46"/>
    </row>
    <row r="15" spans="1:18" ht="14.25" customHeight="1" x14ac:dyDescent="0.3">
      <c r="A15" s="4"/>
      <c r="B15" s="38" t="s">
        <v>26</v>
      </c>
      <c r="C15" s="9">
        <v>2845.759521484375</v>
      </c>
      <c r="D15" s="7">
        <v>16.03</v>
      </c>
      <c r="E15" s="10">
        <v>3.1259999999999999</v>
      </c>
      <c r="F15" s="11">
        <v>457.584</v>
      </c>
      <c r="G15" s="11">
        <v>2046.4159999999999</v>
      </c>
      <c r="H15" s="8">
        <v>2504</v>
      </c>
      <c r="I15" s="38" t="s">
        <v>27</v>
      </c>
      <c r="J15" s="9">
        <v>2836.3134765625</v>
      </c>
      <c r="K15" s="7">
        <v>16.03</v>
      </c>
      <c r="L15" s="10">
        <v>4.3659999999999997</v>
      </c>
      <c r="M15" s="11">
        <v>557.649</v>
      </c>
      <c r="N15" s="11">
        <v>1485.3510000000001</v>
      </c>
      <c r="O15" s="8">
        <v>2043</v>
      </c>
      <c r="P15" s="46"/>
      <c r="Q15" s="46"/>
      <c r="R15" s="46"/>
    </row>
    <row r="16" spans="1:18" ht="14.25" customHeight="1" x14ac:dyDescent="0.3">
      <c r="A16" s="4"/>
      <c r="B16" s="38" t="s">
        <v>28</v>
      </c>
      <c r="C16" s="9">
        <v>442.65</v>
      </c>
      <c r="D16" s="7">
        <v>8.84</v>
      </c>
      <c r="E16" s="10">
        <v>4.242</v>
      </c>
      <c r="F16" s="11">
        <v>202.87899999999999</v>
      </c>
      <c r="G16" s="11">
        <v>209.12100000000001</v>
      </c>
      <c r="H16" s="8">
        <v>412</v>
      </c>
      <c r="I16" s="7"/>
      <c r="J16" s="7"/>
      <c r="K16" s="7"/>
      <c r="L16" s="12"/>
      <c r="M16" s="13"/>
      <c r="N16" s="13"/>
      <c r="O16" s="8"/>
      <c r="P16" s="46"/>
      <c r="Q16" s="46"/>
      <c r="R16" s="46"/>
    </row>
    <row r="17" spans="1:18" ht="14.25" customHeight="1" x14ac:dyDescent="0.3">
      <c r="A17" s="4"/>
      <c r="B17" s="38" t="s">
        <v>29</v>
      </c>
      <c r="C17" s="9">
        <v>442.0352783203125</v>
      </c>
      <c r="D17" s="7">
        <v>8.84</v>
      </c>
      <c r="E17" s="10">
        <v>4.7E-2</v>
      </c>
      <c r="F17" s="11">
        <v>0.33500000000000002</v>
      </c>
      <c r="G17" s="11">
        <v>411.66500000000002</v>
      </c>
      <c r="H17" s="8">
        <v>412</v>
      </c>
      <c r="I17" s="7"/>
      <c r="J17" s="7"/>
      <c r="K17" s="7"/>
      <c r="L17" s="12"/>
      <c r="M17" s="13"/>
      <c r="N17" s="13"/>
      <c r="O17" s="8"/>
      <c r="P17" s="46"/>
      <c r="Q17" s="46"/>
      <c r="R17" s="46"/>
    </row>
    <row r="18" spans="1:18" ht="14.25" customHeight="1" x14ac:dyDescent="0.3">
      <c r="A18" s="4"/>
      <c r="B18" s="7" t="s">
        <v>19</v>
      </c>
      <c r="C18" s="7"/>
      <c r="D18" s="7"/>
      <c r="E18" s="8"/>
      <c r="F18" s="13">
        <f>SUM(F13:F17)</f>
        <v>2283.953</v>
      </c>
      <c r="G18" s="13">
        <f>SUM(G13:G17)</f>
        <v>6047.0470000000005</v>
      </c>
      <c r="H18" s="8"/>
      <c r="I18" s="7" t="s">
        <v>19</v>
      </c>
      <c r="J18" s="7"/>
      <c r="K18" s="7"/>
      <c r="L18" s="8"/>
      <c r="M18" s="13">
        <f>IFERROR(SUM(M13,M14,M15),"error")</f>
        <v>1559.4180000000001</v>
      </c>
      <c r="N18" s="13">
        <f>IFERROR(SUM(N13,N14,N15),"error")</f>
        <v>4579.5820000000003</v>
      </c>
      <c r="O18" s="8"/>
      <c r="P18" s="46"/>
      <c r="Q18" s="46"/>
      <c r="R18" s="46"/>
    </row>
    <row r="19" spans="1:18" ht="14.25" customHeight="1" x14ac:dyDescent="0.3">
      <c r="A19" s="4"/>
      <c r="B19" s="39" t="s">
        <v>120</v>
      </c>
      <c r="C19" s="39"/>
      <c r="D19" s="39"/>
      <c r="E19" s="39"/>
      <c r="F19" s="39"/>
      <c r="G19" s="39"/>
      <c r="H19" s="8"/>
      <c r="I19" s="39" t="s">
        <v>31</v>
      </c>
      <c r="J19" s="39"/>
      <c r="K19" s="39"/>
      <c r="L19" s="39"/>
      <c r="M19" s="39"/>
      <c r="N19" s="39"/>
      <c r="O19" s="8"/>
      <c r="P19" s="46"/>
      <c r="Q19" s="46"/>
      <c r="R19" s="46"/>
    </row>
    <row r="20" spans="1:18" ht="14.25" customHeight="1" x14ac:dyDescent="0.3">
      <c r="A20" s="4"/>
      <c r="B20" s="38" t="s">
        <v>32</v>
      </c>
      <c r="C20" s="9">
        <v>1398.8453369140625</v>
      </c>
      <c r="D20" s="7">
        <v>9.86</v>
      </c>
      <c r="E20" s="10">
        <v>6.2750000000000004</v>
      </c>
      <c r="F20" s="11">
        <v>395.15699999999998</v>
      </c>
      <c r="G20" s="11">
        <v>375.84300000000002</v>
      </c>
      <c r="H20" s="8">
        <v>771</v>
      </c>
      <c r="I20" s="38" t="s">
        <v>33</v>
      </c>
      <c r="J20" s="9">
        <v>1398.8453369140625</v>
      </c>
      <c r="K20" s="7">
        <v>9.86</v>
      </c>
      <c r="L20" s="10">
        <v>7.1619999999999999</v>
      </c>
      <c r="M20" s="11">
        <v>484.24299999999999</v>
      </c>
      <c r="N20" s="11">
        <v>286.75700000000001</v>
      </c>
      <c r="O20" s="8">
        <v>771</v>
      </c>
      <c r="P20" s="46"/>
      <c r="Q20" s="46"/>
      <c r="R20" s="46"/>
    </row>
    <row r="21" spans="1:18" ht="14.25" customHeight="1" x14ac:dyDescent="0.3">
      <c r="A21" s="4"/>
      <c r="B21" s="38" t="s">
        <v>34</v>
      </c>
      <c r="C21" s="9">
        <v>1394.62585449219</v>
      </c>
      <c r="D21" s="7">
        <v>9.86</v>
      </c>
      <c r="E21" s="10">
        <v>6.7969999999999997</v>
      </c>
      <c r="F21" s="11">
        <v>448.214</v>
      </c>
      <c r="G21" s="11">
        <v>320.786</v>
      </c>
      <c r="H21" s="8">
        <v>769</v>
      </c>
      <c r="I21" s="38" t="s">
        <v>35</v>
      </c>
      <c r="J21" s="9">
        <v>1394.6258544921875</v>
      </c>
      <c r="K21" s="7">
        <v>9.86</v>
      </c>
      <c r="L21" s="10">
        <v>3.956</v>
      </c>
      <c r="M21" s="11">
        <v>177.35900000000001</v>
      </c>
      <c r="N21" s="11">
        <v>791.64099999999996</v>
      </c>
      <c r="O21" s="8">
        <v>969</v>
      </c>
      <c r="P21" s="46"/>
      <c r="Q21" s="46"/>
      <c r="R21" s="46"/>
    </row>
    <row r="22" spans="1:18" ht="14.25" customHeight="1" x14ac:dyDescent="0.3">
      <c r="A22" s="4"/>
      <c r="B22" s="38" t="s">
        <v>36</v>
      </c>
      <c r="C22" s="9">
        <v>1397.8199462890625</v>
      </c>
      <c r="D22" s="7">
        <v>9.86</v>
      </c>
      <c r="E22" s="10">
        <v>8.0419999999999998</v>
      </c>
      <c r="F22" s="11">
        <v>580.40599999999995</v>
      </c>
      <c r="G22" s="11">
        <v>190.59399999999999</v>
      </c>
      <c r="H22" s="8">
        <v>771</v>
      </c>
      <c r="I22" s="38" t="s">
        <v>37</v>
      </c>
      <c r="J22" s="9">
        <v>1397.8199462890625</v>
      </c>
      <c r="K22" s="7">
        <v>9.86</v>
      </c>
      <c r="L22" s="10">
        <v>7.2350000000000003</v>
      </c>
      <c r="M22" s="11">
        <v>492.68700000000001</v>
      </c>
      <c r="N22" s="11">
        <v>278.31299999999999</v>
      </c>
      <c r="O22" s="8">
        <v>771</v>
      </c>
      <c r="P22" s="46"/>
      <c r="Q22" s="46"/>
      <c r="R22" s="46"/>
    </row>
    <row r="23" spans="1:18" ht="14.25" customHeight="1" x14ac:dyDescent="0.3">
      <c r="A23" s="4"/>
      <c r="B23" s="38" t="s">
        <v>38</v>
      </c>
      <c r="C23" s="9">
        <v>1363.219970703125</v>
      </c>
      <c r="D23" s="7">
        <v>9.86</v>
      </c>
      <c r="E23" s="10">
        <v>7.835</v>
      </c>
      <c r="F23" s="11">
        <v>558.23800000000006</v>
      </c>
      <c r="G23" s="11">
        <v>211.762</v>
      </c>
      <c r="H23" s="8">
        <v>770</v>
      </c>
      <c r="I23" s="7" t="s">
        <v>19</v>
      </c>
      <c r="J23" s="7"/>
      <c r="K23" s="7"/>
      <c r="L23" s="8"/>
      <c r="M23" s="14">
        <f>IFERROR(SUM(M20,M21,M22),"error")</f>
        <v>1154.289</v>
      </c>
      <c r="N23" s="14">
        <f>IFERROR(SUM(N20,N21,N22),"error")</f>
        <v>1356.7109999999998</v>
      </c>
      <c r="O23" s="8"/>
      <c r="P23" s="46"/>
      <c r="Q23" s="46"/>
      <c r="R23" s="46"/>
    </row>
    <row r="24" spans="1:18" ht="14.25" customHeight="1" x14ac:dyDescent="0.3">
      <c r="A24" s="4"/>
      <c r="B24" s="7" t="s">
        <v>19</v>
      </c>
      <c r="C24" s="7"/>
      <c r="D24" s="7"/>
      <c r="E24" s="8"/>
      <c r="F24" s="14">
        <f>IFERROR(SUM(F20,F21,F22,F23),"error")</f>
        <v>1982.0150000000001</v>
      </c>
      <c r="G24" s="14">
        <f>IFERROR(SUM(G20,G21,G22,G23),"error")</f>
        <v>1098.9849999999999</v>
      </c>
      <c r="H24" s="8"/>
      <c r="I24" s="39" t="s">
        <v>39</v>
      </c>
      <c r="J24" s="39"/>
      <c r="K24" s="39"/>
      <c r="L24" s="39"/>
      <c r="M24" s="39"/>
      <c r="N24" s="39"/>
      <c r="O24" s="8"/>
      <c r="P24" s="46"/>
      <c r="Q24" s="46"/>
      <c r="R24" s="46"/>
    </row>
    <row r="25" spans="1:18" ht="14.25" customHeight="1" x14ac:dyDescent="0.3">
      <c r="A25" s="4"/>
      <c r="B25" s="39" t="s">
        <v>40</v>
      </c>
      <c r="C25" s="39"/>
      <c r="D25" s="39"/>
      <c r="E25" s="39"/>
      <c r="F25" s="39"/>
      <c r="G25" s="39"/>
      <c r="H25" s="8"/>
      <c r="I25" s="38" t="s">
        <v>41</v>
      </c>
      <c r="J25" s="9">
        <v>1395.7569580078125</v>
      </c>
      <c r="K25" s="7">
        <v>9.86</v>
      </c>
      <c r="L25" s="10">
        <v>4.5469999999999997</v>
      </c>
      <c r="M25" s="11">
        <v>227.33799999999999</v>
      </c>
      <c r="N25" s="11">
        <v>542.66200000000003</v>
      </c>
      <c r="O25" s="8">
        <v>770</v>
      </c>
      <c r="P25" s="46"/>
      <c r="Q25" s="46"/>
      <c r="R25" s="46"/>
    </row>
    <row r="26" spans="1:18" ht="14.25" customHeight="1" x14ac:dyDescent="0.3">
      <c r="A26" s="4"/>
      <c r="B26" s="38" t="s">
        <v>42</v>
      </c>
      <c r="C26" s="9">
        <v>1396.2042236328125</v>
      </c>
      <c r="D26" s="7">
        <v>9.86</v>
      </c>
      <c r="E26" s="10">
        <v>6.2859999999999996</v>
      </c>
      <c r="F26" s="11">
        <v>388.64600000000002</v>
      </c>
      <c r="G26" s="11">
        <v>381.35399999999998</v>
      </c>
      <c r="H26" s="8">
        <v>770</v>
      </c>
      <c r="I26" s="38" t="s">
        <v>43</v>
      </c>
      <c r="J26" s="9">
        <v>1396.2042236328125</v>
      </c>
      <c r="K26" s="7">
        <v>9.86</v>
      </c>
      <c r="L26" s="10">
        <v>7.048</v>
      </c>
      <c r="M26" s="11">
        <v>472.15</v>
      </c>
      <c r="N26" s="11">
        <v>297.85000000000002</v>
      </c>
      <c r="O26" s="8">
        <v>770</v>
      </c>
      <c r="P26" s="46"/>
      <c r="Q26" s="46"/>
      <c r="R26" s="46"/>
    </row>
    <row r="27" spans="1:18" ht="14.25" customHeight="1" x14ac:dyDescent="0.3">
      <c r="A27" s="4"/>
      <c r="B27" s="38" t="s">
        <v>44</v>
      </c>
      <c r="C27" s="9">
        <v>1329.8958740234375</v>
      </c>
      <c r="D27" s="7">
        <v>9.86</v>
      </c>
      <c r="E27" s="10">
        <v>8.0250000000000004</v>
      </c>
      <c r="F27" s="11">
        <v>539.35699999999997</v>
      </c>
      <c r="G27" s="11">
        <v>193.643</v>
      </c>
      <c r="H27" s="8">
        <v>733</v>
      </c>
      <c r="I27" s="7" t="s">
        <v>19</v>
      </c>
      <c r="J27" s="7"/>
      <c r="K27" s="7"/>
      <c r="L27" s="8"/>
      <c r="M27" s="14">
        <f>IFERROR(SUM(M25,M26),"error")</f>
        <v>699.48799999999994</v>
      </c>
      <c r="N27" s="14">
        <f>IFERROR(SUM(N25,N26),"error")</f>
        <v>840.51200000000006</v>
      </c>
      <c r="O27" s="8"/>
      <c r="P27" s="46"/>
      <c r="Q27" s="46"/>
      <c r="R27" s="46"/>
    </row>
    <row r="28" spans="1:18" ht="14.25" customHeight="1" x14ac:dyDescent="0.3">
      <c r="A28" s="4"/>
      <c r="B28" s="38" t="s">
        <v>45</v>
      </c>
      <c r="C28" s="9">
        <v>1367.4429931640625</v>
      </c>
      <c r="D28" s="7">
        <v>9.86</v>
      </c>
      <c r="E28" s="10">
        <v>5.1269999999999998</v>
      </c>
      <c r="F28" s="11">
        <v>270.68299999999999</v>
      </c>
      <c r="G28" s="11">
        <v>483.31700000000001</v>
      </c>
      <c r="H28" s="8">
        <v>754</v>
      </c>
      <c r="I28" s="39" t="s">
        <v>46</v>
      </c>
      <c r="J28" s="39"/>
      <c r="K28" s="39"/>
      <c r="L28" s="39"/>
      <c r="M28" s="39"/>
      <c r="N28" s="39"/>
      <c r="O28" s="8"/>
      <c r="P28" s="46"/>
      <c r="Q28" s="46"/>
      <c r="R28" s="46"/>
    </row>
    <row r="29" spans="1:18" ht="14.25" customHeight="1" x14ac:dyDescent="0.3">
      <c r="A29" s="4"/>
      <c r="B29" s="38" t="s">
        <v>47</v>
      </c>
      <c r="C29" s="9">
        <v>1374.80029296875</v>
      </c>
      <c r="D29" s="7">
        <v>9.86</v>
      </c>
      <c r="E29" s="10">
        <v>3.3519999999999999</v>
      </c>
      <c r="F29" s="11">
        <v>128.01499999999999</v>
      </c>
      <c r="G29" s="11">
        <v>629.98500000000001</v>
      </c>
      <c r="H29" s="8">
        <v>758</v>
      </c>
      <c r="I29" s="38" t="s">
        <v>48</v>
      </c>
      <c r="J29" s="9">
        <v>1329.8958740234375</v>
      </c>
      <c r="K29" s="7">
        <v>9.86</v>
      </c>
      <c r="L29" s="10">
        <v>6.5960000000000001</v>
      </c>
      <c r="M29" s="11">
        <v>428.61900000000003</v>
      </c>
      <c r="N29" s="11">
        <v>304.38099999999997</v>
      </c>
      <c r="O29" s="8">
        <v>733</v>
      </c>
      <c r="P29" s="46"/>
      <c r="Q29" s="46"/>
      <c r="R29" s="46"/>
    </row>
    <row r="30" spans="1:18" ht="14.25" customHeight="1" x14ac:dyDescent="0.3">
      <c r="A30" s="4"/>
      <c r="B30" s="38" t="s">
        <v>49</v>
      </c>
      <c r="C30" s="9">
        <v>1376.8690185546875</v>
      </c>
      <c r="D30" s="7">
        <v>9.86</v>
      </c>
      <c r="E30" s="10">
        <v>5.8259999999999996</v>
      </c>
      <c r="F30" s="11">
        <v>338.39499999999998</v>
      </c>
      <c r="G30" s="11">
        <v>420.60500000000002</v>
      </c>
      <c r="H30" s="8">
        <v>759</v>
      </c>
      <c r="I30" s="38" t="s">
        <v>50</v>
      </c>
      <c r="J30" s="9">
        <v>1367.4429931640625</v>
      </c>
      <c r="K30" s="7">
        <v>9.86</v>
      </c>
      <c r="L30" s="10">
        <v>2.2370000000000001</v>
      </c>
      <c r="M30" s="11">
        <v>64.923000000000002</v>
      </c>
      <c r="N30" s="11">
        <v>689.077</v>
      </c>
      <c r="O30" s="8">
        <v>754</v>
      </c>
      <c r="P30" s="46"/>
      <c r="Q30" s="46"/>
      <c r="R30" s="46"/>
    </row>
    <row r="31" spans="1:18" ht="14.25" customHeight="1" x14ac:dyDescent="0.3">
      <c r="A31" s="4"/>
      <c r="B31" s="38" t="s">
        <v>51</v>
      </c>
      <c r="C31" s="9">
        <v>1357.732666015625</v>
      </c>
      <c r="D31" s="7">
        <v>9.86</v>
      </c>
      <c r="E31" s="10">
        <v>4.6440000000000001</v>
      </c>
      <c r="F31" s="11">
        <v>225.73099999999999</v>
      </c>
      <c r="G31" s="11">
        <v>523.26900000000001</v>
      </c>
      <c r="H31" s="8">
        <v>749</v>
      </c>
      <c r="I31" s="38" t="s">
        <v>52</v>
      </c>
      <c r="J31" s="9">
        <v>1374.80029296875</v>
      </c>
      <c r="K31" s="7">
        <v>9.86</v>
      </c>
      <c r="L31" s="10">
        <v>6.1790000000000003</v>
      </c>
      <c r="M31" s="11">
        <v>399.36099999999999</v>
      </c>
      <c r="N31" s="11">
        <v>358.63900000000001</v>
      </c>
      <c r="O31" s="8">
        <v>758</v>
      </c>
      <c r="P31" s="46"/>
      <c r="Q31" s="46"/>
      <c r="R31" s="46"/>
    </row>
    <row r="32" spans="1:18" ht="14.25" customHeight="1" x14ac:dyDescent="0.3">
      <c r="A32" s="4"/>
      <c r="B32" s="7" t="s">
        <v>19</v>
      </c>
      <c r="C32" s="7"/>
      <c r="D32" s="7"/>
      <c r="E32" s="8"/>
      <c r="F32" s="14">
        <f>IFERROR(SUM(F26,F27,F28,F29,F30,F31),"error")</f>
        <v>1890.827</v>
      </c>
      <c r="G32" s="14">
        <f>IFERROR(SUM(G26,G27,G28,G29,G30,G31),"error")</f>
        <v>2632.1729999999998</v>
      </c>
      <c r="H32" s="8"/>
      <c r="I32" s="7" t="s">
        <v>19</v>
      </c>
      <c r="J32" s="7"/>
      <c r="K32" s="7"/>
      <c r="L32" s="8"/>
      <c r="M32" s="14">
        <f>IFERROR(SUM(M29,M30,M31),"error")</f>
        <v>892.90300000000002</v>
      </c>
      <c r="N32" s="14">
        <f>IFERROR(SUM(N29,N30,N31),"error")</f>
        <v>1352.097</v>
      </c>
      <c r="O32" s="8"/>
      <c r="P32" s="46"/>
      <c r="Q32" s="46"/>
      <c r="R32" s="46"/>
    </row>
    <row r="33" spans="1:18" ht="14.25" customHeight="1" x14ac:dyDescent="0.3">
      <c r="A33" s="4"/>
      <c r="B33" s="39" t="s">
        <v>53</v>
      </c>
      <c r="C33" s="39"/>
      <c r="D33" s="39"/>
      <c r="E33" s="39"/>
      <c r="F33" s="39"/>
      <c r="G33" s="39"/>
      <c r="H33" s="8"/>
      <c r="I33" s="39" t="s">
        <v>54</v>
      </c>
      <c r="J33" s="39"/>
      <c r="K33" s="39"/>
      <c r="L33" s="39"/>
      <c r="M33" s="39"/>
      <c r="N33" s="39"/>
      <c r="O33" s="8"/>
      <c r="P33" s="46"/>
      <c r="Q33" s="46"/>
      <c r="R33" s="46"/>
    </row>
    <row r="34" spans="1:18" ht="14.25" customHeight="1" x14ac:dyDescent="0.3">
      <c r="A34" s="4"/>
      <c r="B34" s="38" t="s">
        <v>55</v>
      </c>
      <c r="C34" s="9">
        <v>5535.07421875</v>
      </c>
      <c r="D34" s="7">
        <v>17.64</v>
      </c>
      <c r="E34" s="10">
        <v>16.347999999999999</v>
      </c>
      <c r="F34" s="11">
        <v>3692.422</v>
      </c>
      <c r="G34" s="11">
        <v>229.578</v>
      </c>
      <c r="H34" s="8">
        <v>3922</v>
      </c>
      <c r="I34" s="38" t="s">
        <v>56</v>
      </c>
      <c r="J34" s="9">
        <v>1376.8690185546875</v>
      </c>
      <c r="K34" s="7">
        <v>9.86</v>
      </c>
      <c r="L34" s="10">
        <v>6.593</v>
      </c>
      <c r="M34" s="11">
        <v>418.57499999999999</v>
      </c>
      <c r="N34" s="11">
        <v>271.42500000000001</v>
      </c>
      <c r="O34" s="8">
        <v>690</v>
      </c>
      <c r="P34" s="46"/>
      <c r="Q34" s="46"/>
      <c r="R34" s="46"/>
    </row>
    <row r="35" spans="1:18" ht="14.25" customHeight="1" x14ac:dyDescent="0.3">
      <c r="A35" s="4"/>
      <c r="B35" s="38" t="s">
        <v>57</v>
      </c>
      <c r="C35" s="9">
        <v>5534.1064453125</v>
      </c>
      <c r="D35" s="7">
        <v>17.64</v>
      </c>
      <c r="E35" s="10">
        <v>16.393999999999998</v>
      </c>
      <c r="F35" s="11">
        <v>3702.1410000000001</v>
      </c>
      <c r="G35" s="11">
        <v>206.85900000000001</v>
      </c>
      <c r="H35" s="8">
        <v>3909</v>
      </c>
      <c r="I35" s="38" t="s">
        <v>58</v>
      </c>
      <c r="J35" s="9">
        <v>1357.732666015625</v>
      </c>
      <c r="K35" s="7">
        <v>9.86</v>
      </c>
      <c r="L35" s="10">
        <v>8.423</v>
      </c>
      <c r="M35" s="11">
        <v>599.05399999999997</v>
      </c>
      <c r="N35" s="11">
        <v>81.945999999999998</v>
      </c>
      <c r="O35" s="8">
        <v>681</v>
      </c>
      <c r="P35" s="46"/>
      <c r="Q35" s="46"/>
      <c r="R35" s="46"/>
    </row>
    <row r="36" spans="1:18" ht="14.25" customHeight="1" x14ac:dyDescent="0.3">
      <c r="A36" s="4"/>
      <c r="B36" s="7" t="s">
        <v>19</v>
      </c>
      <c r="C36" s="7"/>
      <c r="D36" s="7"/>
      <c r="E36" s="8"/>
      <c r="F36" s="14">
        <f>IFERROR(SUM(F34,F35),"error")</f>
        <v>7394.5630000000001</v>
      </c>
      <c r="G36" s="14">
        <f>IFERROR(SUM(G34,G35),"error")</f>
        <v>436.43700000000001</v>
      </c>
      <c r="H36" s="8"/>
      <c r="I36" s="7" t="s">
        <v>19</v>
      </c>
      <c r="J36" s="7"/>
      <c r="K36" s="7"/>
      <c r="L36" s="8"/>
      <c r="M36" s="14">
        <f>IFERROR(SUM(M34,M35),"error")</f>
        <v>1017.6289999999999</v>
      </c>
      <c r="N36" s="14">
        <f>IFERROR(SUM(N34,N35),"error")</f>
        <v>353.37099999999998</v>
      </c>
      <c r="O36" s="8"/>
      <c r="P36" s="46"/>
      <c r="Q36" s="46"/>
      <c r="R36" s="46"/>
    </row>
    <row r="37" spans="1:18" ht="14.25" customHeight="1" x14ac:dyDescent="0.3">
      <c r="A37" s="4"/>
      <c r="B37" s="39" t="s">
        <v>59</v>
      </c>
      <c r="C37" s="39"/>
      <c r="D37" s="39"/>
      <c r="E37" s="39"/>
      <c r="F37" s="39"/>
      <c r="G37" s="39"/>
      <c r="H37" s="8"/>
      <c r="I37" s="39" t="s">
        <v>60</v>
      </c>
      <c r="J37" s="39"/>
      <c r="K37" s="39"/>
      <c r="L37" s="39"/>
      <c r="M37" s="39"/>
      <c r="N37" s="39"/>
      <c r="O37" s="8"/>
      <c r="P37" s="46"/>
      <c r="Q37" s="46"/>
      <c r="R37" s="46"/>
    </row>
    <row r="38" spans="1:18" ht="14.25" customHeight="1" x14ac:dyDescent="0.3">
      <c r="A38" s="4"/>
      <c r="B38" s="38" t="s">
        <v>61</v>
      </c>
      <c r="C38" s="9">
        <v>1971.2056884765625</v>
      </c>
      <c r="D38" s="7">
        <v>12.84</v>
      </c>
      <c r="E38" s="10">
        <v>12.025</v>
      </c>
      <c r="F38" s="11">
        <v>1458.18</v>
      </c>
      <c r="G38" s="11">
        <v>59.819999999999901</v>
      </c>
      <c r="H38" s="8">
        <v>1518</v>
      </c>
      <c r="I38" s="38" t="s">
        <v>62</v>
      </c>
      <c r="J38" s="9">
        <v>1966.9215087890625</v>
      </c>
      <c r="K38" s="7">
        <v>12.84</v>
      </c>
      <c r="L38" s="10">
        <v>11.286</v>
      </c>
      <c r="M38" s="11">
        <v>1313.4939999999999</v>
      </c>
      <c r="N38" s="11">
        <v>98.5060000000001</v>
      </c>
      <c r="O38" s="8">
        <v>1412</v>
      </c>
      <c r="P38" s="46"/>
      <c r="Q38" s="46"/>
      <c r="R38" s="46"/>
    </row>
    <row r="39" spans="1:18" ht="14.25" customHeight="1" x14ac:dyDescent="0.3">
      <c r="A39" s="4"/>
      <c r="B39" s="38" t="s">
        <v>63</v>
      </c>
      <c r="C39" s="9">
        <v>1969.8902587890625</v>
      </c>
      <c r="D39" s="7">
        <v>12.84</v>
      </c>
      <c r="E39" s="10">
        <v>7.9939999999999998</v>
      </c>
      <c r="F39" s="11">
        <v>966.88699999999994</v>
      </c>
      <c r="G39" s="11">
        <v>542.11300000000006</v>
      </c>
      <c r="H39" s="8">
        <v>1509</v>
      </c>
      <c r="I39" s="38" t="s">
        <v>64</v>
      </c>
      <c r="J39" s="9">
        <v>1975.9862060546875</v>
      </c>
      <c r="K39" s="7">
        <v>12.84</v>
      </c>
      <c r="L39" s="10">
        <v>4.766</v>
      </c>
      <c r="M39" s="11">
        <v>555.45600000000002</v>
      </c>
      <c r="N39" s="11">
        <v>873.54399999999998</v>
      </c>
      <c r="O39" s="8">
        <v>1429</v>
      </c>
      <c r="P39" s="46"/>
      <c r="Q39" s="46"/>
      <c r="R39" s="46"/>
    </row>
    <row r="40" spans="1:18" ht="14.25" customHeight="1" x14ac:dyDescent="0.3">
      <c r="A40" s="4"/>
      <c r="B40" s="7" t="s">
        <v>65</v>
      </c>
      <c r="C40" s="7">
        <v>1841.14</v>
      </c>
      <c r="D40" s="7">
        <v>13.5</v>
      </c>
      <c r="E40" s="10">
        <v>10.135999999999999</v>
      </c>
      <c r="F40" s="11">
        <v>1093</v>
      </c>
      <c r="G40" s="11">
        <v>857</v>
      </c>
      <c r="H40" s="8">
        <v>1950</v>
      </c>
      <c r="I40" s="7" t="s">
        <v>66</v>
      </c>
      <c r="J40" s="7">
        <v>2585.0100000000002</v>
      </c>
      <c r="K40" s="7">
        <v>15</v>
      </c>
      <c r="L40" s="10">
        <v>6.6989999999999998</v>
      </c>
      <c r="M40" s="11">
        <v>870.28700000000003</v>
      </c>
      <c r="N40" s="11">
        <v>929.71299999999997</v>
      </c>
      <c r="O40" s="8">
        <v>1800</v>
      </c>
      <c r="P40" s="46"/>
      <c r="Q40" s="46"/>
      <c r="R40" s="46"/>
    </row>
    <row r="41" spans="1:18" ht="14.25" customHeight="1" x14ac:dyDescent="0.3">
      <c r="A41" s="4"/>
      <c r="B41" s="7" t="s">
        <v>67</v>
      </c>
      <c r="C41" s="7">
        <v>1844.65</v>
      </c>
      <c r="D41" s="7">
        <v>13.5</v>
      </c>
      <c r="E41" s="10">
        <v>8.6720000000000006</v>
      </c>
      <c r="F41" s="11">
        <v>936.67600000000004</v>
      </c>
      <c r="G41" s="11">
        <v>1013.324</v>
      </c>
      <c r="H41" s="8">
        <v>1950</v>
      </c>
      <c r="I41" s="7" t="s">
        <v>68</v>
      </c>
      <c r="J41" s="7">
        <v>2637.86</v>
      </c>
      <c r="K41" s="7">
        <v>15</v>
      </c>
      <c r="L41" s="10">
        <v>5.4290000000000003</v>
      </c>
      <c r="M41" s="11">
        <v>706.33500000000004</v>
      </c>
      <c r="N41" s="11">
        <v>1093.665</v>
      </c>
      <c r="O41" s="8">
        <v>1800</v>
      </c>
      <c r="P41" s="46"/>
      <c r="Q41" s="46"/>
      <c r="R41" s="46"/>
    </row>
    <row r="42" spans="1:18" ht="14.25" customHeight="1" x14ac:dyDescent="0.3">
      <c r="A42" s="4"/>
      <c r="B42" s="7" t="s">
        <v>19</v>
      </c>
      <c r="C42" s="7"/>
      <c r="D42" s="7"/>
      <c r="E42" s="8"/>
      <c r="F42" s="14">
        <f>IFERROR(SUM(F38,F39,F40,F41),"error")</f>
        <v>4454.7430000000004</v>
      </c>
      <c r="G42" s="14">
        <f>IFERROR(SUM(G38,G39,G40,G41),"error")</f>
        <v>2472.2570000000001</v>
      </c>
      <c r="H42" s="8"/>
      <c r="I42" s="7" t="s">
        <v>19</v>
      </c>
      <c r="J42" s="7"/>
      <c r="K42" s="7"/>
      <c r="L42" s="8"/>
      <c r="M42" s="14">
        <f>IFERROR(SUM(M38,M39,M40,M41),"error")</f>
        <v>3445.5720000000001</v>
      </c>
      <c r="N42" s="14">
        <f>IFERROR(SUM(N38,N39,N40,N41),"error")</f>
        <v>2995.4279999999999</v>
      </c>
      <c r="O42" s="8"/>
      <c r="P42" s="46"/>
      <c r="Q42" s="46"/>
      <c r="R42" s="46"/>
    </row>
    <row r="43" spans="1:18" ht="14.25" customHeight="1" x14ac:dyDescent="0.3">
      <c r="A43" s="4"/>
      <c r="B43" s="39" t="s">
        <v>69</v>
      </c>
      <c r="C43" s="39"/>
      <c r="D43" s="39"/>
      <c r="E43" s="39"/>
      <c r="F43" s="39"/>
      <c r="G43" s="39"/>
      <c r="H43" s="8"/>
      <c r="I43" s="39" t="s">
        <v>70</v>
      </c>
      <c r="J43" s="39"/>
      <c r="K43" s="39"/>
      <c r="L43" s="39"/>
      <c r="M43" s="39"/>
      <c r="N43" s="39"/>
      <c r="O43" s="8"/>
      <c r="P43" s="46"/>
      <c r="Q43" s="46"/>
      <c r="R43" s="46"/>
    </row>
    <row r="44" spans="1:18" ht="14.25" customHeight="1" x14ac:dyDescent="0.3">
      <c r="A44" s="4"/>
      <c r="B44" s="7" t="s">
        <v>71</v>
      </c>
      <c r="C44" s="7">
        <v>3722.57</v>
      </c>
      <c r="D44" s="7">
        <v>15.5</v>
      </c>
      <c r="E44" s="10">
        <v>11.791</v>
      </c>
      <c r="F44" s="11">
        <v>1978.5740000000001</v>
      </c>
      <c r="G44" s="11">
        <v>621.42600000000004</v>
      </c>
      <c r="H44" s="8">
        <v>2600</v>
      </c>
      <c r="I44" s="7" t="s">
        <v>72</v>
      </c>
      <c r="J44" s="7">
        <v>790.75</v>
      </c>
      <c r="K44" s="7">
        <v>8.5</v>
      </c>
      <c r="L44" s="10">
        <v>5.6559999999999997</v>
      </c>
      <c r="M44" s="11">
        <v>263.30500000000001</v>
      </c>
      <c r="N44" s="11">
        <v>176.69499999999999</v>
      </c>
      <c r="O44" s="8">
        <v>440</v>
      </c>
      <c r="P44" s="46"/>
      <c r="Q44" s="46"/>
      <c r="R44" s="46"/>
    </row>
    <row r="45" spans="1:18" ht="14.25" customHeight="1" x14ac:dyDescent="0.3">
      <c r="A45" s="4"/>
      <c r="B45" s="7" t="s">
        <v>73</v>
      </c>
      <c r="C45" s="7">
        <v>3722.52</v>
      </c>
      <c r="D45" s="7">
        <v>15.5</v>
      </c>
      <c r="E45" s="10">
        <v>15.118</v>
      </c>
      <c r="F45" s="11">
        <v>2538.1819999999998</v>
      </c>
      <c r="G45" s="11">
        <v>61.818000000000197</v>
      </c>
      <c r="H45" s="8">
        <v>2600</v>
      </c>
      <c r="I45" s="7" t="s">
        <v>74</v>
      </c>
      <c r="J45" s="7">
        <v>796.38</v>
      </c>
      <c r="K45" s="7">
        <v>8.5</v>
      </c>
      <c r="L45" s="10">
        <v>6.4509999999999996</v>
      </c>
      <c r="M45" s="11">
        <v>314.79300000000001</v>
      </c>
      <c r="N45" s="11">
        <v>125.20699999999999</v>
      </c>
      <c r="O45" s="8">
        <v>440</v>
      </c>
      <c r="P45" s="46"/>
      <c r="Q45" s="46"/>
      <c r="R45" s="46"/>
    </row>
    <row r="46" spans="1:18" ht="14.25" customHeight="1" x14ac:dyDescent="0.3">
      <c r="A46" s="4"/>
      <c r="B46" s="7" t="s">
        <v>75</v>
      </c>
      <c r="C46" s="7">
        <v>1842.47</v>
      </c>
      <c r="D46" s="7">
        <v>13.5</v>
      </c>
      <c r="E46" s="10">
        <v>13.141</v>
      </c>
      <c r="F46" s="11">
        <v>1253.5329999999999</v>
      </c>
      <c r="G46" s="11">
        <v>46.467000000000098</v>
      </c>
      <c r="H46" s="8">
        <v>1300</v>
      </c>
      <c r="I46" s="7" t="s">
        <v>19</v>
      </c>
      <c r="J46" s="7"/>
      <c r="K46" s="7"/>
      <c r="L46" s="8"/>
      <c r="M46" s="14">
        <f>IFERROR(SUM(M44,M45),"error")</f>
        <v>578.09799999999996</v>
      </c>
      <c r="N46" s="14">
        <f>IFERROR(SUM(N44,N45),"error")</f>
        <v>301.90199999999999</v>
      </c>
      <c r="O46" s="8"/>
      <c r="P46" s="46"/>
      <c r="Q46" s="46"/>
      <c r="R46" s="46"/>
    </row>
    <row r="47" spans="1:18" ht="14.25" customHeight="1" x14ac:dyDescent="0.3">
      <c r="A47" s="4"/>
      <c r="B47" s="7" t="s">
        <v>19</v>
      </c>
      <c r="C47" s="7"/>
      <c r="D47" s="7"/>
      <c r="E47" s="8"/>
      <c r="F47" s="14">
        <f>IFERROR(SUM(F44,F45,F46),"error")</f>
        <v>5770.2889999999989</v>
      </c>
      <c r="G47" s="14">
        <f>IFERROR(SUM(G44,G45,G46),"error")</f>
        <v>729.71100000000035</v>
      </c>
      <c r="H47" s="8">
        <v>6500</v>
      </c>
      <c r="I47" s="39" t="s">
        <v>76</v>
      </c>
      <c r="J47" s="39"/>
      <c r="K47" s="39"/>
      <c r="L47" s="39"/>
      <c r="M47" s="39"/>
      <c r="N47" s="39"/>
      <c r="O47" s="8"/>
      <c r="P47" s="46"/>
      <c r="Q47" s="46"/>
      <c r="R47" s="46"/>
    </row>
    <row r="48" spans="1:18" ht="14.25" customHeight="1" x14ac:dyDescent="0.3">
      <c r="A48" s="4"/>
      <c r="B48" s="7"/>
      <c r="C48" s="7"/>
      <c r="D48" s="7"/>
      <c r="E48" s="8"/>
      <c r="F48" s="8"/>
      <c r="G48" s="8"/>
      <c r="H48" s="8"/>
      <c r="I48" s="7" t="s">
        <v>77</v>
      </c>
      <c r="J48" s="7"/>
      <c r="K48" s="7"/>
      <c r="L48" s="10">
        <v>34.183999999999997</v>
      </c>
      <c r="M48" s="11">
        <v>30.765999999999998</v>
      </c>
      <c r="N48" s="11">
        <v>32.234000000000002</v>
      </c>
      <c r="O48" s="8">
        <v>63</v>
      </c>
      <c r="P48" s="46"/>
      <c r="Q48" s="46"/>
      <c r="R48" s="46"/>
    </row>
    <row r="49" spans="1:18" ht="14.25" customHeight="1" x14ac:dyDescent="0.3">
      <c r="A49" s="4"/>
      <c r="B49" s="39" t="s">
        <v>78</v>
      </c>
      <c r="C49" s="39"/>
      <c r="D49" s="39"/>
      <c r="E49" s="39"/>
      <c r="F49" s="39"/>
      <c r="G49" s="39"/>
      <c r="H49" s="8"/>
      <c r="I49" s="7" t="s">
        <v>79</v>
      </c>
      <c r="J49" s="7"/>
      <c r="K49" s="7"/>
      <c r="L49" s="10">
        <v>68.787000000000006</v>
      </c>
      <c r="M49" s="11">
        <v>61.908000000000001</v>
      </c>
      <c r="N49" s="11">
        <v>1.0920000000000001</v>
      </c>
      <c r="O49" s="8">
        <v>63</v>
      </c>
      <c r="P49" s="46"/>
      <c r="Q49" s="46"/>
      <c r="R49" s="46"/>
    </row>
    <row r="50" spans="1:18" ht="14.25" customHeight="1" x14ac:dyDescent="0.3">
      <c r="A50" s="4"/>
      <c r="B50" s="7" t="s">
        <v>80</v>
      </c>
      <c r="C50" s="7">
        <v>795.51</v>
      </c>
      <c r="D50" s="7">
        <v>8.5</v>
      </c>
      <c r="E50" s="10">
        <v>3.5139999999999998</v>
      </c>
      <c r="F50" s="11">
        <v>127.971</v>
      </c>
      <c r="G50" s="11">
        <v>302.029</v>
      </c>
      <c r="H50" s="8">
        <v>430</v>
      </c>
      <c r="I50" s="7" t="s">
        <v>81</v>
      </c>
      <c r="J50" s="7"/>
      <c r="K50" s="7"/>
      <c r="L50" s="10">
        <v>24.747</v>
      </c>
      <c r="M50" s="11">
        <v>65.084000000000003</v>
      </c>
      <c r="N50" s="11">
        <v>118.916</v>
      </c>
      <c r="O50" s="8">
        <v>184</v>
      </c>
      <c r="P50" s="46"/>
      <c r="Q50" s="46"/>
      <c r="R50" s="46"/>
    </row>
    <row r="51" spans="1:18" ht="14.25" customHeight="1" x14ac:dyDescent="0.3">
      <c r="A51" s="4"/>
      <c r="B51" s="7" t="s">
        <v>82</v>
      </c>
      <c r="C51" s="7">
        <v>800.03</v>
      </c>
      <c r="D51" s="7">
        <v>8.5</v>
      </c>
      <c r="E51" s="10">
        <v>4.2549999999999999</v>
      </c>
      <c r="F51" s="11">
        <v>173.08199999999999</v>
      </c>
      <c r="G51" s="11">
        <v>286.91800000000001</v>
      </c>
      <c r="H51" s="8">
        <v>460</v>
      </c>
      <c r="I51" s="7" t="s">
        <v>83</v>
      </c>
      <c r="J51" s="7"/>
      <c r="K51" s="7"/>
      <c r="L51" s="10">
        <v>70.040999999999997</v>
      </c>
      <c r="M51" s="11">
        <v>184.20699999999999</v>
      </c>
      <c r="N51" s="11">
        <v>0</v>
      </c>
      <c r="O51" s="8">
        <v>182</v>
      </c>
      <c r="P51" s="46"/>
      <c r="Q51" s="46"/>
      <c r="R51" s="46"/>
    </row>
    <row r="52" spans="1:18" ht="14.25" customHeight="1" x14ac:dyDescent="0.3">
      <c r="A52" s="4"/>
      <c r="B52" s="7" t="s">
        <v>19</v>
      </c>
      <c r="C52" s="7"/>
      <c r="D52" s="7"/>
      <c r="E52" s="8"/>
      <c r="F52" s="14">
        <f>IFERROR(SUM(F50,F51),"error")</f>
        <v>301.053</v>
      </c>
      <c r="G52" s="14">
        <f>IFERROR(SUM(G50,G51),"error")</f>
        <v>588.947</v>
      </c>
      <c r="H52" s="8"/>
      <c r="I52" s="7" t="s">
        <v>19</v>
      </c>
      <c r="J52" s="7"/>
      <c r="K52" s="7"/>
      <c r="L52" s="8"/>
      <c r="M52" s="14">
        <f>IFERROR(SUM(M48,M49,M50,M51),"error")</f>
        <v>341.96500000000003</v>
      </c>
      <c r="N52" s="14">
        <f>IFERROR(SUM(N48,N49,N50,N51),"error")</f>
        <v>152.24199999999999</v>
      </c>
      <c r="O52" s="8"/>
      <c r="P52" s="46"/>
      <c r="Q52" s="46"/>
      <c r="R52" s="46"/>
    </row>
    <row r="53" spans="1:18" ht="14.25" customHeight="1" x14ac:dyDescent="0.3">
      <c r="A53" s="4"/>
      <c r="B53" s="39" t="s">
        <v>84</v>
      </c>
      <c r="C53" s="39"/>
      <c r="D53" s="39"/>
      <c r="E53" s="39" t="s">
        <v>85</v>
      </c>
      <c r="F53" s="39"/>
      <c r="G53" s="39" t="s">
        <v>86</v>
      </c>
      <c r="H53" s="3"/>
      <c r="I53" s="39" t="s">
        <v>87</v>
      </c>
      <c r="J53" s="39"/>
      <c r="K53" s="39"/>
      <c r="L53" s="39" t="s">
        <v>88</v>
      </c>
      <c r="M53" s="39"/>
      <c r="N53" s="39" t="s">
        <v>89</v>
      </c>
      <c r="O53" s="8"/>
      <c r="P53" s="46"/>
      <c r="Q53" s="46"/>
      <c r="R53" s="46"/>
    </row>
    <row r="54" spans="1:18" ht="14.25" customHeight="1" x14ac:dyDescent="0.3">
      <c r="A54" s="4"/>
      <c r="B54" s="39"/>
      <c r="C54" s="39"/>
      <c r="D54" s="39"/>
      <c r="E54" s="39"/>
      <c r="F54" s="39"/>
      <c r="G54" s="39"/>
      <c r="H54" s="3"/>
      <c r="I54" s="39"/>
      <c r="J54" s="39"/>
      <c r="K54" s="39"/>
      <c r="L54" s="39"/>
      <c r="M54" s="39"/>
      <c r="N54" s="39"/>
      <c r="O54" s="8"/>
      <c r="P54" s="46"/>
      <c r="Q54" s="46"/>
      <c r="R54" s="46"/>
    </row>
    <row r="55" spans="1:18" ht="14.25" customHeight="1" x14ac:dyDescent="0.3">
      <c r="A55" s="4"/>
      <c r="B55" s="8" t="s">
        <v>90</v>
      </c>
      <c r="C55" s="40">
        <v>4280</v>
      </c>
      <c r="D55" s="41"/>
      <c r="E55" s="40">
        <v>120000.000388416</v>
      </c>
      <c r="F55" s="41"/>
      <c r="G55" s="14">
        <f>SUM(C55,取值!B94)</f>
        <v>28886</v>
      </c>
      <c r="H55" s="8"/>
      <c r="I55" s="8" t="s">
        <v>91</v>
      </c>
      <c r="J55" s="40">
        <v>164</v>
      </c>
      <c r="K55" s="41"/>
      <c r="L55" s="40" t="str">
        <f>IFERROR(#REF!*取值!H52/100,"")</f>
        <v/>
      </c>
      <c r="M55" s="41"/>
      <c r="N55" s="13">
        <f>SUM(J55,取值!E94)</f>
        <v>1166</v>
      </c>
      <c r="O55" s="8"/>
      <c r="P55" s="46"/>
      <c r="Q55" s="46"/>
      <c r="R55" s="46"/>
    </row>
    <row r="56" spans="1:18" ht="14.25" customHeight="1" x14ac:dyDescent="0.3">
      <c r="A56" s="4"/>
      <c r="B56" s="8" t="s">
        <v>92</v>
      </c>
      <c r="C56" s="40">
        <v>4871</v>
      </c>
      <c r="D56" s="41"/>
      <c r="E56" s="40">
        <v>128000.00016</v>
      </c>
      <c r="F56" s="41"/>
      <c r="G56" s="14">
        <f>SUM(C56,取值!B95)</f>
        <v>34284</v>
      </c>
      <c r="H56" s="8"/>
      <c r="I56" s="8" t="s">
        <v>93</v>
      </c>
      <c r="J56" s="40">
        <v>671</v>
      </c>
      <c r="K56" s="41"/>
      <c r="L56" s="40" t="str">
        <f>IFERROR(#REF!*取值!H53/100,"")</f>
        <v/>
      </c>
      <c r="M56" s="41"/>
      <c r="N56" s="13">
        <f>SUM(J56,取值!E95)</f>
        <v>4655</v>
      </c>
      <c r="O56" s="8"/>
      <c r="P56" s="46"/>
      <c r="Q56" s="46"/>
      <c r="R56" s="46"/>
    </row>
    <row r="57" spans="1:18" ht="14.25" customHeight="1" x14ac:dyDescent="0.3">
      <c r="A57" s="4"/>
      <c r="B57" s="8" t="s">
        <v>94</v>
      </c>
      <c r="C57" s="40">
        <v>4135</v>
      </c>
      <c r="D57" s="41"/>
      <c r="E57" s="40">
        <v>117000</v>
      </c>
      <c r="F57" s="41"/>
      <c r="G57" s="14">
        <f>SUM(C57,取值!B96)</f>
        <v>29053</v>
      </c>
      <c r="H57" s="8"/>
      <c r="I57" s="8" t="s">
        <v>95</v>
      </c>
      <c r="J57" s="40">
        <v>183</v>
      </c>
      <c r="K57" s="41"/>
      <c r="L57" s="40">
        <v>4350.0000140800803</v>
      </c>
      <c r="M57" s="41"/>
      <c r="N57" s="13">
        <f>SUM(J57,取值!E96)</f>
        <v>1308</v>
      </c>
      <c r="O57" s="8"/>
      <c r="P57" s="46"/>
      <c r="Q57" s="46"/>
      <c r="R57" s="46"/>
    </row>
    <row r="58" spans="1:18" ht="14.25" customHeight="1" x14ac:dyDescent="0.3">
      <c r="A58" s="4"/>
      <c r="B58" s="8" t="s">
        <v>96</v>
      </c>
      <c r="C58" s="40">
        <v>2156</v>
      </c>
      <c r="D58" s="41"/>
      <c r="E58" s="40">
        <v>68000.003200799998</v>
      </c>
      <c r="F58" s="41"/>
      <c r="G58" s="14">
        <f>SUM(C58,取值!B97)</f>
        <v>15902</v>
      </c>
      <c r="H58" s="8"/>
      <c r="I58" s="8" t="s">
        <v>97</v>
      </c>
      <c r="J58" s="40">
        <v>604</v>
      </c>
      <c r="K58" s="41"/>
      <c r="L58" s="40">
        <v>18000.001499999998</v>
      </c>
      <c r="M58" s="41"/>
      <c r="N58" s="13">
        <f>SUM(J58,取值!E97)</f>
        <v>4379</v>
      </c>
      <c r="O58" s="8"/>
      <c r="P58" s="46"/>
      <c r="Q58" s="46"/>
      <c r="R58" s="46"/>
    </row>
    <row r="59" spans="1:18" ht="14.25" customHeight="1" x14ac:dyDescent="0.3">
      <c r="A59" s="4"/>
      <c r="B59" s="8" t="s">
        <v>98</v>
      </c>
      <c r="C59" s="40">
        <v>1730</v>
      </c>
      <c r="D59" s="41"/>
      <c r="E59" s="40">
        <v>56000.004594456703</v>
      </c>
      <c r="F59" s="41"/>
      <c r="G59" s="14">
        <f>SUM(C59,取值!B98)</f>
        <v>12354</v>
      </c>
      <c r="H59" s="8"/>
      <c r="I59" s="8" t="s">
        <v>99</v>
      </c>
      <c r="J59" s="40">
        <v>610</v>
      </c>
      <c r="K59" s="41"/>
      <c r="L59" s="40">
        <v>17499.9963470857</v>
      </c>
      <c r="M59" s="41"/>
      <c r="N59" s="13">
        <f>SUM(J59,取值!E98)</f>
        <v>3660</v>
      </c>
      <c r="O59" s="8"/>
      <c r="P59" s="46"/>
      <c r="Q59" s="46"/>
      <c r="R59" s="46"/>
    </row>
    <row r="60" spans="1:18" ht="14.25" customHeight="1" x14ac:dyDescent="0.3">
      <c r="A60" s="4"/>
      <c r="B60" s="8" t="s">
        <v>100</v>
      </c>
      <c r="C60" s="40">
        <v>1757</v>
      </c>
      <c r="D60" s="41"/>
      <c r="E60" s="40">
        <v>56168.510124831198</v>
      </c>
      <c r="F60" s="41"/>
      <c r="G60" s="14">
        <f>SUM(C60,取值!B99)</f>
        <v>11364</v>
      </c>
      <c r="H60" s="8"/>
      <c r="I60" s="8" t="s">
        <v>101</v>
      </c>
      <c r="J60" s="40">
        <v>1567</v>
      </c>
      <c r="K60" s="41"/>
      <c r="L60" s="40" t="str">
        <f>IFERROR(#REF!*取值!H67/100+取值!H68*#REF!/100,"")</f>
        <v/>
      </c>
      <c r="M60" s="41"/>
      <c r="N60" s="13">
        <f>SUM(J60,取值!E99)</f>
        <v>11067</v>
      </c>
      <c r="O60" s="8"/>
      <c r="P60" s="46"/>
      <c r="Q60" s="46"/>
      <c r="R60" s="46"/>
    </row>
    <row r="61" spans="1:18" ht="14.25" customHeight="1" x14ac:dyDescent="0.3">
      <c r="A61" s="4"/>
      <c r="B61" s="8" t="s">
        <v>102</v>
      </c>
      <c r="C61" s="40">
        <v>627</v>
      </c>
      <c r="D61" s="41"/>
      <c r="E61" s="40">
        <v>18134.7112405033</v>
      </c>
      <c r="F61" s="41"/>
      <c r="G61" s="14">
        <f>SUM(C61,取值!B100)</f>
        <v>4397</v>
      </c>
      <c r="H61" s="8"/>
      <c r="I61" s="8" t="s">
        <v>103</v>
      </c>
      <c r="J61" s="40">
        <v>465</v>
      </c>
      <c r="K61" s="41"/>
      <c r="L61" s="40">
        <v>15120.001240503299</v>
      </c>
      <c r="M61" s="41"/>
      <c r="N61" s="13">
        <f>SUM(J61,取值!E100)</f>
        <v>3304</v>
      </c>
      <c r="O61" s="8"/>
      <c r="P61" s="46"/>
      <c r="Q61" s="46"/>
      <c r="R61" s="46"/>
    </row>
    <row r="62" spans="1:18" ht="14.25" customHeight="1" x14ac:dyDescent="0.3">
      <c r="A62" s="4"/>
      <c r="B62" s="8" t="s">
        <v>104</v>
      </c>
      <c r="C62" s="40">
        <v>995.00009999999997</v>
      </c>
      <c r="D62" s="41"/>
      <c r="E62" s="40">
        <v>27692.31</v>
      </c>
      <c r="F62" s="41"/>
      <c r="G62" s="14">
        <f>SUM(C62,取值!B101)</f>
        <v>7088.0003000000006</v>
      </c>
      <c r="H62" s="8"/>
      <c r="I62" s="8" t="s">
        <v>105</v>
      </c>
      <c r="J62" s="40">
        <v>352</v>
      </c>
      <c r="K62" s="41"/>
      <c r="L62" s="40">
        <v>10783.2094328155</v>
      </c>
      <c r="M62" s="41"/>
      <c r="N62" s="13">
        <f>SUM(J62,取值!E101)</f>
        <v>2430</v>
      </c>
      <c r="O62" s="8"/>
      <c r="P62" s="46"/>
      <c r="Q62" s="46"/>
      <c r="R62" s="46"/>
    </row>
    <row r="63" spans="1:18" ht="14.25" customHeight="1" x14ac:dyDescent="0.3">
      <c r="A63" s="4"/>
      <c r="B63" s="8" t="s">
        <v>106</v>
      </c>
      <c r="C63" s="40">
        <v>1701</v>
      </c>
      <c r="D63" s="41"/>
      <c r="E63" s="40">
        <v>51348.616346740397</v>
      </c>
      <c r="F63" s="41"/>
      <c r="G63" s="14">
        <f>SUM(C63,取值!B102)</f>
        <v>12231</v>
      </c>
      <c r="H63" s="8"/>
      <c r="I63" s="15"/>
      <c r="J63" s="47"/>
      <c r="K63" s="47"/>
      <c r="L63" s="47"/>
      <c r="M63" s="47"/>
      <c r="N63" s="8"/>
      <c r="O63" s="8"/>
      <c r="P63" s="46"/>
      <c r="Q63" s="46"/>
      <c r="R63" s="46"/>
    </row>
  </sheetData>
  <mergeCells count="62">
    <mergeCell ref="J63:K63"/>
    <mergeCell ref="L63:M63"/>
    <mergeCell ref="J60:K60"/>
    <mergeCell ref="J61:K61"/>
    <mergeCell ref="J62:K62"/>
    <mergeCell ref="L60:M60"/>
    <mergeCell ref="L61:M61"/>
    <mergeCell ref="L62:M62"/>
    <mergeCell ref="L55:M55"/>
    <mergeCell ref="L56:M56"/>
    <mergeCell ref="L57:M57"/>
    <mergeCell ref="L58:M58"/>
    <mergeCell ref="L59:M59"/>
    <mergeCell ref="J55:K55"/>
    <mergeCell ref="J56:K56"/>
    <mergeCell ref="J57:K57"/>
    <mergeCell ref="J58:K58"/>
    <mergeCell ref="J59:K59"/>
    <mergeCell ref="C60:D60"/>
    <mergeCell ref="C61:D61"/>
    <mergeCell ref="C62:D62"/>
    <mergeCell ref="C63:D63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C55:D55"/>
    <mergeCell ref="C56:D56"/>
    <mergeCell ref="C57:D57"/>
    <mergeCell ref="C58:D58"/>
    <mergeCell ref="C59:D59"/>
    <mergeCell ref="B2:R2"/>
    <mergeCell ref="B43:G43"/>
    <mergeCell ref="I43:N43"/>
    <mergeCell ref="I47:N47"/>
    <mergeCell ref="B49:G49"/>
    <mergeCell ref="P4:R63"/>
    <mergeCell ref="P3:R3"/>
    <mergeCell ref="I37:N37"/>
    <mergeCell ref="B37:G37"/>
    <mergeCell ref="B3:G3"/>
    <mergeCell ref="I3:N3"/>
    <mergeCell ref="B12:G12"/>
    <mergeCell ref="I12:N12"/>
    <mergeCell ref="B19:G19"/>
    <mergeCell ref="I19:N19"/>
    <mergeCell ref="B25:G25"/>
    <mergeCell ref="I24:N24"/>
    <mergeCell ref="I28:N28"/>
    <mergeCell ref="B33:G33"/>
    <mergeCell ref="I33:N33"/>
    <mergeCell ref="N53:N54"/>
    <mergeCell ref="G53:G54"/>
    <mergeCell ref="B53:D54"/>
    <mergeCell ref="E53:F54"/>
    <mergeCell ref="I53:K54"/>
    <mergeCell ref="L53:M54"/>
  </mergeCells>
  <phoneticPr fontId="8" type="noConversion"/>
  <pageMargins left="0.7" right="0.7" top="0.75" bottom="0.75" header="0.3" footer="0.3"/>
  <pageSetup paperSize="9" orientation="portrait"/>
  <headerFooter>
    <oddHeader>&amp;L&amp;C&amp;R</oddHeader>
    <oddFooter>&amp;L&amp;C&amp;R</oddFooter>
    <evenHeader>&amp;L&amp;C&amp;R</evenHeader>
    <evenFooter>&amp;L&amp;C&amp;R</even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F627-87D8-7418-2EA8-B119328DC357}">
  <dimension ref="A1:L104"/>
  <sheetViews>
    <sheetView defaultGridColor="0" topLeftCell="A16" colorId="31" workbookViewId="0">
      <selection activeCell="C38" sqref="C38"/>
    </sheetView>
  </sheetViews>
  <sheetFormatPr defaultRowHeight="14" customHeight="1" x14ac:dyDescent="0.25"/>
  <cols>
    <col min="1" max="1" width="23.453125" customWidth="1"/>
    <col min="3" max="3" width="18.81640625" customWidth="1"/>
    <col min="4" max="4" width="16.54296875" customWidth="1"/>
    <col min="6" max="6" width="17.453125" customWidth="1"/>
    <col min="8" max="8" width="15.54296875" customWidth="1"/>
    <col min="9" max="9" width="13.26953125" customWidth="1"/>
  </cols>
  <sheetData>
    <row r="1" spans="1:12" ht="14.25" customHeight="1" x14ac:dyDescent="0.25">
      <c r="A1" s="51" t="s">
        <v>0</v>
      </c>
      <c r="B1" s="52"/>
      <c r="C1" s="52"/>
      <c r="D1" s="53"/>
      <c r="E1" s="16"/>
      <c r="F1" s="51" t="s">
        <v>1</v>
      </c>
      <c r="G1" s="52"/>
      <c r="H1" s="52"/>
      <c r="I1" s="53"/>
      <c r="J1" s="17" t="s">
        <v>107</v>
      </c>
      <c r="K1" s="17" t="s">
        <v>108</v>
      </c>
      <c r="L1" s="17" t="s">
        <v>109</v>
      </c>
    </row>
    <row r="2" spans="1:12" ht="14.25" customHeight="1" x14ac:dyDescent="0.25">
      <c r="A2" s="18" t="s">
        <v>3</v>
      </c>
      <c r="B2" s="18" t="s">
        <v>6</v>
      </c>
      <c r="C2" s="18" t="s">
        <v>7</v>
      </c>
      <c r="D2" s="18" t="s">
        <v>8</v>
      </c>
      <c r="E2" s="18"/>
      <c r="F2" s="18" t="s">
        <v>3</v>
      </c>
      <c r="G2" s="18" t="s">
        <v>6</v>
      </c>
      <c r="H2" s="18" t="s">
        <v>7</v>
      </c>
      <c r="I2" s="18" t="s">
        <v>8</v>
      </c>
      <c r="J2" s="17"/>
      <c r="K2" s="17"/>
      <c r="L2" s="17"/>
    </row>
    <row r="3" spans="1:12" ht="14.25" customHeight="1" x14ac:dyDescent="0.25">
      <c r="A3" s="18" t="s">
        <v>9</v>
      </c>
      <c r="B3" s="19">
        <v>16.495999999999999</v>
      </c>
      <c r="C3" s="19">
        <v>3697.7150000000001</v>
      </c>
      <c r="D3" s="20"/>
      <c r="E3" s="20">
        <v>3871.45</v>
      </c>
      <c r="F3" s="18" t="s">
        <v>10</v>
      </c>
      <c r="G3" s="19">
        <v>10.194000000000001</v>
      </c>
      <c r="H3" s="19">
        <v>2806.55</v>
      </c>
      <c r="I3" s="20"/>
      <c r="J3" s="19">
        <v>0</v>
      </c>
      <c r="K3" s="17"/>
      <c r="L3" s="17"/>
    </row>
    <row r="4" spans="1:12" ht="14.25" customHeight="1" x14ac:dyDescent="0.25">
      <c r="A4" s="18" t="s">
        <v>11</v>
      </c>
      <c r="B4" s="19">
        <v>6.6280000000000001</v>
      </c>
      <c r="C4" s="19">
        <v>1481.002</v>
      </c>
      <c r="D4" s="20"/>
      <c r="E4" s="20">
        <v>3868.63</v>
      </c>
      <c r="F4" s="18" t="s">
        <v>12</v>
      </c>
      <c r="G4" s="19">
        <v>6.79</v>
      </c>
      <c r="H4" s="19">
        <v>1863.9680000000001</v>
      </c>
      <c r="I4" s="20"/>
      <c r="J4" s="17">
        <f>J3</f>
        <v>0</v>
      </c>
      <c r="K4" s="17"/>
      <c r="L4" s="17"/>
    </row>
    <row r="5" spans="1:12" ht="14.25" customHeight="1" x14ac:dyDescent="0.25">
      <c r="A5" s="18" t="s">
        <v>13</v>
      </c>
      <c r="B5" s="19">
        <v>15.997999999999999</v>
      </c>
      <c r="C5" s="19">
        <v>3585.0239999999999</v>
      </c>
      <c r="D5" s="20"/>
      <c r="E5" s="20">
        <v>3853.81</v>
      </c>
      <c r="F5" s="18" t="s">
        <v>14</v>
      </c>
      <c r="G5" s="19">
        <v>11.913</v>
      </c>
      <c r="H5" s="19">
        <v>3259.3449999999998</v>
      </c>
      <c r="I5" s="20"/>
      <c r="J5" s="17"/>
      <c r="K5" s="17"/>
      <c r="L5" s="17"/>
    </row>
    <row r="6" spans="1:12" ht="14.25" customHeight="1" x14ac:dyDescent="0.25">
      <c r="A6" s="18" t="s">
        <v>15</v>
      </c>
      <c r="B6" s="19">
        <v>6.5190000000000001</v>
      </c>
      <c r="C6" s="19">
        <v>1457.117</v>
      </c>
      <c r="D6" s="20"/>
      <c r="E6" s="20">
        <v>3870.04</v>
      </c>
      <c r="F6" s="18" t="s">
        <v>16</v>
      </c>
      <c r="G6" s="19">
        <v>8.1419999999999995</v>
      </c>
      <c r="H6" s="19">
        <v>2235.5929999999998</v>
      </c>
      <c r="I6" s="20"/>
      <c r="J6" s="17"/>
      <c r="K6" s="17"/>
      <c r="L6" s="17"/>
    </row>
    <row r="7" spans="1:12" ht="14.25" customHeight="1" x14ac:dyDescent="0.25">
      <c r="A7" s="18" t="s">
        <v>17</v>
      </c>
      <c r="B7" s="19">
        <v>0</v>
      </c>
      <c r="C7" s="19">
        <v>-3</v>
      </c>
      <c r="D7" s="20"/>
      <c r="E7" s="20"/>
      <c r="F7" s="18"/>
      <c r="G7" s="19"/>
      <c r="H7" s="19"/>
      <c r="I7" s="20"/>
      <c r="J7" s="17"/>
      <c r="K7" s="17"/>
      <c r="L7" s="17"/>
    </row>
    <row r="8" spans="1:12" ht="14.25" customHeight="1" x14ac:dyDescent="0.25">
      <c r="A8" s="18" t="s">
        <v>18</v>
      </c>
      <c r="B8" s="19">
        <v>3.6139999999999999</v>
      </c>
      <c r="C8" s="19">
        <v>398.82299999999998</v>
      </c>
      <c r="D8" s="20"/>
      <c r="E8" s="20"/>
      <c r="F8" s="18"/>
      <c r="G8" s="19"/>
      <c r="H8" s="19"/>
      <c r="I8" s="20"/>
      <c r="J8" s="17"/>
      <c r="K8" s="17"/>
      <c r="L8" s="17"/>
    </row>
    <row r="9" spans="1:12" ht="14.25" customHeight="1" x14ac:dyDescent="0.25">
      <c r="A9" s="18" t="s">
        <v>19</v>
      </c>
      <c r="B9" s="20"/>
      <c r="C9" s="20"/>
      <c r="D9" s="20"/>
      <c r="E9" s="20"/>
      <c r="F9" s="18" t="s">
        <v>19</v>
      </c>
      <c r="G9" s="20"/>
      <c r="H9" s="20"/>
      <c r="I9" s="20"/>
      <c r="J9" s="17"/>
      <c r="K9" s="17"/>
      <c r="L9" s="17"/>
    </row>
    <row r="10" spans="1:12" ht="14.25" customHeight="1" x14ac:dyDescent="0.25">
      <c r="A10" s="51" t="s">
        <v>20</v>
      </c>
      <c r="B10" s="52"/>
      <c r="C10" s="52"/>
      <c r="D10" s="53"/>
      <c r="E10" s="20"/>
      <c r="F10" s="51" t="s">
        <v>21</v>
      </c>
      <c r="G10" s="52"/>
      <c r="H10" s="52"/>
      <c r="I10" s="53"/>
      <c r="J10" s="17"/>
      <c r="K10" s="17"/>
      <c r="L10" s="17"/>
    </row>
    <row r="11" spans="1:12" ht="14.25" customHeight="1" x14ac:dyDescent="0.25">
      <c r="A11" s="18" t="s">
        <v>22</v>
      </c>
      <c r="B11" s="19">
        <v>2.9550000000000001</v>
      </c>
      <c r="C11" s="19">
        <v>431.536</v>
      </c>
      <c r="D11" s="20"/>
      <c r="E11" s="20">
        <v>2492.79</v>
      </c>
      <c r="F11" s="18" t="s">
        <v>23</v>
      </c>
      <c r="G11" s="19">
        <v>3.9340000000000002</v>
      </c>
      <c r="H11" s="19">
        <v>504.24</v>
      </c>
      <c r="I11" s="20"/>
      <c r="J11" s="17"/>
      <c r="K11" s="17"/>
      <c r="L11" s="17"/>
    </row>
    <row r="12" spans="1:12" ht="14.25" customHeight="1" x14ac:dyDescent="0.25">
      <c r="A12" s="18" t="s">
        <v>24</v>
      </c>
      <c r="B12" s="19">
        <v>8.1880000000000006</v>
      </c>
      <c r="C12" s="19">
        <v>1191.6189999999999</v>
      </c>
      <c r="D12" s="20"/>
      <c r="E12" s="20">
        <v>2492.79</v>
      </c>
      <c r="F12" s="18" t="s">
        <v>25</v>
      </c>
      <c r="G12" s="19">
        <v>3.8820000000000001</v>
      </c>
      <c r="H12" s="19">
        <v>497.529</v>
      </c>
      <c r="I12" s="20"/>
      <c r="J12" s="17"/>
      <c r="K12" s="17"/>
      <c r="L12" s="17"/>
    </row>
    <row r="13" spans="1:12" ht="14.25" customHeight="1" x14ac:dyDescent="0.25">
      <c r="A13" s="18" t="s">
        <v>26</v>
      </c>
      <c r="B13" s="19">
        <v>3.1259999999999999</v>
      </c>
      <c r="C13" s="19">
        <v>457.584</v>
      </c>
      <c r="D13" s="20"/>
      <c r="E13" s="20">
        <v>2492.79</v>
      </c>
      <c r="F13" s="18" t="s">
        <v>27</v>
      </c>
      <c r="G13" s="19">
        <v>4.3659999999999997</v>
      </c>
      <c r="H13" s="19">
        <v>557.649</v>
      </c>
      <c r="I13" s="20"/>
      <c r="J13" s="17"/>
      <c r="K13" s="17"/>
      <c r="L13" s="17"/>
    </row>
    <row r="14" spans="1:12" ht="14.25" customHeight="1" x14ac:dyDescent="0.25">
      <c r="A14" s="18" t="s">
        <v>28</v>
      </c>
      <c r="B14" s="19">
        <v>4.242</v>
      </c>
      <c r="C14" s="19">
        <v>202.87899999999999</v>
      </c>
      <c r="D14" s="20"/>
      <c r="E14" s="20"/>
      <c r="F14" s="18"/>
      <c r="G14" s="19"/>
      <c r="H14" s="19"/>
      <c r="I14" s="20"/>
      <c r="J14" s="17"/>
      <c r="K14" s="17"/>
      <c r="L14" s="17"/>
    </row>
    <row r="15" spans="1:12" ht="14.25" customHeight="1" x14ac:dyDescent="0.25">
      <c r="A15" s="18" t="s">
        <v>29</v>
      </c>
      <c r="B15" s="19">
        <v>4.7E-2</v>
      </c>
      <c r="C15" s="19">
        <v>0.33500000000000002</v>
      </c>
      <c r="D15" s="20"/>
      <c r="E15" s="20"/>
      <c r="F15" s="18"/>
      <c r="G15" s="19"/>
      <c r="H15" s="19"/>
      <c r="I15" s="20"/>
      <c r="J15" s="17"/>
      <c r="K15" s="17"/>
      <c r="L15" s="17"/>
    </row>
    <row r="16" spans="1:12" ht="14.25" customHeight="1" x14ac:dyDescent="0.25">
      <c r="A16" s="18" t="s">
        <v>19</v>
      </c>
      <c r="B16" s="20"/>
      <c r="C16" s="20"/>
      <c r="D16" s="20"/>
      <c r="E16" s="20"/>
      <c r="F16" s="18" t="s">
        <v>19</v>
      </c>
      <c r="G16" s="20"/>
      <c r="H16" s="20"/>
      <c r="I16" s="20"/>
      <c r="J16" s="17"/>
      <c r="K16" s="17"/>
      <c r="L16" s="17"/>
    </row>
    <row r="17" spans="1:12" ht="14.25" customHeight="1" x14ac:dyDescent="0.25">
      <c r="A17" s="51" t="s">
        <v>30</v>
      </c>
      <c r="B17" s="52"/>
      <c r="C17" s="52"/>
      <c r="D17" s="53"/>
      <c r="E17" s="20"/>
      <c r="F17" s="54" t="s">
        <v>31</v>
      </c>
      <c r="G17" s="55"/>
      <c r="H17" s="55"/>
      <c r="I17" s="56"/>
      <c r="J17" s="17"/>
      <c r="K17" s="17"/>
      <c r="L17" s="17"/>
    </row>
    <row r="18" spans="1:12" ht="14.25" customHeight="1" x14ac:dyDescent="0.25">
      <c r="A18" s="18" t="s">
        <v>32</v>
      </c>
      <c r="B18" s="19">
        <v>6.2750000000000004</v>
      </c>
      <c r="C18" s="19">
        <v>395.15699999999998</v>
      </c>
      <c r="D18" s="20"/>
      <c r="E18" s="20">
        <v>996</v>
      </c>
      <c r="F18" s="18" t="s">
        <v>33</v>
      </c>
      <c r="G18" s="19">
        <v>7.1619999999999999</v>
      </c>
      <c r="H18" s="19">
        <v>484.24299999999999</v>
      </c>
      <c r="I18" s="20"/>
      <c r="J18" s="17"/>
      <c r="K18" s="17"/>
      <c r="L18" s="17"/>
    </row>
    <row r="19" spans="1:12" ht="14.25" customHeight="1" x14ac:dyDescent="0.25">
      <c r="A19" s="18" t="s">
        <v>34</v>
      </c>
      <c r="B19" s="19">
        <v>6.7969999999999997</v>
      </c>
      <c r="C19" s="19">
        <v>448.214</v>
      </c>
      <c r="D19" s="20"/>
      <c r="E19" s="20">
        <v>996</v>
      </c>
      <c r="F19" s="18" t="s">
        <v>35</v>
      </c>
      <c r="G19" s="19">
        <v>3.956</v>
      </c>
      <c r="H19" s="19">
        <v>177.35900000000001</v>
      </c>
      <c r="I19" s="20"/>
      <c r="J19" s="17"/>
      <c r="K19" s="17"/>
      <c r="L19" s="17"/>
    </row>
    <row r="20" spans="1:12" ht="14.25" customHeight="1" x14ac:dyDescent="0.25">
      <c r="A20" s="18" t="s">
        <v>36</v>
      </c>
      <c r="B20" s="19">
        <v>8.0419999999999998</v>
      </c>
      <c r="C20" s="19">
        <v>580.40599999999995</v>
      </c>
      <c r="D20" s="20"/>
      <c r="E20" s="20">
        <v>998</v>
      </c>
      <c r="F20" s="18" t="s">
        <v>37</v>
      </c>
      <c r="G20" s="19">
        <v>7.2350000000000003</v>
      </c>
      <c r="H20" s="19">
        <v>492.68700000000001</v>
      </c>
      <c r="I20" s="20"/>
      <c r="J20" s="17"/>
      <c r="K20" s="17"/>
      <c r="L20" s="17"/>
    </row>
    <row r="21" spans="1:12" ht="14.25" customHeight="1" x14ac:dyDescent="0.25">
      <c r="A21" s="18" t="s">
        <v>38</v>
      </c>
      <c r="B21" s="19">
        <v>7.835</v>
      </c>
      <c r="C21" s="19">
        <v>558.23800000000006</v>
      </c>
      <c r="D21" s="20"/>
      <c r="E21" s="20">
        <v>997</v>
      </c>
      <c r="F21" s="18" t="s">
        <v>19</v>
      </c>
      <c r="G21" s="20"/>
      <c r="H21" s="20"/>
      <c r="I21" s="20"/>
      <c r="J21" s="17"/>
      <c r="K21" s="17"/>
      <c r="L21" s="17"/>
    </row>
    <row r="22" spans="1:12" ht="14.25" customHeight="1" x14ac:dyDescent="0.25">
      <c r="A22" s="18" t="s">
        <v>19</v>
      </c>
      <c r="B22" s="20"/>
      <c r="C22" s="20"/>
      <c r="D22" s="20"/>
      <c r="E22" s="20"/>
      <c r="F22" s="54" t="s">
        <v>39</v>
      </c>
      <c r="G22" s="55"/>
      <c r="H22" s="55"/>
      <c r="I22" s="56"/>
      <c r="J22" s="17"/>
      <c r="K22" s="17"/>
      <c r="L22" s="17"/>
    </row>
    <row r="23" spans="1:12" ht="14.25" customHeight="1" x14ac:dyDescent="0.25">
      <c r="A23" s="51" t="s">
        <v>40</v>
      </c>
      <c r="B23" s="52"/>
      <c r="C23" s="52"/>
      <c r="D23" s="53"/>
      <c r="E23" s="20"/>
      <c r="F23" s="18" t="s">
        <v>41</v>
      </c>
      <c r="G23" s="19">
        <v>4.5469999999999997</v>
      </c>
      <c r="H23" s="19">
        <v>227.33799999999999</v>
      </c>
      <c r="I23" s="20"/>
      <c r="J23" s="17"/>
      <c r="K23" s="17"/>
      <c r="L23" s="17"/>
    </row>
    <row r="24" spans="1:12" ht="14.25" customHeight="1" x14ac:dyDescent="0.25">
      <c r="A24" s="18" t="s">
        <v>42</v>
      </c>
      <c r="B24" s="19">
        <v>6.2859999999999996</v>
      </c>
      <c r="C24" s="19">
        <v>388.64600000000002</v>
      </c>
      <c r="D24" s="20"/>
      <c r="E24" s="20">
        <v>920</v>
      </c>
      <c r="F24" s="18" t="s">
        <v>43</v>
      </c>
      <c r="G24" s="19">
        <v>7.048</v>
      </c>
      <c r="H24" s="19">
        <v>472.15</v>
      </c>
      <c r="I24" s="20"/>
      <c r="J24" s="17"/>
      <c r="K24" s="17"/>
      <c r="L24" s="17"/>
    </row>
    <row r="25" spans="1:12" ht="14.25" customHeight="1" x14ac:dyDescent="0.25">
      <c r="A25" s="18" t="s">
        <v>44</v>
      </c>
      <c r="B25" s="19">
        <v>8.0250000000000004</v>
      </c>
      <c r="C25" s="19">
        <v>539.35699999999997</v>
      </c>
      <c r="D25" s="20"/>
      <c r="E25" s="20">
        <v>920</v>
      </c>
      <c r="F25" s="18" t="s">
        <v>19</v>
      </c>
      <c r="G25" s="20"/>
      <c r="H25" s="20"/>
      <c r="I25" s="20"/>
      <c r="J25" s="17"/>
      <c r="K25" s="17"/>
      <c r="L25" s="17"/>
    </row>
    <row r="26" spans="1:12" ht="14.25" customHeight="1" x14ac:dyDescent="0.25">
      <c r="A26" s="18" t="s">
        <v>45</v>
      </c>
      <c r="B26" s="19">
        <v>5.1269999999999998</v>
      </c>
      <c r="C26" s="19">
        <v>270.68299999999999</v>
      </c>
      <c r="D26" s="20"/>
      <c r="E26" s="20">
        <v>920</v>
      </c>
      <c r="F26" s="51" t="s">
        <v>46</v>
      </c>
      <c r="G26" s="52"/>
      <c r="H26" s="52"/>
      <c r="I26" s="53"/>
      <c r="J26" s="17"/>
      <c r="K26" s="17"/>
      <c r="L26" s="17"/>
    </row>
    <row r="27" spans="1:12" ht="14.25" customHeight="1" x14ac:dyDescent="0.25">
      <c r="A27" s="18" t="s">
        <v>47</v>
      </c>
      <c r="B27" s="19">
        <v>3.3519999999999999</v>
      </c>
      <c r="C27" s="19">
        <v>128.01499999999999</v>
      </c>
      <c r="D27" s="20"/>
      <c r="E27" s="20">
        <v>920</v>
      </c>
      <c r="F27" s="18" t="s">
        <v>48</v>
      </c>
      <c r="G27" s="19">
        <v>6.5960000000000001</v>
      </c>
      <c r="H27" s="19">
        <v>428.61900000000003</v>
      </c>
      <c r="I27" s="20"/>
      <c r="J27" s="17"/>
      <c r="K27" s="17"/>
      <c r="L27" s="17"/>
    </row>
    <row r="28" spans="1:12" ht="14.25" customHeight="1" x14ac:dyDescent="0.25">
      <c r="A28" s="18" t="s">
        <v>49</v>
      </c>
      <c r="B28" s="19">
        <v>5.8259999999999996</v>
      </c>
      <c r="C28" s="19">
        <v>338.39499999999998</v>
      </c>
      <c r="D28" s="20"/>
      <c r="E28" s="20">
        <v>920</v>
      </c>
      <c r="F28" s="18" t="s">
        <v>50</v>
      </c>
      <c r="G28" s="19">
        <v>2.2370000000000001</v>
      </c>
      <c r="H28" s="19">
        <v>64.923000000000002</v>
      </c>
      <c r="I28" s="20"/>
      <c r="J28" s="17"/>
      <c r="K28" s="17"/>
      <c r="L28" s="17"/>
    </row>
    <row r="29" spans="1:12" ht="14.25" customHeight="1" x14ac:dyDescent="0.25">
      <c r="A29" s="18" t="s">
        <v>51</v>
      </c>
      <c r="B29" s="19">
        <v>4.6440000000000001</v>
      </c>
      <c r="C29" s="19">
        <v>225.73099999999999</v>
      </c>
      <c r="D29" s="20"/>
      <c r="E29" s="20">
        <v>920</v>
      </c>
      <c r="F29" s="18" t="s">
        <v>52</v>
      </c>
      <c r="G29" s="19">
        <v>6.1790000000000003</v>
      </c>
      <c r="H29" s="19">
        <v>399.36099999999999</v>
      </c>
      <c r="I29" s="20"/>
      <c r="J29" s="17"/>
      <c r="K29" s="17"/>
      <c r="L29" s="17"/>
    </row>
    <row r="30" spans="1:12" ht="14.25" customHeight="1" x14ac:dyDescent="0.25">
      <c r="A30" s="18" t="s">
        <v>19</v>
      </c>
      <c r="B30" s="20"/>
      <c r="C30" s="20"/>
      <c r="D30" s="20"/>
      <c r="E30" s="20"/>
      <c r="F30" s="18" t="s">
        <v>19</v>
      </c>
      <c r="G30" s="20"/>
      <c r="H30" s="20"/>
      <c r="I30" s="20"/>
      <c r="J30" s="17"/>
      <c r="K30" s="17"/>
      <c r="L30" s="17"/>
    </row>
    <row r="31" spans="1:12" ht="14.25" customHeight="1" x14ac:dyDescent="0.25">
      <c r="A31" s="51" t="s">
        <v>53</v>
      </c>
      <c r="B31" s="52"/>
      <c r="C31" s="52"/>
      <c r="D31" s="53"/>
      <c r="E31" s="20"/>
      <c r="F31" s="51" t="s">
        <v>54</v>
      </c>
      <c r="G31" s="52"/>
      <c r="H31" s="52"/>
      <c r="I31" s="53"/>
      <c r="J31" s="17"/>
      <c r="K31" s="17"/>
      <c r="L31" s="17"/>
    </row>
    <row r="32" spans="1:12" ht="14.25" customHeight="1" x14ac:dyDescent="0.25">
      <c r="A32" s="18" t="s">
        <v>55</v>
      </c>
      <c r="B32" s="19">
        <v>16.347999999999999</v>
      </c>
      <c r="C32" s="19">
        <v>3692.422</v>
      </c>
      <c r="D32" s="20"/>
      <c r="E32" s="20">
        <v>3921.72</v>
      </c>
      <c r="F32" s="18" t="s">
        <v>56</v>
      </c>
      <c r="G32" s="21">
        <v>6.593</v>
      </c>
      <c r="H32" s="21">
        <v>418.57499999999999</v>
      </c>
      <c r="I32" s="20"/>
      <c r="J32" s="17"/>
      <c r="K32" s="17"/>
      <c r="L32" s="17"/>
    </row>
    <row r="33" spans="1:12" ht="14.25" customHeight="1" x14ac:dyDescent="0.25">
      <c r="A33" s="18" t="s">
        <v>57</v>
      </c>
      <c r="B33" s="19">
        <v>16.393999999999998</v>
      </c>
      <c r="C33" s="19">
        <v>3702.1410000000001</v>
      </c>
      <c r="D33" s="20"/>
      <c r="E33" s="20">
        <v>3909.2</v>
      </c>
      <c r="F33" s="18" t="s">
        <v>58</v>
      </c>
      <c r="G33" s="21">
        <v>8.423</v>
      </c>
      <c r="H33" s="21">
        <v>599.05399999999997</v>
      </c>
      <c r="I33" s="20"/>
      <c r="J33" s="17"/>
      <c r="K33" s="17"/>
      <c r="L33" s="17"/>
    </row>
    <row r="34" spans="1:12" ht="14.25" customHeight="1" x14ac:dyDescent="0.25">
      <c r="A34" s="18" t="s">
        <v>19</v>
      </c>
      <c r="B34" s="20"/>
      <c r="C34" s="20"/>
      <c r="D34" s="20"/>
      <c r="E34" s="20"/>
      <c r="F34" s="18" t="s">
        <v>19</v>
      </c>
      <c r="G34" s="20"/>
      <c r="H34" s="20"/>
      <c r="I34" s="20"/>
      <c r="J34" s="17"/>
      <c r="K34" s="17"/>
      <c r="L34" s="17"/>
    </row>
    <row r="35" spans="1:12" ht="14.25" customHeight="1" x14ac:dyDescent="0.25">
      <c r="A35" s="51" t="s">
        <v>59</v>
      </c>
      <c r="B35" s="52"/>
      <c r="C35" s="52"/>
      <c r="D35" s="53"/>
      <c r="E35" s="20"/>
      <c r="F35" s="51" t="s">
        <v>60</v>
      </c>
      <c r="G35" s="52"/>
      <c r="H35" s="52"/>
      <c r="I35" s="53"/>
      <c r="J35" s="17"/>
      <c r="K35" s="17"/>
      <c r="L35" s="17"/>
    </row>
    <row r="36" spans="1:12" ht="14.25" customHeight="1" x14ac:dyDescent="0.25">
      <c r="A36" s="18" t="s">
        <v>61</v>
      </c>
      <c r="B36" s="19">
        <v>12.025</v>
      </c>
      <c r="C36" s="19">
        <v>1458.18</v>
      </c>
      <c r="D36" s="20"/>
      <c r="E36" s="20">
        <v>1517.82</v>
      </c>
      <c r="F36" s="18" t="s">
        <v>62</v>
      </c>
      <c r="G36" s="19">
        <v>11.286</v>
      </c>
      <c r="H36" s="19">
        <v>1313.4939999999999</v>
      </c>
      <c r="I36" s="20"/>
      <c r="J36" s="17"/>
      <c r="K36" s="17"/>
      <c r="L36" s="17"/>
    </row>
    <row r="37" spans="1:12" ht="14.25" customHeight="1" x14ac:dyDescent="0.25">
      <c r="A37" s="18" t="s">
        <v>63</v>
      </c>
      <c r="B37" s="19">
        <v>7.9939999999999998</v>
      </c>
      <c r="C37" s="19">
        <v>966.88699999999994</v>
      </c>
      <c r="D37" s="20"/>
      <c r="E37" s="20">
        <v>1509.09</v>
      </c>
      <c r="F37" s="18" t="s">
        <v>64</v>
      </c>
      <c r="G37" s="19">
        <v>4.766</v>
      </c>
      <c r="H37" s="19">
        <v>555.45600000000002</v>
      </c>
      <c r="I37" s="20"/>
      <c r="J37" s="17"/>
      <c r="K37" s="17"/>
      <c r="L37" s="17"/>
    </row>
    <row r="38" spans="1:12" ht="14.25" customHeight="1" x14ac:dyDescent="0.25">
      <c r="A38" s="18" t="s">
        <v>65</v>
      </c>
      <c r="B38" s="19">
        <v>10.135999999999999</v>
      </c>
      <c r="C38" s="19">
        <v>1093</v>
      </c>
      <c r="D38" s="20"/>
      <c r="E38" s="20">
        <v>1500</v>
      </c>
      <c r="F38" s="18" t="s">
        <v>66</v>
      </c>
      <c r="G38" s="19">
        <v>6.6989999999999998</v>
      </c>
      <c r="H38" s="19">
        <v>870.28700000000003</v>
      </c>
      <c r="I38" s="20"/>
      <c r="J38" s="17"/>
      <c r="K38" s="17"/>
      <c r="L38" s="17"/>
    </row>
    <row r="39" spans="1:12" ht="14.25" customHeight="1" x14ac:dyDescent="0.25">
      <c r="A39" s="18" t="s">
        <v>67</v>
      </c>
      <c r="B39" s="19">
        <v>8.6720000000000006</v>
      </c>
      <c r="C39" s="19">
        <v>936.67600000000004</v>
      </c>
      <c r="D39" s="20"/>
      <c r="E39" s="20">
        <v>1500</v>
      </c>
      <c r="F39" s="18" t="s">
        <v>68</v>
      </c>
      <c r="G39" s="19">
        <v>5.4290000000000003</v>
      </c>
      <c r="H39" s="19">
        <v>706.33500000000004</v>
      </c>
      <c r="I39" s="20"/>
      <c r="J39" s="17"/>
      <c r="K39" s="17"/>
      <c r="L39" s="17"/>
    </row>
    <row r="40" spans="1:12" ht="14.25" customHeight="1" x14ac:dyDescent="0.25">
      <c r="A40" s="18" t="s">
        <v>19</v>
      </c>
      <c r="B40" s="20"/>
      <c r="C40" s="20"/>
      <c r="D40" s="20"/>
      <c r="E40" s="20"/>
      <c r="F40" s="18" t="s">
        <v>19</v>
      </c>
      <c r="G40" s="20"/>
      <c r="H40" s="20"/>
      <c r="I40" s="20"/>
      <c r="J40" s="17"/>
      <c r="K40" s="17"/>
      <c r="L40" s="17"/>
    </row>
    <row r="41" spans="1:12" ht="14.25" customHeight="1" x14ac:dyDescent="0.25">
      <c r="A41" s="51" t="s">
        <v>69</v>
      </c>
      <c r="B41" s="52"/>
      <c r="C41" s="52"/>
      <c r="D41" s="53"/>
      <c r="E41" s="20"/>
      <c r="F41" s="51" t="s">
        <v>70</v>
      </c>
      <c r="G41" s="52"/>
      <c r="H41" s="52"/>
      <c r="I41" s="53"/>
      <c r="J41" s="17"/>
      <c r="K41" s="17"/>
      <c r="L41" s="17"/>
    </row>
    <row r="42" spans="1:12" ht="14.25" customHeight="1" x14ac:dyDescent="0.25">
      <c r="A42" s="18" t="s">
        <v>71</v>
      </c>
      <c r="B42" s="22">
        <v>11.791</v>
      </c>
      <c r="C42" s="22">
        <v>1978.5740000000001</v>
      </c>
      <c r="D42" s="20"/>
      <c r="E42" s="20">
        <v>2600</v>
      </c>
      <c r="F42" s="18" t="s">
        <v>72</v>
      </c>
      <c r="G42" s="19">
        <v>5.6559999999999997</v>
      </c>
      <c r="H42" s="19">
        <v>263.30500000000001</v>
      </c>
      <c r="I42" s="20"/>
      <c r="J42" s="23">
        <v>1978.5740000000001</v>
      </c>
      <c r="K42" s="17"/>
      <c r="L42" s="17"/>
    </row>
    <row r="43" spans="1:12" ht="14.25" customHeight="1" x14ac:dyDescent="0.25">
      <c r="A43" s="18" t="s">
        <v>73</v>
      </c>
      <c r="B43" s="19">
        <v>15.118</v>
      </c>
      <c r="C43" s="19">
        <v>2538.1819999999998</v>
      </c>
      <c r="D43" s="20"/>
      <c r="E43" s="20">
        <v>2600</v>
      </c>
      <c r="F43" s="18" t="s">
        <v>74</v>
      </c>
      <c r="G43" s="19">
        <v>6.4509999999999996</v>
      </c>
      <c r="H43" s="19">
        <v>314.79300000000001</v>
      </c>
      <c r="I43" s="20"/>
      <c r="J43" s="17"/>
      <c r="K43" s="17"/>
      <c r="L43" s="17"/>
    </row>
    <row r="44" spans="1:12" ht="14.25" customHeight="1" x14ac:dyDescent="0.25">
      <c r="A44" s="18" t="s">
        <v>75</v>
      </c>
      <c r="B44" s="19">
        <v>13.141</v>
      </c>
      <c r="C44" s="19">
        <v>1253.5329999999999</v>
      </c>
      <c r="D44" s="20"/>
      <c r="E44" s="20">
        <v>1300</v>
      </c>
      <c r="F44" s="18" t="s">
        <v>19</v>
      </c>
      <c r="G44" s="20"/>
      <c r="H44" s="20"/>
      <c r="I44" s="20"/>
      <c r="J44" s="17"/>
      <c r="K44" s="17"/>
      <c r="L44" s="17"/>
    </row>
    <row r="45" spans="1:12" ht="14.25" customHeight="1" x14ac:dyDescent="0.25">
      <c r="A45" s="18" t="s">
        <v>19</v>
      </c>
      <c r="B45" s="20"/>
      <c r="C45" s="20"/>
      <c r="D45" s="20"/>
      <c r="E45" s="20">
        <v>6500</v>
      </c>
      <c r="F45" s="51" t="s">
        <v>76</v>
      </c>
      <c r="G45" s="52"/>
      <c r="H45" s="52"/>
      <c r="I45" s="53"/>
      <c r="J45" s="17"/>
      <c r="K45" s="17"/>
      <c r="L45" s="17"/>
    </row>
    <row r="46" spans="1:12" ht="14.25" customHeight="1" x14ac:dyDescent="0.25">
      <c r="A46" s="18"/>
      <c r="B46" s="20"/>
      <c r="C46" s="20"/>
      <c r="D46" s="20"/>
      <c r="E46" s="20"/>
      <c r="F46" s="18" t="s">
        <v>77</v>
      </c>
      <c r="G46" s="19">
        <v>34.183999999999997</v>
      </c>
      <c r="H46" s="19">
        <v>30.765999999999998</v>
      </c>
      <c r="I46" s="20"/>
      <c r="J46" s="17"/>
      <c r="K46" s="17"/>
      <c r="L46" s="17"/>
    </row>
    <row r="47" spans="1:12" ht="14.25" customHeight="1" x14ac:dyDescent="0.25">
      <c r="A47" s="51" t="s">
        <v>78</v>
      </c>
      <c r="B47" s="52"/>
      <c r="C47" s="52"/>
      <c r="D47" s="53"/>
      <c r="E47" s="20"/>
      <c r="F47" s="18" t="s">
        <v>79</v>
      </c>
      <c r="G47" s="19">
        <v>68.787000000000006</v>
      </c>
      <c r="H47" s="19">
        <v>61.908000000000001</v>
      </c>
      <c r="I47" s="20"/>
      <c r="J47" s="17"/>
      <c r="K47" s="17"/>
      <c r="L47" s="17"/>
    </row>
    <row r="48" spans="1:12" ht="14.25" customHeight="1" x14ac:dyDescent="0.25">
      <c r="A48" s="18" t="s">
        <v>80</v>
      </c>
      <c r="B48" s="19">
        <v>3.5139999999999998</v>
      </c>
      <c r="C48" s="19">
        <v>127.971</v>
      </c>
      <c r="D48" s="20"/>
      <c r="E48" s="20">
        <v>430</v>
      </c>
      <c r="F48" s="18" t="s">
        <v>81</v>
      </c>
      <c r="G48" s="19">
        <v>24.747</v>
      </c>
      <c r="H48" s="19">
        <v>65.084000000000003</v>
      </c>
      <c r="I48" s="20"/>
      <c r="J48" s="17"/>
      <c r="K48" s="17"/>
      <c r="L48" s="17"/>
    </row>
    <row r="49" spans="1:12" ht="14.25" customHeight="1" x14ac:dyDescent="0.25">
      <c r="A49" s="18" t="s">
        <v>82</v>
      </c>
      <c r="B49" s="19">
        <v>4.2549999999999999</v>
      </c>
      <c r="C49" s="19">
        <v>173.08199999999999</v>
      </c>
      <c r="D49" s="20"/>
      <c r="E49" s="20">
        <v>460</v>
      </c>
      <c r="F49" s="18" t="s">
        <v>83</v>
      </c>
      <c r="G49" s="19">
        <v>70.040999999999997</v>
      </c>
      <c r="H49" s="19">
        <v>184.20699999999999</v>
      </c>
      <c r="I49" s="20"/>
      <c r="J49" s="17"/>
      <c r="K49" s="17"/>
      <c r="L49" s="17"/>
    </row>
    <row r="50" spans="1:12" ht="14.25" customHeight="1" x14ac:dyDescent="0.25">
      <c r="A50" s="18" t="s">
        <v>19</v>
      </c>
      <c r="B50" s="20"/>
      <c r="C50" s="20"/>
      <c r="D50" s="20"/>
      <c r="E50" s="20"/>
      <c r="F50" s="18" t="s">
        <v>19</v>
      </c>
      <c r="G50" s="20"/>
      <c r="H50" s="20"/>
      <c r="I50" s="20"/>
      <c r="J50" s="17"/>
      <c r="K50" s="17"/>
      <c r="L50" s="17"/>
    </row>
    <row r="51" spans="1:12" ht="14.25" customHeight="1" x14ac:dyDescent="0.25">
      <c r="A51" s="57" t="s">
        <v>84</v>
      </c>
      <c r="B51" s="58"/>
      <c r="C51" s="61" t="s">
        <v>85</v>
      </c>
      <c r="D51" s="61" t="s">
        <v>86</v>
      </c>
      <c r="E51" s="24"/>
      <c r="F51" s="51" t="s">
        <v>87</v>
      </c>
      <c r="G51" s="53"/>
      <c r="H51" s="25" t="s">
        <v>88</v>
      </c>
      <c r="I51" s="25" t="s">
        <v>89</v>
      </c>
      <c r="J51" s="17"/>
      <c r="K51" s="17"/>
      <c r="L51" s="17"/>
    </row>
    <row r="52" spans="1:12" ht="14.25" customHeight="1" x14ac:dyDescent="0.25">
      <c r="A52" s="59"/>
      <c r="B52" s="60"/>
      <c r="C52" s="62"/>
      <c r="D52" s="62"/>
      <c r="E52" s="26"/>
      <c r="F52" s="27" t="s">
        <v>91</v>
      </c>
      <c r="G52" s="28">
        <v>164</v>
      </c>
      <c r="H52" s="29">
        <v>18.5</v>
      </c>
      <c r="I52" s="28">
        <v>1002</v>
      </c>
      <c r="J52" s="17"/>
      <c r="K52" s="17"/>
      <c r="L52" s="17"/>
    </row>
    <row r="53" spans="1:12" ht="14.25" customHeight="1" x14ac:dyDescent="0.25">
      <c r="A53" s="27" t="s">
        <v>90</v>
      </c>
      <c r="B53" s="28">
        <v>4280</v>
      </c>
      <c r="C53" s="29">
        <v>120000.000388416</v>
      </c>
      <c r="D53" s="28"/>
      <c r="E53" s="27"/>
      <c r="F53" s="27" t="s">
        <v>93</v>
      </c>
      <c r="G53" s="28">
        <v>671</v>
      </c>
      <c r="H53" s="29">
        <v>46.4</v>
      </c>
      <c r="I53" s="28">
        <v>4169</v>
      </c>
      <c r="J53" s="17"/>
      <c r="K53" s="17"/>
      <c r="L53" s="17"/>
    </row>
    <row r="54" spans="1:12" ht="14.25" customHeight="1" x14ac:dyDescent="0.25">
      <c r="A54" s="27"/>
      <c r="B54" s="28"/>
      <c r="C54" s="27"/>
      <c r="D54" s="28"/>
      <c r="E54" s="27"/>
      <c r="F54" s="27"/>
      <c r="G54" s="27"/>
      <c r="H54" s="27"/>
      <c r="I54" s="27"/>
      <c r="J54" s="17"/>
      <c r="K54" s="17"/>
      <c r="L54" s="17"/>
    </row>
    <row r="55" spans="1:12" ht="14.25" customHeight="1" x14ac:dyDescent="0.25">
      <c r="A55" s="27"/>
      <c r="B55" s="28"/>
      <c r="C55" s="27"/>
      <c r="D55" s="28"/>
      <c r="E55" s="27"/>
      <c r="F55" s="29">
        <v>15000.000048551999</v>
      </c>
      <c r="G55" s="27"/>
      <c r="H55" s="27"/>
      <c r="I55" s="27"/>
      <c r="J55" s="17"/>
      <c r="K55" s="17"/>
      <c r="L55" s="17"/>
    </row>
    <row r="56" spans="1:12" ht="14.25" customHeight="1" x14ac:dyDescent="0.25">
      <c r="A56" s="27" t="s">
        <v>92</v>
      </c>
      <c r="B56" s="30">
        <v>4871</v>
      </c>
      <c r="C56" s="29">
        <v>128000.00016</v>
      </c>
      <c r="D56" s="30"/>
      <c r="E56" s="27"/>
      <c r="F56" s="27" t="s">
        <v>95</v>
      </c>
      <c r="G56" s="28">
        <v>183</v>
      </c>
      <c r="H56" s="29">
        <v>29</v>
      </c>
      <c r="I56" s="28">
        <v>1125</v>
      </c>
      <c r="J56" s="17"/>
      <c r="K56" s="17"/>
      <c r="L56" s="17"/>
    </row>
    <row r="57" spans="1:12" ht="14.25" customHeight="1" x14ac:dyDescent="0.25">
      <c r="A57" s="27"/>
      <c r="B57" s="30"/>
      <c r="C57" s="27"/>
      <c r="D57" s="30"/>
      <c r="E57" s="27"/>
      <c r="F57" s="27"/>
      <c r="G57" s="27"/>
      <c r="H57" s="27"/>
      <c r="I57" s="27"/>
      <c r="J57" s="17"/>
      <c r="K57" s="17"/>
      <c r="L57" s="17"/>
    </row>
    <row r="58" spans="1:12" ht="14.25" customHeight="1" x14ac:dyDescent="0.25">
      <c r="A58" s="27" t="s">
        <v>94</v>
      </c>
      <c r="B58" s="30">
        <v>4135</v>
      </c>
      <c r="C58" s="29">
        <v>117000</v>
      </c>
      <c r="D58" s="30"/>
      <c r="E58" s="27"/>
      <c r="F58" s="27" t="s">
        <v>97</v>
      </c>
      <c r="G58" s="28">
        <v>604</v>
      </c>
      <c r="H58" s="29">
        <v>65</v>
      </c>
      <c r="I58" s="28">
        <v>3775</v>
      </c>
      <c r="J58" s="17"/>
      <c r="K58" s="17"/>
      <c r="L58" s="17"/>
    </row>
    <row r="59" spans="1:12" ht="14.25" customHeight="1" x14ac:dyDescent="0.25">
      <c r="A59" s="27"/>
      <c r="B59" s="30"/>
      <c r="C59" s="27"/>
      <c r="D59" s="30"/>
      <c r="E59" s="27"/>
      <c r="F59" s="27"/>
      <c r="G59" s="27"/>
      <c r="H59" s="27"/>
      <c r="I59" s="27"/>
      <c r="J59" s="17"/>
      <c r="K59" s="17"/>
      <c r="L59" s="17"/>
    </row>
    <row r="60" spans="1:12" ht="14.25" customHeight="1" x14ac:dyDescent="0.25">
      <c r="A60" s="27"/>
      <c r="B60" s="30"/>
      <c r="C60" s="27"/>
      <c r="D60" s="30"/>
      <c r="E60" s="27"/>
      <c r="F60" s="27"/>
      <c r="G60" s="27"/>
      <c r="H60" s="27"/>
      <c r="I60" s="27"/>
      <c r="J60" s="17"/>
      <c r="K60" s="17"/>
      <c r="L60" s="17"/>
    </row>
    <row r="61" spans="1:12" ht="14.25" customHeight="1" x14ac:dyDescent="0.25">
      <c r="A61" s="27" t="s">
        <v>96</v>
      </c>
      <c r="B61" s="30">
        <v>2156</v>
      </c>
      <c r="C61" s="29">
        <v>68000.003200799998</v>
      </c>
      <c r="D61" s="30"/>
      <c r="E61" s="27"/>
      <c r="F61" s="27" t="s">
        <v>99</v>
      </c>
      <c r="G61" s="28">
        <v>0</v>
      </c>
      <c r="H61" s="28">
        <v>0</v>
      </c>
      <c r="I61" s="28">
        <v>3640</v>
      </c>
      <c r="J61" s="28">
        <v>0</v>
      </c>
      <c r="K61" s="17"/>
      <c r="L61" s="17"/>
    </row>
    <row r="62" spans="1:12" ht="14.25" customHeight="1" x14ac:dyDescent="0.25">
      <c r="A62" s="27"/>
      <c r="B62" s="30"/>
      <c r="C62" s="27"/>
      <c r="D62" s="30"/>
      <c r="E62" s="27"/>
      <c r="F62" s="27"/>
      <c r="G62" s="28">
        <v>0</v>
      </c>
      <c r="H62" s="28"/>
      <c r="I62" s="28">
        <v>0</v>
      </c>
      <c r="J62" s="28">
        <v>0</v>
      </c>
      <c r="K62" s="17"/>
      <c r="L62" s="17"/>
    </row>
    <row r="63" spans="1:12" ht="14.25" customHeight="1" x14ac:dyDescent="0.25">
      <c r="A63" s="27"/>
      <c r="B63" s="30"/>
      <c r="C63" s="27"/>
      <c r="D63" s="30"/>
      <c r="E63" s="27"/>
      <c r="F63" s="27"/>
      <c r="G63" s="28">
        <v>0</v>
      </c>
      <c r="H63" s="28">
        <v>16</v>
      </c>
      <c r="I63" s="28">
        <v>20</v>
      </c>
      <c r="J63" s="28">
        <v>96</v>
      </c>
      <c r="K63" s="17"/>
      <c r="L63" s="17"/>
    </row>
    <row r="64" spans="1:12" ht="14.25" customHeight="1" x14ac:dyDescent="0.25">
      <c r="A64" s="27" t="s">
        <v>98</v>
      </c>
      <c r="B64" s="31">
        <v>1730</v>
      </c>
      <c r="C64" s="29">
        <v>56000.004594456703</v>
      </c>
      <c r="D64" s="31"/>
      <c r="E64" s="27"/>
      <c r="F64" s="27"/>
      <c r="G64" s="28">
        <v>0</v>
      </c>
      <c r="H64" s="29">
        <v>96.5</v>
      </c>
      <c r="I64" s="28">
        <v>0</v>
      </c>
      <c r="J64" s="17"/>
      <c r="K64" s="17"/>
      <c r="L64" s="17"/>
    </row>
    <row r="65" spans="1:12" ht="14.25" customHeight="1" x14ac:dyDescent="0.25">
      <c r="A65" s="27"/>
      <c r="B65" s="31">
        <v>0</v>
      </c>
      <c r="C65" s="27"/>
      <c r="D65" s="31"/>
      <c r="E65" s="27"/>
      <c r="F65" s="27"/>
      <c r="G65" s="28"/>
      <c r="H65" s="27"/>
      <c r="I65" s="28">
        <v>0</v>
      </c>
      <c r="J65" s="17"/>
      <c r="K65" s="17"/>
      <c r="L65" s="17"/>
    </row>
    <row r="66" spans="1:12" ht="14.25" customHeight="1" x14ac:dyDescent="0.25">
      <c r="A66" s="27" t="s">
        <v>100</v>
      </c>
      <c r="B66" s="31">
        <v>1632</v>
      </c>
      <c r="C66" s="29">
        <v>56168.510124831198</v>
      </c>
      <c r="D66" s="31"/>
      <c r="E66" s="27"/>
      <c r="F66" s="27"/>
      <c r="G66" s="28">
        <v>0</v>
      </c>
      <c r="H66" s="27"/>
      <c r="I66" s="28">
        <v>0</v>
      </c>
      <c r="J66" s="17"/>
      <c r="K66" s="17"/>
      <c r="L66" s="17"/>
    </row>
    <row r="67" spans="1:12" ht="14.25" customHeight="1" x14ac:dyDescent="0.25">
      <c r="A67" s="27"/>
      <c r="B67" s="31">
        <v>125</v>
      </c>
      <c r="C67" s="27"/>
      <c r="D67" s="31"/>
      <c r="E67" s="27"/>
      <c r="F67" s="27" t="s">
        <v>101</v>
      </c>
      <c r="G67" s="28">
        <v>870</v>
      </c>
      <c r="H67" s="29">
        <v>80.900000000000006</v>
      </c>
      <c r="I67" s="28">
        <v>5387</v>
      </c>
      <c r="J67" s="17"/>
      <c r="K67" s="17"/>
      <c r="L67" s="17"/>
    </row>
    <row r="68" spans="1:12" ht="14.25" customHeight="1" x14ac:dyDescent="0.25">
      <c r="A68" s="27" t="s">
        <v>102</v>
      </c>
      <c r="B68" s="31">
        <v>627</v>
      </c>
      <c r="C68" s="29">
        <v>18134.7112405033</v>
      </c>
      <c r="D68" s="31"/>
      <c r="E68" s="27"/>
      <c r="F68" s="27"/>
      <c r="G68" s="28">
        <v>697</v>
      </c>
      <c r="H68" s="29">
        <v>52.7</v>
      </c>
      <c r="I68" s="27"/>
      <c r="J68" s="17"/>
      <c r="K68" s="17"/>
      <c r="L68" s="17"/>
    </row>
    <row r="69" spans="1:12" ht="14.25" customHeight="1" x14ac:dyDescent="0.25">
      <c r="A69" s="27" t="s">
        <v>104</v>
      </c>
      <c r="B69" s="31">
        <v>995</v>
      </c>
      <c r="C69" s="29">
        <v>27692.31</v>
      </c>
      <c r="D69" s="31"/>
      <c r="E69" s="27"/>
      <c r="F69" s="27" t="s">
        <v>103</v>
      </c>
      <c r="G69" s="28">
        <v>465</v>
      </c>
      <c r="H69" s="29">
        <v>27</v>
      </c>
      <c r="I69" s="28">
        <v>2839</v>
      </c>
      <c r="J69" s="17"/>
      <c r="K69" s="17"/>
      <c r="L69" s="17"/>
    </row>
    <row r="70" spans="1:12" ht="14.25" customHeight="1" x14ac:dyDescent="0.25">
      <c r="A70" s="27"/>
      <c r="B70" s="31">
        <v>1E-4</v>
      </c>
      <c r="C70" s="27"/>
      <c r="D70" s="31"/>
      <c r="E70" s="27"/>
      <c r="F70" s="27"/>
      <c r="G70" s="27"/>
      <c r="H70" s="27"/>
      <c r="I70" s="27"/>
      <c r="J70" s="17"/>
      <c r="K70" s="17"/>
      <c r="L70" s="17"/>
    </row>
    <row r="71" spans="1:12" ht="14.25" customHeight="1" x14ac:dyDescent="0.25">
      <c r="A71" s="27" t="s">
        <v>106</v>
      </c>
      <c r="B71" s="31">
        <v>304</v>
      </c>
      <c r="C71" s="29">
        <v>51348.616346740397</v>
      </c>
      <c r="D71" s="31"/>
      <c r="E71" s="27"/>
      <c r="F71" s="27" t="s">
        <v>105</v>
      </c>
      <c r="G71" s="28">
        <v>352</v>
      </c>
      <c r="H71" s="29">
        <v>21</v>
      </c>
      <c r="I71" s="28">
        <v>2168</v>
      </c>
      <c r="J71" s="17"/>
      <c r="K71" s="17"/>
      <c r="L71" s="17"/>
    </row>
    <row r="72" spans="1:12" ht="14.25" customHeight="1" x14ac:dyDescent="0.25">
      <c r="A72" s="27"/>
      <c r="B72" s="31">
        <v>311</v>
      </c>
      <c r="C72" s="27"/>
      <c r="D72" s="31"/>
      <c r="E72" s="27"/>
      <c r="F72" s="27" t="s">
        <v>110</v>
      </c>
      <c r="G72" s="27"/>
      <c r="H72" s="27"/>
      <c r="I72" s="27"/>
      <c r="J72" s="17"/>
      <c r="K72" s="17"/>
      <c r="L72" s="17"/>
    </row>
    <row r="73" spans="1:12" ht="14.25" customHeight="1" x14ac:dyDescent="0.25">
      <c r="A73" s="27"/>
      <c r="B73" s="31">
        <v>449</v>
      </c>
      <c r="C73" s="27"/>
      <c r="D73" s="31"/>
      <c r="E73" s="27"/>
      <c r="F73" s="27"/>
      <c r="G73" s="27"/>
      <c r="H73" s="27"/>
      <c r="I73" s="27"/>
      <c r="J73" s="17"/>
      <c r="K73" s="17"/>
      <c r="L73" s="17"/>
    </row>
    <row r="74" spans="1:12" ht="14.25" customHeight="1" x14ac:dyDescent="0.25">
      <c r="A74" s="32"/>
      <c r="B74" s="31">
        <v>637</v>
      </c>
      <c r="C74" s="32"/>
      <c r="D74" s="31"/>
      <c r="E74" s="27"/>
      <c r="F74" s="27" t="s">
        <v>111</v>
      </c>
      <c r="G74" s="27">
        <v>0</v>
      </c>
      <c r="H74" s="27" t="s">
        <v>112</v>
      </c>
      <c r="I74" s="27">
        <v>0</v>
      </c>
      <c r="J74" s="17"/>
      <c r="K74" s="17"/>
      <c r="L74" s="17"/>
    </row>
    <row r="75" spans="1:12" ht="14.25" customHeight="1" x14ac:dyDescent="0.25">
      <c r="A75" s="27" t="s">
        <v>113</v>
      </c>
      <c r="B75" s="28">
        <v>981</v>
      </c>
      <c r="C75" s="29">
        <v>34656.162843325503</v>
      </c>
      <c r="D75" s="28"/>
      <c r="E75" s="33"/>
      <c r="F75" s="27"/>
      <c r="G75" s="27"/>
      <c r="H75" s="27"/>
      <c r="I75" s="27"/>
      <c r="J75" s="17"/>
      <c r="K75" s="17"/>
      <c r="L75" s="17"/>
    </row>
    <row r="76" spans="1:12" ht="14.25" customHeight="1" x14ac:dyDescent="0.25">
      <c r="A76" s="27"/>
      <c r="B76" s="28">
        <v>62</v>
      </c>
      <c r="C76" s="27"/>
      <c r="D76" s="28"/>
      <c r="E76" s="33"/>
      <c r="F76" s="27"/>
      <c r="G76" s="27"/>
      <c r="H76" s="27"/>
      <c r="I76" s="27"/>
      <c r="J76" s="17"/>
      <c r="K76" s="17"/>
      <c r="L76" s="17"/>
    </row>
    <row r="77" spans="1:12" ht="14.25" customHeight="1" x14ac:dyDescent="0.25">
      <c r="A77" s="27" t="s">
        <v>114</v>
      </c>
      <c r="B77" s="28">
        <v>184</v>
      </c>
      <c r="C77" s="29">
        <v>38019.958738818197</v>
      </c>
      <c r="D77" s="28"/>
      <c r="E77" s="33"/>
      <c r="F77" s="27"/>
      <c r="G77" s="27"/>
      <c r="H77" s="27"/>
      <c r="I77" s="27"/>
      <c r="J77" s="17"/>
      <c r="K77" s="17"/>
      <c r="L77" s="17"/>
    </row>
    <row r="78" spans="1:12" ht="14.25" customHeight="1" x14ac:dyDescent="0.3">
      <c r="A78" s="20"/>
      <c r="B78" s="28">
        <v>957</v>
      </c>
      <c r="C78" s="20"/>
      <c r="D78" s="28"/>
      <c r="E78" s="20"/>
      <c r="F78" s="27" t="s">
        <v>115</v>
      </c>
      <c r="G78" s="34"/>
      <c r="H78" s="27" t="s">
        <v>116</v>
      </c>
      <c r="I78" s="27">
        <v>0</v>
      </c>
      <c r="J78" s="17"/>
      <c r="K78" s="17"/>
      <c r="L78" s="17"/>
    </row>
    <row r="79" spans="1:12" ht="14.25" customHeight="1" x14ac:dyDescent="0.25">
      <c r="A79" s="20"/>
      <c r="B79" s="28">
        <v>241</v>
      </c>
      <c r="C79" s="20"/>
      <c r="D79" s="28"/>
      <c r="E79" s="20"/>
      <c r="F79" s="27"/>
      <c r="G79" s="17"/>
      <c r="H79" s="27"/>
      <c r="I79" s="27"/>
      <c r="J79" s="17"/>
      <c r="K79" s="17"/>
      <c r="L79" s="17"/>
    </row>
    <row r="80" spans="1:12" ht="14.25" customHeight="1" x14ac:dyDescent="0.25">
      <c r="A80" s="17"/>
      <c r="B80" s="28">
        <v>0</v>
      </c>
      <c r="C80" s="17"/>
      <c r="D80" s="28"/>
      <c r="E80" s="17"/>
      <c r="F80" s="27" t="s">
        <v>117</v>
      </c>
      <c r="G80" s="27">
        <v>283.64</v>
      </c>
      <c r="H80" s="27"/>
      <c r="I80" s="27"/>
      <c r="J80" s="17"/>
      <c r="K80" s="17"/>
      <c r="L80" s="17"/>
    </row>
    <row r="81" spans="1:12" ht="14.25" customHeight="1" x14ac:dyDescent="0.25">
      <c r="A81" s="17"/>
      <c r="B81" s="35"/>
      <c r="C81" s="17"/>
      <c r="D81" s="17"/>
      <c r="E81" s="17"/>
      <c r="F81" s="20"/>
      <c r="G81" s="20"/>
      <c r="H81" s="20"/>
      <c r="I81" s="20"/>
      <c r="J81" s="17"/>
      <c r="K81" s="17"/>
      <c r="L81" s="17"/>
    </row>
    <row r="82" spans="1:12" ht="14.25" customHeight="1" x14ac:dyDescent="0.25">
      <c r="A82" s="17"/>
      <c r="B82" s="35"/>
      <c r="C82" s="17"/>
      <c r="D82" s="17"/>
      <c r="E82" s="17"/>
      <c r="F82" s="20"/>
      <c r="G82" s="20"/>
      <c r="H82" s="20"/>
      <c r="I82" s="20"/>
      <c r="J82" s="17"/>
      <c r="K82" s="17"/>
      <c r="L82" s="17"/>
    </row>
    <row r="83" spans="1:12" ht="14.25" customHeight="1" x14ac:dyDescent="0.25">
      <c r="A83" s="17"/>
      <c r="B83" s="35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spans="1:12" ht="14.25" customHeight="1" x14ac:dyDescent="0.25">
      <c r="A84" s="17"/>
      <c r="B84" s="35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spans="1:12" ht="14.25" customHeight="1" x14ac:dyDescent="0.25">
      <c r="A85" s="17"/>
      <c r="B85" s="35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1:12" ht="14.25" customHeight="1" x14ac:dyDescent="0.25">
      <c r="A86" s="17"/>
      <c r="B86" s="35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spans="1:12" ht="14.25" customHeight="1" x14ac:dyDescent="0.25">
      <c r="A87" s="27" t="s">
        <v>118</v>
      </c>
      <c r="B87" s="48"/>
      <c r="C87" s="49"/>
      <c r="D87" s="50"/>
      <c r="E87" s="36"/>
      <c r="F87" s="27" t="s">
        <v>119</v>
      </c>
      <c r="G87" s="37"/>
      <c r="H87" s="17"/>
      <c r="I87" s="17"/>
      <c r="J87" s="17"/>
      <c r="K87" s="17"/>
      <c r="L87" s="17"/>
    </row>
    <row r="88" spans="1:12" ht="14.25" customHeight="1" x14ac:dyDescent="0.25">
      <c r="A88" s="17"/>
      <c r="B88" s="37"/>
      <c r="C88" s="17"/>
      <c r="D88" s="17"/>
      <c r="E88" s="17"/>
      <c r="F88" s="17"/>
      <c r="G88" s="37"/>
      <c r="H88" s="17"/>
      <c r="I88" s="17"/>
      <c r="J88" s="17"/>
      <c r="K88" s="17"/>
      <c r="L88" s="17"/>
    </row>
    <row r="89" spans="1:12" ht="14.25" customHeight="1" x14ac:dyDescent="0.25">
      <c r="A89" s="17"/>
      <c r="B89" s="17"/>
      <c r="C89" s="17"/>
      <c r="D89" s="17"/>
      <c r="E89" s="17"/>
      <c r="F89" s="17"/>
      <c r="G89" s="37"/>
      <c r="H89" s="17"/>
      <c r="I89" s="17"/>
      <c r="J89" s="17"/>
      <c r="K89" s="17"/>
      <c r="L89" s="17"/>
    </row>
    <row r="90" spans="1:12" ht="14.2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 spans="1:12" ht="14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spans="1:12" ht="14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 spans="1:12" ht="14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spans="1:12" ht="14.25" customHeight="1" x14ac:dyDescent="0.25">
      <c r="A94" s="27" t="s">
        <v>90</v>
      </c>
      <c r="B94" s="28">
        <v>24606</v>
      </c>
      <c r="C94" s="17"/>
      <c r="D94" s="27" t="s">
        <v>91</v>
      </c>
      <c r="E94" s="28">
        <v>1002</v>
      </c>
      <c r="F94" s="17"/>
      <c r="G94" s="17"/>
      <c r="H94" s="17"/>
      <c r="I94" s="17"/>
      <c r="J94" s="17"/>
      <c r="K94" s="17"/>
      <c r="L94" s="17"/>
    </row>
    <row r="95" spans="1:12" ht="14.25" customHeight="1" x14ac:dyDescent="0.25">
      <c r="A95" s="27" t="s">
        <v>92</v>
      </c>
      <c r="B95" s="28">
        <v>29413</v>
      </c>
      <c r="C95" s="17"/>
      <c r="D95" s="27" t="s">
        <v>93</v>
      </c>
      <c r="E95" s="28">
        <v>3984</v>
      </c>
      <c r="F95" s="17"/>
      <c r="G95" s="17"/>
      <c r="H95" s="17"/>
      <c r="I95" s="17"/>
      <c r="J95" s="17"/>
      <c r="K95" s="17"/>
      <c r="L95" s="17"/>
    </row>
    <row r="96" spans="1:12" ht="14.25" customHeight="1" x14ac:dyDescent="0.25">
      <c r="A96" s="27" t="s">
        <v>94</v>
      </c>
      <c r="B96" s="28">
        <v>24918</v>
      </c>
      <c r="C96" s="17"/>
      <c r="D96" s="27" t="s">
        <v>95</v>
      </c>
      <c r="E96" s="28">
        <v>1125</v>
      </c>
      <c r="F96" s="17"/>
      <c r="G96" s="17"/>
      <c r="H96" s="17"/>
      <c r="I96" s="17"/>
      <c r="J96" s="17"/>
      <c r="K96" s="17"/>
      <c r="L96" s="17"/>
    </row>
    <row r="97" spans="1:12" ht="14.25" customHeight="1" x14ac:dyDescent="0.25">
      <c r="A97" s="27" t="s">
        <v>96</v>
      </c>
      <c r="B97" s="28">
        <v>13746</v>
      </c>
      <c r="C97" s="17"/>
      <c r="D97" s="27" t="s">
        <v>97</v>
      </c>
      <c r="E97" s="28">
        <v>3775</v>
      </c>
      <c r="F97" s="17"/>
      <c r="G97" s="17"/>
      <c r="H97" s="17"/>
      <c r="I97" s="17"/>
      <c r="J97" s="17"/>
      <c r="K97" s="17"/>
      <c r="L97" s="17"/>
    </row>
    <row r="98" spans="1:12" ht="14.25" customHeight="1" x14ac:dyDescent="0.25">
      <c r="A98" s="27" t="s">
        <v>98</v>
      </c>
      <c r="B98" s="28">
        <v>10624</v>
      </c>
      <c r="C98" s="17"/>
      <c r="D98" s="27" t="s">
        <v>99</v>
      </c>
      <c r="E98" s="28">
        <v>3050</v>
      </c>
      <c r="F98" s="17"/>
      <c r="G98" s="17"/>
      <c r="H98" s="17"/>
      <c r="I98" s="17"/>
      <c r="J98" s="17"/>
      <c r="K98" s="17"/>
      <c r="L98" s="17"/>
    </row>
    <row r="99" spans="1:12" ht="14.25" customHeight="1" x14ac:dyDescent="0.25">
      <c r="A99" s="27" t="s">
        <v>100</v>
      </c>
      <c r="B99" s="28">
        <v>9607</v>
      </c>
      <c r="C99" s="17"/>
      <c r="D99" s="27" t="s">
        <v>101</v>
      </c>
      <c r="E99" s="28">
        <v>9500</v>
      </c>
      <c r="F99" s="17"/>
      <c r="G99" s="17"/>
      <c r="H99" s="17"/>
      <c r="I99" s="17"/>
      <c r="J99" s="17"/>
      <c r="K99" s="17"/>
      <c r="L99" s="17"/>
    </row>
    <row r="100" spans="1:12" ht="14.25" customHeight="1" x14ac:dyDescent="0.25">
      <c r="A100" s="27" t="s">
        <v>102</v>
      </c>
      <c r="B100" s="28">
        <v>3770</v>
      </c>
      <c r="C100" s="17"/>
      <c r="D100" s="27" t="s">
        <v>103</v>
      </c>
      <c r="E100" s="28">
        <v>2839</v>
      </c>
      <c r="F100" s="17"/>
      <c r="G100" s="17"/>
      <c r="H100" s="17"/>
      <c r="I100" s="17"/>
      <c r="J100" s="17"/>
      <c r="K100" s="17"/>
      <c r="L100" s="17"/>
    </row>
    <row r="101" spans="1:12" ht="14.25" customHeight="1" x14ac:dyDescent="0.25">
      <c r="A101" s="27" t="s">
        <v>104</v>
      </c>
      <c r="B101" s="28">
        <v>6093.0002000000004</v>
      </c>
      <c r="C101" s="17"/>
      <c r="D101" s="27" t="s">
        <v>105</v>
      </c>
      <c r="E101" s="28">
        <v>2078</v>
      </c>
      <c r="F101" s="17"/>
      <c r="G101" s="17"/>
      <c r="H101" s="17"/>
      <c r="I101" s="17"/>
      <c r="J101" s="17"/>
      <c r="K101" s="17"/>
      <c r="L101" s="17"/>
    </row>
    <row r="102" spans="1:12" ht="14.25" customHeight="1" x14ac:dyDescent="0.25">
      <c r="A102" s="27" t="s">
        <v>106</v>
      </c>
      <c r="B102" s="28">
        <v>10530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</row>
    <row r="103" spans="1:12" ht="14.25" customHeight="1" x14ac:dyDescent="0.25">
      <c r="A103" s="27" t="s">
        <v>113</v>
      </c>
      <c r="B103" s="28"/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 spans="1:12" ht="14.25" customHeight="1" x14ac:dyDescent="0.25">
      <c r="A104" s="27" t="s">
        <v>114</v>
      </c>
      <c r="B104" s="28"/>
      <c r="C104" s="17"/>
      <c r="D104" s="17"/>
      <c r="E104" s="17"/>
      <c r="F104" s="17"/>
      <c r="G104" s="17"/>
      <c r="H104" s="17"/>
      <c r="I104" s="17"/>
      <c r="J104" s="17"/>
      <c r="K104" s="17"/>
      <c r="L104" s="17"/>
    </row>
  </sheetData>
  <mergeCells count="22">
    <mergeCell ref="F45:I45"/>
    <mergeCell ref="A47:D47"/>
    <mergeCell ref="A51:B52"/>
    <mergeCell ref="C51:C52"/>
    <mergeCell ref="D51:D52"/>
    <mergeCell ref="F51:G51"/>
    <mergeCell ref="B87:D87"/>
    <mergeCell ref="A41:D41"/>
    <mergeCell ref="A35:D35"/>
    <mergeCell ref="F35:I35"/>
    <mergeCell ref="A1:D1"/>
    <mergeCell ref="F1:I1"/>
    <mergeCell ref="A10:D10"/>
    <mergeCell ref="F10:I10"/>
    <mergeCell ref="A17:D17"/>
    <mergeCell ref="F17:I17"/>
    <mergeCell ref="F22:I22"/>
    <mergeCell ref="A23:D23"/>
    <mergeCell ref="F26:I26"/>
    <mergeCell ref="A31:D31"/>
    <mergeCell ref="F31:I31"/>
    <mergeCell ref="F41:I41"/>
  </mergeCells>
  <phoneticPr fontId="8" type="noConversion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延安石油化工厂油品动态 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烨铭 成</cp:lastModifiedBy>
  <dcterms:created xsi:type="dcterms:W3CDTF">2015-06-05T18:19:34Z</dcterms:created>
  <dcterms:modified xsi:type="dcterms:W3CDTF">2026-07-16T10:01:04Z</dcterms:modified>
</cp:coreProperties>
</file>