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880"/>
  </bookViews>
  <sheets>
    <sheet name="延炼数据修改说明表单" sheetId="9" r:id="rId1"/>
    <sheet name="储罐数据" sheetId="1" r:id="rId2"/>
    <sheet name="二次加工装置侧线性质数据" sheetId="2" r:id="rId3"/>
    <sheet name="二次加工装置基础数据" sheetId="7" r:id="rId4"/>
    <sheet name="常压装置Assay数据" sheetId="3" r:id="rId5"/>
    <sheet name="Assay表" sheetId="5" r:id="rId6"/>
    <sheet name="原油性质数据" sheetId="4" r:id="rId7"/>
    <sheet name="成品油调合数据" sheetId="6" r:id="rId8"/>
    <sheet name="产品数据（新增）" sheetId="8" r:id="rId9"/>
    <sheet name="产品价格（新增）" sheetId="10" r:id="rId10"/>
    <sheet name="产品交付需求（新增）" sheetId="11" r:id="rId11"/>
    <sheet name="产品调和数据（新增）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<sst xmlns="http://schemas.openxmlformats.org/spreadsheetml/2006/main" count="2464" uniqueCount="764">
  <si>
    <t>延炼数据修改/更新说明表单</t>
  </si>
  <si>
    <t>修改/更新时间</t>
  </si>
  <si>
    <t>修改/更新人</t>
  </si>
  <si>
    <t>表单名称</t>
  </si>
  <si>
    <t>修改/更新内容</t>
  </si>
  <si>
    <t>与项目组对接</t>
  </si>
  <si>
    <t>备注</t>
  </si>
  <si>
    <t>【示例】2026年9月4日</t>
  </si>
  <si>
    <t>xxx</t>
  </si>
  <si>
    <t>修改/补充/更新源数据xxx为xxx</t>
  </si>
  <si>
    <t>是</t>
  </si>
  <si>
    <t>严宇轩</t>
  </si>
  <si>
    <t>产品数据（新增）</t>
  </si>
  <si>
    <t>新增产品数据</t>
  </si>
  <si>
    <t>否</t>
  </si>
  <si>
    <t>存在问题：1. 有些重要的产品没有对应的物理储罐数据；
2. 缺少部分对应的物理储罐，如聚丙烯</t>
  </si>
  <si>
    <t>谢祉麒</t>
  </si>
  <si>
    <t>产品价格（新增）</t>
  </si>
  <si>
    <t>新增产品价格数据</t>
  </si>
  <si>
    <t>产品交付需求（新增）</t>
  </si>
  <si>
    <t>新增产品交付数据</t>
  </si>
  <si>
    <t>产品调和数据（新增）</t>
  </si>
  <si>
    <t>新增产品调和配方、调和组分性质、产品规格数据</t>
  </si>
  <si>
    <t>延炼储罐数据</t>
  </si>
  <si>
    <t>延石化储罐数据</t>
  </si>
  <si>
    <t>柱罐（立式圆筒油罐）</t>
  </si>
  <si>
    <t>公式</t>
  </si>
  <si>
    <t xml:space="preserve">
直径公式：               
初始液位：</t>
  </si>
  <si>
    <t>(密度/比重)</t>
  </si>
  <si>
    <t>(硫含量)</t>
  </si>
  <si>
    <t>(康氏残炭)</t>
  </si>
  <si>
    <t>(辛烷值)</t>
  </si>
  <si>
    <t>(抗爆指数)</t>
  </si>
  <si>
    <t>(烯烃)</t>
  </si>
  <si>
    <t>(苯)</t>
  </si>
  <si>
    <t>(MTBE)</t>
  </si>
  <si>
    <t>(芳烃含量)</t>
  </si>
  <si>
    <t>物料类别</t>
  </si>
  <si>
    <t>罐号</t>
  </si>
  <si>
    <t>容积V(m³)</t>
  </si>
  <si>
    <t>安全高度/上限H(m)</t>
  </si>
  <si>
    <t>安全高度/下限h(m)</t>
  </si>
  <si>
    <t>计算直径D(m)</t>
  </si>
  <si>
    <t>初始液位(m)</t>
  </si>
  <si>
    <t>米系数(t/m)</t>
  </si>
  <si>
    <t>密度(t/m³)</t>
  </si>
  <si>
    <t>实际罐高(m)</t>
  </si>
  <si>
    <t>SPG</t>
  </si>
  <si>
    <t>SUL</t>
  </si>
  <si>
    <t>CON</t>
  </si>
  <si>
    <t>RON</t>
  </si>
  <si>
    <t>DON</t>
  </si>
  <si>
    <t>OLV</t>
  </si>
  <si>
    <t>BNZ</t>
  </si>
  <si>
    <t>MTE</t>
  </si>
  <si>
    <t>ARW</t>
  </si>
  <si>
    <t>采样点位号</t>
  </si>
  <si>
    <t>原油</t>
  </si>
  <si>
    <t>石脑油</t>
  </si>
  <si>
    <t>T-4101</t>
  </si>
  <si>
    <t>ST040028</t>
  </si>
  <si>
    <t>T-4102</t>
  </si>
  <si>
    <t>ST040029</t>
  </si>
  <si>
    <t>T-4103</t>
  </si>
  <si>
    <t>ST040030</t>
  </si>
  <si>
    <t>T-4104</t>
  </si>
  <si>
    <t>ST040031</t>
  </si>
  <si>
    <t>T-4807</t>
  </si>
  <si>
    <t>—</t>
  </si>
  <si>
    <t>ST040032</t>
  </si>
  <si>
    <t>T-4808</t>
  </si>
  <si>
    <t>ST040033</t>
  </si>
  <si>
    <t>精制油</t>
  </si>
  <si>
    <t>T-4105</t>
  </si>
  <si>
    <t>T-4106</t>
  </si>
  <si>
    <t>原油(航煤掺炼)</t>
  </si>
  <si>
    <t>催化柴油</t>
  </si>
  <si>
    <t>T-4107</t>
  </si>
  <si>
    <t>ST040049</t>
  </si>
  <si>
    <t>原油(环保应急)</t>
  </si>
  <si>
    <t>T-4108</t>
  </si>
  <si>
    <t>ST040050</t>
  </si>
  <si>
    <t>T-4109</t>
  </si>
  <si>
    <t>ST040051</t>
  </si>
  <si>
    <t>T-4110</t>
  </si>
  <si>
    <t>ST040052</t>
  </si>
  <si>
    <t>1#渣油</t>
  </si>
  <si>
    <t>常压柴油</t>
  </si>
  <si>
    <t>T-4809</t>
  </si>
  <si>
    <t>ST040053</t>
  </si>
  <si>
    <t>T-4810</t>
  </si>
  <si>
    <t>ST040055</t>
  </si>
  <si>
    <t>甲醇</t>
  </si>
  <si>
    <t>T-4801</t>
  </si>
  <si>
    <t>ST040056</t>
  </si>
  <si>
    <t>T-4802</t>
  </si>
  <si>
    <t>ST040057</t>
  </si>
  <si>
    <t>MTBE</t>
  </si>
  <si>
    <t>T-4805</t>
  </si>
  <si>
    <t>T-4806</t>
  </si>
  <si>
    <t>轻污油</t>
  </si>
  <si>
    <t>T-4803</t>
  </si>
  <si>
    <t>T-4804</t>
  </si>
  <si>
    <t>1#渣油(备用)</t>
  </si>
  <si>
    <t>催化汽油</t>
  </si>
  <si>
    <t>T-4901</t>
  </si>
  <si>
    <t>2#渣油(备用)</t>
  </si>
  <si>
    <t>T-4902</t>
  </si>
  <si>
    <t>3#渣油(备用)</t>
  </si>
  <si>
    <t>T-4903</t>
  </si>
  <si>
    <t>4#渣油(备用)</t>
  </si>
  <si>
    <t>T-4904</t>
  </si>
  <si>
    <t>T-4905</t>
  </si>
  <si>
    <t>T-4906</t>
  </si>
  <si>
    <t>常压石脑油</t>
  </si>
  <si>
    <t>球罐（气体罐）</t>
  </si>
  <si>
    <t xml:space="preserve">
直径公式：               （按公称容积计算几何直径）
初始液位：
</t>
  </si>
  <si>
    <t>常压直馏柴油</t>
  </si>
  <si>
    <t>过剩精制汽油</t>
  </si>
  <si>
    <t>航煤原料</t>
  </si>
  <si>
    <t>气分原料（精制液化气）</t>
  </si>
  <si>
    <t>T-4201</t>
  </si>
  <si>
    <t>/</t>
  </si>
  <si>
    <t>ST040102</t>
  </si>
  <si>
    <t>T-4202</t>
  </si>
  <si>
    <t>ST040103</t>
  </si>
  <si>
    <t>92#汽油</t>
  </si>
  <si>
    <t>T-4203</t>
  </si>
  <si>
    <t>ST040104</t>
  </si>
  <si>
    <t>T-4204</t>
  </si>
  <si>
    <t>ST040105</t>
  </si>
  <si>
    <t>丙烯（精制）</t>
  </si>
  <si>
    <t>T-4205</t>
  </si>
  <si>
    <t>T-4206</t>
  </si>
  <si>
    <t>T-4207</t>
  </si>
  <si>
    <t>T-4208</t>
  </si>
  <si>
    <t>丙烯</t>
  </si>
  <si>
    <t>T-4209</t>
  </si>
  <si>
    <t>95#汽油</t>
  </si>
  <si>
    <t>T-4210</t>
  </si>
  <si>
    <t>混合碳四</t>
  </si>
  <si>
    <t>T-4301</t>
  </si>
  <si>
    <t>T-4302</t>
  </si>
  <si>
    <t>T-4303</t>
  </si>
  <si>
    <t>饱和液化气</t>
  </si>
  <si>
    <t>T-4304</t>
  </si>
  <si>
    <t>T-4305</t>
  </si>
  <si>
    <t>98#汽油</t>
  </si>
  <si>
    <t>G-821</t>
  </si>
  <si>
    <t>丙烷</t>
  </si>
  <si>
    <t>T-4309</t>
  </si>
  <si>
    <t>ST040314</t>
  </si>
  <si>
    <t>0#柴油</t>
  </si>
  <si>
    <t>T-4310</t>
  </si>
  <si>
    <t>ST040315</t>
  </si>
  <si>
    <t>碳四原料</t>
  </si>
  <si>
    <t>T-4306</t>
  </si>
  <si>
    <t>T-4307</t>
  </si>
  <si>
    <t>T-4308</t>
  </si>
  <si>
    <t>T-41003</t>
  </si>
  <si>
    <t>T-41004</t>
  </si>
  <si>
    <t>T-41005</t>
  </si>
  <si>
    <t>T-41006</t>
  </si>
  <si>
    <t>烷基化油</t>
  </si>
  <si>
    <t>T-41001</t>
  </si>
  <si>
    <t>T-41002</t>
  </si>
  <si>
    <t>3#喷气燃料</t>
  </si>
  <si>
    <t>T-41008</t>
  </si>
  <si>
    <t>烷基化碳四</t>
  </si>
  <si>
    <t>T-44001</t>
  </si>
  <si>
    <t>T-44002</t>
  </si>
  <si>
    <t>富异丁烯</t>
  </si>
  <si>
    <t>T-44003</t>
  </si>
  <si>
    <t>T-44004</t>
  </si>
  <si>
    <t>苯产品</t>
  </si>
  <si>
    <t>D-111A</t>
  </si>
  <si>
    <t>D-111B</t>
  </si>
  <si>
    <t>D-111C</t>
  </si>
  <si>
    <t>二甲苯</t>
  </si>
  <si>
    <t>D-111D</t>
  </si>
  <si>
    <t>苯乙烯</t>
  </si>
  <si>
    <t>共计储罐数</t>
  </si>
  <si>
    <t>甲醇原料</t>
  </si>
  <si>
    <t>乙苯</t>
  </si>
  <si>
    <t>烃化液</t>
  </si>
  <si>
    <t>脱氢液</t>
  </si>
  <si>
    <t>石油苯</t>
  </si>
  <si>
    <t>不合格苯</t>
  </si>
  <si>
    <t>醋酸原料</t>
  </si>
  <si>
    <t>TK3001A</t>
  </si>
  <si>
    <t>TK3001B</t>
  </si>
  <si>
    <t>液化气</t>
  </si>
  <si>
    <t>（未知）</t>
  </si>
  <si>
    <t>精制液化气</t>
  </si>
  <si>
    <t>C4</t>
  </si>
  <si>
    <t>醚后C4</t>
  </si>
  <si>
    <t>醋酸仲丁酯</t>
  </si>
  <si>
    <t>3002A</t>
  </si>
  <si>
    <t>3002B</t>
  </si>
  <si>
    <t>酯后碳四</t>
  </si>
  <si>
    <t>延炼二次加工装置侧线收率与性质</t>
  </si>
  <si>
    <t>延石化二次加工装置侧线收率与性质</t>
  </si>
  <si>
    <t>*</t>
  </si>
  <si>
    <t>200万催化装置</t>
  </si>
  <si>
    <t>120万重整装置</t>
  </si>
  <si>
    <t>TEXT</t>
  </si>
  <si>
    <t>%</t>
  </si>
  <si>
    <t>密度/比重</t>
  </si>
  <si>
    <t>硫含量</t>
  </si>
  <si>
    <t>残炭</t>
  </si>
  <si>
    <t>辛烷值</t>
  </si>
  <si>
    <t>抗爆</t>
  </si>
  <si>
    <t>烯烃</t>
  </si>
  <si>
    <t>苯</t>
  </si>
  <si>
    <t>芳含</t>
  </si>
  <si>
    <t>收率</t>
  </si>
  <si>
    <t>采样点名称</t>
  </si>
  <si>
    <t>密度</t>
  </si>
  <si>
    <t>MBTE</t>
  </si>
  <si>
    <t>固定值</t>
  </si>
  <si>
    <t>传递系数</t>
  </si>
  <si>
    <t>sampleName</t>
  </si>
  <si>
    <t>sampleDotCode</t>
  </si>
  <si>
    <t>200_回炼油_去延能化</t>
  </si>
  <si>
    <t>回炼油（联合二）</t>
  </si>
  <si>
    <t>ST010173</t>
  </si>
  <si>
    <t>重整液化气</t>
  </si>
  <si>
    <t>200_干气</t>
  </si>
  <si>
    <t>干气（联合二）</t>
  </si>
  <si>
    <t>ST010179</t>
  </si>
  <si>
    <t>200_液化气</t>
  </si>
  <si>
    <t>液化气（联合二）</t>
  </si>
  <si>
    <t>ST010178</t>
  </si>
  <si>
    <t>重整氢气</t>
  </si>
  <si>
    <t>200_催化汽油</t>
  </si>
  <si>
    <t>稳汽、粗汽</t>
  </si>
  <si>
    <t>ST010193、ST010192</t>
  </si>
  <si>
    <t>重整污油</t>
  </si>
  <si>
    <t>200_催化柴油</t>
  </si>
  <si>
    <t>10#柴油、0#柴油</t>
  </si>
  <si>
    <t>ST010195、ST010194</t>
  </si>
  <si>
    <t>重整汽油</t>
  </si>
  <si>
    <t>200_油浆_直售</t>
  </si>
  <si>
    <t>油浆（联合二）</t>
  </si>
  <si>
    <t>ST010196</t>
  </si>
  <si>
    <t>重整轻汽油</t>
  </si>
  <si>
    <t>C6馏分</t>
  </si>
  <si>
    <t>不合格汽油</t>
  </si>
  <si>
    <t>100万催化装置</t>
  </si>
  <si>
    <t>140万柴油加氢装置</t>
  </si>
  <si>
    <t>100_回炼油_去延能化</t>
  </si>
  <si>
    <t>回炼油</t>
  </si>
  <si>
    <t>ST010216</t>
  </si>
  <si>
    <t>100_干气</t>
  </si>
  <si>
    <t>干气</t>
  </si>
  <si>
    <t>ST010221</t>
  </si>
  <si>
    <t>100_液化气</t>
  </si>
  <si>
    <t>液化石油气</t>
  </si>
  <si>
    <t>ST010220</t>
  </si>
  <si>
    <t>柴油_去惠家河罐区</t>
  </si>
  <si>
    <t>100_催化汽油</t>
  </si>
  <si>
    <t>ST010236、ST010235</t>
  </si>
  <si>
    <t>粗汽油</t>
  </si>
  <si>
    <t>100_催化柴油</t>
  </si>
  <si>
    <t>ST010237</t>
  </si>
  <si>
    <t>100_油浆_直售</t>
  </si>
  <si>
    <t>油浆</t>
  </si>
  <si>
    <t>ST010238</t>
  </si>
  <si>
    <t>不合格柴油_惠家河罐区</t>
  </si>
  <si>
    <t>反冲洗污油</t>
  </si>
  <si>
    <t>高、低分气</t>
  </si>
  <si>
    <t>液化气精制装置</t>
  </si>
  <si>
    <t>140_液化气</t>
  </si>
  <si>
    <t>20万苯抽提装置</t>
  </si>
  <si>
    <t>酸性气2</t>
  </si>
  <si>
    <t>气体分馏装置</t>
  </si>
  <si>
    <t>非芳烃</t>
  </si>
  <si>
    <t>重组分</t>
  </si>
  <si>
    <t>燃料气</t>
  </si>
  <si>
    <t>无对应采样点</t>
  </si>
  <si>
    <t>60万气体分馏装置</t>
  </si>
  <si>
    <t>戊烷馏分</t>
  </si>
  <si>
    <t>丙烷_去石化厂</t>
  </si>
  <si>
    <t>ST010055</t>
  </si>
  <si>
    <t>碳四</t>
  </si>
  <si>
    <t>C4组分</t>
  </si>
  <si>
    <t>ST010059</t>
  </si>
  <si>
    <t>精丙烯</t>
  </si>
  <si>
    <t>不合格丙烯</t>
  </si>
  <si>
    <t>气分_燃料气</t>
  </si>
  <si>
    <t>气分_丙烯</t>
  </si>
  <si>
    <t>气分_戊烷馏分</t>
  </si>
  <si>
    <t>聚丙烯装置</t>
  </si>
  <si>
    <t>气分_丙烷</t>
  </si>
  <si>
    <t>气分碳四</t>
  </si>
  <si>
    <t>20万聚丙烯装置</t>
  </si>
  <si>
    <t>粒料T30S</t>
  </si>
  <si>
    <t>OG气</t>
  </si>
  <si>
    <t>MTBE装置</t>
  </si>
  <si>
    <t>T30S</t>
  </si>
  <si>
    <t>废料</t>
  </si>
  <si>
    <t>回收OG气</t>
  </si>
  <si>
    <t>12万MTBE装置</t>
  </si>
  <si>
    <t>醚后碳四</t>
  </si>
  <si>
    <t>醋酸仲丁酯_SBA</t>
  </si>
  <si>
    <t>12_不合格MTBE</t>
  </si>
  <si>
    <t>12_MTBE</t>
  </si>
  <si>
    <t>醋酸仲丁酯_出售</t>
  </si>
  <si>
    <t>酯后碳四_去石化厂</t>
  </si>
  <si>
    <t>180万汽油精制</t>
  </si>
  <si>
    <t>粗酯</t>
  </si>
  <si>
    <t>C12</t>
  </si>
  <si>
    <t>干气精制装置100单元</t>
  </si>
  <si>
    <t>精制汽油_惠家河罐区</t>
  </si>
  <si>
    <t>180_燃料气</t>
  </si>
  <si>
    <t>不合格汽油_惠家河罐区</t>
  </si>
  <si>
    <t>180_污油</t>
  </si>
  <si>
    <t>净化干气</t>
  </si>
  <si>
    <t>酸性气1</t>
  </si>
  <si>
    <t>240万柴油加氢装置</t>
  </si>
  <si>
    <t>瓦斯气</t>
  </si>
  <si>
    <t>乙苯装置200单元</t>
  </si>
  <si>
    <t>精制柴油_惠家河罐区</t>
  </si>
  <si>
    <t>240_石脑油</t>
  </si>
  <si>
    <t>加氢液化气</t>
  </si>
  <si>
    <t>240_污油</t>
  </si>
  <si>
    <t>不合格柴油</t>
  </si>
  <si>
    <t>高沸物</t>
  </si>
  <si>
    <t>240_高、低分气</t>
  </si>
  <si>
    <t>丙苯_不管</t>
  </si>
  <si>
    <t>烃化尾气_燃烧</t>
  </si>
  <si>
    <t>60万精制装置</t>
  </si>
  <si>
    <t>苯乙烯装置300单元</t>
  </si>
  <si>
    <t>60_精制液化气</t>
  </si>
  <si>
    <t>60_酸性气</t>
  </si>
  <si>
    <t>脱氢尾气</t>
  </si>
  <si>
    <t>硫磺回收装置</t>
  </si>
  <si>
    <t>苯乙烯装置400单元</t>
  </si>
  <si>
    <t>粗硫磺</t>
  </si>
  <si>
    <t>甲苯_不管</t>
  </si>
  <si>
    <t>硫磺精制装置</t>
  </si>
  <si>
    <t>焦油_燃烧</t>
  </si>
  <si>
    <t>乙苯_回炼进罐</t>
  </si>
  <si>
    <t>苯_回炼</t>
  </si>
  <si>
    <t>精制硫磺</t>
  </si>
  <si>
    <t>50万航煤加氢</t>
  </si>
  <si>
    <t>20万烷基化装置</t>
  </si>
  <si>
    <t>航煤组分油</t>
  </si>
  <si>
    <t>酸性气</t>
  </si>
  <si>
    <t>酸性水</t>
  </si>
  <si>
    <t>烷基化C4</t>
  </si>
  <si>
    <t>污油</t>
  </si>
  <si>
    <t>预处理C4</t>
  </si>
  <si>
    <t>正丁烷_送延练</t>
  </si>
  <si>
    <t>30万混合脱氢装置</t>
  </si>
  <si>
    <t>再生碳四</t>
  </si>
  <si>
    <t>富异丁烯碳四</t>
  </si>
  <si>
    <t>正丁烷_送延炼</t>
  </si>
  <si>
    <t>30_燃料气</t>
  </si>
  <si>
    <t>氢气</t>
  </si>
  <si>
    <t>25万MTBE装置</t>
  </si>
  <si>
    <t>25_MTBE</t>
  </si>
  <si>
    <t>25_醚后C4</t>
  </si>
  <si>
    <t>二次加工装置基础设置</t>
  </si>
  <si>
    <t>所属炼厂</t>
  </si>
  <si>
    <t>装置名称</t>
  </si>
  <si>
    <t>加氢系数</t>
  </si>
  <si>
    <t>初始负荷（t/d）</t>
  </si>
  <si>
    <t>额定负荷（t/d）</t>
  </si>
  <si>
    <t>最大加工负荷（t/d）</t>
  </si>
  <si>
    <t>最大负荷系数</t>
  </si>
  <si>
    <t>最小负荷系数</t>
  </si>
  <si>
    <t>延炼</t>
  </si>
  <si>
    <t>醋酸仲丁酯装置</t>
  </si>
  <si>
    <t>干气精制装置</t>
  </si>
  <si>
    <t>50万航煤加氢装置</t>
  </si>
  <si>
    <t>延石化</t>
  </si>
  <si>
    <t>180万汽油精制装置</t>
  </si>
  <si>
    <t>延炼常压装置Assay数据</t>
  </si>
  <si>
    <t>300万吨年常压装置</t>
  </si>
  <si>
    <t>260万吨年常压装置</t>
  </si>
  <si>
    <t>基础设置</t>
  </si>
  <si>
    <t>侧线设置</t>
  </si>
  <si>
    <t>Assay表</t>
  </si>
  <si>
    <t>初始负荷（吨/天）</t>
  </si>
  <si>
    <t>额定负荷（吨/天）</t>
  </si>
  <si>
    <t>侧线</t>
  </si>
  <si>
    <t>Assay_侧线名称</t>
  </si>
  <si>
    <t>Assay_侧线id</t>
  </si>
  <si>
    <t>Assay4</t>
  </si>
  <si>
    <t>300_常石脑油</t>
  </si>
  <si>
    <t>石脑油(重整原料)</t>
  </si>
  <si>
    <t>NK1</t>
  </si>
  <si>
    <t>260_常石脑油</t>
  </si>
  <si>
    <t>300_常一线</t>
  </si>
  <si>
    <t>常一线(喷气燃料)</t>
  </si>
  <si>
    <t>KE1</t>
  </si>
  <si>
    <t>260_常一线</t>
  </si>
  <si>
    <t>300_常二线</t>
  </si>
  <si>
    <t>常二线(柴油)</t>
  </si>
  <si>
    <t>LD1</t>
  </si>
  <si>
    <t>260_常二线</t>
  </si>
  <si>
    <t>300_常三线</t>
  </si>
  <si>
    <t>常三线(VGO)</t>
  </si>
  <si>
    <t>HD1</t>
  </si>
  <si>
    <t>260_常三线</t>
  </si>
  <si>
    <t>300_常渣</t>
  </si>
  <si>
    <t>减压渣油</t>
  </si>
  <si>
    <t>VR1</t>
  </si>
  <si>
    <t>260_常渣</t>
  </si>
  <si>
    <t>Assay4数据</t>
  </si>
  <si>
    <t>原油ID</t>
  </si>
  <si>
    <t>YCO</t>
  </si>
  <si>
    <t>RCO</t>
  </si>
  <si>
    <t>…</t>
  </si>
  <si>
    <t>原油名称</t>
  </si>
  <si>
    <t>延安原油</t>
  </si>
  <si>
    <t>俄罗斯原油</t>
  </si>
  <si>
    <t>*质量收率</t>
  </si>
  <si>
    <t>WN1</t>
  </si>
  <si>
    <t>初常顶油</t>
  </si>
  <si>
    <t>*比重</t>
  </si>
  <si>
    <t>*硫含量</t>
  </si>
  <si>
    <t>*康氏残炭</t>
  </si>
  <si>
    <t>*辛烷值</t>
  </si>
  <si>
    <t>*抗爆指数</t>
  </si>
  <si>
    <t>*芳烃含量</t>
  </si>
  <si>
    <r>
      <rPr>
        <sz val="11"/>
        <color theme="1"/>
        <rFont val="等线"/>
        <charset val="134"/>
        <scheme val="minor"/>
      </rPr>
      <t>*</t>
    </r>
    <r>
      <rPr>
        <sz val="11"/>
        <rFont val="楷体_GB2312"/>
        <charset val="134"/>
      </rPr>
      <t>切割温度</t>
    </r>
  </si>
  <si>
    <t>原油性质数据</t>
  </si>
  <si>
    <t>API</t>
  </si>
  <si>
    <t>比重</t>
  </si>
  <si>
    <t>酸值</t>
  </si>
  <si>
    <t>AMN</t>
  </si>
  <si>
    <t>阿姆纳</t>
  </si>
  <si>
    <t>ANS</t>
  </si>
  <si>
    <t>阿拉斯加北坡</t>
  </si>
  <si>
    <t>ANT</t>
  </si>
  <si>
    <t>安坦</t>
  </si>
  <si>
    <t>ASH</t>
  </si>
  <si>
    <t>埃尔沙辛</t>
  </si>
  <si>
    <t>ATK</t>
  </si>
  <si>
    <t>贝莱那克</t>
  </si>
  <si>
    <t>ATP</t>
  </si>
  <si>
    <t>阿塔普</t>
  </si>
  <si>
    <t>AUC</t>
  </si>
  <si>
    <t>澳洲轻油-凝析油</t>
  </si>
  <si>
    <t>AZR</t>
  </si>
  <si>
    <t>阿扎瑞</t>
  </si>
  <si>
    <t>BAF</t>
  </si>
  <si>
    <t>布阿蒂费尔</t>
  </si>
  <si>
    <t>BAH</t>
  </si>
  <si>
    <t>巴林</t>
  </si>
  <si>
    <t>BAN</t>
  </si>
  <si>
    <t>巴林沙中</t>
  </si>
  <si>
    <t>BCM</t>
  </si>
  <si>
    <t>班曲马斯</t>
  </si>
  <si>
    <t>BGA</t>
  </si>
  <si>
    <t>班戈</t>
  </si>
  <si>
    <t>BHU</t>
  </si>
  <si>
    <t>白虎</t>
  </si>
  <si>
    <t>BKE</t>
  </si>
  <si>
    <t>贝肯</t>
  </si>
  <si>
    <t>BLM</t>
  </si>
  <si>
    <t>贝拉伊姆</t>
  </si>
  <si>
    <t>BOS</t>
  </si>
  <si>
    <t>渤南原油</t>
  </si>
  <si>
    <t>BRS</t>
  </si>
  <si>
    <t>布拉斯河</t>
  </si>
  <si>
    <t>BSL</t>
  </si>
  <si>
    <t>巴士拉轻油</t>
  </si>
  <si>
    <t>BSM</t>
  </si>
  <si>
    <t>巴士拉中</t>
  </si>
  <si>
    <t>BUZ</t>
  </si>
  <si>
    <t>布希奥斯</t>
  </si>
  <si>
    <t>BYU</t>
  </si>
  <si>
    <t>巴尤乌当凝析油（维护中）</t>
  </si>
  <si>
    <t>CBA</t>
  </si>
  <si>
    <t>塞巴</t>
  </si>
  <si>
    <t>CBD</t>
  </si>
  <si>
    <t>卡滨达</t>
  </si>
  <si>
    <t>CGT</t>
  </si>
  <si>
    <t>秦格特</t>
  </si>
  <si>
    <t>CLB</t>
  </si>
  <si>
    <t>冷湖</t>
  </si>
  <si>
    <t>CLV</t>
  </si>
  <si>
    <t>克拉夫</t>
  </si>
  <si>
    <t>CNT</t>
  </si>
  <si>
    <t>辛塔</t>
  </si>
  <si>
    <t>COC</t>
  </si>
  <si>
    <t>可可</t>
  </si>
  <si>
    <t>CSK</t>
  </si>
  <si>
    <t>科萨卡</t>
  </si>
  <si>
    <t>CTL</t>
  </si>
  <si>
    <t>卡斯蒂利亚</t>
  </si>
  <si>
    <t>DLA</t>
  </si>
  <si>
    <t>达连</t>
  </si>
  <si>
    <t>DOB</t>
  </si>
  <si>
    <t>多巴</t>
  </si>
  <si>
    <t>DUB</t>
  </si>
  <si>
    <t>迪拜</t>
  </si>
  <si>
    <t>DUR</t>
  </si>
  <si>
    <t>杜里</t>
  </si>
  <si>
    <t>EFD</t>
  </si>
  <si>
    <t>埃菲尔德</t>
  </si>
  <si>
    <t>EHA</t>
  </si>
  <si>
    <t>艾若</t>
  </si>
  <si>
    <t>EKO</t>
  </si>
  <si>
    <t>埃克法斯克</t>
  </si>
  <si>
    <t>ESD</t>
  </si>
  <si>
    <t>埃斯锡德尔</t>
  </si>
  <si>
    <t>ESL</t>
  </si>
  <si>
    <t>沙特超轻</t>
  </si>
  <si>
    <t>ESP</t>
  </si>
  <si>
    <t>ESPO</t>
  </si>
  <si>
    <t>EST</t>
  </si>
  <si>
    <t>埃斯克兰特</t>
  </si>
  <si>
    <t>FKD</t>
  </si>
  <si>
    <t>幅卡多斯</t>
  </si>
  <si>
    <t>FOT</t>
  </si>
  <si>
    <t>福蒂斯</t>
  </si>
  <si>
    <t>GBA</t>
  </si>
  <si>
    <t>金宝</t>
  </si>
  <si>
    <t>GDG</t>
  </si>
  <si>
    <t>金当戈</t>
  </si>
  <si>
    <t>GRG</t>
  </si>
  <si>
    <t>吉拉盖</t>
  </si>
  <si>
    <t>GRS</t>
  </si>
  <si>
    <t>吉拉索</t>
  </si>
  <si>
    <t>HNG</t>
  </si>
  <si>
    <t>罕戈</t>
  </si>
  <si>
    <t>HUZ</t>
  </si>
  <si>
    <t>惠州原油</t>
  </si>
  <si>
    <t>IRH</t>
  </si>
  <si>
    <t>伊朗重油</t>
  </si>
  <si>
    <t>IRL</t>
  </si>
  <si>
    <t>伊朗轻油</t>
  </si>
  <si>
    <t>IRM</t>
  </si>
  <si>
    <t>伊拉谢玛</t>
  </si>
  <si>
    <t>ISM</t>
  </si>
  <si>
    <t>伊斯姆斯</t>
  </si>
  <si>
    <t>JBL</t>
  </si>
  <si>
    <t>朱比利</t>
  </si>
  <si>
    <t>JHS</t>
  </si>
  <si>
    <t>约翰斯维尔德鲁普</t>
  </si>
  <si>
    <t>JNO</t>
  </si>
  <si>
    <t>杰诺</t>
  </si>
  <si>
    <t>KFJ</t>
  </si>
  <si>
    <t>卡夫基</t>
  </si>
  <si>
    <t>KMK</t>
  </si>
  <si>
    <t>库姆克尔</t>
  </si>
  <si>
    <t>KOL</t>
  </si>
  <si>
    <t>科勒中质</t>
  </si>
  <si>
    <t>KSJ</t>
  </si>
  <si>
    <t>凯萨杰</t>
  </si>
  <si>
    <t>KWT</t>
  </si>
  <si>
    <t>科威特</t>
  </si>
  <si>
    <t>LFN</t>
  </si>
  <si>
    <t>陆丰原油</t>
  </si>
  <si>
    <t>LIH</t>
  </si>
  <si>
    <t>流花原油</t>
  </si>
  <si>
    <t>LPA</t>
  </si>
  <si>
    <t>拉帕</t>
  </si>
  <si>
    <t>LUL</t>
  </si>
  <si>
    <t>卢拉</t>
  </si>
  <si>
    <t>MAL</t>
  </si>
  <si>
    <t>马林</t>
  </si>
  <si>
    <t>MAY</t>
  </si>
  <si>
    <t>玛雅</t>
  </si>
  <si>
    <t>MDO</t>
  </si>
  <si>
    <t>芒都</t>
  </si>
  <si>
    <t>MEB</t>
  </si>
  <si>
    <t>穆尔班</t>
  </si>
  <si>
    <t>MEH</t>
  </si>
  <si>
    <t>梅瑞</t>
  </si>
  <si>
    <t>MEZ</t>
  </si>
  <si>
    <t>迈兹克拉</t>
  </si>
  <si>
    <t>MJI</t>
  </si>
  <si>
    <t>曼吉</t>
  </si>
  <si>
    <t>MNS</t>
  </si>
  <si>
    <t>米纳斯</t>
  </si>
  <si>
    <t>MOS</t>
  </si>
  <si>
    <t>莫斯塔尔</t>
  </si>
  <si>
    <t>MRB</t>
  </si>
  <si>
    <t>马力布</t>
  </si>
  <si>
    <t>MRS</t>
  </si>
  <si>
    <t>马斯</t>
  </si>
  <si>
    <t>MSA</t>
  </si>
  <si>
    <t>梅萨</t>
  </si>
  <si>
    <t>MSL</t>
  </si>
  <si>
    <t>马希拉</t>
  </si>
  <si>
    <t>NIL</t>
  </si>
  <si>
    <t>尼罗</t>
  </si>
  <si>
    <t>NKS</t>
  </si>
  <si>
    <t>恩克萨</t>
  </si>
  <si>
    <t>NMB</t>
  </si>
  <si>
    <t>南巴</t>
  </si>
  <si>
    <t>NPO</t>
  </si>
  <si>
    <t>纳波</t>
  </si>
  <si>
    <t>OGJ</t>
  </si>
  <si>
    <t>奥冠杰</t>
  </si>
  <si>
    <t>OMN</t>
  </si>
  <si>
    <t>阿曼</t>
  </si>
  <si>
    <t>ORI</t>
  </si>
  <si>
    <t>奥瑞特</t>
  </si>
  <si>
    <t>OSB</t>
  </si>
  <si>
    <t>奥斯博格</t>
  </si>
  <si>
    <t>PAY</t>
  </si>
  <si>
    <t>番禺原油</t>
  </si>
  <si>
    <t>PHU</t>
  </si>
  <si>
    <t>平湖凝析油</t>
  </si>
  <si>
    <t>PLC</t>
  </si>
  <si>
    <t>帕兰卡</t>
  </si>
  <si>
    <t>PLT</t>
  </si>
  <si>
    <t>普鲁托尼</t>
  </si>
  <si>
    <t>PVO</t>
  </si>
  <si>
    <t>帕尔沃</t>
  </si>
  <si>
    <t>PZF</t>
  </si>
  <si>
    <t>帕兹夫罗</t>
  </si>
  <si>
    <t>QLB</t>
  </si>
  <si>
    <t>卡塔尔陆上</t>
  </si>
  <si>
    <t>QRN</t>
  </si>
  <si>
    <t>卡伦</t>
  </si>
  <si>
    <t>QUB</t>
  </si>
  <si>
    <t>卡伊博</t>
  </si>
  <si>
    <t>RAB</t>
  </si>
  <si>
    <t>拉比</t>
  </si>
  <si>
    <t>RBL</t>
  </si>
  <si>
    <t>拉比轻</t>
  </si>
  <si>
    <t>RCD</t>
  </si>
  <si>
    <t>荣卡多</t>
  </si>
  <si>
    <t>RCL</t>
  </si>
  <si>
    <t>荣卡多轻</t>
  </si>
  <si>
    <t>RDO</t>
  </si>
  <si>
    <t>荣东</t>
  </si>
  <si>
    <t>RSG</t>
  </si>
  <si>
    <t>拉斯盖瑞</t>
  </si>
  <si>
    <t>RUB</t>
  </si>
  <si>
    <t>鲁比</t>
  </si>
  <si>
    <t>SAH</t>
  </si>
  <si>
    <t>沙特重油</t>
  </si>
  <si>
    <t>SAL</t>
  </si>
  <si>
    <t>沙特轻油</t>
  </si>
  <si>
    <t>SAM</t>
  </si>
  <si>
    <t>沙特中质油</t>
  </si>
  <si>
    <t>SBR</t>
  </si>
  <si>
    <t>斯泰伯娄</t>
  </si>
  <si>
    <t>SDH</t>
  </si>
  <si>
    <t>萨达纳</t>
  </si>
  <si>
    <t>SGB</t>
  </si>
  <si>
    <t>桑格斯</t>
  </si>
  <si>
    <t>SGC</t>
  </si>
  <si>
    <t>南绿谷</t>
  </si>
  <si>
    <t>SHL</t>
  </si>
  <si>
    <t>胜利混合原油</t>
  </si>
  <si>
    <t>SHR</t>
  </si>
  <si>
    <t>撒哈拉</t>
  </si>
  <si>
    <t>SKL</t>
  </si>
  <si>
    <t>宋卡</t>
  </si>
  <si>
    <t>SLK</t>
  </si>
  <si>
    <t>萨哈林混合</t>
  </si>
  <si>
    <t>SOK</t>
  </si>
  <si>
    <t>索克尔</t>
  </si>
  <si>
    <t>SPI</t>
  </si>
  <si>
    <t>希皮尔</t>
  </si>
  <si>
    <t>SPN</t>
  </si>
  <si>
    <t>萨宾诺</t>
  </si>
  <si>
    <t>SPS</t>
  </si>
  <si>
    <t>南帕斯</t>
  </si>
  <si>
    <t>SRA</t>
  </si>
  <si>
    <t>萨里尔</t>
  </si>
  <si>
    <t>SRI</t>
  </si>
  <si>
    <t>锡里</t>
  </si>
  <si>
    <t>SRR</t>
  </si>
  <si>
    <t>萨鲁鲁</t>
  </si>
  <si>
    <t>SRS</t>
  </si>
  <si>
    <t>索鲁士</t>
  </si>
  <si>
    <t>STN</t>
  </si>
  <si>
    <t>萨杜恩</t>
  </si>
  <si>
    <t>STS</t>
  </si>
  <si>
    <t>黑狮</t>
  </si>
  <si>
    <t>SUZ</t>
  </si>
  <si>
    <t>绥中原油</t>
  </si>
  <si>
    <t>TEN</t>
  </si>
  <si>
    <t>蒂恩</t>
  </si>
  <si>
    <t>TPS</t>
  </si>
  <si>
    <t>塔皮斯</t>
  </si>
  <si>
    <t>UDA</t>
  </si>
  <si>
    <t>乌当</t>
  </si>
  <si>
    <t>URL</t>
  </si>
  <si>
    <t>乌拉尔</t>
  </si>
  <si>
    <t>UZK</t>
  </si>
  <si>
    <t>阿布扎库穆</t>
  </si>
  <si>
    <t>VCT</t>
  </si>
  <si>
    <t>文森特</t>
  </si>
  <si>
    <t>VSN</t>
  </si>
  <si>
    <t>瓦斯科尼亚</t>
  </si>
  <si>
    <t>VTY</t>
  </si>
  <si>
    <t>威特亚兹</t>
  </si>
  <si>
    <t>WCH</t>
  </si>
  <si>
    <t>文昌原油</t>
  </si>
  <si>
    <t>WDR</t>
  </si>
  <si>
    <t>苇杜里</t>
  </si>
  <si>
    <t>WTC</t>
  </si>
  <si>
    <t>库欣低硫油</t>
  </si>
  <si>
    <t>WTD</t>
  </si>
  <si>
    <t>西部沙漠/埃及</t>
  </si>
  <si>
    <t>WTI</t>
  </si>
  <si>
    <t>西德克萨斯中部原油</t>
  </si>
  <si>
    <t>XCB</t>
  </si>
  <si>
    <t>塞卡巴</t>
  </si>
  <si>
    <t>XIJ</t>
  </si>
  <si>
    <t>西江原油</t>
  </si>
  <si>
    <t>XWC</t>
  </si>
  <si>
    <t>新文昌原油</t>
  </si>
  <si>
    <t>ZFR</t>
  </si>
  <si>
    <t>扎菲洛</t>
  </si>
  <si>
    <t>根据延炼数据列举的产品如下：</t>
  </si>
  <si>
    <t>92#</t>
  </si>
  <si>
    <t>95#</t>
  </si>
  <si>
    <t>0#</t>
  </si>
  <si>
    <t xml:space="preserve"> -10#</t>
  </si>
  <si>
    <t>民用气</t>
  </si>
  <si>
    <t>聚丙烯</t>
  </si>
  <si>
    <t>SBA</t>
  </si>
  <si>
    <t>3号喷气燃料</t>
  </si>
  <si>
    <t>为了解决部分产物没有排出路径，暂定为产品</t>
  </si>
  <si>
    <t>产品（新增）</t>
  </si>
  <si>
    <t>问题：有些重要的产品没有对应的物理储罐数据</t>
  </si>
  <si>
    <t>下面的图片左边是列举现有的储罐数据，右边是储罐物料整理</t>
  </si>
  <si>
    <t>右边加粗的表示没有对应的物理储罐，比如聚丙烯等</t>
  </si>
  <si>
    <t>产品/物料</t>
  </si>
  <si>
    <t>价格(元/t)</t>
  </si>
  <si>
    <t>-10#柴油</t>
  </si>
  <si>
    <t>产品</t>
  </si>
  <si>
    <t>日配额(t/天)</t>
  </si>
  <si>
    <t>10天总需求(t)</t>
  </si>
  <si>
    <r>
      <rPr>
        <sz val="12"/>
        <color theme="1"/>
        <rFont val="Times New Roman"/>
        <charset val="134"/>
      </rPr>
      <t>92#/95#</t>
    </r>
    <r>
      <rPr>
        <sz val="12"/>
        <color theme="1"/>
        <rFont val="宋体"/>
        <charset val="134"/>
      </rPr>
      <t>汽油：</t>
    </r>
    <r>
      <rPr>
        <sz val="12"/>
        <color theme="1"/>
        <rFont val="Times New Roman"/>
        <charset val="134"/>
      </rPr>
      <t>RON</t>
    </r>
    <r>
      <rPr>
        <sz val="12"/>
        <color theme="1"/>
        <rFont val="宋体"/>
        <charset val="134"/>
      </rPr>
      <t>由催化汽油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常压石脑油</t>
    </r>
    <r>
      <rPr>
        <sz val="12"/>
        <color theme="1"/>
        <rFont val="Times New Roman"/>
        <charset val="134"/>
      </rPr>
      <t>/MTBE/</t>
    </r>
    <r>
      <rPr>
        <sz val="12"/>
        <color theme="1"/>
        <rFont val="宋体"/>
        <charset val="134"/>
      </rPr>
      <t>烃化液线性加权</t>
    </r>
  </si>
  <si>
    <r>
      <rPr>
        <sz val="12"/>
        <color theme="1"/>
        <rFont val="Times New Roman"/>
        <charset val="134"/>
      </rPr>
      <t>0#</t>
    </r>
    <r>
      <rPr>
        <sz val="12"/>
        <color theme="1"/>
        <rFont val="宋体"/>
        <charset val="134"/>
      </rPr>
      <t>柴油：十六烷由催化柴油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常压直馏柴油线性加权</t>
    </r>
  </si>
  <si>
    <t>产品调合配方</t>
  </si>
  <si>
    <t>调合组分</t>
  </si>
  <si>
    <t>比例下限lo</t>
  </si>
  <si>
    <t>比例上限hi</t>
  </si>
  <si>
    <t>催化汽油/常压石脑油/MTBE/烃化液</t>
  </si>
  <si>
    <t>0.30/0/0/0</t>
  </si>
  <si>
    <t>0.60/0.10/0.15/0.30</t>
  </si>
  <si>
    <t>0.55/0.05/0.15/0.35</t>
  </si>
  <si>
    <t>催化柴油/常压直馏柴油</t>
  </si>
  <si>
    <t>0/0.77</t>
  </si>
  <si>
    <t>0.23/1.00</t>
  </si>
  <si>
    <t>调合组分性质</t>
  </si>
  <si>
    <t>组分</t>
  </si>
  <si>
    <t>CN(十六烷)</t>
  </si>
  <si>
    <t>硫ppm</t>
  </si>
  <si>
    <t>苯%</t>
  </si>
  <si>
    <t>-</t>
  </si>
  <si>
    <t>产品规格</t>
  </si>
  <si>
    <r>
      <rPr>
        <b/>
        <sz val="12"/>
        <color theme="1"/>
        <rFont val="Times New Roman"/>
        <charset val="134"/>
      </rPr>
      <t>RON</t>
    </r>
    <r>
      <rPr>
        <b/>
        <sz val="12"/>
        <color theme="1"/>
        <rFont val="宋体"/>
        <charset val="134"/>
      </rPr>
      <t>规格</t>
    </r>
  </si>
  <si>
    <r>
      <rPr>
        <b/>
        <sz val="12"/>
        <color theme="1"/>
        <rFont val="Times New Roman"/>
        <charset val="134"/>
      </rPr>
      <t>CN</t>
    </r>
    <r>
      <rPr>
        <b/>
        <sz val="12"/>
        <color theme="1"/>
        <rFont val="宋体"/>
        <charset val="134"/>
      </rPr>
      <t>规格</t>
    </r>
  </si>
  <si>
    <r>
      <rPr>
        <sz val="12"/>
        <color theme="1"/>
        <rFont val="Times New Roman"/>
        <charset val="134"/>
      </rPr>
      <t>92#</t>
    </r>
    <r>
      <rPr>
        <sz val="12"/>
        <color theme="1"/>
        <rFont val="宋体"/>
        <charset val="134"/>
      </rPr>
      <t>汽油</t>
    </r>
  </si>
  <si>
    <t>RON≥92</t>
  </si>
  <si>
    <r>
      <rPr>
        <sz val="12"/>
        <color theme="1"/>
        <rFont val="Times New Roman"/>
        <charset val="134"/>
      </rPr>
      <t>95#</t>
    </r>
    <r>
      <rPr>
        <sz val="12"/>
        <color theme="1"/>
        <rFont val="宋体"/>
        <charset val="134"/>
      </rPr>
      <t>汽油</t>
    </r>
  </si>
  <si>
    <t>RON≥95</t>
  </si>
  <si>
    <r>
      <rPr>
        <sz val="12"/>
        <color theme="1"/>
        <rFont val="Times New Roman"/>
        <charset val="134"/>
      </rPr>
      <t>0#</t>
    </r>
    <r>
      <rPr>
        <sz val="12"/>
        <color theme="1"/>
        <rFont val="宋体"/>
        <charset val="134"/>
      </rPr>
      <t>柴油</t>
    </r>
  </si>
  <si>
    <t>CN≥51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</si>
</sst>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42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b/>
      <sz val="14"/>
      <color theme="1"/>
      <name val="宋体"/>
      <charset val="134"/>
    </font>
    <font>
      <b/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20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sz val="11"/>
      <name val="Times New Roman"/>
      <charset val="134"/>
    </font>
    <font>
      <sz val="28"/>
      <color theme="1"/>
      <name val="等线"/>
      <charset val="134"/>
      <scheme val="minor"/>
    </font>
    <font>
      <sz val="11"/>
      <name val="楷体_GB2312"/>
      <charset val="134"/>
    </font>
    <font>
      <sz val="22"/>
      <color theme="1"/>
      <name val="等线"/>
      <charset val="134"/>
      <scheme val="minor"/>
    </font>
    <font>
      <sz val="26"/>
      <color theme="1"/>
      <name val="等线"/>
      <charset val="134"/>
      <scheme val="minor"/>
    </font>
    <font>
      <b/>
      <sz val="11"/>
      <color theme="1"/>
      <name val="Microsoft YaHei UI"/>
      <charset val="134"/>
    </font>
    <font>
      <sz val="9"/>
      <color theme="1"/>
      <name val="Microsoft YaHei"/>
      <charset val="134"/>
    </font>
    <font>
      <b/>
      <sz val="9"/>
      <color theme="1"/>
      <name val="Microsoft YaHei"/>
      <charset val="134"/>
    </font>
    <font>
      <sz val="10"/>
      <color theme="1"/>
      <name val="Arial"/>
      <charset val="134"/>
    </font>
    <font>
      <sz val="12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rlito"/>
      <charset val="134"/>
    </font>
    <font>
      <sz val="12"/>
      <name val="宋体"/>
      <charset val="134"/>
    </font>
    <font>
      <sz val="12"/>
      <color theme="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5" borderId="5" applyNumberFormat="0" applyAlignment="0" applyProtection="0">
      <alignment vertical="center"/>
    </xf>
    <xf numFmtId="0" fontId="29" fillId="16" borderId="6" applyNumberFormat="0" applyAlignment="0" applyProtection="0">
      <alignment vertical="center"/>
    </xf>
    <xf numFmtId="0" fontId="30" fillId="16" borderId="5" applyNumberFormat="0" applyAlignment="0" applyProtection="0">
      <alignment vertical="center"/>
    </xf>
    <xf numFmtId="0" fontId="31" fillId="17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9" fillId="0" borderId="0"/>
    <xf numFmtId="0" fontId="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/>
  </cellStyleXfs>
  <cellXfs count="5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9" borderId="0" xfId="0" applyFill="1" applyAlignment="1">
      <alignment horizontal="right"/>
    </xf>
    <xf numFmtId="176" fontId="8" fillId="0" borderId="0" xfId="50" applyNumberFormat="1" applyFont="1" applyFill="1">
      <alignment vertical="center"/>
    </xf>
    <xf numFmtId="177" fontId="8" fillId="0" borderId="0" xfId="51" applyNumberFormat="1" applyFont="1">
      <alignment vertical="center"/>
    </xf>
    <xf numFmtId="0" fontId="9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50" applyFont="1">
      <alignment vertical="center"/>
    </xf>
    <xf numFmtId="0" fontId="10" fillId="0" borderId="0" xfId="50" applyFo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/>
    <xf numFmtId="0" fontId="3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9" fillId="0" borderId="0" xfId="0" applyFont="1"/>
    <xf numFmtId="0" fontId="17" fillId="13" borderId="0" xfId="0" applyFont="1" applyFill="1" applyAlignment="1">
      <alignment horizontal="center"/>
    </xf>
    <xf numFmtId="0" fontId="17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1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Fill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 2" xfId="50"/>
    <cellStyle name="常规 2 2 2" xfId="51"/>
    <cellStyle name="常规_Sheet1" xfId="52"/>
    <cellStyle name="常规_Sheet1_1" xfId="53"/>
    <cellStyle name="常规_Sheet1_07年8月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628650</xdr:colOff>
      <xdr:row>2</xdr:row>
      <xdr:rowOff>117475</xdr:rowOff>
    </xdr:from>
    <xdr:ext cx="730250" cy="409215"/>
    <mc:AlternateContent xmlns:mc="http://schemas.openxmlformats.org/markup-compatibility/2006">
      <mc:Choice xmlns:a14="http://schemas.microsoft.com/office/drawing/2010/main" Requires="a14">
        <xdr:sp>
          <xdr:nvSpPr>
            <xdr:cNvPr id="8" name="文本框 7"/>
            <xdr:cNvSpPr txBox="1"/>
          </xdr:nvSpPr>
          <xdr:spPr>
            <a:xfrm>
              <a:off x="1558925" y="1236345"/>
              <a:ext cx="730250" cy="4089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900" b="1" i="1">
                        <a:latin typeface="Cambria Math" panose="02040503050406030204" pitchFamily="18" charset="0"/>
                      </a:rPr>
                      <m:t>𝑫</m:t>
                    </m:r>
                    <m:r>
                      <a:rPr lang="en-US" altLang="zh-CN" sz="900" b="1" i="1">
                        <a:latin typeface="Cambria Math" panose="02040503050406030204" pitchFamily="18" charset="0"/>
                      </a:rPr>
                      <m:t>= </m:t>
                    </m:r>
                    <m:rad>
                      <m:radPr>
                        <m:degHide m:val="on"/>
                        <m:ctrlPr>
                          <a:rPr lang="zh-CN" altLang="en-US" sz="900" b="1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zh-CN" altLang="en-US" sz="9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zh-CN" sz="900" b="1" i="1">
                                <a:latin typeface="Cambria Math" panose="02040503050406030204" pitchFamily="18" charset="0"/>
                              </a:rPr>
                              <m:t>𝟒</m:t>
                            </m:r>
                            <m:r>
                              <a:rPr lang="en-US" altLang="zh-CN" sz="9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num>
                          <m:den>
                            <m:r>
                              <a:rPr lang="zh-CN" altLang="en-US" sz="900" b="1" i="1">
                                <a:latin typeface="Cambria Math" panose="02040503050406030204" pitchFamily="18" charset="0"/>
                              </a:rPr>
                              <m:t>𝝅</m:t>
                            </m:r>
                            <m:r>
                              <a:rPr lang="en-US" altLang="zh-CN" sz="900" b="1" i="1">
                                <a:latin typeface="Cambria Math" panose="02040503050406030204" pitchFamily="18" charset="0"/>
                              </a:rPr>
                              <m:t>𝑯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zh-CN" altLang="en-US" sz="900" b="1"/>
            </a:p>
          </xdr:txBody>
        </xdr:sp>
      </mc:Choice>
      <mc:Fallback>
        <xdr:sp>
          <xdr:nvSpPr>
            <xdr:cNvPr id="8" name="文本框 7"/>
            <xdr:cNvSpPr txBox="1"/>
          </xdr:nvSpPr>
          <xdr:spPr>
            <a:xfrm>
              <a:off x="1558925" y="1236345"/>
              <a:ext cx="730250" cy="4089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altLang="zh-CN" sz="900" b="1">
                  <a:latin typeface="Cambria Math" panose="02040503050406030204" pitchFamily="18" charset="0"/>
                </a:rPr>
                <a:t>𝑫</a:t>
              </a:r>
              <a:r>
                <a:rPr lang="en-US" altLang="zh-CN" sz="900" b="1">
                  <a:latin typeface="Cambria Math" panose="02040503050406030204" pitchFamily="18" charset="0"/>
                </a:rPr>
                <a:t>= </a:t>
              </a:r>
              <a:r>
                <a:rPr lang="zh-CN" altLang="en-US" sz="900" b="1">
                  <a:latin typeface="Cambria Math" panose="02040503050406030204" pitchFamily="18" charset="0"/>
                </a:rPr>
                <a:t>√</a:t>
              </a:r>
              <a:r>
                <a:rPr lang="en-US" altLang="zh-CN" sz="900" b="1">
                  <a:latin typeface="Cambria Math" panose="02040503050406030204" pitchFamily="18" charset="0"/>
                </a:rPr>
                <a:t>𝟒</a:t>
              </a:r>
              <a:r>
                <a:rPr lang="en-US" altLang="zh-CN" sz="900" b="1">
                  <a:latin typeface="Cambria Math" panose="02040503050406030204" pitchFamily="18" charset="0"/>
                </a:rPr>
                <a:t>𝑽</a:t>
              </a:r>
              <a:r>
                <a:rPr lang="zh-CN" altLang="en-US" sz="900" b="1">
                  <a:latin typeface="Cambria Math" panose="02040503050406030204" pitchFamily="18" charset="0"/>
                </a:rPr>
                <a:t>/</a:t>
              </a:r>
              <a:r>
                <a:rPr lang="zh-CN" altLang="en-US" sz="900" b="1">
                  <a:latin typeface="Cambria Math" panose="02040503050406030204" pitchFamily="18" charset="0"/>
                </a:rPr>
                <a:t>𝝅</a:t>
              </a:r>
              <a:r>
                <a:rPr lang="en-US" altLang="zh-CN" sz="900" b="1">
                  <a:latin typeface="Cambria Math" panose="02040503050406030204" pitchFamily="18" charset="0"/>
                </a:rPr>
                <a:t>𝑯</a:t>
              </a:r>
              <a:endParaRPr lang="zh-CN" altLang="en-US" sz="900" b="1"/>
            </a:p>
          </xdr:txBody>
        </xdr:sp>
      </mc:Fallback>
    </mc:AlternateContent>
    <xdr:clientData/>
  </xdr:oneCellAnchor>
  <xdr:oneCellAnchor>
    <xdr:from>
      <xdr:col>2</xdr:col>
      <xdr:colOff>19050</xdr:colOff>
      <xdr:row>2</xdr:row>
      <xdr:rowOff>612775</xdr:rowOff>
    </xdr:from>
    <xdr:ext cx="651845" cy="172227"/>
    <mc:AlternateContent xmlns:mc="http://schemas.openxmlformats.org/markup-compatibility/2006">
      <mc:Choice xmlns:a14="http://schemas.microsoft.com/office/drawing/2010/main" Requires="a14">
        <xdr:sp>
          <xdr:nvSpPr>
            <xdr:cNvPr id="9" name="文本框 8"/>
            <xdr:cNvSpPr txBox="1"/>
          </xdr:nvSpPr>
          <xdr:spPr>
            <a:xfrm>
              <a:off x="1589405" y="1731645"/>
              <a:ext cx="6515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zh-CN" alt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𝐻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</m:d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文本框 8"/>
            <xdr:cNvSpPr txBox="1"/>
          </xdr:nvSpPr>
          <xdr:spPr>
            <a:xfrm>
              <a:off x="1589405" y="1731645"/>
              <a:ext cx="6515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(</a:t>
              </a:r>
              <a:r>
                <a:rPr lang="en-US" altLang="zh-CN" sz="1100" b="0">
                  <a:latin typeface="Cambria Math" panose="02040503050406030204" pitchFamily="18" charset="0"/>
                </a:rPr>
                <a:t>𝐻</a:t>
              </a:r>
              <a:r>
                <a:rPr lang="en-US" altLang="zh-CN" sz="1100" b="0">
                  <a:latin typeface="Cambria Math" panose="02040503050406030204" pitchFamily="18" charset="0"/>
                </a:rPr>
                <a:t>+</a:t>
              </a:r>
              <a:r>
                <a:rPr lang="en-US" altLang="zh-CN" sz="1100" b="0">
                  <a:latin typeface="Cambria Math" panose="02040503050406030204" pitchFamily="18" charset="0"/>
                </a:rPr>
                <a:t>ℎ</a:t>
              </a:r>
              <a:r>
                <a:rPr lang="zh-CN" altLang="en-US" sz="1100">
                  <a:latin typeface="Cambria Math" panose="02040503050406030204" pitchFamily="18" charset="0"/>
                </a:rPr>
                <a:t>)</a:t>
              </a:r>
              <a:r>
                <a:rPr lang="en-US" altLang="zh-CN" sz="1100" b="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21</xdr:col>
      <xdr:colOff>628650</xdr:colOff>
      <xdr:row>2</xdr:row>
      <xdr:rowOff>117475</xdr:rowOff>
    </xdr:from>
    <xdr:ext cx="730250" cy="409215"/>
    <mc:AlternateContent xmlns:mc="http://schemas.openxmlformats.org/markup-compatibility/2006">
      <mc:Choice xmlns:a14="http://schemas.microsoft.com/office/drawing/2010/main" Requires="a14">
        <xdr:sp>
          <xdr:nvSpPr>
            <xdr:cNvPr id="18" name="文本框 17"/>
            <xdr:cNvSpPr txBox="1"/>
          </xdr:nvSpPr>
          <xdr:spPr>
            <a:xfrm>
              <a:off x="16560165" y="1236345"/>
              <a:ext cx="730250" cy="4089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900" b="1" i="1">
                        <a:latin typeface="Cambria Math" panose="02040503050406030204" pitchFamily="18" charset="0"/>
                      </a:rPr>
                      <m:t>𝑫</m:t>
                    </m:r>
                    <m:r>
                      <a:rPr lang="en-US" altLang="zh-CN" sz="900" b="1" i="1">
                        <a:latin typeface="Cambria Math" panose="02040503050406030204" pitchFamily="18" charset="0"/>
                      </a:rPr>
                      <m:t>= </m:t>
                    </m:r>
                    <m:rad>
                      <m:radPr>
                        <m:degHide m:val="on"/>
                        <m:ctrlPr>
                          <a:rPr lang="zh-CN" altLang="en-US" sz="900" b="1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zh-CN" altLang="en-US" sz="9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zh-CN" sz="900" b="1" i="1">
                                <a:latin typeface="Cambria Math" panose="02040503050406030204" pitchFamily="18" charset="0"/>
                              </a:rPr>
                              <m:t>𝟒</m:t>
                            </m:r>
                            <m:r>
                              <a:rPr lang="en-US" altLang="zh-CN" sz="9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num>
                          <m:den>
                            <m:r>
                              <a:rPr lang="zh-CN" altLang="en-US" sz="900" b="1" i="1">
                                <a:latin typeface="Cambria Math" panose="02040503050406030204" pitchFamily="18" charset="0"/>
                              </a:rPr>
                              <m:t>𝝅</m:t>
                            </m:r>
                            <m:r>
                              <a:rPr lang="en-US" altLang="zh-CN" sz="900" b="1" i="1">
                                <a:latin typeface="Cambria Math" panose="02040503050406030204" pitchFamily="18" charset="0"/>
                              </a:rPr>
                              <m:t>𝑯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zh-CN" altLang="en-US" sz="900" b="1"/>
            </a:p>
          </xdr:txBody>
        </xdr:sp>
      </mc:Choice>
      <mc:Fallback>
        <xdr:sp>
          <xdr:nvSpPr>
            <xdr:cNvPr id="18" name="文本框 17"/>
            <xdr:cNvSpPr txBox="1"/>
          </xdr:nvSpPr>
          <xdr:spPr>
            <a:xfrm>
              <a:off x="16560165" y="1236345"/>
              <a:ext cx="730250" cy="4089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altLang="zh-CN" sz="900" b="1">
                  <a:latin typeface="Cambria Math" panose="02040503050406030204" pitchFamily="18" charset="0"/>
                </a:rPr>
                <a:t>𝑫</a:t>
              </a:r>
              <a:r>
                <a:rPr lang="en-US" altLang="zh-CN" sz="900" b="1">
                  <a:latin typeface="Cambria Math" panose="02040503050406030204" pitchFamily="18" charset="0"/>
                </a:rPr>
                <a:t>= </a:t>
              </a:r>
              <a:r>
                <a:rPr lang="zh-CN" altLang="en-US" sz="900" b="1">
                  <a:latin typeface="Cambria Math" panose="02040503050406030204" pitchFamily="18" charset="0"/>
                </a:rPr>
                <a:t>√</a:t>
              </a:r>
              <a:r>
                <a:rPr lang="en-US" altLang="zh-CN" sz="900" b="1">
                  <a:latin typeface="Cambria Math" panose="02040503050406030204" pitchFamily="18" charset="0"/>
                </a:rPr>
                <a:t>𝟒</a:t>
              </a:r>
              <a:r>
                <a:rPr lang="en-US" altLang="zh-CN" sz="900" b="1">
                  <a:latin typeface="Cambria Math" panose="02040503050406030204" pitchFamily="18" charset="0"/>
                </a:rPr>
                <a:t>𝑽</a:t>
              </a:r>
              <a:r>
                <a:rPr lang="zh-CN" altLang="en-US" sz="900" b="1">
                  <a:latin typeface="Cambria Math" panose="02040503050406030204" pitchFamily="18" charset="0"/>
                </a:rPr>
                <a:t>/</a:t>
              </a:r>
              <a:r>
                <a:rPr lang="zh-CN" altLang="en-US" sz="900" b="1">
                  <a:latin typeface="Cambria Math" panose="02040503050406030204" pitchFamily="18" charset="0"/>
                </a:rPr>
                <a:t>𝝅</a:t>
              </a:r>
              <a:r>
                <a:rPr lang="en-US" altLang="zh-CN" sz="900" b="1">
                  <a:latin typeface="Cambria Math" panose="02040503050406030204" pitchFamily="18" charset="0"/>
                </a:rPr>
                <a:t>𝑯</a:t>
              </a:r>
              <a:endParaRPr lang="zh-CN" altLang="en-US" sz="900" b="1"/>
            </a:p>
          </xdr:txBody>
        </xdr:sp>
      </mc:Fallback>
    </mc:AlternateContent>
    <xdr:clientData/>
  </xdr:oneCellAnchor>
  <xdr:oneCellAnchor>
    <xdr:from>
      <xdr:col>22</xdr:col>
      <xdr:colOff>19050</xdr:colOff>
      <xdr:row>2</xdr:row>
      <xdr:rowOff>612775</xdr:rowOff>
    </xdr:from>
    <xdr:ext cx="651845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9" name="文本框 18"/>
            <xdr:cNvSpPr txBox="1"/>
          </xdr:nvSpPr>
          <xdr:spPr>
            <a:xfrm>
              <a:off x="16590645" y="1731645"/>
              <a:ext cx="6515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zh-CN" alt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𝐻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</m:d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9" name="文本框 18"/>
            <xdr:cNvSpPr txBox="1"/>
          </xdr:nvSpPr>
          <xdr:spPr>
            <a:xfrm>
              <a:off x="16590645" y="1731645"/>
              <a:ext cx="6515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(</a:t>
              </a:r>
              <a:r>
                <a:rPr lang="en-US" altLang="zh-CN" sz="1100" b="0">
                  <a:latin typeface="Cambria Math" panose="02040503050406030204" pitchFamily="18" charset="0"/>
                </a:rPr>
                <a:t>𝐻</a:t>
              </a:r>
              <a:r>
                <a:rPr lang="en-US" altLang="zh-CN" sz="1100" b="0">
                  <a:latin typeface="Cambria Math" panose="02040503050406030204" pitchFamily="18" charset="0"/>
                </a:rPr>
                <a:t>+</a:t>
              </a:r>
              <a:r>
                <a:rPr lang="en-US" altLang="zh-CN" sz="1100" b="0">
                  <a:latin typeface="Cambria Math" panose="02040503050406030204" pitchFamily="18" charset="0"/>
                </a:rPr>
                <a:t>ℎ</a:t>
              </a:r>
              <a:r>
                <a:rPr lang="zh-CN" altLang="en-US" sz="1100">
                  <a:latin typeface="Cambria Math" panose="02040503050406030204" pitchFamily="18" charset="0"/>
                </a:rPr>
                <a:t>)</a:t>
              </a:r>
              <a:r>
                <a:rPr lang="en-US" altLang="zh-CN" sz="1100" b="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21</xdr:col>
      <xdr:colOff>615950</xdr:colOff>
      <xdr:row>31</xdr:row>
      <xdr:rowOff>47625</xdr:rowOff>
    </xdr:from>
    <xdr:ext cx="730250" cy="409215"/>
    <mc:AlternateContent xmlns:mc="http://schemas.openxmlformats.org/markup-compatibility/2006">
      <mc:Choice xmlns:a14="http://schemas.microsoft.com/office/drawing/2010/main" Requires="a14">
        <xdr:sp>
          <xdr:nvSpPr>
            <xdr:cNvPr id="20" name="文本框 19"/>
            <xdr:cNvSpPr txBox="1"/>
          </xdr:nvSpPr>
          <xdr:spPr>
            <a:xfrm>
              <a:off x="16547465" y="8004175"/>
              <a:ext cx="730250" cy="4089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900" b="1" i="1">
                        <a:latin typeface="Cambria Math" panose="02040503050406030204" pitchFamily="18" charset="0"/>
                      </a:rPr>
                      <m:t>𝑫</m:t>
                    </m:r>
                    <m:r>
                      <a:rPr lang="en-US" altLang="zh-CN" sz="900" b="1" i="1">
                        <a:latin typeface="Cambria Math" panose="02040503050406030204" pitchFamily="18" charset="0"/>
                      </a:rPr>
                      <m:t>= </m:t>
                    </m:r>
                    <m:rad>
                      <m:radPr>
                        <m:ctrlPr>
                          <a:rPr lang="zh-CN" altLang="en-US" sz="900" b="1" i="1">
                            <a:latin typeface="Cambria Math" panose="02040503050406030204" pitchFamily="18" charset="0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n-US" altLang="zh-CN" sz="900" b="1" i="1">
                            <a:latin typeface="Cambria Math" panose="02040503050406030204" pitchFamily="18" charset="0"/>
                          </a:rPr>
                          <m:t>𝟑</m:t>
                        </m:r>
                      </m:deg>
                      <m:e>
                        <m:f>
                          <m:fPr>
                            <m:ctrlPr>
                              <a:rPr lang="zh-CN" altLang="en-US" sz="9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zh-CN" sz="900" b="1" i="1">
                                <a:latin typeface="Cambria Math" panose="02040503050406030204" pitchFamily="18" charset="0"/>
                              </a:rPr>
                              <m:t>𝟔</m:t>
                            </m:r>
                            <m:r>
                              <a:rPr lang="en-US" altLang="zh-CN" sz="9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num>
                          <m:den>
                            <m:r>
                              <a:rPr lang="en-US" altLang="zh-CN" sz="9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𝝅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zh-CN" altLang="en-US" sz="900" b="1"/>
            </a:p>
          </xdr:txBody>
        </xdr:sp>
      </mc:Choice>
      <mc:Fallback>
        <xdr:sp>
          <xdr:nvSpPr>
            <xdr:cNvPr id="20" name="文本框 19"/>
            <xdr:cNvSpPr txBox="1"/>
          </xdr:nvSpPr>
          <xdr:spPr>
            <a:xfrm>
              <a:off x="16547465" y="8004175"/>
              <a:ext cx="730250" cy="4089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altLang="zh-CN" sz="900" b="1">
                  <a:latin typeface="Cambria Math" panose="02040503050406030204" pitchFamily="18" charset="0"/>
                </a:rPr>
                <a:t>𝑫</a:t>
              </a:r>
              <a:r>
                <a:rPr lang="en-US" altLang="zh-CN" sz="900" b="1">
                  <a:latin typeface="Cambria Math" panose="02040503050406030204" pitchFamily="18" charset="0"/>
                </a:rPr>
                <a:t>= </a:t>
              </a:r>
              <a:r>
                <a:rPr lang="zh-CN" altLang="en-US" sz="900" b="1">
                  <a:latin typeface="Cambria Math" panose="02040503050406030204" pitchFamily="18" charset="0"/>
                </a:rPr>
                <a:t>√(</a:t>
              </a:r>
              <a:r>
                <a:rPr lang="en-US" altLang="zh-CN" sz="900" b="1">
                  <a:latin typeface="Cambria Math" panose="02040503050406030204" pitchFamily="18" charset="0"/>
                </a:rPr>
                <a:t>𝟑</a:t>
              </a:r>
              <a:r>
                <a:rPr lang="zh-CN" altLang="en-US" sz="900" b="1">
                  <a:latin typeface="Cambria Math" panose="02040503050406030204" pitchFamily="18" charset="0"/>
                </a:rPr>
                <a:t>&amp;</a:t>
              </a:r>
              <a:r>
                <a:rPr lang="en-US" altLang="zh-CN" sz="900" b="1">
                  <a:latin typeface="Cambria Math" panose="02040503050406030204" pitchFamily="18" charset="0"/>
                </a:rPr>
                <a:t>𝟔</a:t>
              </a:r>
              <a:r>
                <a:rPr lang="en-US" altLang="zh-CN" sz="900" b="1">
                  <a:latin typeface="Cambria Math" panose="02040503050406030204" pitchFamily="18" charset="0"/>
                </a:rPr>
                <a:t>𝑽</a:t>
              </a:r>
              <a:r>
                <a:rPr lang="zh-CN" altLang="en-US" sz="900" b="1">
                  <a:latin typeface="Cambria Math" panose="02040503050406030204" pitchFamily="18" charset="0"/>
                </a:rPr>
                <a:t>/</a:t>
              </a:r>
              <a:r>
                <a:rPr lang="en-US" altLang="zh-CN" sz="900" b="1">
                  <a:latin typeface="Cambria Math" panose="02040503050406030204" pitchFamily="18" charset="0"/>
                  <a:ea typeface="Cambria Math" panose="02040503050406030204" pitchFamily="18" charset="0"/>
                </a:rPr>
                <a:t>𝝅</a:t>
              </a:r>
              <a:r>
                <a:rPr lang="zh-CN" altLang="en-US" sz="900" b="1">
                  <a:latin typeface="Cambria Math" panose="02040503050406030204" pitchFamily="18" charset="0"/>
                </a:rPr>
                <a:t>)</a:t>
              </a:r>
              <a:endParaRPr lang="zh-CN" altLang="en-US" sz="900" b="1"/>
            </a:p>
          </xdr:txBody>
        </xdr:sp>
      </mc:Fallback>
    </mc:AlternateContent>
    <xdr:clientData/>
  </xdr:oneCellAnchor>
  <xdr:oneCellAnchor>
    <xdr:from>
      <xdr:col>22</xdr:col>
      <xdr:colOff>12700</xdr:colOff>
      <xdr:row>34</xdr:row>
      <xdr:rowOff>19050</xdr:rowOff>
    </xdr:from>
    <xdr:ext cx="651845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1" name="文本框 20"/>
            <xdr:cNvSpPr txBox="1"/>
          </xdr:nvSpPr>
          <xdr:spPr>
            <a:xfrm>
              <a:off x="16584295" y="8509000"/>
              <a:ext cx="6515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zh-CN" alt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𝐻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</m:d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1" name="文本框 20"/>
            <xdr:cNvSpPr txBox="1"/>
          </xdr:nvSpPr>
          <xdr:spPr>
            <a:xfrm>
              <a:off x="16584295" y="8509000"/>
              <a:ext cx="6515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(</a:t>
              </a:r>
              <a:r>
                <a:rPr lang="en-US" altLang="zh-CN" sz="1100" b="0">
                  <a:latin typeface="Cambria Math" panose="02040503050406030204" pitchFamily="18" charset="0"/>
                </a:rPr>
                <a:t>𝐻</a:t>
              </a:r>
              <a:r>
                <a:rPr lang="en-US" altLang="zh-CN" sz="1100" b="0">
                  <a:latin typeface="Cambria Math" panose="02040503050406030204" pitchFamily="18" charset="0"/>
                </a:rPr>
                <a:t>+</a:t>
              </a:r>
              <a:r>
                <a:rPr lang="en-US" altLang="zh-CN" sz="1100" b="0">
                  <a:latin typeface="Cambria Math" panose="02040503050406030204" pitchFamily="18" charset="0"/>
                </a:rPr>
                <a:t>ℎ</a:t>
              </a:r>
              <a:r>
                <a:rPr lang="zh-CN" altLang="en-US" sz="1100">
                  <a:latin typeface="Cambria Math" panose="02040503050406030204" pitchFamily="18" charset="0"/>
                </a:rPr>
                <a:t>)</a:t>
              </a:r>
              <a:r>
                <a:rPr lang="en-US" altLang="zh-CN" sz="1100" b="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132080</xdr:colOff>
      <xdr:row>34</xdr:row>
      <xdr:rowOff>19685</xdr:rowOff>
    </xdr:from>
    <xdr:to>
      <xdr:col>9</xdr:col>
      <xdr:colOff>215265</xdr:colOff>
      <xdr:row>71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080" y="7273925"/>
          <a:ext cx="6029325" cy="8033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D12" sqref="D12"/>
    </sheetView>
  </sheetViews>
  <sheetFormatPr defaultColWidth="8.66964285714286" defaultRowHeight="16.8" outlineLevelRow="6" outlineLevelCol="5"/>
  <cols>
    <col min="1" max="1" width="26.25" customWidth="1"/>
    <col min="2" max="2" width="15.6696428571429" customWidth="1"/>
    <col min="3" max="3" width="22.6696428571429" customWidth="1"/>
    <col min="4" max="4" width="20.0803571428571" customWidth="1"/>
    <col min="5" max="5" width="18.0803571428571" customWidth="1"/>
    <col min="6" max="6" width="24.75" customWidth="1"/>
  </cols>
  <sheetData>
    <row r="1" ht="20.4" spans="1:6">
      <c r="A1" s="51" t="s">
        <v>0</v>
      </c>
      <c r="B1" s="11"/>
      <c r="C1" s="11"/>
      <c r="D1" s="11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11" t="s">
        <v>5</v>
      </c>
      <c r="F2" t="s">
        <v>6</v>
      </c>
    </row>
    <row r="3" ht="34" spans="1:6">
      <c r="A3" s="52" t="s">
        <v>7</v>
      </c>
      <c r="B3" s="52" t="s">
        <v>8</v>
      </c>
      <c r="C3" s="52" t="s">
        <v>8</v>
      </c>
      <c r="D3" s="53" t="s">
        <v>9</v>
      </c>
      <c r="E3" s="52" t="s">
        <v>10</v>
      </c>
    </row>
    <row r="4" ht="84" spans="1:6">
      <c r="A4" s="54">
        <v>46269</v>
      </c>
      <c r="B4" s="4" t="s">
        <v>11</v>
      </c>
      <c r="C4" s="4" t="s">
        <v>12</v>
      </c>
      <c r="D4" s="4" t="s">
        <v>13</v>
      </c>
      <c r="E4" s="4" t="s">
        <v>14</v>
      </c>
      <c r="F4" s="55" t="s">
        <v>15</v>
      </c>
    </row>
    <row r="5" spans="1:6">
      <c r="A5" s="54">
        <v>46269</v>
      </c>
      <c r="B5" s="4" t="s">
        <v>16</v>
      </c>
      <c r="C5" s="4" t="s">
        <v>17</v>
      </c>
      <c r="D5" t="s">
        <v>18</v>
      </c>
      <c r="E5" s="4" t="s">
        <v>14</v>
      </c>
    </row>
    <row r="6" spans="1:6">
      <c r="A6" s="54">
        <v>46269</v>
      </c>
      <c r="B6" s="4" t="s">
        <v>16</v>
      </c>
      <c r="C6" s="4" t="s">
        <v>19</v>
      </c>
      <c r="D6" t="s">
        <v>20</v>
      </c>
      <c r="E6" s="4" t="s">
        <v>14</v>
      </c>
    </row>
    <row r="7" ht="51" spans="1:6">
      <c r="A7" s="54">
        <v>46269</v>
      </c>
      <c r="B7" s="4" t="s">
        <v>16</v>
      </c>
      <c r="C7" s="4" t="s">
        <v>21</v>
      </c>
      <c r="D7" s="49" t="s">
        <v>22</v>
      </c>
      <c r="E7" s="4" t="s">
        <v>14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24"/>
  <sheetViews>
    <sheetView zoomScale="70" zoomScaleNormal="70" workbookViewId="0">
      <selection activeCell="A109" sqref="A109:I110"/>
    </sheetView>
  </sheetViews>
  <sheetFormatPr defaultColWidth="9" defaultRowHeight="16.8"/>
  <cols>
    <col min="1" max="1" width="13.0803571428571" customWidth="1"/>
    <col min="3" max="3" width="9.08035714285714" customWidth="1"/>
    <col min="4" max="4" width="17.4196428571429" customWidth="1"/>
    <col min="5" max="5" width="17.5803571428571" customWidth="1"/>
    <col min="6" max="6" width="12.0803571428571" customWidth="1"/>
    <col min="7" max="7" width="11.9196428571429" customWidth="1"/>
    <col min="8" max="8" width="10.5803571428571" customWidth="1"/>
    <col min="9" max="9" width="9.66964285714286" customWidth="1"/>
    <col min="10" max="10" width="11.1696428571429" customWidth="1"/>
    <col min="11" max="11" width="9.83035714285714" customWidth="1"/>
    <col min="12" max="14" width="8.66964285714286" customWidth="1"/>
    <col min="15" max="15" width="9.5" customWidth="1"/>
    <col min="16" max="18" width="8.66964285714286" customWidth="1"/>
    <col min="19" max="19" width="9.5" customWidth="1"/>
    <col min="21" max="21" width="12.5803571428571" customWidth="1"/>
    <col min="23" max="23" width="9.16964285714286" customWidth="1"/>
    <col min="24" max="24" width="16.5803571428571" customWidth="1"/>
    <col min="25" max="25" width="16.5" customWidth="1"/>
    <col min="26" max="26" width="12.25" customWidth="1"/>
    <col min="27" max="27" width="10.9196428571429" customWidth="1"/>
    <col min="28" max="28" width="10.5803571428571" customWidth="1"/>
    <col min="29" max="29" width="11" customWidth="1"/>
    <col min="30" max="30" width="11.25" customWidth="1"/>
    <col min="31" max="31" width="11.3303571428571" customWidth="1"/>
    <col min="35" max="35" width="9.83035714285714" customWidth="1"/>
    <col min="39" max="39" width="10.0803571428571" customWidth="1"/>
    <col min="40" max="40" width="9.83035714285714" customWidth="1"/>
  </cols>
  <sheetData>
    <row r="1" ht="70.5" customHeight="1" spans="1:40">
      <c r="A1" s="27" t="s">
        <v>23</v>
      </c>
      <c r="B1" s="4"/>
      <c r="C1" s="4"/>
      <c r="D1" s="4"/>
      <c r="E1" s="4"/>
      <c r="F1" s="4"/>
      <c r="G1" s="4"/>
      <c r="U1" s="27" t="s">
        <v>24</v>
      </c>
      <c r="V1" s="27"/>
      <c r="W1" s="27"/>
      <c r="X1" s="27"/>
      <c r="Y1" s="27"/>
      <c r="Z1" s="27"/>
      <c r="AA1" s="27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</row>
    <row r="2" ht="17.6" spans="1:40">
      <c r="A2" s="44" t="s">
        <v>25</v>
      </c>
      <c r="B2" s="44"/>
      <c r="C2" s="44"/>
      <c r="D2" s="44"/>
      <c r="E2" s="44"/>
      <c r="F2" s="44"/>
      <c r="G2" s="44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U2" s="44" t="s">
        <v>25</v>
      </c>
      <c r="V2" s="44"/>
      <c r="W2" s="44"/>
      <c r="X2" s="44"/>
      <c r="Y2" s="44"/>
      <c r="Z2" s="44"/>
      <c r="AA2" s="44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</row>
    <row r="3" ht="68" customHeight="1" spans="1:40">
      <c r="A3" s="46" t="s">
        <v>26</v>
      </c>
      <c r="B3" s="46" t="s">
        <v>27</v>
      </c>
      <c r="C3" s="32"/>
      <c r="D3" s="32"/>
      <c r="E3" s="32"/>
      <c r="F3" s="32"/>
      <c r="G3" s="32"/>
      <c r="K3" s="11" t="s">
        <v>28</v>
      </c>
      <c r="L3" s="11" t="s">
        <v>29</v>
      </c>
      <c r="M3" s="11" t="s">
        <v>30</v>
      </c>
      <c r="N3" s="11" t="s">
        <v>31</v>
      </c>
      <c r="O3" s="11" t="s">
        <v>32</v>
      </c>
      <c r="P3" s="11" t="s">
        <v>33</v>
      </c>
      <c r="Q3" s="11" t="s">
        <v>34</v>
      </c>
      <c r="R3" s="11" t="s">
        <v>35</v>
      </c>
      <c r="S3" s="11" t="s">
        <v>36</v>
      </c>
      <c r="U3" s="46" t="s">
        <v>26</v>
      </c>
      <c r="V3" s="46" t="s">
        <v>27</v>
      </c>
      <c r="W3" s="32"/>
      <c r="X3" s="32"/>
      <c r="Y3" s="32"/>
      <c r="Z3" s="32"/>
      <c r="AA3" s="32"/>
      <c r="AE3" s="11" t="s">
        <v>28</v>
      </c>
      <c r="AF3" s="11" t="s">
        <v>29</v>
      </c>
      <c r="AG3" s="11" t="s">
        <v>30</v>
      </c>
      <c r="AH3" s="11" t="s">
        <v>31</v>
      </c>
      <c r="AI3" s="11" t="s">
        <v>32</v>
      </c>
      <c r="AJ3" s="11" t="s">
        <v>33</v>
      </c>
      <c r="AK3" s="11" t="s">
        <v>34</v>
      </c>
      <c r="AL3" s="11" t="s">
        <v>35</v>
      </c>
      <c r="AM3" s="11" t="s">
        <v>36</v>
      </c>
    </row>
    <row r="4" spans="1:40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  <c r="U4" t="s">
        <v>37</v>
      </c>
      <c r="V4" t="s">
        <v>38</v>
      </c>
      <c r="W4" t="s">
        <v>39</v>
      </c>
      <c r="X4" t="s">
        <v>40</v>
      </c>
      <c r="Y4" t="s">
        <v>41</v>
      </c>
      <c r="Z4" t="s">
        <v>42</v>
      </c>
      <c r="AA4" t="s">
        <v>43</v>
      </c>
      <c r="AB4" t="s">
        <v>44</v>
      </c>
      <c r="AC4" t="s">
        <v>45</v>
      </c>
      <c r="AD4" t="s">
        <v>46</v>
      </c>
      <c r="AE4" t="s">
        <v>47</v>
      </c>
      <c r="AF4" t="s">
        <v>48</v>
      </c>
      <c r="AG4" t="s">
        <v>49</v>
      </c>
      <c r="AH4" t="s">
        <v>50</v>
      </c>
      <c r="AI4" t="s">
        <v>51</v>
      </c>
      <c r="AJ4" t="s">
        <v>52</v>
      </c>
      <c r="AK4" t="s">
        <v>53</v>
      </c>
      <c r="AL4" t="s">
        <v>54</v>
      </c>
      <c r="AM4" t="s">
        <v>55</v>
      </c>
      <c r="AN4" t="s">
        <v>56</v>
      </c>
    </row>
    <row r="5" spans="1:40">
      <c r="A5" t="s">
        <v>57</v>
      </c>
      <c r="B5" s="47">
        <v>6101</v>
      </c>
      <c r="C5">
        <v>10000</v>
      </c>
      <c r="D5">
        <v>14.3</v>
      </c>
      <c r="E5">
        <v>2.5</v>
      </c>
      <c r="F5">
        <v>28.5</v>
      </c>
      <c r="G5">
        <f>(D5+E5)/2</f>
        <v>8.4</v>
      </c>
      <c r="H5">
        <v>530</v>
      </c>
      <c r="I5">
        <f>H5/(3.141592654*(F5/2)^2)</f>
        <v>0.830799579712556</v>
      </c>
      <c r="J5">
        <v>15.85</v>
      </c>
      <c r="U5" t="s">
        <v>58</v>
      </c>
      <c r="V5" t="s">
        <v>59</v>
      </c>
      <c r="W5">
        <v>6000</v>
      </c>
      <c r="X5">
        <v>17.3</v>
      </c>
      <c r="Y5">
        <v>2.5</v>
      </c>
      <c r="Z5">
        <v>20</v>
      </c>
      <c r="AA5">
        <f>(X5+Y5)/2</f>
        <v>9.9</v>
      </c>
      <c r="AB5">
        <v>219.47</v>
      </c>
      <c r="AC5">
        <v>0.72</v>
      </c>
      <c r="AD5">
        <v>19.6</v>
      </c>
      <c r="AE5">
        <v>0.71916</v>
      </c>
      <c r="AH5">
        <v>169</v>
      </c>
      <c r="AM5">
        <v>8.665</v>
      </c>
      <c r="AN5" t="s">
        <v>60</v>
      </c>
    </row>
    <row r="6" spans="1:40">
      <c r="A6" t="s">
        <v>57</v>
      </c>
      <c r="B6" s="47">
        <v>6102</v>
      </c>
      <c r="C6">
        <v>10000</v>
      </c>
      <c r="D6">
        <v>14.3</v>
      </c>
      <c r="E6">
        <v>2.5</v>
      </c>
      <c r="F6">
        <v>28.5</v>
      </c>
      <c r="G6">
        <f t="shared" ref="G6:G32" si="0">(D6+E6)/2</f>
        <v>8.4</v>
      </c>
      <c r="H6">
        <v>530</v>
      </c>
      <c r="I6">
        <f t="shared" ref="I6:I68" si="1">H6/(3.141592654*(F6/2)^2)</f>
        <v>0.830799579712556</v>
      </c>
      <c r="J6">
        <v>15.85</v>
      </c>
      <c r="U6" t="s">
        <v>58</v>
      </c>
      <c r="V6" t="s">
        <v>61</v>
      </c>
      <c r="W6">
        <v>6000</v>
      </c>
      <c r="X6">
        <v>17.3</v>
      </c>
      <c r="Y6">
        <v>2.5</v>
      </c>
      <c r="Z6">
        <v>20</v>
      </c>
      <c r="AA6">
        <f t="shared" ref="AA6:AA30" si="2">(X6+Y6)/2</f>
        <v>9.9</v>
      </c>
      <c r="AB6">
        <v>219.31</v>
      </c>
      <c r="AC6">
        <v>0.72</v>
      </c>
      <c r="AD6">
        <v>19.6</v>
      </c>
      <c r="AE6">
        <v>0.71898</v>
      </c>
      <c r="AH6">
        <v>158.17</v>
      </c>
      <c r="AM6">
        <v>8.122</v>
      </c>
      <c r="AN6" t="s">
        <v>62</v>
      </c>
    </row>
    <row r="7" spans="1:40">
      <c r="A7" t="s">
        <v>57</v>
      </c>
      <c r="B7" s="47">
        <v>6105</v>
      </c>
      <c r="C7">
        <v>10000</v>
      </c>
      <c r="D7">
        <v>14.3</v>
      </c>
      <c r="E7">
        <v>2.5</v>
      </c>
      <c r="F7">
        <v>28.5</v>
      </c>
      <c r="G7">
        <f t="shared" si="0"/>
        <v>8.4</v>
      </c>
      <c r="H7">
        <v>530</v>
      </c>
      <c r="I7">
        <f t="shared" si="1"/>
        <v>0.830799579712556</v>
      </c>
      <c r="J7">
        <v>15.85</v>
      </c>
      <c r="U7" t="s">
        <v>58</v>
      </c>
      <c r="V7" t="s">
        <v>63</v>
      </c>
      <c r="W7">
        <v>6000</v>
      </c>
      <c r="X7">
        <v>17.3</v>
      </c>
      <c r="Y7">
        <v>2.5</v>
      </c>
      <c r="Z7">
        <v>20</v>
      </c>
      <c r="AA7">
        <f t="shared" si="2"/>
        <v>9.9</v>
      </c>
      <c r="AB7">
        <v>218.47</v>
      </c>
      <c r="AC7">
        <v>0.72</v>
      </c>
      <c r="AD7">
        <v>19.6</v>
      </c>
      <c r="AE7">
        <v>0.71895</v>
      </c>
      <c r="AH7">
        <v>123</v>
      </c>
      <c r="AM7">
        <v>8.3</v>
      </c>
      <c r="AN7" t="s">
        <v>64</v>
      </c>
    </row>
    <row r="8" spans="1:40">
      <c r="A8" t="s">
        <v>57</v>
      </c>
      <c r="B8" s="47">
        <v>6106</v>
      </c>
      <c r="C8">
        <v>10000</v>
      </c>
      <c r="D8">
        <v>14.3</v>
      </c>
      <c r="E8">
        <v>2.5</v>
      </c>
      <c r="F8">
        <v>28.5</v>
      </c>
      <c r="G8">
        <f t="shared" si="0"/>
        <v>8.4</v>
      </c>
      <c r="H8">
        <v>530</v>
      </c>
      <c r="I8">
        <f t="shared" si="1"/>
        <v>0.830799579712556</v>
      </c>
      <c r="J8">
        <v>15.85</v>
      </c>
      <c r="U8" t="s">
        <v>58</v>
      </c>
      <c r="V8" t="s">
        <v>65</v>
      </c>
      <c r="W8">
        <v>6000</v>
      </c>
      <c r="X8">
        <v>17.3</v>
      </c>
      <c r="Y8">
        <v>2.5</v>
      </c>
      <c r="Z8">
        <v>20</v>
      </c>
      <c r="AA8">
        <f t="shared" si="2"/>
        <v>9.9</v>
      </c>
      <c r="AB8">
        <v>219.39</v>
      </c>
      <c r="AC8">
        <v>0.72</v>
      </c>
      <c r="AD8">
        <v>19.6</v>
      </c>
      <c r="AE8">
        <v>0.71849</v>
      </c>
      <c r="AH8">
        <v>167</v>
      </c>
      <c r="AM8">
        <v>7.76</v>
      </c>
      <c r="AN8" t="s">
        <v>66</v>
      </c>
    </row>
    <row r="9" spans="1:40">
      <c r="A9" t="s">
        <v>57</v>
      </c>
      <c r="B9" s="47">
        <v>9501</v>
      </c>
      <c r="C9">
        <v>10000</v>
      </c>
      <c r="D9">
        <v>13.6</v>
      </c>
      <c r="E9">
        <v>2.5</v>
      </c>
      <c r="F9">
        <v>28.5</v>
      </c>
      <c r="G9">
        <f t="shared" si="0"/>
        <v>8.05</v>
      </c>
      <c r="H9">
        <v>530</v>
      </c>
      <c r="I9">
        <f t="shared" si="1"/>
        <v>0.830799579712556</v>
      </c>
      <c r="J9">
        <v>15.85</v>
      </c>
      <c r="U9" t="s">
        <v>58</v>
      </c>
      <c r="V9" t="s">
        <v>67</v>
      </c>
      <c r="W9">
        <v>2000</v>
      </c>
      <c r="X9">
        <v>12.56</v>
      </c>
      <c r="Y9">
        <v>2.5</v>
      </c>
      <c r="Z9">
        <v>14</v>
      </c>
      <c r="AA9">
        <f t="shared" si="2"/>
        <v>7.53</v>
      </c>
      <c r="AB9">
        <v>107.7</v>
      </c>
      <c r="AC9">
        <v>0.72</v>
      </c>
      <c r="AD9">
        <v>14.27</v>
      </c>
      <c r="AE9">
        <v>0.7215</v>
      </c>
      <c r="AH9" s="11" t="s">
        <v>68</v>
      </c>
      <c r="AM9" s="11" t="s">
        <v>68</v>
      </c>
      <c r="AN9" t="s">
        <v>69</v>
      </c>
    </row>
    <row r="10" spans="1:40">
      <c r="A10" t="s">
        <v>57</v>
      </c>
      <c r="B10" s="47">
        <v>9502</v>
      </c>
      <c r="C10">
        <v>10000</v>
      </c>
      <c r="D10">
        <v>13.6</v>
      </c>
      <c r="E10">
        <v>2.5</v>
      </c>
      <c r="F10">
        <v>28.5</v>
      </c>
      <c r="G10">
        <f t="shared" si="0"/>
        <v>8.05</v>
      </c>
      <c r="H10">
        <v>530</v>
      </c>
      <c r="I10">
        <f t="shared" si="1"/>
        <v>0.830799579712556</v>
      </c>
      <c r="J10">
        <v>15.85</v>
      </c>
      <c r="U10" t="s">
        <v>58</v>
      </c>
      <c r="V10" t="s">
        <v>70</v>
      </c>
      <c r="W10">
        <v>2000</v>
      </c>
      <c r="X10">
        <v>12.56</v>
      </c>
      <c r="Y10">
        <v>2.5</v>
      </c>
      <c r="Z10">
        <v>14</v>
      </c>
      <c r="AA10">
        <f t="shared" si="2"/>
        <v>7.53</v>
      </c>
      <c r="AB10">
        <v>108.29</v>
      </c>
      <c r="AC10">
        <v>0.72</v>
      </c>
      <c r="AD10">
        <v>14.27</v>
      </c>
      <c r="AE10">
        <v>0.71815</v>
      </c>
      <c r="AH10" s="11" t="s">
        <v>68</v>
      </c>
      <c r="AM10" s="11" t="s">
        <v>68</v>
      </c>
      <c r="AN10" t="s">
        <v>71</v>
      </c>
    </row>
    <row r="11" spans="1:40">
      <c r="A11" t="s">
        <v>57</v>
      </c>
      <c r="B11" s="47">
        <v>9503</v>
      </c>
      <c r="C11">
        <v>10000</v>
      </c>
      <c r="D11">
        <v>13.6</v>
      </c>
      <c r="E11">
        <v>2.5</v>
      </c>
      <c r="F11">
        <v>28.5</v>
      </c>
      <c r="G11">
        <f t="shared" si="0"/>
        <v>8.05</v>
      </c>
      <c r="H11">
        <v>530</v>
      </c>
      <c r="I11">
        <f t="shared" si="1"/>
        <v>0.830799579712556</v>
      </c>
      <c r="J11">
        <v>15.85</v>
      </c>
      <c r="U11" t="s">
        <v>72</v>
      </c>
      <c r="V11" t="s">
        <v>73</v>
      </c>
      <c r="W11">
        <v>6000</v>
      </c>
      <c r="X11">
        <v>17.3</v>
      </c>
      <c r="Y11">
        <v>2.5</v>
      </c>
      <c r="Z11">
        <v>20</v>
      </c>
      <c r="AA11">
        <f t="shared" si="2"/>
        <v>9.9</v>
      </c>
      <c r="AB11">
        <v>222.32</v>
      </c>
      <c r="AC11">
        <f t="shared" ref="AC11:AC30" si="3">AB11/(3.141592654*(Z11/2)^2)</f>
        <v>0.707666538871401</v>
      </c>
      <c r="AD11">
        <v>19.6</v>
      </c>
    </row>
    <row r="12" spans="1:40">
      <c r="A12" t="s">
        <v>57</v>
      </c>
      <c r="B12" s="47">
        <v>9510</v>
      </c>
      <c r="C12">
        <v>20000</v>
      </c>
      <c r="D12">
        <v>13.6</v>
      </c>
      <c r="E12">
        <v>2.5</v>
      </c>
      <c r="F12">
        <v>40</v>
      </c>
      <c r="G12">
        <f t="shared" si="0"/>
        <v>8.05</v>
      </c>
      <c r="H12">
        <v>1045</v>
      </c>
      <c r="I12">
        <f t="shared" si="1"/>
        <v>0.831584577546571</v>
      </c>
      <c r="J12">
        <v>16.05</v>
      </c>
      <c r="U12" t="s">
        <v>72</v>
      </c>
      <c r="V12" t="s">
        <v>74</v>
      </c>
      <c r="W12">
        <v>6000</v>
      </c>
      <c r="X12">
        <v>17.3</v>
      </c>
      <c r="Y12">
        <v>2.5</v>
      </c>
      <c r="Z12">
        <v>20</v>
      </c>
      <c r="AA12">
        <f t="shared" si="2"/>
        <v>9.9</v>
      </c>
      <c r="AB12">
        <v>221.61</v>
      </c>
      <c r="AC12">
        <f t="shared" si="3"/>
        <v>0.705406538679792</v>
      </c>
      <c r="AD12">
        <v>19.6</v>
      </c>
    </row>
    <row r="13" spans="1:40">
      <c r="A13" t="s">
        <v>75</v>
      </c>
      <c r="B13" s="47">
        <v>6104</v>
      </c>
      <c r="C13">
        <v>5000</v>
      </c>
      <c r="D13">
        <v>12.5</v>
      </c>
      <c r="E13">
        <v>2.5</v>
      </c>
      <c r="F13">
        <v>22</v>
      </c>
      <c r="G13">
        <f t="shared" si="0"/>
        <v>7.5</v>
      </c>
      <c r="H13">
        <v>319</v>
      </c>
      <c r="I13">
        <f t="shared" si="1"/>
        <v>0.839180608920419</v>
      </c>
      <c r="J13">
        <v>14.27</v>
      </c>
      <c r="U13" t="s">
        <v>76</v>
      </c>
      <c r="V13" t="s">
        <v>77</v>
      </c>
      <c r="W13">
        <v>6000</v>
      </c>
      <c r="X13">
        <v>17.3</v>
      </c>
      <c r="Y13">
        <v>2.5</v>
      </c>
      <c r="Z13">
        <v>20</v>
      </c>
      <c r="AA13">
        <f t="shared" si="2"/>
        <v>9.9</v>
      </c>
      <c r="AB13">
        <v>264.66</v>
      </c>
      <c r="AC13">
        <f t="shared" si="3"/>
        <v>0.842438944664021</v>
      </c>
      <c r="AD13">
        <v>19.6</v>
      </c>
      <c r="AE13">
        <v>0.89117</v>
      </c>
      <c r="AM13">
        <v>60.47</v>
      </c>
      <c r="AN13" t="s">
        <v>78</v>
      </c>
    </row>
    <row r="14" spans="1:40">
      <c r="A14" t="s">
        <v>79</v>
      </c>
      <c r="B14" s="47">
        <v>6103</v>
      </c>
      <c r="C14">
        <v>5000</v>
      </c>
      <c r="D14">
        <v>12.5</v>
      </c>
      <c r="E14">
        <v>2.5</v>
      </c>
      <c r="F14">
        <v>22</v>
      </c>
      <c r="G14">
        <f t="shared" si="0"/>
        <v>7.5</v>
      </c>
      <c r="H14">
        <v>319</v>
      </c>
      <c r="I14">
        <f t="shared" si="1"/>
        <v>0.839180608920419</v>
      </c>
      <c r="J14">
        <v>14.27</v>
      </c>
      <c r="U14" t="s">
        <v>76</v>
      </c>
      <c r="V14" t="s">
        <v>80</v>
      </c>
      <c r="W14">
        <v>6000</v>
      </c>
      <c r="X14">
        <v>17.3</v>
      </c>
      <c r="Y14">
        <v>2.5</v>
      </c>
      <c r="Z14">
        <v>20</v>
      </c>
      <c r="AA14">
        <f t="shared" si="2"/>
        <v>9.9</v>
      </c>
      <c r="AB14">
        <v>263.6</v>
      </c>
      <c r="AC14">
        <f t="shared" si="3"/>
        <v>0.839064859870913</v>
      </c>
      <c r="AD14">
        <v>19.6</v>
      </c>
      <c r="AE14">
        <v>0.89007</v>
      </c>
      <c r="AM14">
        <v>62.43</v>
      </c>
      <c r="AN14" t="s">
        <v>81</v>
      </c>
    </row>
    <row r="15" spans="1:40">
      <c r="A15" t="s">
        <v>79</v>
      </c>
      <c r="B15" s="47">
        <v>9504</v>
      </c>
      <c r="C15">
        <v>10000</v>
      </c>
      <c r="D15">
        <v>13.6</v>
      </c>
      <c r="E15">
        <v>2.5</v>
      </c>
      <c r="F15">
        <f t="shared" ref="F15:F16" si="4">SQRT(4*C15/(3.141592654*D15))</f>
        <v>30.5974761618853</v>
      </c>
      <c r="G15">
        <f t="shared" si="0"/>
        <v>8.05</v>
      </c>
      <c r="H15">
        <v>530</v>
      </c>
      <c r="I15">
        <f t="shared" si="1"/>
        <v>0.7208</v>
      </c>
      <c r="U15" t="s">
        <v>76</v>
      </c>
      <c r="V15" t="s">
        <v>82</v>
      </c>
      <c r="W15">
        <v>6000</v>
      </c>
      <c r="X15">
        <v>17.3</v>
      </c>
      <c r="Y15">
        <v>2.5</v>
      </c>
      <c r="Z15">
        <v>20</v>
      </c>
      <c r="AA15">
        <f t="shared" si="2"/>
        <v>9.9</v>
      </c>
      <c r="AB15">
        <v>258.97</v>
      </c>
      <c r="AC15">
        <f t="shared" si="3"/>
        <v>0.824327112142528</v>
      </c>
      <c r="AD15">
        <v>19.6</v>
      </c>
      <c r="AE15">
        <v>0.88751</v>
      </c>
      <c r="AM15">
        <v>59.47</v>
      </c>
      <c r="AN15" t="s">
        <v>83</v>
      </c>
    </row>
    <row r="16" spans="1:40">
      <c r="A16" t="s">
        <v>79</v>
      </c>
      <c r="B16" s="47">
        <v>9509</v>
      </c>
      <c r="C16">
        <v>20000</v>
      </c>
      <c r="D16">
        <v>13</v>
      </c>
      <c r="E16">
        <v>2.5</v>
      </c>
      <c r="F16">
        <f t="shared" si="4"/>
        <v>44.2586722413535</v>
      </c>
      <c r="G16">
        <f t="shared" si="0"/>
        <v>7.75</v>
      </c>
      <c r="H16">
        <v>1244</v>
      </c>
      <c r="I16">
        <f t="shared" si="1"/>
        <v>0.8086</v>
      </c>
      <c r="U16" t="s">
        <v>76</v>
      </c>
      <c r="V16" t="s">
        <v>84</v>
      </c>
      <c r="W16">
        <v>6000</v>
      </c>
      <c r="X16">
        <v>17.3</v>
      </c>
      <c r="Y16">
        <v>2.5</v>
      </c>
      <c r="Z16">
        <v>20</v>
      </c>
      <c r="AA16">
        <f t="shared" si="2"/>
        <v>9.9</v>
      </c>
      <c r="AB16">
        <v>262.34</v>
      </c>
      <c r="AC16">
        <f t="shared" si="3"/>
        <v>0.835054155305521</v>
      </c>
      <c r="AD16">
        <v>19.6</v>
      </c>
      <c r="AE16">
        <v>0.8398</v>
      </c>
      <c r="AM16" s="11" t="s">
        <v>68</v>
      </c>
      <c r="AN16" t="s">
        <v>85</v>
      </c>
    </row>
    <row r="17" spans="1:40">
      <c r="A17" t="s">
        <v>86</v>
      </c>
      <c r="B17" s="47">
        <v>6201</v>
      </c>
      <c r="C17">
        <v>10000</v>
      </c>
      <c r="D17">
        <v>15.5</v>
      </c>
      <c r="E17">
        <v>2</v>
      </c>
      <c r="F17">
        <v>27.5</v>
      </c>
      <c r="G17">
        <f t="shared" si="0"/>
        <v>8.75</v>
      </c>
      <c r="H17">
        <v>522</v>
      </c>
      <c r="I17">
        <f t="shared" si="1"/>
        <v>0.878850964978476</v>
      </c>
      <c r="J17">
        <v>17.82</v>
      </c>
      <c r="U17" t="s">
        <v>87</v>
      </c>
      <c r="V17" t="s">
        <v>88</v>
      </c>
      <c r="W17">
        <v>500</v>
      </c>
      <c r="X17">
        <v>8.5</v>
      </c>
      <c r="Y17">
        <v>2.5</v>
      </c>
      <c r="Z17">
        <v>20</v>
      </c>
      <c r="AA17">
        <f t="shared" si="2"/>
        <v>5.5</v>
      </c>
      <c r="AB17">
        <v>44.07</v>
      </c>
      <c r="AC17">
        <f t="shared" si="3"/>
        <v>0.14027916682288</v>
      </c>
      <c r="AD17">
        <v>19.6</v>
      </c>
      <c r="AE17">
        <v>0.8426</v>
      </c>
      <c r="AM17" s="11" t="s">
        <v>68</v>
      </c>
      <c r="AN17" t="s">
        <v>89</v>
      </c>
    </row>
    <row r="18" spans="1:40">
      <c r="A18" t="s">
        <v>86</v>
      </c>
      <c r="B18" s="47">
        <v>6202</v>
      </c>
      <c r="C18">
        <v>5000</v>
      </c>
      <c r="D18">
        <v>10.9</v>
      </c>
      <c r="E18">
        <v>2</v>
      </c>
      <c r="F18">
        <v>23.76</v>
      </c>
      <c r="G18">
        <f t="shared" si="0"/>
        <v>6.45</v>
      </c>
      <c r="H18">
        <v>388</v>
      </c>
      <c r="I18">
        <f t="shared" si="1"/>
        <v>0.875082444982828</v>
      </c>
      <c r="J18">
        <v>12.68</v>
      </c>
      <c r="U18" t="s">
        <v>87</v>
      </c>
      <c r="V18" t="s">
        <v>90</v>
      </c>
      <c r="W18">
        <v>500</v>
      </c>
      <c r="X18">
        <v>8.5</v>
      </c>
      <c r="Y18">
        <v>2.5</v>
      </c>
      <c r="Z18">
        <v>20</v>
      </c>
      <c r="AA18">
        <f t="shared" si="2"/>
        <v>5.5</v>
      </c>
      <c r="AB18">
        <v>44</v>
      </c>
      <c r="AC18">
        <f t="shared" si="3"/>
        <v>0.14005634990258</v>
      </c>
      <c r="AD18">
        <v>19.6</v>
      </c>
      <c r="AE18">
        <v>0.81597</v>
      </c>
      <c r="AM18" s="11" t="s">
        <v>68</v>
      </c>
      <c r="AN18" t="s">
        <v>91</v>
      </c>
    </row>
    <row r="19" spans="1:40">
      <c r="A19" t="s">
        <v>86</v>
      </c>
      <c r="B19" s="47">
        <v>6204</v>
      </c>
      <c r="C19">
        <v>20000</v>
      </c>
      <c r="D19">
        <v>15.5</v>
      </c>
      <c r="E19">
        <v>2</v>
      </c>
      <c r="F19">
        <v>38</v>
      </c>
      <c r="G19">
        <f t="shared" si="0"/>
        <v>8.75</v>
      </c>
      <c r="H19">
        <v>997</v>
      </c>
      <c r="I19">
        <f t="shared" si="1"/>
        <v>0.879099602448203</v>
      </c>
      <c r="J19">
        <v>17.82</v>
      </c>
      <c r="U19" t="s">
        <v>92</v>
      </c>
      <c r="V19" t="s">
        <v>93</v>
      </c>
      <c r="W19">
        <v>2000</v>
      </c>
      <c r="X19">
        <v>12.56</v>
      </c>
      <c r="Y19">
        <v>2.5</v>
      </c>
      <c r="Z19">
        <v>14</v>
      </c>
      <c r="AA19">
        <f t="shared" si="2"/>
        <v>7.53</v>
      </c>
      <c r="AB19">
        <v>118.21</v>
      </c>
      <c r="AC19">
        <f t="shared" si="3"/>
        <v>0.767906360017812</v>
      </c>
      <c r="AD19">
        <v>14.27</v>
      </c>
      <c r="AE19">
        <v>0.81667</v>
      </c>
      <c r="AM19" s="11" t="s">
        <v>68</v>
      </c>
      <c r="AN19" t="s">
        <v>94</v>
      </c>
    </row>
    <row r="20" spans="1:40">
      <c r="A20" t="s">
        <v>86</v>
      </c>
      <c r="B20" s="47">
        <v>6205</v>
      </c>
      <c r="C20">
        <v>20000</v>
      </c>
      <c r="D20">
        <v>15.5</v>
      </c>
      <c r="E20">
        <v>2</v>
      </c>
      <c r="F20">
        <v>38</v>
      </c>
      <c r="G20">
        <f t="shared" si="0"/>
        <v>8.75</v>
      </c>
      <c r="H20">
        <v>996</v>
      </c>
      <c r="I20">
        <f t="shared" si="1"/>
        <v>0.878217857611244</v>
      </c>
      <c r="J20">
        <v>17.82</v>
      </c>
      <c r="U20" t="s">
        <v>92</v>
      </c>
      <c r="V20" t="s">
        <v>95</v>
      </c>
      <c r="W20">
        <v>2000</v>
      </c>
      <c r="X20">
        <v>12.56</v>
      </c>
      <c r="Y20">
        <v>2.5</v>
      </c>
      <c r="Z20">
        <v>14</v>
      </c>
      <c r="AA20">
        <f t="shared" si="2"/>
        <v>7.53</v>
      </c>
      <c r="AB20">
        <v>117.53</v>
      </c>
      <c r="AC20">
        <f t="shared" si="3"/>
        <v>0.763488998332573</v>
      </c>
      <c r="AD20">
        <v>14.27</v>
      </c>
      <c r="AE20">
        <v>0.8153</v>
      </c>
      <c r="AM20" s="11" t="s">
        <v>68</v>
      </c>
      <c r="AN20" t="s">
        <v>96</v>
      </c>
    </row>
    <row r="21" spans="1:40">
      <c r="A21" t="s">
        <v>86</v>
      </c>
      <c r="B21" s="47">
        <v>9505</v>
      </c>
      <c r="C21">
        <v>5000</v>
      </c>
      <c r="D21">
        <v>8.3</v>
      </c>
      <c r="E21">
        <v>2</v>
      </c>
      <c r="F21">
        <v>20</v>
      </c>
      <c r="G21">
        <f t="shared" si="0"/>
        <v>5.15</v>
      </c>
      <c r="H21">
        <v>282</v>
      </c>
      <c r="I21">
        <f t="shared" si="1"/>
        <v>0.897633878921083</v>
      </c>
      <c r="J21">
        <v>17.82</v>
      </c>
      <c r="U21" t="s">
        <v>97</v>
      </c>
      <c r="V21" t="s">
        <v>98</v>
      </c>
      <c r="W21">
        <v>2000</v>
      </c>
      <c r="X21">
        <v>12.56</v>
      </c>
      <c r="Y21">
        <v>2.5</v>
      </c>
      <c r="Z21">
        <v>14</v>
      </c>
      <c r="AA21">
        <f t="shared" si="2"/>
        <v>7.53</v>
      </c>
      <c r="AB21">
        <v>109.94</v>
      </c>
      <c r="AC21">
        <f t="shared" si="3"/>
        <v>0.714183446581154</v>
      </c>
      <c r="AD21">
        <v>14.27</v>
      </c>
    </row>
    <row r="22" spans="1:40">
      <c r="A22" t="s">
        <v>86</v>
      </c>
      <c r="B22" s="47">
        <v>9506</v>
      </c>
      <c r="C22">
        <v>5000</v>
      </c>
      <c r="D22">
        <v>13.47</v>
      </c>
      <c r="E22">
        <v>2</v>
      </c>
      <c r="F22">
        <v>20</v>
      </c>
      <c r="G22">
        <f t="shared" si="0"/>
        <v>7.735</v>
      </c>
      <c r="H22">
        <v>282</v>
      </c>
      <c r="I22">
        <f t="shared" si="1"/>
        <v>0.897633878921083</v>
      </c>
      <c r="J22">
        <v>17.82</v>
      </c>
      <c r="U22" t="s">
        <v>97</v>
      </c>
      <c r="V22" t="s">
        <v>99</v>
      </c>
      <c r="W22">
        <v>2000</v>
      </c>
      <c r="X22">
        <v>12.56</v>
      </c>
      <c r="Y22">
        <v>2.5</v>
      </c>
      <c r="Z22">
        <v>14</v>
      </c>
      <c r="AA22">
        <f t="shared" si="2"/>
        <v>7.53</v>
      </c>
      <c r="AB22">
        <v>111.33</v>
      </c>
      <c r="AC22">
        <f t="shared" si="3"/>
        <v>0.723213053555393</v>
      </c>
      <c r="AD22">
        <v>14.27</v>
      </c>
    </row>
    <row r="23" spans="1:40">
      <c r="A23" t="s">
        <v>86</v>
      </c>
      <c r="B23" s="47">
        <v>9507</v>
      </c>
      <c r="C23">
        <v>5000</v>
      </c>
      <c r="D23">
        <v>13.47</v>
      </c>
      <c r="E23">
        <v>2</v>
      </c>
      <c r="F23">
        <v>20</v>
      </c>
      <c r="G23">
        <f t="shared" si="0"/>
        <v>7.735</v>
      </c>
      <c r="H23">
        <v>280</v>
      </c>
      <c r="I23">
        <f t="shared" si="1"/>
        <v>0.891267681198239</v>
      </c>
      <c r="J23">
        <v>17.82</v>
      </c>
      <c r="U23" t="s">
        <v>100</v>
      </c>
      <c r="V23" t="s">
        <v>101</v>
      </c>
      <c r="W23">
        <v>2000</v>
      </c>
      <c r="X23">
        <v>12.56</v>
      </c>
      <c r="Y23">
        <v>2.5</v>
      </c>
      <c r="Z23">
        <v>14</v>
      </c>
      <c r="AA23">
        <f t="shared" si="2"/>
        <v>7.53</v>
      </c>
      <c r="AB23">
        <v>119.13</v>
      </c>
      <c r="AC23">
        <f t="shared" si="3"/>
        <v>0.773882790533135</v>
      </c>
      <c r="AD23">
        <v>14.27</v>
      </c>
    </row>
    <row r="24" spans="1:40">
      <c r="A24" t="s">
        <v>86</v>
      </c>
      <c r="B24" s="47">
        <v>9508</v>
      </c>
      <c r="C24">
        <v>5000</v>
      </c>
      <c r="D24">
        <v>13.47</v>
      </c>
      <c r="E24">
        <v>2</v>
      </c>
      <c r="F24">
        <v>20</v>
      </c>
      <c r="G24">
        <f t="shared" si="0"/>
        <v>7.735</v>
      </c>
      <c r="H24">
        <v>280</v>
      </c>
      <c r="I24">
        <f t="shared" si="1"/>
        <v>0.891267681198239</v>
      </c>
      <c r="J24">
        <v>17.82</v>
      </c>
      <c r="U24" t="s">
        <v>100</v>
      </c>
      <c r="V24" t="s">
        <v>102</v>
      </c>
      <c r="W24">
        <v>2000</v>
      </c>
      <c r="X24">
        <v>12.56</v>
      </c>
      <c r="Y24">
        <v>2.5</v>
      </c>
      <c r="Z24">
        <v>14</v>
      </c>
      <c r="AA24">
        <f t="shared" si="2"/>
        <v>7.53</v>
      </c>
      <c r="AB24">
        <v>119.13</v>
      </c>
      <c r="AC24">
        <f t="shared" si="3"/>
        <v>0.773882790533135</v>
      </c>
      <c r="AD24">
        <v>14.27</v>
      </c>
    </row>
    <row r="25" spans="1:40">
      <c r="A25" t="s">
        <v>103</v>
      </c>
      <c r="B25" s="47">
        <v>23601</v>
      </c>
      <c r="C25">
        <v>5000</v>
      </c>
      <c r="D25">
        <v>15.18</v>
      </c>
      <c r="E25">
        <v>2</v>
      </c>
      <c r="F25">
        <v>20</v>
      </c>
      <c r="G25">
        <f t="shared" si="0"/>
        <v>8.59</v>
      </c>
      <c r="H25">
        <v>277</v>
      </c>
      <c r="I25">
        <f t="shared" si="1"/>
        <v>0.881718384613972</v>
      </c>
      <c r="J25">
        <v>17.82</v>
      </c>
      <c r="U25" t="s">
        <v>104</v>
      </c>
      <c r="V25" t="s">
        <v>105</v>
      </c>
      <c r="W25">
        <v>3000</v>
      </c>
      <c r="X25">
        <v>16.03</v>
      </c>
      <c r="Y25">
        <v>2.5</v>
      </c>
      <c r="Z25">
        <f t="shared" ref="Z25:Z30" si="5">SQRT(4*W25/(3.141592654*X25))</f>
        <v>15.4365031354967</v>
      </c>
      <c r="AA25">
        <f t="shared" si="2"/>
        <v>9.265</v>
      </c>
      <c r="AB25">
        <v>127.75</v>
      </c>
      <c r="AC25">
        <f t="shared" si="3"/>
        <v>0.682610833333333</v>
      </c>
      <c r="AD25">
        <v>17.82</v>
      </c>
    </row>
    <row r="26" spans="1:40">
      <c r="A26" t="s">
        <v>106</v>
      </c>
      <c r="B26" s="47">
        <v>23602</v>
      </c>
      <c r="C26">
        <v>5000</v>
      </c>
      <c r="D26">
        <v>15.18</v>
      </c>
      <c r="E26">
        <v>2</v>
      </c>
      <c r="F26">
        <v>20</v>
      </c>
      <c r="G26">
        <f t="shared" si="0"/>
        <v>8.59</v>
      </c>
      <c r="H26">
        <v>277</v>
      </c>
      <c r="I26">
        <f t="shared" si="1"/>
        <v>0.881718384613972</v>
      </c>
      <c r="J26">
        <v>17.82</v>
      </c>
      <c r="U26" t="s">
        <v>104</v>
      </c>
      <c r="V26" t="s">
        <v>107</v>
      </c>
      <c r="W26">
        <v>3000</v>
      </c>
      <c r="X26">
        <v>16.03</v>
      </c>
      <c r="Y26">
        <v>2.5</v>
      </c>
      <c r="Z26">
        <f t="shared" si="5"/>
        <v>15.4365031354967</v>
      </c>
      <c r="AA26">
        <f t="shared" si="2"/>
        <v>9.265</v>
      </c>
      <c r="AB26">
        <v>127.74</v>
      </c>
      <c r="AC26">
        <f t="shared" si="3"/>
        <v>0.6825574</v>
      </c>
      <c r="AD26">
        <v>17.82</v>
      </c>
    </row>
    <row r="27" spans="1:40">
      <c r="A27" t="s">
        <v>108</v>
      </c>
      <c r="B27" s="47">
        <v>23603</v>
      </c>
      <c r="C27">
        <v>5000</v>
      </c>
      <c r="D27">
        <v>15.18</v>
      </c>
      <c r="E27">
        <v>2</v>
      </c>
      <c r="F27">
        <v>20</v>
      </c>
      <c r="G27">
        <f t="shared" si="0"/>
        <v>8.59</v>
      </c>
      <c r="H27">
        <v>277</v>
      </c>
      <c r="I27">
        <f t="shared" si="1"/>
        <v>0.881718384613972</v>
      </c>
      <c r="J27">
        <v>17.82</v>
      </c>
      <c r="U27" t="s">
        <v>104</v>
      </c>
      <c r="V27" t="s">
        <v>109</v>
      </c>
      <c r="W27">
        <v>3000</v>
      </c>
      <c r="X27">
        <v>16.03</v>
      </c>
      <c r="Y27">
        <v>2.5</v>
      </c>
      <c r="Z27">
        <f t="shared" si="5"/>
        <v>15.4365031354967</v>
      </c>
      <c r="AA27">
        <f t="shared" si="2"/>
        <v>9.265</v>
      </c>
      <c r="AB27">
        <v>127.36</v>
      </c>
      <c r="AC27">
        <f t="shared" si="3"/>
        <v>0.680526933333333</v>
      </c>
      <c r="AD27">
        <v>17.82</v>
      </c>
    </row>
    <row r="28" spans="1:40">
      <c r="A28" t="s">
        <v>110</v>
      </c>
      <c r="B28" s="47">
        <v>23604</v>
      </c>
      <c r="C28">
        <v>5000</v>
      </c>
      <c r="D28">
        <v>15.18</v>
      </c>
      <c r="E28">
        <v>2</v>
      </c>
      <c r="F28">
        <v>20</v>
      </c>
      <c r="G28">
        <f t="shared" si="0"/>
        <v>8.59</v>
      </c>
      <c r="H28">
        <v>277</v>
      </c>
      <c r="I28">
        <f t="shared" si="1"/>
        <v>0.881718384613972</v>
      </c>
      <c r="J28">
        <v>17.82</v>
      </c>
      <c r="U28" t="s">
        <v>87</v>
      </c>
      <c r="V28" t="s">
        <v>111</v>
      </c>
      <c r="W28">
        <v>3000</v>
      </c>
      <c r="X28">
        <v>16.03</v>
      </c>
      <c r="Y28">
        <v>2.5</v>
      </c>
      <c r="Z28">
        <f t="shared" si="5"/>
        <v>15.4365031354967</v>
      </c>
      <c r="AA28">
        <f t="shared" si="2"/>
        <v>9.265</v>
      </c>
      <c r="AB28">
        <v>155.99</v>
      </c>
      <c r="AC28">
        <f t="shared" si="3"/>
        <v>0.833506566666667</v>
      </c>
      <c r="AD28">
        <v>17.82</v>
      </c>
    </row>
    <row r="29" spans="1:40">
      <c r="A29" t="s">
        <v>76</v>
      </c>
      <c r="B29" s="47">
        <v>6801</v>
      </c>
      <c r="C29">
        <v>10000</v>
      </c>
      <c r="D29">
        <v>15.5</v>
      </c>
      <c r="E29">
        <v>2.5</v>
      </c>
      <c r="F29">
        <v>27.5</v>
      </c>
      <c r="G29">
        <f t="shared" si="0"/>
        <v>9</v>
      </c>
      <c r="H29">
        <v>492</v>
      </c>
      <c r="I29">
        <f t="shared" si="1"/>
        <v>0.828342288830287</v>
      </c>
      <c r="J29">
        <v>17.82</v>
      </c>
      <c r="U29" t="s">
        <v>87</v>
      </c>
      <c r="V29" t="s">
        <v>112</v>
      </c>
      <c r="W29">
        <v>3000</v>
      </c>
      <c r="X29">
        <v>16.03</v>
      </c>
      <c r="Y29">
        <v>2.5</v>
      </c>
      <c r="Z29">
        <f t="shared" si="5"/>
        <v>15.4365031354967</v>
      </c>
      <c r="AA29">
        <f t="shared" si="2"/>
        <v>9.265</v>
      </c>
      <c r="AB29">
        <v>156</v>
      </c>
      <c r="AC29">
        <f t="shared" si="3"/>
        <v>0.83356</v>
      </c>
      <c r="AD29">
        <v>17.82</v>
      </c>
    </row>
    <row r="30" spans="1:40">
      <c r="A30" t="s">
        <v>76</v>
      </c>
      <c r="B30" s="47">
        <v>6802</v>
      </c>
      <c r="C30">
        <v>10000</v>
      </c>
      <c r="D30">
        <v>15.5</v>
      </c>
      <c r="E30">
        <v>2.5</v>
      </c>
      <c r="F30">
        <v>27.5</v>
      </c>
      <c r="G30">
        <f t="shared" si="0"/>
        <v>9</v>
      </c>
      <c r="H30">
        <v>492</v>
      </c>
      <c r="I30">
        <f t="shared" si="1"/>
        <v>0.828342288830287</v>
      </c>
      <c r="J30">
        <v>17.82</v>
      </c>
      <c r="U30" t="s">
        <v>87</v>
      </c>
      <c r="V30" t="s">
        <v>113</v>
      </c>
      <c r="W30">
        <v>3000</v>
      </c>
      <c r="X30">
        <v>16.03</v>
      </c>
      <c r="Y30">
        <v>2.5</v>
      </c>
      <c r="Z30">
        <f t="shared" si="5"/>
        <v>15.4365031354967</v>
      </c>
      <c r="AA30">
        <f t="shared" si="2"/>
        <v>9.265</v>
      </c>
      <c r="AB30">
        <v>156.18</v>
      </c>
      <c r="AC30">
        <f t="shared" si="3"/>
        <v>0.8345218</v>
      </c>
      <c r="AD30">
        <v>17.82</v>
      </c>
    </row>
    <row r="31" spans="1:40">
      <c r="A31" t="s">
        <v>114</v>
      </c>
      <c r="B31" s="47">
        <v>6803</v>
      </c>
      <c r="C31">
        <v>10000</v>
      </c>
      <c r="D31">
        <v>15.5</v>
      </c>
      <c r="E31">
        <v>2.5</v>
      </c>
      <c r="F31">
        <v>27.5</v>
      </c>
      <c r="G31">
        <f t="shared" si="0"/>
        <v>9</v>
      </c>
      <c r="H31">
        <v>439</v>
      </c>
      <c r="I31">
        <f t="shared" si="1"/>
        <v>0.739110294301821</v>
      </c>
      <c r="J31">
        <v>17.82</v>
      </c>
      <c r="U31" s="48" t="s">
        <v>115</v>
      </c>
      <c r="V31" s="48"/>
      <c r="W31" s="48"/>
      <c r="X31" s="48"/>
      <c r="Y31" s="48"/>
      <c r="Z31" s="48"/>
      <c r="AA31" s="48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</row>
    <row r="32" ht="14" customHeight="1" spans="1:40">
      <c r="A32" t="s">
        <v>114</v>
      </c>
      <c r="B32" s="47">
        <v>6804</v>
      </c>
      <c r="C32">
        <v>10000</v>
      </c>
      <c r="D32">
        <v>15.5</v>
      </c>
      <c r="E32">
        <v>2.5</v>
      </c>
      <c r="F32">
        <v>27.5</v>
      </c>
      <c r="G32">
        <f t="shared" si="0"/>
        <v>9</v>
      </c>
      <c r="H32">
        <v>439</v>
      </c>
      <c r="I32">
        <f t="shared" si="1"/>
        <v>0.739110294301821</v>
      </c>
      <c r="J32">
        <v>17.82</v>
      </c>
      <c r="U32" s="46" t="s">
        <v>26</v>
      </c>
      <c r="V32" s="49" t="s">
        <v>116</v>
      </c>
      <c r="W32" s="49"/>
      <c r="X32" s="49"/>
      <c r="Y32" s="49"/>
      <c r="Z32" s="49"/>
      <c r="AA32" s="49"/>
      <c r="AE32" s="11" t="s">
        <v>28</v>
      </c>
      <c r="AF32" s="11" t="s">
        <v>29</v>
      </c>
      <c r="AG32" s="11" t="s">
        <v>30</v>
      </c>
      <c r="AH32" s="11" t="s">
        <v>31</v>
      </c>
      <c r="AI32" s="11" t="s">
        <v>32</v>
      </c>
      <c r="AJ32" s="11" t="s">
        <v>33</v>
      </c>
      <c r="AK32" s="11" t="s">
        <v>34</v>
      </c>
      <c r="AL32" s="11" t="s">
        <v>35</v>
      </c>
      <c r="AM32" s="11" t="s">
        <v>36</v>
      </c>
    </row>
    <row r="33" ht="14" customHeight="1" spans="1:40">
      <c r="A33" t="s">
        <v>117</v>
      </c>
      <c r="B33" s="47">
        <v>9527</v>
      </c>
      <c r="C33">
        <v>10000</v>
      </c>
      <c r="D33">
        <v>15.5</v>
      </c>
      <c r="E33">
        <v>2</v>
      </c>
      <c r="F33">
        <v>28</v>
      </c>
      <c r="G33">
        <f t="shared" ref="G33:G68" si="6">(D33+E33)/2</f>
        <v>8.75</v>
      </c>
      <c r="H33">
        <v>478</v>
      </c>
      <c r="I33">
        <f t="shared" si="1"/>
        <v>0.776286354979515</v>
      </c>
      <c r="J33">
        <v>17.82</v>
      </c>
      <c r="U33" s="46"/>
      <c r="V33" s="49"/>
      <c r="W33" s="49"/>
      <c r="X33" s="49"/>
      <c r="Y33" s="49"/>
      <c r="Z33" s="49"/>
      <c r="AA33" s="49"/>
      <c r="AE33" s="11"/>
      <c r="AF33" s="11"/>
      <c r="AG33" s="11"/>
      <c r="AH33" s="11"/>
      <c r="AI33" s="11"/>
      <c r="AJ33" s="11"/>
      <c r="AK33" s="11"/>
      <c r="AL33" s="11"/>
      <c r="AM33" s="11"/>
    </row>
    <row r="34" ht="14" customHeight="1" spans="1:40">
      <c r="A34" t="s">
        <v>117</v>
      </c>
      <c r="B34" s="47">
        <v>9528</v>
      </c>
      <c r="C34">
        <v>10000</v>
      </c>
      <c r="D34">
        <v>9.8</v>
      </c>
      <c r="E34">
        <v>2.5</v>
      </c>
      <c r="F34">
        <v>28</v>
      </c>
      <c r="G34">
        <f t="shared" si="6"/>
        <v>6.15</v>
      </c>
      <c r="H34">
        <v>478</v>
      </c>
      <c r="I34">
        <f t="shared" si="1"/>
        <v>0.776286354979515</v>
      </c>
      <c r="J34">
        <v>17.82</v>
      </c>
      <c r="U34" s="46"/>
      <c r="V34" s="49"/>
      <c r="W34" s="49"/>
      <c r="X34" s="49"/>
      <c r="Y34" s="49"/>
      <c r="Z34" s="49"/>
      <c r="AA34" s="49"/>
      <c r="AE34" s="11"/>
      <c r="AF34" s="11"/>
      <c r="AG34" s="11"/>
      <c r="AH34" s="11"/>
      <c r="AI34" s="11"/>
      <c r="AJ34" s="11"/>
      <c r="AK34" s="11"/>
      <c r="AL34" s="11"/>
      <c r="AM34" s="11"/>
    </row>
    <row r="35" ht="14" customHeight="1" spans="1:40">
      <c r="A35" t="s">
        <v>118</v>
      </c>
      <c r="B35" s="47">
        <v>9511</v>
      </c>
      <c r="C35">
        <v>5000</v>
      </c>
      <c r="D35">
        <v>12.8</v>
      </c>
      <c r="E35">
        <v>2.5</v>
      </c>
      <c r="F35">
        <v>20</v>
      </c>
      <c r="G35">
        <f t="shared" si="6"/>
        <v>7.65</v>
      </c>
      <c r="H35">
        <v>225</v>
      </c>
      <c r="I35">
        <f t="shared" si="1"/>
        <v>0.716197243820013</v>
      </c>
      <c r="J35">
        <v>17.82</v>
      </c>
      <c r="U35" s="46"/>
      <c r="V35" s="49"/>
      <c r="W35" s="49"/>
      <c r="X35" s="49"/>
      <c r="Y35" s="49"/>
      <c r="Z35" s="49"/>
      <c r="AA35" s="49"/>
      <c r="AE35" s="11"/>
      <c r="AF35" s="11"/>
      <c r="AG35" s="11"/>
      <c r="AH35" s="11"/>
      <c r="AI35" s="11"/>
      <c r="AJ35" s="11"/>
      <c r="AK35" s="11"/>
      <c r="AL35" s="11"/>
      <c r="AM35" s="11"/>
    </row>
    <row r="36" spans="1:40">
      <c r="A36" t="s">
        <v>104</v>
      </c>
      <c r="B36" s="47">
        <v>9512</v>
      </c>
      <c r="C36">
        <v>5000</v>
      </c>
      <c r="D36">
        <v>12.8</v>
      </c>
      <c r="E36">
        <v>2.5</v>
      </c>
      <c r="F36">
        <v>20</v>
      </c>
      <c r="G36">
        <f t="shared" si="6"/>
        <v>7.65</v>
      </c>
      <c r="H36">
        <v>232.5</v>
      </c>
      <c r="I36">
        <f t="shared" si="1"/>
        <v>0.74007048528068</v>
      </c>
      <c r="J36">
        <v>17.82</v>
      </c>
      <c r="AE36" s="11"/>
      <c r="AF36" s="11"/>
      <c r="AG36" s="11"/>
      <c r="AH36" s="11"/>
      <c r="AI36" s="11"/>
      <c r="AJ36" s="11"/>
      <c r="AK36" s="11"/>
      <c r="AL36" s="11"/>
      <c r="AM36" s="11"/>
    </row>
    <row r="37" spans="1:40">
      <c r="A37" t="s">
        <v>104</v>
      </c>
      <c r="B37" s="47">
        <v>9513</v>
      </c>
      <c r="C37">
        <v>5000</v>
      </c>
      <c r="D37">
        <v>12.8</v>
      </c>
      <c r="E37">
        <v>2.5</v>
      </c>
      <c r="F37">
        <v>20</v>
      </c>
      <c r="G37">
        <f t="shared" si="6"/>
        <v>7.65</v>
      </c>
      <c r="H37">
        <v>223</v>
      </c>
      <c r="I37">
        <f t="shared" si="1"/>
        <v>0.709831046097169</v>
      </c>
      <c r="J37">
        <v>17.82</v>
      </c>
      <c r="U37" t="s">
        <v>37</v>
      </c>
      <c r="V37" t="s">
        <v>38</v>
      </c>
      <c r="W37" t="s">
        <v>39</v>
      </c>
      <c r="X37" t="s">
        <v>40</v>
      </c>
      <c r="Y37" t="s">
        <v>41</v>
      </c>
      <c r="Z37" t="s">
        <v>42</v>
      </c>
      <c r="AA37" t="s">
        <v>43</v>
      </c>
      <c r="AB37" t="s">
        <v>44</v>
      </c>
      <c r="AC37" t="s">
        <v>45</v>
      </c>
      <c r="AD37" t="s">
        <v>46</v>
      </c>
      <c r="AE37" t="s">
        <v>47</v>
      </c>
      <c r="AF37" t="s">
        <v>48</v>
      </c>
      <c r="AG37" t="s">
        <v>49</v>
      </c>
      <c r="AH37" t="s">
        <v>50</v>
      </c>
      <c r="AI37" t="s">
        <v>51</v>
      </c>
      <c r="AJ37" t="s">
        <v>52</v>
      </c>
      <c r="AK37" t="s">
        <v>53</v>
      </c>
      <c r="AL37" t="s">
        <v>54</v>
      </c>
      <c r="AM37" t="s">
        <v>55</v>
      </c>
      <c r="AN37" t="s">
        <v>56</v>
      </c>
    </row>
    <row r="38" spans="1:40">
      <c r="A38" t="s">
        <v>119</v>
      </c>
      <c r="B38" s="47">
        <v>9525</v>
      </c>
      <c r="C38">
        <v>10000</v>
      </c>
      <c r="D38">
        <v>14.9</v>
      </c>
      <c r="E38">
        <v>2.5</v>
      </c>
      <c r="F38">
        <v>28</v>
      </c>
      <c r="G38">
        <f t="shared" si="6"/>
        <v>8.7</v>
      </c>
      <c r="H38">
        <v>468</v>
      </c>
      <c r="I38">
        <f t="shared" si="1"/>
        <v>0.760046054666136</v>
      </c>
      <c r="J38">
        <v>17.82</v>
      </c>
      <c r="U38" t="s">
        <v>120</v>
      </c>
      <c r="V38" t="s">
        <v>121</v>
      </c>
      <c r="W38">
        <v>2000</v>
      </c>
      <c r="X38">
        <v>9.85</v>
      </c>
      <c r="Y38">
        <v>2.15</v>
      </c>
      <c r="Z38">
        <v>15.7</v>
      </c>
      <c r="AA38">
        <f>(X38+Y38)/2</f>
        <v>6</v>
      </c>
      <c r="AB38" s="11" t="s">
        <v>122</v>
      </c>
      <c r="AC38">
        <v>0.55</v>
      </c>
      <c r="AD38">
        <v>15.7</v>
      </c>
      <c r="AN38" t="s">
        <v>123</v>
      </c>
    </row>
    <row r="39" spans="1:40">
      <c r="A39" t="s">
        <v>119</v>
      </c>
      <c r="B39" s="47">
        <v>9526</v>
      </c>
      <c r="C39">
        <v>10000</v>
      </c>
      <c r="D39">
        <v>14.9</v>
      </c>
      <c r="E39">
        <v>2.5</v>
      </c>
      <c r="F39">
        <v>28</v>
      </c>
      <c r="G39">
        <f t="shared" si="6"/>
        <v>8.7</v>
      </c>
      <c r="H39">
        <v>468</v>
      </c>
      <c r="I39">
        <f t="shared" si="1"/>
        <v>0.760046054666136</v>
      </c>
      <c r="J39">
        <v>17.82</v>
      </c>
      <c r="U39" t="s">
        <v>120</v>
      </c>
      <c r="V39" t="s">
        <v>124</v>
      </c>
      <c r="W39">
        <v>2000</v>
      </c>
      <c r="X39">
        <v>9.85</v>
      </c>
      <c r="Y39">
        <v>2.15</v>
      </c>
      <c r="Z39">
        <v>15.7</v>
      </c>
      <c r="AA39">
        <f t="shared" ref="AA39:AA57" si="7">(X39+Y39)/2</f>
        <v>6</v>
      </c>
      <c r="AB39" s="11" t="s">
        <v>122</v>
      </c>
      <c r="AC39">
        <v>0.55</v>
      </c>
      <c r="AD39">
        <v>15.7</v>
      </c>
      <c r="AN39" t="s">
        <v>125</v>
      </c>
    </row>
    <row r="40" spans="1:40">
      <c r="A40" t="s">
        <v>126</v>
      </c>
      <c r="B40" s="47">
        <v>806</v>
      </c>
      <c r="C40">
        <v>5000</v>
      </c>
      <c r="D40">
        <v>11.2</v>
      </c>
      <c r="E40">
        <v>2.15</v>
      </c>
      <c r="F40">
        <f t="shared" ref="F40:F96" si="8">SQRT(4*C40/(3.141592654*D40))</f>
        <v>23.8413613488883</v>
      </c>
      <c r="G40">
        <f t="shared" si="6"/>
        <v>6.675</v>
      </c>
      <c r="H40">
        <v>300</v>
      </c>
      <c r="I40">
        <f t="shared" si="1"/>
        <v>0.672</v>
      </c>
      <c r="U40" t="s">
        <v>120</v>
      </c>
      <c r="V40" t="s">
        <v>127</v>
      </c>
      <c r="W40">
        <v>2000</v>
      </c>
      <c r="X40">
        <v>9.85</v>
      </c>
      <c r="Y40">
        <v>2.15</v>
      </c>
      <c r="Z40">
        <v>15.7</v>
      </c>
      <c r="AA40">
        <f t="shared" si="7"/>
        <v>6</v>
      </c>
      <c r="AB40" s="11" t="s">
        <v>122</v>
      </c>
      <c r="AC40">
        <v>0.55</v>
      </c>
      <c r="AD40">
        <v>15.7</v>
      </c>
      <c r="AN40" t="s">
        <v>128</v>
      </c>
    </row>
    <row r="41" spans="1:40">
      <c r="A41" t="s">
        <v>126</v>
      </c>
      <c r="B41" s="47">
        <v>807</v>
      </c>
      <c r="C41">
        <v>5000</v>
      </c>
      <c r="D41">
        <v>11.2</v>
      </c>
      <c r="E41">
        <v>2.15</v>
      </c>
      <c r="F41">
        <f t="shared" si="8"/>
        <v>23.8413613488883</v>
      </c>
      <c r="G41">
        <f t="shared" si="6"/>
        <v>6.675</v>
      </c>
      <c r="H41">
        <v>300</v>
      </c>
      <c r="I41">
        <f t="shared" si="1"/>
        <v>0.672</v>
      </c>
      <c r="U41" t="s">
        <v>120</v>
      </c>
      <c r="V41" t="s">
        <v>129</v>
      </c>
      <c r="W41">
        <v>2000</v>
      </c>
      <c r="X41">
        <v>9.85</v>
      </c>
      <c r="Y41">
        <v>2.15</v>
      </c>
      <c r="Z41">
        <v>15.7</v>
      </c>
      <c r="AA41">
        <f t="shared" si="7"/>
        <v>6</v>
      </c>
      <c r="AB41" s="11" t="s">
        <v>122</v>
      </c>
      <c r="AC41">
        <v>0.55</v>
      </c>
      <c r="AD41">
        <v>15.7</v>
      </c>
      <c r="AN41" t="s">
        <v>130</v>
      </c>
    </row>
    <row r="42" spans="1:40">
      <c r="A42" t="s">
        <v>126</v>
      </c>
      <c r="B42" s="47">
        <v>822</v>
      </c>
      <c r="C42">
        <v>15000</v>
      </c>
      <c r="D42">
        <v>20</v>
      </c>
      <c r="E42">
        <v>2.15</v>
      </c>
      <c r="F42">
        <f t="shared" si="8"/>
        <v>30.9019361598377</v>
      </c>
      <c r="G42">
        <f t="shared" si="6"/>
        <v>11.075</v>
      </c>
      <c r="H42">
        <v>520</v>
      </c>
      <c r="I42">
        <f t="shared" si="1"/>
        <v>0.693333333333333</v>
      </c>
      <c r="U42" t="s">
        <v>131</v>
      </c>
      <c r="V42" t="s">
        <v>132</v>
      </c>
      <c r="W42">
        <v>2000</v>
      </c>
      <c r="X42">
        <v>9.85</v>
      </c>
      <c r="Y42">
        <v>2.15</v>
      </c>
      <c r="Z42">
        <v>15.7</v>
      </c>
      <c r="AA42">
        <f t="shared" si="7"/>
        <v>6</v>
      </c>
      <c r="AB42" s="11" t="s">
        <v>122</v>
      </c>
      <c r="AC42">
        <v>0.55</v>
      </c>
      <c r="AD42">
        <v>15.7</v>
      </c>
    </row>
    <row r="43" spans="1:40">
      <c r="A43" t="s">
        <v>126</v>
      </c>
      <c r="B43" s="47">
        <v>823</v>
      </c>
      <c r="C43">
        <v>15000</v>
      </c>
      <c r="D43">
        <v>20</v>
      </c>
      <c r="E43">
        <v>2.15</v>
      </c>
      <c r="F43">
        <f t="shared" si="8"/>
        <v>30.9019361598377</v>
      </c>
      <c r="G43">
        <f t="shared" si="6"/>
        <v>11.075</v>
      </c>
      <c r="H43">
        <v>520</v>
      </c>
      <c r="I43">
        <f t="shared" si="1"/>
        <v>0.693333333333333</v>
      </c>
      <c r="U43" t="s">
        <v>131</v>
      </c>
      <c r="V43" t="s">
        <v>133</v>
      </c>
      <c r="W43">
        <v>2000</v>
      </c>
      <c r="X43">
        <v>9.85</v>
      </c>
      <c r="Y43">
        <v>2.15</v>
      </c>
      <c r="Z43">
        <v>15.7</v>
      </c>
      <c r="AA43">
        <f t="shared" si="7"/>
        <v>6</v>
      </c>
      <c r="AB43" s="11" t="s">
        <v>122</v>
      </c>
      <c r="AC43">
        <v>0.55</v>
      </c>
      <c r="AD43">
        <v>15.7</v>
      </c>
    </row>
    <row r="44" spans="1:40">
      <c r="A44" t="s">
        <v>126</v>
      </c>
      <c r="B44" s="47">
        <v>825</v>
      </c>
      <c r="C44">
        <v>15000</v>
      </c>
      <c r="D44">
        <v>15.5</v>
      </c>
      <c r="E44">
        <v>2.15</v>
      </c>
      <c r="F44">
        <f t="shared" si="8"/>
        <v>35.1022406862542</v>
      </c>
      <c r="G44">
        <f t="shared" si="6"/>
        <v>8.825</v>
      </c>
      <c r="H44">
        <v>595</v>
      </c>
      <c r="I44">
        <f t="shared" si="1"/>
        <v>0.614833333333333</v>
      </c>
      <c r="U44" t="s">
        <v>131</v>
      </c>
      <c r="V44" t="s">
        <v>134</v>
      </c>
      <c r="W44">
        <v>2000</v>
      </c>
      <c r="X44">
        <v>9.85</v>
      </c>
      <c r="Y44">
        <v>2.15</v>
      </c>
      <c r="Z44">
        <v>15.7</v>
      </c>
      <c r="AA44">
        <f t="shared" si="7"/>
        <v>6</v>
      </c>
      <c r="AB44" s="11" t="s">
        <v>122</v>
      </c>
      <c r="AC44">
        <v>0.55</v>
      </c>
      <c r="AD44">
        <v>15.7</v>
      </c>
    </row>
    <row r="45" spans="1:40">
      <c r="A45" t="s">
        <v>126</v>
      </c>
      <c r="B45" s="47">
        <v>826</v>
      </c>
      <c r="C45">
        <v>15000</v>
      </c>
      <c r="D45">
        <v>15.5</v>
      </c>
      <c r="E45">
        <v>2.15</v>
      </c>
      <c r="F45">
        <f t="shared" si="8"/>
        <v>35.1022406862542</v>
      </c>
      <c r="G45">
        <f t="shared" si="6"/>
        <v>8.825</v>
      </c>
      <c r="H45">
        <v>595</v>
      </c>
      <c r="I45">
        <f t="shared" si="1"/>
        <v>0.614833333333333</v>
      </c>
      <c r="U45" t="s">
        <v>131</v>
      </c>
      <c r="V45" t="s">
        <v>135</v>
      </c>
      <c r="W45">
        <v>2000</v>
      </c>
      <c r="X45">
        <v>9.85</v>
      </c>
      <c r="Y45">
        <v>2.15</v>
      </c>
      <c r="Z45">
        <v>15.7</v>
      </c>
      <c r="AA45">
        <f t="shared" si="7"/>
        <v>6</v>
      </c>
      <c r="AB45" s="11" t="s">
        <v>122</v>
      </c>
      <c r="AC45">
        <v>0.55</v>
      </c>
      <c r="AD45">
        <v>15.7</v>
      </c>
    </row>
    <row r="46" spans="1:40">
      <c r="A46" t="s">
        <v>126</v>
      </c>
      <c r="B46" s="47">
        <v>26101</v>
      </c>
      <c r="C46">
        <v>20000</v>
      </c>
      <c r="D46">
        <v>15.5</v>
      </c>
      <c r="E46">
        <v>2.15</v>
      </c>
      <c r="F46">
        <f t="shared" si="8"/>
        <v>40.5325762187358</v>
      </c>
      <c r="G46">
        <f t="shared" si="6"/>
        <v>8.825</v>
      </c>
      <c r="H46">
        <v>840</v>
      </c>
      <c r="I46">
        <f t="shared" si="1"/>
        <v>0.651</v>
      </c>
      <c r="U46" t="s">
        <v>136</v>
      </c>
      <c r="V46" t="s">
        <v>137</v>
      </c>
      <c r="W46">
        <v>2000</v>
      </c>
      <c r="X46">
        <v>9.85</v>
      </c>
      <c r="Y46">
        <v>2.15</v>
      </c>
      <c r="Z46">
        <v>15.7</v>
      </c>
      <c r="AA46">
        <f t="shared" si="7"/>
        <v>6</v>
      </c>
      <c r="AB46" s="11" t="s">
        <v>122</v>
      </c>
      <c r="AC46">
        <v>0.55</v>
      </c>
      <c r="AD46">
        <v>15.7</v>
      </c>
    </row>
    <row r="47" spans="1:40">
      <c r="A47" t="s">
        <v>138</v>
      </c>
      <c r="B47" s="47">
        <v>814</v>
      </c>
      <c r="C47">
        <v>5000</v>
      </c>
      <c r="D47">
        <v>12.5</v>
      </c>
      <c r="E47">
        <v>2.15</v>
      </c>
      <c r="F47">
        <f t="shared" si="8"/>
        <v>22.5675833404369</v>
      </c>
      <c r="G47">
        <f t="shared" si="6"/>
        <v>7.325</v>
      </c>
      <c r="H47">
        <v>275</v>
      </c>
      <c r="I47">
        <f t="shared" si="1"/>
        <v>0.6875</v>
      </c>
      <c r="U47" t="s">
        <v>136</v>
      </c>
      <c r="V47" t="s">
        <v>139</v>
      </c>
      <c r="W47">
        <v>2000</v>
      </c>
      <c r="X47">
        <v>9.85</v>
      </c>
      <c r="Y47">
        <v>2.15</v>
      </c>
      <c r="Z47">
        <v>15.7</v>
      </c>
      <c r="AA47">
        <f t="shared" si="7"/>
        <v>6</v>
      </c>
      <c r="AB47" s="11" t="s">
        <v>122</v>
      </c>
      <c r="AC47">
        <v>0.55</v>
      </c>
      <c r="AD47">
        <v>15.7</v>
      </c>
    </row>
    <row r="48" spans="1:40">
      <c r="A48" t="s">
        <v>138</v>
      </c>
      <c r="B48" s="47">
        <v>816</v>
      </c>
      <c r="C48">
        <v>5000</v>
      </c>
      <c r="D48">
        <v>12.5</v>
      </c>
      <c r="E48">
        <v>2.15</v>
      </c>
      <c r="F48">
        <f t="shared" si="8"/>
        <v>22.5675833404369</v>
      </c>
      <c r="G48">
        <f t="shared" si="6"/>
        <v>7.325</v>
      </c>
      <c r="H48">
        <v>275</v>
      </c>
      <c r="I48">
        <f t="shared" si="1"/>
        <v>0.6875</v>
      </c>
      <c r="U48" t="s">
        <v>140</v>
      </c>
      <c r="V48" t="s">
        <v>141</v>
      </c>
      <c r="W48">
        <v>2000</v>
      </c>
      <c r="X48">
        <v>9.85</v>
      </c>
      <c r="Y48">
        <v>2.15</v>
      </c>
      <c r="Z48">
        <v>15.7</v>
      </c>
      <c r="AA48">
        <f t="shared" si="7"/>
        <v>6</v>
      </c>
      <c r="AB48" s="11" t="s">
        <v>122</v>
      </c>
      <c r="AC48">
        <v>0.55</v>
      </c>
      <c r="AD48">
        <v>15.7</v>
      </c>
    </row>
    <row r="49" spans="1:40">
      <c r="A49" t="s">
        <v>138</v>
      </c>
      <c r="B49" s="47">
        <v>817</v>
      </c>
      <c r="C49">
        <v>5000</v>
      </c>
      <c r="D49">
        <v>12.5</v>
      </c>
      <c r="E49">
        <v>2.15</v>
      </c>
      <c r="F49">
        <f t="shared" si="8"/>
        <v>22.5675833404369</v>
      </c>
      <c r="G49">
        <f t="shared" si="6"/>
        <v>7.325</v>
      </c>
      <c r="H49">
        <v>275</v>
      </c>
      <c r="I49">
        <f t="shared" si="1"/>
        <v>0.6875</v>
      </c>
      <c r="U49" t="s">
        <v>140</v>
      </c>
      <c r="V49" t="s">
        <v>142</v>
      </c>
      <c r="W49">
        <v>2000</v>
      </c>
      <c r="X49">
        <v>9.85</v>
      </c>
      <c r="Y49">
        <v>2.15</v>
      </c>
      <c r="Z49">
        <v>15.7</v>
      </c>
      <c r="AA49">
        <f t="shared" si="7"/>
        <v>6</v>
      </c>
      <c r="AB49" s="11" t="s">
        <v>122</v>
      </c>
      <c r="AC49">
        <v>0.55</v>
      </c>
      <c r="AD49">
        <v>15.7</v>
      </c>
    </row>
    <row r="50" spans="1:40">
      <c r="A50" t="s">
        <v>138</v>
      </c>
      <c r="B50" s="47">
        <v>821</v>
      </c>
      <c r="C50">
        <v>15000</v>
      </c>
      <c r="D50">
        <v>20</v>
      </c>
      <c r="E50">
        <v>2.15</v>
      </c>
      <c r="F50">
        <f t="shared" si="8"/>
        <v>30.9019361598377</v>
      </c>
      <c r="G50">
        <f t="shared" si="6"/>
        <v>11.075</v>
      </c>
      <c r="H50">
        <v>520</v>
      </c>
      <c r="I50">
        <f t="shared" si="1"/>
        <v>0.693333333333333</v>
      </c>
      <c r="U50" t="s">
        <v>140</v>
      </c>
      <c r="V50" t="s">
        <v>143</v>
      </c>
      <c r="W50">
        <v>2000</v>
      </c>
      <c r="X50">
        <v>9.85</v>
      </c>
      <c r="Y50">
        <v>2.15</v>
      </c>
      <c r="Z50">
        <v>15.7</v>
      </c>
      <c r="AA50">
        <f t="shared" si="7"/>
        <v>6</v>
      </c>
      <c r="AB50" s="11" t="s">
        <v>122</v>
      </c>
      <c r="AC50">
        <v>0.55</v>
      </c>
      <c r="AD50">
        <v>15.7</v>
      </c>
    </row>
    <row r="51" spans="1:40">
      <c r="A51" t="s">
        <v>138</v>
      </c>
      <c r="B51" s="47">
        <v>824</v>
      </c>
      <c r="C51">
        <v>15000</v>
      </c>
      <c r="D51">
        <v>20</v>
      </c>
      <c r="E51">
        <v>2.15</v>
      </c>
      <c r="F51">
        <f t="shared" si="8"/>
        <v>30.9019361598377</v>
      </c>
      <c r="G51">
        <f t="shared" si="6"/>
        <v>11.075</v>
      </c>
      <c r="H51">
        <v>520</v>
      </c>
      <c r="I51">
        <f t="shared" si="1"/>
        <v>0.693333333333333</v>
      </c>
      <c r="U51" t="s">
        <v>144</v>
      </c>
      <c r="V51" t="s">
        <v>145</v>
      </c>
      <c r="W51">
        <v>2000</v>
      </c>
      <c r="X51">
        <v>9.85</v>
      </c>
      <c r="Y51">
        <v>2.15</v>
      </c>
      <c r="Z51">
        <v>15.7</v>
      </c>
      <c r="AA51">
        <f t="shared" si="7"/>
        <v>6</v>
      </c>
      <c r="AB51" s="11" t="s">
        <v>122</v>
      </c>
      <c r="AC51">
        <v>0.55</v>
      </c>
      <c r="AD51">
        <v>15.7</v>
      </c>
    </row>
    <row r="52" spans="1:40">
      <c r="A52" t="s">
        <v>138</v>
      </c>
      <c r="B52" s="47">
        <v>26102</v>
      </c>
      <c r="C52">
        <v>20000</v>
      </c>
      <c r="D52">
        <v>15.5</v>
      </c>
      <c r="E52">
        <v>2.15</v>
      </c>
      <c r="F52">
        <f t="shared" si="8"/>
        <v>40.5325762187358</v>
      </c>
      <c r="G52">
        <f t="shared" si="6"/>
        <v>8.825</v>
      </c>
      <c r="H52">
        <v>840</v>
      </c>
      <c r="I52">
        <f t="shared" si="1"/>
        <v>0.651</v>
      </c>
      <c r="U52" t="s">
        <v>144</v>
      </c>
      <c r="V52" t="s">
        <v>146</v>
      </c>
      <c r="W52">
        <v>2000</v>
      </c>
      <c r="X52">
        <v>9.85</v>
      </c>
      <c r="Y52">
        <v>2.15</v>
      </c>
      <c r="Z52">
        <v>15.7</v>
      </c>
      <c r="AA52">
        <f t="shared" si="7"/>
        <v>6</v>
      </c>
      <c r="AB52" s="11" t="s">
        <v>122</v>
      </c>
      <c r="AC52">
        <v>0.55</v>
      </c>
      <c r="AD52">
        <v>15.7</v>
      </c>
    </row>
    <row r="53" spans="1:40">
      <c r="A53" t="s">
        <v>147</v>
      </c>
      <c r="B53" t="s">
        <v>148</v>
      </c>
      <c r="C53">
        <v>15000</v>
      </c>
      <c r="D53">
        <v>20</v>
      </c>
      <c r="E53">
        <v>2.15</v>
      </c>
      <c r="F53">
        <f t="shared" si="8"/>
        <v>30.9019361598377</v>
      </c>
      <c r="G53">
        <f t="shared" si="6"/>
        <v>11.075</v>
      </c>
      <c r="H53">
        <v>520</v>
      </c>
      <c r="I53">
        <f t="shared" si="1"/>
        <v>0.693333333333333</v>
      </c>
      <c r="U53" t="s">
        <v>149</v>
      </c>
      <c r="V53" t="s">
        <v>150</v>
      </c>
      <c r="W53">
        <v>2000</v>
      </c>
      <c r="X53">
        <v>9.85</v>
      </c>
      <c r="Y53">
        <v>2.15</v>
      </c>
      <c r="Z53">
        <v>15.7</v>
      </c>
      <c r="AA53">
        <f t="shared" si="7"/>
        <v>6</v>
      </c>
      <c r="AB53" s="11" t="s">
        <v>122</v>
      </c>
      <c r="AC53">
        <v>0.5</v>
      </c>
      <c r="AD53">
        <v>15.7</v>
      </c>
      <c r="AN53" t="s">
        <v>151</v>
      </c>
    </row>
    <row r="54" spans="1:40">
      <c r="A54" t="s">
        <v>152</v>
      </c>
      <c r="B54" s="47">
        <v>801</v>
      </c>
      <c r="C54">
        <v>10000</v>
      </c>
      <c r="D54">
        <v>13.4</v>
      </c>
      <c r="E54">
        <v>2.15</v>
      </c>
      <c r="F54">
        <f t="shared" si="8"/>
        <v>30.8249698232401</v>
      </c>
      <c r="G54">
        <f t="shared" si="6"/>
        <v>7.775</v>
      </c>
      <c r="H54">
        <v>515</v>
      </c>
      <c r="I54">
        <f t="shared" si="1"/>
        <v>0.6901</v>
      </c>
      <c r="U54" t="s">
        <v>149</v>
      </c>
      <c r="V54" t="s">
        <v>153</v>
      </c>
      <c r="W54">
        <v>2000</v>
      </c>
      <c r="X54">
        <v>9.85</v>
      </c>
      <c r="Y54">
        <v>2.15</v>
      </c>
      <c r="Z54">
        <v>15.7</v>
      </c>
      <c r="AA54">
        <f t="shared" si="7"/>
        <v>6</v>
      </c>
      <c r="AB54" s="11" t="s">
        <v>122</v>
      </c>
      <c r="AC54">
        <v>0.5</v>
      </c>
      <c r="AD54">
        <v>15.7</v>
      </c>
      <c r="AN54" t="s">
        <v>154</v>
      </c>
    </row>
    <row r="55" spans="1:40">
      <c r="A55" t="s">
        <v>152</v>
      </c>
      <c r="B55" s="47">
        <v>802</v>
      </c>
      <c r="C55">
        <v>10000</v>
      </c>
      <c r="D55">
        <v>13.4</v>
      </c>
      <c r="E55">
        <v>2.15</v>
      </c>
      <c r="F55">
        <f t="shared" si="8"/>
        <v>30.8249698232401</v>
      </c>
      <c r="G55">
        <f t="shared" si="6"/>
        <v>7.775</v>
      </c>
      <c r="H55">
        <v>515</v>
      </c>
      <c r="I55">
        <f t="shared" si="1"/>
        <v>0.6901</v>
      </c>
      <c r="U55" t="s">
        <v>155</v>
      </c>
      <c r="V55" t="s">
        <v>156</v>
      </c>
      <c r="W55">
        <v>2000</v>
      </c>
      <c r="X55">
        <v>9.85</v>
      </c>
      <c r="Y55">
        <v>2.15</v>
      </c>
      <c r="Z55">
        <v>15.7</v>
      </c>
      <c r="AA55">
        <f t="shared" si="7"/>
        <v>6</v>
      </c>
      <c r="AB55" s="11" t="s">
        <v>122</v>
      </c>
      <c r="AC55">
        <v>0.55</v>
      </c>
      <c r="AD55">
        <v>15.7</v>
      </c>
    </row>
    <row r="56" spans="1:40">
      <c r="A56" t="s">
        <v>152</v>
      </c>
      <c r="B56" s="47">
        <v>803</v>
      </c>
      <c r="C56">
        <v>10000</v>
      </c>
      <c r="D56">
        <v>13.4</v>
      </c>
      <c r="E56">
        <v>2.15</v>
      </c>
      <c r="F56">
        <f t="shared" si="8"/>
        <v>30.8249698232401</v>
      </c>
      <c r="G56">
        <f t="shared" si="6"/>
        <v>7.775</v>
      </c>
      <c r="H56">
        <v>515</v>
      </c>
      <c r="I56">
        <f t="shared" si="1"/>
        <v>0.6901</v>
      </c>
      <c r="U56" t="s">
        <v>155</v>
      </c>
      <c r="V56" t="s">
        <v>157</v>
      </c>
      <c r="W56">
        <v>2000</v>
      </c>
      <c r="X56">
        <v>9.85</v>
      </c>
      <c r="Y56">
        <v>2.15</v>
      </c>
      <c r="Z56">
        <v>15.7</v>
      </c>
      <c r="AA56">
        <f t="shared" si="7"/>
        <v>6</v>
      </c>
      <c r="AB56" s="11" t="s">
        <v>122</v>
      </c>
      <c r="AC56">
        <v>0.55</v>
      </c>
      <c r="AD56">
        <v>15.7</v>
      </c>
    </row>
    <row r="57" spans="1:40">
      <c r="A57" t="s">
        <v>152</v>
      </c>
      <c r="B57" s="47">
        <v>804</v>
      </c>
      <c r="C57">
        <v>10000</v>
      </c>
      <c r="D57">
        <v>13.4</v>
      </c>
      <c r="E57">
        <v>2.15</v>
      </c>
      <c r="F57">
        <f t="shared" si="8"/>
        <v>30.8249698232401</v>
      </c>
      <c r="G57">
        <f t="shared" si="6"/>
        <v>7.775</v>
      </c>
      <c r="H57">
        <v>515</v>
      </c>
      <c r="I57">
        <f t="shared" si="1"/>
        <v>0.6901</v>
      </c>
      <c r="U57" t="s">
        <v>155</v>
      </c>
      <c r="V57" t="s">
        <v>158</v>
      </c>
      <c r="W57">
        <v>2000</v>
      </c>
      <c r="X57">
        <v>9.85</v>
      </c>
      <c r="Y57">
        <v>2.15</v>
      </c>
      <c r="Z57">
        <v>15.7</v>
      </c>
      <c r="AA57">
        <f t="shared" si="7"/>
        <v>6</v>
      </c>
      <c r="AB57" s="11" t="s">
        <v>122</v>
      </c>
      <c r="AC57">
        <v>0.55</v>
      </c>
      <c r="AD57">
        <v>15.7</v>
      </c>
    </row>
    <row r="58" spans="1:40">
      <c r="A58" t="s">
        <v>152</v>
      </c>
      <c r="B58" s="47">
        <v>810</v>
      </c>
      <c r="C58">
        <v>5000</v>
      </c>
      <c r="D58">
        <v>10.2</v>
      </c>
      <c r="E58">
        <v>2.15</v>
      </c>
      <c r="F58">
        <f t="shared" si="8"/>
        <v>24.982734671197</v>
      </c>
      <c r="G58">
        <f t="shared" si="6"/>
        <v>6.175</v>
      </c>
      <c r="H58">
        <v>365</v>
      </c>
      <c r="I58">
        <f t="shared" si="1"/>
        <v>0.7446</v>
      </c>
    </row>
    <row r="59" spans="1:40">
      <c r="A59" t="s">
        <v>152</v>
      </c>
      <c r="B59" s="47">
        <v>811</v>
      </c>
      <c r="C59">
        <v>5000</v>
      </c>
      <c r="D59">
        <v>10.2</v>
      </c>
      <c r="E59">
        <v>2.15</v>
      </c>
      <c r="F59">
        <f t="shared" si="8"/>
        <v>24.982734671197</v>
      </c>
      <c r="G59">
        <f t="shared" si="6"/>
        <v>6.175</v>
      </c>
      <c r="H59">
        <v>365</v>
      </c>
      <c r="I59">
        <f t="shared" si="1"/>
        <v>0.7446</v>
      </c>
    </row>
    <row r="60" spans="1:40">
      <c r="A60" t="s">
        <v>152</v>
      </c>
      <c r="B60" s="47">
        <v>812</v>
      </c>
      <c r="C60">
        <v>10000</v>
      </c>
      <c r="D60">
        <v>13.4</v>
      </c>
      <c r="E60">
        <v>2.15</v>
      </c>
      <c r="F60">
        <f t="shared" si="8"/>
        <v>30.8249698232401</v>
      </c>
      <c r="G60">
        <f t="shared" si="6"/>
        <v>7.775</v>
      </c>
      <c r="H60">
        <v>575</v>
      </c>
      <c r="I60">
        <f t="shared" si="1"/>
        <v>0.7705</v>
      </c>
      <c r="U60" t="s">
        <v>97</v>
      </c>
      <c r="V60" t="s">
        <v>159</v>
      </c>
      <c r="W60">
        <v>3000</v>
      </c>
      <c r="X60">
        <v>15</v>
      </c>
    </row>
    <row r="61" spans="1:40">
      <c r="A61" t="s">
        <v>152</v>
      </c>
      <c r="B61" s="47">
        <v>813</v>
      </c>
      <c r="C61">
        <v>10000</v>
      </c>
      <c r="D61">
        <v>13.4</v>
      </c>
      <c r="E61">
        <v>2.15</v>
      </c>
      <c r="F61">
        <f t="shared" si="8"/>
        <v>30.8249698232401</v>
      </c>
      <c r="G61">
        <f t="shared" si="6"/>
        <v>7.775</v>
      </c>
      <c r="H61">
        <v>575</v>
      </c>
      <c r="I61">
        <f t="shared" si="1"/>
        <v>0.7705</v>
      </c>
      <c r="U61" t="s">
        <v>97</v>
      </c>
      <c r="V61" t="s">
        <v>160</v>
      </c>
      <c r="W61">
        <v>3000</v>
      </c>
      <c r="X61">
        <v>15</v>
      </c>
    </row>
    <row r="62" spans="1:40">
      <c r="A62" t="s">
        <v>152</v>
      </c>
      <c r="B62" s="47">
        <v>818</v>
      </c>
      <c r="C62">
        <v>5000</v>
      </c>
      <c r="D62">
        <v>12.5</v>
      </c>
      <c r="E62">
        <v>2.15</v>
      </c>
      <c r="F62">
        <f t="shared" si="8"/>
        <v>22.5675833404369</v>
      </c>
      <c r="G62">
        <f t="shared" si="6"/>
        <v>7.325</v>
      </c>
      <c r="H62">
        <v>305</v>
      </c>
      <c r="I62">
        <f t="shared" si="1"/>
        <v>0.7625</v>
      </c>
      <c r="U62" t="s">
        <v>92</v>
      </c>
      <c r="V62" t="s">
        <v>161</v>
      </c>
      <c r="W62">
        <v>2000</v>
      </c>
      <c r="X62">
        <v>13.5</v>
      </c>
    </row>
    <row r="63" spans="1:40">
      <c r="A63" t="s">
        <v>152</v>
      </c>
      <c r="B63" s="47">
        <v>819</v>
      </c>
      <c r="C63">
        <v>5000</v>
      </c>
      <c r="D63">
        <v>12.5</v>
      </c>
      <c r="E63">
        <v>2.15</v>
      </c>
      <c r="F63">
        <f t="shared" si="8"/>
        <v>22.5675833404369</v>
      </c>
      <c r="G63">
        <f t="shared" si="6"/>
        <v>7.325</v>
      </c>
      <c r="H63">
        <v>305</v>
      </c>
      <c r="I63">
        <f t="shared" si="1"/>
        <v>0.7625</v>
      </c>
      <c r="U63" t="s">
        <v>92</v>
      </c>
      <c r="V63" t="s">
        <v>162</v>
      </c>
      <c r="W63">
        <v>2000</v>
      </c>
      <c r="X63">
        <v>13.5</v>
      </c>
    </row>
    <row r="64" spans="1:40">
      <c r="A64" t="s">
        <v>152</v>
      </c>
      <c r="B64" s="47">
        <v>26103</v>
      </c>
      <c r="C64">
        <v>20000</v>
      </c>
      <c r="D64">
        <v>15.5</v>
      </c>
      <c r="E64">
        <v>2.15</v>
      </c>
      <c r="F64">
        <f t="shared" si="8"/>
        <v>40.5325762187358</v>
      </c>
      <c r="G64">
        <f t="shared" si="6"/>
        <v>8.825</v>
      </c>
      <c r="H64">
        <v>926</v>
      </c>
      <c r="I64">
        <f t="shared" si="1"/>
        <v>0.71765</v>
      </c>
      <c r="U64" t="s">
        <v>163</v>
      </c>
      <c r="V64" t="s">
        <v>164</v>
      </c>
      <c r="W64">
        <v>4000</v>
      </c>
      <c r="X64">
        <v>15.5</v>
      </c>
    </row>
    <row r="65" spans="1:24">
      <c r="A65" t="s">
        <v>152</v>
      </c>
      <c r="B65" s="47">
        <v>26104</v>
      </c>
      <c r="C65">
        <v>20000</v>
      </c>
      <c r="D65">
        <v>15.5</v>
      </c>
      <c r="E65">
        <v>2.15</v>
      </c>
      <c r="F65">
        <f t="shared" si="8"/>
        <v>40.5325762187358</v>
      </c>
      <c r="G65">
        <f t="shared" si="6"/>
        <v>8.825</v>
      </c>
      <c r="H65">
        <v>926</v>
      </c>
      <c r="I65">
        <f t="shared" si="1"/>
        <v>0.71765</v>
      </c>
      <c r="U65" t="s">
        <v>163</v>
      </c>
      <c r="V65" t="s">
        <v>165</v>
      </c>
      <c r="W65">
        <v>4000</v>
      </c>
      <c r="X65">
        <v>15.5</v>
      </c>
    </row>
    <row r="66" spans="1:24">
      <c r="A66" t="s">
        <v>166</v>
      </c>
      <c r="B66" s="47">
        <v>26105</v>
      </c>
      <c r="C66">
        <v>20000</v>
      </c>
      <c r="D66">
        <v>15.5</v>
      </c>
      <c r="E66">
        <v>2.5</v>
      </c>
      <c r="F66">
        <v>38</v>
      </c>
      <c r="G66">
        <f t="shared" si="6"/>
        <v>9</v>
      </c>
      <c r="H66">
        <v>892</v>
      </c>
      <c r="I66">
        <f t="shared" si="1"/>
        <v>0.7865163945675</v>
      </c>
      <c r="J66">
        <v>17.82</v>
      </c>
      <c r="U66" t="s">
        <v>163</v>
      </c>
      <c r="V66" t="s">
        <v>167</v>
      </c>
      <c r="W66">
        <v>2000</v>
      </c>
      <c r="X66">
        <v>13.5</v>
      </c>
    </row>
    <row r="67" spans="1:24">
      <c r="A67" t="s">
        <v>166</v>
      </c>
      <c r="B67" s="47">
        <v>26106</v>
      </c>
      <c r="C67">
        <v>20000</v>
      </c>
      <c r="D67">
        <v>15.5</v>
      </c>
      <c r="E67">
        <v>2.5</v>
      </c>
      <c r="F67">
        <v>38</v>
      </c>
      <c r="G67">
        <f t="shared" si="6"/>
        <v>9</v>
      </c>
      <c r="H67">
        <v>892</v>
      </c>
      <c r="I67">
        <f t="shared" si="1"/>
        <v>0.7865163945675</v>
      </c>
      <c r="J67">
        <v>17.82</v>
      </c>
      <c r="U67" t="s">
        <v>168</v>
      </c>
      <c r="V67" t="s">
        <v>169</v>
      </c>
      <c r="W67">
        <v>1000</v>
      </c>
      <c r="X67">
        <v>8.5</v>
      </c>
    </row>
    <row r="68" ht="14" customHeight="1" spans="1:24">
      <c r="A68" t="s">
        <v>166</v>
      </c>
      <c r="B68" s="47">
        <v>26107</v>
      </c>
      <c r="C68">
        <v>20000</v>
      </c>
      <c r="D68">
        <v>15.5</v>
      </c>
      <c r="E68">
        <v>2.5</v>
      </c>
      <c r="F68">
        <v>38</v>
      </c>
      <c r="G68">
        <f t="shared" si="6"/>
        <v>9</v>
      </c>
      <c r="H68">
        <v>892</v>
      </c>
      <c r="I68">
        <f t="shared" si="1"/>
        <v>0.7865163945675</v>
      </c>
      <c r="J68">
        <v>17.82</v>
      </c>
      <c r="U68" t="s">
        <v>168</v>
      </c>
      <c r="V68" t="s">
        <v>170</v>
      </c>
      <c r="W68">
        <v>1000</v>
      </c>
      <c r="X68">
        <v>8.5</v>
      </c>
    </row>
    <row r="69" spans="1:24">
      <c r="A69" t="s">
        <v>97</v>
      </c>
      <c r="B69" s="47">
        <v>24903</v>
      </c>
      <c r="C69">
        <v>1000</v>
      </c>
      <c r="D69">
        <v>7.4</v>
      </c>
      <c r="E69">
        <v>2.5</v>
      </c>
      <c r="F69">
        <v>10.8</v>
      </c>
      <c r="G69">
        <f t="shared" ref="G69:G96" si="9">(D69+E69)/2</f>
        <v>4.95</v>
      </c>
      <c r="H69">
        <v>68</v>
      </c>
      <c r="I69">
        <f t="shared" ref="I69:I96" si="10">H69/(3.141592654*(F69/2)^2)</f>
        <v>0.742286428589558</v>
      </c>
      <c r="J69">
        <v>7.4</v>
      </c>
      <c r="U69" t="s">
        <v>171</v>
      </c>
      <c r="V69" t="s">
        <v>172</v>
      </c>
      <c r="W69">
        <v>1000</v>
      </c>
      <c r="X69">
        <v>8.5</v>
      </c>
    </row>
    <row r="70" spans="1:24">
      <c r="A70" t="s">
        <v>97</v>
      </c>
      <c r="B70" s="47">
        <v>24904</v>
      </c>
      <c r="C70">
        <v>1000</v>
      </c>
      <c r="D70">
        <v>7.4</v>
      </c>
      <c r="E70">
        <v>2.5</v>
      </c>
      <c r="F70">
        <v>10.8</v>
      </c>
      <c r="G70">
        <f t="shared" si="9"/>
        <v>4.95</v>
      </c>
      <c r="H70">
        <v>68</v>
      </c>
      <c r="I70">
        <f t="shared" si="10"/>
        <v>0.742286428589558</v>
      </c>
      <c r="J70">
        <v>7.4</v>
      </c>
      <c r="U70" t="s">
        <v>171</v>
      </c>
      <c r="V70" t="s">
        <v>173</v>
      </c>
      <c r="W70">
        <v>1000</v>
      </c>
      <c r="X70">
        <v>8.5</v>
      </c>
    </row>
    <row r="71" spans="1:24">
      <c r="A71" t="s">
        <v>97</v>
      </c>
      <c r="B71" s="47">
        <v>24905</v>
      </c>
      <c r="C71">
        <v>1000</v>
      </c>
      <c r="D71">
        <v>7.4</v>
      </c>
      <c r="E71">
        <v>2.5</v>
      </c>
      <c r="F71">
        <v>10.8</v>
      </c>
      <c r="G71">
        <f t="shared" si="9"/>
        <v>4.95</v>
      </c>
      <c r="H71">
        <v>81</v>
      </c>
      <c r="I71">
        <f t="shared" si="10"/>
        <v>0.884194128172855</v>
      </c>
      <c r="J71">
        <v>7.4</v>
      </c>
      <c r="U71" t="s">
        <v>174</v>
      </c>
      <c r="V71" t="s">
        <v>175</v>
      </c>
    </row>
    <row r="72" spans="1:24">
      <c r="A72" t="s">
        <v>97</v>
      </c>
      <c r="B72" s="47">
        <v>9514</v>
      </c>
      <c r="C72">
        <v>5000</v>
      </c>
      <c r="D72">
        <v>12.8</v>
      </c>
      <c r="E72">
        <v>2.5</v>
      </c>
      <c r="F72">
        <v>20</v>
      </c>
      <c r="G72">
        <f t="shared" si="9"/>
        <v>7.65</v>
      </c>
      <c r="H72">
        <v>232.5</v>
      </c>
      <c r="I72">
        <f t="shared" si="10"/>
        <v>0.74007048528068</v>
      </c>
      <c r="J72">
        <v>17.82</v>
      </c>
      <c r="U72" t="s">
        <v>174</v>
      </c>
      <c r="V72" t="s">
        <v>176</v>
      </c>
    </row>
    <row r="73" spans="1:24">
      <c r="A73" t="s">
        <v>97</v>
      </c>
      <c r="B73" s="47">
        <v>9516</v>
      </c>
      <c r="C73">
        <v>5000</v>
      </c>
      <c r="D73">
        <v>12.8</v>
      </c>
      <c r="E73">
        <v>2.5</v>
      </c>
      <c r="F73">
        <v>20</v>
      </c>
      <c r="G73">
        <f t="shared" si="9"/>
        <v>7.65</v>
      </c>
      <c r="H73">
        <v>224</v>
      </c>
      <c r="I73">
        <f t="shared" si="10"/>
        <v>0.713014144958591</v>
      </c>
      <c r="J73">
        <v>17.82</v>
      </c>
      <c r="U73" t="s">
        <v>174</v>
      </c>
      <c r="V73" t="s">
        <v>177</v>
      </c>
    </row>
    <row r="74" spans="1:24">
      <c r="A74" t="s">
        <v>178</v>
      </c>
      <c r="B74" s="47">
        <v>9515</v>
      </c>
      <c r="C74">
        <v>1000</v>
      </c>
      <c r="D74">
        <v>7.6</v>
      </c>
      <c r="E74">
        <v>2.5</v>
      </c>
      <c r="F74">
        <f t="shared" si="8"/>
        <v>12.9433967343285</v>
      </c>
      <c r="G74">
        <f t="shared" si="9"/>
        <v>5.05</v>
      </c>
      <c r="H74">
        <v>232.5</v>
      </c>
      <c r="I74">
        <f t="shared" si="10"/>
        <v>1.767</v>
      </c>
      <c r="U74" t="s">
        <v>174</v>
      </c>
      <c r="V74" t="s">
        <v>179</v>
      </c>
    </row>
    <row r="75" spans="1:24">
      <c r="A75" t="s">
        <v>163</v>
      </c>
      <c r="B75" s="47">
        <v>9529</v>
      </c>
      <c r="C75">
        <v>5000</v>
      </c>
      <c r="D75">
        <v>13</v>
      </c>
      <c r="E75">
        <v>2.5</v>
      </c>
      <c r="F75">
        <f t="shared" si="8"/>
        <v>22.1293361206768</v>
      </c>
      <c r="G75">
        <f t="shared" si="9"/>
        <v>7.75</v>
      </c>
      <c r="H75">
        <v>218</v>
      </c>
      <c r="I75">
        <f t="shared" si="10"/>
        <v>0.5668</v>
      </c>
    </row>
    <row r="76" spans="1:24">
      <c r="A76" t="s">
        <v>163</v>
      </c>
      <c r="B76" s="47">
        <v>9530</v>
      </c>
      <c r="C76">
        <v>5000</v>
      </c>
      <c r="D76">
        <v>13</v>
      </c>
      <c r="E76">
        <v>2.5</v>
      </c>
      <c r="F76">
        <f t="shared" si="8"/>
        <v>22.1293361206768</v>
      </c>
      <c r="G76">
        <f t="shared" si="9"/>
        <v>7.75</v>
      </c>
      <c r="H76">
        <v>218</v>
      </c>
      <c r="I76">
        <f t="shared" si="10"/>
        <v>0.5668</v>
      </c>
    </row>
    <row r="77" spans="1:24">
      <c r="A77" t="s">
        <v>180</v>
      </c>
      <c r="B77" s="47">
        <v>2115</v>
      </c>
      <c r="C77">
        <v>500</v>
      </c>
      <c r="D77">
        <v>8.6</v>
      </c>
      <c r="E77">
        <v>2.5</v>
      </c>
      <c r="F77">
        <v>8</v>
      </c>
      <c r="G77">
        <f t="shared" si="9"/>
        <v>5.55</v>
      </c>
      <c r="H77">
        <v>46</v>
      </c>
      <c r="I77">
        <f t="shared" si="10"/>
        <v>0.915140922658906</v>
      </c>
      <c r="J77">
        <v>10.7</v>
      </c>
      <c r="U77" t="s">
        <v>181</v>
      </c>
      <c r="V77">
        <v>61</v>
      </c>
    </row>
    <row r="78" spans="1:24">
      <c r="A78" t="s">
        <v>180</v>
      </c>
      <c r="B78" s="47">
        <v>2116</v>
      </c>
      <c r="C78">
        <v>500</v>
      </c>
      <c r="D78">
        <v>8.6</v>
      </c>
      <c r="E78">
        <v>2.5</v>
      </c>
      <c r="F78">
        <v>8</v>
      </c>
      <c r="G78">
        <f t="shared" si="9"/>
        <v>5.55</v>
      </c>
      <c r="H78">
        <v>46</v>
      </c>
      <c r="I78">
        <f t="shared" si="10"/>
        <v>0.915140922658906</v>
      </c>
      <c r="J78">
        <v>10.7</v>
      </c>
    </row>
    <row r="79" spans="1:24">
      <c r="A79" t="s">
        <v>180</v>
      </c>
      <c r="B79" s="47">
        <v>2117</v>
      </c>
      <c r="C79">
        <v>5000</v>
      </c>
      <c r="D79">
        <v>15.8</v>
      </c>
      <c r="E79">
        <v>2.5</v>
      </c>
      <c r="F79">
        <v>20</v>
      </c>
      <c r="G79">
        <f t="shared" si="9"/>
        <v>9.15</v>
      </c>
      <c r="H79">
        <v>272</v>
      </c>
      <c r="I79">
        <f t="shared" si="10"/>
        <v>0.86580289030686</v>
      </c>
      <c r="J79">
        <v>18.6</v>
      </c>
    </row>
    <row r="80" spans="1:24">
      <c r="A80" t="s">
        <v>180</v>
      </c>
      <c r="B80" s="47">
        <v>2118</v>
      </c>
      <c r="C80">
        <v>5000</v>
      </c>
      <c r="D80">
        <v>15.8</v>
      </c>
      <c r="E80">
        <v>2.5</v>
      </c>
      <c r="F80">
        <v>20</v>
      </c>
      <c r="G80">
        <f t="shared" si="9"/>
        <v>9.15</v>
      </c>
      <c r="H80">
        <v>272</v>
      </c>
      <c r="I80">
        <f t="shared" si="10"/>
        <v>0.86580289030686</v>
      </c>
      <c r="J80">
        <v>18.6</v>
      </c>
    </row>
    <row r="81" spans="1:10">
      <c r="A81" t="s">
        <v>182</v>
      </c>
      <c r="B81" s="47">
        <v>24901</v>
      </c>
      <c r="C81">
        <v>1000</v>
      </c>
      <c r="D81">
        <v>9</v>
      </c>
      <c r="E81">
        <v>2.5</v>
      </c>
      <c r="F81">
        <v>10.8</v>
      </c>
      <c r="G81">
        <f t="shared" si="9"/>
        <v>5.75</v>
      </c>
      <c r="H81">
        <v>73</v>
      </c>
      <c r="I81">
        <f t="shared" si="10"/>
        <v>0.796866313044672</v>
      </c>
      <c r="J81">
        <v>7.4</v>
      </c>
    </row>
    <row r="82" spans="1:10">
      <c r="A82" t="s">
        <v>182</v>
      </c>
      <c r="B82" s="47">
        <v>24902</v>
      </c>
      <c r="C82">
        <v>1000</v>
      </c>
      <c r="D82">
        <v>9</v>
      </c>
      <c r="E82">
        <v>2.5</v>
      </c>
      <c r="F82">
        <v>10.8</v>
      </c>
      <c r="G82">
        <f t="shared" si="9"/>
        <v>5.75</v>
      </c>
      <c r="H82">
        <v>73</v>
      </c>
      <c r="I82">
        <f t="shared" si="10"/>
        <v>0.796866313044672</v>
      </c>
      <c r="J82">
        <v>7.4</v>
      </c>
    </row>
    <row r="83" spans="1:10">
      <c r="A83" t="s">
        <v>183</v>
      </c>
      <c r="B83" s="47">
        <v>2101</v>
      </c>
      <c r="C83">
        <v>3000</v>
      </c>
      <c r="D83">
        <v>13.5</v>
      </c>
      <c r="E83">
        <v>2.5</v>
      </c>
      <c r="F83">
        <v>16</v>
      </c>
      <c r="G83">
        <f t="shared" si="9"/>
        <v>8</v>
      </c>
      <c r="H83">
        <v>172</v>
      </c>
      <c r="I83">
        <f t="shared" si="10"/>
        <v>0.855457819007238</v>
      </c>
      <c r="J83">
        <v>15.85</v>
      </c>
    </row>
    <row r="84" spans="1:10">
      <c r="A84" t="s">
        <v>183</v>
      </c>
      <c r="B84" s="47">
        <v>2102</v>
      </c>
      <c r="C84">
        <v>3000</v>
      </c>
      <c r="D84">
        <v>13.5</v>
      </c>
      <c r="E84">
        <v>2.5</v>
      </c>
      <c r="F84">
        <v>16</v>
      </c>
      <c r="G84">
        <f t="shared" si="9"/>
        <v>8</v>
      </c>
      <c r="H84">
        <v>172</v>
      </c>
      <c r="I84">
        <f t="shared" si="10"/>
        <v>0.855457819007238</v>
      </c>
      <c r="J84">
        <v>15.85</v>
      </c>
    </row>
    <row r="85" spans="1:10">
      <c r="A85" t="s">
        <v>183</v>
      </c>
      <c r="B85" s="47">
        <v>2103</v>
      </c>
      <c r="C85">
        <v>1000</v>
      </c>
      <c r="D85">
        <v>10.8</v>
      </c>
      <c r="E85">
        <v>2.5</v>
      </c>
      <c r="F85">
        <v>11</v>
      </c>
      <c r="G85">
        <f t="shared" si="9"/>
        <v>6.65</v>
      </c>
      <c r="H85">
        <v>82</v>
      </c>
      <c r="I85">
        <f t="shared" si="10"/>
        <v>0.862856550864883</v>
      </c>
      <c r="J85">
        <v>12.69</v>
      </c>
    </row>
    <row r="86" spans="1:10">
      <c r="A86" t="s">
        <v>183</v>
      </c>
      <c r="B86" s="47">
        <v>2104</v>
      </c>
      <c r="C86">
        <v>1000</v>
      </c>
      <c r="D86">
        <v>10.8</v>
      </c>
      <c r="E86">
        <v>2.5</v>
      </c>
      <c r="F86">
        <v>11</v>
      </c>
      <c r="G86">
        <f t="shared" si="9"/>
        <v>6.65</v>
      </c>
      <c r="H86">
        <v>81</v>
      </c>
      <c r="I86">
        <f t="shared" si="10"/>
        <v>0.852333910000677</v>
      </c>
      <c r="J86">
        <v>12.69</v>
      </c>
    </row>
    <row r="87" spans="1:10">
      <c r="A87" t="s">
        <v>184</v>
      </c>
      <c r="B87" s="47">
        <v>2105</v>
      </c>
      <c r="C87">
        <v>3000</v>
      </c>
      <c r="D87">
        <v>13.76</v>
      </c>
      <c r="E87">
        <v>1.65</v>
      </c>
      <c r="F87">
        <f t="shared" si="8"/>
        <v>16.6612073673545</v>
      </c>
      <c r="G87">
        <f t="shared" si="9"/>
        <v>7.705</v>
      </c>
      <c r="H87">
        <v>172</v>
      </c>
      <c r="I87">
        <f t="shared" si="10"/>
        <v>0.788906666666667</v>
      </c>
    </row>
    <row r="88" spans="1:10">
      <c r="A88" t="s">
        <v>185</v>
      </c>
      <c r="B88" s="47">
        <v>2106</v>
      </c>
      <c r="C88">
        <v>3000</v>
      </c>
      <c r="D88">
        <v>13.76</v>
      </c>
      <c r="E88">
        <v>1.65</v>
      </c>
      <c r="F88">
        <f t="shared" si="8"/>
        <v>16.6612073673545</v>
      </c>
      <c r="G88">
        <f t="shared" si="9"/>
        <v>7.705</v>
      </c>
      <c r="H88">
        <v>182</v>
      </c>
      <c r="I88">
        <f t="shared" si="10"/>
        <v>0.834773333333333</v>
      </c>
    </row>
    <row r="89" spans="1:10">
      <c r="A89" t="s">
        <v>186</v>
      </c>
      <c r="B89" s="47">
        <v>2107</v>
      </c>
      <c r="C89">
        <v>700</v>
      </c>
      <c r="D89">
        <v>9.6</v>
      </c>
      <c r="E89">
        <v>2.5</v>
      </c>
      <c r="F89">
        <v>9</v>
      </c>
      <c r="G89">
        <f t="shared" si="9"/>
        <v>6.05</v>
      </c>
      <c r="H89">
        <v>54</v>
      </c>
      <c r="I89">
        <f t="shared" si="10"/>
        <v>0.848826363045941</v>
      </c>
      <c r="J89">
        <v>12</v>
      </c>
    </row>
    <row r="90" spans="1:10">
      <c r="A90" t="s">
        <v>186</v>
      </c>
      <c r="B90" s="47">
        <v>2108</v>
      </c>
      <c r="C90">
        <v>700</v>
      </c>
      <c r="D90">
        <v>9.6</v>
      </c>
      <c r="E90">
        <v>2.5</v>
      </c>
      <c r="F90">
        <v>9</v>
      </c>
      <c r="G90">
        <f t="shared" si="9"/>
        <v>6.05</v>
      </c>
      <c r="H90">
        <v>54</v>
      </c>
      <c r="I90">
        <f t="shared" si="10"/>
        <v>0.848826363045941</v>
      </c>
      <c r="J90">
        <v>12</v>
      </c>
    </row>
    <row r="91" spans="1:10">
      <c r="A91" t="s">
        <v>186</v>
      </c>
      <c r="B91" s="47">
        <v>2109</v>
      </c>
      <c r="C91">
        <v>700</v>
      </c>
      <c r="D91">
        <v>9.6</v>
      </c>
      <c r="E91">
        <v>2.5</v>
      </c>
      <c r="F91">
        <v>9</v>
      </c>
      <c r="G91">
        <f t="shared" si="9"/>
        <v>6.05</v>
      </c>
      <c r="H91">
        <v>54</v>
      </c>
      <c r="I91">
        <f t="shared" si="10"/>
        <v>0.848826363045941</v>
      </c>
      <c r="J91">
        <v>12</v>
      </c>
    </row>
    <row r="92" spans="1:10">
      <c r="A92" t="s">
        <v>186</v>
      </c>
      <c r="B92" s="47">
        <v>2110</v>
      </c>
      <c r="C92">
        <v>700</v>
      </c>
      <c r="D92">
        <v>9.6</v>
      </c>
      <c r="E92">
        <v>2.5</v>
      </c>
      <c r="F92">
        <v>9</v>
      </c>
      <c r="G92">
        <f t="shared" si="9"/>
        <v>6.05</v>
      </c>
      <c r="H92">
        <v>54</v>
      </c>
      <c r="I92">
        <f t="shared" si="10"/>
        <v>0.848826363045941</v>
      </c>
      <c r="J92">
        <v>12</v>
      </c>
    </row>
    <row r="93" spans="1:10">
      <c r="A93" t="s">
        <v>186</v>
      </c>
      <c r="B93" s="47">
        <v>2113</v>
      </c>
      <c r="C93">
        <v>500</v>
      </c>
      <c r="D93">
        <v>8.6</v>
      </c>
      <c r="E93">
        <v>2.5</v>
      </c>
      <c r="F93">
        <v>8</v>
      </c>
      <c r="G93">
        <f t="shared" si="9"/>
        <v>5.55</v>
      </c>
      <c r="H93">
        <v>44</v>
      </c>
      <c r="I93">
        <f t="shared" si="10"/>
        <v>0.875352186891127</v>
      </c>
      <c r="J93">
        <v>10.7</v>
      </c>
    </row>
    <row r="94" spans="1:10">
      <c r="A94" t="s">
        <v>187</v>
      </c>
      <c r="B94" s="47">
        <v>2114</v>
      </c>
      <c r="C94">
        <v>500</v>
      </c>
      <c r="D94">
        <v>8.6</v>
      </c>
      <c r="E94">
        <v>2.5</v>
      </c>
      <c r="F94">
        <v>8</v>
      </c>
      <c r="G94">
        <f t="shared" si="9"/>
        <v>5.55</v>
      </c>
      <c r="H94">
        <v>44</v>
      </c>
      <c r="I94">
        <f t="shared" si="10"/>
        <v>0.875352186891127</v>
      </c>
      <c r="J94">
        <v>10.7</v>
      </c>
    </row>
    <row r="95" spans="1:10">
      <c r="A95" t="s">
        <v>188</v>
      </c>
      <c r="B95" t="s">
        <v>189</v>
      </c>
      <c r="C95">
        <v>500</v>
      </c>
      <c r="D95">
        <v>8.5</v>
      </c>
      <c r="E95">
        <v>2.5</v>
      </c>
      <c r="F95">
        <f t="shared" si="8"/>
        <v>8.65427315250514</v>
      </c>
      <c r="G95">
        <f t="shared" si="9"/>
        <v>5.5</v>
      </c>
      <c r="H95">
        <v>53</v>
      </c>
      <c r="I95">
        <f t="shared" si="10"/>
        <v>0.901</v>
      </c>
    </row>
    <row r="96" spans="1:10">
      <c r="A96" t="s">
        <v>188</v>
      </c>
      <c r="B96" t="s">
        <v>190</v>
      </c>
      <c r="C96">
        <v>500</v>
      </c>
      <c r="D96">
        <v>8.5</v>
      </c>
      <c r="E96">
        <v>2.5</v>
      </c>
      <c r="F96">
        <f t="shared" si="8"/>
        <v>8.65427315250514</v>
      </c>
      <c r="G96">
        <f t="shared" si="9"/>
        <v>5.5</v>
      </c>
      <c r="H96">
        <v>53</v>
      </c>
      <c r="I96">
        <f t="shared" si="10"/>
        <v>0.901</v>
      </c>
    </row>
    <row r="98" spans="1:19">
      <c r="A98" t="s">
        <v>181</v>
      </c>
      <c r="B98">
        <v>92</v>
      </c>
    </row>
    <row r="100" spans="1:19">
      <c r="A100" s="48" t="s">
        <v>115</v>
      </c>
      <c r="B100" s="48"/>
      <c r="C100" s="48"/>
      <c r="D100" s="48"/>
      <c r="E100" s="48"/>
      <c r="F100" s="48"/>
      <c r="G100" s="48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</row>
    <row r="101" spans="1:19">
      <c r="A101" t="s">
        <v>37</v>
      </c>
      <c r="B101" t="s">
        <v>38</v>
      </c>
      <c r="C101" t="s">
        <v>39</v>
      </c>
      <c r="D101" t="s">
        <v>40</v>
      </c>
      <c r="E101" t="s">
        <v>41</v>
      </c>
      <c r="F101" t="s">
        <v>42</v>
      </c>
      <c r="G101" t="s">
        <v>43</v>
      </c>
      <c r="H101" t="s">
        <v>44</v>
      </c>
      <c r="I101" t="s">
        <v>45</v>
      </c>
      <c r="J101" t="s">
        <v>46</v>
      </c>
      <c r="K101" t="s">
        <v>47</v>
      </c>
      <c r="L101" t="s">
        <v>48</v>
      </c>
      <c r="M101" t="s">
        <v>49</v>
      </c>
      <c r="N101" t="s">
        <v>50</v>
      </c>
      <c r="O101" t="s">
        <v>51</v>
      </c>
      <c r="P101" t="s">
        <v>52</v>
      </c>
      <c r="Q101" t="s">
        <v>53</v>
      </c>
      <c r="R101" t="s">
        <v>54</v>
      </c>
      <c r="S101" t="s">
        <v>55</v>
      </c>
    </row>
    <row r="102" spans="1:19">
      <c r="A102" s="50" t="s">
        <v>191</v>
      </c>
      <c r="B102" t="s">
        <v>192</v>
      </c>
      <c r="C102">
        <v>1000</v>
      </c>
      <c r="D102">
        <v>8.8</v>
      </c>
      <c r="E102">
        <v>1.5</v>
      </c>
      <c r="F102">
        <v>12.3</v>
      </c>
      <c r="G102">
        <f t="shared" ref="G102:G122" si="11">(D102+E102)/2</f>
        <v>5.15</v>
      </c>
      <c r="H102" s="11" t="s">
        <v>122</v>
      </c>
      <c r="J102">
        <v>12.3</v>
      </c>
    </row>
    <row r="103" spans="1:19">
      <c r="A103" t="s">
        <v>193</v>
      </c>
      <c r="B103">
        <v>24601</v>
      </c>
      <c r="C103">
        <v>1000</v>
      </c>
      <c r="D103">
        <v>8.8</v>
      </c>
      <c r="E103">
        <v>1.5</v>
      </c>
      <c r="F103">
        <v>12.3</v>
      </c>
      <c r="G103">
        <f t="shared" si="11"/>
        <v>5.15</v>
      </c>
      <c r="H103" s="11" t="s">
        <v>122</v>
      </c>
      <c r="J103">
        <v>12.3</v>
      </c>
    </row>
    <row r="104" spans="1:19">
      <c r="A104" t="s">
        <v>193</v>
      </c>
      <c r="B104">
        <v>24602</v>
      </c>
      <c r="C104">
        <v>1000</v>
      </c>
      <c r="D104">
        <v>8.8</v>
      </c>
      <c r="E104">
        <v>1.5</v>
      </c>
      <c r="F104">
        <v>12.3</v>
      </c>
      <c r="G104">
        <f t="shared" si="11"/>
        <v>5.15</v>
      </c>
      <c r="H104" s="11" t="s">
        <v>122</v>
      </c>
      <c r="J104">
        <v>12.3</v>
      </c>
    </row>
    <row r="105" spans="1:19">
      <c r="A105" t="s">
        <v>193</v>
      </c>
      <c r="B105">
        <v>24603</v>
      </c>
      <c r="C105">
        <v>1000</v>
      </c>
      <c r="D105">
        <v>8.8</v>
      </c>
      <c r="E105">
        <v>1.5</v>
      </c>
      <c r="F105">
        <v>12.3</v>
      </c>
      <c r="G105">
        <f t="shared" si="11"/>
        <v>5.15</v>
      </c>
      <c r="H105" s="11" t="s">
        <v>122</v>
      </c>
      <c r="J105">
        <v>12.3</v>
      </c>
    </row>
    <row r="106" spans="1:19">
      <c r="A106" t="s">
        <v>193</v>
      </c>
      <c r="B106">
        <v>24604</v>
      </c>
      <c r="C106">
        <v>1000</v>
      </c>
      <c r="D106">
        <v>8.8</v>
      </c>
      <c r="E106">
        <v>1.5</v>
      </c>
      <c r="F106">
        <v>12.3</v>
      </c>
      <c r="G106">
        <f t="shared" si="11"/>
        <v>5.15</v>
      </c>
      <c r="H106" s="11" t="s">
        <v>122</v>
      </c>
      <c r="J106">
        <v>12.3</v>
      </c>
    </row>
    <row r="107" spans="1:19">
      <c r="A107" t="s">
        <v>193</v>
      </c>
      <c r="B107">
        <v>9545</v>
      </c>
      <c r="C107">
        <v>1000</v>
      </c>
      <c r="D107">
        <v>8.8</v>
      </c>
      <c r="E107">
        <v>1.5</v>
      </c>
      <c r="F107">
        <v>12.3</v>
      </c>
      <c r="G107">
        <f t="shared" si="11"/>
        <v>5.15</v>
      </c>
      <c r="H107" s="11" t="s">
        <v>122</v>
      </c>
      <c r="J107">
        <v>12.3</v>
      </c>
    </row>
    <row r="108" spans="1:19">
      <c r="A108" t="s">
        <v>193</v>
      </c>
      <c r="B108">
        <v>9546</v>
      </c>
      <c r="C108">
        <v>1000</v>
      </c>
      <c r="D108">
        <v>8.8</v>
      </c>
      <c r="E108">
        <v>1.5</v>
      </c>
      <c r="F108">
        <v>12.3</v>
      </c>
      <c r="G108">
        <f t="shared" si="11"/>
        <v>5.15</v>
      </c>
      <c r="H108" s="11" t="s">
        <v>122</v>
      </c>
      <c r="J108">
        <v>12.3</v>
      </c>
    </row>
    <row r="109" spans="1:19">
      <c r="A109" t="s">
        <v>149</v>
      </c>
      <c r="B109">
        <v>9543</v>
      </c>
      <c r="C109">
        <v>1000</v>
      </c>
      <c r="D109">
        <v>8.8</v>
      </c>
      <c r="E109">
        <v>1.5</v>
      </c>
      <c r="F109">
        <v>12.3</v>
      </c>
      <c r="G109">
        <f t="shared" si="11"/>
        <v>5.15</v>
      </c>
      <c r="H109" s="11" t="s">
        <v>122</v>
      </c>
      <c r="J109">
        <v>12.3</v>
      </c>
    </row>
    <row r="110" spans="1:19">
      <c r="A110" t="s">
        <v>149</v>
      </c>
      <c r="B110">
        <v>9544</v>
      </c>
      <c r="C110">
        <v>1000</v>
      </c>
      <c r="D110">
        <v>8.8</v>
      </c>
      <c r="E110">
        <v>1.5</v>
      </c>
      <c r="F110">
        <v>12.3</v>
      </c>
      <c r="G110">
        <f t="shared" si="11"/>
        <v>5.15</v>
      </c>
      <c r="H110" s="11" t="s">
        <v>122</v>
      </c>
      <c r="J110">
        <v>12.3</v>
      </c>
    </row>
    <row r="111" spans="1:19">
      <c r="A111" t="s">
        <v>136</v>
      </c>
      <c r="B111">
        <v>24701</v>
      </c>
      <c r="C111">
        <v>1000</v>
      </c>
      <c r="D111">
        <v>8.8</v>
      </c>
      <c r="E111">
        <v>1.5</v>
      </c>
      <c r="F111">
        <v>12.3</v>
      </c>
      <c r="G111">
        <f t="shared" si="11"/>
        <v>5.15</v>
      </c>
      <c r="H111" s="11" t="s">
        <v>122</v>
      </c>
      <c r="J111">
        <v>12.3</v>
      </c>
    </row>
    <row r="112" spans="1:19">
      <c r="A112" t="s">
        <v>136</v>
      </c>
      <c r="B112">
        <v>24702</v>
      </c>
      <c r="C112">
        <v>1000</v>
      </c>
      <c r="D112">
        <v>8.8</v>
      </c>
      <c r="E112">
        <v>1.5</v>
      </c>
      <c r="F112">
        <v>12.3</v>
      </c>
      <c r="G112">
        <f t="shared" si="11"/>
        <v>5.15</v>
      </c>
      <c r="H112" s="11" t="s">
        <v>122</v>
      </c>
      <c r="J112">
        <v>12.3</v>
      </c>
    </row>
    <row r="113" spans="1:10">
      <c r="A113" t="s">
        <v>136</v>
      </c>
      <c r="B113">
        <v>24705</v>
      </c>
      <c r="C113">
        <v>1000</v>
      </c>
      <c r="D113">
        <v>8.8</v>
      </c>
      <c r="E113">
        <v>1.5</v>
      </c>
      <c r="F113">
        <v>12.3</v>
      </c>
      <c r="G113">
        <f t="shared" si="11"/>
        <v>5.15</v>
      </c>
      <c r="H113" s="11" t="s">
        <v>122</v>
      </c>
      <c r="J113">
        <v>12.3</v>
      </c>
    </row>
    <row r="114" spans="1:10">
      <c r="A114" t="s">
        <v>136</v>
      </c>
      <c r="B114">
        <v>24706</v>
      </c>
      <c r="C114">
        <v>1000</v>
      </c>
      <c r="D114">
        <v>8.8</v>
      </c>
      <c r="E114">
        <v>1.5</v>
      </c>
      <c r="F114">
        <v>12.3</v>
      </c>
      <c r="G114">
        <f t="shared" si="11"/>
        <v>5.15</v>
      </c>
      <c r="H114" s="11" t="s">
        <v>122</v>
      </c>
      <c r="J114">
        <v>12.3</v>
      </c>
    </row>
    <row r="115" spans="1:10">
      <c r="A115" t="s">
        <v>194</v>
      </c>
      <c r="B115">
        <v>24707</v>
      </c>
      <c r="C115">
        <v>1000</v>
      </c>
      <c r="D115">
        <v>8.8</v>
      </c>
      <c r="E115">
        <v>1.5</v>
      </c>
      <c r="F115">
        <v>12.3</v>
      </c>
      <c r="G115">
        <f t="shared" si="11"/>
        <v>5.15</v>
      </c>
      <c r="H115" s="11" t="s">
        <v>122</v>
      </c>
      <c r="J115">
        <v>12.3</v>
      </c>
    </row>
    <row r="116" spans="1:10">
      <c r="A116" t="s">
        <v>194</v>
      </c>
      <c r="B116">
        <v>24708</v>
      </c>
      <c r="C116">
        <v>1000</v>
      </c>
      <c r="D116">
        <v>8.8</v>
      </c>
      <c r="E116">
        <v>1.5</v>
      </c>
      <c r="F116">
        <v>12.3</v>
      </c>
      <c r="G116">
        <f t="shared" si="11"/>
        <v>5.15</v>
      </c>
      <c r="H116" s="11" t="s">
        <v>122</v>
      </c>
      <c r="J116">
        <v>12.3</v>
      </c>
    </row>
    <row r="117" spans="1:10">
      <c r="A117" t="s">
        <v>195</v>
      </c>
      <c r="B117">
        <v>23207</v>
      </c>
      <c r="C117">
        <v>1000</v>
      </c>
      <c r="D117">
        <v>8.8</v>
      </c>
      <c r="E117">
        <v>1.5</v>
      </c>
      <c r="F117">
        <v>12.3</v>
      </c>
      <c r="G117">
        <f t="shared" si="11"/>
        <v>5.15</v>
      </c>
      <c r="H117" s="11" t="s">
        <v>122</v>
      </c>
      <c r="J117">
        <v>12.3</v>
      </c>
    </row>
    <row r="118" spans="1:10">
      <c r="A118" t="s">
        <v>195</v>
      </c>
      <c r="B118">
        <v>23208</v>
      </c>
      <c r="C118">
        <v>1000</v>
      </c>
      <c r="D118">
        <v>8.8</v>
      </c>
      <c r="E118">
        <v>1.5</v>
      </c>
      <c r="F118">
        <v>12.3</v>
      </c>
      <c r="G118">
        <f t="shared" si="11"/>
        <v>5.15</v>
      </c>
      <c r="H118" s="11" t="s">
        <v>122</v>
      </c>
      <c r="J118">
        <v>12.3</v>
      </c>
    </row>
    <row r="119" spans="1:10">
      <c r="A119" t="s">
        <v>196</v>
      </c>
      <c r="B119" t="s">
        <v>197</v>
      </c>
      <c r="C119">
        <v>1000</v>
      </c>
      <c r="D119">
        <v>8.8</v>
      </c>
      <c r="E119">
        <v>1.5</v>
      </c>
      <c r="F119">
        <v>12.3</v>
      </c>
      <c r="G119">
        <f t="shared" si="11"/>
        <v>5.15</v>
      </c>
      <c r="H119">
        <v>80</v>
      </c>
      <c r="I119">
        <f t="shared" ref="I119:I120" si="12">H119/(3.141592654*(F119/2)^2)</f>
        <v>0.673270960179212</v>
      </c>
      <c r="J119">
        <v>12.3</v>
      </c>
    </row>
    <row r="120" spans="1:10">
      <c r="A120" t="s">
        <v>196</v>
      </c>
      <c r="B120" t="s">
        <v>198</v>
      </c>
      <c r="C120">
        <v>1000</v>
      </c>
      <c r="D120">
        <v>8.8</v>
      </c>
      <c r="E120">
        <v>1.5</v>
      </c>
      <c r="F120">
        <v>12.3</v>
      </c>
      <c r="G120">
        <f t="shared" si="11"/>
        <v>5.15</v>
      </c>
      <c r="H120">
        <v>80</v>
      </c>
      <c r="I120">
        <f t="shared" si="12"/>
        <v>0.673270960179212</v>
      </c>
      <c r="J120">
        <v>12.3</v>
      </c>
    </row>
    <row r="121" spans="1:10">
      <c r="A121" t="s">
        <v>199</v>
      </c>
      <c r="B121">
        <v>9541</v>
      </c>
      <c r="C121">
        <v>1000</v>
      </c>
      <c r="D121">
        <v>8.8</v>
      </c>
      <c r="E121">
        <v>1.5</v>
      </c>
      <c r="F121">
        <v>12.3</v>
      </c>
      <c r="G121">
        <f t="shared" si="11"/>
        <v>5.15</v>
      </c>
      <c r="H121" s="11" t="s">
        <v>122</v>
      </c>
      <c r="J121">
        <v>12.3</v>
      </c>
    </row>
    <row r="122" spans="1:10">
      <c r="A122" t="s">
        <v>199</v>
      </c>
      <c r="B122">
        <v>9542</v>
      </c>
      <c r="C122">
        <v>1000</v>
      </c>
      <c r="D122">
        <v>8.8</v>
      </c>
      <c r="E122">
        <v>1.5</v>
      </c>
      <c r="F122">
        <v>12.3</v>
      </c>
      <c r="G122">
        <f t="shared" si="11"/>
        <v>5.15</v>
      </c>
      <c r="H122" s="11" t="s">
        <v>122</v>
      </c>
      <c r="J122">
        <v>12.3</v>
      </c>
    </row>
    <row r="124" spans="1:10">
      <c r="A124" t="s">
        <v>181</v>
      </c>
      <c r="B124">
        <v>21</v>
      </c>
    </row>
  </sheetData>
  <mergeCells count="19">
    <mergeCell ref="A1:S1"/>
    <mergeCell ref="U1:AM1"/>
    <mergeCell ref="A2:S2"/>
    <mergeCell ref="U2:AM2"/>
    <mergeCell ref="B3:J3"/>
    <mergeCell ref="V3:AD3"/>
    <mergeCell ref="U31:AM31"/>
    <mergeCell ref="A100:S100"/>
    <mergeCell ref="U32:U36"/>
    <mergeCell ref="AE32:AE36"/>
    <mergeCell ref="AF32:AF36"/>
    <mergeCell ref="AG32:AG36"/>
    <mergeCell ref="AH32:AH36"/>
    <mergeCell ref="AI32:AI36"/>
    <mergeCell ref="AJ32:AJ36"/>
    <mergeCell ref="AK32:AK36"/>
    <mergeCell ref="AL32:AL36"/>
    <mergeCell ref="AM32:AM36"/>
    <mergeCell ref="V32:AD36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53"/>
  <sheetViews>
    <sheetView zoomScale="85" zoomScaleNormal="85" topLeftCell="A9" workbookViewId="0">
      <selection activeCell="C46" sqref="C46"/>
    </sheetView>
  </sheetViews>
  <sheetFormatPr defaultColWidth="9" defaultRowHeight="16.8"/>
  <cols>
    <col min="2" max="2" width="18.3303571428571" customWidth="1"/>
    <col min="5" max="5" width="9.25" customWidth="1"/>
    <col min="22" max="22" width="15.9196428571429" customWidth="1"/>
    <col min="23" max="23" width="18.5803571428571" customWidth="1"/>
    <col min="26" max="26" width="17.4196428571429" customWidth="1"/>
    <col min="46" max="46" width="17.0803571428571" customWidth="1"/>
    <col min="47" max="47" width="17.5803571428571" customWidth="1"/>
  </cols>
  <sheetData>
    <row r="1" ht="64" customHeight="1" spans="1:47">
      <c r="A1" s="38" t="s">
        <v>200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Y1" s="38" t="s">
        <v>201</v>
      </c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</row>
    <row r="2" spans="1:47">
      <c r="A2" t="s">
        <v>202</v>
      </c>
      <c r="B2" s="39" t="s">
        <v>203</v>
      </c>
      <c r="Y2" t="s">
        <v>202</v>
      </c>
      <c r="Z2" s="37" t="s">
        <v>204</v>
      </c>
    </row>
    <row r="3" spans="1:47">
      <c r="A3" t="s">
        <v>202</v>
      </c>
      <c r="Y3" t="s">
        <v>202</v>
      </c>
    </row>
    <row r="4" s="37" customFormat="1" spans="1:47">
      <c r="B4" s="37" t="s">
        <v>205</v>
      </c>
      <c r="C4" s="37" t="s">
        <v>47</v>
      </c>
      <c r="E4" s="37" t="s">
        <v>48</v>
      </c>
      <c r="G4" s="37" t="s">
        <v>49</v>
      </c>
      <c r="I4" s="37" t="s">
        <v>50</v>
      </c>
      <c r="K4" s="37" t="s">
        <v>51</v>
      </c>
      <c r="M4" s="37" t="s">
        <v>52</v>
      </c>
      <c r="O4" s="37" t="s">
        <v>53</v>
      </c>
      <c r="Q4" s="37" t="s">
        <v>54</v>
      </c>
      <c r="S4" s="37" t="s">
        <v>55</v>
      </c>
      <c r="U4" s="37" t="s">
        <v>206</v>
      </c>
      <c r="Y4"/>
      <c r="Z4" s="37" t="s">
        <v>205</v>
      </c>
      <c r="AA4" s="37" t="s">
        <v>47</v>
      </c>
      <c r="AC4" s="37" t="s">
        <v>48</v>
      </c>
      <c r="AE4" s="37" t="s">
        <v>49</v>
      </c>
      <c r="AG4" s="37" t="s">
        <v>50</v>
      </c>
      <c r="AI4" s="37" t="s">
        <v>51</v>
      </c>
      <c r="AK4" s="37" t="s">
        <v>52</v>
      </c>
      <c r="AM4" s="37" t="s">
        <v>53</v>
      </c>
      <c r="AO4" s="37" t="s">
        <v>54</v>
      </c>
      <c r="AQ4" s="37" t="s">
        <v>55</v>
      </c>
      <c r="AS4" s="37" t="s">
        <v>206</v>
      </c>
    </row>
    <row r="5" spans="1:47">
      <c r="A5" t="s">
        <v>202</v>
      </c>
      <c r="C5" t="s">
        <v>207</v>
      </c>
      <c r="E5" t="s">
        <v>208</v>
      </c>
      <c r="G5" t="s">
        <v>209</v>
      </c>
      <c r="I5" t="s">
        <v>210</v>
      </c>
      <c r="K5" t="s">
        <v>211</v>
      </c>
      <c r="M5" t="s">
        <v>212</v>
      </c>
      <c r="O5" t="s">
        <v>213</v>
      </c>
      <c r="Q5" t="s">
        <v>97</v>
      </c>
      <c r="S5" t="s">
        <v>214</v>
      </c>
      <c r="U5" t="s">
        <v>215</v>
      </c>
      <c r="V5" t="s">
        <v>216</v>
      </c>
      <c r="W5" t="s">
        <v>56</v>
      </c>
      <c r="Y5" t="s">
        <v>202</v>
      </c>
      <c r="AA5" t="s">
        <v>217</v>
      </c>
      <c r="AC5" t="s">
        <v>208</v>
      </c>
      <c r="AE5" t="s">
        <v>209</v>
      </c>
      <c r="AG5" t="s">
        <v>210</v>
      </c>
      <c r="AI5" t="s">
        <v>211</v>
      </c>
      <c r="AK5" t="s">
        <v>212</v>
      </c>
      <c r="AM5" t="s">
        <v>213</v>
      </c>
      <c r="AO5" t="s">
        <v>218</v>
      </c>
      <c r="AQ5" t="s">
        <v>214</v>
      </c>
      <c r="AS5" t="s">
        <v>215</v>
      </c>
      <c r="AT5" t="s">
        <v>216</v>
      </c>
      <c r="AU5" t="s">
        <v>56</v>
      </c>
    </row>
    <row r="6" spans="1:47">
      <c r="A6" t="s">
        <v>202</v>
      </c>
      <c r="C6" t="s">
        <v>219</v>
      </c>
      <c r="D6" t="s">
        <v>220</v>
      </c>
      <c r="E6" t="s">
        <v>219</v>
      </c>
      <c r="F6" t="s">
        <v>220</v>
      </c>
      <c r="G6" t="s">
        <v>219</v>
      </c>
      <c r="H6" t="s">
        <v>220</v>
      </c>
      <c r="I6" t="s">
        <v>219</v>
      </c>
      <c r="J6" t="s">
        <v>220</v>
      </c>
      <c r="K6" t="s">
        <v>219</v>
      </c>
      <c r="L6" t="s">
        <v>220</v>
      </c>
      <c r="M6" t="s">
        <v>219</v>
      </c>
      <c r="N6" t="s">
        <v>220</v>
      </c>
      <c r="O6" t="s">
        <v>219</v>
      </c>
      <c r="P6" t="s">
        <v>220</v>
      </c>
      <c r="Q6" t="s">
        <v>219</v>
      </c>
      <c r="R6" t="s">
        <v>220</v>
      </c>
      <c r="S6" t="s">
        <v>219</v>
      </c>
      <c r="T6" t="s">
        <v>220</v>
      </c>
      <c r="U6" t="s">
        <v>219</v>
      </c>
      <c r="V6" t="s">
        <v>221</v>
      </c>
      <c r="W6" t="s">
        <v>222</v>
      </c>
      <c r="Y6" t="s">
        <v>202</v>
      </c>
      <c r="AA6" t="s">
        <v>219</v>
      </c>
      <c r="AB6" t="s">
        <v>220</v>
      </c>
      <c r="AC6" t="s">
        <v>219</v>
      </c>
      <c r="AD6" t="s">
        <v>220</v>
      </c>
      <c r="AE6" t="s">
        <v>219</v>
      </c>
      <c r="AF6" t="s">
        <v>220</v>
      </c>
      <c r="AG6" t="s">
        <v>219</v>
      </c>
      <c r="AH6" t="s">
        <v>220</v>
      </c>
      <c r="AI6" t="s">
        <v>219</v>
      </c>
      <c r="AJ6" t="s">
        <v>220</v>
      </c>
      <c r="AK6" t="s">
        <v>219</v>
      </c>
      <c r="AL6" t="s">
        <v>220</v>
      </c>
      <c r="AM6" t="s">
        <v>219</v>
      </c>
      <c r="AN6" t="s">
        <v>220</v>
      </c>
      <c r="AO6" t="s">
        <v>219</v>
      </c>
      <c r="AP6" t="s">
        <v>220</v>
      </c>
      <c r="AQ6" t="s">
        <v>219</v>
      </c>
      <c r="AR6" t="s">
        <v>220</v>
      </c>
      <c r="AS6" t="s">
        <v>219</v>
      </c>
      <c r="AT6" t="s">
        <v>221</v>
      </c>
      <c r="AU6" t="s">
        <v>222</v>
      </c>
    </row>
    <row r="7" spans="1:47">
      <c r="B7" t="s">
        <v>223</v>
      </c>
      <c r="C7">
        <v>0.95</v>
      </c>
      <c r="E7">
        <v>0</v>
      </c>
      <c r="G7">
        <v>0</v>
      </c>
      <c r="I7">
        <v>0</v>
      </c>
      <c r="K7">
        <v>0</v>
      </c>
      <c r="M7">
        <v>0</v>
      </c>
      <c r="O7">
        <v>0</v>
      </c>
      <c r="Q7">
        <v>0</v>
      </c>
      <c r="S7">
        <v>0</v>
      </c>
      <c r="U7">
        <v>0.0151</v>
      </c>
      <c r="V7" t="s">
        <v>224</v>
      </c>
      <c r="W7" t="s">
        <v>225</v>
      </c>
      <c r="Z7" t="s">
        <v>226</v>
      </c>
      <c r="AA7">
        <v>0</v>
      </c>
      <c r="AC7">
        <v>0</v>
      </c>
      <c r="AE7">
        <v>0</v>
      </c>
      <c r="AG7">
        <v>0</v>
      </c>
      <c r="AI7">
        <v>0</v>
      </c>
      <c r="AK7">
        <v>0</v>
      </c>
      <c r="AM7">
        <v>0</v>
      </c>
      <c r="AO7">
        <v>0</v>
      </c>
      <c r="AQ7">
        <v>0</v>
      </c>
    </row>
    <row r="8" spans="1:47">
      <c r="B8" t="s">
        <v>227</v>
      </c>
      <c r="C8">
        <v>0</v>
      </c>
      <c r="E8">
        <v>0</v>
      </c>
      <c r="G8">
        <v>0</v>
      </c>
      <c r="I8">
        <v>0</v>
      </c>
      <c r="K8">
        <v>0</v>
      </c>
      <c r="M8">
        <v>0</v>
      </c>
      <c r="O8">
        <v>0</v>
      </c>
      <c r="Q8">
        <v>0</v>
      </c>
      <c r="S8">
        <v>0</v>
      </c>
      <c r="U8">
        <v>0.0321</v>
      </c>
      <c r="V8" t="s">
        <v>228</v>
      </c>
      <c r="W8" t="s">
        <v>229</v>
      </c>
      <c r="Z8" t="s">
        <v>72</v>
      </c>
      <c r="AA8">
        <v>0</v>
      </c>
      <c r="AC8">
        <v>0</v>
      </c>
      <c r="AE8">
        <v>0</v>
      </c>
      <c r="AG8">
        <v>0</v>
      </c>
      <c r="AI8">
        <v>0</v>
      </c>
      <c r="AK8">
        <v>0</v>
      </c>
      <c r="AM8">
        <v>0</v>
      </c>
      <c r="AO8">
        <v>0</v>
      </c>
      <c r="AQ8">
        <v>0</v>
      </c>
    </row>
    <row r="9" spans="1:47">
      <c r="B9" t="s">
        <v>230</v>
      </c>
      <c r="C9">
        <v>0</v>
      </c>
      <c r="E9">
        <v>0</v>
      </c>
      <c r="G9">
        <v>0</v>
      </c>
      <c r="I9">
        <v>0</v>
      </c>
      <c r="K9">
        <v>0</v>
      </c>
      <c r="M9">
        <v>0</v>
      </c>
      <c r="O9">
        <v>0</v>
      </c>
      <c r="Q9">
        <v>0</v>
      </c>
      <c r="S9">
        <v>0</v>
      </c>
      <c r="U9">
        <v>0.1735</v>
      </c>
      <c r="V9" t="s">
        <v>231</v>
      </c>
      <c r="W9" t="s">
        <v>232</v>
      </c>
      <c r="Z9" t="s">
        <v>233</v>
      </c>
      <c r="AA9">
        <v>0</v>
      </c>
      <c r="AC9">
        <v>0</v>
      </c>
      <c r="AE9">
        <v>0</v>
      </c>
      <c r="AG9">
        <v>0</v>
      </c>
      <c r="AI9">
        <v>0</v>
      </c>
      <c r="AK9">
        <v>0</v>
      </c>
      <c r="AM9">
        <v>0</v>
      </c>
      <c r="AO9">
        <v>0</v>
      </c>
      <c r="AQ9">
        <v>0</v>
      </c>
    </row>
    <row r="10" spans="1:47">
      <c r="B10" t="s">
        <v>234</v>
      </c>
      <c r="C10">
        <v>0.7148</v>
      </c>
      <c r="E10">
        <v>0</v>
      </c>
      <c r="G10">
        <v>0</v>
      </c>
      <c r="I10">
        <v>89.3</v>
      </c>
      <c r="K10">
        <v>0</v>
      </c>
      <c r="M10">
        <v>33.4</v>
      </c>
      <c r="O10">
        <v>0</v>
      </c>
      <c r="Q10">
        <v>0</v>
      </c>
      <c r="S10">
        <v>0</v>
      </c>
      <c r="U10">
        <v>0.444</v>
      </c>
      <c r="V10" t="s">
        <v>235</v>
      </c>
      <c r="W10" t="s">
        <v>236</v>
      </c>
      <c r="Z10" t="s">
        <v>237</v>
      </c>
      <c r="AA10">
        <v>0</v>
      </c>
      <c r="AC10">
        <v>0</v>
      </c>
      <c r="AE10">
        <v>0</v>
      </c>
      <c r="AG10">
        <v>0</v>
      </c>
      <c r="AI10">
        <v>0</v>
      </c>
      <c r="AK10">
        <v>0</v>
      </c>
      <c r="AM10">
        <v>0</v>
      </c>
      <c r="AO10">
        <v>0</v>
      </c>
      <c r="AQ10">
        <v>0</v>
      </c>
    </row>
    <row r="11" spans="1:47">
      <c r="B11" t="s">
        <v>238</v>
      </c>
      <c r="C11">
        <v>0.845</v>
      </c>
      <c r="E11">
        <v>0</v>
      </c>
      <c r="G11">
        <v>0</v>
      </c>
      <c r="I11">
        <v>0</v>
      </c>
      <c r="K11">
        <v>0</v>
      </c>
      <c r="M11">
        <v>0</v>
      </c>
      <c r="O11">
        <v>0</v>
      </c>
      <c r="Q11">
        <v>0</v>
      </c>
      <c r="S11">
        <v>0</v>
      </c>
      <c r="U11">
        <v>0.2486</v>
      </c>
      <c r="V11" t="s">
        <v>239</v>
      </c>
      <c r="W11" t="s">
        <v>240</v>
      </c>
      <c r="Z11" t="s">
        <v>241</v>
      </c>
      <c r="AA11">
        <v>0</v>
      </c>
      <c r="AC11">
        <v>0</v>
      </c>
      <c r="AE11">
        <v>0</v>
      </c>
      <c r="AG11">
        <v>0</v>
      </c>
      <c r="AI11">
        <v>0</v>
      </c>
      <c r="AK11">
        <v>0</v>
      </c>
      <c r="AM11">
        <v>0</v>
      </c>
      <c r="AO11">
        <v>0</v>
      </c>
      <c r="AQ11">
        <v>0</v>
      </c>
    </row>
    <row r="12" spans="1:47">
      <c r="B12" t="s">
        <v>242</v>
      </c>
      <c r="C12">
        <v>1.058</v>
      </c>
      <c r="E12">
        <v>0</v>
      </c>
      <c r="G12">
        <v>0</v>
      </c>
      <c r="I12">
        <v>0</v>
      </c>
      <c r="K12">
        <v>0</v>
      </c>
      <c r="M12">
        <v>0</v>
      </c>
      <c r="O12">
        <v>0</v>
      </c>
      <c r="Q12">
        <v>0</v>
      </c>
      <c r="S12">
        <v>0</v>
      </c>
      <c r="U12">
        <v>0.0069</v>
      </c>
      <c r="V12" t="s">
        <v>243</v>
      </c>
      <c r="W12" t="s">
        <v>244</v>
      </c>
      <c r="Z12" t="s">
        <v>245</v>
      </c>
      <c r="AA12">
        <v>0</v>
      </c>
      <c r="AC12">
        <v>0</v>
      </c>
      <c r="AE12">
        <v>0</v>
      </c>
      <c r="AG12">
        <v>0</v>
      </c>
      <c r="AI12">
        <v>0</v>
      </c>
      <c r="AK12">
        <v>0</v>
      </c>
      <c r="AM12">
        <v>0</v>
      </c>
      <c r="AO12">
        <v>0</v>
      </c>
      <c r="AQ12">
        <v>0</v>
      </c>
    </row>
    <row r="13" spans="1:47">
      <c r="U13">
        <f>SUM(U7:U12)</f>
        <v>0.9202</v>
      </c>
      <c r="Z13" t="s">
        <v>246</v>
      </c>
      <c r="AA13">
        <v>0</v>
      </c>
      <c r="AC13">
        <v>0</v>
      </c>
      <c r="AE13">
        <v>0</v>
      </c>
      <c r="AG13">
        <v>0</v>
      </c>
      <c r="AI13">
        <v>0</v>
      </c>
      <c r="AK13">
        <v>0</v>
      </c>
      <c r="AM13">
        <v>0</v>
      </c>
      <c r="AO13">
        <v>0</v>
      </c>
      <c r="AQ13">
        <v>0</v>
      </c>
    </row>
    <row r="14" spans="1:47">
      <c r="Z14" t="s">
        <v>247</v>
      </c>
      <c r="AA14">
        <v>0</v>
      </c>
      <c r="AC14">
        <v>0</v>
      </c>
      <c r="AE14">
        <v>0</v>
      </c>
      <c r="AG14">
        <v>0</v>
      </c>
      <c r="AI14">
        <v>0</v>
      </c>
      <c r="AK14">
        <v>0</v>
      </c>
      <c r="AM14">
        <v>0</v>
      </c>
      <c r="AO14">
        <v>0</v>
      </c>
      <c r="AQ14">
        <v>0</v>
      </c>
    </row>
    <row r="15" spans="1:47">
      <c r="A15" t="s">
        <v>202</v>
      </c>
      <c r="B15" s="39" t="s">
        <v>248</v>
      </c>
    </row>
    <row r="16" spans="1:47">
      <c r="A16" t="s">
        <v>202</v>
      </c>
    </row>
    <row r="17" spans="1:47">
      <c r="A17" s="37"/>
      <c r="B17" s="37" t="s">
        <v>205</v>
      </c>
      <c r="C17" s="37" t="s">
        <v>47</v>
      </c>
      <c r="D17" s="37"/>
      <c r="E17" s="37" t="s">
        <v>48</v>
      </c>
      <c r="F17" s="37"/>
      <c r="G17" s="37" t="s">
        <v>49</v>
      </c>
      <c r="H17" s="37"/>
      <c r="I17" s="37" t="s">
        <v>50</v>
      </c>
      <c r="J17" s="37"/>
      <c r="K17" s="37" t="s">
        <v>51</v>
      </c>
      <c r="L17" s="37"/>
      <c r="M17" s="37" t="s">
        <v>52</v>
      </c>
      <c r="N17" s="37"/>
      <c r="O17" s="37" t="s">
        <v>53</v>
      </c>
      <c r="P17" s="37"/>
      <c r="Q17" s="37" t="s">
        <v>54</v>
      </c>
      <c r="R17" s="37"/>
      <c r="S17" s="37" t="s">
        <v>55</v>
      </c>
      <c r="T17" s="37"/>
      <c r="U17" s="37" t="s">
        <v>206</v>
      </c>
      <c r="V17" s="37"/>
      <c r="Y17" t="s">
        <v>202</v>
      </c>
      <c r="Z17" s="37" t="s">
        <v>249</v>
      </c>
    </row>
    <row r="18" spans="1:47">
      <c r="A18" t="s">
        <v>202</v>
      </c>
      <c r="C18" t="s">
        <v>207</v>
      </c>
      <c r="E18" t="s">
        <v>208</v>
      </c>
      <c r="G18" t="s">
        <v>209</v>
      </c>
      <c r="I18" t="s">
        <v>210</v>
      </c>
      <c r="K18" t="s">
        <v>211</v>
      </c>
      <c r="M18" t="s">
        <v>212</v>
      </c>
      <c r="O18" t="s">
        <v>213</v>
      </c>
      <c r="Q18" t="s">
        <v>97</v>
      </c>
      <c r="S18" t="s">
        <v>214</v>
      </c>
      <c r="U18" t="s">
        <v>215</v>
      </c>
      <c r="V18" t="s">
        <v>216</v>
      </c>
      <c r="W18" t="s">
        <v>56</v>
      </c>
      <c r="Y18" t="s">
        <v>202</v>
      </c>
    </row>
    <row r="19" spans="1:47">
      <c r="A19" t="s">
        <v>202</v>
      </c>
      <c r="C19" t="s">
        <v>219</v>
      </c>
      <c r="D19" t="s">
        <v>220</v>
      </c>
      <c r="E19" t="s">
        <v>219</v>
      </c>
      <c r="F19" t="s">
        <v>220</v>
      </c>
      <c r="G19" t="s">
        <v>219</v>
      </c>
      <c r="H19" t="s">
        <v>220</v>
      </c>
      <c r="I19" t="s">
        <v>219</v>
      </c>
      <c r="J19" t="s">
        <v>220</v>
      </c>
      <c r="K19" t="s">
        <v>219</v>
      </c>
      <c r="L19" t="s">
        <v>220</v>
      </c>
      <c r="M19" t="s">
        <v>219</v>
      </c>
      <c r="N19" t="s">
        <v>220</v>
      </c>
      <c r="O19" t="s">
        <v>219</v>
      </c>
      <c r="P19" t="s">
        <v>220</v>
      </c>
      <c r="Q19" t="s">
        <v>219</v>
      </c>
      <c r="R19" t="s">
        <v>220</v>
      </c>
      <c r="S19" t="s">
        <v>219</v>
      </c>
      <c r="T19" t="s">
        <v>220</v>
      </c>
      <c r="U19" t="s">
        <v>219</v>
      </c>
      <c r="V19" t="s">
        <v>221</v>
      </c>
      <c r="W19" t="s">
        <v>222</v>
      </c>
      <c r="Z19" s="37" t="s">
        <v>205</v>
      </c>
      <c r="AA19" s="37" t="s">
        <v>47</v>
      </c>
      <c r="AB19" s="37"/>
      <c r="AC19" s="37" t="s">
        <v>48</v>
      </c>
      <c r="AD19" s="37"/>
      <c r="AE19" s="37" t="s">
        <v>49</v>
      </c>
      <c r="AF19" s="37"/>
      <c r="AG19" s="37" t="s">
        <v>50</v>
      </c>
      <c r="AH19" s="37"/>
      <c r="AI19" s="37" t="s">
        <v>51</v>
      </c>
      <c r="AJ19" s="37"/>
      <c r="AK19" s="37" t="s">
        <v>52</v>
      </c>
      <c r="AL19" s="37"/>
      <c r="AM19" s="37" t="s">
        <v>53</v>
      </c>
      <c r="AN19" s="37"/>
      <c r="AO19" s="37" t="s">
        <v>54</v>
      </c>
      <c r="AP19" s="37"/>
      <c r="AQ19" s="37" t="s">
        <v>55</v>
      </c>
      <c r="AR19" s="37"/>
      <c r="AS19" s="37" t="s">
        <v>206</v>
      </c>
    </row>
    <row r="20" spans="1:47">
      <c r="B20" t="s">
        <v>250</v>
      </c>
      <c r="C20">
        <v>0.984</v>
      </c>
      <c r="E20">
        <v>0</v>
      </c>
      <c r="G20">
        <v>0</v>
      </c>
      <c r="I20">
        <v>0</v>
      </c>
      <c r="K20">
        <v>0</v>
      </c>
      <c r="M20">
        <v>0</v>
      </c>
      <c r="O20">
        <v>0</v>
      </c>
      <c r="Q20">
        <v>0</v>
      </c>
      <c r="S20">
        <v>0</v>
      </c>
      <c r="V20" t="s">
        <v>251</v>
      </c>
      <c r="W20" t="s">
        <v>252</v>
      </c>
      <c r="Y20" t="s">
        <v>202</v>
      </c>
      <c r="AA20" t="s">
        <v>217</v>
      </c>
      <c r="AC20" t="s">
        <v>208</v>
      </c>
      <c r="AE20" t="s">
        <v>209</v>
      </c>
      <c r="AG20" t="s">
        <v>210</v>
      </c>
      <c r="AI20" t="s">
        <v>211</v>
      </c>
      <c r="AK20" t="s">
        <v>212</v>
      </c>
      <c r="AM20" t="s">
        <v>213</v>
      </c>
      <c r="AO20" t="s">
        <v>218</v>
      </c>
      <c r="AQ20" t="s">
        <v>214</v>
      </c>
      <c r="AS20" t="s">
        <v>215</v>
      </c>
      <c r="AT20" t="s">
        <v>216</v>
      </c>
      <c r="AU20" t="s">
        <v>56</v>
      </c>
    </row>
    <row r="21" spans="1:47">
      <c r="B21" t="s">
        <v>253</v>
      </c>
      <c r="C21">
        <v>0</v>
      </c>
      <c r="E21">
        <v>0</v>
      </c>
      <c r="G21">
        <v>0</v>
      </c>
      <c r="I21">
        <v>0</v>
      </c>
      <c r="K21">
        <v>0</v>
      </c>
      <c r="M21">
        <v>0</v>
      </c>
      <c r="O21">
        <v>0</v>
      </c>
      <c r="Q21">
        <v>0</v>
      </c>
      <c r="S21">
        <v>0</v>
      </c>
      <c r="V21" t="s">
        <v>254</v>
      </c>
      <c r="W21" t="s">
        <v>255</v>
      </c>
      <c r="Y21" t="s">
        <v>202</v>
      </c>
      <c r="AA21" t="s">
        <v>219</v>
      </c>
      <c r="AB21" t="s">
        <v>220</v>
      </c>
      <c r="AC21" t="s">
        <v>219</v>
      </c>
      <c r="AD21" t="s">
        <v>220</v>
      </c>
      <c r="AE21" t="s">
        <v>219</v>
      </c>
      <c r="AF21" t="s">
        <v>220</v>
      </c>
      <c r="AG21" t="s">
        <v>219</v>
      </c>
      <c r="AH21" t="s">
        <v>220</v>
      </c>
      <c r="AI21" t="s">
        <v>219</v>
      </c>
      <c r="AJ21" t="s">
        <v>220</v>
      </c>
      <c r="AK21" t="s">
        <v>219</v>
      </c>
      <c r="AL21" t="s">
        <v>220</v>
      </c>
      <c r="AM21" t="s">
        <v>219</v>
      </c>
      <c r="AN21" t="s">
        <v>220</v>
      </c>
      <c r="AO21" t="s">
        <v>219</v>
      </c>
      <c r="AP21" t="s">
        <v>220</v>
      </c>
      <c r="AQ21" t="s">
        <v>219</v>
      </c>
      <c r="AR21" t="s">
        <v>220</v>
      </c>
      <c r="AS21" t="s">
        <v>219</v>
      </c>
      <c r="AT21" t="s">
        <v>221</v>
      </c>
      <c r="AU21" t="s">
        <v>222</v>
      </c>
    </row>
    <row r="22" spans="1:47">
      <c r="B22" t="s">
        <v>256</v>
      </c>
      <c r="C22">
        <v>0</v>
      </c>
      <c r="E22">
        <v>0</v>
      </c>
      <c r="G22">
        <v>0</v>
      </c>
      <c r="I22">
        <v>0</v>
      </c>
      <c r="K22">
        <v>0</v>
      </c>
      <c r="M22">
        <v>0</v>
      </c>
      <c r="O22">
        <v>0</v>
      </c>
      <c r="Q22">
        <v>0</v>
      </c>
      <c r="S22">
        <v>0</v>
      </c>
      <c r="V22" t="s">
        <v>257</v>
      </c>
      <c r="W22" t="s">
        <v>258</v>
      </c>
      <c r="Z22" t="s">
        <v>259</v>
      </c>
      <c r="AA22">
        <v>0</v>
      </c>
      <c r="AC22">
        <v>0</v>
      </c>
      <c r="AE22">
        <v>0</v>
      </c>
      <c r="AG22">
        <v>0</v>
      </c>
      <c r="AI22">
        <v>0</v>
      </c>
      <c r="AK22">
        <v>0</v>
      </c>
      <c r="AM22">
        <v>0</v>
      </c>
      <c r="AO22">
        <v>0</v>
      </c>
      <c r="AQ22">
        <v>0</v>
      </c>
    </row>
    <row r="23" spans="1:47">
      <c r="B23" t="s">
        <v>260</v>
      </c>
      <c r="C23">
        <v>0.725</v>
      </c>
      <c r="E23">
        <v>0</v>
      </c>
      <c r="G23">
        <v>0</v>
      </c>
      <c r="I23">
        <v>80.9</v>
      </c>
      <c r="K23">
        <v>0</v>
      </c>
      <c r="M23">
        <v>0</v>
      </c>
      <c r="O23">
        <v>0</v>
      </c>
      <c r="Q23">
        <v>0</v>
      </c>
      <c r="S23">
        <v>0</v>
      </c>
      <c r="V23" t="s">
        <v>235</v>
      </c>
      <c r="W23" t="s">
        <v>261</v>
      </c>
      <c r="Z23" t="s">
        <v>262</v>
      </c>
      <c r="AA23">
        <v>0</v>
      </c>
      <c r="AC23">
        <v>0</v>
      </c>
      <c r="AE23">
        <v>0</v>
      </c>
      <c r="AG23">
        <v>0</v>
      </c>
      <c r="AI23">
        <v>0</v>
      </c>
      <c r="AK23">
        <v>0</v>
      </c>
      <c r="AM23">
        <v>0</v>
      </c>
      <c r="AO23">
        <v>0</v>
      </c>
      <c r="AQ23">
        <v>0</v>
      </c>
    </row>
    <row r="24" spans="1:47">
      <c r="B24" t="s">
        <v>263</v>
      </c>
      <c r="C24">
        <v>0.856</v>
      </c>
      <c r="E24">
        <v>0</v>
      </c>
      <c r="G24">
        <v>0</v>
      </c>
      <c r="I24">
        <v>0</v>
      </c>
      <c r="K24">
        <v>0</v>
      </c>
      <c r="M24">
        <v>0</v>
      </c>
      <c r="O24">
        <v>0</v>
      </c>
      <c r="Q24">
        <v>0</v>
      </c>
      <c r="S24">
        <v>0</v>
      </c>
      <c r="V24" t="s">
        <v>76</v>
      </c>
      <c r="W24" t="s">
        <v>264</v>
      </c>
      <c r="Z24" t="s">
        <v>254</v>
      </c>
      <c r="AA24">
        <v>0</v>
      </c>
      <c r="AC24">
        <v>0</v>
      </c>
      <c r="AE24">
        <v>0</v>
      </c>
      <c r="AG24">
        <v>0</v>
      </c>
      <c r="AI24">
        <v>0</v>
      </c>
      <c r="AK24">
        <v>0</v>
      </c>
      <c r="AM24">
        <v>0</v>
      </c>
      <c r="AO24">
        <v>0</v>
      </c>
      <c r="AQ24">
        <v>0</v>
      </c>
    </row>
    <row r="25" spans="1:47">
      <c r="B25" t="s">
        <v>265</v>
      </c>
      <c r="C25">
        <v>0.945</v>
      </c>
      <c r="E25">
        <v>0</v>
      </c>
      <c r="G25">
        <v>0</v>
      </c>
      <c r="I25">
        <v>0</v>
      </c>
      <c r="K25">
        <v>0</v>
      </c>
      <c r="M25">
        <v>0</v>
      </c>
      <c r="O25">
        <v>0</v>
      </c>
      <c r="Q25">
        <v>0</v>
      </c>
      <c r="S25">
        <v>0</v>
      </c>
      <c r="V25" t="s">
        <v>266</v>
      </c>
      <c r="W25" t="s">
        <v>267</v>
      </c>
      <c r="Z25" t="s">
        <v>268</v>
      </c>
      <c r="AA25">
        <v>0</v>
      </c>
      <c r="AC25">
        <v>0</v>
      </c>
      <c r="AE25">
        <v>0</v>
      </c>
      <c r="AG25">
        <v>0</v>
      </c>
      <c r="AI25">
        <v>0</v>
      </c>
      <c r="AK25">
        <v>0</v>
      </c>
      <c r="AM25">
        <v>0</v>
      </c>
      <c r="AO25">
        <v>0</v>
      </c>
      <c r="AQ25">
        <v>0</v>
      </c>
    </row>
    <row r="26" spans="1:47">
      <c r="Z26" t="s">
        <v>269</v>
      </c>
      <c r="AA26">
        <v>0</v>
      </c>
      <c r="AC26">
        <v>0</v>
      </c>
      <c r="AE26">
        <v>0</v>
      </c>
      <c r="AG26">
        <v>0</v>
      </c>
      <c r="AI26">
        <v>0</v>
      </c>
      <c r="AK26">
        <v>0</v>
      </c>
      <c r="AM26">
        <v>0</v>
      </c>
      <c r="AO26">
        <v>0</v>
      </c>
      <c r="AQ26">
        <v>0</v>
      </c>
    </row>
    <row r="27" spans="1:47">
      <c r="A27" s="4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Z27" t="s">
        <v>270</v>
      </c>
      <c r="AA27">
        <v>0</v>
      </c>
      <c r="AC27">
        <v>0</v>
      </c>
      <c r="AE27">
        <v>0</v>
      </c>
      <c r="AG27">
        <v>0</v>
      </c>
      <c r="AI27">
        <v>0</v>
      </c>
      <c r="AK27">
        <v>0</v>
      </c>
      <c r="AM27">
        <v>0</v>
      </c>
      <c r="AO27">
        <v>0</v>
      </c>
      <c r="AQ27">
        <v>0</v>
      </c>
    </row>
    <row r="28" spans="1:47">
      <c r="A28" t="s">
        <v>202</v>
      </c>
      <c r="B28" s="37" t="s">
        <v>271</v>
      </c>
      <c r="Z28" t="s">
        <v>272</v>
      </c>
      <c r="AA28">
        <v>0</v>
      </c>
      <c r="AC28">
        <v>0</v>
      </c>
      <c r="AE28">
        <v>0</v>
      </c>
      <c r="AG28">
        <v>0</v>
      </c>
      <c r="AI28">
        <v>0</v>
      </c>
      <c r="AK28">
        <v>0</v>
      </c>
      <c r="AM28">
        <v>0</v>
      </c>
      <c r="AO28">
        <v>0</v>
      </c>
      <c r="AQ28">
        <v>0</v>
      </c>
    </row>
    <row r="29" spans="1:47">
      <c r="A29" t="s">
        <v>202</v>
      </c>
    </row>
    <row r="30" spans="1:47">
      <c r="B30" s="37" t="s">
        <v>205</v>
      </c>
      <c r="C30" s="37" t="s">
        <v>47</v>
      </c>
      <c r="D30" s="37"/>
      <c r="E30" s="37" t="s">
        <v>48</v>
      </c>
      <c r="F30" s="37"/>
      <c r="G30" s="37" t="s">
        <v>49</v>
      </c>
      <c r="H30" s="37"/>
      <c r="I30" s="37" t="s">
        <v>50</v>
      </c>
      <c r="J30" s="37"/>
      <c r="K30" s="37" t="s">
        <v>51</v>
      </c>
      <c r="L30" s="37"/>
      <c r="M30" s="37" t="s">
        <v>52</v>
      </c>
      <c r="N30" s="37"/>
      <c r="O30" s="37" t="s">
        <v>53</v>
      </c>
      <c r="P30" s="37"/>
      <c r="Q30" s="37" t="s">
        <v>54</v>
      </c>
      <c r="R30" s="37"/>
      <c r="S30" s="37" t="s">
        <v>55</v>
      </c>
      <c r="T30" s="37"/>
      <c r="U30" s="37" t="s">
        <v>206</v>
      </c>
      <c r="V30" s="37"/>
    </row>
    <row r="31" spans="1:47">
      <c r="A31" t="s">
        <v>202</v>
      </c>
      <c r="C31" t="s">
        <v>217</v>
      </c>
      <c r="E31" t="s">
        <v>208</v>
      </c>
      <c r="G31" t="s">
        <v>209</v>
      </c>
      <c r="I31" t="s">
        <v>210</v>
      </c>
      <c r="K31" t="s">
        <v>211</v>
      </c>
      <c r="M31" t="s">
        <v>212</v>
      </c>
      <c r="O31" t="s">
        <v>213</v>
      </c>
      <c r="Q31" t="s">
        <v>218</v>
      </c>
      <c r="S31" t="s">
        <v>214</v>
      </c>
      <c r="U31" t="s">
        <v>215</v>
      </c>
      <c r="V31" t="s">
        <v>216</v>
      </c>
      <c r="W31" t="s">
        <v>56</v>
      </c>
      <c r="Y31" t="s">
        <v>202</v>
      </c>
      <c r="Z31" s="37" t="s">
        <v>273</v>
      </c>
    </row>
    <row r="32" spans="1:47">
      <c r="A32" t="s">
        <v>202</v>
      </c>
      <c r="C32" t="s">
        <v>219</v>
      </c>
      <c r="D32" t="s">
        <v>220</v>
      </c>
      <c r="E32" t="s">
        <v>219</v>
      </c>
      <c r="F32" t="s">
        <v>220</v>
      </c>
      <c r="G32" t="s">
        <v>219</v>
      </c>
      <c r="H32" t="s">
        <v>220</v>
      </c>
      <c r="I32" t="s">
        <v>219</v>
      </c>
      <c r="J32" t="s">
        <v>220</v>
      </c>
      <c r="K32" t="s">
        <v>219</v>
      </c>
      <c r="L32" t="s">
        <v>220</v>
      </c>
      <c r="M32" t="s">
        <v>219</v>
      </c>
      <c r="N32" t="s">
        <v>220</v>
      </c>
      <c r="O32" t="s">
        <v>219</v>
      </c>
      <c r="P32" t="s">
        <v>220</v>
      </c>
      <c r="Q32" t="s">
        <v>219</v>
      </c>
      <c r="R32" t="s">
        <v>220</v>
      </c>
      <c r="S32" t="s">
        <v>219</v>
      </c>
      <c r="T32" t="s">
        <v>220</v>
      </c>
      <c r="U32" t="s">
        <v>219</v>
      </c>
      <c r="V32" t="s">
        <v>221</v>
      </c>
      <c r="W32" t="s">
        <v>222</v>
      </c>
      <c r="Y32" t="s">
        <v>202</v>
      </c>
    </row>
    <row r="33" spans="1:47">
      <c r="B33" t="s">
        <v>193</v>
      </c>
      <c r="C33">
        <v>0</v>
      </c>
      <c r="E33">
        <v>0</v>
      </c>
      <c r="G33">
        <v>0</v>
      </c>
      <c r="I33">
        <v>0</v>
      </c>
      <c r="K33">
        <v>0</v>
      </c>
      <c r="M33">
        <v>0</v>
      </c>
      <c r="O33">
        <v>0</v>
      </c>
      <c r="Q33">
        <v>0</v>
      </c>
      <c r="S33">
        <v>0</v>
      </c>
      <c r="Z33" s="37" t="s">
        <v>205</v>
      </c>
      <c r="AA33" s="37" t="s">
        <v>47</v>
      </c>
      <c r="AB33" s="37"/>
      <c r="AC33" s="37" t="s">
        <v>48</v>
      </c>
      <c r="AD33" s="37"/>
      <c r="AE33" s="37" t="s">
        <v>49</v>
      </c>
      <c r="AF33" s="37"/>
      <c r="AG33" s="37" t="s">
        <v>50</v>
      </c>
      <c r="AH33" s="37"/>
      <c r="AI33" s="37" t="s">
        <v>51</v>
      </c>
      <c r="AJ33" s="37"/>
      <c r="AK33" s="37" t="s">
        <v>52</v>
      </c>
      <c r="AL33" s="37"/>
      <c r="AM33" s="37" t="s">
        <v>53</v>
      </c>
      <c r="AN33" s="37"/>
      <c r="AO33" s="37" t="s">
        <v>54</v>
      </c>
      <c r="AP33" s="37"/>
      <c r="AQ33" s="37" t="s">
        <v>55</v>
      </c>
      <c r="AR33" s="37"/>
      <c r="AS33" s="37" t="s">
        <v>206</v>
      </c>
    </row>
    <row r="34" spans="1:47">
      <c r="B34" t="s">
        <v>274</v>
      </c>
      <c r="C34">
        <v>0</v>
      </c>
      <c r="E34">
        <v>0</v>
      </c>
      <c r="G34">
        <v>0</v>
      </c>
      <c r="I34">
        <v>0</v>
      </c>
      <c r="K34">
        <v>0</v>
      </c>
      <c r="M34">
        <v>0</v>
      </c>
      <c r="O34">
        <v>0</v>
      </c>
      <c r="Q34">
        <v>0</v>
      </c>
      <c r="S34">
        <v>0</v>
      </c>
      <c r="Y34" t="s">
        <v>202</v>
      </c>
      <c r="AA34" t="s">
        <v>217</v>
      </c>
      <c r="AC34" t="s">
        <v>208</v>
      </c>
      <c r="AE34" t="s">
        <v>209</v>
      </c>
      <c r="AG34" t="s">
        <v>210</v>
      </c>
      <c r="AI34" t="s">
        <v>211</v>
      </c>
      <c r="AK34" t="s">
        <v>212</v>
      </c>
      <c r="AM34" t="s">
        <v>213</v>
      </c>
      <c r="AO34" t="s">
        <v>218</v>
      </c>
      <c r="AQ34" t="s">
        <v>214</v>
      </c>
      <c r="AS34" t="s">
        <v>215</v>
      </c>
      <c r="AT34" t="s">
        <v>216</v>
      </c>
      <c r="AU34" t="s">
        <v>56</v>
      </c>
    </row>
    <row r="35" spans="1:47">
      <c r="Y35" t="s">
        <v>202</v>
      </c>
      <c r="AA35" t="s">
        <v>219</v>
      </c>
      <c r="AB35" t="s">
        <v>220</v>
      </c>
      <c r="AC35" t="s">
        <v>219</v>
      </c>
      <c r="AD35" t="s">
        <v>220</v>
      </c>
      <c r="AE35" t="s">
        <v>219</v>
      </c>
      <c r="AF35" t="s">
        <v>220</v>
      </c>
      <c r="AG35" t="s">
        <v>219</v>
      </c>
      <c r="AH35" t="s">
        <v>220</v>
      </c>
      <c r="AI35" t="s">
        <v>219</v>
      </c>
      <c r="AJ35" t="s">
        <v>220</v>
      </c>
      <c r="AK35" t="s">
        <v>219</v>
      </c>
      <c r="AL35" t="s">
        <v>220</v>
      </c>
      <c r="AM35" t="s">
        <v>219</v>
      </c>
      <c r="AN35" t="s">
        <v>220</v>
      </c>
      <c r="AO35" t="s">
        <v>219</v>
      </c>
      <c r="AP35" t="s">
        <v>220</v>
      </c>
      <c r="AQ35" t="s">
        <v>219</v>
      </c>
      <c r="AR35" t="s">
        <v>220</v>
      </c>
      <c r="AS35" t="s">
        <v>219</v>
      </c>
      <c r="AT35" t="s">
        <v>221</v>
      </c>
      <c r="AU35" t="s">
        <v>222</v>
      </c>
    </row>
    <row r="36" spans="1:47">
      <c r="Z36" t="s">
        <v>213</v>
      </c>
      <c r="AA36">
        <v>0</v>
      </c>
      <c r="AC36">
        <v>0</v>
      </c>
      <c r="AE36">
        <v>0</v>
      </c>
      <c r="AG36">
        <v>0</v>
      </c>
      <c r="AI36">
        <v>0</v>
      </c>
      <c r="AK36">
        <v>0</v>
      </c>
      <c r="AM36">
        <v>0</v>
      </c>
      <c r="AO36">
        <v>0</v>
      </c>
      <c r="AQ36">
        <v>0</v>
      </c>
    </row>
    <row r="37" spans="1:47">
      <c r="A37" t="s">
        <v>202</v>
      </c>
      <c r="B37" s="37" t="s">
        <v>275</v>
      </c>
      <c r="Z37" t="s">
        <v>187</v>
      </c>
      <c r="AA37">
        <v>0</v>
      </c>
      <c r="AC37">
        <v>0</v>
      </c>
      <c r="AE37">
        <v>0</v>
      </c>
      <c r="AG37">
        <v>0</v>
      </c>
      <c r="AI37">
        <v>0</v>
      </c>
      <c r="AK37">
        <v>0</v>
      </c>
      <c r="AM37">
        <v>0</v>
      </c>
      <c r="AO37">
        <v>0</v>
      </c>
      <c r="AQ37">
        <v>0</v>
      </c>
    </row>
    <row r="38" spans="1:47">
      <c r="A38" t="s">
        <v>202</v>
      </c>
      <c r="Z38" t="s">
        <v>276</v>
      </c>
      <c r="AA38">
        <v>0</v>
      </c>
      <c r="AC38">
        <v>0</v>
      </c>
      <c r="AE38">
        <v>0</v>
      </c>
      <c r="AG38">
        <v>0</v>
      </c>
      <c r="AI38">
        <v>0</v>
      </c>
      <c r="AK38">
        <v>0</v>
      </c>
      <c r="AM38">
        <v>0</v>
      </c>
      <c r="AO38">
        <v>0</v>
      </c>
      <c r="AQ38">
        <v>0</v>
      </c>
    </row>
    <row r="39" spans="1:47">
      <c r="B39" s="37" t="s">
        <v>205</v>
      </c>
      <c r="C39" s="37" t="s">
        <v>47</v>
      </c>
      <c r="D39" s="37"/>
      <c r="E39" s="37" t="s">
        <v>48</v>
      </c>
      <c r="F39" s="37"/>
      <c r="G39" s="37" t="s">
        <v>49</v>
      </c>
      <c r="H39" s="37"/>
      <c r="I39" s="37" t="s">
        <v>50</v>
      </c>
      <c r="J39" s="37"/>
      <c r="K39" s="37" t="s">
        <v>51</v>
      </c>
      <c r="L39" s="37"/>
      <c r="M39" s="37" t="s">
        <v>52</v>
      </c>
      <c r="N39" s="37"/>
      <c r="O39" s="37" t="s">
        <v>53</v>
      </c>
      <c r="P39" s="37"/>
      <c r="Q39" s="37" t="s">
        <v>54</v>
      </c>
      <c r="R39" s="37"/>
      <c r="S39" s="37" t="s">
        <v>55</v>
      </c>
      <c r="T39" s="37"/>
      <c r="U39" s="37" t="s">
        <v>206</v>
      </c>
      <c r="V39" s="37"/>
      <c r="Z39" t="s">
        <v>277</v>
      </c>
      <c r="AA39">
        <v>0</v>
      </c>
      <c r="AC39">
        <v>0</v>
      </c>
      <c r="AE39">
        <v>0</v>
      </c>
      <c r="AG39">
        <v>0</v>
      </c>
      <c r="AI39">
        <v>0</v>
      </c>
      <c r="AK39">
        <v>0</v>
      </c>
      <c r="AM39">
        <v>0</v>
      </c>
      <c r="AO39">
        <v>0</v>
      </c>
      <c r="AQ39">
        <v>0</v>
      </c>
    </row>
    <row r="40" spans="1:47">
      <c r="A40" t="s">
        <v>202</v>
      </c>
      <c r="C40" t="s">
        <v>217</v>
      </c>
      <c r="E40" t="s">
        <v>208</v>
      </c>
      <c r="G40" t="s">
        <v>209</v>
      </c>
      <c r="I40" t="s">
        <v>210</v>
      </c>
      <c r="K40" t="s">
        <v>211</v>
      </c>
      <c r="M40" t="s">
        <v>212</v>
      </c>
      <c r="O40" t="s">
        <v>213</v>
      </c>
      <c r="Q40" t="s">
        <v>218</v>
      </c>
      <c r="S40" t="s">
        <v>214</v>
      </c>
      <c r="U40" t="s">
        <v>215</v>
      </c>
      <c r="V40" t="s">
        <v>216</v>
      </c>
      <c r="W40" t="s">
        <v>56</v>
      </c>
    </row>
    <row r="41" spans="1:47">
      <c r="A41" t="s">
        <v>202</v>
      </c>
      <c r="C41" t="s">
        <v>219</v>
      </c>
      <c r="D41" t="s">
        <v>220</v>
      </c>
      <c r="E41" t="s">
        <v>219</v>
      </c>
      <c r="F41" t="s">
        <v>220</v>
      </c>
      <c r="G41" t="s">
        <v>219</v>
      </c>
      <c r="H41" t="s">
        <v>220</v>
      </c>
      <c r="I41" t="s">
        <v>219</v>
      </c>
      <c r="J41" t="s">
        <v>220</v>
      </c>
      <c r="K41" t="s">
        <v>219</v>
      </c>
      <c r="L41" t="s">
        <v>220</v>
      </c>
      <c r="M41" t="s">
        <v>219</v>
      </c>
      <c r="N41" t="s">
        <v>220</v>
      </c>
      <c r="O41" t="s">
        <v>219</v>
      </c>
      <c r="P41" t="s">
        <v>220</v>
      </c>
      <c r="Q41" t="s">
        <v>219</v>
      </c>
      <c r="R41" t="s">
        <v>220</v>
      </c>
      <c r="S41" t="s">
        <v>219</v>
      </c>
      <c r="T41" t="s">
        <v>220</v>
      </c>
      <c r="U41" t="s">
        <v>219</v>
      </c>
      <c r="V41" t="s">
        <v>221</v>
      </c>
      <c r="W41" t="s">
        <v>222</v>
      </c>
    </row>
    <row r="42" spans="1:47">
      <c r="B42" t="s">
        <v>278</v>
      </c>
      <c r="C42">
        <v>0</v>
      </c>
      <c r="E42">
        <v>0</v>
      </c>
      <c r="G42">
        <v>0</v>
      </c>
      <c r="I42">
        <v>0</v>
      </c>
      <c r="K42">
        <v>0</v>
      </c>
      <c r="M42">
        <v>0</v>
      </c>
      <c r="O42">
        <v>0</v>
      </c>
      <c r="Q42">
        <v>0</v>
      </c>
      <c r="S42">
        <v>0</v>
      </c>
      <c r="V42" t="s">
        <v>68</v>
      </c>
      <c r="W42" t="s">
        <v>279</v>
      </c>
      <c r="Y42" t="s">
        <v>202</v>
      </c>
      <c r="Z42" s="37" t="s">
        <v>280</v>
      </c>
    </row>
    <row r="43" spans="1:47">
      <c r="B43" t="s">
        <v>281</v>
      </c>
      <c r="C43">
        <v>0</v>
      </c>
      <c r="E43">
        <v>0</v>
      </c>
      <c r="G43">
        <v>0</v>
      </c>
      <c r="I43">
        <v>0</v>
      </c>
      <c r="K43">
        <v>0</v>
      </c>
      <c r="M43">
        <v>0</v>
      </c>
      <c r="O43">
        <v>0</v>
      </c>
      <c r="Q43">
        <v>0</v>
      </c>
      <c r="S43">
        <v>0</v>
      </c>
      <c r="V43" t="s">
        <v>68</v>
      </c>
      <c r="W43" t="s">
        <v>279</v>
      </c>
      <c r="Y43" t="s">
        <v>202</v>
      </c>
    </row>
    <row r="44" spans="1:47">
      <c r="B44" t="s">
        <v>282</v>
      </c>
      <c r="C44">
        <v>0</v>
      </c>
      <c r="E44">
        <v>0</v>
      </c>
      <c r="G44">
        <v>0</v>
      </c>
      <c r="I44">
        <v>0</v>
      </c>
      <c r="K44">
        <v>0</v>
      </c>
      <c r="M44">
        <v>0</v>
      </c>
      <c r="O44">
        <v>0</v>
      </c>
      <c r="Q44">
        <v>0</v>
      </c>
      <c r="S44">
        <v>0</v>
      </c>
      <c r="V44" t="s">
        <v>149</v>
      </c>
      <c r="W44" t="s">
        <v>283</v>
      </c>
      <c r="Z44" s="37" t="s">
        <v>205</v>
      </c>
      <c r="AA44" s="37" t="s">
        <v>47</v>
      </c>
      <c r="AB44" s="37"/>
      <c r="AC44" s="37" t="s">
        <v>48</v>
      </c>
      <c r="AD44" s="37"/>
      <c r="AE44" s="37" t="s">
        <v>49</v>
      </c>
      <c r="AF44" s="37"/>
      <c r="AG44" s="37" t="s">
        <v>50</v>
      </c>
      <c r="AH44" s="37"/>
      <c r="AI44" s="37" t="s">
        <v>51</v>
      </c>
      <c r="AJ44" s="37"/>
      <c r="AK44" s="37" t="s">
        <v>52</v>
      </c>
      <c r="AL44" s="37"/>
      <c r="AM44" s="37" t="s">
        <v>53</v>
      </c>
      <c r="AN44" s="37"/>
      <c r="AO44" s="37" t="s">
        <v>54</v>
      </c>
      <c r="AP44" s="37"/>
      <c r="AQ44" s="37" t="s">
        <v>55</v>
      </c>
      <c r="AR44" s="37"/>
      <c r="AS44" s="37" t="s">
        <v>206</v>
      </c>
    </row>
    <row r="45" spans="1:47">
      <c r="B45" t="s">
        <v>284</v>
      </c>
      <c r="C45">
        <v>0</v>
      </c>
      <c r="E45">
        <v>0</v>
      </c>
      <c r="G45">
        <v>0</v>
      </c>
      <c r="I45">
        <v>0</v>
      </c>
      <c r="K45">
        <v>0</v>
      </c>
      <c r="M45">
        <v>0</v>
      </c>
      <c r="O45">
        <v>0</v>
      </c>
      <c r="Q45">
        <v>0</v>
      </c>
      <c r="S45">
        <v>0</v>
      </c>
      <c r="V45" t="s">
        <v>285</v>
      </c>
      <c r="W45" t="s">
        <v>286</v>
      </c>
      <c r="Y45" t="s">
        <v>202</v>
      </c>
      <c r="AA45" t="s">
        <v>217</v>
      </c>
      <c r="AC45" t="s">
        <v>208</v>
      </c>
      <c r="AE45" t="s">
        <v>209</v>
      </c>
      <c r="AG45" t="s">
        <v>210</v>
      </c>
      <c r="AI45" t="s">
        <v>211</v>
      </c>
      <c r="AK45" t="s">
        <v>212</v>
      </c>
      <c r="AM45" t="s">
        <v>213</v>
      </c>
      <c r="AO45" t="s">
        <v>218</v>
      </c>
      <c r="AQ45" t="s">
        <v>214</v>
      </c>
      <c r="AS45" t="s">
        <v>215</v>
      </c>
      <c r="AT45" t="s">
        <v>216</v>
      </c>
      <c r="AU45" t="s">
        <v>56</v>
      </c>
    </row>
    <row r="46" spans="1:47">
      <c r="B46" t="s">
        <v>136</v>
      </c>
      <c r="C46">
        <v>0</v>
      </c>
      <c r="E46">
        <v>0</v>
      </c>
      <c r="G46">
        <v>0</v>
      </c>
      <c r="I46">
        <v>0</v>
      </c>
      <c r="K46">
        <v>0</v>
      </c>
      <c r="M46">
        <v>0</v>
      </c>
      <c r="O46">
        <v>0</v>
      </c>
      <c r="Q46">
        <v>0</v>
      </c>
      <c r="S46">
        <v>0</v>
      </c>
      <c r="V46" t="s">
        <v>287</v>
      </c>
      <c r="W46" t="s">
        <v>283</v>
      </c>
      <c r="Y46" t="s">
        <v>202</v>
      </c>
      <c r="AA46" t="s">
        <v>219</v>
      </c>
      <c r="AB46" t="s">
        <v>220</v>
      </c>
      <c r="AC46" t="s">
        <v>219</v>
      </c>
      <c r="AD46" t="s">
        <v>220</v>
      </c>
      <c r="AE46" t="s">
        <v>219</v>
      </c>
      <c r="AF46" t="s">
        <v>220</v>
      </c>
      <c r="AG46" t="s">
        <v>219</v>
      </c>
      <c r="AH46" t="s">
        <v>220</v>
      </c>
      <c r="AI46" t="s">
        <v>219</v>
      </c>
      <c r="AJ46" t="s">
        <v>220</v>
      </c>
      <c r="AK46" t="s">
        <v>219</v>
      </c>
      <c r="AL46" t="s">
        <v>220</v>
      </c>
      <c r="AM46" t="s">
        <v>219</v>
      </c>
      <c r="AN46" t="s">
        <v>220</v>
      </c>
      <c r="AO46" t="s">
        <v>219</v>
      </c>
      <c r="AP46" t="s">
        <v>220</v>
      </c>
      <c r="AQ46" t="s">
        <v>219</v>
      </c>
      <c r="AR46" t="s">
        <v>220</v>
      </c>
      <c r="AS46" t="s">
        <v>219</v>
      </c>
      <c r="AT46" t="s">
        <v>221</v>
      </c>
      <c r="AU46" t="s">
        <v>222</v>
      </c>
    </row>
    <row r="47" spans="1:47">
      <c r="B47" t="s">
        <v>288</v>
      </c>
      <c r="C47">
        <v>0</v>
      </c>
      <c r="E47">
        <v>0</v>
      </c>
      <c r="G47">
        <v>0</v>
      </c>
      <c r="I47">
        <v>0</v>
      </c>
      <c r="K47">
        <v>0</v>
      </c>
      <c r="M47">
        <v>0</v>
      </c>
      <c r="O47">
        <v>0</v>
      </c>
      <c r="Q47">
        <v>0</v>
      </c>
      <c r="S47">
        <v>0</v>
      </c>
      <c r="V47" t="s">
        <v>68</v>
      </c>
      <c r="W47" t="s">
        <v>279</v>
      </c>
      <c r="Z47" t="s">
        <v>289</v>
      </c>
      <c r="AA47">
        <v>0</v>
      </c>
      <c r="AC47">
        <v>0</v>
      </c>
      <c r="AE47">
        <v>0</v>
      </c>
      <c r="AG47">
        <v>0</v>
      </c>
      <c r="AI47">
        <v>0</v>
      </c>
      <c r="AK47">
        <v>0</v>
      </c>
      <c r="AM47">
        <v>0</v>
      </c>
      <c r="AO47">
        <v>0</v>
      </c>
      <c r="AQ47">
        <v>0</v>
      </c>
    </row>
    <row r="48" spans="1:47">
      <c r="Z48" t="s">
        <v>290</v>
      </c>
      <c r="AA48">
        <v>0</v>
      </c>
      <c r="AC48">
        <v>0</v>
      </c>
      <c r="AE48">
        <v>0</v>
      </c>
      <c r="AG48">
        <v>0</v>
      </c>
      <c r="AI48">
        <v>0</v>
      </c>
      <c r="AK48">
        <v>0</v>
      </c>
      <c r="AM48">
        <v>0</v>
      </c>
      <c r="AO48">
        <v>0</v>
      </c>
      <c r="AQ48">
        <v>0</v>
      </c>
    </row>
    <row r="49" spans="1:47">
      <c r="Z49" t="s">
        <v>291</v>
      </c>
      <c r="AA49">
        <v>0</v>
      </c>
      <c r="AC49">
        <v>0</v>
      </c>
      <c r="AE49">
        <v>0</v>
      </c>
      <c r="AG49">
        <v>0</v>
      </c>
      <c r="AI49">
        <v>0</v>
      </c>
      <c r="AK49">
        <v>0</v>
      </c>
      <c r="AM49">
        <v>0</v>
      </c>
      <c r="AO49">
        <v>0</v>
      </c>
      <c r="AQ49">
        <v>0</v>
      </c>
    </row>
    <row r="50" spans="1:47">
      <c r="A50" t="s">
        <v>202</v>
      </c>
      <c r="B50" s="37" t="s">
        <v>292</v>
      </c>
      <c r="Z50" t="s">
        <v>293</v>
      </c>
      <c r="AA50">
        <v>0</v>
      </c>
      <c r="AC50">
        <v>0</v>
      </c>
      <c r="AE50">
        <v>0</v>
      </c>
      <c r="AG50">
        <v>0</v>
      </c>
      <c r="AI50">
        <v>0</v>
      </c>
      <c r="AK50">
        <v>0</v>
      </c>
      <c r="AM50">
        <v>0</v>
      </c>
      <c r="AO50">
        <v>0</v>
      </c>
      <c r="AQ50">
        <v>0</v>
      </c>
    </row>
    <row r="51" spans="1:47">
      <c r="A51" t="s">
        <v>202</v>
      </c>
      <c r="Z51" t="s">
        <v>294</v>
      </c>
      <c r="AA51">
        <v>0</v>
      </c>
      <c r="AC51">
        <v>0</v>
      </c>
      <c r="AE51">
        <v>0</v>
      </c>
      <c r="AG51">
        <v>0</v>
      </c>
      <c r="AI51">
        <v>0</v>
      </c>
      <c r="AK51">
        <v>0</v>
      </c>
      <c r="AM51">
        <v>0</v>
      </c>
      <c r="AO51">
        <v>0</v>
      </c>
      <c r="AQ51">
        <v>0</v>
      </c>
    </row>
    <row r="52" spans="1:47">
      <c r="B52" s="37" t="s">
        <v>205</v>
      </c>
      <c r="C52" s="37" t="s">
        <v>47</v>
      </c>
      <c r="D52" s="37"/>
      <c r="E52" s="37" t="s">
        <v>48</v>
      </c>
      <c r="F52" s="37"/>
      <c r="G52" s="37" t="s">
        <v>49</v>
      </c>
      <c r="H52" s="37"/>
      <c r="I52" s="37" t="s">
        <v>50</v>
      </c>
      <c r="J52" s="37"/>
      <c r="K52" s="37" t="s">
        <v>51</v>
      </c>
      <c r="L52" s="37"/>
      <c r="M52" s="37" t="s">
        <v>52</v>
      </c>
      <c r="N52" s="37"/>
      <c r="O52" s="37" t="s">
        <v>53</v>
      </c>
      <c r="P52" s="37"/>
      <c r="Q52" s="37" t="s">
        <v>54</v>
      </c>
      <c r="R52" s="37"/>
      <c r="S52" s="37" t="s">
        <v>55</v>
      </c>
      <c r="T52" s="37"/>
      <c r="U52" s="37" t="s">
        <v>206</v>
      </c>
      <c r="V52" s="37"/>
    </row>
    <row r="53" spans="1:47">
      <c r="A53" t="s">
        <v>202</v>
      </c>
      <c r="C53" t="s">
        <v>217</v>
      </c>
      <c r="E53" t="s">
        <v>208</v>
      </c>
      <c r="G53" t="s">
        <v>209</v>
      </c>
      <c r="I53" t="s">
        <v>210</v>
      </c>
      <c r="K53" t="s">
        <v>211</v>
      </c>
      <c r="M53" t="s">
        <v>212</v>
      </c>
      <c r="O53" t="s">
        <v>213</v>
      </c>
      <c r="Q53" t="s">
        <v>218</v>
      </c>
      <c r="S53" t="s">
        <v>214</v>
      </c>
      <c r="U53" t="s">
        <v>215</v>
      </c>
      <c r="V53" t="s">
        <v>216</v>
      </c>
      <c r="W53" t="s">
        <v>56</v>
      </c>
    </row>
    <row r="54" spans="1:47">
      <c r="A54" t="s">
        <v>202</v>
      </c>
      <c r="C54" t="s">
        <v>219</v>
      </c>
      <c r="D54" t="s">
        <v>220</v>
      </c>
      <c r="E54" t="s">
        <v>219</v>
      </c>
      <c r="F54" t="s">
        <v>220</v>
      </c>
      <c r="G54" t="s">
        <v>219</v>
      </c>
      <c r="H54" t="s">
        <v>220</v>
      </c>
      <c r="I54" t="s">
        <v>219</v>
      </c>
      <c r="J54" t="s">
        <v>220</v>
      </c>
      <c r="K54" t="s">
        <v>219</v>
      </c>
      <c r="L54" t="s">
        <v>220</v>
      </c>
      <c r="M54" t="s">
        <v>219</v>
      </c>
      <c r="N54" t="s">
        <v>220</v>
      </c>
      <c r="O54" t="s">
        <v>219</v>
      </c>
      <c r="P54" t="s">
        <v>220</v>
      </c>
      <c r="Q54" t="s">
        <v>219</v>
      </c>
      <c r="R54" t="s">
        <v>220</v>
      </c>
      <c r="S54" t="s">
        <v>219</v>
      </c>
      <c r="T54" t="s">
        <v>220</v>
      </c>
      <c r="U54" t="s">
        <v>219</v>
      </c>
      <c r="V54" t="s">
        <v>221</v>
      </c>
      <c r="W54" t="s">
        <v>222</v>
      </c>
      <c r="Y54" t="s">
        <v>202</v>
      </c>
      <c r="Z54" s="37" t="s">
        <v>295</v>
      </c>
    </row>
    <row r="55" spans="1:47">
      <c r="B55" t="s">
        <v>296</v>
      </c>
      <c r="C55">
        <v>0</v>
      </c>
      <c r="E55">
        <v>0</v>
      </c>
      <c r="G55">
        <v>0</v>
      </c>
      <c r="I55">
        <v>0</v>
      </c>
      <c r="K55">
        <v>0</v>
      </c>
      <c r="M55">
        <v>0</v>
      </c>
      <c r="O55">
        <v>0</v>
      </c>
      <c r="Q55">
        <v>0</v>
      </c>
      <c r="S55">
        <v>0</v>
      </c>
      <c r="Y55" t="s">
        <v>202</v>
      </c>
    </row>
    <row r="56" spans="1:47">
      <c r="B56" t="s">
        <v>297</v>
      </c>
      <c r="C56">
        <v>0</v>
      </c>
      <c r="E56">
        <v>0</v>
      </c>
      <c r="G56">
        <v>0</v>
      </c>
      <c r="I56">
        <v>0</v>
      </c>
      <c r="K56">
        <v>0</v>
      </c>
      <c r="M56">
        <v>0</v>
      </c>
      <c r="O56">
        <v>0</v>
      </c>
      <c r="Q56">
        <v>0</v>
      </c>
      <c r="S56">
        <v>0</v>
      </c>
      <c r="Z56" s="37" t="s">
        <v>205</v>
      </c>
      <c r="AA56" s="37" t="s">
        <v>47</v>
      </c>
      <c r="AB56" s="37"/>
      <c r="AC56" s="37" t="s">
        <v>48</v>
      </c>
      <c r="AD56" s="37"/>
      <c r="AE56" s="37" t="s">
        <v>49</v>
      </c>
      <c r="AF56" s="37"/>
      <c r="AG56" s="37" t="s">
        <v>50</v>
      </c>
      <c r="AH56" s="37"/>
      <c r="AI56" s="37" t="s">
        <v>51</v>
      </c>
      <c r="AJ56" s="37"/>
      <c r="AK56" s="37" t="s">
        <v>52</v>
      </c>
      <c r="AL56" s="37"/>
      <c r="AM56" s="37" t="s">
        <v>53</v>
      </c>
      <c r="AN56" s="37"/>
      <c r="AO56" s="37" t="s">
        <v>54</v>
      </c>
      <c r="AP56" s="37"/>
      <c r="AQ56" s="37" t="s">
        <v>55</v>
      </c>
      <c r="AR56" s="37"/>
      <c r="AS56" s="37" t="s">
        <v>206</v>
      </c>
    </row>
    <row r="57" spans="1:47">
      <c r="Y57" t="s">
        <v>202</v>
      </c>
      <c r="AA57" t="s">
        <v>217</v>
      </c>
      <c r="AC57" t="s">
        <v>208</v>
      </c>
      <c r="AE57" t="s">
        <v>209</v>
      </c>
      <c r="AG57" t="s">
        <v>210</v>
      </c>
      <c r="AI57" t="s">
        <v>211</v>
      </c>
      <c r="AK57" t="s">
        <v>212</v>
      </c>
      <c r="AM57" t="s">
        <v>213</v>
      </c>
      <c r="AO57" t="s">
        <v>218</v>
      </c>
      <c r="AQ57" t="s">
        <v>214</v>
      </c>
      <c r="AS57" t="s">
        <v>215</v>
      </c>
      <c r="AT57" t="s">
        <v>216</v>
      </c>
      <c r="AU57" t="s">
        <v>56</v>
      </c>
    </row>
    <row r="58" spans="1:47">
      <c r="Y58" t="s">
        <v>202</v>
      </c>
      <c r="AA58" t="s">
        <v>219</v>
      </c>
      <c r="AB58" t="s">
        <v>220</v>
      </c>
      <c r="AC58" t="s">
        <v>219</v>
      </c>
      <c r="AD58" t="s">
        <v>220</v>
      </c>
      <c r="AE58" t="s">
        <v>219</v>
      </c>
      <c r="AF58" t="s">
        <v>220</v>
      </c>
      <c r="AG58" t="s">
        <v>219</v>
      </c>
      <c r="AH58" t="s">
        <v>220</v>
      </c>
      <c r="AI58" t="s">
        <v>219</v>
      </c>
      <c r="AJ58" t="s">
        <v>220</v>
      </c>
      <c r="AK58" t="s">
        <v>219</v>
      </c>
      <c r="AL58" t="s">
        <v>220</v>
      </c>
      <c r="AM58" t="s">
        <v>219</v>
      </c>
      <c r="AN58" t="s">
        <v>220</v>
      </c>
      <c r="AO58" t="s">
        <v>219</v>
      </c>
      <c r="AP58" t="s">
        <v>220</v>
      </c>
      <c r="AQ58" t="s">
        <v>219</v>
      </c>
      <c r="AR58" t="s">
        <v>220</v>
      </c>
      <c r="AS58" t="s">
        <v>219</v>
      </c>
      <c r="AT58" t="s">
        <v>221</v>
      </c>
      <c r="AU58" t="s">
        <v>222</v>
      </c>
    </row>
    <row r="59" spans="1:47">
      <c r="A59" t="s">
        <v>202</v>
      </c>
      <c r="B59" s="37" t="s">
        <v>298</v>
      </c>
      <c r="Z59" t="s">
        <v>299</v>
      </c>
      <c r="AA59">
        <v>0</v>
      </c>
      <c r="AC59">
        <v>0</v>
      </c>
      <c r="AE59">
        <v>0</v>
      </c>
      <c r="AG59">
        <v>0</v>
      </c>
      <c r="AI59">
        <v>0</v>
      </c>
      <c r="AK59">
        <v>0</v>
      </c>
      <c r="AM59">
        <v>0</v>
      </c>
      <c r="AO59">
        <v>0</v>
      </c>
      <c r="AQ59">
        <v>0</v>
      </c>
    </row>
    <row r="60" spans="1:47">
      <c r="A60" t="s">
        <v>202</v>
      </c>
      <c r="Z60" t="s">
        <v>300</v>
      </c>
      <c r="AA60">
        <v>0</v>
      </c>
      <c r="AC60">
        <v>0</v>
      </c>
      <c r="AE60">
        <v>0</v>
      </c>
      <c r="AG60">
        <v>0</v>
      </c>
      <c r="AI60">
        <v>0</v>
      </c>
      <c r="AK60">
        <v>0</v>
      </c>
      <c r="AM60">
        <v>0</v>
      </c>
      <c r="AO60">
        <v>0</v>
      </c>
      <c r="AQ60">
        <v>0</v>
      </c>
    </row>
    <row r="61" spans="1:47">
      <c r="B61" s="37" t="s">
        <v>205</v>
      </c>
      <c r="C61" s="37" t="s">
        <v>47</v>
      </c>
      <c r="D61" s="37"/>
      <c r="E61" s="37" t="s">
        <v>48</v>
      </c>
      <c r="F61" s="37"/>
      <c r="G61" s="37" t="s">
        <v>49</v>
      </c>
      <c r="H61" s="37"/>
      <c r="I61" s="37" t="s">
        <v>50</v>
      </c>
      <c r="J61" s="37"/>
      <c r="K61" s="37" t="s">
        <v>51</v>
      </c>
      <c r="L61" s="37"/>
      <c r="M61" s="37" t="s">
        <v>52</v>
      </c>
      <c r="N61" s="37"/>
      <c r="O61" s="37" t="s">
        <v>53</v>
      </c>
      <c r="P61" s="37"/>
      <c r="Q61" s="37" t="s">
        <v>54</v>
      </c>
      <c r="R61" s="37"/>
      <c r="S61" s="37" t="s">
        <v>55</v>
      </c>
      <c r="T61" s="37"/>
      <c r="U61" s="37" t="s">
        <v>206</v>
      </c>
      <c r="V61" s="37"/>
      <c r="Z61" t="s">
        <v>301</v>
      </c>
      <c r="AA61">
        <v>0</v>
      </c>
      <c r="AC61">
        <v>0</v>
      </c>
      <c r="AE61">
        <v>0</v>
      </c>
      <c r="AG61">
        <v>0</v>
      </c>
      <c r="AI61">
        <v>0</v>
      </c>
      <c r="AK61">
        <v>0</v>
      </c>
      <c r="AM61">
        <v>0</v>
      </c>
      <c r="AO61">
        <v>0</v>
      </c>
      <c r="AQ61">
        <v>0</v>
      </c>
    </row>
    <row r="62" spans="1:47">
      <c r="A62" t="s">
        <v>202</v>
      </c>
      <c r="C62" t="s">
        <v>217</v>
      </c>
      <c r="E62" t="s">
        <v>208</v>
      </c>
      <c r="G62" t="s">
        <v>209</v>
      </c>
      <c r="I62" t="s">
        <v>210</v>
      </c>
      <c r="K62" t="s">
        <v>211</v>
      </c>
      <c r="M62" t="s">
        <v>212</v>
      </c>
      <c r="O62" t="s">
        <v>213</v>
      </c>
      <c r="Q62" t="s">
        <v>218</v>
      </c>
      <c r="S62" t="s">
        <v>214</v>
      </c>
      <c r="U62" t="s">
        <v>215</v>
      </c>
      <c r="V62" t="s">
        <v>216</v>
      </c>
      <c r="W62" t="s">
        <v>56</v>
      </c>
    </row>
    <row r="63" spans="1:47">
      <c r="A63" t="s">
        <v>202</v>
      </c>
      <c r="C63" t="s">
        <v>219</v>
      </c>
      <c r="D63" t="s">
        <v>220</v>
      </c>
      <c r="E63" t="s">
        <v>219</v>
      </c>
      <c r="F63" t="s">
        <v>220</v>
      </c>
      <c r="G63" t="s">
        <v>219</v>
      </c>
      <c r="H63" t="s">
        <v>220</v>
      </c>
      <c r="I63" t="s">
        <v>219</v>
      </c>
      <c r="J63" t="s">
        <v>220</v>
      </c>
      <c r="K63" t="s">
        <v>219</v>
      </c>
      <c r="L63" t="s">
        <v>220</v>
      </c>
      <c r="M63" t="s">
        <v>219</v>
      </c>
      <c r="N63" t="s">
        <v>220</v>
      </c>
      <c r="O63" t="s">
        <v>219</v>
      </c>
      <c r="P63" t="s">
        <v>220</v>
      </c>
      <c r="Q63" t="s">
        <v>219</v>
      </c>
      <c r="R63" t="s">
        <v>220</v>
      </c>
      <c r="S63" t="s">
        <v>219</v>
      </c>
      <c r="T63" t="s">
        <v>220</v>
      </c>
      <c r="U63" t="s">
        <v>219</v>
      </c>
      <c r="V63" t="s">
        <v>221</v>
      </c>
      <c r="W63" t="s">
        <v>222</v>
      </c>
    </row>
    <row r="64" spans="1:47">
      <c r="B64" t="s">
        <v>97</v>
      </c>
      <c r="C64">
        <v>0</v>
      </c>
      <c r="E64">
        <v>0</v>
      </c>
      <c r="G64">
        <v>0</v>
      </c>
      <c r="I64">
        <v>0</v>
      </c>
      <c r="K64">
        <v>0</v>
      </c>
      <c r="M64">
        <v>0</v>
      </c>
      <c r="O64">
        <v>0</v>
      </c>
      <c r="Q64">
        <v>0</v>
      </c>
      <c r="S64">
        <v>0</v>
      </c>
      <c r="Y64" t="s">
        <v>202</v>
      </c>
      <c r="Z64" s="37" t="s">
        <v>302</v>
      </c>
    </row>
    <row r="65" spans="1:47">
      <c r="B65" t="s">
        <v>303</v>
      </c>
      <c r="C65">
        <v>0</v>
      </c>
      <c r="E65">
        <v>0</v>
      </c>
      <c r="G65">
        <v>0</v>
      </c>
      <c r="I65">
        <v>0</v>
      </c>
      <c r="K65">
        <v>0</v>
      </c>
      <c r="M65">
        <v>0</v>
      </c>
      <c r="O65">
        <v>0</v>
      </c>
      <c r="Q65">
        <v>0</v>
      </c>
      <c r="S65">
        <v>0</v>
      </c>
      <c r="Y65" t="s">
        <v>202</v>
      </c>
    </row>
    <row r="66" spans="1:47">
      <c r="Z66" s="37" t="s">
        <v>205</v>
      </c>
      <c r="AA66" s="37" t="s">
        <v>47</v>
      </c>
      <c r="AB66" s="37"/>
      <c r="AC66" s="37" t="s">
        <v>48</v>
      </c>
      <c r="AD66" s="37"/>
      <c r="AE66" s="37" t="s">
        <v>49</v>
      </c>
      <c r="AF66" s="37"/>
      <c r="AG66" s="37" t="s">
        <v>50</v>
      </c>
      <c r="AH66" s="37"/>
      <c r="AI66" s="37" t="s">
        <v>51</v>
      </c>
      <c r="AJ66" s="37"/>
      <c r="AK66" s="37" t="s">
        <v>52</v>
      </c>
      <c r="AL66" s="37"/>
      <c r="AM66" s="37" t="s">
        <v>53</v>
      </c>
      <c r="AN66" s="37"/>
      <c r="AO66" s="37" t="s">
        <v>54</v>
      </c>
      <c r="AP66" s="37"/>
      <c r="AQ66" s="37" t="s">
        <v>55</v>
      </c>
      <c r="AR66" s="37"/>
      <c r="AS66" s="37" t="s">
        <v>206</v>
      </c>
    </row>
    <row r="67" spans="1:47">
      <c r="Y67" t="s">
        <v>202</v>
      </c>
      <c r="AA67" t="s">
        <v>217</v>
      </c>
      <c r="AC67" t="s">
        <v>208</v>
      </c>
      <c r="AE67" t="s">
        <v>209</v>
      </c>
      <c r="AG67" t="s">
        <v>210</v>
      </c>
      <c r="AI67" t="s">
        <v>211</v>
      </c>
      <c r="AK67" t="s">
        <v>212</v>
      </c>
      <c r="AM67" t="s">
        <v>213</v>
      </c>
      <c r="AO67" t="s">
        <v>218</v>
      </c>
      <c r="AQ67" t="s">
        <v>214</v>
      </c>
      <c r="AS67" t="s">
        <v>215</v>
      </c>
      <c r="AT67" t="s">
        <v>216</v>
      </c>
      <c r="AU67" t="s">
        <v>56</v>
      </c>
    </row>
    <row r="68" spans="1:47">
      <c r="A68" t="s">
        <v>202</v>
      </c>
      <c r="B68" s="37" t="s">
        <v>304</v>
      </c>
      <c r="Y68" t="s">
        <v>202</v>
      </c>
      <c r="AA68" t="s">
        <v>219</v>
      </c>
      <c r="AB68" t="s">
        <v>220</v>
      </c>
      <c r="AC68" t="s">
        <v>219</v>
      </c>
      <c r="AD68" t="s">
        <v>220</v>
      </c>
      <c r="AE68" t="s">
        <v>219</v>
      </c>
      <c r="AF68" t="s">
        <v>220</v>
      </c>
      <c r="AG68" t="s">
        <v>219</v>
      </c>
      <c r="AH68" t="s">
        <v>220</v>
      </c>
      <c r="AI68" t="s">
        <v>219</v>
      </c>
      <c r="AJ68" t="s">
        <v>220</v>
      </c>
      <c r="AK68" t="s">
        <v>219</v>
      </c>
      <c r="AL68" t="s">
        <v>220</v>
      </c>
      <c r="AM68" t="s">
        <v>219</v>
      </c>
      <c r="AN68" t="s">
        <v>220</v>
      </c>
      <c r="AO68" t="s">
        <v>219</v>
      </c>
      <c r="AP68" t="s">
        <v>220</v>
      </c>
      <c r="AQ68" t="s">
        <v>219</v>
      </c>
      <c r="AR68" t="s">
        <v>220</v>
      </c>
      <c r="AS68" t="s">
        <v>219</v>
      </c>
      <c r="AT68" t="s">
        <v>221</v>
      </c>
      <c r="AU68" t="s">
        <v>222</v>
      </c>
    </row>
    <row r="69" spans="1:47">
      <c r="A69" t="s">
        <v>202</v>
      </c>
      <c r="Z69" t="s">
        <v>305</v>
      </c>
      <c r="AA69">
        <v>0</v>
      </c>
      <c r="AC69">
        <v>0</v>
      </c>
      <c r="AE69">
        <v>0</v>
      </c>
      <c r="AG69">
        <v>0</v>
      </c>
      <c r="AI69">
        <v>0</v>
      </c>
      <c r="AK69">
        <v>0</v>
      </c>
      <c r="AM69">
        <v>0</v>
      </c>
      <c r="AO69">
        <v>0</v>
      </c>
      <c r="AQ69">
        <v>0</v>
      </c>
    </row>
    <row r="70" spans="1:47">
      <c r="B70" s="37" t="s">
        <v>205</v>
      </c>
      <c r="C70" s="37" t="s">
        <v>47</v>
      </c>
      <c r="D70" s="37"/>
      <c r="E70" s="37" t="s">
        <v>48</v>
      </c>
      <c r="F70" s="37"/>
      <c r="G70" s="37" t="s">
        <v>49</v>
      </c>
      <c r="H70" s="37"/>
      <c r="I70" s="37" t="s">
        <v>50</v>
      </c>
      <c r="J70" s="37"/>
      <c r="K70" s="37" t="s">
        <v>51</v>
      </c>
      <c r="L70" s="37"/>
      <c r="M70" s="37" t="s">
        <v>52</v>
      </c>
      <c r="N70" s="37"/>
      <c r="O70" s="37" t="s">
        <v>53</v>
      </c>
      <c r="P70" s="37"/>
      <c r="Q70" s="37" t="s">
        <v>54</v>
      </c>
      <c r="R70" s="37"/>
      <c r="S70" s="37" t="s">
        <v>55</v>
      </c>
      <c r="T70" s="37"/>
      <c r="U70" s="37" t="s">
        <v>206</v>
      </c>
      <c r="V70" s="37"/>
      <c r="Z70" t="s">
        <v>306</v>
      </c>
      <c r="AA70">
        <v>0</v>
      </c>
      <c r="AC70">
        <v>0</v>
      </c>
      <c r="AE70">
        <v>0</v>
      </c>
      <c r="AG70">
        <v>0</v>
      </c>
      <c r="AI70">
        <v>0</v>
      </c>
      <c r="AK70">
        <v>0</v>
      </c>
      <c r="AM70">
        <v>0</v>
      </c>
      <c r="AO70">
        <v>0</v>
      </c>
      <c r="AQ70">
        <v>0</v>
      </c>
    </row>
    <row r="71" spans="1:47">
      <c r="A71" t="s">
        <v>202</v>
      </c>
      <c r="C71" t="s">
        <v>217</v>
      </c>
      <c r="E71" t="s">
        <v>208</v>
      </c>
      <c r="G71" t="s">
        <v>209</v>
      </c>
      <c r="I71" t="s">
        <v>210</v>
      </c>
      <c r="K71" t="s">
        <v>211</v>
      </c>
      <c r="M71" t="s">
        <v>212</v>
      </c>
      <c r="O71" t="s">
        <v>213</v>
      </c>
      <c r="Q71" t="s">
        <v>218</v>
      </c>
      <c r="S71" t="s">
        <v>214</v>
      </c>
      <c r="U71" t="s">
        <v>215</v>
      </c>
      <c r="V71" t="s">
        <v>216</v>
      </c>
      <c r="W71" t="s">
        <v>56</v>
      </c>
      <c r="Z71" t="s">
        <v>195</v>
      </c>
      <c r="AA71">
        <v>0</v>
      </c>
      <c r="AC71">
        <v>0</v>
      </c>
      <c r="AE71">
        <v>0</v>
      </c>
      <c r="AG71">
        <v>0</v>
      </c>
      <c r="AI71">
        <v>0</v>
      </c>
      <c r="AK71">
        <v>0</v>
      </c>
      <c r="AM71">
        <v>0</v>
      </c>
      <c r="AO71">
        <v>0</v>
      </c>
      <c r="AQ71">
        <v>0</v>
      </c>
    </row>
    <row r="72" spans="1:47">
      <c r="A72" t="s">
        <v>202</v>
      </c>
      <c r="C72" t="s">
        <v>219</v>
      </c>
      <c r="D72" t="s">
        <v>220</v>
      </c>
      <c r="E72" t="s">
        <v>219</v>
      </c>
      <c r="F72" t="s">
        <v>220</v>
      </c>
      <c r="G72" t="s">
        <v>219</v>
      </c>
      <c r="H72" t="s">
        <v>220</v>
      </c>
      <c r="I72" t="s">
        <v>219</v>
      </c>
      <c r="J72" t="s">
        <v>220</v>
      </c>
      <c r="K72" t="s">
        <v>219</v>
      </c>
      <c r="L72" t="s">
        <v>220</v>
      </c>
      <c r="M72" t="s">
        <v>219</v>
      </c>
      <c r="N72" t="s">
        <v>220</v>
      </c>
      <c r="O72" t="s">
        <v>219</v>
      </c>
      <c r="P72" t="s">
        <v>220</v>
      </c>
      <c r="Q72" t="s">
        <v>219</v>
      </c>
      <c r="R72" t="s">
        <v>220</v>
      </c>
      <c r="S72" t="s">
        <v>219</v>
      </c>
      <c r="T72" t="s">
        <v>220</v>
      </c>
      <c r="U72" t="s">
        <v>219</v>
      </c>
      <c r="V72" t="s">
        <v>221</v>
      </c>
      <c r="W72" t="s">
        <v>222</v>
      </c>
    </row>
    <row r="73" spans="1:47">
      <c r="B73" t="s">
        <v>307</v>
      </c>
      <c r="C73">
        <v>0</v>
      </c>
      <c r="E73">
        <v>0</v>
      </c>
      <c r="G73">
        <v>0</v>
      </c>
      <c r="I73">
        <v>0</v>
      </c>
      <c r="K73">
        <v>0</v>
      </c>
      <c r="M73">
        <v>0</v>
      </c>
      <c r="O73">
        <v>0</v>
      </c>
      <c r="Q73">
        <v>0</v>
      </c>
      <c r="S73">
        <v>0</v>
      </c>
    </row>
    <row r="74" spans="1:47">
      <c r="B74" t="s">
        <v>308</v>
      </c>
      <c r="C74">
        <v>0</v>
      </c>
      <c r="E74">
        <v>0</v>
      </c>
      <c r="G74">
        <v>0</v>
      </c>
      <c r="I74">
        <v>0</v>
      </c>
      <c r="K74">
        <v>0</v>
      </c>
      <c r="M74">
        <v>0</v>
      </c>
      <c r="O74">
        <v>0</v>
      </c>
      <c r="Q74">
        <v>0</v>
      </c>
      <c r="S74">
        <v>0</v>
      </c>
      <c r="Y74" t="s">
        <v>202</v>
      </c>
      <c r="Z74" s="37" t="s">
        <v>309</v>
      </c>
    </row>
    <row r="75" spans="1:47">
      <c r="B75" t="s">
        <v>310</v>
      </c>
      <c r="C75">
        <v>0</v>
      </c>
      <c r="E75">
        <v>0</v>
      </c>
      <c r="G75">
        <v>0</v>
      </c>
      <c r="I75">
        <v>0</v>
      </c>
      <c r="K75">
        <v>0</v>
      </c>
      <c r="M75">
        <v>0</v>
      </c>
      <c r="O75">
        <v>0</v>
      </c>
      <c r="Q75">
        <v>0</v>
      </c>
      <c r="S75">
        <v>0</v>
      </c>
      <c r="Y75" t="s">
        <v>202</v>
      </c>
    </row>
    <row r="76" spans="1:47">
      <c r="B76" t="s">
        <v>311</v>
      </c>
      <c r="C76">
        <v>0</v>
      </c>
      <c r="E76">
        <v>0</v>
      </c>
      <c r="G76">
        <v>0</v>
      </c>
      <c r="I76">
        <v>0</v>
      </c>
      <c r="K76">
        <v>0</v>
      </c>
      <c r="M76">
        <v>0</v>
      </c>
      <c r="O76">
        <v>0</v>
      </c>
      <c r="Q76">
        <v>0</v>
      </c>
      <c r="S76">
        <v>0</v>
      </c>
      <c r="Z76" s="37" t="s">
        <v>205</v>
      </c>
      <c r="AA76" s="37" t="s">
        <v>47</v>
      </c>
      <c r="AB76" s="37"/>
      <c r="AC76" s="37" t="s">
        <v>48</v>
      </c>
      <c r="AD76" s="37"/>
      <c r="AE76" s="37" t="s">
        <v>49</v>
      </c>
      <c r="AF76" s="37"/>
      <c r="AG76" s="37" t="s">
        <v>50</v>
      </c>
      <c r="AH76" s="37"/>
      <c r="AI76" s="37" t="s">
        <v>51</v>
      </c>
      <c r="AJ76" s="37"/>
      <c r="AK76" s="37" t="s">
        <v>52</v>
      </c>
      <c r="AL76" s="37"/>
      <c r="AM76" s="37" t="s">
        <v>53</v>
      </c>
      <c r="AN76" s="37"/>
      <c r="AO76" s="37" t="s">
        <v>54</v>
      </c>
      <c r="AP76" s="37"/>
      <c r="AQ76" s="37" t="s">
        <v>55</v>
      </c>
      <c r="AR76" s="37"/>
      <c r="AS76" s="37" t="s">
        <v>206</v>
      </c>
    </row>
    <row r="77" spans="1:47">
      <c r="Y77" t="s">
        <v>202</v>
      </c>
      <c r="AA77" t="s">
        <v>217</v>
      </c>
      <c r="AC77" t="s">
        <v>208</v>
      </c>
      <c r="AE77" t="s">
        <v>209</v>
      </c>
      <c r="AG77" t="s">
        <v>210</v>
      </c>
      <c r="AI77" t="s">
        <v>211</v>
      </c>
      <c r="AK77" t="s">
        <v>212</v>
      </c>
      <c r="AM77" t="s">
        <v>213</v>
      </c>
      <c r="AO77" t="s">
        <v>218</v>
      </c>
      <c r="AQ77" t="s">
        <v>214</v>
      </c>
      <c r="AS77" t="s">
        <v>215</v>
      </c>
      <c r="AT77" t="s">
        <v>216</v>
      </c>
      <c r="AU77" t="s">
        <v>56</v>
      </c>
    </row>
    <row r="78" spans="1:47">
      <c r="Y78" t="s">
        <v>202</v>
      </c>
      <c r="AA78" t="s">
        <v>219</v>
      </c>
      <c r="AB78" t="s">
        <v>220</v>
      </c>
      <c r="AC78" t="s">
        <v>219</v>
      </c>
      <c r="AD78" t="s">
        <v>220</v>
      </c>
      <c r="AE78" t="s">
        <v>219</v>
      </c>
      <c r="AF78" t="s">
        <v>220</v>
      </c>
      <c r="AG78" t="s">
        <v>219</v>
      </c>
      <c r="AH78" t="s">
        <v>220</v>
      </c>
      <c r="AI78" t="s">
        <v>219</v>
      </c>
      <c r="AJ78" t="s">
        <v>220</v>
      </c>
      <c r="AK78" t="s">
        <v>219</v>
      </c>
      <c r="AL78" t="s">
        <v>220</v>
      </c>
      <c r="AM78" t="s">
        <v>219</v>
      </c>
      <c r="AN78" t="s">
        <v>220</v>
      </c>
      <c r="AO78" t="s">
        <v>219</v>
      </c>
      <c r="AP78" t="s">
        <v>220</v>
      </c>
      <c r="AQ78" t="s">
        <v>219</v>
      </c>
      <c r="AR78" t="s">
        <v>220</v>
      </c>
      <c r="AS78" t="s">
        <v>219</v>
      </c>
      <c r="AT78" t="s">
        <v>221</v>
      </c>
      <c r="AU78" t="s">
        <v>222</v>
      </c>
    </row>
    <row r="79" spans="1:47">
      <c r="A79" t="s">
        <v>202</v>
      </c>
      <c r="B79" s="37" t="s">
        <v>312</v>
      </c>
      <c r="Z79" t="s">
        <v>313</v>
      </c>
      <c r="AA79">
        <v>0</v>
      </c>
      <c r="AC79">
        <v>0</v>
      </c>
      <c r="AE79">
        <v>0</v>
      </c>
      <c r="AG79">
        <v>0</v>
      </c>
      <c r="AI79">
        <v>0</v>
      </c>
      <c r="AK79">
        <v>0</v>
      </c>
      <c r="AM79">
        <v>0</v>
      </c>
      <c r="AO79">
        <v>0</v>
      </c>
      <c r="AQ79">
        <v>0</v>
      </c>
    </row>
    <row r="80" spans="1:47">
      <c r="A80" t="s">
        <v>202</v>
      </c>
      <c r="Z80" t="s">
        <v>314</v>
      </c>
      <c r="AA80">
        <v>0</v>
      </c>
      <c r="AC80">
        <v>0</v>
      </c>
      <c r="AE80">
        <v>0</v>
      </c>
      <c r="AG80">
        <v>0</v>
      </c>
      <c r="AI80">
        <v>0</v>
      </c>
      <c r="AK80">
        <v>0</v>
      </c>
      <c r="AM80">
        <v>0</v>
      </c>
      <c r="AO80">
        <v>0</v>
      </c>
      <c r="AQ80">
        <v>0</v>
      </c>
    </row>
    <row r="81" spans="1:47">
      <c r="B81" s="37" t="s">
        <v>205</v>
      </c>
      <c r="C81" s="37" t="s">
        <v>47</v>
      </c>
      <c r="D81" s="37"/>
      <c r="E81" s="37" t="s">
        <v>48</v>
      </c>
      <c r="F81" s="37"/>
      <c r="G81" s="37" t="s">
        <v>49</v>
      </c>
      <c r="H81" s="37"/>
      <c r="I81" s="37" t="s">
        <v>50</v>
      </c>
      <c r="J81" s="37"/>
      <c r="K81" s="37" t="s">
        <v>51</v>
      </c>
      <c r="L81" s="37"/>
      <c r="M81" s="37" t="s">
        <v>52</v>
      </c>
      <c r="N81" s="37"/>
      <c r="O81" s="37" t="s">
        <v>53</v>
      </c>
      <c r="P81" s="37"/>
      <c r="Q81" s="37" t="s">
        <v>54</v>
      </c>
      <c r="R81" s="37"/>
      <c r="S81" s="37" t="s">
        <v>55</v>
      </c>
      <c r="T81" s="37"/>
      <c r="U81" s="37" t="s">
        <v>206</v>
      </c>
      <c r="V81" s="37"/>
      <c r="Z81" t="s">
        <v>315</v>
      </c>
      <c r="AA81">
        <v>0</v>
      </c>
      <c r="AC81">
        <v>0</v>
      </c>
      <c r="AE81">
        <v>0</v>
      </c>
      <c r="AG81">
        <v>0</v>
      </c>
      <c r="AI81">
        <v>0</v>
      </c>
      <c r="AK81">
        <v>0</v>
      </c>
      <c r="AM81">
        <v>0</v>
      </c>
      <c r="AO81">
        <v>0</v>
      </c>
      <c r="AQ81">
        <v>0</v>
      </c>
    </row>
    <row r="82" spans="1:47">
      <c r="A82" t="s">
        <v>202</v>
      </c>
      <c r="C82" t="s">
        <v>217</v>
      </c>
      <c r="E82" t="s">
        <v>208</v>
      </c>
      <c r="G82" t="s">
        <v>209</v>
      </c>
      <c r="I82" t="s">
        <v>210</v>
      </c>
      <c r="K82" t="s">
        <v>211</v>
      </c>
      <c r="M82" t="s">
        <v>212</v>
      </c>
      <c r="O82" t="s">
        <v>213</v>
      </c>
      <c r="Q82" t="s">
        <v>218</v>
      </c>
      <c r="S82" t="s">
        <v>214</v>
      </c>
      <c r="U82" t="s">
        <v>215</v>
      </c>
      <c r="V82" t="s">
        <v>216</v>
      </c>
      <c r="W82" t="s">
        <v>56</v>
      </c>
      <c r="Z82" t="s">
        <v>316</v>
      </c>
      <c r="AA82">
        <v>0</v>
      </c>
      <c r="AC82">
        <v>0</v>
      </c>
      <c r="AE82">
        <v>0</v>
      </c>
      <c r="AG82">
        <v>0</v>
      </c>
      <c r="AI82">
        <v>0</v>
      </c>
      <c r="AK82">
        <v>0</v>
      </c>
      <c r="AM82">
        <v>0</v>
      </c>
      <c r="AO82">
        <v>0</v>
      </c>
      <c r="AQ82">
        <v>0</v>
      </c>
    </row>
    <row r="83" spans="1:47">
      <c r="A83" t="s">
        <v>202</v>
      </c>
      <c r="C83" t="s">
        <v>219</v>
      </c>
      <c r="D83" t="s">
        <v>220</v>
      </c>
      <c r="E83" t="s">
        <v>219</v>
      </c>
      <c r="F83" t="s">
        <v>220</v>
      </c>
      <c r="G83" t="s">
        <v>219</v>
      </c>
      <c r="H83" t="s">
        <v>220</v>
      </c>
      <c r="I83" t="s">
        <v>219</v>
      </c>
      <c r="J83" t="s">
        <v>220</v>
      </c>
      <c r="K83" t="s">
        <v>219</v>
      </c>
      <c r="L83" t="s">
        <v>220</v>
      </c>
      <c r="M83" t="s">
        <v>219</v>
      </c>
      <c r="N83" t="s">
        <v>220</v>
      </c>
      <c r="O83" t="s">
        <v>219</v>
      </c>
      <c r="P83" t="s">
        <v>220</v>
      </c>
      <c r="Q83" t="s">
        <v>219</v>
      </c>
      <c r="R83" t="s">
        <v>220</v>
      </c>
      <c r="S83" t="s">
        <v>219</v>
      </c>
      <c r="T83" t="s">
        <v>220</v>
      </c>
      <c r="U83" t="s">
        <v>219</v>
      </c>
      <c r="V83" t="s">
        <v>221</v>
      </c>
      <c r="W83" t="s">
        <v>222</v>
      </c>
    </row>
    <row r="84" spans="1:47">
      <c r="B84" t="s">
        <v>317</v>
      </c>
      <c r="C84">
        <v>0</v>
      </c>
      <c r="E84">
        <v>0</v>
      </c>
      <c r="G84">
        <v>0</v>
      </c>
      <c r="I84">
        <v>0</v>
      </c>
      <c r="K84">
        <v>0</v>
      </c>
      <c r="M84">
        <v>0</v>
      </c>
      <c r="O84">
        <v>0</v>
      </c>
      <c r="Q84">
        <v>0</v>
      </c>
      <c r="S84">
        <v>0</v>
      </c>
    </row>
    <row r="85" spans="1:47">
      <c r="B85" t="s">
        <v>318</v>
      </c>
      <c r="C85">
        <v>0</v>
      </c>
      <c r="E85">
        <v>0</v>
      </c>
      <c r="G85">
        <v>0</v>
      </c>
      <c r="I85">
        <v>0</v>
      </c>
      <c r="K85">
        <v>0</v>
      </c>
      <c r="M85">
        <v>0</v>
      </c>
      <c r="O85">
        <v>0</v>
      </c>
      <c r="Q85">
        <v>0</v>
      </c>
      <c r="S85">
        <v>0</v>
      </c>
      <c r="Y85" t="s">
        <v>202</v>
      </c>
      <c r="Z85" s="37" t="s">
        <v>319</v>
      </c>
    </row>
    <row r="86" spans="1:47">
      <c r="B86" t="s">
        <v>320</v>
      </c>
      <c r="C86">
        <v>0</v>
      </c>
      <c r="E86">
        <v>0</v>
      </c>
      <c r="G86">
        <v>0</v>
      </c>
      <c r="I86">
        <v>0</v>
      </c>
      <c r="K86">
        <v>0</v>
      </c>
      <c r="M86">
        <v>0</v>
      </c>
      <c r="O86">
        <v>0</v>
      </c>
      <c r="Q86">
        <v>0</v>
      </c>
      <c r="S86">
        <v>0</v>
      </c>
      <c r="Y86" t="s">
        <v>202</v>
      </c>
    </row>
    <row r="87" spans="1:47">
      <c r="Z87" s="37" t="s">
        <v>205</v>
      </c>
      <c r="AA87" s="37" t="s">
        <v>47</v>
      </c>
      <c r="AB87" s="37"/>
      <c r="AC87" s="37" t="s">
        <v>48</v>
      </c>
      <c r="AD87" s="37"/>
      <c r="AE87" s="37" t="s">
        <v>49</v>
      </c>
      <c r="AF87" s="37"/>
      <c r="AG87" s="37" t="s">
        <v>50</v>
      </c>
      <c r="AH87" s="37"/>
      <c r="AI87" s="37" t="s">
        <v>51</v>
      </c>
      <c r="AJ87" s="37"/>
      <c r="AK87" s="37" t="s">
        <v>52</v>
      </c>
      <c r="AL87" s="37"/>
      <c r="AM87" s="37" t="s">
        <v>53</v>
      </c>
      <c r="AN87" s="37"/>
      <c r="AO87" s="37" t="s">
        <v>54</v>
      </c>
      <c r="AP87" s="37"/>
      <c r="AQ87" s="37" t="s">
        <v>55</v>
      </c>
      <c r="AR87" s="37"/>
      <c r="AS87" s="37" t="s">
        <v>206</v>
      </c>
    </row>
    <row r="88" spans="1:47">
      <c r="Y88" t="s">
        <v>202</v>
      </c>
      <c r="AA88" t="s">
        <v>217</v>
      </c>
      <c r="AC88" t="s">
        <v>208</v>
      </c>
      <c r="AE88" t="s">
        <v>209</v>
      </c>
      <c r="AG88" t="s">
        <v>210</v>
      </c>
      <c r="AI88" t="s">
        <v>211</v>
      </c>
      <c r="AK88" t="s">
        <v>212</v>
      </c>
      <c r="AM88" t="s">
        <v>213</v>
      </c>
      <c r="AO88" t="s">
        <v>218</v>
      </c>
      <c r="AQ88" t="s">
        <v>214</v>
      </c>
      <c r="AS88" t="s">
        <v>215</v>
      </c>
      <c r="AT88" t="s">
        <v>216</v>
      </c>
      <c r="AU88" t="s">
        <v>56</v>
      </c>
    </row>
    <row r="89" spans="1:47">
      <c r="A89" t="s">
        <v>202</v>
      </c>
      <c r="B89" s="37" t="s">
        <v>321</v>
      </c>
      <c r="Y89" t="s">
        <v>202</v>
      </c>
      <c r="AA89" t="s">
        <v>219</v>
      </c>
      <c r="AB89" t="s">
        <v>220</v>
      </c>
      <c r="AC89" t="s">
        <v>219</v>
      </c>
      <c r="AD89" t="s">
        <v>220</v>
      </c>
      <c r="AE89" t="s">
        <v>219</v>
      </c>
      <c r="AF89" t="s">
        <v>220</v>
      </c>
      <c r="AG89" t="s">
        <v>219</v>
      </c>
      <c r="AH89" t="s">
        <v>220</v>
      </c>
      <c r="AI89" t="s">
        <v>219</v>
      </c>
      <c r="AJ89" t="s">
        <v>220</v>
      </c>
      <c r="AK89" t="s">
        <v>219</v>
      </c>
      <c r="AL89" t="s">
        <v>220</v>
      </c>
      <c r="AM89" t="s">
        <v>219</v>
      </c>
      <c r="AN89" t="s">
        <v>220</v>
      </c>
      <c r="AO89" t="s">
        <v>219</v>
      </c>
      <c r="AP89" t="s">
        <v>220</v>
      </c>
      <c r="AQ89" t="s">
        <v>219</v>
      </c>
      <c r="AR89" t="s">
        <v>220</v>
      </c>
      <c r="AS89" t="s">
        <v>219</v>
      </c>
      <c r="AT89" t="s">
        <v>221</v>
      </c>
      <c r="AU89" t="s">
        <v>222</v>
      </c>
    </row>
    <row r="90" spans="1:47">
      <c r="A90" t="s">
        <v>202</v>
      </c>
      <c r="Z90" t="s">
        <v>322</v>
      </c>
      <c r="AA90">
        <v>0</v>
      </c>
      <c r="AC90">
        <v>0</v>
      </c>
      <c r="AE90">
        <v>0</v>
      </c>
      <c r="AG90">
        <v>0</v>
      </c>
      <c r="AI90">
        <v>0</v>
      </c>
      <c r="AK90">
        <v>0</v>
      </c>
      <c r="AM90">
        <v>0</v>
      </c>
      <c r="AO90">
        <v>0</v>
      </c>
      <c r="AQ90">
        <v>0</v>
      </c>
    </row>
    <row r="91" spans="1:47">
      <c r="B91" s="37" t="s">
        <v>205</v>
      </c>
      <c r="C91" s="37" t="s">
        <v>47</v>
      </c>
      <c r="D91" s="37"/>
      <c r="E91" s="37" t="s">
        <v>48</v>
      </c>
      <c r="F91" s="37"/>
      <c r="G91" s="37" t="s">
        <v>49</v>
      </c>
      <c r="H91" s="37"/>
      <c r="I91" s="37" t="s">
        <v>50</v>
      </c>
      <c r="J91" s="37"/>
      <c r="K91" s="37" t="s">
        <v>51</v>
      </c>
      <c r="L91" s="37"/>
      <c r="M91" s="37" t="s">
        <v>52</v>
      </c>
      <c r="N91" s="37"/>
      <c r="O91" s="37" t="s">
        <v>53</v>
      </c>
      <c r="P91" s="37"/>
      <c r="Q91" s="37" t="s">
        <v>54</v>
      </c>
      <c r="R91" s="37"/>
      <c r="S91" s="37" t="s">
        <v>55</v>
      </c>
      <c r="T91" s="37"/>
      <c r="U91" s="37" t="s">
        <v>206</v>
      </c>
      <c r="V91" s="37"/>
      <c r="Z91" t="s">
        <v>323</v>
      </c>
      <c r="AA91">
        <v>0</v>
      </c>
      <c r="AC91">
        <v>0</v>
      </c>
      <c r="AE91">
        <v>0</v>
      </c>
      <c r="AG91">
        <v>0</v>
      </c>
      <c r="AI91">
        <v>0</v>
      </c>
      <c r="AK91">
        <v>0</v>
      </c>
      <c r="AM91">
        <v>0</v>
      </c>
      <c r="AO91">
        <v>0</v>
      </c>
      <c r="AQ91">
        <v>0</v>
      </c>
    </row>
    <row r="92" spans="1:47">
      <c r="A92" t="s">
        <v>202</v>
      </c>
      <c r="C92" t="s">
        <v>217</v>
      </c>
      <c r="E92" t="s">
        <v>208</v>
      </c>
      <c r="G92" t="s">
        <v>209</v>
      </c>
      <c r="I92" t="s">
        <v>210</v>
      </c>
      <c r="K92" t="s">
        <v>211</v>
      </c>
      <c r="M92" t="s">
        <v>212</v>
      </c>
      <c r="O92" t="s">
        <v>213</v>
      </c>
      <c r="Q92" t="s">
        <v>218</v>
      </c>
      <c r="S92" t="s">
        <v>214</v>
      </c>
      <c r="U92" t="s">
        <v>215</v>
      </c>
      <c r="V92" t="s">
        <v>216</v>
      </c>
      <c r="W92" t="s">
        <v>56</v>
      </c>
      <c r="Z92" t="s">
        <v>324</v>
      </c>
      <c r="AA92">
        <v>0</v>
      </c>
      <c r="AC92">
        <v>0</v>
      </c>
      <c r="AE92">
        <v>0</v>
      </c>
      <c r="AG92">
        <v>0</v>
      </c>
      <c r="AI92">
        <v>0</v>
      </c>
      <c r="AK92">
        <v>0</v>
      </c>
      <c r="AM92">
        <v>0</v>
      </c>
      <c r="AO92">
        <v>0</v>
      </c>
      <c r="AQ92">
        <v>0</v>
      </c>
    </row>
    <row r="93" spans="1:47">
      <c r="A93" t="s">
        <v>202</v>
      </c>
      <c r="C93" t="s">
        <v>219</v>
      </c>
      <c r="D93" t="s">
        <v>220</v>
      </c>
      <c r="E93" t="s">
        <v>219</v>
      </c>
      <c r="F93" t="s">
        <v>220</v>
      </c>
      <c r="G93" t="s">
        <v>219</v>
      </c>
      <c r="H93" t="s">
        <v>220</v>
      </c>
      <c r="I93" t="s">
        <v>219</v>
      </c>
      <c r="J93" t="s">
        <v>220</v>
      </c>
      <c r="K93" t="s">
        <v>219</v>
      </c>
      <c r="L93" t="s">
        <v>220</v>
      </c>
      <c r="M93" t="s">
        <v>219</v>
      </c>
      <c r="N93" t="s">
        <v>220</v>
      </c>
      <c r="O93" t="s">
        <v>219</v>
      </c>
      <c r="P93" t="s">
        <v>220</v>
      </c>
      <c r="Q93" t="s">
        <v>219</v>
      </c>
      <c r="R93" t="s">
        <v>220</v>
      </c>
      <c r="S93" t="s">
        <v>219</v>
      </c>
      <c r="T93" t="s">
        <v>220</v>
      </c>
      <c r="U93" t="s">
        <v>219</v>
      </c>
      <c r="V93" t="s">
        <v>221</v>
      </c>
      <c r="W93" t="s">
        <v>222</v>
      </c>
      <c r="Z93" t="s">
        <v>325</v>
      </c>
      <c r="AA93">
        <v>0</v>
      </c>
      <c r="AC93">
        <v>0</v>
      </c>
      <c r="AE93">
        <v>0</v>
      </c>
      <c r="AG93">
        <v>0</v>
      </c>
      <c r="AI93">
        <v>0</v>
      </c>
      <c r="AK93">
        <v>0</v>
      </c>
      <c r="AM93">
        <v>0</v>
      </c>
      <c r="AO93">
        <v>0</v>
      </c>
      <c r="AQ93">
        <v>0</v>
      </c>
    </row>
    <row r="94" spans="1:47">
      <c r="B94" t="s">
        <v>183</v>
      </c>
      <c r="C94">
        <v>0</v>
      </c>
      <c r="E94">
        <v>0</v>
      </c>
      <c r="G94">
        <v>0</v>
      </c>
      <c r="I94">
        <v>0</v>
      </c>
      <c r="K94">
        <v>0</v>
      </c>
      <c r="M94">
        <v>0</v>
      </c>
      <c r="O94">
        <v>0</v>
      </c>
      <c r="Q94">
        <v>0</v>
      </c>
      <c r="S94">
        <v>0</v>
      </c>
      <c r="Z94" t="s">
        <v>326</v>
      </c>
      <c r="AA94">
        <v>0</v>
      </c>
      <c r="AC94">
        <v>0</v>
      </c>
      <c r="AE94">
        <v>0</v>
      </c>
      <c r="AG94">
        <v>0</v>
      </c>
      <c r="AI94">
        <v>0</v>
      </c>
      <c r="AK94">
        <v>0</v>
      </c>
      <c r="AM94">
        <v>0</v>
      </c>
      <c r="AO94">
        <v>0</v>
      </c>
      <c r="AQ94">
        <v>0</v>
      </c>
    </row>
    <row r="95" spans="1:47">
      <c r="B95" t="s">
        <v>327</v>
      </c>
      <c r="C95">
        <v>0</v>
      </c>
      <c r="E95">
        <v>0</v>
      </c>
      <c r="G95">
        <v>0</v>
      </c>
      <c r="I95">
        <v>0</v>
      </c>
      <c r="K95">
        <v>0</v>
      </c>
      <c r="M95">
        <v>0</v>
      </c>
      <c r="O95">
        <v>0</v>
      </c>
      <c r="Q95">
        <v>0</v>
      </c>
      <c r="S95">
        <v>0</v>
      </c>
      <c r="Z95" t="s">
        <v>328</v>
      </c>
      <c r="AA95">
        <v>0</v>
      </c>
      <c r="AC95">
        <v>0</v>
      </c>
      <c r="AE95">
        <v>0</v>
      </c>
      <c r="AG95">
        <v>0</v>
      </c>
      <c r="AI95">
        <v>0</v>
      </c>
      <c r="AK95">
        <v>0</v>
      </c>
      <c r="AM95">
        <v>0</v>
      </c>
      <c r="AO95">
        <v>0</v>
      </c>
      <c r="AQ95">
        <v>0</v>
      </c>
    </row>
    <row r="96" spans="1:47">
      <c r="B96" t="s">
        <v>329</v>
      </c>
      <c r="C96">
        <v>0</v>
      </c>
      <c r="E96">
        <v>0</v>
      </c>
      <c r="G96">
        <v>0</v>
      </c>
      <c r="I96">
        <v>0</v>
      </c>
      <c r="K96">
        <v>0</v>
      </c>
      <c r="M96">
        <v>0</v>
      </c>
      <c r="O96">
        <v>0</v>
      </c>
      <c r="Q96">
        <v>0</v>
      </c>
      <c r="S96">
        <v>0</v>
      </c>
    </row>
    <row r="97" spans="1:47">
      <c r="B97" t="s">
        <v>330</v>
      </c>
      <c r="C97">
        <v>0</v>
      </c>
      <c r="E97">
        <v>0</v>
      </c>
      <c r="G97">
        <v>0</v>
      </c>
      <c r="I97">
        <v>0</v>
      </c>
      <c r="K97">
        <v>0</v>
      </c>
      <c r="M97">
        <v>0</v>
      </c>
      <c r="O97">
        <v>0</v>
      </c>
      <c r="Q97">
        <v>0</v>
      </c>
      <c r="S97">
        <v>0</v>
      </c>
    </row>
    <row r="98" spans="1:47">
      <c r="Y98" t="s">
        <v>202</v>
      </c>
      <c r="Z98" s="37" t="s">
        <v>331</v>
      </c>
    </row>
    <row r="99" spans="1:47">
      <c r="Y99" t="s">
        <v>202</v>
      </c>
    </row>
    <row r="100" spans="1:47">
      <c r="A100" t="s">
        <v>202</v>
      </c>
      <c r="B100" s="37" t="s">
        <v>332</v>
      </c>
      <c r="Z100" s="37" t="s">
        <v>205</v>
      </c>
      <c r="AA100" s="37" t="s">
        <v>47</v>
      </c>
      <c r="AB100" s="37"/>
      <c r="AC100" s="37" t="s">
        <v>48</v>
      </c>
      <c r="AD100" s="37"/>
      <c r="AE100" s="37" t="s">
        <v>49</v>
      </c>
      <c r="AF100" s="37"/>
      <c r="AG100" s="37" t="s">
        <v>50</v>
      </c>
      <c r="AH100" s="37"/>
      <c r="AI100" s="37" t="s">
        <v>51</v>
      </c>
      <c r="AJ100" s="37"/>
      <c r="AK100" s="37" t="s">
        <v>52</v>
      </c>
      <c r="AL100" s="37"/>
      <c r="AM100" s="37" t="s">
        <v>53</v>
      </c>
      <c r="AN100" s="37"/>
      <c r="AO100" s="37" t="s">
        <v>54</v>
      </c>
      <c r="AP100" s="37"/>
      <c r="AQ100" s="37" t="s">
        <v>55</v>
      </c>
      <c r="AR100" s="37"/>
      <c r="AS100" s="37" t="s">
        <v>206</v>
      </c>
    </row>
    <row r="101" spans="1:47">
      <c r="A101" t="s">
        <v>202</v>
      </c>
      <c r="Y101" t="s">
        <v>202</v>
      </c>
      <c r="AA101" t="s">
        <v>217</v>
      </c>
      <c r="AC101" t="s">
        <v>208</v>
      </c>
      <c r="AE101" t="s">
        <v>209</v>
      </c>
      <c r="AG101" t="s">
        <v>210</v>
      </c>
      <c r="AI101" t="s">
        <v>211</v>
      </c>
      <c r="AK101" t="s">
        <v>212</v>
      </c>
      <c r="AM101" t="s">
        <v>213</v>
      </c>
      <c r="AO101" t="s">
        <v>218</v>
      </c>
      <c r="AQ101" t="s">
        <v>214</v>
      </c>
      <c r="AS101" t="s">
        <v>215</v>
      </c>
      <c r="AT101" t="s">
        <v>216</v>
      </c>
      <c r="AU101" t="s">
        <v>56</v>
      </c>
    </row>
    <row r="102" spans="1:47">
      <c r="B102" s="37" t="s">
        <v>205</v>
      </c>
      <c r="C102" s="37" t="s">
        <v>47</v>
      </c>
      <c r="D102" s="37"/>
      <c r="E102" s="37" t="s">
        <v>48</v>
      </c>
      <c r="F102" s="37"/>
      <c r="G102" s="37" t="s">
        <v>49</v>
      </c>
      <c r="H102" s="37"/>
      <c r="I102" s="37" t="s">
        <v>50</v>
      </c>
      <c r="J102" s="37"/>
      <c r="K102" s="37" t="s">
        <v>51</v>
      </c>
      <c r="L102" s="37"/>
      <c r="M102" s="37" t="s">
        <v>52</v>
      </c>
      <c r="N102" s="37"/>
      <c r="O102" s="37" t="s">
        <v>53</v>
      </c>
      <c r="P102" s="37"/>
      <c r="Q102" s="37" t="s">
        <v>54</v>
      </c>
      <c r="R102" s="37"/>
      <c r="S102" s="37" t="s">
        <v>55</v>
      </c>
      <c r="T102" s="37"/>
      <c r="U102" s="37" t="s">
        <v>206</v>
      </c>
      <c r="V102" s="37"/>
      <c r="Y102" t="s">
        <v>202</v>
      </c>
      <c r="AA102" t="s">
        <v>219</v>
      </c>
      <c r="AB102" t="s">
        <v>220</v>
      </c>
      <c r="AC102" t="s">
        <v>219</v>
      </c>
      <c r="AD102" t="s">
        <v>220</v>
      </c>
      <c r="AE102" t="s">
        <v>219</v>
      </c>
      <c r="AF102" t="s">
        <v>220</v>
      </c>
      <c r="AG102" t="s">
        <v>219</v>
      </c>
      <c r="AH102" t="s">
        <v>220</v>
      </c>
      <c r="AI102" t="s">
        <v>219</v>
      </c>
      <c r="AJ102" t="s">
        <v>220</v>
      </c>
      <c r="AK102" t="s">
        <v>219</v>
      </c>
      <c r="AL102" t="s">
        <v>220</v>
      </c>
      <c r="AM102" t="s">
        <v>219</v>
      </c>
      <c r="AN102" t="s">
        <v>220</v>
      </c>
      <c r="AO102" t="s">
        <v>219</v>
      </c>
      <c r="AP102" t="s">
        <v>220</v>
      </c>
      <c r="AQ102" t="s">
        <v>219</v>
      </c>
      <c r="AR102" t="s">
        <v>220</v>
      </c>
      <c r="AS102" t="s">
        <v>219</v>
      </c>
      <c r="AT102" t="s">
        <v>221</v>
      </c>
      <c r="AU102" t="s">
        <v>222</v>
      </c>
    </row>
    <row r="103" spans="1:47">
      <c r="A103" t="s">
        <v>202</v>
      </c>
      <c r="C103" t="s">
        <v>217</v>
      </c>
      <c r="E103" t="s">
        <v>208</v>
      </c>
      <c r="G103" t="s">
        <v>209</v>
      </c>
      <c r="I103" t="s">
        <v>210</v>
      </c>
      <c r="K103" t="s">
        <v>211</v>
      </c>
      <c r="M103" t="s">
        <v>212</v>
      </c>
      <c r="O103" t="s">
        <v>213</v>
      </c>
      <c r="Q103" t="s">
        <v>218</v>
      </c>
      <c r="S103" t="s">
        <v>214</v>
      </c>
      <c r="U103" t="s">
        <v>215</v>
      </c>
      <c r="V103" t="s">
        <v>216</v>
      </c>
      <c r="W103" t="s">
        <v>56</v>
      </c>
      <c r="Z103" t="s">
        <v>333</v>
      </c>
      <c r="AA103">
        <v>0</v>
      </c>
      <c r="AC103">
        <v>0</v>
      </c>
      <c r="AE103">
        <v>0</v>
      </c>
      <c r="AG103">
        <v>0</v>
      </c>
      <c r="AI103">
        <v>0</v>
      </c>
      <c r="AK103">
        <v>0</v>
      </c>
      <c r="AM103">
        <v>0</v>
      </c>
      <c r="AO103">
        <v>0</v>
      </c>
      <c r="AQ103">
        <v>0</v>
      </c>
    </row>
    <row r="104" spans="1:47">
      <c r="A104" t="s">
        <v>202</v>
      </c>
      <c r="C104" t="s">
        <v>219</v>
      </c>
      <c r="D104" t="s">
        <v>220</v>
      </c>
      <c r="E104" t="s">
        <v>219</v>
      </c>
      <c r="F104" t="s">
        <v>220</v>
      </c>
      <c r="G104" t="s">
        <v>219</v>
      </c>
      <c r="H104" t="s">
        <v>220</v>
      </c>
      <c r="I104" t="s">
        <v>219</v>
      </c>
      <c r="J104" t="s">
        <v>220</v>
      </c>
      <c r="K104" t="s">
        <v>219</v>
      </c>
      <c r="L104" t="s">
        <v>220</v>
      </c>
      <c r="M104" t="s">
        <v>219</v>
      </c>
      <c r="N104" t="s">
        <v>220</v>
      </c>
      <c r="O104" t="s">
        <v>219</v>
      </c>
      <c r="P104" t="s">
        <v>220</v>
      </c>
      <c r="Q104" t="s">
        <v>219</v>
      </c>
      <c r="R104" t="s">
        <v>220</v>
      </c>
      <c r="S104" t="s">
        <v>219</v>
      </c>
      <c r="T104" t="s">
        <v>220</v>
      </c>
      <c r="U104" t="s">
        <v>219</v>
      </c>
      <c r="V104" t="s">
        <v>221</v>
      </c>
      <c r="W104" t="s">
        <v>222</v>
      </c>
      <c r="Z104" t="s">
        <v>334</v>
      </c>
      <c r="AA104">
        <v>0</v>
      </c>
      <c r="AC104">
        <v>0</v>
      </c>
      <c r="AE104">
        <v>0</v>
      </c>
      <c r="AG104">
        <v>0</v>
      </c>
      <c r="AI104">
        <v>0</v>
      </c>
      <c r="AK104">
        <v>0</v>
      </c>
      <c r="AM104">
        <v>0</v>
      </c>
      <c r="AO104">
        <v>0</v>
      </c>
      <c r="AQ104">
        <v>0</v>
      </c>
    </row>
    <row r="105" spans="1:47">
      <c r="B105" t="s">
        <v>185</v>
      </c>
      <c r="C105">
        <v>0</v>
      </c>
      <c r="E105">
        <v>0</v>
      </c>
      <c r="G105">
        <v>0</v>
      </c>
      <c r="I105">
        <v>0</v>
      </c>
      <c r="K105">
        <v>0</v>
      </c>
      <c r="M105">
        <v>0</v>
      </c>
      <c r="O105">
        <v>0</v>
      </c>
      <c r="Q105">
        <v>0</v>
      </c>
      <c r="S105">
        <v>0</v>
      </c>
    </row>
    <row r="106" spans="1:47">
      <c r="B106" t="s">
        <v>335</v>
      </c>
      <c r="C106">
        <v>0</v>
      </c>
      <c r="E106">
        <v>0</v>
      </c>
      <c r="G106">
        <v>0</v>
      </c>
      <c r="I106">
        <v>0</v>
      </c>
      <c r="K106">
        <v>0</v>
      </c>
      <c r="M106">
        <v>0</v>
      </c>
      <c r="O106">
        <v>0</v>
      </c>
      <c r="Q106">
        <v>0</v>
      </c>
      <c r="S106">
        <v>0</v>
      </c>
    </row>
    <row r="107" spans="1:47">
      <c r="Y107" t="s">
        <v>202</v>
      </c>
      <c r="Z107" s="37" t="s">
        <v>336</v>
      </c>
    </row>
    <row r="108" spans="1:47">
      <c r="Y108" t="s">
        <v>202</v>
      </c>
    </row>
    <row r="109" spans="1:47">
      <c r="A109" t="s">
        <v>202</v>
      </c>
      <c r="B109" s="37" t="s">
        <v>337</v>
      </c>
      <c r="Z109" s="37" t="s">
        <v>205</v>
      </c>
      <c r="AA109" s="37" t="s">
        <v>47</v>
      </c>
      <c r="AB109" s="37"/>
      <c r="AC109" s="37" t="s">
        <v>48</v>
      </c>
      <c r="AD109" s="37"/>
      <c r="AE109" s="37" t="s">
        <v>49</v>
      </c>
      <c r="AF109" s="37"/>
      <c r="AG109" s="37" t="s">
        <v>50</v>
      </c>
      <c r="AH109" s="37"/>
      <c r="AI109" s="37" t="s">
        <v>51</v>
      </c>
      <c r="AJ109" s="37"/>
      <c r="AK109" s="37" t="s">
        <v>52</v>
      </c>
      <c r="AL109" s="37"/>
      <c r="AM109" s="37" t="s">
        <v>53</v>
      </c>
      <c r="AN109" s="37"/>
      <c r="AO109" s="37" t="s">
        <v>54</v>
      </c>
      <c r="AP109" s="37"/>
      <c r="AQ109" s="37" t="s">
        <v>55</v>
      </c>
      <c r="AR109" s="37"/>
      <c r="AS109" s="37" t="s">
        <v>206</v>
      </c>
    </row>
    <row r="110" spans="1:47">
      <c r="A110" t="s">
        <v>202</v>
      </c>
      <c r="Y110" t="s">
        <v>202</v>
      </c>
      <c r="AA110" t="s">
        <v>217</v>
      </c>
      <c r="AC110" t="s">
        <v>208</v>
      </c>
      <c r="AE110" t="s">
        <v>209</v>
      </c>
      <c r="AG110" t="s">
        <v>210</v>
      </c>
      <c r="AI110" t="s">
        <v>211</v>
      </c>
      <c r="AK110" t="s">
        <v>212</v>
      </c>
      <c r="AM110" t="s">
        <v>213</v>
      </c>
      <c r="AO110" t="s">
        <v>218</v>
      </c>
      <c r="AQ110" t="s">
        <v>214</v>
      </c>
      <c r="AS110" t="s">
        <v>215</v>
      </c>
      <c r="AT110" t="s">
        <v>216</v>
      </c>
      <c r="AU110" t="s">
        <v>56</v>
      </c>
    </row>
    <row r="111" spans="1:47">
      <c r="B111" s="37" t="s">
        <v>205</v>
      </c>
      <c r="C111" s="37" t="s">
        <v>47</v>
      </c>
      <c r="D111" s="37"/>
      <c r="E111" s="37" t="s">
        <v>48</v>
      </c>
      <c r="F111" s="37"/>
      <c r="G111" s="37" t="s">
        <v>49</v>
      </c>
      <c r="H111" s="37"/>
      <c r="I111" s="37" t="s">
        <v>50</v>
      </c>
      <c r="J111" s="37"/>
      <c r="K111" s="37" t="s">
        <v>51</v>
      </c>
      <c r="L111" s="37"/>
      <c r="M111" s="37" t="s">
        <v>52</v>
      </c>
      <c r="N111" s="37"/>
      <c r="O111" s="37" t="s">
        <v>53</v>
      </c>
      <c r="P111" s="37"/>
      <c r="Q111" s="37" t="s">
        <v>54</v>
      </c>
      <c r="R111" s="37"/>
      <c r="S111" s="37" t="s">
        <v>55</v>
      </c>
      <c r="T111" s="37"/>
      <c r="U111" s="37" t="s">
        <v>206</v>
      </c>
      <c r="V111" s="37"/>
      <c r="Y111" t="s">
        <v>202</v>
      </c>
      <c r="AA111" t="s">
        <v>219</v>
      </c>
      <c r="AB111" t="s">
        <v>220</v>
      </c>
      <c r="AC111" t="s">
        <v>219</v>
      </c>
      <c r="AD111" t="s">
        <v>220</v>
      </c>
      <c r="AE111" t="s">
        <v>219</v>
      </c>
      <c r="AF111" t="s">
        <v>220</v>
      </c>
      <c r="AG111" t="s">
        <v>219</v>
      </c>
      <c r="AH111" t="s">
        <v>220</v>
      </c>
      <c r="AI111" t="s">
        <v>219</v>
      </c>
      <c r="AJ111" t="s">
        <v>220</v>
      </c>
      <c r="AK111" t="s">
        <v>219</v>
      </c>
      <c r="AL111" t="s">
        <v>220</v>
      </c>
      <c r="AM111" t="s">
        <v>219</v>
      </c>
      <c r="AN111" t="s">
        <v>220</v>
      </c>
      <c r="AO111" t="s">
        <v>219</v>
      </c>
      <c r="AP111" t="s">
        <v>220</v>
      </c>
      <c r="AQ111" t="s">
        <v>219</v>
      </c>
      <c r="AR111" t="s">
        <v>220</v>
      </c>
      <c r="AS111" t="s">
        <v>219</v>
      </c>
      <c r="AT111" t="s">
        <v>221</v>
      </c>
      <c r="AU111" t="s">
        <v>222</v>
      </c>
    </row>
    <row r="112" spans="1:47">
      <c r="A112" t="s">
        <v>202</v>
      </c>
      <c r="C112" t="s">
        <v>217</v>
      </c>
      <c r="E112" t="s">
        <v>208</v>
      </c>
      <c r="G112" t="s">
        <v>209</v>
      </c>
      <c r="I112" t="s">
        <v>210</v>
      </c>
      <c r="K112" t="s">
        <v>211</v>
      </c>
      <c r="M112" t="s">
        <v>212</v>
      </c>
      <c r="O112" t="s">
        <v>213</v>
      </c>
      <c r="Q112" t="s">
        <v>218</v>
      </c>
      <c r="S112" t="s">
        <v>214</v>
      </c>
      <c r="U112" t="s">
        <v>215</v>
      </c>
      <c r="V112" t="s">
        <v>216</v>
      </c>
      <c r="W112" t="s">
        <v>56</v>
      </c>
      <c r="Z112" t="s">
        <v>338</v>
      </c>
      <c r="AA112">
        <v>0</v>
      </c>
      <c r="AC112">
        <v>0</v>
      </c>
      <c r="AE112">
        <v>0</v>
      </c>
      <c r="AG112">
        <v>0</v>
      </c>
      <c r="AI112">
        <v>0</v>
      </c>
      <c r="AK112">
        <v>0</v>
      </c>
      <c r="AM112">
        <v>0</v>
      </c>
      <c r="AO112">
        <v>0</v>
      </c>
      <c r="AQ112">
        <v>0</v>
      </c>
    </row>
    <row r="113" spans="1:47">
      <c r="A113" t="s">
        <v>202</v>
      </c>
      <c r="C113" t="s">
        <v>219</v>
      </c>
      <c r="D113" t="s">
        <v>220</v>
      </c>
      <c r="E113" t="s">
        <v>219</v>
      </c>
      <c r="F113" t="s">
        <v>220</v>
      </c>
      <c r="G113" t="s">
        <v>219</v>
      </c>
      <c r="H113" t="s">
        <v>220</v>
      </c>
      <c r="I113" t="s">
        <v>219</v>
      </c>
      <c r="J113" t="s">
        <v>220</v>
      </c>
      <c r="K113" t="s">
        <v>219</v>
      </c>
      <c r="L113" t="s">
        <v>220</v>
      </c>
      <c r="M113" t="s">
        <v>219</v>
      </c>
      <c r="N113" t="s">
        <v>220</v>
      </c>
      <c r="O113" t="s">
        <v>219</v>
      </c>
      <c r="P113" t="s">
        <v>220</v>
      </c>
      <c r="Q113" t="s">
        <v>219</v>
      </c>
      <c r="R113" t="s">
        <v>220</v>
      </c>
      <c r="S113" t="s">
        <v>219</v>
      </c>
      <c r="T113" t="s">
        <v>220</v>
      </c>
      <c r="U113" t="s">
        <v>219</v>
      </c>
      <c r="V113" t="s">
        <v>221</v>
      </c>
      <c r="W113" t="s">
        <v>222</v>
      </c>
    </row>
    <row r="114" spans="1:47">
      <c r="B114" t="s">
        <v>180</v>
      </c>
      <c r="C114">
        <v>0</v>
      </c>
      <c r="E114">
        <v>0</v>
      </c>
      <c r="G114">
        <v>0</v>
      </c>
      <c r="I114">
        <v>0</v>
      </c>
      <c r="K114">
        <v>0</v>
      </c>
      <c r="M114">
        <v>0</v>
      </c>
      <c r="O114">
        <v>0</v>
      </c>
      <c r="Q114">
        <v>0</v>
      </c>
      <c r="S114">
        <v>0</v>
      </c>
    </row>
    <row r="115" spans="1:47">
      <c r="B115" t="s">
        <v>339</v>
      </c>
      <c r="C115">
        <v>0</v>
      </c>
      <c r="E115">
        <v>0</v>
      </c>
      <c r="G115">
        <v>0</v>
      </c>
      <c r="I115">
        <v>0</v>
      </c>
      <c r="K115">
        <v>0</v>
      </c>
      <c r="M115">
        <v>0</v>
      </c>
      <c r="O115">
        <v>0</v>
      </c>
      <c r="Q115">
        <v>0</v>
      </c>
      <c r="S115">
        <v>0</v>
      </c>
      <c r="Y115" t="s">
        <v>202</v>
      </c>
      <c r="Z115" s="37" t="s">
        <v>340</v>
      </c>
    </row>
    <row r="116" spans="1:47">
      <c r="B116" t="s">
        <v>341</v>
      </c>
      <c r="C116">
        <v>0</v>
      </c>
      <c r="E116">
        <v>0</v>
      </c>
      <c r="G116">
        <v>0</v>
      </c>
      <c r="I116">
        <v>0</v>
      </c>
      <c r="K116">
        <v>0</v>
      </c>
      <c r="M116">
        <v>0</v>
      </c>
      <c r="O116">
        <v>0</v>
      </c>
      <c r="Q116">
        <v>0</v>
      </c>
      <c r="S116">
        <v>0</v>
      </c>
      <c r="Y116" t="s">
        <v>202</v>
      </c>
    </row>
    <row r="117" spans="1:47">
      <c r="B117" t="s">
        <v>342</v>
      </c>
      <c r="C117">
        <v>0</v>
      </c>
      <c r="E117">
        <v>0</v>
      </c>
      <c r="G117">
        <v>0</v>
      </c>
      <c r="I117">
        <v>0</v>
      </c>
      <c r="K117">
        <v>0</v>
      </c>
      <c r="M117">
        <v>0</v>
      </c>
      <c r="O117">
        <v>0</v>
      </c>
      <c r="Q117">
        <v>0</v>
      </c>
      <c r="S117">
        <v>0</v>
      </c>
      <c r="Z117" s="37" t="s">
        <v>205</v>
      </c>
      <c r="AA117" s="37" t="s">
        <v>47</v>
      </c>
      <c r="AB117" s="37"/>
      <c r="AC117" s="37" t="s">
        <v>48</v>
      </c>
      <c r="AD117" s="37"/>
      <c r="AE117" s="37" t="s">
        <v>49</v>
      </c>
      <c r="AF117" s="37"/>
      <c r="AG117" s="37" t="s">
        <v>50</v>
      </c>
      <c r="AH117" s="37"/>
      <c r="AI117" s="37" t="s">
        <v>51</v>
      </c>
      <c r="AJ117" s="37"/>
      <c r="AK117" s="37" t="s">
        <v>52</v>
      </c>
      <c r="AL117" s="37"/>
      <c r="AM117" s="37" t="s">
        <v>53</v>
      </c>
      <c r="AN117" s="37"/>
      <c r="AO117" s="37" t="s">
        <v>54</v>
      </c>
      <c r="AP117" s="37"/>
      <c r="AQ117" s="37" t="s">
        <v>55</v>
      </c>
      <c r="AR117" s="37"/>
      <c r="AS117" s="37" t="s">
        <v>206</v>
      </c>
    </row>
    <row r="118" spans="1:47">
      <c r="B118" t="s">
        <v>343</v>
      </c>
      <c r="C118">
        <v>0</v>
      </c>
      <c r="E118">
        <v>0</v>
      </c>
      <c r="G118">
        <v>0</v>
      </c>
      <c r="I118">
        <v>0</v>
      </c>
      <c r="K118">
        <v>0</v>
      </c>
      <c r="M118">
        <v>0</v>
      </c>
      <c r="O118">
        <v>0</v>
      </c>
      <c r="Q118">
        <v>0</v>
      </c>
      <c r="S118">
        <v>0</v>
      </c>
      <c r="Y118" t="s">
        <v>202</v>
      </c>
      <c r="AA118" t="s">
        <v>217</v>
      </c>
      <c r="AC118" t="s">
        <v>208</v>
      </c>
      <c r="AE118" t="s">
        <v>209</v>
      </c>
      <c r="AG118" t="s">
        <v>210</v>
      </c>
      <c r="AI118" t="s">
        <v>211</v>
      </c>
      <c r="AK118" t="s">
        <v>212</v>
      </c>
      <c r="AM118" t="s">
        <v>213</v>
      </c>
      <c r="AO118" t="s">
        <v>218</v>
      </c>
      <c r="AQ118" t="s">
        <v>214</v>
      </c>
      <c r="AS118" t="s">
        <v>215</v>
      </c>
      <c r="AT118" t="s">
        <v>216</v>
      </c>
      <c r="AU118" t="s">
        <v>56</v>
      </c>
    </row>
    <row r="119" spans="1:47">
      <c r="Y119" t="s">
        <v>202</v>
      </c>
      <c r="AA119" t="s">
        <v>219</v>
      </c>
      <c r="AB119" t="s">
        <v>220</v>
      </c>
      <c r="AC119" t="s">
        <v>219</v>
      </c>
      <c r="AD119" t="s">
        <v>220</v>
      </c>
      <c r="AE119" t="s">
        <v>219</v>
      </c>
      <c r="AF119" t="s">
        <v>220</v>
      </c>
      <c r="AG119" t="s">
        <v>219</v>
      </c>
      <c r="AH119" t="s">
        <v>220</v>
      </c>
      <c r="AI119" t="s">
        <v>219</v>
      </c>
      <c r="AJ119" t="s">
        <v>220</v>
      </c>
      <c r="AK119" t="s">
        <v>219</v>
      </c>
      <c r="AL119" t="s">
        <v>220</v>
      </c>
      <c r="AM119" t="s">
        <v>219</v>
      </c>
      <c r="AN119" t="s">
        <v>220</v>
      </c>
      <c r="AO119" t="s">
        <v>219</v>
      </c>
      <c r="AP119" t="s">
        <v>220</v>
      </c>
      <c r="AQ119" t="s">
        <v>219</v>
      </c>
      <c r="AR119" t="s">
        <v>220</v>
      </c>
      <c r="AS119" t="s">
        <v>219</v>
      </c>
      <c r="AT119" t="s">
        <v>221</v>
      </c>
      <c r="AU119" t="s">
        <v>222</v>
      </c>
    </row>
    <row r="120" spans="1:47">
      <c r="Z120" t="s">
        <v>344</v>
      </c>
      <c r="AA120">
        <v>0</v>
      </c>
      <c r="AC120">
        <v>0</v>
      </c>
      <c r="AE120">
        <v>0</v>
      </c>
      <c r="AG120">
        <v>0</v>
      </c>
      <c r="AI120">
        <v>0</v>
      </c>
      <c r="AK120">
        <v>0</v>
      </c>
      <c r="AM120">
        <v>0</v>
      </c>
      <c r="AO120">
        <v>0</v>
      </c>
      <c r="AQ120">
        <v>0</v>
      </c>
    </row>
    <row r="121" spans="1:47">
      <c r="A121" t="s">
        <v>202</v>
      </c>
      <c r="B121" s="37" t="s">
        <v>345</v>
      </c>
    </row>
    <row r="122" spans="1:47">
      <c r="A122" t="s">
        <v>202</v>
      </c>
    </row>
    <row r="123" spans="1:47">
      <c r="B123" s="37" t="s">
        <v>205</v>
      </c>
      <c r="C123" s="37" t="s">
        <v>47</v>
      </c>
      <c r="D123" s="37"/>
      <c r="E123" s="37" t="s">
        <v>48</v>
      </c>
      <c r="F123" s="37"/>
      <c r="G123" s="37" t="s">
        <v>49</v>
      </c>
      <c r="H123" s="37"/>
      <c r="I123" s="37" t="s">
        <v>50</v>
      </c>
      <c r="J123" s="37"/>
      <c r="K123" s="37" t="s">
        <v>51</v>
      </c>
      <c r="L123" s="37"/>
      <c r="M123" s="37" t="s">
        <v>52</v>
      </c>
      <c r="N123" s="37"/>
      <c r="O123" s="37" t="s">
        <v>53</v>
      </c>
      <c r="P123" s="37"/>
      <c r="Q123" s="37" t="s">
        <v>54</v>
      </c>
      <c r="R123" s="37"/>
      <c r="S123" s="37" t="s">
        <v>55</v>
      </c>
      <c r="T123" s="37"/>
      <c r="U123" s="37" t="s">
        <v>206</v>
      </c>
      <c r="V123" s="37"/>
      <c r="Y123" t="s">
        <v>202</v>
      </c>
      <c r="Z123" s="37" t="s">
        <v>346</v>
      </c>
    </row>
    <row r="124" spans="1:47">
      <c r="A124" t="s">
        <v>202</v>
      </c>
      <c r="C124" t="s">
        <v>217</v>
      </c>
      <c r="E124" t="s">
        <v>208</v>
      </c>
      <c r="G124" t="s">
        <v>209</v>
      </c>
      <c r="I124" t="s">
        <v>210</v>
      </c>
      <c r="K124" t="s">
        <v>211</v>
      </c>
      <c r="M124" t="s">
        <v>212</v>
      </c>
      <c r="O124" t="s">
        <v>213</v>
      </c>
      <c r="Q124" t="s">
        <v>218</v>
      </c>
      <c r="S124" t="s">
        <v>214</v>
      </c>
      <c r="U124" t="s">
        <v>215</v>
      </c>
      <c r="V124" t="s">
        <v>216</v>
      </c>
      <c r="W124" t="s">
        <v>56</v>
      </c>
      <c r="Y124" t="s">
        <v>202</v>
      </c>
    </row>
    <row r="125" spans="1:47">
      <c r="A125" t="s">
        <v>202</v>
      </c>
      <c r="C125" t="s">
        <v>219</v>
      </c>
      <c r="D125" t="s">
        <v>220</v>
      </c>
      <c r="E125" t="s">
        <v>219</v>
      </c>
      <c r="F125" t="s">
        <v>220</v>
      </c>
      <c r="G125" t="s">
        <v>219</v>
      </c>
      <c r="H125" t="s">
        <v>220</v>
      </c>
      <c r="I125" t="s">
        <v>219</v>
      </c>
      <c r="J125" t="s">
        <v>220</v>
      </c>
      <c r="K125" t="s">
        <v>219</v>
      </c>
      <c r="L125" t="s">
        <v>220</v>
      </c>
      <c r="M125" t="s">
        <v>219</v>
      </c>
      <c r="N125" t="s">
        <v>220</v>
      </c>
      <c r="O125" t="s">
        <v>219</v>
      </c>
      <c r="P125" t="s">
        <v>220</v>
      </c>
      <c r="Q125" t="s">
        <v>219</v>
      </c>
      <c r="R125" t="s">
        <v>220</v>
      </c>
      <c r="S125" t="s">
        <v>219</v>
      </c>
      <c r="T125" t="s">
        <v>220</v>
      </c>
      <c r="U125" t="s">
        <v>219</v>
      </c>
      <c r="V125" t="s">
        <v>221</v>
      </c>
      <c r="W125" t="s">
        <v>222</v>
      </c>
      <c r="Z125" s="37" t="s">
        <v>205</v>
      </c>
      <c r="AA125" s="37" t="s">
        <v>47</v>
      </c>
      <c r="AB125" s="37"/>
      <c r="AC125" s="37" t="s">
        <v>48</v>
      </c>
      <c r="AD125" s="37"/>
      <c r="AE125" s="37" t="s">
        <v>49</v>
      </c>
      <c r="AF125" s="37"/>
      <c r="AG125" s="37" t="s">
        <v>50</v>
      </c>
      <c r="AH125" s="37"/>
      <c r="AI125" s="37" t="s">
        <v>51</v>
      </c>
      <c r="AJ125" s="37"/>
      <c r="AK125" s="37" t="s">
        <v>52</v>
      </c>
      <c r="AL125" s="37"/>
      <c r="AM125" s="37" t="s">
        <v>53</v>
      </c>
      <c r="AN125" s="37"/>
      <c r="AO125" s="37" t="s">
        <v>54</v>
      </c>
      <c r="AP125" s="37"/>
      <c r="AQ125" s="37" t="s">
        <v>55</v>
      </c>
      <c r="AR125" s="37"/>
      <c r="AS125" s="37" t="s">
        <v>206</v>
      </c>
    </row>
    <row r="126" spans="1:47">
      <c r="B126" t="s">
        <v>58</v>
      </c>
      <c r="C126">
        <v>0</v>
      </c>
      <c r="E126">
        <v>0</v>
      </c>
      <c r="G126">
        <v>0</v>
      </c>
      <c r="I126">
        <v>0</v>
      </c>
      <c r="K126">
        <v>0</v>
      </c>
      <c r="M126">
        <v>0</v>
      </c>
      <c r="O126">
        <v>0</v>
      </c>
      <c r="Q126">
        <v>0</v>
      </c>
      <c r="S126">
        <v>0</v>
      </c>
      <c r="Y126" t="s">
        <v>202</v>
      </c>
      <c r="AA126" t="s">
        <v>217</v>
      </c>
      <c r="AC126" t="s">
        <v>208</v>
      </c>
      <c r="AE126" t="s">
        <v>209</v>
      </c>
      <c r="AG126" t="s">
        <v>210</v>
      </c>
      <c r="AI126" t="s">
        <v>211</v>
      </c>
      <c r="AK126" t="s">
        <v>212</v>
      </c>
      <c r="AM126" t="s">
        <v>213</v>
      </c>
      <c r="AO126" t="s">
        <v>218</v>
      </c>
      <c r="AQ126" t="s">
        <v>214</v>
      </c>
      <c r="AS126" t="s">
        <v>215</v>
      </c>
      <c r="AT126" t="s">
        <v>216</v>
      </c>
      <c r="AU126" t="s">
        <v>56</v>
      </c>
    </row>
    <row r="127" spans="1:47">
      <c r="B127" t="s">
        <v>347</v>
      </c>
      <c r="C127">
        <v>0</v>
      </c>
      <c r="E127">
        <v>0</v>
      </c>
      <c r="G127">
        <v>0</v>
      </c>
      <c r="I127">
        <v>0</v>
      </c>
      <c r="K127">
        <v>0</v>
      </c>
      <c r="M127">
        <v>0</v>
      </c>
      <c r="O127">
        <v>0</v>
      </c>
      <c r="Q127">
        <v>0</v>
      </c>
      <c r="S127">
        <v>0</v>
      </c>
      <c r="Y127" t="s">
        <v>202</v>
      </c>
      <c r="AA127" t="s">
        <v>219</v>
      </c>
      <c r="AB127" t="s">
        <v>220</v>
      </c>
      <c r="AC127" t="s">
        <v>219</v>
      </c>
      <c r="AD127" t="s">
        <v>220</v>
      </c>
      <c r="AE127" t="s">
        <v>219</v>
      </c>
      <c r="AF127" t="s">
        <v>220</v>
      </c>
      <c r="AG127" t="s">
        <v>219</v>
      </c>
      <c r="AH127" t="s">
        <v>220</v>
      </c>
      <c r="AI127" t="s">
        <v>219</v>
      </c>
      <c r="AJ127" t="s">
        <v>220</v>
      </c>
      <c r="AK127" t="s">
        <v>219</v>
      </c>
      <c r="AL127" t="s">
        <v>220</v>
      </c>
      <c r="AM127" t="s">
        <v>219</v>
      </c>
      <c r="AN127" t="s">
        <v>220</v>
      </c>
      <c r="AO127" t="s">
        <v>219</v>
      </c>
      <c r="AP127" t="s">
        <v>220</v>
      </c>
      <c r="AQ127" t="s">
        <v>219</v>
      </c>
      <c r="AR127" t="s">
        <v>220</v>
      </c>
      <c r="AS127" t="s">
        <v>219</v>
      </c>
      <c r="AT127" t="s">
        <v>221</v>
      </c>
      <c r="AU127" t="s">
        <v>222</v>
      </c>
    </row>
    <row r="128" spans="1:47">
      <c r="B128" t="s">
        <v>348</v>
      </c>
      <c r="C128">
        <v>0</v>
      </c>
      <c r="E128">
        <v>0</v>
      </c>
      <c r="G128">
        <v>0</v>
      </c>
      <c r="I128">
        <v>0</v>
      </c>
      <c r="K128">
        <v>0</v>
      </c>
      <c r="M128">
        <v>0</v>
      </c>
      <c r="O128">
        <v>0</v>
      </c>
      <c r="Q128">
        <v>0</v>
      </c>
      <c r="S128">
        <v>0</v>
      </c>
      <c r="Z128" t="s">
        <v>163</v>
      </c>
      <c r="AA128">
        <v>0</v>
      </c>
      <c r="AC128">
        <v>0</v>
      </c>
      <c r="AE128">
        <v>0</v>
      </c>
      <c r="AG128">
        <v>0</v>
      </c>
      <c r="AI128">
        <v>0</v>
      </c>
      <c r="AK128">
        <v>0</v>
      </c>
      <c r="AM128">
        <v>0</v>
      </c>
      <c r="AO128">
        <v>0</v>
      </c>
      <c r="AQ128">
        <v>0</v>
      </c>
    </row>
    <row r="129" spans="2:47">
      <c r="B129" t="s">
        <v>349</v>
      </c>
      <c r="C129">
        <v>0</v>
      </c>
      <c r="E129">
        <v>0</v>
      </c>
      <c r="G129">
        <v>0</v>
      </c>
      <c r="I129">
        <v>0</v>
      </c>
      <c r="K129">
        <v>0</v>
      </c>
      <c r="M129">
        <v>0</v>
      </c>
      <c r="O129">
        <v>0</v>
      </c>
      <c r="Q129">
        <v>0</v>
      </c>
      <c r="S129">
        <v>0</v>
      </c>
      <c r="Z129" t="s">
        <v>350</v>
      </c>
      <c r="AA129">
        <v>0</v>
      </c>
      <c r="AC129">
        <v>0</v>
      </c>
      <c r="AE129">
        <v>0</v>
      </c>
      <c r="AG129">
        <v>0</v>
      </c>
      <c r="AI129">
        <v>0</v>
      </c>
      <c r="AK129">
        <v>0</v>
      </c>
      <c r="AM129">
        <v>0</v>
      </c>
      <c r="AO129">
        <v>0</v>
      </c>
      <c r="AQ129">
        <v>0</v>
      </c>
    </row>
    <row r="130" spans="2:47">
      <c r="B130" t="s">
        <v>351</v>
      </c>
      <c r="C130">
        <v>0</v>
      </c>
      <c r="E130">
        <v>0</v>
      </c>
      <c r="G130">
        <v>0</v>
      </c>
      <c r="I130">
        <v>0</v>
      </c>
      <c r="K130">
        <v>0</v>
      </c>
      <c r="M130">
        <v>0</v>
      </c>
      <c r="O130">
        <v>0</v>
      </c>
      <c r="Q130">
        <v>0</v>
      </c>
      <c r="S130">
        <v>0</v>
      </c>
      <c r="Z130" t="s">
        <v>352</v>
      </c>
      <c r="AA130">
        <v>0</v>
      </c>
      <c r="AC130">
        <v>0</v>
      </c>
      <c r="AE130">
        <v>0</v>
      </c>
      <c r="AG130">
        <v>0</v>
      </c>
      <c r="AI130">
        <v>0</v>
      </c>
      <c r="AK130">
        <v>0</v>
      </c>
      <c r="AM130">
        <v>0</v>
      </c>
      <c r="AO130">
        <v>0</v>
      </c>
      <c r="AQ130">
        <v>0</v>
      </c>
    </row>
    <row r="131" spans="2:47">
      <c r="Z131" t="s">
        <v>353</v>
      </c>
      <c r="AA131">
        <v>0</v>
      </c>
      <c r="AC131">
        <v>0</v>
      </c>
      <c r="AE131">
        <v>0</v>
      </c>
      <c r="AG131">
        <v>0</v>
      </c>
      <c r="AI131">
        <v>0</v>
      </c>
      <c r="AK131">
        <v>0</v>
      </c>
      <c r="AM131">
        <v>0</v>
      </c>
      <c r="AO131">
        <v>0</v>
      </c>
      <c r="AQ131">
        <v>0</v>
      </c>
    </row>
    <row r="134" spans="2:47">
      <c r="Y134" t="s">
        <v>202</v>
      </c>
      <c r="Z134" s="37" t="s">
        <v>354</v>
      </c>
    </row>
    <row r="135" spans="2:47">
      <c r="Y135" t="s">
        <v>202</v>
      </c>
    </row>
    <row r="136" spans="2:47">
      <c r="Z136" s="37" t="s">
        <v>205</v>
      </c>
      <c r="AA136" s="37" t="s">
        <v>47</v>
      </c>
      <c r="AB136" s="37"/>
      <c r="AC136" s="37" t="s">
        <v>48</v>
      </c>
      <c r="AD136" s="37"/>
      <c r="AE136" s="37" t="s">
        <v>49</v>
      </c>
      <c r="AF136" s="37"/>
      <c r="AG136" s="37" t="s">
        <v>50</v>
      </c>
      <c r="AH136" s="37"/>
      <c r="AI136" s="37" t="s">
        <v>51</v>
      </c>
      <c r="AJ136" s="37"/>
      <c r="AK136" s="37" t="s">
        <v>52</v>
      </c>
      <c r="AL136" s="37"/>
      <c r="AM136" s="37" t="s">
        <v>53</v>
      </c>
      <c r="AN136" s="37"/>
      <c r="AO136" s="37" t="s">
        <v>54</v>
      </c>
      <c r="AP136" s="37"/>
      <c r="AQ136" s="37" t="s">
        <v>55</v>
      </c>
      <c r="AR136" s="37"/>
      <c r="AS136" s="37" t="s">
        <v>206</v>
      </c>
    </row>
    <row r="137" spans="2:47">
      <c r="Y137" t="s">
        <v>202</v>
      </c>
      <c r="AA137" t="s">
        <v>217</v>
      </c>
      <c r="AC137" t="s">
        <v>208</v>
      </c>
      <c r="AE137" t="s">
        <v>209</v>
      </c>
      <c r="AG137" t="s">
        <v>210</v>
      </c>
      <c r="AI137" t="s">
        <v>211</v>
      </c>
      <c r="AK137" t="s">
        <v>212</v>
      </c>
      <c r="AM137" t="s">
        <v>213</v>
      </c>
      <c r="AO137" t="s">
        <v>218</v>
      </c>
      <c r="AQ137" t="s">
        <v>214</v>
      </c>
      <c r="AS137" t="s">
        <v>215</v>
      </c>
      <c r="AT137" t="s">
        <v>216</v>
      </c>
      <c r="AU137" t="s">
        <v>56</v>
      </c>
    </row>
    <row r="138" spans="2:47">
      <c r="Y138" t="s">
        <v>202</v>
      </c>
      <c r="AA138" t="s">
        <v>219</v>
      </c>
      <c r="AB138" t="s">
        <v>220</v>
      </c>
      <c r="AC138" t="s">
        <v>219</v>
      </c>
      <c r="AD138" t="s">
        <v>220</v>
      </c>
      <c r="AE138" t="s">
        <v>219</v>
      </c>
      <c r="AF138" t="s">
        <v>220</v>
      </c>
      <c r="AG138" t="s">
        <v>219</v>
      </c>
      <c r="AH138" t="s">
        <v>220</v>
      </c>
      <c r="AI138" t="s">
        <v>219</v>
      </c>
      <c r="AJ138" t="s">
        <v>220</v>
      </c>
      <c r="AK138" t="s">
        <v>219</v>
      </c>
      <c r="AL138" t="s">
        <v>220</v>
      </c>
      <c r="AM138" t="s">
        <v>219</v>
      </c>
      <c r="AN138" t="s">
        <v>220</v>
      </c>
      <c r="AO138" t="s">
        <v>219</v>
      </c>
      <c r="AP138" t="s">
        <v>220</v>
      </c>
      <c r="AQ138" t="s">
        <v>219</v>
      </c>
      <c r="AR138" t="s">
        <v>220</v>
      </c>
      <c r="AS138" t="s">
        <v>219</v>
      </c>
      <c r="AT138" t="s">
        <v>221</v>
      </c>
      <c r="AU138" t="s">
        <v>222</v>
      </c>
    </row>
    <row r="139" spans="2:47">
      <c r="Z139" t="s">
        <v>355</v>
      </c>
      <c r="AA139">
        <v>0</v>
      </c>
      <c r="AC139">
        <v>0</v>
      </c>
      <c r="AE139">
        <v>0</v>
      </c>
      <c r="AG139">
        <v>0</v>
      </c>
      <c r="AI139">
        <v>0</v>
      </c>
      <c r="AK139">
        <v>0</v>
      </c>
      <c r="AM139">
        <v>0</v>
      </c>
      <c r="AO139">
        <v>0</v>
      </c>
      <c r="AQ139">
        <v>0</v>
      </c>
    </row>
    <row r="140" spans="2:47">
      <c r="Z140" t="s">
        <v>356</v>
      </c>
      <c r="AA140">
        <v>0</v>
      </c>
      <c r="AC140">
        <v>0</v>
      </c>
      <c r="AE140">
        <v>0</v>
      </c>
      <c r="AG140">
        <v>0</v>
      </c>
      <c r="AI140">
        <v>0</v>
      </c>
      <c r="AK140">
        <v>0</v>
      </c>
      <c r="AM140">
        <v>0</v>
      </c>
      <c r="AO140">
        <v>0</v>
      </c>
      <c r="AQ140">
        <v>0</v>
      </c>
    </row>
    <row r="141" spans="2:47">
      <c r="Z141" t="s">
        <v>357</v>
      </c>
      <c r="AA141">
        <v>0</v>
      </c>
      <c r="AC141">
        <v>0</v>
      </c>
      <c r="AE141">
        <v>0</v>
      </c>
      <c r="AG141">
        <v>0</v>
      </c>
      <c r="AI141">
        <v>0</v>
      </c>
      <c r="AK141">
        <v>0</v>
      </c>
      <c r="AM141">
        <v>0</v>
      </c>
      <c r="AO141">
        <v>0</v>
      </c>
      <c r="AQ141">
        <v>0</v>
      </c>
    </row>
    <row r="142" spans="2:47">
      <c r="Z142" t="s">
        <v>100</v>
      </c>
      <c r="AA142">
        <v>0</v>
      </c>
      <c r="AC142">
        <v>0</v>
      </c>
      <c r="AE142">
        <v>0</v>
      </c>
      <c r="AG142">
        <v>0</v>
      </c>
      <c r="AI142">
        <v>0</v>
      </c>
      <c r="AK142">
        <v>0</v>
      </c>
      <c r="AM142">
        <v>0</v>
      </c>
      <c r="AO142">
        <v>0</v>
      </c>
      <c r="AQ142">
        <v>0</v>
      </c>
    </row>
    <row r="143" spans="2:47">
      <c r="Z143" t="s">
        <v>358</v>
      </c>
      <c r="AA143">
        <v>0</v>
      </c>
      <c r="AC143">
        <v>0</v>
      </c>
      <c r="AE143">
        <v>0</v>
      </c>
      <c r="AG143">
        <v>0</v>
      </c>
      <c r="AI143">
        <v>0</v>
      </c>
      <c r="AK143">
        <v>0</v>
      </c>
      <c r="AM143">
        <v>0</v>
      </c>
      <c r="AO143">
        <v>0</v>
      </c>
      <c r="AQ143">
        <v>0</v>
      </c>
    </row>
    <row r="144" spans="2:47">
      <c r="Z144" t="s">
        <v>359</v>
      </c>
      <c r="AA144">
        <v>0</v>
      </c>
      <c r="AC144">
        <v>0</v>
      </c>
      <c r="AE144">
        <v>0</v>
      </c>
      <c r="AG144">
        <v>0</v>
      </c>
      <c r="AI144">
        <v>0</v>
      </c>
      <c r="AK144">
        <v>0</v>
      </c>
      <c r="AM144">
        <v>0</v>
      </c>
      <c r="AO144">
        <v>0</v>
      </c>
      <c r="AQ144">
        <v>0</v>
      </c>
    </row>
    <row r="147" spans="25:47">
      <c r="Y147" t="s">
        <v>202</v>
      </c>
      <c r="Z147" s="37" t="s">
        <v>360</v>
      </c>
    </row>
    <row r="148" spans="25:47">
      <c r="Y148" t="s">
        <v>202</v>
      </c>
    </row>
    <row r="149" spans="25:47">
      <c r="Z149" s="37" t="s">
        <v>205</v>
      </c>
      <c r="AA149" s="37" t="s">
        <v>47</v>
      </c>
      <c r="AB149" s="37"/>
      <c r="AC149" s="37" t="s">
        <v>48</v>
      </c>
      <c r="AD149" s="37"/>
      <c r="AE149" s="37" t="s">
        <v>49</v>
      </c>
      <c r="AF149" s="37"/>
      <c r="AG149" s="37" t="s">
        <v>50</v>
      </c>
      <c r="AH149" s="37"/>
      <c r="AI149" s="37" t="s">
        <v>51</v>
      </c>
      <c r="AJ149" s="37"/>
      <c r="AK149" s="37" t="s">
        <v>52</v>
      </c>
      <c r="AL149" s="37"/>
      <c r="AM149" s="37" t="s">
        <v>53</v>
      </c>
      <c r="AN149" s="37"/>
      <c r="AO149" s="37" t="s">
        <v>54</v>
      </c>
      <c r="AP149" s="37"/>
      <c r="AQ149" s="37" t="s">
        <v>55</v>
      </c>
      <c r="AR149" s="37"/>
      <c r="AS149" s="37" t="s">
        <v>206</v>
      </c>
    </row>
    <row r="150" spans="25:47">
      <c r="Y150" t="s">
        <v>202</v>
      </c>
      <c r="AA150" t="s">
        <v>217</v>
      </c>
      <c r="AC150" t="s">
        <v>208</v>
      </c>
      <c r="AE150" t="s">
        <v>209</v>
      </c>
      <c r="AG150" t="s">
        <v>210</v>
      </c>
      <c r="AI150" t="s">
        <v>211</v>
      </c>
      <c r="AK150" t="s">
        <v>212</v>
      </c>
      <c r="AM150" t="s">
        <v>213</v>
      </c>
      <c r="AO150" t="s">
        <v>218</v>
      </c>
      <c r="AQ150" t="s">
        <v>214</v>
      </c>
      <c r="AS150" t="s">
        <v>215</v>
      </c>
      <c r="AT150" t="s">
        <v>216</v>
      </c>
      <c r="AU150" t="s">
        <v>56</v>
      </c>
    </row>
    <row r="151" spans="25:47">
      <c r="Y151" t="s">
        <v>202</v>
      </c>
      <c r="AA151" t="s">
        <v>219</v>
      </c>
      <c r="AB151" t="s">
        <v>220</v>
      </c>
      <c r="AC151" t="s">
        <v>219</v>
      </c>
      <c r="AD151" t="s">
        <v>220</v>
      </c>
      <c r="AE151" t="s">
        <v>219</v>
      </c>
      <c r="AF151" t="s">
        <v>220</v>
      </c>
      <c r="AG151" t="s">
        <v>219</v>
      </c>
      <c r="AH151" t="s">
        <v>220</v>
      </c>
      <c r="AI151" t="s">
        <v>219</v>
      </c>
      <c r="AJ151" t="s">
        <v>220</v>
      </c>
      <c r="AK151" t="s">
        <v>219</v>
      </c>
      <c r="AL151" t="s">
        <v>220</v>
      </c>
      <c r="AM151" t="s">
        <v>219</v>
      </c>
      <c r="AN151" t="s">
        <v>220</v>
      </c>
      <c r="AO151" t="s">
        <v>219</v>
      </c>
      <c r="AP151" t="s">
        <v>220</v>
      </c>
      <c r="AQ151" t="s">
        <v>219</v>
      </c>
      <c r="AR151" t="s">
        <v>220</v>
      </c>
      <c r="AS151" t="s">
        <v>219</v>
      </c>
      <c r="AT151" t="s">
        <v>221</v>
      </c>
      <c r="AU151" t="s">
        <v>222</v>
      </c>
    </row>
    <row r="152" spans="25:47">
      <c r="Z152" t="s">
        <v>361</v>
      </c>
      <c r="AA152">
        <v>0</v>
      </c>
      <c r="AC152">
        <v>0</v>
      </c>
      <c r="AE152">
        <v>0</v>
      </c>
      <c r="AG152">
        <v>0</v>
      </c>
      <c r="AI152">
        <v>0</v>
      </c>
      <c r="AK152">
        <v>0</v>
      </c>
      <c r="AM152">
        <v>0</v>
      </c>
      <c r="AO152">
        <v>0</v>
      </c>
      <c r="AQ152">
        <v>0</v>
      </c>
    </row>
    <row r="153" spans="25:47">
      <c r="Z153" t="s">
        <v>362</v>
      </c>
      <c r="AA153">
        <v>0</v>
      </c>
      <c r="AC153">
        <v>0</v>
      </c>
      <c r="AE153">
        <v>0</v>
      </c>
      <c r="AG153">
        <v>0</v>
      </c>
      <c r="AI153">
        <v>0</v>
      </c>
      <c r="AK153">
        <v>0</v>
      </c>
      <c r="AM153">
        <v>0</v>
      </c>
      <c r="AO153">
        <v>0</v>
      </c>
      <c r="AQ153">
        <v>0</v>
      </c>
    </row>
  </sheetData>
  <mergeCells count="2">
    <mergeCell ref="A1:U1"/>
    <mergeCell ref="Y1:AS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M10" sqref="M10"/>
    </sheetView>
  </sheetViews>
  <sheetFormatPr defaultColWidth="9" defaultRowHeight="16.8" outlineLevelCol="7"/>
  <cols>
    <col min="1" max="1" width="8.91964285714286" customWidth="1"/>
    <col min="2" max="2" width="16.9196428571429" customWidth="1"/>
    <col min="3" max="3" width="8.66964285714286" customWidth="1"/>
    <col min="4" max="5" width="14.3303571428571" customWidth="1"/>
    <col min="6" max="6" width="17.1696428571429" customWidth="1"/>
    <col min="7" max="8" width="12.9196428571429" customWidth="1"/>
  </cols>
  <sheetData>
    <row r="1" ht="40" customHeight="1" spans="1:8">
      <c r="A1" s="35" t="s">
        <v>363</v>
      </c>
      <c r="B1" s="35"/>
      <c r="C1" s="35"/>
      <c r="D1" s="35"/>
      <c r="E1" s="35"/>
      <c r="F1" s="35"/>
      <c r="G1" s="35"/>
      <c r="H1" s="35"/>
    </row>
    <row r="2" spans="1:8">
      <c r="A2" t="s">
        <v>364</v>
      </c>
      <c r="B2" t="s">
        <v>365</v>
      </c>
      <c r="C2" t="s">
        <v>366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</row>
    <row r="3" spans="1:8">
      <c r="A3" s="4" t="s">
        <v>372</v>
      </c>
      <c r="B3" t="s">
        <v>203</v>
      </c>
      <c r="C3">
        <v>0</v>
      </c>
      <c r="D3">
        <v>4600</v>
      </c>
      <c r="E3">
        <v>5100</v>
      </c>
      <c r="F3">
        <v>5600</v>
      </c>
      <c r="G3">
        <v>1.1</v>
      </c>
      <c r="H3">
        <v>0.9</v>
      </c>
    </row>
    <row r="4" spans="1:8">
      <c r="A4" s="4"/>
      <c r="B4" t="s">
        <v>248</v>
      </c>
      <c r="C4">
        <v>0</v>
      </c>
      <c r="D4">
        <v>2300</v>
      </c>
      <c r="E4">
        <v>2550</v>
      </c>
      <c r="F4">
        <v>2800</v>
      </c>
      <c r="G4">
        <v>1.1</v>
      </c>
      <c r="H4">
        <v>0.9</v>
      </c>
    </row>
    <row r="5" spans="1:8">
      <c r="A5" s="4"/>
      <c r="B5" t="s">
        <v>271</v>
      </c>
      <c r="C5">
        <v>0</v>
      </c>
      <c r="D5">
        <v>575</v>
      </c>
      <c r="E5">
        <v>822</v>
      </c>
      <c r="F5">
        <v>863</v>
      </c>
      <c r="G5">
        <v>1.05</v>
      </c>
      <c r="H5">
        <v>0.7</v>
      </c>
    </row>
    <row r="6" spans="1:8">
      <c r="A6" s="4"/>
      <c r="B6" t="s">
        <v>275</v>
      </c>
      <c r="C6">
        <v>0</v>
      </c>
      <c r="D6">
        <v>575</v>
      </c>
      <c r="E6">
        <v>822</v>
      </c>
      <c r="F6">
        <v>863</v>
      </c>
      <c r="G6">
        <v>1.05</v>
      </c>
      <c r="H6">
        <v>0.7</v>
      </c>
    </row>
    <row r="7" spans="1:8">
      <c r="A7" s="4"/>
      <c r="B7" t="s">
        <v>292</v>
      </c>
      <c r="C7">
        <v>0</v>
      </c>
      <c r="D7">
        <v>192</v>
      </c>
      <c r="E7">
        <v>274</v>
      </c>
      <c r="F7">
        <v>288</v>
      </c>
      <c r="G7">
        <v>1.05</v>
      </c>
      <c r="H7">
        <v>0.7</v>
      </c>
    </row>
    <row r="8" spans="1:8">
      <c r="A8" s="4"/>
      <c r="B8" t="s">
        <v>298</v>
      </c>
      <c r="C8">
        <v>0</v>
      </c>
      <c r="D8">
        <v>115</v>
      </c>
      <c r="E8">
        <v>164</v>
      </c>
      <c r="F8">
        <v>173</v>
      </c>
      <c r="G8">
        <v>1.05</v>
      </c>
      <c r="H8">
        <v>0.7</v>
      </c>
    </row>
    <row r="9" spans="1:8">
      <c r="A9" s="4"/>
      <c r="B9" t="s">
        <v>373</v>
      </c>
      <c r="C9">
        <v>0</v>
      </c>
      <c r="D9">
        <v>134</v>
      </c>
      <c r="E9">
        <v>192</v>
      </c>
      <c r="F9">
        <v>201</v>
      </c>
      <c r="G9">
        <v>1.05</v>
      </c>
      <c r="H9">
        <v>0.7</v>
      </c>
    </row>
    <row r="10" spans="1:8">
      <c r="A10" s="4"/>
      <c r="B10" t="s">
        <v>374</v>
      </c>
      <c r="C10">
        <v>0</v>
      </c>
      <c r="D10">
        <v>345</v>
      </c>
      <c r="E10">
        <v>493</v>
      </c>
      <c r="F10">
        <v>518</v>
      </c>
      <c r="G10">
        <v>1.05</v>
      </c>
      <c r="H10">
        <v>0.7</v>
      </c>
    </row>
    <row r="11" spans="1:8">
      <c r="A11" s="4"/>
      <c r="B11" s="36" t="s">
        <v>321</v>
      </c>
      <c r="C11">
        <v>0</v>
      </c>
      <c r="D11">
        <v>120</v>
      </c>
      <c r="E11">
        <v>240</v>
      </c>
      <c r="F11">
        <v>288</v>
      </c>
      <c r="G11">
        <v>1.2</v>
      </c>
      <c r="H11">
        <v>0.5</v>
      </c>
    </row>
    <row r="12" spans="1:8">
      <c r="A12" s="4"/>
      <c r="B12" t="s">
        <v>332</v>
      </c>
      <c r="C12">
        <v>0</v>
      </c>
      <c r="D12">
        <v>120</v>
      </c>
      <c r="E12">
        <v>320</v>
      </c>
      <c r="F12">
        <v>384</v>
      </c>
      <c r="G12">
        <v>1.2</v>
      </c>
      <c r="H12">
        <v>0.4</v>
      </c>
    </row>
    <row r="13" spans="1:8">
      <c r="A13" s="4"/>
      <c r="B13" t="s">
        <v>337</v>
      </c>
      <c r="C13">
        <v>0</v>
      </c>
      <c r="D13">
        <v>120</v>
      </c>
      <c r="E13">
        <v>320</v>
      </c>
      <c r="F13">
        <v>384</v>
      </c>
      <c r="G13">
        <v>1.2</v>
      </c>
      <c r="H13">
        <v>0.4</v>
      </c>
    </row>
    <row r="14" spans="1:8">
      <c r="A14" s="4"/>
      <c r="B14" t="s">
        <v>375</v>
      </c>
      <c r="C14">
        <v>0</v>
      </c>
      <c r="D14">
        <v>960</v>
      </c>
      <c r="E14">
        <v>1360</v>
      </c>
      <c r="F14">
        <v>1488</v>
      </c>
      <c r="G14">
        <v>1.1</v>
      </c>
      <c r="H14">
        <v>0.7</v>
      </c>
    </row>
    <row r="15" spans="1:8">
      <c r="A15" s="4" t="s">
        <v>376</v>
      </c>
      <c r="B15" t="s">
        <v>204</v>
      </c>
      <c r="C15">
        <v>0</v>
      </c>
      <c r="D15">
        <v>2424</v>
      </c>
      <c r="E15">
        <v>4052</v>
      </c>
      <c r="F15">
        <v>4464</v>
      </c>
      <c r="G15">
        <v>1.1</v>
      </c>
      <c r="H15">
        <v>0.6</v>
      </c>
    </row>
    <row r="16" spans="1:8">
      <c r="A16" s="4"/>
      <c r="B16" t="s">
        <v>249</v>
      </c>
      <c r="C16">
        <v>0</v>
      </c>
      <c r="D16">
        <v>2520</v>
      </c>
      <c r="E16">
        <v>4208</v>
      </c>
      <c r="F16">
        <v>4632</v>
      </c>
      <c r="G16">
        <v>1.1</v>
      </c>
      <c r="H16">
        <v>0.6</v>
      </c>
    </row>
    <row r="17" spans="1:8">
      <c r="A17" s="4"/>
      <c r="B17" t="s">
        <v>273</v>
      </c>
      <c r="C17">
        <v>0</v>
      </c>
      <c r="D17">
        <v>384</v>
      </c>
      <c r="E17">
        <v>548</v>
      </c>
      <c r="F17">
        <v>575</v>
      </c>
      <c r="G17">
        <v>1.05</v>
      </c>
      <c r="H17">
        <v>0.7</v>
      </c>
    </row>
    <row r="18" spans="1:8">
      <c r="A18" s="4"/>
      <c r="B18" t="s">
        <v>280</v>
      </c>
      <c r="C18">
        <v>0</v>
      </c>
      <c r="D18">
        <v>1200</v>
      </c>
      <c r="E18">
        <v>1700</v>
      </c>
      <c r="F18">
        <v>1872</v>
      </c>
      <c r="G18">
        <v>1.1</v>
      </c>
      <c r="H18">
        <v>0.7</v>
      </c>
    </row>
    <row r="19" spans="1:8">
      <c r="A19" s="4"/>
      <c r="B19" t="s">
        <v>295</v>
      </c>
      <c r="C19">
        <v>0</v>
      </c>
      <c r="D19">
        <v>384</v>
      </c>
      <c r="E19">
        <v>548</v>
      </c>
      <c r="F19">
        <v>575</v>
      </c>
      <c r="G19">
        <v>1.05</v>
      </c>
      <c r="H19">
        <v>0.7</v>
      </c>
    </row>
    <row r="20" spans="1:8">
      <c r="A20" s="4"/>
      <c r="B20" t="s">
        <v>302</v>
      </c>
      <c r="C20">
        <v>0</v>
      </c>
      <c r="D20">
        <v>672</v>
      </c>
      <c r="E20">
        <v>1031</v>
      </c>
      <c r="F20">
        <v>1080</v>
      </c>
      <c r="G20">
        <v>1.05</v>
      </c>
      <c r="H20">
        <v>0.65</v>
      </c>
    </row>
    <row r="21" spans="1:8">
      <c r="A21" s="4"/>
      <c r="B21" s="36" t="s">
        <v>377</v>
      </c>
      <c r="C21">
        <v>0</v>
      </c>
      <c r="D21">
        <v>4080</v>
      </c>
      <c r="E21">
        <v>5130</v>
      </c>
      <c r="F21">
        <v>5400</v>
      </c>
      <c r="G21">
        <v>1.05</v>
      </c>
      <c r="H21">
        <v>0.8</v>
      </c>
    </row>
    <row r="22" spans="1:8">
      <c r="A22" s="4"/>
      <c r="B22" t="s">
        <v>319</v>
      </c>
      <c r="C22">
        <v>0</v>
      </c>
      <c r="D22">
        <v>4320</v>
      </c>
      <c r="E22">
        <v>6857</v>
      </c>
      <c r="F22">
        <v>7200</v>
      </c>
      <c r="G22">
        <v>1.05</v>
      </c>
      <c r="H22">
        <v>0.63</v>
      </c>
    </row>
    <row r="23" spans="1:8">
      <c r="A23" s="4"/>
      <c r="B23" t="s">
        <v>331</v>
      </c>
      <c r="C23">
        <v>0</v>
      </c>
      <c r="D23">
        <v>1150</v>
      </c>
      <c r="E23">
        <v>1644</v>
      </c>
      <c r="F23">
        <v>1726</v>
      </c>
      <c r="G23">
        <v>1.05</v>
      </c>
      <c r="H23">
        <v>0.7</v>
      </c>
    </row>
    <row r="24" spans="1:8">
      <c r="A24" s="4"/>
      <c r="B24" t="s">
        <v>336</v>
      </c>
      <c r="C24">
        <v>0</v>
      </c>
      <c r="D24">
        <v>8</v>
      </c>
      <c r="E24">
        <v>11</v>
      </c>
      <c r="F24">
        <v>11.5</v>
      </c>
      <c r="G24">
        <v>1.05</v>
      </c>
      <c r="H24">
        <v>0.7</v>
      </c>
    </row>
    <row r="25" spans="1:8">
      <c r="A25" s="4"/>
      <c r="B25" t="s">
        <v>340</v>
      </c>
      <c r="C25">
        <v>0</v>
      </c>
      <c r="D25">
        <v>38</v>
      </c>
      <c r="E25">
        <v>55</v>
      </c>
      <c r="F25">
        <v>58</v>
      </c>
      <c r="G25">
        <v>1.05</v>
      </c>
      <c r="H25">
        <v>0.7</v>
      </c>
    </row>
    <row r="26" spans="1:8">
      <c r="A26" s="4"/>
      <c r="B26" t="s">
        <v>346</v>
      </c>
      <c r="C26">
        <v>0</v>
      </c>
      <c r="D26">
        <v>1440</v>
      </c>
      <c r="E26">
        <v>2400</v>
      </c>
      <c r="F26">
        <v>2640</v>
      </c>
      <c r="G26">
        <v>1.1</v>
      </c>
      <c r="H26">
        <v>0.6</v>
      </c>
    </row>
    <row r="27" spans="1:8">
      <c r="A27" s="4"/>
      <c r="B27" t="s">
        <v>354</v>
      </c>
      <c r="C27">
        <v>0</v>
      </c>
      <c r="D27">
        <v>1560</v>
      </c>
      <c r="E27">
        <v>2620</v>
      </c>
      <c r="F27">
        <v>2760</v>
      </c>
      <c r="G27">
        <v>1.05</v>
      </c>
      <c r="H27">
        <v>0.6</v>
      </c>
    </row>
    <row r="28" spans="1:8">
      <c r="A28" s="4"/>
      <c r="B28" t="s">
        <v>360</v>
      </c>
      <c r="C28">
        <v>0</v>
      </c>
      <c r="D28">
        <v>552</v>
      </c>
      <c r="E28">
        <v>917</v>
      </c>
      <c r="F28">
        <v>1008</v>
      </c>
      <c r="G28">
        <v>1.1</v>
      </c>
      <c r="H28">
        <v>0.6</v>
      </c>
    </row>
  </sheetData>
  <mergeCells count="3">
    <mergeCell ref="A1:H1"/>
    <mergeCell ref="A3:A14"/>
    <mergeCell ref="A15:A28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zoomScale="85" zoomScaleNormal="85" workbookViewId="0">
      <selection activeCell="A1" sqref="A1:Q1"/>
    </sheetView>
  </sheetViews>
  <sheetFormatPr defaultColWidth="9" defaultRowHeight="16.8"/>
  <cols>
    <col min="1" max="1" width="9.66964285714286" customWidth="1"/>
    <col min="2" max="3" width="15.8303571428571" customWidth="1"/>
    <col min="4" max="4" width="14.4196428571429" customWidth="1"/>
    <col min="5" max="5" width="12.8303571428571" customWidth="1"/>
    <col min="6" max="6" width="12.75" customWidth="1"/>
    <col min="7" max="7" width="14.0803571428571" customWidth="1"/>
    <col min="8" max="8" width="13" customWidth="1"/>
    <col min="9" max="9" width="8.66964285714286" customWidth="1"/>
    <col min="10" max="10" width="9.66964285714286" customWidth="1"/>
    <col min="11" max="11" width="15.9196428571429" customWidth="1"/>
    <col min="12" max="12" width="15.8303571428571" customWidth="1"/>
    <col min="13" max="13" width="12.5" customWidth="1"/>
    <col min="14" max="14" width="12.5803571428571" customWidth="1"/>
    <col min="15" max="15" width="13.0803571428571" customWidth="1"/>
    <col min="16" max="16" width="14.3303571428571" customWidth="1"/>
    <col min="17" max="17" width="12.9196428571429" customWidth="1"/>
  </cols>
  <sheetData>
    <row r="1" ht="67" customHeight="1" spans="1:20">
      <c r="A1" s="27" t="s">
        <v>378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ht="37.5" customHeight="1" spans="1:20">
      <c r="A2" s="28" t="s">
        <v>379</v>
      </c>
      <c r="B2" s="28"/>
      <c r="C2" s="28"/>
      <c r="D2" s="28"/>
      <c r="E2" s="28"/>
      <c r="F2" s="28"/>
      <c r="G2" s="28"/>
      <c r="H2" s="28"/>
      <c r="J2" s="28" t="s">
        <v>380</v>
      </c>
      <c r="K2" s="28"/>
      <c r="L2" s="28"/>
      <c r="M2" s="28"/>
      <c r="N2" s="28"/>
      <c r="O2" s="28"/>
      <c r="P2" s="28"/>
      <c r="Q2" s="28"/>
    </row>
    <row r="3" spans="1:20">
      <c r="A3" s="29" t="s">
        <v>381</v>
      </c>
      <c r="B3" s="29"/>
      <c r="C3" s="29"/>
      <c r="D3" s="29"/>
      <c r="E3" s="29"/>
      <c r="F3" s="30" t="s">
        <v>382</v>
      </c>
      <c r="G3" s="30"/>
      <c r="H3" s="30"/>
      <c r="J3" s="29" t="s">
        <v>381</v>
      </c>
      <c r="K3" s="29"/>
      <c r="L3" s="29"/>
      <c r="M3" s="29"/>
      <c r="N3" s="29"/>
      <c r="O3" s="30" t="s">
        <v>382</v>
      </c>
      <c r="P3" s="30"/>
      <c r="Q3" s="30"/>
    </row>
    <row r="4" spans="1:20">
      <c r="A4" t="s">
        <v>383</v>
      </c>
      <c r="B4" t="s">
        <v>384</v>
      </c>
      <c r="C4" t="s">
        <v>385</v>
      </c>
      <c r="D4" t="s">
        <v>370</v>
      </c>
      <c r="E4" t="s">
        <v>371</v>
      </c>
      <c r="F4" t="s">
        <v>386</v>
      </c>
      <c r="G4" t="s">
        <v>387</v>
      </c>
      <c r="H4" t="s">
        <v>388</v>
      </c>
      <c r="J4" t="s">
        <v>383</v>
      </c>
      <c r="K4" t="s">
        <v>384</v>
      </c>
      <c r="L4" t="s">
        <v>385</v>
      </c>
      <c r="M4" t="s">
        <v>370</v>
      </c>
      <c r="N4" t="s">
        <v>371</v>
      </c>
      <c r="O4" t="s">
        <v>386</v>
      </c>
      <c r="P4" t="s">
        <v>387</v>
      </c>
      <c r="Q4" t="s">
        <v>388</v>
      </c>
    </row>
    <row r="5" spans="1:20">
      <c r="A5" s="31" t="s">
        <v>389</v>
      </c>
      <c r="B5" s="32">
        <v>7300</v>
      </c>
      <c r="C5" s="32">
        <v>8580</v>
      </c>
      <c r="D5" s="32">
        <v>1.05</v>
      </c>
      <c r="E5" s="32">
        <v>0.85</v>
      </c>
      <c r="F5" t="s">
        <v>390</v>
      </c>
      <c r="G5" t="s">
        <v>391</v>
      </c>
      <c r="H5" t="s">
        <v>392</v>
      </c>
      <c r="J5" s="31" t="s">
        <v>389</v>
      </c>
      <c r="K5" s="32">
        <v>6500</v>
      </c>
      <c r="L5" s="32">
        <v>7630</v>
      </c>
      <c r="M5" s="32">
        <v>1.05</v>
      </c>
      <c r="N5" s="32">
        <v>0.85</v>
      </c>
      <c r="O5" t="s">
        <v>393</v>
      </c>
      <c r="P5" t="s">
        <v>391</v>
      </c>
      <c r="Q5" t="s">
        <v>392</v>
      </c>
    </row>
    <row r="6" spans="1:20">
      <c r="A6" s="31"/>
      <c r="B6" s="32"/>
      <c r="C6" s="32"/>
      <c r="D6" s="32"/>
      <c r="E6" s="32"/>
      <c r="F6" t="s">
        <v>394</v>
      </c>
      <c r="G6" t="s">
        <v>395</v>
      </c>
      <c r="H6" t="s">
        <v>396</v>
      </c>
      <c r="J6" s="31"/>
      <c r="K6" s="32"/>
      <c r="L6" s="32"/>
      <c r="M6" s="32"/>
      <c r="N6" s="32"/>
      <c r="O6" t="s">
        <v>397</v>
      </c>
      <c r="P6" t="s">
        <v>395</v>
      </c>
      <c r="Q6" t="s">
        <v>396</v>
      </c>
    </row>
    <row r="7" spans="1:20">
      <c r="A7" s="31"/>
      <c r="B7" s="32"/>
      <c r="C7" s="32"/>
      <c r="D7" s="32"/>
      <c r="E7" s="32"/>
      <c r="F7" t="s">
        <v>398</v>
      </c>
      <c r="G7" t="s">
        <v>399</v>
      </c>
      <c r="H7" t="s">
        <v>400</v>
      </c>
      <c r="J7" s="31"/>
      <c r="K7" s="32"/>
      <c r="L7" s="32"/>
      <c r="M7" s="32"/>
      <c r="N7" s="32"/>
      <c r="O7" t="s">
        <v>401</v>
      </c>
      <c r="P7" t="s">
        <v>399</v>
      </c>
      <c r="Q7" t="s">
        <v>400</v>
      </c>
    </row>
    <row r="8" spans="1:20">
      <c r="A8" s="31"/>
      <c r="B8" s="32"/>
      <c r="C8" s="32"/>
      <c r="D8" s="32"/>
      <c r="E8" s="32"/>
      <c r="F8" t="s">
        <v>402</v>
      </c>
      <c r="G8" t="s">
        <v>403</v>
      </c>
      <c r="H8" t="s">
        <v>404</v>
      </c>
      <c r="J8" s="31"/>
      <c r="K8" s="32"/>
      <c r="L8" s="32"/>
      <c r="M8" s="32"/>
      <c r="N8" s="32"/>
      <c r="O8" t="s">
        <v>405</v>
      </c>
      <c r="P8" t="s">
        <v>403</v>
      </c>
      <c r="Q8" t="s">
        <v>404</v>
      </c>
    </row>
    <row r="9" spans="1:20">
      <c r="A9" s="31"/>
      <c r="B9" s="32"/>
      <c r="C9" s="32"/>
      <c r="D9" s="32"/>
      <c r="E9" s="32"/>
      <c r="F9" t="s">
        <v>406</v>
      </c>
      <c r="G9" t="s">
        <v>407</v>
      </c>
      <c r="H9" t="s">
        <v>408</v>
      </c>
      <c r="J9" s="31"/>
      <c r="K9" s="32"/>
      <c r="L9" s="32"/>
      <c r="M9" s="32"/>
      <c r="N9" s="32"/>
      <c r="O9" t="s">
        <v>409</v>
      </c>
      <c r="P9" t="s">
        <v>407</v>
      </c>
      <c r="Q9" t="s">
        <v>408</v>
      </c>
    </row>
    <row r="12" spans="1:20">
      <c r="S12" s="33"/>
      <c r="T12" s="33"/>
    </row>
    <row r="13" spans="1:20">
      <c r="S13" s="33"/>
      <c r="T13" s="34"/>
    </row>
    <row r="14" spans="1:20">
      <c r="S14" s="33"/>
      <c r="T14" s="33"/>
    </row>
    <row r="15" spans="1:20">
      <c r="S15" s="33"/>
      <c r="T15" s="33"/>
    </row>
    <row r="16" spans="1:20">
      <c r="S16" s="33"/>
      <c r="T16" s="33"/>
    </row>
    <row r="17" spans="1:20">
      <c r="S17" s="33"/>
      <c r="T17" s="33"/>
    </row>
    <row r="18" spans="1:20">
      <c r="S18" s="33"/>
      <c r="T18" s="33"/>
    </row>
    <row r="19" spans="1:20">
      <c r="A19" s="33"/>
      <c r="B19" s="33"/>
      <c r="S19" s="33"/>
      <c r="T19" s="33"/>
    </row>
    <row r="20" spans="1:20">
      <c r="A20" s="33"/>
      <c r="B20" s="33"/>
      <c r="S20" s="33"/>
      <c r="T20" s="33"/>
    </row>
    <row r="21" spans="1:20">
      <c r="S21" s="33"/>
      <c r="T21" s="33"/>
    </row>
    <row r="22" spans="1:20">
      <c r="S22" s="33"/>
      <c r="T22" s="33"/>
    </row>
    <row r="23" spans="1:20">
      <c r="S23" s="33"/>
      <c r="T23" s="33"/>
    </row>
    <row r="24" spans="1:20">
      <c r="S24" s="33"/>
      <c r="T24" s="33"/>
    </row>
    <row r="25" spans="1:20">
      <c r="S25" s="33"/>
      <c r="T25" s="33"/>
    </row>
    <row r="26" spans="1:20">
      <c r="S26" s="33"/>
      <c r="T26" s="33"/>
    </row>
    <row r="27" spans="1:20">
      <c r="S27" s="33"/>
      <c r="T27" s="33"/>
    </row>
    <row r="28" spans="1:20">
      <c r="S28" s="33"/>
      <c r="T28" s="33"/>
    </row>
    <row r="29" spans="1:20">
      <c r="S29" s="33"/>
      <c r="T29" s="33"/>
    </row>
    <row r="30" spans="1:20">
      <c r="S30" s="33"/>
      <c r="T30" s="33"/>
    </row>
    <row r="31" spans="1:20">
      <c r="S31" s="33"/>
      <c r="T31" s="33"/>
    </row>
    <row r="32" spans="1:20">
      <c r="S32" s="33"/>
      <c r="T32" s="33"/>
    </row>
    <row r="33" spans="7:20">
      <c r="S33" s="33"/>
      <c r="T33" s="33"/>
    </row>
    <row r="34" spans="7:20">
      <c r="S34" s="33"/>
      <c r="T34" s="33"/>
    </row>
    <row r="35" spans="7:20">
      <c r="S35" s="33"/>
      <c r="T35" s="33"/>
    </row>
    <row r="36" spans="7:20">
      <c r="S36" s="33"/>
      <c r="T36" s="33"/>
    </row>
    <row r="37" spans="7:20">
      <c r="S37" s="33"/>
      <c r="T37" s="33"/>
    </row>
    <row r="38" spans="7:20">
      <c r="S38" s="33"/>
      <c r="T38" s="33"/>
    </row>
    <row r="39" spans="7:20">
      <c r="S39" s="33"/>
      <c r="T39" s="33"/>
    </row>
    <row r="40" spans="7:20">
      <c r="G40" s="33"/>
      <c r="H40" s="33"/>
      <c r="I40" s="33"/>
      <c r="J40" s="33"/>
      <c r="K40" s="33"/>
      <c r="L40" s="33"/>
      <c r="M40" s="33"/>
      <c r="N40" s="33"/>
      <c r="O40" s="33"/>
    </row>
    <row r="41" spans="7:20">
      <c r="G41" s="33"/>
      <c r="H41" s="33"/>
      <c r="I41" s="33"/>
      <c r="J41" s="33"/>
      <c r="K41" s="33"/>
      <c r="L41" s="33"/>
      <c r="M41" s="33"/>
      <c r="N41" s="33"/>
      <c r="O41" s="33"/>
    </row>
    <row r="42" spans="7:20">
      <c r="G42" s="33"/>
      <c r="H42" s="33"/>
      <c r="I42" s="33"/>
      <c r="J42" s="33"/>
      <c r="K42" s="33"/>
      <c r="L42" s="33"/>
      <c r="M42" s="33"/>
      <c r="N42" s="33"/>
      <c r="O42" s="33"/>
      <c r="P42" s="33"/>
    </row>
    <row r="43" spans="7:20">
      <c r="G43" s="33"/>
      <c r="H43" s="33"/>
      <c r="I43" s="33"/>
      <c r="J43" s="33"/>
      <c r="K43" s="33"/>
      <c r="L43" s="33"/>
      <c r="M43" s="33"/>
      <c r="N43" s="33"/>
      <c r="O43" s="33"/>
      <c r="P43" s="33"/>
    </row>
    <row r="51" spans="7:24">
      <c r="G51" s="33"/>
      <c r="H51" s="33"/>
      <c r="I51" s="33"/>
      <c r="J51" s="33"/>
      <c r="K51" s="33"/>
      <c r="L51" s="33"/>
      <c r="M51" s="33"/>
      <c r="N51" s="33"/>
    </row>
    <row r="52" spans="7:24">
      <c r="G52" s="33"/>
      <c r="H52" s="33"/>
      <c r="I52" s="33"/>
      <c r="J52" s="33"/>
      <c r="K52" s="33"/>
      <c r="L52" s="33"/>
      <c r="M52" s="33"/>
      <c r="N52" s="33"/>
    </row>
    <row r="53" spans="7:24">
      <c r="G53" s="33"/>
      <c r="H53" s="33"/>
      <c r="I53" s="33"/>
      <c r="J53" s="33"/>
      <c r="K53" s="33"/>
      <c r="L53" s="33"/>
      <c r="M53" s="33"/>
      <c r="N53" s="33"/>
      <c r="O53" s="33"/>
    </row>
    <row r="54" spans="7:24">
      <c r="G54" s="33"/>
      <c r="H54" s="33"/>
      <c r="I54" s="33"/>
      <c r="J54" s="33"/>
      <c r="K54" s="33"/>
      <c r="L54" s="33"/>
      <c r="M54" s="33"/>
      <c r="N54" s="33"/>
      <c r="O54" s="33"/>
    </row>
    <row r="55" spans="7:24">
      <c r="G55" s="33"/>
      <c r="H55" s="33"/>
      <c r="I55" s="33"/>
      <c r="J55" s="33"/>
      <c r="K55" s="33"/>
      <c r="L55" s="33"/>
      <c r="M55" s="33"/>
    </row>
    <row r="56" spans="7:24">
      <c r="G56" s="33"/>
      <c r="H56" s="33"/>
      <c r="I56" s="33"/>
      <c r="J56" s="33"/>
      <c r="K56" s="33"/>
      <c r="L56" s="33"/>
      <c r="M56" s="33"/>
    </row>
    <row r="57" spans="7:24">
      <c r="G57" s="33"/>
      <c r="H57" s="33"/>
      <c r="I57" s="33"/>
      <c r="J57" s="33"/>
      <c r="K57" s="33"/>
      <c r="L57" s="33"/>
      <c r="M57" s="33"/>
    </row>
    <row r="58" spans="7:24">
      <c r="G58" s="33"/>
      <c r="H58" s="33"/>
      <c r="I58" s="33"/>
      <c r="J58" s="33"/>
      <c r="K58" s="33"/>
      <c r="L58" s="33"/>
      <c r="M58" s="33"/>
    </row>
    <row r="59" spans="7:24"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7:24"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7:24">
      <c r="G61" s="33"/>
      <c r="H61" s="33"/>
      <c r="I61" s="33"/>
      <c r="J61" s="33"/>
      <c r="K61" s="33"/>
      <c r="L61" s="33"/>
      <c r="M61" s="33"/>
      <c r="O61" s="33"/>
      <c r="P61" s="33"/>
      <c r="Q61" s="33"/>
    </row>
    <row r="62" spans="7:24">
      <c r="G62" s="33"/>
      <c r="H62" s="33"/>
      <c r="I62" s="33"/>
      <c r="J62" s="33"/>
      <c r="K62" s="33"/>
      <c r="L62" s="33"/>
      <c r="M62" s="34"/>
      <c r="O62" s="33"/>
      <c r="P62" s="33"/>
      <c r="Q62" s="33"/>
    </row>
    <row r="63" spans="7:24"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7:24"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</sheetData>
  <mergeCells count="17">
    <mergeCell ref="A1:Q1"/>
    <mergeCell ref="A2:H2"/>
    <mergeCell ref="J2:Q2"/>
    <mergeCell ref="A3:E3"/>
    <mergeCell ref="F3:H3"/>
    <mergeCell ref="J3:N3"/>
    <mergeCell ref="O3:Q3"/>
    <mergeCell ref="A5:A9"/>
    <mergeCell ref="B5:B9"/>
    <mergeCell ref="C5:C9"/>
    <mergeCell ref="D5:D9"/>
    <mergeCell ref="E5:E9"/>
    <mergeCell ref="J5:J9"/>
    <mergeCell ref="K5:K9"/>
    <mergeCell ref="L5:L9"/>
    <mergeCell ref="M5:M9"/>
    <mergeCell ref="N5:N9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workbookViewId="0">
      <selection activeCell="A1" sqref="A1:D1"/>
    </sheetView>
  </sheetViews>
  <sheetFormatPr defaultColWidth="9" defaultRowHeight="16.8" outlineLevelCol="5"/>
  <cols>
    <col min="1" max="1" width="8.83035714285714" customWidth="1"/>
    <col min="2" max="2" width="15" customWidth="1"/>
    <col min="4" max="4" width="10.0803571428571" customWidth="1"/>
  </cols>
  <sheetData>
    <row r="1" ht="35.5" customHeight="1" spans="1:6">
      <c r="A1" s="23" t="s">
        <v>410</v>
      </c>
      <c r="B1" s="23"/>
      <c r="C1" s="23"/>
      <c r="D1" s="23"/>
    </row>
    <row r="2" spans="1:6">
      <c r="B2" t="s">
        <v>411</v>
      </c>
      <c r="C2" s="21" t="s">
        <v>412</v>
      </c>
      <c r="D2" s="21" t="s">
        <v>413</v>
      </c>
      <c r="E2" t="s">
        <v>414</v>
      </c>
      <c r="F2" t="s">
        <v>414</v>
      </c>
    </row>
    <row r="3" spans="1:6">
      <c r="B3" t="s">
        <v>415</v>
      </c>
      <c r="C3" s="21" t="s">
        <v>416</v>
      </c>
      <c r="D3" s="21" t="s">
        <v>417</v>
      </c>
      <c r="E3" t="s">
        <v>414</v>
      </c>
      <c r="F3" t="s">
        <v>414</v>
      </c>
    </row>
    <row r="4" spans="1:6">
      <c r="A4" t="s">
        <v>418</v>
      </c>
    </row>
    <row r="5" spans="1:6">
      <c r="A5" t="s">
        <v>419</v>
      </c>
      <c r="B5" t="s">
        <v>420</v>
      </c>
      <c r="C5" s="21">
        <v>1.92</v>
      </c>
      <c r="D5" s="21">
        <v>3.52</v>
      </c>
    </row>
    <row r="6" spans="1:6">
      <c r="A6" t="s">
        <v>392</v>
      </c>
      <c r="B6" t="s">
        <v>391</v>
      </c>
      <c r="C6" s="21">
        <v>9.48</v>
      </c>
      <c r="D6" s="21">
        <v>14.43</v>
      </c>
    </row>
    <row r="7" spans="1:6">
      <c r="A7" t="s">
        <v>396</v>
      </c>
      <c r="B7" t="s">
        <v>395</v>
      </c>
      <c r="C7" s="21">
        <v>9.48</v>
      </c>
      <c r="D7" s="21">
        <v>10.83</v>
      </c>
    </row>
    <row r="8" spans="1:6">
      <c r="A8" t="s">
        <v>400</v>
      </c>
      <c r="B8" t="s">
        <v>399</v>
      </c>
      <c r="C8" s="21">
        <v>22.13</v>
      </c>
      <c r="D8" s="21">
        <v>21.79</v>
      </c>
    </row>
    <row r="9" spans="1:6">
      <c r="A9" t="s">
        <v>404</v>
      </c>
      <c r="B9" t="s">
        <v>403</v>
      </c>
      <c r="C9" s="21">
        <v>29.85</v>
      </c>
      <c r="D9" s="21">
        <v>28.55</v>
      </c>
    </row>
    <row r="10" spans="1:6">
      <c r="A10" t="s">
        <v>408</v>
      </c>
      <c r="B10" t="s">
        <v>407</v>
      </c>
      <c r="C10" s="21">
        <v>23.69</v>
      </c>
      <c r="D10" s="21">
        <v>19.87</v>
      </c>
    </row>
    <row r="11" spans="1:6">
      <c r="C11">
        <f>SUM(C5:C10)</f>
        <v>96.55</v>
      </c>
      <c r="D11">
        <f>SUM(D5:D10)</f>
        <v>98.99</v>
      </c>
    </row>
    <row r="12" spans="1:6">
      <c r="A12" t="s">
        <v>421</v>
      </c>
    </row>
    <row r="13" spans="1:6">
      <c r="A13" t="s">
        <v>419</v>
      </c>
      <c r="B13" t="s">
        <v>420</v>
      </c>
      <c r="C13" s="21">
        <v>0.645</v>
      </c>
      <c r="D13" s="21">
        <v>0.6494</v>
      </c>
    </row>
    <row r="14" spans="1:6">
      <c r="A14" t="s">
        <v>392</v>
      </c>
      <c r="B14" t="s">
        <v>391</v>
      </c>
      <c r="C14" s="21">
        <v>0.7352</v>
      </c>
      <c r="D14" s="21">
        <v>0.7365</v>
      </c>
    </row>
    <row r="15" spans="1:6">
      <c r="A15" t="s">
        <v>396</v>
      </c>
      <c r="B15" t="s">
        <v>395</v>
      </c>
      <c r="C15" s="21">
        <v>0.7906</v>
      </c>
      <c r="D15" s="21">
        <v>0.7971</v>
      </c>
    </row>
    <row r="16" spans="1:6">
      <c r="A16" t="s">
        <v>400</v>
      </c>
      <c r="B16" t="s">
        <v>399</v>
      </c>
      <c r="C16" s="21">
        <v>0.8281</v>
      </c>
      <c r="D16" s="21">
        <v>0.8474</v>
      </c>
    </row>
    <row r="17" spans="1:4">
      <c r="A17" t="s">
        <v>404</v>
      </c>
      <c r="B17" t="s">
        <v>403</v>
      </c>
      <c r="C17" s="21">
        <v>0.8721</v>
      </c>
      <c r="D17" s="21">
        <v>0.902</v>
      </c>
    </row>
    <row r="18" spans="1:4">
      <c r="A18" t="s">
        <v>408</v>
      </c>
      <c r="B18" t="s">
        <v>407</v>
      </c>
      <c r="C18" s="21">
        <v>0.9324</v>
      </c>
      <c r="D18" s="21">
        <v>0.9838</v>
      </c>
    </row>
    <row r="20" spans="1:4">
      <c r="A20" t="s">
        <v>422</v>
      </c>
    </row>
    <row r="21" spans="1:4">
      <c r="A21" t="s">
        <v>419</v>
      </c>
      <c r="B21" t="s">
        <v>420</v>
      </c>
      <c r="C21" s="21">
        <v>0.00497</v>
      </c>
      <c r="D21" s="21">
        <v>0.00197</v>
      </c>
    </row>
    <row r="22" spans="1:4">
      <c r="A22" t="s">
        <v>392</v>
      </c>
      <c r="B22" t="s">
        <v>391</v>
      </c>
      <c r="C22" s="21">
        <v>0.00958</v>
      </c>
      <c r="D22" s="21">
        <v>0.00297</v>
      </c>
    </row>
    <row r="23" spans="1:4">
      <c r="A23" t="s">
        <v>396</v>
      </c>
      <c r="B23" t="s">
        <v>395</v>
      </c>
      <c r="C23" s="21">
        <v>0.0126</v>
      </c>
      <c r="D23" s="21">
        <v>0.00845</v>
      </c>
    </row>
    <row r="24" spans="1:4">
      <c r="A24" t="s">
        <v>400</v>
      </c>
      <c r="B24" t="s">
        <v>399</v>
      </c>
      <c r="C24" s="21">
        <v>0.0453</v>
      </c>
      <c r="D24" s="21">
        <v>0.38</v>
      </c>
    </row>
    <row r="25" spans="1:4">
      <c r="A25" t="s">
        <v>404</v>
      </c>
      <c r="B25" t="s">
        <v>403</v>
      </c>
      <c r="C25" s="21">
        <v>0.08</v>
      </c>
      <c r="D25" s="21">
        <v>0.64</v>
      </c>
    </row>
    <row r="26" spans="1:4">
      <c r="A26" t="s">
        <v>408</v>
      </c>
      <c r="B26" t="s">
        <v>407</v>
      </c>
      <c r="C26" s="21">
        <v>0.16</v>
      </c>
      <c r="D26" s="21">
        <v>1.14</v>
      </c>
    </row>
    <row r="28" spans="1:4">
      <c r="A28" t="s">
        <v>423</v>
      </c>
    </row>
    <row r="29" spans="1:4">
      <c r="A29" t="s">
        <v>404</v>
      </c>
      <c r="B29" t="s">
        <v>403</v>
      </c>
      <c r="C29" s="24" t="s">
        <v>68</v>
      </c>
      <c r="D29" s="21">
        <v>0.17</v>
      </c>
    </row>
    <row r="30" spans="1:4">
      <c r="A30" t="s">
        <v>408</v>
      </c>
      <c r="B30" t="s">
        <v>407</v>
      </c>
      <c r="C30" s="21">
        <v>7.82</v>
      </c>
      <c r="D30" s="21">
        <v>13.33</v>
      </c>
    </row>
    <row r="32" spans="1:4">
      <c r="A32" t="s">
        <v>424</v>
      </c>
    </row>
    <row r="33" spans="1:4">
      <c r="A33" t="s">
        <v>419</v>
      </c>
      <c r="B33" t="s">
        <v>420</v>
      </c>
      <c r="C33" s="21">
        <v>72.3</v>
      </c>
      <c r="D33" s="21">
        <v>64.8</v>
      </c>
    </row>
    <row r="34" spans="1:4">
      <c r="A34" t="s">
        <v>392</v>
      </c>
      <c r="B34" t="s">
        <v>391</v>
      </c>
      <c r="C34" s="24" t="s">
        <v>68</v>
      </c>
      <c r="D34" s="21">
        <v>43.2</v>
      </c>
    </row>
    <row r="36" spans="1:4">
      <c r="A36" t="s">
        <v>425</v>
      </c>
    </row>
    <row r="37" spans="1:4">
      <c r="A37" t="s">
        <v>396</v>
      </c>
      <c r="B37" t="s">
        <v>395</v>
      </c>
      <c r="C37" s="24">
        <v>44.6</v>
      </c>
      <c r="D37" s="24" t="s">
        <v>68</v>
      </c>
    </row>
    <row r="38" spans="1:4">
      <c r="A38" t="s">
        <v>400</v>
      </c>
      <c r="B38" t="s">
        <v>399</v>
      </c>
      <c r="C38" s="24">
        <v>60.9</v>
      </c>
      <c r="D38" s="21">
        <v>58</v>
      </c>
    </row>
    <row r="40" spans="1:4">
      <c r="A40" t="s">
        <v>426</v>
      </c>
    </row>
    <row r="41" spans="1:4">
      <c r="A41" t="s">
        <v>419</v>
      </c>
      <c r="B41" t="s">
        <v>420</v>
      </c>
      <c r="C41" s="21">
        <v>0.42</v>
      </c>
      <c r="D41" s="21">
        <v>1</v>
      </c>
    </row>
    <row r="42" spans="1:4">
      <c r="A42" t="s">
        <v>392</v>
      </c>
      <c r="B42" t="s">
        <v>391</v>
      </c>
      <c r="C42" s="21">
        <v>6.92</v>
      </c>
      <c r="D42" s="21">
        <v>7.86</v>
      </c>
    </row>
    <row r="43" spans="1:4">
      <c r="A43" t="s">
        <v>396</v>
      </c>
      <c r="B43" t="s">
        <v>395</v>
      </c>
      <c r="C43" s="21">
        <v>11.1</v>
      </c>
      <c r="D43" s="21">
        <v>14.6</v>
      </c>
    </row>
    <row r="44" spans="1:4">
      <c r="A44" t="s">
        <v>400</v>
      </c>
      <c r="B44" t="s">
        <v>399</v>
      </c>
      <c r="C44" s="21">
        <v>11.9</v>
      </c>
      <c r="D44" s="21">
        <v>26.5</v>
      </c>
    </row>
    <row r="45" spans="1:4">
      <c r="A45" t="s">
        <v>404</v>
      </c>
      <c r="B45" t="s">
        <v>403</v>
      </c>
      <c r="C45" s="21">
        <v>18.3</v>
      </c>
      <c r="D45" s="21">
        <v>41.5</v>
      </c>
    </row>
    <row r="47" ht="17" spans="1:4">
      <c r="A47" t="s">
        <v>427</v>
      </c>
      <c r="B47" s="25"/>
    </row>
    <row r="48" spans="1:4">
      <c r="A48" t="s">
        <v>419</v>
      </c>
      <c r="B48" t="s">
        <v>420</v>
      </c>
      <c r="C48" s="21">
        <v>65</v>
      </c>
      <c r="D48" s="21">
        <v>65</v>
      </c>
    </row>
    <row r="49" spans="1:4">
      <c r="A49" t="s">
        <v>392</v>
      </c>
      <c r="B49" t="s">
        <v>391</v>
      </c>
      <c r="C49" s="21">
        <v>145</v>
      </c>
      <c r="D49" s="21">
        <v>175</v>
      </c>
    </row>
    <row r="50" spans="1:4">
      <c r="A50" t="s">
        <v>396</v>
      </c>
      <c r="B50" t="s">
        <v>395</v>
      </c>
      <c r="C50" s="21">
        <v>230</v>
      </c>
      <c r="D50" s="21">
        <v>240</v>
      </c>
    </row>
    <row r="51" spans="1:4">
      <c r="A51" t="s">
        <v>400</v>
      </c>
      <c r="B51" t="s">
        <v>399</v>
      </c>
      <c r="C51" s="21">
        <v>350</v>
      </c>
      <c r="D51" s="21">
        <v>360</v>
      </c>
    </row>
    <row r="52" spans="1:4">
      <c r="A52" t="s">
        <v>404</v>
      </c>
      <c r="B52" t="s">
        <v>403</v>
      </c>
      <c r="C52" s="21">
        <v>500</v>
      </c>
      <c r="D52" s="21">
        <v>540</v>
      </c>
    </row>
    <row r="53" spans="1:4">
      <c r="A53" t="s">
        <v>408</v>
      </c>
      <c r="B53" t="s">
        <v>407</v>
      </c>
      <c r="C53" s="21">
        <v>999</v>
      </c>
      <c r="D53" s="21">
        <v>999</v>
      </c>
    </row>
    <row r="54" spans="1:4">
      <c r="A54" s="26"/>
      <c r="B54" s="26"/>
    </row>
    <row r="55" spans="1:4">
      <c r="A55" s="26"/>
      <c r="B55" s="26"/>
    </row>
  </sheetData>
  <mergeCells count="1">
    <mergeCell ref="A1:D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6"/>
  <sheetViews>
    <sheetView zoomScale="90" zoomScaleNormal="90" topLeftCell="A103" workbookViewId="0">
      <selection activeCell="B146" sqref="B146"/>
    </sheetView>
  </sheetViews>
  <sheetFormatPr defaultColWidth="9" defaultRowHeight="16.8" outlineLevelCol="5"/>
  <cols>
    <col min="2" max="2" width="17.1696428571429" customWidth="1"/>
  </cols>
  <sheetData>
    <row r="1" ht="44" customHeight="1" spans="1:6">
      <c r="A1" s="22" t="s">
        <v>428</v>
      </c>
      <c r="B1" s="22"/>
      <c r="C1" s="22"/>
      <c r="D1" s="22"/>
      <c r="E1" s="22"/>
      <c r="F1" s="22"/>
    </row>
    <row r="2" spans="1:6">
      <c r="A2" t="s">
        <v>411</v>
      </c>
      <c r="B2" t="s">
        <v>415</v>
      </c>
      <c r="C2" t="s">
        <v>429</v>
      </c>
      <c r="D2" t="s">
        <v>430</v>
      </c>
      <c r="E2" t="s">
        <v>208</v>
      </c>
      <c r="F2" t="s">
        <v>431</v>
      </c>
    </row>
    <row r="3" spans="1:6">
      <c r="A3" s="21" t="s">
        <v>412</v>
      </c>
      <c r="B3" s="21" t="s">
        <v>416</v>
      </c>
      <c r="C3" s="21">
        <v>36.2</v>
      </c>
      <c r="D3" s="21">
        <v>0.8398</v>
      </c>
      <c r="E3" s="21">
        <v>0.08</v>
      </c>
      <c r="F3" s="21">
        <v>0.04</v>
      </c>
    </row>
    <row r="4" spans="1:6">
      <c r="A4" s="21" t="s">
        <v>413</v>
      </c>
      <c r="B4" s="21" t="s">
        <v>417</v>
      </c>
      <c r="C4" s="21">
        <v>34.5</v>
      </c>
      <c r="D4" s="21">
        <v>0.8497</v>
      </c>
      <c r="E4" s="21">
        <v>0.56</v>
      </c>
      <c r="F4" s="21">
        <v>0.17</v>
      </c>
    </row>
    <row r="5" spans="1:6">
      <c r="A5" t="s">
        <v>432</v>
      </c>
      <c r="B5" t="s">
        <v>433</v>
      </c>
      <c r="C5">
        <v>36.92</v>
      </c>
      <c r="D5">
        <v>0.8363</v>
      </c>
      <c r="E5">
        <v>0.13</v>
      </c>
      <c r="F5">
        <v>0.12</v>
      </c>
    </row>
    <row r="6" spans="1:6">
      <c r="A6" t="s">
        <v>434</v>
      </c>
      <c r="B6" t="s">
        <v>435</v>
      </c>
      <c r="C6">
        <v>32.1</v>
      </c>
      <c r="D6">
        <v>0.861</v>
      </c>
      <c r="E6">
        <v>0.938</v>
      </c>
      <c r="F6">
        <v>0.154</v>
      </c>
    </row>
    <row r="7" spans="1:6">
      <c r="A7" t="s">
        <v>436</v>
      </c>
      <c r="B7" t="s">
        <v>437</v>
      </c>
      <c r="C7">
        <v>28.7</v>
      </c>
      <c r="D7">
        <v>0.8792</v>
      </c>
      <c r="E7">
        <v>0.265</v>
      </c>
      <c r="F7">
        <v>0.333</v>
      </c>
    </row>
    <row r="8" spans="1:6">
      <c r="A8" t="s">
        <v>438</v>
      </c>
      <c r="B8" t="s">
        <v>439</v>
      </c>
      <c r="C8">
        <v>28.4</v>
      </c>
      <c r="D8">
        <v>0.881</v>
      </c>
      <c r="E8">
        <v>2.36</v>
      </c>
      <c r="F8">
        <v>0.123</v>
      </c>
    </row>
    <row r="9" spans="1:6">
      <c r="A9" t="s">
        <v>440</v>
      </c>
      <c r="B9" t="s">
        <v>441</v>
      </c>
      <c r="C9">
        <v>43.3</v>
      </c>
      <c r="D9">
        <v>0.8055</v>
      </c>
      <c r="E9">
        <v>0.03</v>
      </c>
      <c r="F9">
        <v>0.03</v>
      </c>
    </row>
    <row r="10" spans="1:6">
      <c r="A10" t="s">
        <v>442</v>
      </c>
      <c r="B10" t="s">
        <v>443</v>
      </c>
      <c r="C10">
        <v>28.2</v>
      </c>
      <c r="D10">
        <v>0.8822</v>
      </c>
      <c r="E10">
        <v>0.398</v>
      </c>
      <c r="F10">
        <v>0.31</v>
      </c>
    </row>
    <row r="11" spans="1:6">
      <c r="A11" t="s">
        <v>444</v>
      </c>
      <c r="B11" t="s">
        <v>445</v>
      </c>
      <c r="C11">
        <v>61.7</v>
      </c>
      <c r="D11">
        <v>0.728</v>
      </c>
      <c r="E11">
        <v>0.004</v>
      </c>
      <c r="F11">
        <v>0.0241</v>
      </c>
    </row>
    <row r="12" spans="1:6">
      <c r="A12" t="s">
        <v>446</v>
      </c>
      <c r="B12" t="s">
        <v>447</v>
      </c>
      <c r="C12">
        <v>37.1052</v>
      </c>
      <c r="D12">
        <v>0.8349</v>
      </c>
      <c r="E12">
        <v>0.165</v>
      </c>
      <c r="F12">
        <v>0.3</v>
      </c>
    </row>
    <row r="13" spans="1:6">
      <c r="A13" t="s">
        <v>448</v>
      </c>
      <c r="B13" t="s">
        <v>449</v>
      </c>
      <c r="C13">
        <v>43.16</v>
      </c>
      <c r="D13">
        <v>0.806</v>
      </c>
      <c r="E13">
        <v>0.036</v>
      </c>
      <c r="F13">
        <v>0.03</v>
      </c>
    </row>
    <row r="14" spans="1:6">
      <c r="A14" t="s">
        <v>450</v>
      </c>
      <c r="B14" t="s">
        <v>451</v>
      </c>
      <c r="C14">
        <v>31.4</v>
      </c>
      <c r="D14">
        <v>0.8644</v>
      </c>
      <c r="E14">
        <v>2.04</v>
      </c>
      <c r="F14">
        <v>0.11</v>
      </c>
    </row>
    <row r="15" spans="1:6">
      <c r="A15" t="s">
        <v>452</v>
      </c>
      <c r="B15" t="s">
        <v>453</v>
      </c>
      <c r="C15">
        <v>27.7837</v>
      </c>
      <c r="D15">
        <v>0.8843</v>
      </c>
      <c r="E15">
        <v>2.81</v>
      </c>
      <c r="F15">
        <v>0.1</v>
      </c>
    </row>
    <row r="16" spans="1:6">
      <c r="A16" t="s">
        <v>454</v>
      </c>
      <c r="B16" t="s">
        <v>455</v>
      </c>
      <c r="C16">
        <v>40.8</v>
      </c>
      <c r="D16">
        <v>0.8171</v>
      </c>
      <c r="E16">
        <v>0.04</v>
      </c>
      <c r="F16">
        <v>0.06</v>
      </c>
    </row>
    <row r="17" spans="1:6">
      <c r="A17" t="s">
        <v>456</v>
      </c>
      <c r="B17" t="s">
        <v>457</v>
      </c>
      <c r="C17">
        <v>29</v>
      </c>
      <c r="D17">
        <v>0.8816</v>
      </c>
      <c r="E17">
        <v>0.25</v>
      </c>
      <c r="F17">
        <v>0.59</v>
      </c>
    </row>
    <row r="18" spans="1:6">
      <c r="A18" t="s">
        <v>458</v>
      </c>
      <c r="B18" t="s">
        <v>459</v>
      </c>
      <c r="C18">
        <v>33.98</v>
      </c>
      <c r="D18">
        <v>0.8511</v>
      </c>
      <c r="E18">
        <v>0.0799</v>
      </c>
      <c r="F18">
        <v>0.09</v>
      </c>
    </row>
    <row r="19" spans="1:6">
      <c r="A19" t="s">
        <v>460</v>
      </c>
      <c r="B19" t="s">
        <v>461</v>
      </c>
      <c r="C19">
        <v>42.3</v>
      </c>
      <c r="D19">
        <v>0.8101</v>
      </c>
      <c r="E19">
        <v>0.111</v>
      </c>
      <c r="F19">
        <v>0.0227</v>
      </c>
    </row>
    <row r="20" spans="1:6">
      <c r="A20" t="s">
        <v>462</v>
      </c>
      <c r="B20" t="s">
        <v>463</v>
      </c>
      <c r="C20">
        <v>23.93</v>
      </c>
      <c r="D20">
        <v>0.9069</v>
      </c>
      <c r="E20">
        <v>3.1</v>
      </c>
      <c r="F20">
        <v>0.14</v>
      </c>
    </row>
    <row r="21" spans="1:6">
      <c r="A21" t="s">
        <v>464</v>
      </c>
      <c r="B21" t="s">
        <v>465</v>
      </c>
      <c r="C21">
        <v>31.9</v>
      </c>
      <c r="D21">
        <v>0.8622</v>
      </c>
      <c r="E21">
        <v>0.14</v>
      </c>
      <c r="F21">
        <v>0.11</v>
      </c>
    </row>
    <row r="22" spans="1:6">
      <c r="A22" t="s">
        <v>466</v>
      </c>
      <c r="B22" t="s">
        <v>467</v>
      </c>
      <c r="C22">
        <v>37.3</v>
      </c>
      <c r="D22">
        <v>0.8343</v>
      </c>
      <c r="E22">
        <v>0.178</v>
      </c>
      <c r="F22">
        <v>0.162</v>
      </c>
    </row>
    <row r="23" spans="1:6">
      <c r="A23" t="s">
        <v>468</v>
      </c>
      <c r="B23" t="s">
        <v>469</v>
      </c>
      <c r="C23">
        <v>30.44</v>
      </c>
      <c r="D23">
        <v>0.8696</v>
      </c>
      <c r="E23">
        <v>2.92</v>
      </c>
      <c r="F23">
        <v>0.14</v>
      </c>
    </row>
    <row r="24" spans="1:6">
      <c r="A24" t="s">
        <v>470</v>
      </c>
      <c r="B24" t="s">
        <v>471</v>
      </c>
      <c r="C24">
        <v>27.58</v>
      </c>
      <c r="D24">
        <v>0.8854</v>
      </c>
      <c r="E24">
        <v>3.1</v>
      </c>
      <c r="F24">
        <v>0.17</v>
      </c>
    </row>
    <row r="25" spans="1:6">
      <c r="A25" t="s">
        <v>472</v>
      </c>
      <c r="B25" t="s">
        <v>473</v>
      </c>
      <c r="C25">
        <v>28.04</v>
      </c>
      <c r="D25">
        <v>0.883</v>
      </c>
      <c r="E25">
        <v>0.31</v>
      </c>
      <c r="F25">
        <v>0.18</v>
      </c>
    </row>
    <row r="26" spans="1:6">
      <c r="A26" t="s">
        <v>474</v>
      </c>
      <c r="B26" t="s">
        <v>475</v>
      </c>
      <c r="C26">
        <v>63.27</v>
      </c>
      <c r="D26">
        <v>0.722</v>
      </c>
      <c r="E26">
        <v>0.006</v>
      </c>
      <c r="F26">
        <v>0.01</v>
      </c>
    </row>
    <row r="27" spans="1:6">
      <c r="A27" t="s">
        <v>476</v>
      </c>
      <c r="B27" t="s">
        <v>477</v>
      </c>
      <c r="C27">
        <v>31.5052</v>
      </c>
      <c r="D27">
        <v>0.8639</v>
      </c>
      <c r="E27">
        <v>0.365</v>
      </c>
      <c r="F27">
        <v>0.65</v>
      </c>
    </row>
    <row r="28" spans="1:6">
      <c r="A28" t="s">
        <v>478</v>
      </c>
      <c r="B28" t="s">
        <v>479</v>
      </c>
      <c r="C28">
        <v>32.05</v>
      </c>
      <c r="D28">
        <v>0.861</v>
      </c>
      <c r="E28">
        <v>0.16</v>
      </c>
      <c r="F28">
        <v>0.13</v>
      </c>
    </row>
    <row r="29" spans="1:6">
      <c r="A29" t="s">
        <v>480</v>
      </c>
      <c r="B29" t="s">
        <v>481</v>
      </c>
      <c r="C29">
        <v>26.9</v>
      </c>
      <c r="D29">
        <v>0.889</v>
      </c>
      <c r="E29">
        <v>0.537</v>
      </c>
      <c r="F29">
        <v>0.33</v>
      </c>
    </row>
    <row r="30" spans="1:6">
      <c r="A30" t="s">
        <v>482</v>
      </c>
      <c r="B30" t="s">
        <v>483</v>
      </c>
      <c r="C30">
        <v>22.54</v>
      </c>
      <c r="D30">
        <v>0.9152</v>
      </c>
      <c r="E30">
        <v>3.6</v>
      </c>
      <c r="F30">
        <v>1.01</v>
      </c>
    </row>
    <row r="31" spans="1:6">
      <c r="A31" t="s">
        <v>484</v>
      </c>
      <c r="B31" t="s">
        <v>485</v>
      </c>
      <c r="C31">
        <v>33.15</v>
      </c>
      <c r="D31">
        <v>0.8554</v>
      </c>
      <c r="E31">
        <v>0.26</v>
      </c>
      <c r="F31">
        <v>0.53</v>
      </c>
    </row>
    <row r="32" spans="1:6">
      <c r="A32" t="s">
        <v>486</v>
      </c>
      <c r="B32" t="s">
        <v>487</v>
      </c>
      <c r="C32">
        <v>30.3</v>
      </c>
      <c r="D32">
        <v>0.8682</v>
      </c>
      <c r="E32">
        <v>0.12</v>
      </c>
      <c r="F32">
        <v>0.48</v>
      </c>
    </row>
    <row r="33" spans="1:6">
      <c r="A33" t="s">
        <v>488</v>
      </c>
      <c r="B33" t="s">
        <v>489</v>
      </c>
      <c r="C33">
        <v>28</v>
      </c>
      <c r="D33">
        <v>0.8836</v>
      </c>
      <c r="E33">
        <v>3.34</v>
      </c>
      <c r="F33">
        <v>0.22</v>
      </c>
    </row>
    <row r="34" spans="1:6">
      <c r="A34" t="s">
        <v>490</v>
      </c>
      <c r="B34" t="s">
        <v>491</v>
      </c>
      <c r="C34">
        <v>28</v>
      </c>
      <c r="D34">
        <v>0.728</v>
      </c>
      <c r="E34">
        <v>0.00402</v>
      </c>
      <c r="F34">
        <v>0.0241</v>
      </c>
    </row>
    <row r="35" spans="1:6">
      <c r="A35" t="s">
        <v>492</v>
      </c>
      <c r="B35" t="s">
        <v>493</v>
      </c>
      <c r="C35">
        <v>35</v>
      </c>
      <c r="D35">
        <v>0.8484</v>
      </c>
      <c r="E35">
        <v>0.37</v>
      </c>
      <c r="F35">
        <v>0.22</v>
      </c>
    </row>
    <row r="36" spans="1:6">
      <c r="A36" t="s">
        <v>494</v>
      </c>
      <c r="B36" t="s">
        <v>495</v>
      </c>
      <c r="C36">
        <v>23.9</v>
      </c>
      <c r="D36">
        <v>0.9171</v>
      </c>
      <c r="E36">
        <v>0.12</v>
      </c>
      <c r="F36">
        <v>0.46</v>
      </c>
    </row>
    <row r="37" spans="1:6">
      <c r="A37" t="s">
        <v>496</v>
      </c>
      <c r="B37" t="s">
        <v>497</v>
      </c>
      <c r="C37">
        <v>28</v>
      </c>
      <c r="D37">
        <v>0.8836</v>
      </c>
      <c r="E37">
        <v>3.34</v>
      </c>
      <c r="F37">
        <v>0.22</v>
      </c>
    </row>
    <row r="38" spans="1:6">
      <c r="A38" t="s">
        <v>498</v>
      </c>
      <c r="B38" t="s">
        <v>499</v>
      </c>
      <c r="C38">
        <v>31.2</v>
      </c>
      <c r="D38">
        <v>0.9064</v>
      </c>
      <c r="E38">
        <v>0.18</v>
      </c>
      <c r="F38">
        <v>0.69</v>
      </c>
    </row>
    <row r="39" spans="1:6">
      <c r="A39" t="s">
        <v>500</v>
      </c>
      <c r="B39" t="s">
        <v>501</v>
      </c>
      <c r="C39">
        <v>20.3</v>
      </c>
      <c r="D39">
        <v>0.929</v>
      </c>
      <c r="E39">
        <v>0.23</v>
      </c>
      <c r="F39">
        <v>1.34</v>
      </c>
    </row>
    <row r="40" spans="1:6">
      <c r="A40" t="s">
        <v>502</v>
      </c>
      <c r="B40" t="s">
        <v>503</v>
      </c>
      <c r="C40">
        <v>22.22</v>
      </c>
      <c r="D40">
        <v>0.8476</v>
      </c>
      <c r="E40">
        <v>0.597</v>
      </c>
      <c r="F40">
        <v>0.07</v>
      </c>
    </row>
    <row r="41" spans="1:6">
      <c r="A41" t="s">
        <v>504</v>
      </c>
      <c r="B41" t="s">
        <v>505</v>
      </c>
      <c r="C41">
        <v>34.91</v>
      </c>
      <c r="D41">
        <v>0.8465</v>
      </c>
      <c r="E41">
        <v>0.17</v>
      </c>
      <c r="F41">
        <v>0.35</v>
      </c>
    </row>
    <row r="42" spans="1:6">
      <c r="A42" t="s">
        <v>506</v>
      </c>
      <c r="B42" t="s">
        <v>507</v>
      </c>
      <c r="C42">
        <v>38.4</v>
      </c>
      <c r="D42">
        <v>0.8288</v>
      </c>
      <c r="E42">
        <v>0.224</v>
      </c>
      <c r="F42">
        <v>0.127</v>
      </c>
    </row>
    <row r="43" spans="1:6">
      <c r="A43" t="s">
        <v>508</v>
      </c>
      <c r="B43" t="s">
        <v>509</v>
      </c>
      <c r="C43">
        <v>36.7</v>
      </c>
      <c r="D43">
        <v>0.8374</v>
      </c>
      <c r="E43">
        <v>0.41</v>
      </c>
      <c r="F43">
        <v>0.1</v>
      </c>
    </row>
    <row r="44" spans="1:6">
      <c r="A44" t="s">
        <v>510</v>
      </c>
      <c r="B44" t="s">
        <v>511</v>
      </c>
      <c r="C44">
        <v>38.5</v>
      </c>
      <c r="D44">
        <v>0.8282</v>
      </c>
      <c r="E44">
        <v>1.2</v>
      </c>
      <c r="F44">
        <v>0.03</v>
      </c>
    </row>
    <row r="45" spans="1:6">
      <c r="A45" t="s">
        <v>512</v>
      </c>
      <c r="B45" t="s">
        <v>513</v>
      </c>
      <c r="C45">
        <v>34.6</v>
      </c>
      <c r="D45">
        <v>0.898</v>
      </c>
      <c r="E45">
        <v>0.56</v>
      </c>
      <c r="F45">
        <v>0.2</v>
      </c>
    </row>
    <row r="46" spans="1:6">
      <c r="A46" t="s">
        <v>514</v>
      </c>
      <c r="B46" t="s">
        <v>515</v>
      </c>
      <c r="C46">
        <v>24</v>
      </c>
      <c r="D46">
        <v>0.87</v>
      </c>
      <c r="E46">
        <v>2.8</v>
      </c>
      <c r="F46">
        <v>0.15</v>
      </c>
    </row>
    <row r="47" spans="1:6">
      <c r="A47" t="s">
        <v>516</v>
      </c>
      <c r="B47" t="s">
        <v>517</v>
      </c>
      <c r="C47">
        <v>29.73</v>
      </c>
      <c r="D47">
        <v>0.874</v>
      </c>
      <c r="E47">
        <v>0.32</v>
      </c>
      <c r="F47">
        <v>0.39</v>
      </c>
    </row>
    <row r="48" spans="1:6">
      <c r="A48" t="s">
        <v>518</v>
      </c>
      <c r="B48" t="s">
        <v>519</v>
      </c>
      <c r="C48">
        <v>35.7</v>
      </c>
      <c r="D48">
        <v>0.8404</v>
      </c>
      <c r="E48">
        <v>1.02</v>
      </c>
      <c r="F48">
        <v>0.12</v>
      </c>
    </row>
    <row r="49" spans="1:6">
      <c r="A49" t="s">
        <v>520</v>
      </c>
      <c r="B49" t="s">
        <v>521</v>
      </c>
      <c r="C49">
        <v>25.3</v>
      </c>
      <c r="D49">
        <v>0.8736</v>
      </c>
      <c r="E49">
        <v>2.02</v>
      </c>
      <c r="F49">
        <v>0.14</v>
      </c>
    </row>
    <row r="50" spans="1:6">
      <c r="A50" t="s">
        <v>522</v>
      </c>
      <c r="B50" t="s">
        <v>523</v>
      </c>
      <c r="C50">
        <v>31.6</v>
      </c>
      <c r="D50">
        <v>0.8649</v>
      </c>
      <c r="E50">
        <v>0.51</v>
      </c>
      <c r="F50">
        <v>0.64</v>
      </c>
    </row>
    <row r="51" spans="1:6">
      <c r="A51" t="s">
        <v>524</v>
      </c>
      <c r="B51" t="s">
        <v>525</v>
      </c>
      <c r="C51">
        <v>46.4</v>
      </c>
      <c r="D51">
        <v>0.7954</v>
      </c>
      <c r="E51">
        <v>0.052</v>
      </c>
      <c r="F51">
        <v>0.16</v>
      </c>
    </row>
    <row r="52" spans="1:6">
      <c r="A52" t="s">
        <v>526</v>
      </c>
      <c r="B52" t="s">
        <v>527</v>
      </c>
      <c r="C52">
        <v>30.8</v>
      </c>
      <c r="D52">
        <v>0.8682</v>
      </c>
      <c r="E52">
        <v>0.34</v>
      </c>
      <c r="F52">
        <v>0.34</v>
      </c>
    </row>
    <row r="53" spans="1:6">
      <c r="A53" t="s">
        <v>528</v>
      </c>
      <c r="B53" t="s">
        <v>529</v>
      </c>
      <c r="C53">
        <v>29.3</v>
      </c>
      <c r="D53">
        <v>0.8288</v>
      </c>
      <c r="E53">
        <v>0.05</v>
      </c>
      <c r="F53">
        <v>0.2</v>
      </c>
    </row>
    <row r="54" spans="1:6">
      <c r="A54" t="s">
        <v>530</v>
      </c>
      <c r="B54" t="s">
        <v>531</v>
      </c>
      <c r="C54">
        <v>39.1</v>
      </c>
      <c r="D54">
        <v>0.8256</v>
      </c>
      <c r="E54">
        <v>0.0657</v>
      </c>
      <c r="F54">
        <v>0.0518</v>
      </c>
    </row>
    <row r="55" spans="1:6">
      <c r="A55" t="s">
        <v>532</v>
      </c>
      <c r="B55" t="s">
        <v>533</v>
      </c>
      <c r="C55">
        <v>29.8</v>
      </c>
      <c r="D55">
        <v>0.8564</v>
      </c>
      <c r="E55">
        <v>1.46</v>
      </c>
      <c r="F55">
        <v>0.06</v>
      </c>
    </row>
    <row r="56" spans="1:6">
      <c r="A56" t="s">
        <v>534</v>
      </c>
      <c r="B56" t="s">
        <v>535</v>
      </c>
      <c r="C56">
        <v>33</v>
      </c>
      <c r="D56">
        <v>0.7823</v>
      </c>
      <c r="E56">
        <v>0.08</v>
      </c>
      <c r="F56">
        <v>0.01</v>
      </c>
    </row>
    <row r="57" spans="1:6">
      <c r="A57" t="s">
        <v>536</v>
      </c>
      <c r="B57" t="s">
        <v>537</v>
      </c>
      <c r="C57">
        <v>27.1</v>
      </c>
      <c r="D57">
        <v>0.8068</v>
      </c>
      <c r="E57">
        <v>0.15</v>
      </c>
      <c r="F57">
        <v>0.07</v>
      </c>
    </row>
    <row r="58" spans="1:6">
      <c r="A58" t="s">
        <v>538</v>
      </c>
      <c r="B58" t="s">
        <v>539</v>
      </c>
      <c r="C58">
        <v>32.1</v>
      </c>
      <c r="D58">
        <v>0.8612</v>
      </c>
      <c r="E58">
        <v>1.8</v>
      </c>
      <c r="F58">
        <v>0.09</v>
      </c>
    </row>
    <row r="59" spans="1:6">
      <c r="A59" t="s">
        <v>540</v>
      </c>
      <c r="B59" t="s">
        <v>541</v>
      </c>
      <c r="C59">
        <v>35</v>
      </c>
      <c r="D59">
        <v>0.8736</v>
      </c>
      <c r="E59">
        <v>0.37</v>
      </c>
      <c r="F59">
        <v>0.29</v>
      </c>
    </row>
    <row r="60" spans="1:6">
      <c r="A60" t="s">
        <v>542</v>
      </c>
      <c r="B60" t="s">
        <v>543</v>
      </c>
      <c r="C60">
        <v>28</v>
      </c>
      <c r="D60">
        <v>0.8836</v>
      </c>
      <c r="E60">
        <v>3.34</v>
      </c>
      <c r="F60">
        <v>0.22</v>
      </c>
    </row>
    <row r="61" spans="1:6">
      <c r="A61" t="s">
        <v>544</v>
      </c>
      <c r="B61" t="s">
        <v>545</v>
      </c>
      <c r="C61">
        <v>28</v>
      </c>
      <c r="D61">
        <v>0.8836</v>
      </c>
      <c r="E61">
        <v>3.34</v>
      </c>
      <c r="F61">
        <v>0.22</v>
      </c>
    </row>
    <row r="62" spans="1:6">
      <c r="A62" t="s">
        <v>546</v>
      </c>
      <c r="B62" t="s">
        <v>547</v>
      </c>
      <c r="C62">
        <v>48.12</v>
      </c>
      <c r="D62">
        <v>0.7836</v>
      </c>
      <c r="E62">
        <v>0.32</v>
      </c>
      <c r="F62">
        <v>0.22</v>
      </c>
    </row>
    <row r="63" spans="1:6">
      <c r="A63" t="s">
        <v>548</v>
      </c>
      <c r="B63" t="s">
        <v>549</v>
      </c>
      <c r="C63">
        <v>39.7</v>
      </c>
      <c r="D63">
        <v>0.8705</v>
      </c>
      <c r="E63">
        <v>0.39</v>
      </c>
      <c r="F63">
        <v>0.44</v>
      </c>
    </row>
    <row r="64" spans="1:6">
      <c r="A64" t="s">
        <v>550</v>
      </c>
      <c r="B64" t="s">
        <v>551</v>
      </c>
      <c r="C64">
        <v>30.95</v>
      </c>
      <c r="D64">
        <v>0.8669</v>
      </c>
      <c r="E64">
        <v>0.35</v>
      </c>
      <c r="F64">
        <v>0.52</v>
      </c>
    </row>
    <row r="65" spans="1:6">
      <c r="A65" t="s">
        <v>552</v>
      </c>
      <c r="B65" t="s">
        <v>553</v>
      </c>
      <c r="C65">
        <v>30.4</v>
      </c>
      <c r="D65">
        <v>0.8366</v>
      </c>
      <c r="E65">
        <v>0.07</v>
      </c>
      <c r="F65">
        <v>0.06</v>
      </c>
    </row>
    <row r="66" spans="1:6">
      <c r="A66" t="s">
        <v>554</v>
      </c>
      <c r="B66" t="s">
        <v>555</v>
      </c>
      <c r="C66">
        <v>30.4</v>
      </c>
      <c r="D66">
        <v>0.9099</v>
      </c>
      <c r="E66">
        <v>2.45</v>
      </c>
      <c r="F66">
        <v>0.78</v>
      </c>
    </row>
    <row r="67" spans="1:6">
      <c r="A67" t="s">
        <v>556</v>
      </c>
      <c r="B67" t="s">
        <v>557</v>
      </c>
      <c r="C67">
        <v>36.9</v>
      </c>
      <c r="D67">
        <v>0.9302</v>
      </c>
      <c r="E67">
        <v>0.28</v>
      </c>
      <c r="F67">
        <v>1.7</v>
      </c>
    </row>
    <row r="68" spans="1:6">
      <c r="A68" t="s">
        <v>558</v>
      </c>
      <c r="B68" t="s">
        <v>559</v>
      </c>
      <c r="C68">
        <v>21.3</v>
      </c>
      <c r="D68">
        <v>0.9326</v>
      </c>
      <c r="E68">
        <v>0.75</v>
      </c>
      <c r="F68">
        <v>1.36</v>
      </c>
    </row>
    <row r="69" spans="1:6">
      <c r="A69" t="s">
        <v>560</v>
      </c>
      <c r="B69" t="s">
        <v>561</v>
      </c>
      <c r="C69">
        <v>31.92</v>
      </c>
      <c r="D69">
        <v>0.884</v>
      </c>
      <c r="E69">
        <v>0.72</v>
      </c>
      <c r="F69">
        <v>0.2</v>
      </c>
    </row>
    <row r="70" spans="1:6">
      <c r="A70" t="s">
        <v>562</v>
      </c>
      <c r="B70" t="s">
        <v>563</v>
      </c>
      <c r="C70">
        <v>23.93</v>
      </c>
      <c r="D70">
        <v>0.8349</v>
      </c>
      <c r="E70">
        <v>0.165</v>
      </c>
      <c r="F70">
        <v>0.3</v>
      </c>
    </row>
    <row r="71" spans="1:6">
      <c r="A71" t="s">
        <v>564</v>
      </c>
      <c r="B71" t="s">
        <v>565</v>
      </c>
      <c r="C71">
        <v>19.7</v>
      </c>
      <c r="D71">
        <v>0.827</v>
      </c>
      <c r="E71">
        <v>0.84</v>
      </c>
      <c r="F71">
        <v>0.09</v>
      </c>
    </row>
    <row r="72" spans="1:6">
      <c r="A72" t="s">
        <v>566</v>
      </c>
      <c r="B72" t="s">
        <v>567</v>
      </c>
      <c r="C72">
        <v>51.7</v>
      </c>
      <c r="D72">
        <v>0.7756</v>
      </c>
      <c r="E72">
        <v>0.22</v>
      </c>
      <c r="F72">
        <v>0.02</v>
      </c>
    </row>
    <row r="73" spans="1:6">
      <c r="A73" t="s">
        <v>568</v>
      </c>
      <c r="B73" t="s">
        <v>569</v>
      </c>
      <c r="C73">
        <v>34.5</v>
      </c>
      <c r="D73">
        <v>0.9485</v>
      </c>
      <c r="E73">
        <v>0.4</v>
      </c>
      <c r="F73">
        <v>1.614</v>
      </c>
    </row>
    <row r="74" spans="1:6">
      <c r="A74" t="s">
        <v>570</v>
      </c>
      <c r="B74" t="s">
        <v>571</v>
      </c>
      <c r="C74">
        <v>38.8</v>
      </c>
      <c r="D74">
        <v>0.8476</v>
      </c>
      <c r="E74">
        <v>0.08</v>
      </c>
      <c r="F74">
        <v>0.03</v>
      </c>
    </row>
    <row r="75" spans="1:6">
      <c r="A75" t="s">
        <v>572</v>
      </c>
      <c r="B75" t="s">
        <v>573</v>
      </c>
      <c r="C75">
        <v>30.3</v>
      </c>
      <c r="D75">
        <v>0.8778</v>
      </c>
      <c r="E75">
        <v>1.2</v>
      </c>
      <c r="F75">
        <v>0.52</v>
      </c>
    </row>
    <row r="76" spans="1:6">
      <c r="A76" t="s">
        <v>574</v>
      </c>
      <c r="B76" t="s">
        <v>575</v>
      </c>
      <c r="C76">
        <v>30</v>
      </c>
      <c r="D76">
        <v>0.8725</v>
      </c>
      <c r="E76">
        <v>0.4</v>
      </c>
      <c r="F76">
        <v>0.72</v>
      </c>
    </row>
    <row r="77" spans="1:6">
      <c r="A77" t="s">
        <v>576</v>
      </c>
      <c r="B77" t="s">
        <v>577</v>
      </c>
      <c r="C77">
        <v>29</v>
      </c>
      <c r="D77">
        <v>0.8572</v>
      </c>
      <c r="E77">
        <v>1.3</v>
      </c>
      <c r="F77">
        <v>0.46</v>
      </c>
    </row>
    <row r="78" spans="1:6">
      <c r="A78" t="s">
        <v>578</v>
      </c>
      <c r="B78" t="s">
        <v>579</v>
      </c>
      <c r="C78">
        <v>35.3</v>
      </c>
      <c r="D78">
        <v>0.8612</v>
      </c>
      <c r="E78">
        <v>0.63</v>
      </c>
      <c r="F78">
        <v>0.08</v>
      </c>
    </row>
    <row r="79" spans="1:6">
      <c r="A79" t="s">
        <v>580</v>
      </c>
      <c r="B79" t="s">
        <v>581</v>
      </c>
      <c r="C79">
        <v>28</v>
      </c>
      <c r="D79">
        <v>0.8836</v>
      </c>
      <c r="E79">
        <v>3.34</v>
      </c>
      <c r="F79">
        <v>0.22</v>
      </c>
    </row>
    <row r="80" spans="1:6">
      <c r="A80" t="s">
        <v>582</v>
      </c>
      <c r="B80" t="s">
        <v>583</v>
      </c>
      <c r="C80">
        <v>48.3</v>
      </c>
      <c r="D80">
        <v>0.8231</v>
      </c>
      <c r="E80">
        <v>0.23</v>
      </c>
      <c r="F80">
        <v>0.46</v>
      </c>
    </row>
    <row r="81" spans="1:6">
      <c r="A81" t="s">
        <v>584</v>
      </c>
      <c r="B81" t="s">
        <v>585</v>
      </c>
      <c r="C81">
        <v>28</v>
      </c>
      <c r="D81">
        <v>0.8836</v>
      </c>
      <c r="E81">
        <v>3.34</v>
      </c>
      <c r="F81">
        <v>0.22</v>
      </c>
    </row>
    <row r="82" spans="1:6">
      <c r="A82" t="s">
        <v>586</v>
      </c>
      <c r="B82" t="s">
        <v>587</v>
      </c>
      <c r="C82">
        <v>29.88</v>
      </c>
      <c r="D82">
        <v>0.8727</v>
      </c>
      <c r="E82">
        <v>1.39</v>
      </c>
      <c r="F82">
        <v>0.62</v>
      </c>
    </row>
    <row r="83" spans="1:6">
      <c r="A83" t="s">
        <v>588</v>
      </c>
      <c r="B83" t="s">
        <v>589</v>
      </c>
      <c r="C83">
        <v>32.1</v>
      </c>
      <c r="D83">
        <v>0.8479</v>
      </c>
      <c r="E83">
        <v>0.05</v>
      </c>
      <c r="F83">
        <v>0.28</v>
      </c>
    </row>
    <row r="84" spans="1:6">
      <c r="A84" t="s">
        <v>590</v>
      </c>
      <c r="B84" t="s">
        <v>591</v>
      </c>
      <c r="C84">
        <v>34.6</v>
      </c>
      <c r="D84">
        <v>0.7934</v>
      </c>
      <c r="E84">
        <v>0.03</v>
      </c>
      <c r="F84">
        <v>0.05</v>
      </c>
    </row>
    <row r="85" spans="1:6">
      <c r="A85" t="s">
        <v>592</v>
      </c>
      <c r="B85" t="s">
        <v>593</v>
      </c>
      <c r="C85">
        <v>46.8</v>
      </c>
      <c r="D85">
        <v>0.8342</v>
      </c>
      <c r="E85">
        <v>0.3</v>
      </c>
      <c r="F85">
        <v>0.21</v>
      </c>
    </row>
    <row r="86" spans="1:6">
      <c r="A86" t="s">
        <v>594</v>
      </c>
      <c r="B86" t="s">
        <v>595</v>
      </c>
      <c r="C86">
        <v>39.5</v>
      </c>
      <c r="D86">
        <v>0.9292</v>
      </c>
      <c r="E86">
        <v>1.1</v>
      </c>
      <c r="F86">
        <v>0.49</v>
      </c>
    </row>
    <row r="87" spans="1:6">
      <c r="A87" t="s">
        <v>596</v>
      </c>
      <c r="B87" t="s">
        <v>597</v>
      </c>
      <c r="C87">
        <v>28</v>
      </c>
      <c r="D87">
        <v>0.8836</v>
      </c>
      <c r="E87">
        <v>3.34</v>
      </c>
      <c r="F87">
        <v>0.22</v>
      </c>
    </row>
    <row r="88" spans="1:6">
      <c r="A88" t="s">
        <v>598</v>
      </c>
      <c r="B88" t="s">
        <v>599</v>
      </c>
      <c r="C88">
        <v>28</v>
      </c>
      <c r="D88">
        <v>0.8836</v>
      </c>
      <c r="E88">
        <v>3.34</v>
      </c>
      <c r="F88">
        <v>0.22</v>
      </c>
    </row>
    <row r="89" spans="1:6">
      <c r="A89" t="s">
        <v>600</v>
      </c>
      <c r="B89" t="s">
        <v>601</v>
      </c>
      <c r="C89">
        <v>32.9</v>
      </c>
      <c r="D89">
        <v>0.8599</v>
      </c>
      <c r="E89">
        <v>0.39</v>
      </c>
      <c r="F89">
        <v>0.16</v>
      </c>
    </row>
    <row r="90" spans="1:6">
      <c r="A90" t="s">
        <v>602</v>
      </c>
      <c r="B90" t="s">
        <v>603</v>
      </c>
      <c r="C90">
        <v>28</v>
      </c>
      <c r="D90">
        <v>0.8836</v>
      </c>
      <c r="E90">
        <v>3.34</v>
      </c>
      <c r="F90">
        <v>0.22</v>
      </c>
    </row>
    <row r="91" spans="1:6">
      <c r="A91" t="s">
        <v>604</v>
      </c>
      <c r="B91" t="s">
        <v>605</v>
      </c>
      <c r="C91">
        <v>37.3</v>
      </c>
      <c r="D91">
        <v>0.8342</v>
      </c>
      <c r="E91">
        <v>0.3</v>
      </c>
      <c r="F91">
        <v>0.21</v>
      </c>
    </row>
    <row r="92" spans="1:6">
      <c r="A92" t="s">
        <v>606</v>
      </c>
      <c r="B92" t="s">
        <v>607</v>
      </c>
      <c r="C92">
        <v>27.7</v>
      </c>
      <c r="D92">
        <v>0.816</v>
      </c>
      <c r="E92">
        <v>1.21</v>
      </c>
      <c r="F92">
        <v>0.08</v>
      </c>
    </row>
    <row r="93" spans="1:6">
      <c r="A93" t="s">
        <v>608</v>
      </c>
      <c r="B93" t="s">
        <v>609</v>
      </c>
      <c r="C93">
        <v>23</v>
      </c>
      <c r="D93">
        <v>0.9001</v>
      </c>
      <c r="E93">
        <v>0.422</v>
      </c>
      <c r="F93">
        <v>1.45</v>
      </c>
    </row>
    <row r="94" spans="1:6">
      <c r="A94" t="s">
        <v>610</v>
      </c>
      <c r="B94" t="s">
        <v>611</v>
      </c>
      <c r="C94">
        <v>36.5</v>
      </c>
      <c r="D94">
        <v>0.8378</v>
      </c>
      <c r="E94">
        <v>0.2</v>
      </c>
      <c r="F94">
        <v>0.02</v>
      </c>
    </row>
    <row r="95" spans="1:6">
      <c r="A95" t="s">
        <v>612</v>
      </c>
      <c r="B95" t="s">
        <v>613</v>
      </c>
      <c r="C95">
        <v>32.34</v>
      </c>
      <c r="D95">
        <v>0.88</v>
      </c>
      <c r="E95">
        <v>0.54</v>
      </c>
      <c r="F95">
        <v>0.17</v>
      </c>
    </row>
    <row r="96" spans="1:6">
      <c r="A96" t="s">
        <v>614</v>
      </c>
      <c r="B96" t="s">
        <v>615</v>
      </c>
      <c r="C96">
        <v>20.2</v>
      </c>
      <c r="D96">
        <v>0.8541</v>
      </c>
      <c r="E96">
        <v>0.11</v>
      </c>
      <c r="F96">
        <v>0.16</v>
      </c>
    </row>
    <row r="97" spans="1:6">
      <c r="A97" t="s">
        <v>616</v>
      </c>
      <c r="B97" t="s">
        <v>617</v>
      </c>
      <c r="C97">
        <v>25.1</v>
      </c>
      <c r="D97">
        <v>0.87</v>
      </c>
      <c r="E97">
        <v>0.33</v>
      </c>
      <c r="F97">
        <v>0.25</v>
      </c>
    </row>
    <row r="98" spans="1:6">
      <c r="A98" t="s">
        <v>618</v>
      </c>
      <c r="B98" t="s">
        <v>619</v>
      </c>
      <c r="C98">
        <v>41.2</v>
      </c>
      <c r="D98">
        <v>0.8353</v>
      </c>
      <c r="E98">
        <v>0.045</v>
      </c>
      <c r="F98">
        <v>0.06</v>
      </c>
    </row>
    <row r="99" spans="1:6">
      <c r="A99" t="s">
        <v>620</v>
      </c>
      <c r="B99" t="s">
        <v>621</v>
      </c>
      <c r="C99">
        <v>33.36</v>
      </c>
      <c r="D99">
        <v>0.8693</v>
      </c>
      <c r="E99">
        <v>2.48</v>
      </c>
      <c r="F99">
        <v>0.22</v>
      </c>
    </row>
    <row r="100" spans="1:6">
      <c r="A100" t="s">
        <v>622</v>
      </c>
      <c r="B100" t="s">
        <v>623</v>
      </c>
      <c r="C100">
        <v>30.95</v>
      </c>
      <c r="D100">
        <v>0.7836</v>
      </c>
      <c r="E100">
        <v>0.0313</v>
      </c>
      <c r="F100">
        <v>0.02</v>
      </c>
    </row>
    <row r="101" spans="1:6">
      <c r="A101" t="s">
        <v>624</v>
      </c>
      <c r="B101" t="s">
        <v>625</v>
      </c>
      <c r="C101">
        <v>34.5</v>
      </c>
      <c r="D101">
        <v>0.8484</v>
      </c>
      <c r="E101">
        <v>0.18</v>
      </c>
      <c r="F101">
        <v>0.09</v>
      </c>
    </row>
    <row r="102" spans="1:6">
      <c r="A102" t="s">
        <v>626</v>
      </c>
      <c r="B102" t="s">
        <v>627</v>
      </c>
      <c r="C102">
        <v>33.15</v>
      </c>
      <c r="D102">
        <v>0.8458</v>
      </c>
      <c r="E102">
        <v>0.26</v>
      </c>
      <c r="F102">
        <v>0.5</v>
      </c>
    </row>
    <row r="103" spans="1:6">
      <c r="A103" t="s">
        <v>628</v>
      </c>
      <c r="B103" t="s">
        <v>629</v>
      </c>
      <c r="C103">
        <v>18.36</v>
      </c>
      <c r="D103">
        <v>0.9405</v>
      </c>
      <c r="E103">
        <v>0.67</v>
      </c>
      <c r="F103">
        <v>2.63</v>
      </c>
    </row>
    <row r="104" spans="1:6">
      <c r="A104" t="s">
        <v>630</v>
      </c>
      <c r="B104" t="s">
        <v>631</v>
      </c>
      <c r="C104">
        <v>28.6</v>
      </c>
      <c r="D104">
        <v>0.8862</v>
      </c>
      <c r="E104">
        <v>3.1</v>
      </c>
      <c r="F104">
        <v>0.24</v>
      </c>
    </row>
    <row r="105" spans="1:6">
      <c r="A105" t="s">
        <v>632</v>
      </c>
      <c r="B105" t="s">
        <v>633</v>
      </c>
      <c r="C105">
        <v>38.5</v>
      </c>
      <c r="D105">
        <v>0.8407</v>
      </c>
      <c r="E105">
        <v>0.08</v>
      </c>
      <c r="F105">
        <v>0.1</v>
      </c>
    </row>
    <row r="106" spans="1:6">
      <c r="A106" t="s">
        <v>634</v>
      </c>
      <c r="B106" t="s">
        <v>635</v>
      </c>
      <c r="C106">
        <v>28</v>
      </c>
      <c r="D106">
        <v>0.8836</v>
      </c>
      <c r="E106">
        <v>3.34</v>
      </c>
      <c r="F106">
        <v>0.22</v>
      </c>
    </row>
    <row r="107" spans="1:6">
      <c r="A107" t="s">
        <v>636</v>
      </c>
      <c r="B107" t="s">
        <v>637</v>
      </c>
      <c r="C107">
        <v>35.5</v>
      </c>
      <c r="D107">
        <v>0.8285</v>
      </c>
      <c r="E107">
        <v>0.15</v>
      </c>
      <c r="F107">
        <v>0.06</v>
      </c>
    </row>
    <row r="108" spans="1:6">
      <c r="A108" t="s">
        <v>638</v>
      </c>
      <c r="B108" t="s">
        <v>639</v>
      </c>
      <c r="C108">
        <v>27.5</v>
      </c>
      <c r="D108">
        <v>0.8544</v>
      </c>
      <c r="E108">
        <v>2</v>
      </c>
      <c r="F108">
        <v>0.05</v>
      </c>
    </row>
    <row r="109" spans="1:6">
      <c r="A109" t="s">
        <v>640</v>
      </c>
      <c r="B109" t="s">
        <v>641</v>
      </c>
      <c r="C109">
        <v>33.4</v>
      </c>
      <c r="D109">
        <v>0.863</v>
      </c>
      <c r="E109">
        <v>1.9</v>
      </c>
      <c r="F109">
        <v>0.07</v>
      </c>
    </row>
    <row r="110" spans="1:6">
      <c r="A110" t="s">
        <v>642</v>
      </c>
      <c r="B110" t="s">
        <v>643</v>
      </c>
      <c r="C110">
        <v>30.5</v>
      </c>
      <c r="D110">
        <v>0.8201</v>
      </c>
      <c r="E110">
        <v>0.13</v>
      </c>
      <c r="F110">
        <v>0.02</v>
      </c>
    </row>
    <row r="111" spans="1:6">
      <c r="A111" t="s">
        <v>644</v>
      </c>
      <c r="B111" t="s">
        <v>645</v>
      </c>
      <c r="C111">
        <v>23.2</v>
      </c>
      <c r="D111">
        <v>0.8485</v>
      </c>
      <c r="E111">
        <v>0.25</v>
      </c>
      <c r="F111">
        <v>0.78</v>
      </c>
    </row>
    <row r="112" spans="1:6">
      <c r="A112" t="s">
        <v>646</v>
      </c>
      <c r="B112" t="s">
        <v>647</v>
      </c>
      <c r="C112">
        <v>31.5</v>
      </c>
      <c r="D112">
        <v>0.8642</v>
      </c>
      <c r="E112">
        <v>0.55</v>
      </c>
      <c r="F112">
        <v>0.67</v>
      </c>
    </row>
    <row r="113" spans="1:6">
      <c r="A113" t="s">
        <v>648</v>
      </c>
      <c r="B113" t="s">
        <v>649</v>
      </c>
      <c r="C113">
        <v>28.8</v>
      </c>
      <c r="D113">
        <v>0.8554</v>
      </c>
      <c r="E113">
        <v>0.26</v>
      </c>
      <c r="F113">
        <v>0.53</v>
      </c>
    </row>
    <row r="114" spans="1:6">
      <c r="A114" t="s">
        <v>650</v>
      </c>
      <c r="B114" t="s">
        <v>651</v>
      </c>
      <c r="C114">
        <v>28</v>
      </c>
      <c r="D114">
        <v>0.8836</v>
      </c>
      <c r="E114">
        <v>3.34</v>
      </c>
      <c r="F114">
        <v>0.22</v>
      </c>
    </row>
    <row r="115" spans="1:6">
      <c r="A115" t="s">
        <v>652</v>
      </c>
      <c r="B115" t="s">
        <v>653</v>
      </c>
      <c r="C115">
        <v>18.54</v>
      </c>
      <c r="D115">
        <v>0.9398</v>
      </c>
      <c r="E115">
        <v>1.1</v>
      </c>
      <c r="F115">
        <v>2.25</v>
      </c>
    </row>
    <row r="116" spans="1:6">
      <c r="A116" t="s">
        <v>654</v>
      </c>
      <c r="B116" t="s">
        <v>655</v>
      </c>
      <c r="C116">
        <v>43.4</v>
      </c>
      <c r="D116">
        <v>0.8651</v>
      </c>
      <c r="E116">
        <v>0.094</v>
      </c>
      <c r="F116">
        <v>0.05</v>
      </c>
    </row>
    <row r="117" spans="1:6">
      <c r="A117" t="s">
        <v>656</v>
      </c>
      <c r="B117" t="s">
        <v>657</v>
      </c>
      <c r="C117">
        <v>31.3</v>
      </c>
      <c r="D117">
        <v>0.9413</v>
      </c>
      <c r="E117">
        <v>3.63</v>
      </c>
      <c r="F117">
        <v>0.52</v>
      </c>
    </row>
    <row r="118" spans="1:6">
      <c r="A118" t="s">
        <v>658</v>
      </c>
      <c r="B118" t="s">
        <v>659</v>
      </c>
      <c r="C118">
        <v>28.1</v>
      </c>
      <c r="D118">
        <v>0.884</v>
      </c>
      <c r="E118">
        <v>0.33</v>
      </c>
      <c r="F118">
        <v>0.64</v>
      </c>
    </row>
    <row r="119" spans="1:6">
      <c r="A119" t="s">
        <v>660</v>
      </c>
      <c r="B119" t="s">
        <v>661</v>
      </c>
      <c r="C119">
        <v>39.7</v>
      </c>
      <c r="D119">
        <v>0.8228</v>
      </c>
      <c r="E119">
        <v>0.24</v>
      </c>
      <c r="F119">
        <v>0.13</v>
      </c>
    </row>
    <row r="120" spans="1:6">
      <c r="A120" t="s">
        <v>662</v>
      </c>
      <c r="B120" t="s">
        <v>663</v>
      </c>
      <c r="C120">
        <v>27</v>
      </c>
      <c r="D120">
        <v>0.889</v>
      </c>
      <c r="E120">
        <v>0.419</v>
      </c>
      <c r="F120">
        <v>0.37</v>
      </c>
    </row>
    <row r="121" spans="1:6">
      <c r="A121" t="s">
        <v>664</v>
      </c>
      <c r="B121" t="s">
        <v>665</v>
      </c>
      <c r="C121">
        <v>41</v>
      </c>
      <c r="D121">
        <v>0.8836</v>
      </c>
      <c r="E121">
        <v>2.9</v>
      </c>
      <c r="F121">
        <v>0.23</v>
      </c>
    </row>
    <row r="122" spans="1:6">
      <c r="A122" t="s">
        <v>666</v>
      </c>
      <c r="B122" t="s">
        <v>667</v>
      </c>
      <c r="C122">
        <v>54.12</v>
      </c>
      <c r="D122">
        <v>0.7575</v>
      </c>
      <c r="E122">
        <v>0.0054</v>
      </c>
      <c r="F122">
        <v>0.11</v>
      </c>
    </row>
    <row r="123" spans="1:6">
      <c r="A123" t="s">
        <v>668</v>
      </c>
      <c r="B123" t="s">
        <v>669</v>
      </c>
      <c r="C123">
        <v>38.5</v>
      </c>
      <c r="D123">
        <v>0.8428</v>
      </c>
      <c r="E123">
        <v>0.06</v>
      </c>
      <c r="F123">
        <v>0.05</v>
      </c>
    </row>
    <row r="124" spans="1:6">
      <c r="A124" t="s">
        <v>670</v>
      </c>
      <c r="B124" t="s">
        <v>671</v>
      </c>
      <c r="C124">
        <v>31.7</v>
      </c>
      <c r="D124">
        <v>0.8601</v>
      </c>
      <c r="E124">
        <v>1.38</v>
      </c>
      <c r="F124">
        <v>0.06</v>
      </c>
    </row>
    <row r="125" spans="1:6">
      <c r="A125" t="s">
        <v>672</v>
      </c>
      <c r="B125" t="s">
        <v>673</v>
      </c>
      <c r="C125">
        <v>28</v>
      </c>
      <c r="D125">
        <v>0.8836</v>
      </c>
      <c r="E125">
        <v>3.34</v>
      </c>
      <c r="F125">
        <v>0.22</v>
      </c>
    </row>
    <row r="126" spans="1:6">
      <c r="A126" t="s">
        <v>674</v>
      </c>
      <c r="B126" t="s">
        <v>675</v>
      </c>
      <c r="C126">
        <v>18.7</v>
      </c>
      <c r="D126">
        <v>0.9388</v>
      </c>
      <c r="E126">
        <v>3.7</v>
      </c>
      <c r="F126">
        <v>0.44</v>
      </c>
    </row>
    <row r="127" spans="1:6">
      <c r="A127" t="s">
        <v>676</v>
      </c>
      <c r="B127" t="s">
        <v>677</v>
      </c>
      <c r="C127">
        <v>27.1</v>
      </c>
      <c r="D127">
        <v>0.8884</v>
      </c>
      <c r="E127">
        <v>0.72</v>
      </c>
      <c r="F127">
        <v>0.92</v>
      </c>
    </row>
    <row r="128" spans="1:6">
      <c r="A128" t="s">
        <v>678</v>
      </c>
      <c r="B128" t="s">
        <v>679</v>
      </c>
      <c r="C128">
        <v>35.6</v>
      </c>
      <c r="D128">
        <v>0.9676</v>
      </c>
      <c r="E128">
        <v>0.39</v>
      </c>
      <c r="F128">
        <v>0.14</v>
      </c>
    </row>
    <row r="129" spans="1:6">
      <c r="A129" t="s">
        <v>680</v>
      </c>
      <c r="B129" t="s">
        <v>681</v>
      </c>
      <c r="C129">
        <v>15.79</v>
      </c>
      <c r="D129">
        <v>0.7956</v>
      </c>
      <c r="E129">
        <v>0.03</v>
      </c>
      <c r="F129">
        <v>0.17</v>
      </c>
    </row>
    <row r="130" spans="1:6">
      <c r="A130" t="s">
        <v>682</v>
      </c>
      <c r="B130" t="s">
        <v>683</v>
      </c>
      <c r="C130">
        <v>34.31</v>
      </c>
      <c r="D130">
        <v>0.8494</v>
      </c>
      <c r="E130">
        <v>0.439</v>
      </c>
      <c r="F130">
        <v>0.04</v>
      </c>
    </row>
    <row r="131" spans="1:6">
      <c r="A131" t="s">
        <v>684</v>
      </c>
      <c r="B131" t="s">
        <v>685</v>
      </c>
      <c r="C131">
        <v>45.5</v>
      </c>
      <c r="D131">
        <v>0.833</v>
      </c>
      <c r="E131">
        <v>0.044</v>
      </c>
      <c r="F131">
        <v>0.15</v>
      </c>
    </row>
    <row r="132" spans="1:6">
      <c r="A132" t="s">
        <v>686</v>
      </c>
      <c r="B132" t="s">
        <v>687</v>
      </c>
      <c r="C132">
        <v>37.74</v>
      </c>
      <c r="D132">
        <v>0.8485</v>
      </c>
      <c r="E132">
        <v>0.11</v>
      </c>
      <c r="F132">
        <v>0.73</v>
      </c>
    </row>
    <row r="133" spans="1:6">
      <c r="A133" t="s">
        <v>688</v>
      </c>
      <c r="B133" t="s">
        <v>689</v>
      </c>
      <c r="C133">
        <v>32.3</v>
      </c>
      <c r="D133">
        <v>0.8517</v>
      </c>
      <c r="E133">
        <v>1.93</v>
      </c>
      <c r="F133">
        <v>0.04</v>
      </c>
    </row>
    <row r="134" spans="1:6">
      <c r="A134" t="s">
        <v>690</v>
      </c>
      <c r="B134" t="s">
        <v>691</v>
      </c>
      <c r="C134">
        <v>33.9</v>
      </c>
      <c r="D134">
        <v>0.8469</v>
      </c>
      <c r="E134">
        <v>0.178</v>
      </c>
      <c r="F134">
        <v>0.07</v>
      </c>
    </row>
    <row r="135" spans="1:6">
      <c r="A135" t="s">
        <v>692</v>
      </c>
      <c r="B135" t="s">
        <v>693</v>
      </c>
      <c r="C135">
        <v>28.7</v>
      </c>
      <c r="D135">
        <v>0.8798</v>
      </c>
      <c r="E135">
        <v>0.23</v>
      </c>
      <c r="F135">
        <v>0.51</v>
      </c>
    </row>
    <row r="136" spans="1:6">
      <c r="A136" t="s">
        <v>694</v>
      </c>
      <c r="B136" t="s">
        <v>695</v>
      </c>
      <c r="C136">
        <v>28</v>
      </c>
      <c r="D136">
        <v>0.8836</v>
      </c>
      <c r="E136">
        <v>3.34</v>
      </c>
      <c r="F136">
        <v>0.22</v>
      </c>
    </row>
    <row r="137" spans="1:6">
      <c r="A137" t="s">
        <v>696</v>
      </c>
      <c r="B137" t="s">
        <v>697</v>
      </c>
      <c r="C137">
        <v>17.2</v>
      </c>
      <c r="D137">
        <v>0.8705</v>
      </c>
      <c r="E137">
        <v>0.39</v>
      </c>
      <c r="F137">
        <v>0.77</v>
      </c>
    </row>
    <row r="138" spans="1:6">
      <c r="A138" t="s">
        <v>698</v>
      </c>
      <c r="B138" t="s">
        <v>699</v>
      </c>
      <c r="C138">
        <v>34.5</v>
      </c>
      <c r="D138">
        <v>0.8637</v>
      </c>
      <c r="E138">
        <v>0.1</v>
      </c>
      <c r="F138">
        <v>0.2</v>
      </c>
    </row>
    <row r="139" spans="1:6">
      <c r="A139" t="s">
        <v>700</v>
      </c>
      <c r="B139" t="s">
        <v>701</v>
      </c>
      <c r="C139">
        <v>31.6</v>
      </c>
      <c r="D139">
        <v>0.8632</v>
      </c>
      <c r="E139">
        <v>0.08</v>
      </c>
      <c r="F139">
        <v>0.11</v>
      </c>
    </row>
    <row r="140" spans="1:6">
      <c r="A140" t="s">
        <v>702</v>
      </c>
      <c r="B140" t="s">
        <v>703</v>
      </c>
      <c r="C140">
        <v>28</v>
      </c>
      <c r="D140">
        <v>0.8836</v>
      </c>
      <c r="E140">
        <v>3.34</v>
      </c>
      <c r="F140">
        <v>0.22</v>
      </c>
    </row>
    <row r="141" spans="1:6">
      <c r="A141" t="s">
        <v>704</v>
      </c>
      <c r="B141" t="s">
        <v>705</v>
      </c>
      <c r="C141">
        <v>30.95</v>
      </c>
      <c r="D141">
        <v>0.7836</v>
      </c>
      <c r="E141">
        <v>0.0313</v>
      </c>
      <c r="F141">
        <v>0.02</v>
      </c>
    </row>
    <row r="142" spans="1:6">
      <c r="A142" t="s">
        <v>706</v>
      </c>
      <c r="B142" t="s">
        <v>707</v>
      </c>
      <c r="C142">
        <v>32.94</v>
      </c>
      <c r="D142">
        <v>0.8484</v>
      </c>
      <c r="E142">
        <v>0.18</v>
      </c>
      <c r="F142">
        <v>0.09</v>
      </c>
    </row>
    <row r="143" spans="1:6">
      <c r="A143" t="s">
        <v>708</v>
      </c>
      <c r="B143" t="s">
        <v>709</v>
      </c>
      <c r="C143">
        <v>35</v>
      </c>
      <c r="D143">
        <v>0.8463</v>
      </c>
      <c r="E143">
        <v>0.41</v>
      </c>
      <c r="F143">
        <v>0.14</v>
      </c>
    </row>
    <row r="144" spans="1:6">
      <c r="A144" t="s">
        <v>710</v>
      </c>
      <c r="B144" t="s">
        <v>711</v>
      </c>
      <c r="C144">
        <v>32.2</v>
      </c>
      <c r="D144">
        <v>0.8974</v>
      </c>
      <c r="E144">
        <v>0.27</v>
      </c>
      <c r="F144">
        <v>0.5</v>
      </c>
    </row>
    <row r="145" spans="1:6">
      <c r="A145" t="s">
        <v>712</v>
      </c>
      <c r="B145" t="s">
        <v>713</v>
      </c>
      <c r="C145">
        <v>21.9</v>
      </c>
      <c r="D145">
        <v>0.9181</v>
      </c>
      <c r="E145">
        <v>3.4</v>
      </c>
      <c r="F145">
        <v>0.08</v>
      </c>
    </row>
    <row r="146" spans="1:6">
      <c r="A146" t="s">
        <v>714</v>
      </c>
      <c r="B146" t="s">
        <v>715</v>
      </c>
      <c r="C146">
        <v>29.3</v>
      </c>
      <c r="D146">
        <v>0.8763</v>
      </c>
      <c r="E146">
        <v>0.28</v>
      </c>
      <c r="F146">
        <v>0.89</v>
      </c>
    </row>
  </sheetData>
  <mergeCells count="1">
    <mergeCell ref="A1:F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"/>
  <sheetViews>
    <sheetView topLeftCell="A10" workbookViewId="0">
      <selection activeCell="A32" sqref="A32"/>
    </sheetView>
  </sheetViews>
  <sheetFormatPr defaultColWidth="8.66964285714286" defaultRowHeight="16.8"/>
  <cols>
    <col min="1" max="1" width="14.25" customWidth="1"/>
  </cols>
  <sheetData>
    <row r="1" spans="1:1">
      <c r="A1" t="s">
        <v>716</v>
      </c>
    </row>
    <row r="2" spans="1:1">
      <c r="A2" t="s">
        <v>717</v>
      </c>
    </row>
    <row r="3" spans="1:1">
      <c r="A3" t="s">
        <v>718</v>
      </c>
    </row>
    <row r="4" spans="1:1">
      <c r="A4" t="s">
        <v>719</v>
      </c>
    </row>
    <row r="5" spans="1:1">
      <c r="A5" t="s">
        <v>720</v>
      </c>
    </row>
    <row r="6" spans="1:1">
      <c r="A6" t="s">
        <v>721</v>
      </c>
    </row>
    <row r="7" spans="1:1">
      <c r="A7" s="15" t="s">
        <v>149</v>
      </c>
    </row>
    <row r="8" spans="1:1">
      <c r="A8" t="s">
        <v>338</v>
      </c>
    </row>
    <row r="9" spans="1:1">
      <c r="A9" s="16" t="s">
        <v>722</v>
      </c>
    </row>
    <row r="10" spans="1:1">
      <c r="A10" s="17" t="s">
        <v>97</v>
      </c>
    </row>
    <row r="11" spans="1:1">
      <c r="A11" s="18" t="s">
        <v>180</v>
      </c>
    </row>
    <row r="12" spans="1:1">
      <c r="A12" s="19" t="s">
        <v>723</v>
      </c>
    </row>
    <row r="13" spans="1:1">
      <c r="A13" t="s">
        <v>195</v>
      </c>
    </row>
    <row r="14" spans="1:1">
      <c r="A14" s="20" t="s">
        <v>213</v>
      </c>
    </row>
    <row r="15" spans="1:1">
      <c r="A15" t="s">
        <v>266</v>
      </c>
    </row>
    <row r="16" spans="1:1">
      <c r="A16" s="21" t="s">
        <v>724</v>
      </c>
    </row>
    <row r="18" spans="1:1">
      <c r="A18" t="s">
        <v>725</v>
      </c>
    </row>
    <row r="19" spans="1:1">
      <c r="A19" t="s">
        <v>726</v>
      </c>
    </row>
    <row r="20" spans="1:1">
      <c r="A20" t="s">
        <v>104</v>
      </c>
    </row>
    <row r="21" spans="1:1">
      <c r="A21" t="s">
        <v>76</v>
      </c>
    </row>
    <row r="22" spans="1:1">
      <c r="A22" t="s">
        <v>191</v>
      </c>
    </row>
    <row r="23" spans="1:1">
      <c r="A23" s="21" t="s">
        <v>166</v>
      </c>
    </row>
    <row r="24" spans="1:1">
      <c r="A24" s="17" t="s">
        <v>97</v>
      </c>
    </row>
    <row r="25" spans="1:1">
      <c r="A25" s="18" t="s">
        <v>180</v>
      </c>
    </row>
    <row r="26" spans="1:1">
      <c r="A26" s="20" t="s">
        <v>213</v>
      </c>
    </row>
    <row r="27" spans="1:1">
      <c r="A27" s="15" t="s">
        <v>149</v>
      </c>
    </row>
    <row r="28" spans="1:1">
      <c r="A28" s="19" t="s">
        <v>723</v>
      </c>
    </row>
    <row r="29" spans="1:1">
      <c r="A29" s="16" t="s">
        <v>722</v>
      </c>
    </row>
    <row r="32" spans="1:1">
      <c r="A32" t="s">
        <v>727</v>
      </c>
    </row>
    <row r="33" spans="1:1">
      <c r="A33" t="s">
        <v>728</v>
      </c>
    </row>
    <row r="34" spans="1:1">
      <c r="A34" t="s">
        <v>729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G15" sqref="G15"/>
    </sheetView>
  </sheetViews>
  <sheetFormatPr defaultColWidth="8.66964285714286" defaultRowHeight="16.8" outlineLevelCol="2"/>
  <cols>
    <col min="1" max="1" width="13.9196428571429" style="11" customWidth="1"/>
    <col min="2" max="2" width="14.5" style="11" customWidth="1"/>
    <col min="3" max="16384" width="8.66964285714286" style="11"/>
  </cols>
  <sheetData>
    <row r="1" ht="17" spans="1:3">
      <c r="A1" s="12" t="s">
        <v>730</v>
      </c>
      <c r="B1" s="12" t="s">
        <v>731</v>
      </c>
      <c r="C1" s="14"/>
    </row>
    <row r="2" ht="17" spans="1:3">
      <c r="A2" s="13" t="s">
        <v>126</v>
      </c>
      <c r="B2" s="13">
        <v>8000</v>
      </c>
      <c r="C2" s="14"/>
    </row>
    <row r="3" ht="17" spans="1:3">
      <c r="A3" s="13" t="s">
        <v>138</v>
      </c>
      <c r="B3" s="13">
        <v>8300</v>
      </c>
      <c r="C3" s="14"/>
    </row>
    <row r="4" ht="17" spans="1:3">
      <c r="A4" s="13" t="s">
        <v>147</v>
      </c>
      <c r="B4" s="13">
        <v>8600</v>
      </c>
      <c r="C4" s="14"/>
    </row>
    <row r="5" ht="17" spans="1:3">
      <c r="A5" s="13" t="s">
        <v>152</v>
      </c>
      <c r="B5" s="13">
        <v>7000</v>
      </c>
      <c r="C5" s="14"/>
    </row>
    <row r="6" ht="17" spans="1:3">
      <c r="A6" s="13" t="s">
        <v>732</v>
      </c>
      <c r="B6" s="13">
        <v>7200</v>
      </c>
      <c r="C6" s="14"/>
    </row>
    <row r="7" ht="17" spans="1:3">
      <c r="A7" s="13" t="s">
        <v>166</v>
      </c>
      <c r="B7" s="13">
        <v>6500</v>
      </c>
      <c r="C7" s="14"/>
    </row>
    <row r="8" ht="17" spans="1:3">
      <c r="A8" s="13" t="s">
        <v>114</v>
      </c>
      <c r="B8" s="13">
        <v>4500</v>
      </c>
      <c r="C8" s="14"/>
    </row>
    <row r="9" ht="17" spans="1:3">
      <c r="A9" s="13" t="s">
        <v>117</v>
      </c>
      <c r="B9" s="13">
        <v>5000</v>
      </c>
      <c r="C9" s="14"/>
    </row>
    <row r="10" ht="17" spans="1:3">
      <c r="A10" s="13" t="s">
        <v>104</v>
      </c>
      <c r="B10" s="13">
        <v>5500</v>
      </c>
      <c r="C10" s="14"/>
    </row>
    <row r="11" ht="17" spans="1:3">
      <c r="A11" s="13" t="s">
        <v>76</v>
      </c>
      <c r="B11" s="13">
        <v>4800</v>
      </c>
      <c r="C11" s="14"/>
    </row>
    <row r="12" ht="17" spans="1:3">
      <c r="A12" s="13" t="s">
        <v>97</v>
      </c>
      <c r="B12" s="13">
        <v>6000</v>
      </c>
      <c r="C12" s="14"/>
    </row>
    <row r="13" ht="17" spans="1:3">
      <c r="A13" s="13" t="s">
        <v>196</v>
      </c>
      <c r="B13" s="13">
        <v>7000</v>
      </c>
      <c r="C13" s="14"/>
    </row>
    <row r="14" ht="17" spans="1:3">
      <c r="A14" s="13" t="s">
        <v>180</v>
      </c>
      <c r="B14" s="13">
        <v>8500</v>
      </c>
      <c r="C14" s="14"/>
    </row>
    <row r="15" ht="17" spans="1:3">
      <c r="A15" s="13" t="s">
        <v>722</v>
      </c>
      <c r="B15" s="13">
        <v>7500</v>
      </c>
      <c r="C15" s="14"/>
    </row>
    <row r="16" ht="17" spans="1:3">
      <c r="A16" s="13" t="s">
        <v>136</v>
      </c>
      <c r="B16" s="13">
        <v>6500</v>
      </c>
      <c r="C16" s="14"/>
    </row>
    <row r="17" ht="17" spans="1:3">
      <c r="A17" s="13" t="s">
        <v>149</v>
      </c>
      <c r="B17" s="13">
        <v>4500</v>
      </c>
      <c r="C17" s="14"/>
    </row>
    <row r="18" ht="17" spans="1:3">
      <c r="A18" s="13" t="s">
        <v>186</v>
      </c>
      <c r="B18" s="13">
        <v>6500</v>
      </c>
      <c r="C18" s="14"/>
    </row>
    <row r="19" ht="17" spans="1:3">
      <c r="A19" s="13" t="s">
        <v>183</v>
      </c>
      <c r="B19" s="13">
        <v>7500</v>
      </c>
      <c r="C19" s="14"/>
    </row>
    <row r="20" ht="17" spans="1:3">
      <c r="A20" s="13" t="s">
        <v>184</v>
      </c>
      <c r="B20" s="13">
        <v>5000</v>
      </c>
      <c r="C20" s="14"/>
    </row>
    <row r="21" ht="17" spans="1:3">
      <c r="A21" s="13" t="s">
        <v>185</v>
      </c>
      <c r="B21" s="13">
        <v>5500</v>
      </c>
      <c r="C21" s="14"/>
    </row>
    <row r="22" ht="17" spans="1:3">
      <c r="A22" s="13" t="s">
        <v>191</v>
      </c>
      <c r="B22" s="13">
        <v>4000</v>
      </c>
      <c r="C22" s="14"/>
    </row>
    <row r="23" ht="17" spans="1:3">
      <c r="A23" s="13" t="s">
        <v>86</v>
      </c>
      <c r="B23" s="13">
        <v>3500</v>
      </c>
      <c r="C23" s="14"/>
    </row>
    <row r="24" ht="17" spans="1:3">
      <c r="A24" s="13" t="s">
        <v>119</v>
      </c>
      <c r="B24" s="13">
        <v>5000</v>
      </c>
      <c r="C24" s="14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H14" sqref="H14"/>
    </sheetView>
  </sheetViews>
  <sheetFormatPr defaultColWidth="8.66964285714286" defaultRowHeight="16.8" outlineLevelRow="3" outlineLevelCol="2"/>
  <cols>
    <col min="1" max="1" width="8.66964285714286" style="11"/>
    <col min="2" max="2" width="16.1696428571429" style="11" customWidth="1"/>
    <col min="3" max="3" width="17.6696428571429" style="11" customWidth="1"/>
    <col min="4" max="16384" width="8.66964285714286" style="11"/>
  </cols>
  <sheetData>
    <row r="1" ht="17" spans="1:3">
      <c r="A1" s="12" t="s">
        <v>733</v>
      </c>
      <c r="B1" s="12" t="s">
        <v>734</v>
      </c>
      <c r="C1" s="12" t="s">
        <v>735</v>
      </c>
    </row>
    <row r="2" ht="17" spans="1:3">
      <c r="A2" s="13" t="s">
        <v>126</v>
      </c>
      <c r="B2" s="13">
        <v>500</v>
      </c>
      <c r="C2" s="13">
        <v>5000</v>
      </c>
    </row>
    <row r="3" ht="17" spans="1:3">
      <c r="A3" s="13" t="s">
        <v>138</v>
      </c>
      <c r="B3" s="13">
        <v>300</v>
      </c>
      <c r="C3" s="13">
        <v>3000</v>
      </c>
    </row>
    <row r="4" ht="17" spans="1:3">
      <c r="A4" s="13" t="s">
        <v>152</v>
      </c>
      <c r="B4" s="13">
        <v>600</v>
      </c>
      <c r="C4" s="13">
        <v>6000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="70" zoomScaleNormal="70" workbookViewId="0">
      <selection activeCell="B42" sqref="B42"/>
    </sheetView>
  </sheetViews>
  <sheetFormatPr defaultColWidth="8.66964285714286" defaultRowHeight="16.8" outlineLevelCol="5"/>
  <cols>
    <col min="1" max="1" width="19" customWidth="1"/>
    <col min="2" max="2" width="33" customWidth="1"/>
    <col min="3" max="3" width="15.75" customWidth="1"/>
    <col min="4" max="4" width="19.5803571428571" customWidth="1"/>
  </cols>
  <sheetData>
    <row r="1" ht="18" spans="1:6">
      <c r="A1" s="1" t="s">
        <v>736</v>
      </c>
    </row>
    <row r="2" ht="18" spans="1:6">
      <c r="A2" s="1" t="s">
        <v>737</v>
      </c>
    </row>
    <row r="3" ht="17.6" spans="1:6">
      <c r="A3" s="1"/>
    </row>
    <row r="4" ht="20.4" spans="1:6">
      <c r="A4" s="2" t="s">
        <v>738</v>
      </c>
      <c r="B4" s="2"/>
      <c r="C4" s="2"/>
      <c r="D4" s="2"/>
    </row>
    <row r="5" ht="17" spans="1:6">
      <c r="A5" s="3" t="s">
        <v>733</v>
      </c>
      <c r="B5" s="3" t="s">
        <v>739</v>
      </c>
      <c r="C5" s="3" t="s">
        <v>740</v>
      </c>
      <c r="D5" s="3" t="s">
        <v>741</v>
      </c>
      <c r="E5" s="4"/>
    </row>
    <row r="6" ht="34" spans="1:6">
      <c r="A6" s="5" t="s">
        <v>126</v>
      </c>
      <c r="B6" s="5" t="s">
        <v>742</v>
      </c>
      <c r="C6" s="5" t="s">
        <v>743</v>
      </c>
      <c r="D6" s="5" t="s">
        <v>744</v>
      </c>
      <c r="E6" s="4"/>
    </row>
    <row r="7" ht="34" spans="1:6">
      <c r="A7" s="5" t="s">
        <v>138</v>
      </c>
      <c r="B7" s="5" t="s">
        <v>742</v>
      </c>
      <c r="C7" s="5" t="s">
        <v>743</v>
      </c>
      <c r="D7" s="5" t="s">
        <v>745</v>
      </c>
      <c r="E7" s="4"/>
    </row>
    <row r="8" ht="17" spans="1:6">
      <c r="A8" s="5" t="s">
        <v>152</v>
      </c>
      <c r="B8" s="5" t="s">
        <v>746</v>
      </c>
      <c r="C8" s="5" t="s">
        <v>747</v>
      </c>
      <c r="D8" s="5" t="s">
        <v>748</v>
      </c>
      <c r="E8" s="4"/>
    </row>
    <row r="11" ht="20.4" spans="1:6">
      <c r="A11" s="2" t="s">
        <v>749</v>
      </c>
      <c r="B11" s="2"/>
      <c r="C11" s="2"/>
      <c r="D11" s="2"/>
      <c r="E11" s="2"/>
    </row>
    <row r="12" ht="17" spans="1:6">
      <c r="A12" s="3" t="s">
        <v>750</v>
      </c>
      <c r="B12" s="3" t="s">
        <v>50</v>
      </c>
      <c r="C12" s="3" t="s">
        <v>751</v>
      </c>
      <c r="D12" s="3" t="s">
        <v>752</v>
      </c>
      <c r="E12" s="3" t="s">
        <v>753</v>
      </c>
      <c r="F12" s="6"/>
    </row>
    <row r="13" ht="17" spans="1:6">
      <c r="A13" s="5" t="s">
        <v>104</v>
      </c>
      <c r="B13" s="5">
        <v>90</v>
      </c>
      <c r="C13" s="5" t="s">
        <v>754</v>
      </c>
      <c r="D13" s="5">
        <v>800</v>
      </c>
      <c r="E13" s="5">
        <v>0.8</v>
      </c>
      <c r="F13" s="6"/>
    </row>
    <row r="14" ht="17" spans="1:6">
      <c r="A14" s="5" t="s">
        <v>114</v>
      </c>
      <c r="B14" s="5">
        <v>55</v>
      </c>
      <c r="C14" s="5" t="s">
        <v>754</v>
      </c>
      <c r="D14" s="5">
        <v>300</v>
      </c>
      <c r="E14" s="5">
        <v>1.2</v>
      </c>
      <c r="F14" s="6"/>
    </row>
    <row r="15" ht="17" spans="1:6">
      <c r="A15" s="5" t="s">
        <v>97</v>
      </c>
      <c r="B15" s="5">
        <v>115</v>
      </c>
      <c r="C15" s="5" t="s">
        <v>754</v>
      </c>
      <c r="D15" s="5">
        <v>0</v>
      </c>
      <c r="E15" s="5">
        <v>0</v>
      </c>
      <c r="F15" s="6"/>
    </row>
    <row r="16" ht="17" spans="1:6">
      <c r="A16" s="5" t="s">
        <v>184</v>
      </c>
      <c r="B16" s="5">
        <v>94</v>
      </c>
      <c r="C16" s="5" t="s">
        <v>754</v>
      </c>
      <c r="D16" s="5">
        <v>10</v>
      </c>
      <c r="E16" s="5">
        <v>0</v>
      </c>
      <c r="F16" s="6"/>
    </row>
    <row r="17" ht="17" spans="1:6">
      <c r="A17" s="5" t="s">
        <v>76</v>
      </c>
      <c r="B17" s="5" t="s">
        <v>754</v>
      </c>
      <c r="C17" s="5">
        <v>25</v>
      </c>
      <c r="D17" s="5">
        <v>4500</v>
      </c>
      <c r="E17" s="5">
        <v>0</v>
      </c>
      <c r="F17" s="6"/>
    </row>
    <row r="18" ht="17" spans="1:6">
      <c r="A18" s="5" t="s">
        <v>117</v>
      </c>
      <c r="B18" s="5" t="s">
        <v>754</v>
      </c>
      <c r="C18" s="5">
        <v>59</v>
      </c>
      <c r="D18" s="5">
        <v>5000</v>
      </c>
      <c r="E18" s="5">
        <v>0</v>
      </c>
      <c r="F18" s="6"/>
    </row>
    <row r="19" spans="1:6">
      <c r="A19" s="7"/>
      <c r="B19" s="7"/>
      <c r="C19" s="7"/>
      <c r="D19" s="7"/>
      <c r="E19" s="7"/>
      <c r="F19" s="7"/>
    </row>
    <row r="21" ht="20.4" spans="1:6">
      <c r="A21" s="2" t="s">
        <v>755</v>
      </c>
      <c r="B21" s="2"/>
      <c r="C21" s="2"/>
      <c r="D21" s="2"/>
    </row>
    <row r="22" ht="18" spans="1:6">
      <c r="A22" s="8" t="s">
        <v>733</v>
      </c>
      <c r="B22" s="9" t="s">
        <v>756</v>
      </c>
      <c r="C22" s="9" t="s">
        <v>757</v>
      </c>
    </row>
    <row r="23" ht="18" spans="1:6">
      <c r="A23" s="10" t="s">
        <v>758</v>
      </c>
      <c r="B23" s="10" t="s">
        <v>759</v>
      </c>
      <c r="C23" s="10" t="s">
        <v>754</v>
      </c>
    </row>
    <row r="24" ht="18" spans="1:6">
      <c r="A24" s="10" t="s">
        <v>760</v>
      </c>
      <c r="B24" s="10" t="s">
        <v>761</v>
      </c>
      <c r="C24" s="10" t="s">
        <v>754</v>
      </c>
    </row>
    <row r="25" ht="18" spans="1:6">
      <c r="A25" s="10" t="s">
        <v>762</v>
      </c>
      <c r="B25" s="10" t="s">
        <v>754</v>
      </c>
      <c r="C25" s="10" t="s">
        <v>763</v>
      </c>
    </row>
  </sheetData>
  <mergeCells count="3">
    <mergeCell ref="A4:D4"/>
    <mergeCell ref="A11:E11"/>
    <mergeCell ref="A21:D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延炼数据修改说明表单</vt:lpstr>
      <vt:lpstr>储罐数据</vt:lpstr>
      <vt:lpstr>二次加工装置侧线性质数据</vt:lpstr>
      <vt:lpstr>二次加工装置基础数据</vt:lpstr>
      <vt:lpstr>常压装置Assay数据</vt:lpstr>
      <vt:lpstr>Assay表</vt:lpstr>
      <vt:lpstr>原油性质数据</vt:lpstr>
      <vt:lpstr>成品油调合数据</vt:lpstr>
      <vt:lpstr>产品数据（新增）</vt:lpstr>
      <vt:lpstr>产品价格（新增）</vt:lpstr>
      <vt:lpstr>产品交付需求（新增）</vt:lpstr>
      <vt:lpstr>产品调和数据（新增）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成烨铭</dc:creator>
  <cp:lastModifiedBy>machong</cp:lastModifiedBy>
  <dcterms:created xsi:type="dcterms:W3CDTF">2015-06-06T02:19:00Z</dcterms:created>
  <dcterms:modified xsi:type="dcterms:W3CDTF">2026-09-16T14:33:42Z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68C20DEFE9154036A3B002CB64EE144A_12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