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报表\"/>
    </mc:Choice>
  </mc:AlternateContent>
  <xr:revisionPtr revIDLastSave="0" documentId="13_ncr:1_{F68CE946-B39E-4A52-B6A2-4690B40549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油品动态" sheetId="1" r:id="rId1"/>
    <sheet name="取值" sheetId="2" state="hidden" r:id="rId2"/>
  </sheets>
  <calcPr calcId="191029"/>
</workbook>
</file>

<file path=xl/calcChain.xml><?xml version="1.0" encoding="utf-8"?>
<calcChain xmlns="http://schemas.openxmlformats.org/spreadsheetml/2006/main">
  <c r="F39" i="1" l="1"/>
  <c r="F46" i="1"/>
  <c r="B61" i="1"/>
  <c r="E61" i="1" s="1"/>
  <c r="K142" i="2"/>
  <c r="B142" i="2"/>
  <c r="K141" i="2"/>
  <c r="B141" i="2"/>
  <c r="K140" i="2"/>
  <c r="B140" i="2"/>
  <c r="K139" i="2"/>
  <c r="B139" i="2"/>
  <c r="K138" i="2"/>
  <c r="B138" i="2"/>
  <c r="K137" i="2"/>
  <c r="K136" i="2"/>
  <c r="B136" i="2"/>
  <c r="K135" i="2"/>
  <c r="B135" i="2"/>
  <c r="K134" i="2"/>
  <c r="B134" i="2"/>
  <c r="K133" i="2"/>
  <c r="B133" i="2"/>
  <c r="K132" i="2"/>
  <c r="B132" i="2"/>
  <c r="K131" i="2"/>
  <c r="B131" i="2"/>
  <c r="K130" i="2"/>
  <c r="K129" i="2"/>
  <c r="K126" i="2"/>
  <c r="K125" i="2"/>
  <c r="K124" i="2"/>
  <c r="G94" i="1"/>
  <c r="F94" i="1"/>
  <c r="G93" i="1"/>
  <c r="G95" i="1" s="1"/>
  <c r="F93" i="1"/>
  <c r="F95" i="1" s="1"/>
  <c r="G89" i="1"/>
  <c r="F89" i="1"/>
  <c r="M88" i="1"/>
  <c r="L88" i="1"/>
  <c r="G88" i="1"/>
  <c r="F88" i="1"/>
  <c r="M87" i="1"/>
  <c r="L87" i="1"/>
  <c r="G87" i="1"/>
  <c r="G90" i="1" s="1"/>
  <c r="F87" i="1"/>
  <c r="F90" i="1" s="1"/>
  <c r="M86" i="1"/>
  <c r="L86" i="1"/>
  <c r="G86" i="1"/>
  <c r="F86" i="1"/>
  <c r="M83" i="1"/>
  <c r="F83" i="1"/>
  <c r="G83" i="1" s="1"/>
  <c r="M82" i="1"/>
  <c r="L82" i="1"/>
  <c r="M81" i="1"/>
  <c r="L81" i="1"/>
  <c r="L83" i="1" s="1"/>
  <c r="B80" i="1"/>
  <c r="E80" i="1" s="1"/>
  <c r="B79" i="1"/>
  <c r="E79" i="1" s="1"/>
  <c r="F77" i="1"/>
  <c r="G77" i="1" s="1"/>
  <c r="M76" i="1"/>
  <c r="L76" i="1"/>
  <c r="B76" i="1"/>
  <c r="E76" i="1" s="1"/>
  <c r="G75" i="1"/>
  <c r="F75" i="1"/>
  <c r="G74" i="1"/>
  <c r="F74" i="1"/>
  <c r="L73" i="1"/>
  <c r="F73" i="1"/>
  <c r="G73" i="1" s="1"/>
  <c r="M72" i="1"/>
  <c r="L72" i="1"/>
  <c r="F72" i="1"/>
  <c r="G72" i="1" s="1"/>
  <c r="M71" i="1"/>
  <c r="L71" i="1"/>
  <c r="F71" i="1"/>
  <c r="G71" i="1" s="1"/>
  <c r="M70" i="1"/>
  <c r="L70" i="1"/>
  <c r="M69" i="1"/>
  <c r="L69" i="1"/>
  <c r="M68" i="1"/>
  <c r="M73" i="1" s="1"/>
  <c r="L68" i="1"/>
  <c r="F68" i="1"/>
  <c r="G66" i="1"/>
  <c r="F66" i="1"/>
  <c r="L65" i="1"/>
  <c r="G65" i="1"/>
  <c r="F65" i="1"/>
  <c r="M64" i="1"/>
  <c r="M65" i="1" s="1"/>
  <c r="L64" i="1"/>
  <c r="G64" i="1"/>
  <c r="F64" i="1"/>
  <c r="G63" i="1"/>
  <c r="F63" i="1"/>
  <c r="G62" i="1"/>
  <c r="F62" i="1"/>
  <c r="M60" i="1"/>
  <c r="L60" i="1"/>
  <c r="F60" i="1"/>
  <c r="G60" i="1" s="1"/>
  <c r="F59" i="1"/>
  <c r="M56" i="1"/>
  <c r="L56" i="1"/>
  <c r="M55" i="1"/>
  <c r="L55" i="1"/>
  <c r="G55" i="1"/>
  <c r="F55" i="1"/>
  <c r="M54" i="1"/>
  <c r="L54" i="1"/>
  <c r="L57" i="1" s="1"/>
  <c r="G54" i="1"/>
  <c r="G56" i="1" s="1"/>
  <c r="F54" i="1"/>
  <c r="F56" i="1" s="1"/>
  <c r="M53" i="1"/>
  <c r="M57" i="1" s="1"/>
  <c r="L53" i="1"/>
  <c r="G50" i="1"/>
  <c r="F50" i="1"/>
  <c r="M49" i="1"/>
  <c r="L49" i="1"/>
  <c r="G49" i="1"/>
  <c r="G51" i="1" s="1"/>
  <c r="F49" i="1"/>
  <c r="F51" i="1" s="1"/>
  <c r="M48" i="1"/>
  <c r="L48" i="1"/>
  <c r="M47" i="1"/>
  <c r="M50" i="1" s="1"/>
  <c r="L47" i="1"/>
  <c r="L50" i="1" s="1"/>
  <c r="G46" i="1"/>
  <c r="G47" i="1" s="1"/>
  <c r="F47" i="1"/>
  <c r="M45" i="1"/>
  <c r="M44" i="1"/>
  <c r="L44" i="1"/>
  <c r="M43" i="1"/>
  <c r="L43" i="1"/>
  <c r="G43" i="1"/>
  <c r="F43" i="1"/>
  <c r="M42" i="1"/>
  <c r="L42" i="1"/>
  <c r="G42" i="1"/>
  <c r="F42" i="1"/>
  <c r="M41" i="1"/>
  <c r="L41" i="1"/>
  <c r="G41" i="1"/>
  <c r="F41" i="1"/>
  <c r="F44" i="1" s="1"/>
  <c r="M40" i="1"/>
  <c r="L40" i="1"/>
  <c r="G40" i="1"/>
  <c r="G44" i="1" s="1"/>
  <c r="F40" i="1"/>
  <c r="L39" i="1"/>
  <c r="G39" i="1"/>
  <c r="M38" i="1"/>
  <c r="L38" i="1"/>
  <c r="M37" i="1"/>
  <c r="L37" i="1"/>
  <c r="M36" i="1"/>
  <c r="L36" i="1"/>
  <c r="M35" i="1"/>
  <c r="L35" i="1"/>
  <c r="G35" i="1"/>
  <c r="G36" i="1" s="1"/>
  <c r="F35" i="1"/>
  <c r="F36" i="1" s="1"/>
  <c r="M34" i="1"/>
  <c r="L34" i="1"/>
  <c r="G34" i="1"/>
  <c r="F34" i="1"/>
  <c r="M33" i="1"/>
  <c r="L33" i="1"/>
  <c r="L45" i="1" s="1"/>
  <c r="B30" i="1"/>
  <c r="E30" i="1" s="1"/>
  <c r="B29" i="1"/>
  <c r="E29" i="1" s="1"/>
  <c r="G28" i="1"/>
  <c r="F28" i="1"/>
  <c r="M27" i="1"/>
  <c r="L27" i="1"/>
  <c r="M26" i="1"/>
  <c r="M28" i="1" s="1"/>
  <c r="L26" i="1"/>
  <c r="L28" i="1" s="1"/>
  <c r="G24" i="1"/>
  <c r="G25" i="1" s="1"/>
  <c r="F24" i="1"/>
  <c r="G23" i="1"/>
  <c r="F23" i="1"/>
  <c r="F25" i="1" s="1"/>
  <c r="M22" i="1"/>
  <c r="L22" i="1"/>
  <c r="M21" i="1"/>
  <c r="M23" i="1" s="1"/>
  <c r="L21" i="1"/>
  <c r="L23" i="1" s="1"/>
  <c r="G19" i="1"/>
  <c r="F19" i="1"/>
  <c r="M18" i="1"/>
  <c r="L18" i="1"/>
  <c r="G18" i="1"/>
  <c r="G20" i="1" s="1"/>
  <c r="F18" i="1"/>
  <c r="F20" i="1" s="1"/>
  <c r="G17" i="1"/>
  <c r="F17" i="1"/>
  <c r="M16" i="1"/>
  <c r="L16" i="1"/>
  <c r="M15" i="1"/>
  <c r="L15" i="1"/>
  <c r="G15" i="1"/>
  <c r="F15" i="1"/>
  <c r="M14" i="1"/>
  <c r="L14" i="1"/>
  <c r="M13" i="1"/>
  <c r="L13" i="1"/>
  <c r="M12" i="1"/>
  <c r="L12" i="1"/>
  <c r="G12" i="1"/>
  <c r="F12" i="1"/>
  <c r="M11" i="1"/>
  <c r="L11" i="1"/>
  <c r="G11" i="1"/>
  <c r="F11" i="1"/>
  <c r="M10" i="1"/>
  <c r="L10" i="1"/>
  <c r="G10" i="1"/>
  <c r="F10" i="1"/>
  <c r="M9" i="1"/>
  <c r="L9" i="1"/>
  <c r="G9" i="1"/>
  <c r="F9" i="1"/>
  <c r="M8" i="1"/>
  <c r="L8" i="1"/>
  <c r="G8" i="1"/>
  <c r="F8" i="1"/>
  <c r="M7" i="1"/>
  <c r="L7" i="1"/>
  <c r="G7" i="1"/>
  <c r="G13" i="1" s="1"/>
  <c r="F7" i="1"/>
  <c r="F13" i="1" s="1"/>
  <c r="M6" i="1"/>
  <c r="L6" i="1"/>
  <c r="G6" i="1"/>
  <c r="F6" i="1"/>
  <c r="M5" i="1"/>
  <c r="M17" i="1" s="1"/>
  <c r="L5" i="1"/>
  <c r="L17" i="1" s="1"/>
  <c r="G5" i="1"/>
  <c r="B2" i="1"/>
  <c r="G30" i="1" l="1"/>
  <c r="F30" i="1"/>
  <c r="G79" i="1"/>
  <c r="F79" i="1"/>
  <c r="G61" i="1"/>
  <c r="F61" i="1"/>
  <c r="F67" i="1" s="1"/>
  <c r="G29" i="1"/>
  <c r="G31" i="1" s="1"/>
  <c r="F29" i="1"/>
  <c r="F31" i="1" s="1"/>
  <c r="G80" i="1"/>
  <c r="F80" i="1"/>
  <c r="G76" i="1"/>
  <c r="G78" i="1" s="1"/>
  <c r="F76" i="1"/>
  <c r="M61" i="1"/>
  <c r="L61" i="1"/>
  <c r="F78" i="1"/>
  <c r="G59" i="1"/>
  <c r="G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00000000-0006-0000-0000-000001000000}">
      <text>
        <r>
          <rPr>
            <b/>
            <sz val="9"/>
            <color indexed="81"/>
            <rFont val="宋体"/>
            <family val="2"/>
          </rPr>
          <t>#Input("延炼_油品动态_6101_油尺",":key{{dw}}")</t>
        </r>
      </text>
    </comment>
    <comment ref="F5" authorId="0" shapeId="0" xr:uid="{00000000-0006-0000-0000-000002000000}">
      <text>
        <r>
          <rPr>
            <b/>
            <sz val="9"/>
            <color indexed="81"/>
            <rFont val="宋体"/>
            <family val="2"/>
          </rPr>
          <t>#Input("延炼_油品动态_6101_油量",":key{{dw}}")</t>
        </r>
      </text>
    </comment>
    <comment ref="G5" authorId="0" shapeId="0" xr:uid="{00000000-0006-0000-0000-000003000000}">
      <text>
        <r>
          <rPr>
            <b/>
            <sz val="9"/>
            <color indexed="81"/>
            <rFont val="宋体"/>
            <family val="2"/>
          </rPr>
          <t>#Input("延炼_油品动态_6101_空量",":key{{dw}}",":read")</t>
        </r>
      </text>
    </comment>
    <comment ref="K5" authorId="0" shapeId="0" xr:uid="{00000000-0006-0000-0000-000004000000}">
      <text>
        <r>
          <rPr>
            <b/>
            <sz val="9"/>
            <color indexed="81"/>
            <rFont val="宋体"/>
            <family val="2"/>
          </rPr>
          <t>#Input("延炼_油品动态_6201_油尺",":key{{dw}}")</t>
        </r>
      </text>
    </comment>
    <comment ref="L5" authorId="0" shapeId="0" xr:uid="{00000000-0006-0000-0000-000005000000}">
      <text>
        <r>
          <rPr>
            <b/>
            <sz val="9"/>
            <color indexed="81"/>
            <rFont val="宋体"/>
            <family val="2"/>
          </rPr>
          <t>#Input("延炼_油品动态_6201_油量",":key{{dw}}",":read")</t>
        </r>
      </text>
    </comment>
    <comment ref="M5" authorId="0" shapeId="0" xr:uid="{00000000-0006-0000-0000-000006000000}">
      <text>
        <r>
          <rPr>
            <b/>
            <sz val="9"/>
            <color indexed="81"/>
            <rFont val="宋体"/>
            <family val="2"/>
          </rPr>
          <t>#Input("延炼_油品动态_6201_空量",":key{{dw}}",":read")</t>
        </r>
      </text>
    </comment>
    <comment ref="E6" authorId="0" shapeId="0" xr:uid="{00000000-0006-0000-0000-000007000000}">
      <text>
        <r>
          <rPr>
            <b/>
            <sz val="9"/>
            <color indexed="81"/>
            <rFont val="宋体"/>
            <family val="2"/>
          </rPr>
          <t>#Input("延炼_油品动态_6102_油尺",":key{{dw}}")</t>
        </r>
      </text>
    </comment>
    <comment ref="F6" authorId="0" shapeId="0" xr:uid="{00000000-0006-0000-0000-000008000000}">
      <text>
        <r>
          <rPr>
            <b/>
            <sz val="9"/>
            <color indexed="81"/>
            <rFont val="宋体"/>
            <family val="2"/>
          </rPr>
          <t>#Input("延炼_油品动态_6102_油量",":key{{dw}}",":read")</t>
        </r>
      </text>
    </comment>
    <comment ref="G6" authorId="0" shapeId="0" xr:uid="{00000000-0006-0000-0000-000009000000}">
      <text>
        <r>
          <rPr>
            <b/>
            <sz val="9"/>
            <color indexed="81"/>
            <rFont val="宋体"/>
            <family val="2"/>
          </rPr>
          <t>#Input("延炼_油品动态_6102_空量",":key{{dw}}",":read")</t>
        </r>
      </text>
    </comment>
    <comment ref="K6" authorId="0" shapeId="0" xr:uid="{00000000-0006-0000-0000-00000A000000}">
      <text>
        <r>
          <rPr>
            <b/>
            <sz val="9"/>
            <color indexed="81"/>
            <rFont val="宋体"/>
            <family val="2"/>
          </rPr>
          <t>#Input("延炼_油品动态_6202_油尺",":key{{dw}}")</t>
        </r>
      </text>
    </comment>
    <comment ref="L6" authorId="0" shapeId="0" xr:uid="{00000000-0006-0000-0000-00000B000000}">
      <text>
        <r>
          <rPr>
            <b/>
            <sz val="9"/>
            <color indexed="81"/>
            <rFont val="宋体"/>
            <family val="2"/>
          </rPr>
          <t>#Input("延炼_油品动态_6202_油量",":key{{dw}}",":read")</t>
        </r>
      </text>
    </comment>
    <comment ref="M6" authorId="0" shapeId="0" xr:uid="{00000000-0006-0000-0000-00000C000000}">
      <text>
        <r>
          <rPr>
            <b/>
            <sz val="9"/>
            <color indexed="81"/>
            <rFont val="宋体"/>
            <family val="2"/>
          </rPr>
          <t>#Input("延炼_油品动态_6202_空量",":key{{dw}}",":read")</t>
        </r>
      </text>
    </comment>
    <comment ref="E7" authorId="0" shapeId="0" xr:uid="{00000000-0006-0000-0000-00000D000000}">
      <text>
        <r>
          <rPr>
            <b/>
            <sz val="9"/>
            <color indexed="81"/>
            <rFont val="宋体"/>
            <family val="2"/>
          </rPr>
          <t>#Input("延炼_油品动态_6105_油尺",":key{{dw}}")</t>
        </r>
      </text>
    </comment>
    <comment ref="F7" authorId="0" shapeId="0" xr:uid="{00000000-0006-0000-0000-00000E000000}">
      <text>
        <r>
          <rPr>
            <b/>
            <sz val="9"/>
            <color indexed="81"/>
            <rFont val="宋体"/>
            <family val="2"/>
          </rPr>
          <t>#Input("延炼_油品动态_6105_油量",":key{{dw}}",":read")</t>
        </r>
      </text>
    </comment>
    <comment ref="G7" authorId="0" shapeId="0" xr:uid="{00000000-0006-0000-0000-00000F000000}">
      <text>
        <r>
          <rPr>
            <b/>
            <sz val="9"/>
            <color indexed="81"/>
            <rFont val="宋体"/>
            <family val="2"/>
          </rPr>
          <t>#Input("延炼_油品动态_6105_空量",":key{{dw}}",":read")</t>
        </r>
      </text>
    </comment>
    <comment ref="K7" authorId="0" shapeId="0" xr:uid="{00000000-0006-0000-0000-000010000000}">
      <text>
        <r>
          <rPr>
            <b/>
            <sz val="9"/>
            <color indexed="81"/>
            <rFont val="宋体"/>
            <family val="2"/>
          </rPr>
          <t>#Input("延炼_油品动态_6204_油尺",":key{{dw}}")</t>
        </r>
      </text>
    </comment>
    <comment ref="L7" authorId="0" shapeId="0" xr:uid="{00000000-0006-0000-0000-000011000000}">
      <text>
        <r>
          <rPr>
            <b/>
            <sz val="9"/>
            <color indexed="81"/>
            <rFont val="宋体"/>
            <family val="2"/>
          </rPr>
          <t>#Input("延炼_油品动态_6204_油量",":key{{dw}}",":read")</t>
        </r>
      </text>
    </comment>
    <comment ref="M7" authorId="0" shapeId="0" xr:uid="{00000000-0006-0000-0000-000012000000}">
      <text>
        <r>
          <rPr>
            <b/>
            <sz val="9"/>
            <color indexed="81"/>
            <rFont val="宋体"/>
            <family val="2"/>
          </rPr>
          <t>#Input("延炼_油品动态_6204_空量",":key{{dw}}",":read")</t>
        </r>
      </text>
    </comment>
    <comment ref="E8" authorId="0" shapeId="0" xr:uid="{00000000-0006-0000-0000-000013000000}">
      <text>
        <r>
          <rPr>
            <b/>
            <sz val="9"/>
            <color indexed="81"/>
            <rFont val="宋体"/>
            <family val="2"/>
          </rPr>
          <t>#Input("延炼_油品动态_6106_油尺",":key{{dw}}")</t>
        </r>
      </text>
    </comment>
    <comment ref="F8" authorId="0" shapeId="0" xr:uid="{00000000-0006-0000-0000-000014000000}">
      <text>
        <r>
          <rPr>
            <b/>
            <sz val="9"/>
            <color indexed="81"/>
            <rFont val="宋体"/>
            <family val="2"/>
          </rPr>
          <t>#Input("延炼_油品动态_6106_油量",":key{{dw}}",":read")</t>
        </r>
      </text>
    </comment>
    <comment ref="G8" authorId="0" shapeId="0" xr:uid="{00000000-0006-0000-0000-000015000000}">
      <text>
        <r>
          <rPr>
            <b/>
            <sz val="9"/>
            <color indexed="81"/>
            <rFont val="宋体"/>
            <family val="2"/>
          </rPr>
          <t>#Input("延炼_油品动态_6106_空量",":key{{dw}}",":read")</t>
        </r>
      </text>
    </comment>
    <comment ref="K8" authorId="0" shapeId="0" xr:uid="{00000000-0006-0000-0000-000016000000}">
      <text>
        <r>
          <rPr>
            <b/>
            <sz val="9"/>
            <color indexed="81"/>
            <rFont val="宋体"/>
            <family val="2"/>
          </rPr>
          <t>#Input("延炼_油品动态_6205_油尺",":key{{dw}}")</t>
        </r>
      </text>
    </comment>
    <comment ref="L8" authorId="0" shapeId="0" xr:uid="{00000000-0006-0000-0000-000017000000}">
      <text>
        <r>
          <rPr>
            <b/>
            <sz val="9"/>
            <color indexed="81"/>
            <rFont val="宋体"/>
            <family val="2"/>
          </rPr>
          <t>#Input("延炼_油品动态_6205_油量",":key{{dw}}",":read")</t>
        </r>
      </text>
    </comment>
    <comment ref="M8" authorId="0" shapeId="0" xr:uid="{00000000-0006-0000-0000-000018000000}">
      <text>
        <r>
          <rPr>
            <b/>
            <sz val="9"/>
            <color indexed="81"/>
            <rFont val="宋体"/>
            <family val="2"/>
          </rPr>
          <t>#Input("延炼_油品动态_6205_空量",":key{{dw}}",":read")</t>
        </r>
      </text>
    </comment>
    <comment ref="E9" authorId="0" shapeId="0" xr:uid="{00000000-0006-0000-0000-000019000000}">
      <text>
        <r>
          <rPr>
            <b/>
            <sz val="9"/>
            <color indexed="81"/>
            <rFont val="宋体"/>
            <family val="2"/>
          </rPr>
          <t>#Input("延炼_油品动态_9501_油尺",":key{{dw}}")</t>
        </r>
      </text>
    </comment>
    <comment ref="F9" authorId="0" shapeId="0" xr:uid="{00000000-0006-0000-0000-00001A000000}">
      <text>
        <r>
          <rPr>
            <b/>
            <sz val="9"/>
            <color indexed="81"/>
            <rFont val="宋体"/>
            <family val="2"/>
          </rPr>
          <t>#Input("延炼_油品动态_9501_油量",":key{{dw}}",":read")</t>
        </r>
      </text>
    </comment>
    <comment ref="G9" authorId="0" shapeId="0" xr:uid="{00000000-0006-0000-0000-00001B000000}">
      <text>
        <r>
          <rPr>
            <b/>
            <sz val="9"/>
            <color indexed="81"/>
            <rFont val="宋体"/>
            <family val="2"/>
          </rPr>
          <t>#Input("延炼_油品动态_9501_空量",":key{{dw}}",":read")</t>
        </r>
      </text>
    </comment>
    <comment ref="K9" authorId="0" shapeId="0" xr:uid="{00000000-0006-0000-0000-00001C000000}">
      <text>
        <r>
          <rPr>
            <b/>
            <sz val="9"/>
            <color indexed="81"/>
            <rFont val="宋体"/>
            <family val="2"/>
          </rPr>
          <t>#Input("延炼_油品动态_9505_油尺",":key{{dw}}")</t>
        </r>
      </text>
    </comment>
    <comment ref="L9" authorId="0" shapeId="0" xr:uid="{00000000-0006-0000-0000-00001D000000}">
      <text>
        <r>
          <rPr>
            <b/>
            <sz val="9"/>
            <color indexed="81"/>
            <rFont val="宋体"/>
            <family val="2"/>
          </rPr>
          <t>#Input("延炼_油品动态_9505_油量",":key{{dw}}",":read")</t>
        </r>
      </text>
    </comment>
    <comment ref="M9" authorId="0" shapeId="0" xr:uid="{00000000-0006-0000-0000-00001E000000}">
      <text>
        <r>
          <rPr>
            <b/>
            <sz val="9"/>
            <color indexed="81"/>
            <rFont val="宋体"/>
            <family val="2"/>
          </rPr>
          <t>#Input("延炼_油品动态_9505_空量",":key{{dw}}",":read")</t>
        </r>
      </text>
    </comment>
    <comment ref="E10" authorId="0" shapeId="0" xr:uid="{00000000-0006-0000-0000-00001F000000}">
      <text>
        <r>
          <rPr>
            <b/>
            <sz val="9"/>
            <color indexed="81"/>
            <rFont val="宋体"/>
            <family val="2"/>
          </rPr>
          <t>#Input("延炼_油品动态_9502_油尺",":key{{dw}}")</t>
        </r>
      </text>
    </comment>
    <comment ref="F10" authorId="0" shapeId="0" xr:uid="{00000000-0006-0000-0000-000020000000}">
      <text>
        <r>
          <rPr>
            <b/>
            <sz val="9"/>
            <color indexed="81"/>
            <rFont val="宋体"/>
            <family val="2"/>
          </rPr>
          <t>#Input("延炼_油品动态_9502_油量",":key{{dw}}",":read")</t>
        </r>
      </text>
    </comment>
    <comment ref="G10" authorId="0" shapeId="0" xr:uid="{00000000-0006-0000-0000-000021000000}">
      <text>
        <r>
          <rPr>
            <b/>
            <sz val="9"/>
            <color indexed="81"/>
            <rFont val="宋体"/>
            <family val="2"/>
          </rPr>
          <t>#Input("延炼_油品动态_9502_空量",":key{{dw}}",":read")</t>
        </r>
      </text>
    </comment>
    <comment ref="K10" authorId="0" shapeId="0" xr:uid="{00000000-0006-0000-0000-000022000000}">
      <text>
        <r>
          <rPr>
            <b/>
            <sz val="9"/>
            <color indexed="81"/>
            <rFont val="宋体"/>
            <family val="2"/>
          </rPr>
          <t>#Input("延炼_油品动态_9506_油尺",":key{{dw}}")</t>
        </r>
      </text>
    </comment>
    <comment ref="L10" authorId="0" shapeId="0" xr:uid="{00000000-0006-0000-0000-000023000000}">
      <text>
        <r>
          <rPr>
            <b/>
            <sz val="9"/>
            <color indexed="81"/>
            <rFont val="宋体"/>
            <family val="2"/>
          </rPr>
          <t>#Input("延炼_油品动态_9506_油量",":key{{dw}}",":read")</t>
        </r>
      </text>
    </comment>
    <comment ref="M10" authorId="0" shapeId="0" xr:uid="{00000000-0006-0000-0000-000024000000}">
      <text>
        <r>
          <rPr>
            <b/>
            <sz val="9"/>
            <color indexed="81"/>
            <rFont val="宋体"/>
            <family val="2"/>
          </rPr>
          <t>#Input("延炼_油品动态_9506_空量",":key{{dw}}",":read")</t>
        </r>
      </text>
    </comment>
    <comment ref="E11" authorId="0" shapeId="0" xr:uid="{00000000-0006-0000-0000-000025000000}">
      <text>
        <r>
          <rPr>
            <b/>
            <sz val="9"/>
            <color indexed="81"/>
            <rFont val="宋体"/>
            <family val="2"/>
          </rPr>
          <t>#Input("延炼_油品动态_9503_油尺",":key{{dw}}")</t>
        </r>
      </text>
    </comment>
    <comment ref="F11" authorId="0" shapeId="0" xr:uid="{00000000-0006-0000-0000-000026000000}">
      <text>
        <r>
          <rPr>
            <b/>
            <sz val="9"/>
            <color indexed="81"/>
            <rFont val="宋体"/>
            <family val="2"/>
          </rPr>
          <t>#Input("延炼_油品动态_9503_油量",":key{{dw}}",":read")</t>
        </r>
      </text>
    </comment>
    <comment ref="G11" authorId="0" shapeId="0" xr:uid="{00000000-0006-0000-0000-000027000000}">
      <text>
        <r>
          <rPr>
            <b/>
            <sz val="9"/>
            <color indexed="81"/>
            <rFont val="宋体"/>
            <family val="2"/>
          </rPr>
          <t>#Input("延炼_油品动态_9503_空量",":key{{dw}}",":read")</t>
        </r>
      </text>
    </comment>
    <comment ref="K11" authorId="0" shapeId="0" xr:uid="{00000000-0006-0000-0000-000028000000}">
      <text>
        <r>
          <rPr>
            <b/>
            <sz val="9"/>
            <color indexed="81"/>
            <rFont val="宋体"/>
            <family val="2"/>
          </rPr>
          <t>#Input("延炼_油品动态_9507_油尺",":key{{dw}}")</t>
        </r>
      </text>
    </comment>
    <comment ref="L11" authorId="0" shapeId="0" xr:uid="{00000000-0006-0000-0000-000029000000}">
      <text>
        <r>
          <rPr>
            <b/>
            <sz val="9"/>
            <color indexed="81"/>
            <rFont val="宋体"/>
            <family val="2"/>
          </rPr>
          <t>#Input("延炼_油品动态_9507_油量",":key{{dw}}",":read")</t>
        </r>
      </text>
    </comment>
    <comment ref="M11" authorId="0" shapeId="0" xr:uid="{00000000-0006-0000-0000-00002A000000}">
      <text>
        <r>
          <rPr>
            <b/>
            <sz val="9"/>
            <color indexed="81"/>
            <rFont val="宋体"/>
            <family val="2"/>
          </rPr>
          <t>#Input("延炼_油品动态_9507_空量",":key{{dw}}",":read")</t>
        </r>
      </text>
    </comment>
    <comment ref="E12" authorId="0" shapeId="0" xr:uid="{00000000-0006-0000-0000-00002B000000}">
      <text>
        <r>
          <rPr>
            <b/>
            <sz val="9"/>
            <color indexed="81"/>
            <rFont val="宋体"/>
            <family val="2"/>
          </rPr>
          <t>#Input("延炼_油品动态_9510_油尺",":key{{dw}}")</t>
        </r>
      </text>
    </comment>
    <comment ref="F12" authorId="0" shapeId="0" xr:uid="{00000000-0006-0000-0000-00002C000000}">
      <text>
        <r>
          <rPr>
            <b/>
            <sz val="9"/>
            <color indexed="81"/>
            <rFont val="宋体"/>
            <family val="2"/>
          </rPr>
          <t>#Input("延炼_油品动态_9510_油量",":key{{dw}}",":read")</t>
        </r>
      </text>
    </comment>
    <comment ref="G12" authorId="0" shapeId="0" xr:uid="{00000000-0006-0000-0000-00002D000000}">
      <text>
        <r>
          <rPr>
            <b/>
            <sz val="9"/>
            <color indexed="81"/>
            <rFont val="宋体"/>
            <family val="2"/>
          </rPr>
          <t>#Input("延炼_油品动态_9510_空量",":key{{dw}}",":read")</t>
        </r>
      </text>
    </comment>
    <comment ref="K12" authorId="0" shapeId="0" xr:uid="{00000000-0006-0000-0000-00002E000000}">
      <text>
        <r>
          <rPr>
            <b/>
            <sz val="9"/>
            <color indexed="81"/>
            <rFont val="宋体"/>
            <family val="2"/>
          </rPr>
          <t>#Input("延炼_油品动态_9508_油尺",":key{{dw}}")</t>
        </r>
      </text>
    </comment>
    <comment ref="L12" authorId="0" shapeId="0" xr:uid="{00000000-0006-0000-0000-00002F000000}">
      <text>
        <r>
          <rPr>
            <b/>
            <sz val="9"/>
            <color indexed="81"/>
            <rFont val="宋体"/>
            <family val="2"/>
          </rPr>
          <t>#Input("延炼_油品动态_9508_油量",":key{{dw}}",":read")</t>
        </r>
      </text>
    </comment>
    <comment ref="M12" authorId="0" shapeId="0" xr:uid="{00000000-0006-0000-0000-000030000000}">
      <text>
        <r>
          <rPr>
            <b/>
            <sz val="9"/>
            <color indexed="81"/>
            <rFont val="宋体"/>
            <family val="2"/>
          </rPr>
          <t>#Input("延炼_油品动态_9508_空量",":key{{dw}}",":read")</t>
        </r>
      </text>
    </comment>
    <comment ref="F13" authorId="0" shapeId="0" xr:uid="{00000000-0006-0000-0000-000031000000}">
      <text>
        <r>
          <rPr>
            <sz val="9"/>
            <color indexed="81"/>
            <rFont val="Arial"/>
            <family val="2"/>
          </rPr>
          <t xml:space="preserve">#Input("延炼_油品动态_原油_油量",":key{{dw}}",":read")
</t>
        </r>
      </text>
    </comment>
    <comment ref="G13" authorId="0" shapeId="0" xr:uid="{00000000-0006-0000-0000-000032000000}">
      <text>
        <r>
          <rPr>
            <b/>
            <sz val="9"/>
            <color indexed="81"/>
            <rFont val="宋体"/>
            <family val="2"/>
          </rPr>
          <t>#Input("延炼_油品动态_原油_空量",":key{{dw}}",":read")</t>
        </r>
      </text>
    </comment>
    <comment ref="K13" authorId="0" shapeId="0" xr:uid="{00000000-0006-0000-0000-000033000000}">
      <text>
        <r>
          <rPr>
            <b/>
            <sz val="9"/>
            <color indexed="81"/>
            <rFont val="宋体"/>
            <family val="2"/>
          </rPr>
          <t>#Input("延炼_油品动态_23601_油尺",":key{{dw}}")</t>
        </r>
      </text>
    </comment>
    <comment ref="L13" authorId="0" shapeId="0" xr:uid="{00000000-0006-0000-0000-000034000000}">
      <text>
        <r>
          <rPr>
            <b/>
            <sz val="9"/>
            <color indexed="81"/>
            <rFont val="宋体"/>
            <family val="2"/>
          </rPr>
          <t>#Input("延炼_油品动态_23601_油量",":key{{dw}}",":read")</t>
        </r>
      </text>
    </comment>
    <comment ref="M13" authorId="0" shapeId="0" xr:uid="{00000000-0006-0000-0000-000035000000}">
      <text>
        <r>
          <rPr>
            <b/>
            <sz val="9"/>
            <color indexed="81"/>
            <rFont val="宋体"/>
            <family val="2"/>
          </rPr>
          <t>#Input("延炼_油品动态_23601_空量",":key{{dw}}",":read")</t>
        </r>
      </text>
    </comment>
    <comment ref="K14" authorId="0" shapeId="0" xr:uid="{00000000-0006-0000-0000-000036000000}">
      <text>
        <r>
          <rPr>
            <b/>
            <sz val="9"/>
            <color indexed="81"/>
            <rFont val="宋体"/>
            <family val="2"/>
          </rPr>
          <t>#Input("延炼_油品动态_23602_油尺",":key{{dw}}")</t>
        </r>
      </text>
    </comment>
    <comment ref="L14" authorId="0" shapeId="0" xr:uid="{00000000-0006-0000-0000-000037000000}">
      <text>
        <r>
          <rPr>
            <b/>
            <sz val="9"/>
            <color indexed="81"/>
            <rFont val="宋体"/>
            <family val="2"/>
          </rPr>
          <t>#Input("延炼_油品动态_23602_油量",":key{{dw}}",":read")</t>
        </r>
      </text>
    </comment>
    <comment ref="M14" authorId="0" shapeId="0" xr:uid="{00000000-0006-0000-0000-000038000000}">
      <text>
        <r>
          <rPr>
            <b/>
            <sz val="9"/>
            <color indexed="81"/>
            <rFont val="宋体"/>
            <family val="2"/>
          </rPr>
          <t>#Input("延炼_油品动态_23602_空量",":key{{dw}}",":read")</t>
        </r>
      </text>
    </comment>
    <comment ref="E15" authorId="0" shapeId="0" xr:uid="{00000000-0006-0000-0000-000039000000}">
      <text>
        <r>
          <rPr>
            <b/>
            <sz val="9"/>
            <color indexed="81"/>
            <rFont val="宋体"/>
            <family val="2"/>
          </rPr>
          <t>#Input("延炼_油品动态_6104_油尺",":key{{dw}}")</t>
        </r>
      </text>
    </comment>
    <comment ref="F15" authorId="0" shapeId="0" xr:uid="{00000000-0006-0000-0000-00003A000000}">
      <text>
        <r>
          <rPr>
            <b/>
            <sz val="9"/>
            <color indexed="81"/>
            <rFont val="宋体"/>
            <family val="2"/>
          </rPr>
          <t>#Input("延炼_油品动态_6104_油量",":key{{dw}}",":read")</t>
        </r>
      </text>
    </comment>
    <comment ref="G15" authorId="0" shapeId="0" xr:uid="{00000000-0006-0000-0000-00003B000000}">
      <text>
        <r>
          <rPr>
            <b/>
            <sz val="9"/>
            <color indexed="81"/>
            <rFont val="宋体"/>
            <family val="2"/>
          </rPr>
          <t>#Input("延炼_油品动态_6104_空量",":key{{dw}}",":read")</t>
        </r>
      </text>
    </comment>
    <comment ref="K15" authorId="0" shapeId="0" xr:uid="{00000000-0006-0000-0000-00003C000000}">
      <text>
        <r>
          <rPr>
            <b/>
            <sz val="9"/>
            <color indexed="81"/>
            <rFont val="宋体"/>
            <family val="2"/>
          </rPr>
          <t>#Input("延炼_油品动态_23603_油尺",":key{{dw}}")</t>
        </r>
      </text>
    </comment>
    <comment ref="L15" authorId="0" shapeId="0" xr:uid="{00000000-0006-0000-0000-00003D000000}">
      <text>
        <r>
          <rPr>
            <b/>
            <sz val="9"/>
            <color indexed="81"/>
            <rFont val="宋体"/>
            <family val="2"/>
          </rPr>
          <t>#Input("延炼_油品动态_23603_油量",":key{{dw}}",":read")</t>
        </r>
      </text>
    </comment>
    <comment ref="M15" authorId="0" shapeId="0" xr:uid="{00000000-0006-0000-0000-00003E000000}">
      <text>
        <r>
          <rPr>
            <b/>
            <sz val="9"/>
            <color indexed="81"/>
            <rFont val="宋体"/>
            <family val="2"/>
          </rPr>
          <t>#Input("延炼_油品动态_23603_空量",":key{{dw}}",":read")</t>
        </r>
      </text>
    </comment>
    <comment ref="K16" authorId="0" shapeId="0" xr:uid="{00000000-0006-0000-0000-00003F000000}">
      <text>
        <r>
          <rPr>
            <b/>
            <sz val="9"/>
            <color indexed="81"/>
            <rFont val="宋体"/>
            <family val="2"/>
          </rPr>
          <t>#Input("延炼_油品动态_23604_油尺",":key{{dw}}")</t>
        </r>
      </text>
    </comment>
    <comment ref="L16" authorId="0" shapeId="0" xr:uid="{00000000-0006-0000-0000-000040000000}">
      <text>
        <r>
          <rPr>
            <b/>
            <sz val="9"/>
            <color indexed="81"/>
            <rFont val="宋体"/>
            <family val="2"/>
          </rPr>
          <t>#Input("延炼_油品动态_23604_油量",":key{{dw}}",":read")</t>
        </r>
      </text>
    </comment>
    <comment ref="M16" authorId="0" shapeId="0" xr:uid="{00000000-0006-0000-0000-000041000000}">
      <text>
        <r>
          <rPr>
            <b/>
            <sz val="9"/>
            <color indexed="81"/>
            <rFont val="宋体"/>
            <family val="2"/>
          </rPr>
          <t>#Input("延炼_油品动态_23604_空量",":key{{dw}}",":read")</t>
        </r>
      </text>
    </comment>
    <comment ref="E17" authorId="0" shapeId="0" xr:uid="{00000000-0006-0000-0000-000042000000}">
      <text>
        <r>
          <rPr>
            <b/>
            <sz val="9"/>
            <color indexed="81"/>
            <rFont val="宋体"/>
            <family val="2"/>
          </rPr>
          <t>#Input("延炼_油品动态_6103_油尺",":key{{dw}}")</t>
        </r>
      </text>
    </comment>
    <comment ref="F17" authorId="0" shapeId="0" xr:uid="{00000000-0006-0000-0000-000043000000}">
      <text>
        <r>
          <rPr>
            <b/>
            <sz val="9"/>
            <color indexed="81"/>
            <rFont val="宋体"/>
            <family val="2"/>
          </rPr>
          <t>#Input("延炼_油品动态_6103_油量",":key{{dw}}",":read")</t>
        </r>
      </text>
    </comment>
    <comment ref="G17" authorId="0" shapeId="0" xr:uid="{00000000-0006-0000-0000-000044000000}">
      <text>
        <r>
          <rPr>
            <b/>
            <sz val="9"/>
            <color indexed="81"/>
            <rFont val="宋体"/>
            <family val="2"/>
          </rPr>
          <t>#Input("延炼_油品动态_6103_空量",":key{{dw}}",":read")</t>
        </r>
      </text>
    </comment>
    <comment ref="L17" authorId="0" shapeId="0" xr:uid="{00000000-0006-0000-0000-000045000000}">
      <text>
        <r>
          <rPr>
            <b/>
            <sz val="9"/>
            <color indexed="81"/>
            <rFont val="宋体"/>
            <family val="2"/>
          </rPr>
          <t>#Input("延炼_油品动态_1#渣油_油量",":key{{dw}}",":read")</t>
        </r>
      </text>
    </comment>
    <comment ref="M17" authorId="0" shapeId="0" xr:uid="{00000000-0006-0000-0000-000046000000}">
      <text>
        <r>
          <rPr>
            <b/>
            <sz val="9"/>
            <color indexed="81"/>
            <rFont val="宋体"/>
            <family val="2"/>
          </rPr>
          <t>#Input("延炼_油品动态_1#渣油_空量",":key{{dw}}",":read")</t>
        </r>
      </text>
    </comment>
    <comment ref="E18" authorId="0" shapeId="0" xr:uid="{00000000-0006-0000-0000-000047000000}">
      <text>
        <r>
          <rPr>
            <b/>
            <sz val="9"/>
            <color indexed="81"/>
            <rFont val="宋体"/>
            <family val="2"/>
          </rPr>
          <t>#Input("延炼_油品动态_9504_油尺",":key{{dw}}")</t>
        </r>
      </text>
    </comment>
    <comment ref="F18" authorId="0" shapeId="0" xr:uid="{00000000-0006-0000-0000-000048000000}">
      <text>
        <r>
          <rPr>
            <b/>
            <sz val="9"/>
            <color indexed="81"/>
            <rFont val="宋体"/>
            <family val="2"/>
          </rPr>
          <t>#Input("延炼_油品动态_9504_油量",":key{{dw}}",":read")</t>
        </r>
      </text>
    </comment>
    <comment ref="G18" authorId="0" shapeId="0" xr:uid="{00000000-0006-0000-0000-000049000000}">
      <text>
        <r>
          <rPr>
            <b/>
            <sz val="9"/>
            <color indexed="81"/>
            <rFont val="宋体"/>
            <family val="2"/>
          </rPr>
          <t>#Input("延炼_油品动态_9504_空量",":key{{dw}}",":read")</t>
        </r>
      </text>
    </comment>
    <comment ref="K18" authorId="0" shapeId="0" xr:uid="{00000000-0006-0000-0000-00004A000000}">
      <text>
        <r>
          <rPr>
            <b/>
            <sz val="9"/>
            <color indexed="81"/>
            <rFont val="宋体"/>
            <family val="2"/>
          </rPr>
          <t>#Input("延炼_油品动态_23605_油尺",":key{{dw}}")</t>
        </r>
      </text>
    </comment>
    <comment ref="L18" authorId="0" shapeId="0" xr:uid="{00000000-0006-0000-0000-00004B000000}">
      <text>
        <r>
          <rPr>
            <b/>
            <sz val="9"/>
            <color indexed="81"/>
            <rFont val="宋体"/>
            <family val="2"/>
          </rPr>
          <t>#Input("延炼_油品动态_6203_油量",":key{{dw}}",":read")</t>
        </r>
      </text>
    </comment>
    <comment ref="M18" authorId="0" shapeId="0" xr:uid="{00000000-0006-0000-0000-00004C000000}">
      <text>
        <r>
          <rPr>
            <b/>
            <sz val="9"/>
            <color indexed="81"/>
            <rFont val="宋体"/>
            <family val="2"/>
          </rPr>
          <t>#Input("延炼_油品动态_6203_空量",":key{{dw}}",":read")</t>
        </r>
      </text>
    </comment>
    <comment ref="E19" authorId="0" shapeId="0" xr:uid="{00000000-0006-0000-0000-00004D000000}">
      <text>
        <r>
          <rPr>
            <b/>
            <sz val="9"/>
            <color indexed="81"/>
            <rFont val="宋体"/>
            <family val="2"/>
          </rPr>
          <t>#Input("延炼_油品动态_9509_油尺",":key{{dw}}")</t>
        </r>
      </text>
    </comment>
    <comment ref="F19" authorId="0" shapeId="0" xr:uid="{00000000-0006-0000-0000-00004E000000}">
      <text>
        <r>
          <rPr>
            <b/>
            <sz val="9"/>
            <color indexed="81"/>
            <rFont val="宋体"/>
            <family val="2"/>
          </rPr>
          <t>#Input("延炼_油品动态_9509_油量",":key{{dw}}",":read")</t>
        </r>
      </text>
    </comment>
    <comment ref="G19" authorId="0" shapeId="0" xr:uid="{00000000-0006-0000-0000-00004F000000}">
      <text>
        <r>
          <rPr>
            <b/>
            <sz val="9"/>
            <color indexed="81"/>
            <rFont val="宋体"/>
            <family val="2"/>
          </rPr>
          <t>#Input("延炼_油品动态_9509_空量",":key{{dw}}",":read")</t>
        </r>
      </text>
    </comment>
    <comment ref="F20" authorId="0" shapeId="0" xr:uid="{00000000-0006-0000-0000-000050000000}">
      <text>
        <r>
          <rPr>
            <b/>
            <sz val="9"/>
            <color indexed="81"/>
            <rFont val="宋体"/>
            <family val="2"/>
          </rPr>
          <t>#Input("延炼_油品动态_环保应急罐_油量",":key{{dw}}",":read")</t>
        </r>
      </text>
    </comment>
    <comment ref="G20" authorId="0" shapeId="0" xr:uid="{00000000-0006-0000-0000-000051000000}">
      <text>
        <r>
          <rPr>
            <b/>
            <sz val="9"/>
            <color indexed="81"/>
            <rFont val="宋体"/>
            <family val="2"/>
          </rPr>
          <t>#Input("延炼_油品动态_环保应急罐_空量",":key{{dw}}",":read")</t>
        </r>
      </text>
    </comment>
    <comment ref="K21" authorId="0" shapeId="0" xr:uid="{00000000-0006-0000-0000-000052000000}">
      <text>
        <r>
          <rPr>
            <b/>
            <sz val="9"/>
            <color indexed="81"/>
            <rFont val="宋体"/>
            <family val="2"/>
          </rPr>
          <t>#Input("延炼_油品动态_6801_油尺",":key{{dw}}")</t>
        </r>
      </text>
    </comment>
    <comment ref="L21" authorId="0" shapeId="0" xr:uid="{00000000-0006-0000-0000-000053000000}">
      <text>
        <r>
          <rPr>
            <b/>
            <sz val="9"/>
            <color indexed="81"/>
            <rFont val="宋体"/>
            <family val="2"/>
          </rPr>
          <t>#Input("延炼_油品动态_6801_油量",":key{{dw}}",":read")</t>
        </r>
      </text>
    </comment>
    <comment ref="M21" authorId="0" shapeId="0" xr:uid="{00000000-0006-0000-0000-000054000000}">
      <text>
        <r>
          <rPr>
            <b/>
            <sz val="9"/>
            <color indexed="81"/>
            <rFont val="宋体"/>
            <family val="2"/>
          </rPr>
          <t>#Input("延炼_油品动态_6801_空量",":key{{dw}}",":read")</t>
        </r>
      </text>
    </comment>
    <comment ref="K22" authorId="0" shapeId="0" xr:uid="{00000000-0006-0000-0000-000055000000}">
      <text>
        <r>
          <rPr>
            <b/>
            <sz val="9"/>
            <color indexed="81"/>
            <rFont val="宋体"/>
            <family val="2"/>
          </rPr>
          <t>#Input("延炼_油品动态_6802_油尺",":key{{dw}}")</t>
        </r>
      </text>
    </comment>
    <comment ref="L22" authorId="0" shapeId="0" xr:uid="{00000000-0006-0000-0000-000056000000}">
      <text>
        <r>
          <rPr>
            <b/>
            <sz val="9"/>
            <color indexed="81"/>
            <rFont val="宋体"/>
            <family val="2"/>
          </rPr>
          <t>#Input("延炼_油品动态_6802_油量",":key{{dw}}",":read")</t>
        </r>
      </text>
    </comment>
    <comment ref="M22" authorId="0" shapeId="0" xr:uid="{00000000-0006-0000-0000-000057000000}">
      <text>
        <r>
          <rPr>
            <b/>
            <sz val="9"/>
            <color indexed="81"/>
            <rFont val="宋体"/>
            <family val="2"/>
          </rPr>
          <t>#Input("延炼_油品动态_6802_空量",":key{{dw}}",":read")</t>
        </r>
      </text>
    </comment>
    <comment ref="E23" authorId="0" shapeId="0" xr:uid="{00000000-0006-0000-0000-000058000000}">
      <text>
        <r>
          <rPr>
            <b/>
            <sz val="9"/>
            <color indexed="81"/>
            <rFont val="宋体"/>
            <family val="2"/>
          </rPr>
          <t>#Input("延炼_油品动态_6803_油尺",":key{{dw}}")</t>
        </r>
      </text>
    </comment>
    <comment ref="F23" authorId="0" shapeId="0" xr:uid="{00000000-0006-0000-0000-000059000000}">
      <text>
        <r>
          <rPr>
            <b/>
            <sz val="9"/>
            <color indexed="81"/>
            <rFont val="宋体"/>
            <family val="2"/>
          </rPr>
          <t>#Input("延炼_油品动态_6803_油量",":key{{dw}}",":read")</t>
        </r>
      </text>
    </comment>
    <comment ref="G23" authorId="0" shapeId="0" xr:uid="{00000000-0006-0000-0000-00005A000000}">
      <text>
        <r>
          <rPr>
            <b/>
            <sz val="9"/>
            <color indexed="81"/>
            <rFont val="宋体"/>
            <family val="2"/>
          </rPr>
          <t>#Input("延炼_油品动态_6803_空量",":key{{dw}}",":read")</t>
        </r>
      </text>
    </comment>
    <comment ref="L23" authorId="0" shapeId="0" xr:uid="{00000000-0006-0000-0000-00005B000000}">
      <text>
        <r>
          <rPr>
            <b/>
            <sz val="9"/>
            <color indexed="81"/>
            <rFont val="宋体"/>
            <family val="2"/>
          </rPr>
          <t>#Input("延炼_油品动态_催化柴油_油量",":key{{dw}}",":read")</t>
        </r>
      </text>
    </comment>
    <comment ref="M23" authorId="0" shapeId="0" xr:uid="{00000000-0006-0000-0000-00005C000000}">
      <text>
        <r>
          <rPr>
            <sz val="9"/>
            <color indexed="81"/>
            <rFont val="Arial"/>
            <family val="2"/>
          </rPr>
          <t xml:space="preserve">#Input("延炼_油品动态_催化柴油_空量",":key{{dw}}",":read")
</t>
        </r>
      </text>
    </comment>
    <comment ref="E24" authorId="0" shapeId="0" xr:uid="{00000000-0006-0000-0000-00005D000000}">
      <text>
        <r>
          <rPr>
            <b/>
            <sz val="9"/>
            <color indexed="81"/>
            <rFont val="宋体"/>
            <family val="2"/>
          </rPr>
          <t>#Input("延炼_油品动态_6804_油尺",":key{{dw}}")</t>
        </r>
      </text>
    </comment>
    <comment ref="F24" authorId="0" shapeId="0" xr:uid="{00000000-0006-0000-0000-00005E000000}">
      <text>
        <r>
          <rPr>
            <b/>
            <sz val="9"/>
            <color indexed="81"/>
            <rFont val="宋体"/>
            <family val="2"/>
          </rPr>
          <t>#Input("延炼_油品动态_6804_油量",":key{{dw}}",":read")</t>
        </r>
      </text>
    </comment>
    <comment ref="G24" authorId="0" shapeId="0" xr:uid="{00000000-0006-0000-0000-00005F000000}">
      <text>
        <r>
          <rPr>
            <b/>
            <sz val="9"/>
            <color indexed="81"/>
            <rFont val="宋体"/>
            <family val="2"/>
          </rPr>
          <t>#Input("延炼_油品动态_6804_空量",":key{{dw}}",":read")</t>
        </r>
      </text>
    </comment>
    <comment ref="F25" authorId="0" shapeId="0" xr:uid="{00000000-0006-0000-0000-000060000000}">
      <text>
        <r>
          <rPr>
            <b/>
            <sz val="9"/>
            <color indexed="81"/>
            <rFont val="宋体"/>
            <family val="2"/>
          </rPr>
          <t>#Input("延炼_油品动态_常压石脑油_油量",":key{{dw}}",":read")</t>
        </r>
      </text>
    </comment>
    <comment ref="G25" authorId="0" shapeId="0" xr:uid="{00000000-0006-0000-0000-000061000000}">
      <text>
        <r>
          <rPr>
            <b/>
            <sz val="9"/>
            <color indexed="81"/>
            <rFont val="宋体"/>
            <family val="2"/>
          </rPr>
          <t>#Input("延炼_油品动态_常压石脑油_空量",":key{{dw}}",":read")</t>
        </r>
      </text>
    </comment>
    <comment ref="K26" authorId="0" shapeId="0" xr:uid="{00000000-0006-0000-0000-000062000000}">
      <text>
        <r>
          <rPr>
            <b/>
            <sz val="9"/>
            <color indexed="81"/>
            <rFont val="宋体"/>
            <family val="2"/>
          </rPr>
          <t>#Input("延炼_油品动态_9527_油尺",":key{{dw}}")</t>
        </r>
      </text>
    </comment>
    <comment ref="L26" authorId="0" shapeId="0" xr:uid="{00000000-0006-0000-0000-000063000000}">
      <text>
        <r>
          <rPr>
            <b/>
            <sz val="9"/>
            <color indexed="81"/>
            <rFont val="宋体"/>
            <family val="2"/>
          </rPr>
          <t>#Input("延炼_油品动态_9527_油量",":key{{dw}}",":read")</t>
        </r>
      </text>
    </comment>
    <comment ref="M26" authorId="0" shapeId="0" xr:uid="{00000000-0006-0000-0000-000064000000}">
      <text>
        <r>
          <rPr>
            <b/>
            <sz val="9"/>
            <color indexed="81"/>
            <rFont val="宋体"/>
            <family val="2"/>
          </rPr>
          <t>#Input("延炼_油品动态_9527_空量",":key{{dw}}",":read")</t>
        </r>
      </text>
    </comment>
    <comment ref="K27" authorId="0" shapeId="0" xr:uid="{00000000-0006-0000-0000-000065000000}">
      <text>
        <r>
          <rPr>
            <b/>
            <sz val="9"/>
            <color indexed="81"/>
            <rFont val="宋体"/>
            <family val="2"/>
          </rPr>
          <t>#Input("延炼_油品动态_9528_油尺",":key{{dw}}")</t>
        </r>
      </text>
    </comment>
    <comment ref="L27" authorId="0" shapeId="0" xr:uid="{00000000-0006-0000-0000-000066000000}">
      <text>
        <r>
          <rPr>
            <b/>
            <sz val="9"/>
            <color indexed="81"/>
            <rFont val="宋体"/>
            <family val="2"/>
          </rPr>
          <t>#Input("延炼_油品动态_9528_油量",":key{{dw}}",":read")</t>
        </r>
      </text>
    </comment>
    <comment ref="M27" authorId="0" shapeId="0" xr:uid="{00000000-0006-0000-0000-000067000000}">
      <text>
        <r>
          <rPr>
            <b/>
            <sz val="9"/>
            <color indexed="81"/>
            <rFont val="宋体"/>
            <family val="2"/>
          </rPr>
          <t>#Input("延炼_油品动态_9528_空量",":key{{dw}}",":read")</t>
        </r>
      </text>
    </comment>
    <comment ref="E28" authorId="0" shapeId="0" xr:uid="{00000000-0006-0000-0000-000068000000}">
      <text>
        <r>
          <rPr>
            <b/>
            <sz val="9"/>
            <color indexed="81"/>
            <rFont val="宋体"/>
            <family val="2"/>
          </rPr>
          <t>#Input("延炼_油品动态_9511_油尺",":key{{dw}}")</t>
        </r>
      </text>
    </comment>
    <comment ref="F28" authorId="0" shapeId="0" xr:uid="{00000000-0006-0000-0000-000069000000}">
      <text>
        <r>
          <rPr>
            <b/>
            <sz val="9"/>
            <color indexed="81"/>
            <rFont val="宋体"/>
            <family val="2"/>
          </rPr>
          <t>#Input("延炼_油品动态_9511_油量",":key{{dw}}",":read")</t>
        </r>
      </text>
    </comment>
    <comment ref="G28" authorId="0" shapeId="0" xr:uid="{00000000-0006-0000-0000-00006A000000}">
      <text>
        <r>
          <rPr>
            <b/>
            <sz val="9"/>
            <color indexed="81"/>
            <rFont val="宋体"/>
            <family val="2"/>
          </rPr>
          <t>#Input("延炼_油品动态_9511_空量",":key{{dw}}",":read")</t>
        </r>
      </text>
    </comment>
    <comment ref="L28" authorId="0" shapeId="0" xr:uid="{00000000-0006-0000-0000-00006B000000}">
      <text>
        <r>
          <rPr>
            <b/>
            <sz val="9"/>
            <color indexed="81"/>
            <rFont val="宋体"/>
            <family val="2"/>
          </rPr>
          <t>#Input("延炼_油品动态_常压直馏柴油_油量",":key{{dw}}",":read")</t>
        </r>
      </text>
    </comment>
    <comment ref="M28" authorId="0" shapeId="0" xr:uid="{00000000-0006-0000-0000-00006C000000}">
      <text>
        <r>
          <rPr>
            <b/>
            <sz val="9"/>
            <color indexed="81"/>
            <rFont val="宋体"/>
            <family val="2"/>
          </rPr>
          <t>#Input("延炼_油品动态_常压直馏柴油_空量",":key{{dw}}",":read")</t>
        </r>
      </text>
    </comment>
    <comment ref="B29" authorId="0" shapeId="0" xr:uid="{00000000-0006-0000-0000-00006D000000}">
      <text>
        <r>
          <rPr>
            <b/>
            <sz val="9"/>
            <color indexed="81"/>
            <rFont val="宋体"/>
            <family val="2"/>
          </rPr>
          <t>#Input("延炼_油品动态_过剩精制汽油调罐1_罐号",":key{{dw}}")</t>
        </r>
      </text>
    </comment>
    <comment ref="E29" authorId="0" shapeId="0" xr:uid="{00000000-0006-0000-0000-00006E000000}">
      <text>
        <r>
          <rPr>
            <b/>
            <sz val="9"/>
            <color indexed="81"/>
            <rFont val="宋体"/>
            <family val="2"/>
          </rPr>
          <t>#Input("延炼_油品动态_过剩精制汽油调罐1_油尺",":key{{dw}}")</t>
        </r>
      </text>
    </comment>
    <comment ref="F29" authorId="0" shapeId="0" xr:uid="{00000000-0006-0000-0000-00006F000000}">
      <text>
        <r>
          <rPr>
            <b/>
            <sz val="9"/>
            <color indexed="81"/>
            <rFont val="宋体"/>
            <family val="2"/>
          </rPr>
          <t>#Input("延炼_油品动态_过剩精制汽油调罐1_油量",":key{{dw}}",":read")</t>
        </r>
      </text>
    </comment>
    <comment ref="G29" authorId="0" shapeId="0" xr:uid="{00000000-0006-0000-0000-000070000000}">
      <text>
        <r>
          <rPr>
            <b/>
            <sz val="9"/>
            <color indexed="81"/>
            <rFont val="宋体"/>
            <family val="2"/>
          </rPr>
          <t>#Input("延炼_油品动态_过剩精制汽油调罐1_空量",":key{{dw}}",":read")</t>
        </r>
      </text>
    </comment>
    <comment ref="B30" authorId="0" shapeId="0" xr:uid="{00000000-0006-0000-0000-000071000000}">
      <text>
        <r>
          <rPr>
            <b/>
            <sz val="9"/>
            <color indexed="81"/>
            <rFont val="宋体"/>
            <family val="2"/>
          </rPr>
          <t>#Input("延炼_油品动态_过剩精制汽油调罐2_罐号",":key{{dw}}")</t>
        </r>
      </text>
    </comment>
    <comment ref="E30" authorId="0" shapeId="0" xr:uid="{00000000-0006-0000-0000-000072000000}">
      <text>
        <r>
          <rPr>
            <b/>
            <sz val="9"/>
            <color indexed="81"/>
            <rFont val="宋体"/>
            <family val="2"/>
          </rPr>
          <t>#Input("延炼_油品动态_过剩精制汽油调罐2_油尺",":key{{dw}}")</t>
        </r>
      </text>
    </comment>
    <comment ref="F30" authorId="0" shapeId="0" xr:uid="{00000000-0006-0000-0000-000073000000}">
      <text>
        <r>
          <rPr>
            <b/>
            <sz val="9"/>
            <color indexed="81"/>
            <rFont val="宋体"/>
            <family val="2"/>
          </rPr>
          <t>#Input("延炼_油品动态_过剩精制汽油调罐2_油量",":key{{dw}}",":read")</t>
        </r>
      </text>
    </comment>
    <comment ref="G30" authorId="0" shapeId="0" xr:uid="{00000000-0006-0000-0000-000074000000}">
      <text>
        <r>
          <rPr>
            <b/>
            <sz val="9"/>
            <color indexed="81"/>
            <rFont val="宋体"/>
            <family val="2"/>
          </rPr>
          <t>#Input("延炼_油品动态_过剩精制汽油调罐2_空量",":key{{dw}}",":read")</t>
        </r>
      </text>
    </comment>
    <comment ref="F31" authorId="0" shapeId="0" xr:uid="{00000000-0006-0000-0000-000075000000}">
      <text>
        <r>
          <rPr>
            <b/>
            <sz val="9"/>
            <color indexed="81"/>
            <rFont val="宋体"/>
            <family val="2"/>
          </rPr>
          <t>#Input("延炼_油品动态_过剩精制汽油_油量",":key{{dw}}",":read")</t>
        </r>
      </text>
    </comment>
    <comment ref="G31" authorId="0" shapeId="0" xr:uid="{00000000-0006-0000-0000-000076000000}">
      <text>
        <r>
          <rPr>
            <b/>
            <sz val="9"/>
            <color indexed="81"/>
            <rFont val="宋体"/>
            <family val="2"/>
          </rPr>
          <t>#Input("延炼_油品动态_过剩精制汽油_空量",":key{{dw}}",":read")</t>
        </r>
      </text>
    </comment>
    <comment ref="K33" authorId="0" shapeId="0" xr:uid="{00000000-0006-0000-0000-000077000000}">
      <text>
        <r>
          <rPr>
            <b/>
            <sz val="9"/>
            <color indexed="81"/>
            <rFont val="宋体"/>
            <family val="2"/>
          </rPr>
          <t>#Input("延炼_油品动态_801_油尺",":key{{dw}}")</t>
        </r>
      </text>
    </comment>
    <comment ref="L33" authorId="0" shapeId="0" xr:uid="{00000000-0006-0000-0000-000078000000}">
      <text>
        <r>
          <rPr>
            <b/>
            <sz val="9"/>
            <color indexed="81"/>
            <rFont val="宋体"/>
            <family val="2"/>
          </rPr>
          <t>#Input("延炼_油品动态_801_油量",":key{{dw}}",":read")</t>
        </r>
      </text>
    </comment>
    <comment ref="M33" authorId="0" shapeId="0" xr:uid="{00000000-0006-0000-0000-000079000000}">
      <text>
        <r>
          <rPr>
            <b/>
            <sz val="9"/>
            <color indexed="81"/>
            <rFont val="宋体"/>
            <family val="2"/>
          </rPr>
          <t>#Input("延炼_油品动态_801_空量",":key{{dw}}",":read")</t>
        </r>
      </text>
    </comment>
    <comment ref="E34" authorId="0" shapeId="0" xr:uid="{00000000-0006-0000-0000-00007A000000}">
      <text>
        <r>
          <rPr>
            <b/>
            <sz val="9"/>
            <color indexed="81"/>
            <rFont val="宋体"/>
            <family val="2"/>
          </rPr>
          <t>#Input("延炼_油品动态_9512_油尺",":key{{dw}}")</t>
        </r>
      </text>
    </comment>
    <comment ref="F34" authorId="0" shapeId="0" xr:uid="{00000000-0006-0000-0000-00007B000000}">
      <text>
        <r>
          <rPr>
            <b/>
            <sz val="9"/>
            <color indexed="81"/>
            <rFont val="宋体"/>
            <family val="2"/>
          </rPr>
          <t>#Input("延炼_油品动态_9512_油量",":key{{dw}}",":read")</t>
        </r>
      </text>
    </comment>
    <comment ref="G34" authorId="0" shapeId="0" xr:uid="{00000000-0006-0000-0000-00007C000000}">
      <text>
        <r>
          <rPr>
            <b/>
            <sz val="9"/>
            <color indexed="81"/>
            <rFont val="宋体"/>
            <family val="2"/>
          </rPr>
          <t>#Input("延炼_油品动态_9512_空量",":key{{dw}}",":read")</t>
        </r>
      </text>
    </comment>
    <comment ref="K34" authorId="0" shapeId="0" xr:uid="{00000000-0006-0000-0000-00007D000000}">
      <text>
        <r>
          <rPr>
            <b/>
            <sz val="9"/>
            <color indexed="81"/>
            <rFont val="宋体"/>
            <family val="2"/>
          </rPr>
          <t>#Input("延炼_油品动态_802_油尺",":key{{dw}}")</t>
        </r>
      </text>
    </comment>
    <comment ref="L34" authorId="0" shapeId="0" xr:uid="{00000000-0006-0000-0000-00007E000000}">
      <text>
        <r>
          <rPr>
            <b/>
            <sz val="9"/>
            <color indexed="81"/>
            <rFont val="宋体"/>
            <family val="2"/>
          </rPr>
          <t>#Input("延炼_油品动态_802_油量",":key{{dw}}",":read")</t>
        </r>
      </text>
    </comment>
    <comment ref="M34" authorId="0" shapeId="0" xr:uid="{00000000-0006-0000-0000-00007F000000}">
      <text>
        <r>
          <rPr>
            <b/>
            <sz val="9"/>
            <color indexed="81"/>
            <rFont val="宋体"/>
            <family val="2"/>
          </rPr>
          <t>#Input("延炼_油品动态_802_空量",":key{{dw}}",":read")</t>
        </r>
      </text>
    </comment>
    <comment ref="E35" authorId="0" shapeId="0" xr:uid="{00000000-0006-0000-0000-000080000000}">
      <text>
        <r>
          <rPr>
            <b/>
            <sz val="9"/>
            <color indexed="81"/>
            <rFont val="宋体"/>
            <family val="2"/>
          </rPr>
          <t>#Input("延炼_油品动态_9513_油尺",":key{{dw}}")</t>
        </r>
      </text>
    </comment>
    <comment ref="F35" authorId="0" shapeId="0" xr:uid="{00000000-0006-0000-0000-000081000000}">
      <text>
        <r>
          <rPr>
            <b/>
            <sz val="9"/>
            <color indexed="81"/>
            <rFont val="宋体"/>
            <family val="2"/>
          </rPr>
          <t>#Input("延炼_油品动态_9513_油量",":key{{dw}}",":read")</t>
        </r>
      </text>
    </comment>
    <comment ref="G35" authorId="0" shapeId="0" xr:uid="{00000000-0006-0000-0000-000082000000}">
      <text>
        <r>
          <rPr>
            <b/>
            <sz val="9"/>
            <color indexed="81"/>
            <rFont val="宋体"/>
            <family val="2"/>
          </rPr>
          <t>#Input("延炼_油品动态_9513_空量",":key{{dw}}",":read")</t>
        </r>
      </text>
    </comment>
    <comment ref="K35" authorId="0" shapeId="0" xr:uid="{00000000-0006-0000-0000-000083000000}">
      <text>
        <r>
          <rPr>
            <b/>
            <sz val="9"/>
            <color indexed="81"/>
            <rFont val="宋体"/>
            <family val="2"/>
          </rPr>
          <t>#Input("延炼_油品动态_803_油尺",":key{{dw}}")</t>
        </r>
      </text>
    </comment>
    <comment ref="L35" authorId="0" shapeId="0" xr:uid="{00000000-0006-0000-0000-000084000000}">
      <text>
        <r>
          <rPr>
            <b/>
            <sz val="9"/>
            <color indexed="81"/>
            <rFont val="宋体"/>
            <family val="2"/>
          </rPr>
          <t>#Input("延炼_油品动态_803_油量",":key{{dw}}",":read")</t>
        </r>
      </text>
    </comment>
    <comment ref="M35" authorId="0" shapeId="0" xr:uid="{00000000-0006-0000-0000-000085000000}">
      <text>
        <r>
          <rPr>
            <b/>
            <sz val="9"/>
            <color indexed="81"/>
            <rFont val="宋体"/>
            <family val="2"/>
          </rPr>
          <t>#Input("延炼_油品动态_803_空量",":key{{dw}}",":read")</t>
        </r>
      </text>
    </comment>
    <comment ref="F36" authorId="0" shapeId="0" xr:uid="{00000000-0006-0000-0000-000086000000}">
      <text>
        <r>
          <rPr>
            <b/>
            <sz val="9"/>
            <color indexed="81"/>
            <rFont val="宋体"/>
            <family val="2"/>
          </rPr>
          <t>#Input("延炼_油品动态_催化汽油（原料）_油量",":key{{dw}}",":read")</t>
        </r>
      </text>
    </comment>
    <comment ref="G36" authorId="0" shapeId="0" xr:uid="{00000000-0006-0000-0000-000087000000}">
      <text>
        <r>
          <rPr>
            <b/>
            <sz val="9"/>
            <color indexed="81"/>
            <rFont val="宋体"/>
            <family val="2"/>
          </rPr>
          <t>#Input("延炼_油品动态_催化汽油（原料）_空量",":key{{dw}}",":read")</t>
        </r>
      </text>
    </comment>
    <comment ref="K36" authorId="0" shapeId="0" xr:uid="{00000000-0006-0000-0000-000088000000}">
      <text>
        <r>
          <rPr>
            <b/>
            <sz val="9"/>
            <color indexed="81"/>
            <rFont val="宋体"/>
            <family val="2"/>
          </rPr>
          <t>#Input("延炼_油品动态_804_油尺",":key{{dw}}")</t>
        </r>
      </text>
    </comment>
    <comment ref="L36" authorId="0" shapeId="0" xr:uid="{00000000-0006-0000-0000-000089000000}">
      <text>
        <r>
          <rPr>
            <b/>
            <sz val="9"/>
            <color indexed="81"/>
            <rFont val="宋体"/>
            <family val="2"/>
          </rPr>
          <t>#Input("延炼_油品动态_804_油量",":key{{dw}}",":read")</t>
        </r>
      </text>
    </comment>
    <comment ref="M36" authorId="0" shapeId="0" xr:uid="{00000000-0006-0000-0000-00008A000000}">
      <text>
        <r>
          <rPr>
            <b/>
            <sz val="9"/>
            <color indexed="81"/>
            <rFont val="宋体"/>
            <family val="2"/>
          </rPr>
          <t>#Input("延炼_油品动态_804_空量",":key{{dw}}",":read")</t>
        </r>
      </text>
    </comment>
    <comment ref="K37" authorId="0" shapeId="0" xr:uid="{00000000-0006-0000-0000-00008B000000}">
      <text>
        <r>
          <rPr>
            <b/>
            <sz val="9"/>
            <color indexed="81"/>
            <rFont val="宋体"/>
            <family val="2"/>
          </rPr>
          <t>#Input("延炼_油品动态_810_油尺",":key{{dw}}")</t>
        </r>
      </text>
    </comment>
    <comment ref="L37" authorId="0" shapeId="0" xr:uid="{00000000-0006-0000-0000-00008C000000}">
      <text>
        <r>
          <rPr>
            <b/>
            <sz val="9"/>
            <color indexed="81"/>
            <rFont val="宋体"/>
            <family val="2"/>
          </rPr>
          <t>#Input("延炼_油品动态_810_油量",":key{{dw}}",":read")</t>
        </r>
      </text>
    </comment>
    <comment ref="M37" authorId="0" shapeId="0" xr:uid="{00000000-0006-0000-0000-00008D000000}">
      <text>
        <r>
          <rPr>
            <b/>
            <sz val="9"/>
            <color indexed="81"/>
            <rFont val="宋体"/>
            <family val="2"/>
          </rPr>
          <t>#Input("延炼_油品动态_810_空量",":key{{dw}}",":read")</t>
        </r>
      </text>
    </comment>
    <comment ref="K38" authorId="0" shapeId="0" xr:uid="{00000000-0006-0000-0000-00008E000000}">
      <text>
        <r>
          <rPr>
            <b/>
            <sz val="9"/>
            <color indexed="81"/>
            <rFont val="宋体"/>
            <family val="2"/>
          </rPr>
          <t>#Input("延炼_油品动态_811_油尺",":key{{dw}}")</t>
        </r>
      </text>
    </comment>
    <comment ref="L38" authorId="0" shapeId="0" xr:uid="{00000000-0006-0000-0000-00008F000000}">
      <text>
        <r>
          <rPr>
            <b/>
            <sz val="9"/>
            <color indexed="81"/>
            <rFont val="宋体"/>
            <family val="2"/>
          </rPr>
          <t>#Input("延炼_油品动态_811_油量",":key{{dw}}",":read")</t>
        </r>
      </text>
    </comment>
    <comment ref="M38" authorId="0" shapeId="0" xr:uid="{00000000-0006-0000-0000-000090000000}">
      <text>
        <r>
          <rPr>
            <b/>
            <sz val="9"/>
            <color indexed="81"/>
            <rFont val="宋体"/>
            <family val="2"/>
          </rPr>
          <t>#Input("延炼_油品动态_811_空量",":key{{dw}}",":read")</t>
        </r>
      </text>
    </comment>
    <comment ref="E39" authorId="0" shapeId="0" xr:uid="{00000000-0006-0000-0000-000091000000}">
      <text>
        <r>
          <rPr>
            <b/>
            <sz val="9"/>
            <color indexed="81"/>
            <rFont val="宋体"/>
            <family val="2"/>
          </rPr>
          <t>#Input("延炼_油品动态_24903_油尺",":key{{dw}}")</t>
        </r>
      </text>
    </comment>
    <comment ref="F39" authorId="0" shapeId="0" xr:uid="{00000000-0006-0000-0000-000092000000}">
      <text>
        <r>
          <rPr>
            <b/>
            <sz val="9"/>
            <color indexed="81"/>
            <rFont val="宋体"/>
            <family val="2"/>
          </rPr>
          <t>#Input("延炼_油品动态_24903_油量",":key{{dw}}",":read")</t>
        </r>
      </text>
    </comment>
    <comment ref="G39" authorId="0" shapeId="0" xr:uid="{00000000-0006-0000-0000-000093000000}">
      <text>
        <r>
          <rPr>
            <b/>
            <sz val="9"/>
            <color indexed="81"/>
            <rFont val="宋体"/>
            <family val="2"/>
          </rPr>
          <t>#Input("延炼_油品动态_24903_空量",":key{{dw}}",":read")</t>
        </r>
      </text>
    </comment>
    <comment ref="K39" authorId="0" shapeId="0" xr:uid="{00000000-0006-0000-0000-000094000000}">
      <text>
        <r>
          <rPr>
            <b/>
            <sz val="9"/>
            <color indexed="81"/>
            <rFont val="宋体"/>
            <family val="2"/>
          </rPr>
          <t>#Input("延炼_油品动态_812_油尺",":key{{dw}}")</t>
        </r>
      </text>
    </comment>
    <comment ref="L39" authorId="0" shapeId="0" xr:uid="{00000000-0006-0000-0000-000095000000}">
      <text>
        <r>
          <rPr>
            <b/>
            <sz val="9"/>
            <color indexed="81"/>
            <rFont val="宋体"/>
            <family val="2"/>
          </rPr>
          <t>#Input("延炼_油品动态_812_油量",":key{{dw}}",":read")</t>
        </r>
      </text>
    </comment>
    <comment ref="M39" authorId="0" shapeId="0" xr:uid="{00000000-0006-0000-0000-000096000000}">
      <text>
        <r>
          <rPr>
            <b/>
            <sz val="9"/>
            <color indexed="81"/>
            <rFont val="宋体"/>
            <family val="2"/>
          </rPr>
          <t>#Input("延炼_油品动态_812_空量",":key{{dw}}","read")</t>
        </r>
      </text>
    </comment>
    <comment ref="E40" authorId="0" shapeId="0" xr:uid="{00000000-0006-0000-0000-000097000000}">
      <text>
        <r>
          <rPr>
            <b/>
            <sz val="9"/>
            <color indexed="81"/>
            <rFont val="宋体"/>
            <family val="2"/>
          </rPr>
          <t>#Input("延炼_油品动态_24904_油尺",":key{{dw}}")</t>
        </r>
      </text>
    </comment>
    <comment ref="F40" authorId="0" shapeId="0" xr:uid="{00000000-0006-0000-0000-000098000000}">
      <text>
        <r>
          <rPr>
            <b/>
            <sz val="9"/>
            <color indexed="81"/>
            <rFont val="宋体"/>
            <family val="2"/>
          </rPr>
          <t>#Input("延炼_油品动态_24904_油量",":key{{dw}}",":read")</t>
        </r>
      </text>
    </comment>
    <comment ref="G40" authorId="0" shapeId="0" xr:uid="{00000000-0006-0000-0000-000099000000}">
      <text>
        <r>
          <rPr>
            <b/>
            <sz val="9"/>
            <color indexed="81"/>
            <rFont val="宋体"/>
            <family val="2"/>
          </rPr>
          <t>#Input("延炼_油品动态_24904_空量",":key{{dw}}",":read")</t>
        </r>
      </text>
    </comment>
    <comment ref="K40" authorId="0" shapeId="0" xr:uid="{00000000-0006-0000-0000-00009A000000}">
      <text>
        <r>
          <rPr>
            <b/>
            <sz val="9"/>
            <color indexed="81"/>
            <rFont val="宋体"/>
            <family val="2"/>
          </rPr>
          <t>#Input("延炼_油品动态_813_油尺",":key{{dw}}")</t>
        </r>
      </text>
    </comment>
    <comment ref="L40" authorId="0" shapeId="0" xr:uid="{00000000-0006-0000-0000-00009B000000}">
      <text>
        <r>
          <rPr>
            <b/>
            <sz val="9"/>
            <color indexed="81"/>
            <rFont val="宋体"/>
            <family val="2"/>
          </rPr>
          <t>#Input("延炼_油品动态_813_油量",":key{{dw}}",":read")</t>
        </r>
      </text>
    </comment>
    <comment ref="M40" authorId="0" shapeId="0" xr:uid="{00000000-0006-0000-0000-00009C000000}">
      <text>
        <r>
          <rPr>
            <b/>
            <sz val="9"/>
            <color indexed="81"/>
            <rFont val="宋体"/>
            <family val="2"/>
          </rPr>
          <t>#Input("延炼_油品动态_813_空量",":key{{dw}}",":read")</t>
        </r>
      </text>
    </comment>
    <comment ref="E41" authorId="0" shapeId="0" xr:uid="{00000000-0006-0000-0000-00009D000000}">
      <text>
        <r>
          <rPr>
            <b/>
            <sz val="9"/>
            <color indexed="81"/>
            <rFont val="宋体"/>
            <family val="2"/>
          </rPr>
          <t>#Input("延炼_油品动态_24905_油尺",":key{{dw}}")</t>
        </r>
      </text>
    </comment>
    <comment ref="F41" authorId="0" shapeId="0" xr:uid="{00000000-0006-0000-0000-00009E000000}">
      <text>
        <r>
          <rPr>
            <b/>
            <sz val="9"/>
            <color indexed="81"/>
            <rFont val="宋体"/>
            <family val="2"/>
          </rPr>
          <t>#Input("延炼_油品动态_24905_油量",":key{{dw}}",":read")</t>
        </r>
      </text>
    </comment>
    <comment ref="G41" authorId="0" shapeId="0" xr:uid="{00000000-0006-0000-0000-00009F000000}">
      <text>
        <r>
          <rPr>
            <b/>
            <sz val="9"/>
            <color indexed="81"/>
            <rFont val="宋体"/>
            <family val="2"/>
          </rPr>
          <t>#Input("延炼_油品动态_24905_空量",":key{{dw}}",":read")</t>
        </r>
      </text>
    </comment>
    <comment ref="K41" authorId="0" shapeId="0" xr:uid="{00000000-0006-0000-0000-0000A0000000}">
      <text>
        <r>
          <rPr>
            <b/>
            <sz val="9"/>
            <color indexed="81"/>
            <rFont val="宋体"/>
            <family val="2"/>
          </rPr>
          <t>#Input("延炼_油品动态_818_油尺",":key{{dw}}")</t>
        </r>
      </text>
    </comment>
    <comment ref="L41" authorId="0" shapeId="0" xr:uid="{00000000-0006-0000-0000-0000A1000000}">
      <text>
        <r>
          <rPr>
            <b/>
            <sz val="9"/>
            <color indexed="81"/>
            <rFont val="宋体"/>
            <family val="2"/>
          </rPr>
          <t>#Input("延炼_油品动态_818_油量",":key{{dw}}",":read")</t>
        </r>
      </text>
    </comment>
    <comment ref="M41" authorId="0" shapeId="0" xr:uid="{00000000-0006-0000-0000-0000A2000000}">
      <text>
        <r>
          <rPr>
            <b/>
            <sz val="9"/>
            <color indexed="81"/>
            <rFont val="宋体"/>
            <family val="2"/>
          </rPr>
          <t>#Input("延炼_油品动态_818_空量",":key{{dw}}",":read")</t>
        </r>
      </text>
    </comment>
    <comment ref="E42" authorId="0" shapeId="0" xr:uid="{00000000-0006-0000-0000-0000A3000000}">
      <text>
        <r>
          <rPr>
            <b/>
            <sz val="9"/>
            <color indexed="81"/>
            <rFont val="宋体"/>
            <family val="2"/>
          </rPr>
          <t>#Input("延炼_油品动态_9514_油尺",":key{{dw}}")</t>
        </r>
      </text>
    </comment>
    <comment ref="F42" authorId="0" shapeId="0" xr:uid="{00000000-0006-0000-0000-0000A4000000}">
      <text>
        <r>
          <rPr>
            <b/>
            <sz val="9"/>
            <color indexed="81"/>
            <rFont val="宋体"/>
            <family val="2"/>
          </rPr>
          <t>#Input("延炼_油品动态_9514_油量",":key{{dw}}",":read")</t>
        </r>
      </text>
    </comment>
    <comment ref="G42" authorId="0" shapeId="0" xr:uid="{00000000-0006-0000-0000-0000A5000000}">
      <text>
        <r>
          <rPr>
            <b/>
            <sz val="9"/>
            <color indexed="81"/>
            <rFont val="宋体"/>
            <family val="2"/>
          </rPr>
          <t>#Input("延炼_油品动态_9514_空量",":key{{dw}}",":read")</t>
        </r>
      </text>
    </comment>
    <comment ref="K42" authorId="0" shapeId="0" xr:uid="{00000000-0006-0000-0000-0000A6000000}">
      <text>
        <r>
          <rPr>
            <b/>
            <sz val="9"/>
            <color indexed="81"/>
            <rFont val="宋体"/>
            <family val="2"/>
          </rPr>
          <t>#Input("延炼_油品动态_819_油尺",":key{{dw}}")</t>
        </r>
      </text>
    </comment>
    <comment ref="L42" authorId="0" shapeId="0" xr:uid="{00000000-0006-0000-0000-0000A7000000}">
      <text>
        <r>
          <rPr>
            <b/>
            <sz val="9"/>
            <color indexed="81"/>
            <rFont val="宋体"/>
            <family val="2"/>
          </rPr>
          <t>#Input("延炼_油品动态_819_油量",":key{{dw}}",":read")</t>
        </r>
      </text>
    </comment>
    <comment ref="M42" authorId="0" shapeId="0" xr:uid="{00000000-0006-0000-0000-0000A8000000}">
      <text>
        <r>
          <rPr>
            <b/>
            <sz val="9"/>
            <color indexed="81"/>
            <rFont val="宋体"/>
            <family val="2"/>
          </rPr>
          <t>#Input("延炼_油品动态_819_空量",":key{{dw}}",":read")</t>
        </r>
      </text>
    </comment>
    <comment ref="E43" authorId="0" shapeId="0" xr:uid="{00000000-0006-0000-0000-0000A9000000}">
      <text>
        <r>
          <rPr>
            <b/>
            <sz val="9"/>
            <color indexed="81"/>
            <rFont val="宋体"/>
            <family val="2"/>
          </rPr>
          <t>#Input("延炼_油品动态_9516_油尺",":key{{dw}}")</t>
        </r>
      </text>
    </comment>
    <comment ref="F43" authorId="0" shapeId="0" xr:uid="{00000000-0006-0000-0000-0000AA000000}">
      <text>
        <r>
          <rPr>
            <b/>
            <sz val="9"/>
            <color indexed="81"/>
            <rFont val="宋体"/>
            <family val="2"/>
          </rPr>
          <t>#Input("延炼_油品动态_9516_油量",":key{{dw}}",":read")</t>
        </r>
      </text>
    </comment>
    <comment ref="G43" authorId="0" shapeId="0" xr:uid="{00000000-0006-0000-0000-0000AB000000}">
      <text>
        <r>
          <rPr>
            <b/>
            <sz val="9"/>
            <color indexed="81"/>
            <rFont val="宋体"/>
            <family val="2"/>
          </rPr>
          <t>#Input("延炼_油品动态_9516_空量",":key{{dw}}",":read")</t>
        </r>
      </text>
    </comment>
    <comment ref="K43" authorId="0" shapeId="0" xr:uid="{00000000-0006-0000-0000-0000AC000000}">
      <text>
        <r>
          <rPr>
            <b/>
            <sz val="9"/>
            <color indexed="81"/>
            <rFont val="宋体"/>
            <family val="2"/>
          </rPr>
          <t>#Input("延炼_油品动态_26103_油尺",":key{{dw}}")</t>
        </r>
      </text>
    </comment>
    <comment ref="L43" authorId="0" shapeId="0" xr:uid="{00000000-0006-0000-0000-0000AD000000}">
      <text>
        <r>
          <rPr>
            <b/>
            <sz val="9"/>
            <color indexed="81"/>
            <rFont val="宋体"/>
            <family val="2"/>
          </rPr>
          <t>#Input("延炼_油品动态_26103_油量",":key{{dw}}",":read")</t>
        </r>
      </text>
    </comment>
    <comment ref="M43" authorId="0" shapeId="0" xr:uid="{00000000-0006-0000-0000-0000AE000000}">
      <text>
        <r>
          <rPr>
            <b/>
            <sz val="9"/>
            <color indexed="81"/>
            <rFont val="宋体"/>
            <family val="2"/>
          </rPr>
          <t>#Input("延炼_油品动态_26103_空量",":key{{dw}}",":read")</t>
        </r>
      </text>
    </comment>
    <comment ref="F44" authorId="0" shapeId="0" xr:uid="{00000000-0006-0000-0000-0000AF000000}">
      <text>
        <r>
          <rPr>
            <sz val="9"/>
            <color indexed="81"/>
            <rFont val="Arial"/>
            <family val="2"/>
          </rPr>
          <t xml:space="preserve">#Input("延炼_油品动态_MTBE_油量",":key{{dw}}",":read")
</t>
        </r>
      </text>
    </comment>
    <comment ref="G44" authorId="0" shapeId="0" xr:uid="{00000000-0006-0000-0000-0000B0000000}">
      <text>
        <r>
          <rPr>
            <sz val="9"/>
            <color indexed="81"/>
            <rFont val="Arial"/>
            <family val="2"/>
          </rPr>
          <t xml:space="preserve">#Input("延炼_油品动态_MTBE_空量",":key{{dw}}",":read")
</t>
        </r>
      </text>
    </comment>
    <comment ref="K44" authorId="0" shapeId="0" xr:uid="{00000000-0006-0000-0000-0000B1000000}">
      <text>
        <r>
          <rPr>
            <b/>
            <sz val="9"/>
            <color indexed="81"/>
            <rFont val="宋体"/>
            <family val="2"/>
          </rPr>
          <t>#Input("延炼_油品动态_26104_油尺",":key{{dw}}")</t>
        </r>
      </text>
    </comment>
    <comment ref="L44" authorId="0" shapeId="0" xr:uid="{00000000-0006-0000-0000-0000B2000000}">
      <text>
        <r>
          <rPr>
            <b/>
            <sz val="9"/>
            <color indexed="81"/>
            <rFont val="宋体"/>
            <family val="2"/>
          </rPr>
          <t>#Input("延炼_油品动态_26104_油量",":key{{dw}}",":read")</t>
        </r>
      </text>
    </comment>
    <comment ref="M44" authorId="0" shapeId="0" xr:uid="{00000000-0006-0000-0000-0000B3000000}">
      <text>
        <r>
          <rPr>
            <b/>
            <sz val="9"/>
            <color indexed="81"/>
            <rFont val="宋体"/>
            <family val="2"/>
          </rPr>
          <t>#Input("延炼_油品动态_26104_空量",":key{{dw}}",":read")</t>
        </r>
      </text>
    </comment>
    <comment ref="L45" authorId="0" shapeId="0" xr:uid="{00000000-0006-0000-0000-0000B4000000}">
      <text>
        <r>
          <rPr>
            <b/>
            <sz val="9"/>
            <color indexed="81"/>
            <rFont val="宋体"/>
            <family val="2"/>
          </rPr>
          <t>#Input("延炼_油品动态_0#柴油_油量",":key{{dw}}",":read")</t>
        </r>
      </text>
    </comment>
    <comment ref="M45" authorId="0" shapeId="0" xr:uid="{00000000-0006-0000-0000-0000B5000000}">
      <text>
        <r>
          <rPr>
            <sz val="9"/>
            <color indexed="81"/>
            <rFont val="Arial"/>
            <family val="2"/>
          </rPr>
          <t xml:space="preserve">#Input("延炼_油品动态_0#柴油_空量",":key{{dw}}",":read")
</t>
        </r>
      </text>
    </comment>
    <comment ref="E46" authorId="0" shapeId="0" xr:uid="{00000000-0006-0000-0000-0000B6000000}">
      <text>
        <r>
          <rPr>
            <b/>
            <sz val="9"/>
            <color indexed="81"/>
            <rFont val="宋体"/>
            <family val="2"/>
          </rPr>
          <t>#Input("延炼_油品动态_9515_油尺",":key{{dw}}")</t>
        </r>
      </text>
    </comment>
    <comment ref="F46" authorId="0" shapeId="0" xr:uid="{00000000-0006-0000-0000-0000B7000000}">
      <text>
        <r>
          <rPr>
            <b/>
            <sz val="9"/>
            <color indexed="81"/>
            <rFont val="宋体"/>
            <family val="2"/>
          </rPr>
          <t>#Input("延炼_油品动态_9515_油量",":key{{dw}}",":read")</t>
        </r>
      </text>
    </comment>
    <comment ref="G46" authorId="0" shapeId="0" xr:uid="{00000000-0006-0000-0000-0000B8000000}">
      <text>
        <r>
          <rPr>
            <b/>
            <sz val="9"/>
            <color indexed="81"/>
            <rFont val="宋体"/>
            <family val="2"/>
          </rPr>
          <t>#Input("延炼_油品动态_9515_空量",":key{{dw}}",":read")</t>
        </r>
      </text>
    </comment>
    <comment ref="F47" authorId="0" shapeId="0" xr:uid="{00000000-0006-0000-0000-0000B9000000}">
      <text>
        <r>
          <rPr>
            <sz val="9"/>
            <color indexed="81"/>
            <rFont val="Arial"/>
            <family val="2"/>
          </rPr>
          <t>#Input("延炼_油品动态_二甲苯_油量",":key{{dw}}",":read")</t>
        </r>
      </text>
    </comment>
    <comment ref="G47" authorId="0" shapeId="0" xr:uid="{00000000-0006-0000-0000-0000BA000000}">
      <text>
        <r>
          <rPr>
            <sz val="9"/>
            <color indexed="81"/>
            <rFont val="Arial"/>
            <family val="2"/>
          </rPr>
          <t>#Input("延炼_油品动态_二甲苯_空量",":key{{dw}}",":read")</t>
        </r>
      </text>
    </comment>
    <comment ref="K47" authorId="0" shapeId="0" xr:uid="{00000000-0006-0000-0000-0000BB000000}">
      <text>
        <r>
          <rPr>
            <b/>
            <sz val="9"/>
            <color indexed="81"/>
            <rFont val="宋体"/>
            <family val="2"/>
          </rPr>
          <t>#Input("延炼_油品动态_26105_油尺",":key{{dw}}")</t>
        </r>
      </text>
    </comment>
    <comment ref="L47" authorId="0" shapeId="0" xr:uid="{00000000-0006-0000-0000-0000BC000000}">
      <text>
        <r>
          <rPr>
            <b/>
            <sz val="9"/>
            <color indexed="81"/>
            <rFont val="宋体"/>
            <family val="2"/>
          </rPr>
          <t>#Input("延炼_油品动态_26105_油量",":key{{dw}}",":read")</t>
        </r>
      </text>
    </comment>
    <comment ref="M47" authorId="0" shapeId="0" xr:uid="{00000000-0006-0000-0000-0000BD000000}">
      <text>
        <r>
          <rPr>
            <b/>
            <sz val="9"/>
            <color indexed="81"/>
            <rFont val="宋体"/>
            <family val="2"/>
          </rPr>
          <t>#Input("延炼_油品动态_26105_空量",":key{{dw}}",":read")</t>
        </r>
      </text>
    </comment>
    <comment ref="K48" authorId="0" shapeId="0" xr:uid="{00000000-0006-0000-0000-0000BE000000}">
      <text>
        <r>
          <rPr>
            <b/>
            <sz val="9"/>
            <color indexed="81"/>
            <rFont val="宋体"/>
            <family val="2"/>
          </rPr>
          <t>#Input("延炼_油品动态_26106_油尺",":key{{dw}}")</t>
        </r>
      </text>
    </comment>
    <comment ref="L48" authorId="0" shapeId="0" xr:uid="{00000000-0006-0000-0000-0000BF000000}">
      <text>
        <r>
          <rPr>
            <b/>
            <sz val="9"/>
            <color indexed="81"/>
            <rFont val="宋体"/>
            <family val="2"/>
          </rPr>
          <t>#Input("延炼_油品动态_26106_油量",":key{{dw}}",":read")</t>
        </r>
      </text>
    </comment>
    <comment ref="M48" authorId="0" shapeId="0" xr:uid="{00000000-0006-0000-0000-0000C0000000}">
      <text>
        <r>
          <rPr>
            <b/>
            <sz val="9"/>
            <color indexed="81"/>
            <rFont val="宋体"/>
            <family val="2"/>
          </rPr>
          <t>#Input("延炼_油品动态_26106_空量",":key{{dw}}",":read")</t>
        </r>
      </text>
    </comment>
    <comment ref="E49" authorId="0" shapeId="0" xr:uid="{00000000-0006-0000-0000-0000C1000000}">
      <text>
        <r>
          <rPr>
            <b/>
            <sz val="9"/>
            <color indexed="81"/>
            <rFont val="宋体"/>
            <family val="2"/>
          </rPr>
          <t>#Input("延炼_油品动态_9525_油尺",":key{{dw}}")</t>
        </r>
      </text>
    </comment>
    <comment ref="F49" authorId="0" shapeId="0" xr:uid="{00000000-0006-0000-0000-0000C2000000}">
      <text>
        <r>
          <rPr>
            <b/>
            <sz val="9"/>
            <color indexed="81"/>
            <rFont val="宋体"/>
            <family val="2"/>
          </rPr>
          <t>#Input("延炼_油品动态_9525_油量",":key{{dw}}",":read")</t>
        </r>
      </text>
    </comment>
    <comment ref="G49" authorId="0" shapeId="0" xr:uid="{00000000-0006-0000-0000-0000C3000000}">
      <text>
        <r>
          <rPr>
            <b/>
            <sz val="9"/>
            <color indexed="81"/>
            <rFont val="宋体"/>
            <family val="2"/>
          </rPr>
          <t>#Input("延炼_油品动态_9525_空量",":key{{dw}}",":read")</t>
        </r>
      </text>
    </comment>
    <comment ref="K49" authorId="0" shapeId="0" xr:uid="{00000000-0006-0000-0000-0000C4000000}">
      <text>
        <r>
          <rPr>
            <b/>
            <sz val="9"/>
            <color indexed="81"/>
            <rFont val="宋体"/>
            <family val="2"/>
          </rPr>
          <t>#Input("延炼_油品动态_26107_油尺",":key{{dw}}")</t>
        </r>
      </text>
    </comment>
    <comment ref="L49" authorId="0" shapeId="0" xr:uid="{00000000-0006-0000-0000-0000C5000000}">
      <text>
        <r>
          <rPr>
            <b/>
            <sz val="9"/>
            <color indexed="81"/>
            <rFont val="宋体"/>
            <family val="2"/>
          </rPr>
          <t>#Input("延炼_油品动态_26107_油量",":key{{dw}}",":read")</t>
        </r>
      </text>
    </comment>
    <comment ref="M49" authorId="0" shapeId="0" xr:uid="{00000000-0006-0000-0000-0000C6000000}">
      <text>
        <r>
          <rPr>
            <b/>
            <sz val="9"/>
            <color indexed="81"/>
            <rFont val="宋体"/>
            <family val="2"/>
          </rPr>
          <t>#Input("延炼_油品动态_26107_空量",":key{{dw}}",":read")</t>
        </r>
      </text>
    </comment>
    <comment ref="E50" authorId="0" shapeId="0" xr:uid="{00000000-0006-0000-0000-0000C7000000}">
      <text>
        <r>
          <rPr>
            <b/>
            <sz val="9"/>
            <color indexed="81"/>
            <rFont val="宋体"/>
            <family val="2"/>
          </rPr>
          <t>#Input("延炼_油品动态_9526_油尺",":key{{dw}}")</t>
        </r>
      </text>
    </comment>
    <comment ref="F50" authorId="0" shapeId="0" xr:uid="{00000000-0006-0000-0000-0000C8000000}">
      <text>
        <r>
          <rPr>
            <b/>
            <sz val="9"/>
            <color indexed="81"/>
            <rFont val="宋体"/>
            <family val="2"/>
          </rPr>
          <t>#Input("延炼_油品动态_9526_油量",":key{{dw}}",":read")</t>
        </r>
      </text>
    </comment>
    <comment ref="G50" authorId="0" shapeId="0" xr:uid="{00000000-0006-0000-0000-0000C9000000}">
      <text>
        <r>
          <rPr>
            <b/>
            <sz val="9"/>
            <color indexed="81"/>
            <rFont val="宋体"/>
            <family val="2"/>
          </rPr>
          <t>#Input("延炼_油品动态_9526_空量",":key{{dw}}",":read")</t>
        </r>
      </text>
    </comment>
    <comment ref="L50" authorId="0" shapeId="0" xr:uid="{00000000-0006-0000-0000-0000CA000000}">
      <text>
        <r>
          <rPr>
            <b/>
            <sz val="9"/>
            <color indexed="81"/>
            <rFont val="宋体"/>
            <family val="2"/>
          </rPr>
          <t>#Input("延炼_油品动态_3#喷气燃料_油量",":key{{dw}}",":read")</t>
        </r>
      </text>
    </comment>
    <comment ref="M50" authorId="0" shapeId="0" xr:uid="{00000000-0006-0000-0000-0000CB000000}">
      <text>
        <r>
          <rPr>
            <b/>
            <sz val="9"/>
            <color indexed="81"/>
            <rFont val="宋体"/>
            <family val="2"/>
          </rPr>
          <t>#Input("延炼_油品动态_3#喷气燃料油_空量",":key{{dw}}",":read")</t>
        </r>
      </text>
    </comment>
    <comment ref="F51" authorId="0" shapeId="0" xr:uid="{00000000-0006-0000-0000-0000CC000000}">
      <text>
        <r>
          <rPr>
            <b/>
            <sz val="9"/>
            <color indexed="81"/>
            <rFont val="宋体"/>
            <family val="2"/>
          </rPr>
          <t>#Input("延炼_油品动态_航煤原料_油量",":key{{dw}}",":read")</t>
        </r>
      </text>
    </comment>
    <comment ref="G51" authorId="0" shapeId="0" xr:uid="{00000000-0006-0000-0000-0000CD000000}">
      <text>
        <r>
          <rPr>
            <b/>
            <sz val="9"/>
            <color indexed="81"/>
            <rFont val="宋体"/>
            <family val="2"/>
          </rPr>
          <t>#Input("延炼_油品动态_航煤原料_空量",":key{{dw}}",":read")</t>
        </r>
      </text>
    </comment>
    <comment ref="K53" authorId="0" shapeId="0" xr:uid="{00000000-0006-0000-0000-0000CE000000}">
      <text>
        <r>
          <rPr>
            <b/>
            <sz val="9"/>
            <color indexed="81"/>
            <rFont val="宋体"/>
            <family val="2"/>
          </rPr>
          <t>#Input("延炼_油品动态_2101_油尺",":key{{dw}}")</t>
        </r>
      </text>
    </comment>
    <comment ref="L53" authorId="0" shapeId="0" xr:uid="{00000000-0006-0000-0000-0000CF000000}">
      <text>
        <r>
          <rPr>
            <b/>
            <sz val="9"/>
            <color indexed="81"/>
            <rFont val="宋体"/>
            <family val="2"/>
          </rPr>
          <t>#Input("延炼_油品动态_2101_油量",":key{{dw}}",":read")</t>
        </r>
      </text>
    </comment>
    <comment ref="M53" authorId="0" shapeId="0" xr:uid="{00000000-0006-0000-0000-0000D0000000}">
      <text>
        <r>
          <rPr>
            <b/>
            <sz val="9"/>
            <color indexed="81"/>
            <rFont val="宋体"/>
            <family val="2"/>
          </rPr>
          <t>#Input("延炼_油品动态_2101_空量",":key{{dw}}",":read")</t>
        </r>
      </text>
    </comment>
    <comment ref="B54" authorId="0" shapeId="0" xr:uid="{00000000-0006-0000-0000-0000D1000000}">
      <text>
        <r>
          <rPr>
            <b/>
            <sz val="9"/>
            <color indexed="81"/>
            <rFont val="宋体"/>
            <family val="2"/>
          </rPr>
          <t>#Input("延炼_油品动态_烷基化油调罐1_罐号",":key{{dw}}")</t>
        </r>
      </text>
    </comment>
    <comment ref="E54" authorId="0" shapeId="0" xr:uid="{00000000-0006-0000-0000-0000D2000000}">
      <text>
        <r>
          <rPr>
            <b/>
            <sz val="9"/>
            <color indexed="81"/>
            <rFont val="宋体"/>
            <family val="2"/>
          </rPr>
          <t>#Input("延炼_油品动态_烷基化油调罐1_油尺",":key{{dw}}")</t>
        </r>
      </text>
    </comment>
    <comment ref="F54" authorId="0" shapeId="0" xr:uid="{00000000-0006-0000-0000-0000D3000000}">
      <text>
        <r>
          <rPr>
            <b/>
            <sz val="9"/>
            <color indexed="81"/>
            <rFont val="宋体"/>
            <family val="2"/>
          </rPr>
          <t>#Input("延炼_油品动态_烷基化油调罐1_油量",":key{{dw}}",":read")</t>
        </r>
      </text>
    </comment>
    <comment ref="G54" authorId="0" shapeId="0" xr:uid="{00000000-0006-0000-0000-0000D4000000}">
      <text>
        <r>
          <rPr>
            <b/>
            <sz val="9"/>
            <color indexed="81"/>
            <rFont val="宋体"/>
            <family val="2"/>
          </rPr>
          <t>#Input("延炼_油品动态_烷基化油调罐1_空量",":key{{dw}}",":read")</t>
        </r>
      </text>
    </comment>
    <comment ref="K54" authorId="0" shapeId="0" xr:uid="{00000000-0006-0000-0000-0000D5000000}">
      <text>
        <r>
          <rPr>
            <b/>
            <sz val="9"/>
            <color indexed="81"/>
            <rFont val="宋体"/>
            <family val="2"/>
          </rPr>
          <t>#Input("延炼_油品动态_2102_油尺",":key{{dw}}")</t>
        </r>
      </text>
    </comment>
    <comment ref="L54" authorId="0" shapeId="0" xr:uid="{00000000-0006-0000-0000-0000D6000000}">
      <text>
        <r>
          <rPr>
            <b/>
            <sz val="9"/>
            <color indexed="81"/>
            <rFont val="宋体"/>
            <family val="2"/>
          </rPr>
          <t>#Input("延炼_油品动态_2102_油量",":key{{dw}}",":read")</t>
        </r>
      </text>
    </comment>
    <comment ref="M54" authorId="0" shapeId="0" xr:uid="{00000000-0006-0000-0000-0000D7000000}">
      <text>
        <r>
          <rPr>
            <b/>
            <sz val="9"/>
            <color indexed="81"/>
            <rFont val="宋体"/>
            <family val="2"/>
          </rPr>
          <t>#Input("延炼_油品动态_2102_空量",":key{{dw}}",":read")</t>
        </r>
      </text>
    </comment>
    <comment ref="B55" authorId="0" shapeId="0" xr:uid="{00000000-0006-0000-0000-0000D8000000}">
      <text>
        <r>
          <rPr>
            <b/>
            <sz val="9"/>
            <color indexed="81"/>
            <rFont val="宋体"/>
            <family val="2"/>
          </rPr>
          <t>#Input("延炼_油品动态_烷基化油调罐2_罐号",":key{{dw}}")</t>
        </r>
      </text>
    </comment>
    <comment ref="E55" authorId="0" shapeId="0" xr:uid="{00000000-0006-0000-0000-0000D9000000}">
      <text>
        <r>
          <rPr>
            <b/>
            <sz val="9"/>
            <color indexed="81"/>
            <rFont val="宋体"/>
            <family val="2"/>
          </rPr>
          <t>#Input("延炼_油品动态_烷基化油调罐2_油尺",":key{{dw}}")</t>
        </r>
      </text>
    </comment>
    <comment ref="F55" authorId="0" shapeId="0" xr:uid="{00000000-0006-0000-0000-0000DA000000}">
      <text>
        <r>
          <rPr>
            <b/>
            <sz val="9"/>
            <color indexed="81"/>
            <rFont val="宋体"/>
            <family val="2"/>
          </rPr>
          <t>#Input("延炼_油品动态_烷基化油调罐2_油量",":key{{dw}}",":read")</t>
        </r>
      </text>
    </comment>
    <comment ref="G55" authorId="0" shapeId="0" xr:uid="{00000000-0006-0000-0000-0000DB000000}">
      <text>
        <r>
          <rPr>
            <b/>
            <sz val="9"/>
            <color indexed="81"/>
            <rFont val="宋体"/>
            <family val="2"/>
          </rPr>
          <t>#Input("延炼_油品动态_烷基化油调罐2_空量",":key{{dw}}",":read")</t>
        </r>
      </text>
    </comment>
    <comment ref="K55" authorId="0" shapeId="0" xr:uid="{00000000-0006-0000-0000-0000DC000000}">
      <text>
        <r>
          <rPr>
            <b/>
            <sz val="9"/>
            <color indexed="81"/>
            <rFont val="宋体"/>
            <family val="2"/>
          </rPr>
          <t>#Input("延炼_油品动态_2103_油尺",":key{{dw}}")</t>
        </r>
      </text>
    </comment>
    <comment ref="L55" authorId="0" shapeId="0" xr:uid="{00000000-0006-0000-0000-0000DD000000}">
      <text>
        <r>
          <rPr>
            <b/>
            <sz val="9"/>
            <color indexed="81"/>
            <rFont val="宋体"/>
            <family val="2"/>
          </rPr>
          <t>#Input("延炼_油品动态_2103_油量",":key{{dw}}",":read")</t>
        </r>
      </text>
    </comment>
    <comment ref="M55" authorId="0" shapeId="0" xr:uid="{00000000-0006-0000-0000-0000DE000000}">
      <text>
        <r>
          <rPr>
            <b/>
            <sz val="9"/>
            <color indexed="81"/>
            <rFont val="宋体"/>
            <family val="2"/>
          </rPr>
          <t>#Input("延炼_油品动态_2103_空量",":key{{dw}}",":read")</t>
        </r>
      </text>
    </comment>
    <comment ref="F56" authorId="0" shapeId="0" xr:uid="{00000000-0006-0000-0000-0000DF000000}">
      <text>
        <r>
          <rPr>
            <b/>
            <sz val="9"/>
            <color indexed="81"/>
            <rFont val="宋体"/>
            <family val="2"/>
          </rPr>
          <t>#Input("延炼_油品动态_烷基化油_油量",":key{{dw}}",":read")</t>
        </r>
      </text>
    </comment>
    <comment ref="G56" authorId="0" shapeId="0" xr:uid="{00000000-0006-0000-0000-0000E0000000}">
      <text>
        <r>
          <rPr>
            <b/>
            <sz val="9"/>
            <color indexed="81"/>
            <rFont val="宋体"/>
            <family val="2"/>
          </rPr>
          <t>#Input("延炼_油品动态_烷基化油_空量",":key{{dw}}",":read")</t>
        </r>
      </text>
    </comment>
    <comment ref="K56" authorId="0" shapeId="0" xr:uid="{00000000-0006-0000-0000-0000E1000000}">
      <text>
        <r>
          <rPr>
            <b/>
            <sz val="9"/>
            <color indexed="81"/>
            <rFont val="宋体"/>
            <family val="2"/>
          </rPr>
          <t>#Input("延炼_油品动态_2104_油尺",":key{{dw}}")</t>
        </r>
      </text>
    </comment>
    <comment ref="L56" authorId="0" shapeId="0" xr:uid="{00000000-0006-0000-0000-0000E2000000}">
      <text>
        <r>
          <rPr>
            <b/>
            <sz val="9"/>
            <color indexed="81"/>
            <rFont val="宋体"/>
            <family val="2"/>
          </rPr>
          <t>#Input("延炼_油品动态_2104_油量",":key{{dw}}",":read")</t>
        </r>
      </text>
    </comment>
    <comment ref="M56" authorId="0" shapeId="0" xr:uid="{00000000-0006-0000-0000-0000E3000000}">
      <text>
        <r>
          <rPr>
            <b/>
            <sz val="9"/>
            <color indexed="81"/>
            <rFont val="宋体"/>
            <family val="2"/>
          </rPr>
          <t>#Input("延炼_油品动态_2104_空量",":key{{dw}}",":read")</t>
        </r>
      </text>
    </comment>
    <comment ref="L57" authorId="0" shapeId="0" xr:uid="{00000000-0006-0000-0000-0000E4000000}">
      <text>
        <r>
          <rPr>
            <b/>
            <sz val="9"/>
            <color indexed="81"/>
            <rFont val="宋体"/>
            <family val="2"/>
          </rPr>
          <t>#Input("延炼_油品动态_乙苯_油量",":key{{dw}}",":read")</t>
        </r>
      </text>
    </comment>
    <comment ref="M57" authorId="0" shapeId="0" xr:uid="{00000000-0006-0000-0000-0000E5000000}">
      <text>
        <r>
          <rPr>
            <sz val="9"/>
            <color indexed="81"/>
            <rFont val="Arial"/>
            <family val="2"/>
          </rPr>
          <t xml:space="preserve">#Input("延炼_油品动态_乙苯_空量",":key{{dw}}",":read")
</t>
        </r>
      </text>
    </comment>
    <comment ref="E59" authorId="0" shapeId="0" xr:uid="{00000000-0006-0000-0000-0000E6000000}">
      <text>
        <r>
          <rPr>
            <b/>
            <sz val="9"/>
            <color indexed="81"/>
            <rFont val="宋体"/>
            <family val="2"/>
          </rPr>
          <t>#Input("延炼_油品动态_806_油尺",":key{{dw}}")</t>
        </r>
      </text>
    </comment>
    <comment ref="F59" authorId="0" shapeId="0" xr:uid="{00000000-0006-0000-0000-0000E7000000}">
      <text>
        <r>
          <rPr>
            <b/>
            <sz val="9"/>
            <color indexed="81"/>
            <rFont val="宋体"/>
            <family val="2"/>
          </rPr>
          <t>#Input("延炼_油品动态_806_油量",":key{{dw}}",":read")</t>
        </r>
      </text>
    </comment>
    <comment ref="G59" authorId="0" shapeId="0" xr:uid="{00000000-0006-0000-0000-0000E8000000}">
      <text>
        <r>
          <rPr>
            <b/>
            <sz val="9"/>
            <color indexed="81"/>
            <rFont val="宋体"/>
            <family val="2"/>
          </rPr>
          <t>#Input("延炼_油品动态_806_空量",":key{{dw}}",":read")</t>
        </r>
      </text>
    </comment>
    <comment ref="E60" authorId="0" shapeId="0" xr:uid="{00000000-0006-0000-0000-0000E9000000}">
      <text>
        <r>
          <rPr>
            <b/>
            <sz val="9"/>
            <color indexed="81"/>
            <rFont val="宋体"/>
            <family val="2"/>
          </rPr>
          <t>#Input("延炼_油品动态_807_油尺",":key{{dw}}")</t>
        </r>
      </text>
    </comment>
    <comment ref="F60" authorId="0" shapeId="0" xr:uid="{00000000-0006-0000-0000-0000EA000000}">
      <text>
        <r>
          <rPr>
            <b/>
            <sz val="9"/>
            <color indexed="81"/>
            <rFont val="宋体"/>
            <family val="2"/>
          </rPr>
          <t>#Input("延炼_油品动态_807_油量",":key{{dw}}",":read")</t>
        </r>
      </text>
    </comment>
    <comment ref="G60" authorId="0" shapeId="0" xr:uid="{00000000-0006-0000-0000-0000EB000000}">
      <text>
        <r>
          <rPr>
            <b/>
            <sz val="9"/>
            <color indexed="81"/>
            <rFont val="宋体"/>
            <family val="2"/>
          </rPr>
          <t>#Input("延炼_油品动态_807_空量",":key{{dw}}",":read")</t>
        </r>
      </text>
    </comment>
    <comment ref="K60" authorId="0" shapeId="0" xr:uid="{00000000-0006-0000-0000-0000EC000000}">
      <text>
        <r>
          <rPr>
            <b/>
            <sz val="9"/>
            <color indexed="81"/>
            <rFont val="宋体"/>
            <family val="2"/>
          </rPr>
          <t>#Input("延炼_油品动态_2105_油尺",":key{{dw}}")</t>
        </r>
      </text>
    </comment>
    <comment ref="L60" authorId="0" shapeId="0" xr:uid="{00000000-0006-0000-0000-0000ED000000}">
      <text>
        <r>
          <rPr>
            <b/>
            <sz val="9"/>
            <color indexed="81"/>
            <rFont val="宋体"/>
            <family val="2"/>
          </rPr>
          <t>#Input("延炼_油品动态_2105_油量",":key{{dw}}",":read")</t>
        </r>
      </text>
    </comment>
    <comment ref="M60" authorId="0" shapeId="0" xr:uid="{00000000-0006-0000-0000-0000EE000000}">
      <text>
        <r>
          <rPr>
            <b/>
            <sz val="9"/>
            <color indexed="81"/>
            <rFont val="宋体"/>
            <family val="2"/>
          </rPr>
          <t>#Input("延炼_油品动态_2105_空量",":key{{dw}}",":read")</t>
        </r>
      </text>
    </comment>
    <comment ref="B61" authorId="0" shapeId="0" xr:uid="{00000000-0006-0000-0000-0000EF000000}">
      <text>
        <r>
          <rPr>
            <b/>
            <sz val="9"/>
            <color indexed="81"/>
            <rFont val="宋体"/>
            <family val="2"/>
          </rPr>
          <t>#Input("延炼_油品动态_92#调罐1_罐号",":key{{dw}}")</t>
        </r>
      </text>
    </comment>
    <comment ref="C61" authorId="0" shapeId="0" xr:uid="{00000000-0006-0000-0000-0000F0000000}">
      <text>
        <r>
          <rPr>
            <b/>
            <sz val="9"/>
            <color indexed="81"/>
            <rFont val="宋体"/>
            <family val="2"/>
          </rPr>
          <t>#Input("延炼_油品动态_92#调罐1_容积",":key{{dw}}")</t>
        </r>
      </text>
    </comment>
    <comment ref="D61" authorId="0" shapeId="0" xr:uid="{00000000-0006-0000-0000-0000F1000000}">
      <text>
        <r>
          <rPr>
            <b/>
            <sz val="9"/>
            <color indexed="81"/>
            <rFont val="宋体"/>
            <family val="2"/>
          </rPr>
          <t>#Input("延炼_油品动态_92#调罐1_安全高度",":key{{dw}}")</t>
        </r>
      </text>
    </comment>
    <comment ref="E61" authorId="0" shapeId="0" xr:uid="{00000000-0006-0000-0000-0000F2000000}">
      <text>
        <r>
          <rPr>
            <b/>
            <sz val="9"/>
            <color indexed="81"/>
            <rFont val="宋体"/>
            <family val="2"/>
          </rPr>
          <t>#Input("延炼_油品动态_92#调罐1_油尺",":key{{dw}}")</t>
        </r>
      </text>
    </comment>
    <comment ref="F61" authorId="0" shapeId="0" xr:uid="{00000000-0006-0000-0000-0000F3000000}">
      <text>
        <r>
          <rPr>
            <b/>
            <sz val="9"/>
            <color indexed="81"/>
            <rFont val="宋体"/>
            <family val="2"/>
          </rPr>
          <t>#Input("延炼_油品动态_92#调罐1_油量",":key{{dw}}",":read")</t>
        </r>
      </text>
    </comment>
    <comment ref="G61" authorId="0" shapeId="0" xr:uid="{00000000-0006-0000-0000-0000F4000000}">
      <text>
        <r>
          <rPr>
            <b/>
            <sz val="9"/>
            <color indexed="81"/>
            <rFont val="宋体"/>
            <family val="2"/>
          </rPr>
          <t>#Input("延炼_油品动态_92#调罐1_空量",":key{{dw}}",":read")</t>
        </r>
      </text>
    </comment>
    <comment ref="L61" authorId="0" shapeId="0" xr:uid="{00000000-0006-0000-0000-0000F5000000}">
      <text>
        <r>
          <rPr>
            <b/>
            <sz val="9"/>
            <color indexed="81"/>
            <rFont val="宋体"/>
            <family val="2"/>
          </rPr>
          <t>#Input("延炼_油品动态_烃化液_油量",":key{{dw}}",":read</t>
        </r>
      </text>
    </comment>
    <comment ref="M61" authorId="0" shapeId="0" xr:uid="{00000000-0006-0000-0000-0000F6000000}">
      <text>
        <r>
          <rPr>
            <b/>
            <sz val="9"/>
            <color indexed="81"/>
            <rFont val="宋体"/>
            <family val="2"/>
          </rPr>
          <t>#Input("延炼_油品动态_烃化液_空量",":key{{dw}}",":read</t>
        </r>
      </text>
    </comment>
    <comment ref="B62" authorId="0" shapeId="0" xr:uid="{00000000-0006-0000-0000-0000F7000000}">
      <text>
        <r>
          <rPr>
            <b/>
            <sz val="9"/>
            <color indexed="81"/>
            <rFont val="宋体"/>
            <family val="2"/>
          </rPr>
          <t>#Input("延炼_油品动态_92#调罐2_罐号",":key{{dw}}")</t>
        </r>
      </text>
    </comment>
    <comment ref="E62" authorId="0" shapeId="0" xr:uid="{00000000-0006-0000-0000-0000F8000000}">
      <text>
        <r>
          <rPr>
            <b/>
            <sz val="9"/>
            <color indexed="81"/>
            <rFont val="宋体"/>
            <family val="2"/>
          </rPr>
          <t>#Input("延炼_油品动态_92#调罐2_油尺",":key{{dw}}")</t>
        </r>
      </text>
    </comment>
    <comment ref="F62" authorId="0" shapeId="0" xr:uid="{00000000-0006-0000-0000-0000F9000000}">
      <text>
        <r>
          <rPr>
            <b/>
            <sz val="9"/>
            <color indexed="81"/>
            <rFont val="宋体"/>
            <family val="2"/>
          </rPr>
          <t>#Input("延炼_油品动态_92#调罐2_油量",":key{{dw}}",":read")</t>
        </r>
      </text>
    </comment>
    <comment ref="G62" authorId="0" shapeId="0" xr:uid="{00000000-0006-0000-0000-0000FA000000}">
      <text>
        <r>
          <rPr>
            <b/>
            <sz val="9"/>
            <color indexed="81"/>
            <rFont val="宋体"/>
            <family val="2"/>
          </rPr>
          <t>#Input("延炼_油品动态_92#调罐2_空量",":key{{dw}}",":read")</t>
        </r>
      </text>
    </comment>
    <comment ref="B63" authorId="0" shapeId="0" xr:uid="{00000000-0006-0000-0000-0000FB000000}">
      <text>
        <r>
          <rPr>
            <sz val="9"/>
            <color indexed="81"/>
            <rFont val="Arial"/>
            <family val="2"/>
          </rPr>
          <t xml:space="preserve">#Input("延炼_油品动态_92#调罐3_罐号",":key{{dw}}")
</t>
        </r>
      </text>
    </comment>
    <comment ref="E63" authorId="0" shapeId="0" xr:uid="{00000000-0006-0000-0000-0000FC000000}">
      <text>
        <r>
          <rPr>
            <b/>
            <sz val="9"/>
            <color indexed="81"/>
            <rFont val="宋体"/>
            <family val="2"/>
          </rPr>
          <t>#Input("延炼_油品动态_92#调罐3_油尺",":key{{dw}}")</t>
        </r>
      </text>
    </comment>
    <comment ref="F63" authorId="0" shapeId="0" xr:uid="{00000000-0006-0000-0000-0000FD000000}">
      <text>
        <r>
          <rPr>
            <b/>
            <sz val="9"/>
            <color indexed="81"/>
            <rFont val="宋体"/>
            <family val="2"/>
          </rPr>
          <t>#Input("延炼_油品动态_92#调罐3_油量",":key{{dw}}",":read")</t>
        </r>
      </text>
    </comment>
    <comment ref="G63" authorId="0" shapeId="0" xr:uid="{00000000-0006-0000-0000-0000FE000000}">
      <text>
        <r>
          <rPr>
            <b/>
            <sz val="9"/>
            <color indexed="81"/>
            <rFont val="宋体"/>
            <family val="2"/>
          </rPr>
          <t>#Input("延炼_油品动态_92#调罐3_空量",":key{{dw}}",":read")</t>
        </r>
      </text>
    </comment>
    <comment ref="B64" authorId="0" shapeId="0" xr:uid="{00000000-0006-0000-0000-0000FF000000}">
      <text>
        <r>
          <rPr>
            <sz val="9"/>
            <color indexed="81"/>
            <rFont val="Arial"/>
            <family val="2"/>
          </rPr>
          <t xml:space="preserve">#Input("延炼_油品动态_92#调罐4_罐号",":key{{dw}}")
</t>
        </r>
      </text>
    </comment>
    <comment ref="E64" authorId="0" shapeId="0" xr:uid="{00000000-0006-0000-0000-000000010000}">
      <text>
        <r>
          <rPr>
            <b/>
            <sz val="9"/>
            <color indexed="81"/>
            <rFont val="宋体"/>
            <family val="2"/>
          </rPr>
          <t>#Input("延炼_油品动态_825_油尺",":key{{dw}}")</t>
        </r>
      </text>
    </comment>
    <comment ref="F64" authorId="0" shapeId="0" xr:uid="{00000000-0006-0000-0000-000001010000}">
      <text>
        <r>
          <rPr>
            <b/>
            <sz val="9"/>
            <color indexed="81"/>
            <rFont val="宋体"/>
            <family val="2"/>
          </rPr>
          <t>#Input("延炼_油品动态_92#调罐4_油量",":key{{dw}}",":read")</t>
        </r>
      </text>
    </comment>
    <comment ref="G64" authorId="0" shapeId="0" xr:uid="{00000000-0006-0000-0000-000002010000}">
      <text>
        <r>
          <rPr>
            <b/>
            <sz val="9"/>
            <color indexed="81"/>
            <rFont val="宋体"/>
            <family val="2"/>
          </rPr>
          <t>#Input("延炼_油品动态_92#调罐4_空量",":key{{dw}}",":read")</t>
        </r>
      </text>
    </comment>
    <comment ref="K64" authorId="0" shapeId="0" xr:uid="{00000000-0006-0000-0000-000003010000}">
      <text>
        <r>
          <rPr>
            <b/>
            <sz val="9"/>
            <color indexed="81"/>
            <rFont val="宋体"/>
            <family val="2"/>
          </rPr>
          <t>#Input("延炼_油品动态_2106_油尺",":key{{dw}}")</t>
        </r>
      </text>
    </comment>
    <comment ref="L64" authorId="0" shapeId="0" xr:uid="{00000000-0006-0000-0000-000004010000}">
      <text>
        <r>
          <rPr>
            <b/>
            <sz val="9"/>
            <color indexed="81"/>
            <rFont val="宋体"/>
            <family val="2"/>
          </rPr>
          <t>#Input("延炼_油品动态_2106_油量",":key{{dw}}",":read")</t>
        </r>
      </text>
    </comment>
    <comment ref="M64" authorId="0" shapeId="0" xr:uid="{00000000-0006-0000-0000-000005010000}">
      <text>
        <r>
          <rPr>
            <b/>
            <sz val="9"/>
            <color indexed="81"/>
            <rFont val="宋体"/>
            <family val="2"/>
          </rPr>
          <t>#Input("延炼_油品动态_2106_空量",":key{{dw}}",":read")</t>
        </r>
      </text>
    </comment>
    <comment ref="B65" authorId="0" shapeId="0" xr:uid="{00000000-0006-0000-0000-000006010000}">
      <text>
        <r>
          <rPr>
            <sz val="9"/>
            <color indexed="81"/>
            <rFont val="Arial"/>
            <family val="2"/>
          </rPr>
          <t xml:space="preserve">#Input("延炼_油品动态_92#调罐5_罐号",":key{{dw}}")
</t>
        </r>
      </text>
    </comment>
    <comment ref="E65" authorId="0" shapeId="0" xr:uid="{00000000-0006-0000-0000-000007010000}">
      <text>
        <r>
          <rPr>
            <b/>
            <sz val="9"/>
            <color indexed="81"/>
            <rFont val="宋体"/>
            <family val="2"/>
          </rPr>
          <t>#Input("延炼_油品动态_92#调罐5_油尺",":key{{dw}}")</t>
        </r>
      </text>
    </comment>
    <comment ref="F65" authorId="0" shapeId="0" xr:uid="{00000000-0006-0000-0000-000008010000}">
      <text>
        <r>
          <rPr>
            <b/>
            <sz val="9"/>
            <color indexed="81"/>
            <rFont val="宋体"/>
            <family val="2"/>
          </rPr>
          <t>#Input("延炼_油品动态_92#调罐5_油量",":key{{dw}}",":read")</t>
        </r>
      </text>
    </comment>
    <comment ref="G65" authorId="0" shapeId="0" xr:uid="{00000000-0006-0000-0000-000009010000}">
      <text>
        <r>
          <rPr>
            <b/>
            <sz val="9"/>
            <color indexed="81"/>
            <rFont val="宋体"/>
            <family val="2"/>
          </rPr>
          <t>#Input("延炼_油品动态_92#调罐5_空量",":key{{dw}}",":read")</t>
        </r>
      </text>
    </comment>
    <comment ref="L65" authorId="0" shapeId="0" xr:uid="{00000000-0006-0000-0000-00000A010000}">
      <text>
        <r>
          <rPr>
            <b/>
            <sz val="9"/>
            <color indexed="81"/>
            <rFont val="宋体"/>
            <family val="2"/>
          </rPr>
          <t>#Input("延炼_油品动态_脱氢液_油量",":key{{dw}}",":read")</t>
        </r>
      </text>
    </comment>
    <comment ref="M65" authorId="0" shapeId="0" xr:uid="{00000000-0006-0000-0000-00000B010000}">
      <text>
        <r>
          <rPr>
            <b/>
            <sz val="9"/>
            <color indexed="81"/>
            <rFont val="宋体"/>
            <family val="2"/>
          </rPr>
          <t>#Input("延炼_油品动态_脱氢液_空量",":key{{dw}}",":read")</t>
        </r>
      </text>
    </comment>
    <comment ref="E66" authorId="0" shapeId="0" xr:uid="{00000000-0006-0000-0000-00000C010000}">
      <text>
        <r>
          <rPr>
            <b/>
            <sz val="9"/>
            <color indexed="81"/>
            <rFont val="宋体"/>
            <family val="2"/>
          </rPr>
          <t>#Input("延炼_油品动态_26101_油尺",":key{{dw}}")</t>
        </r>
      </text>
    </comment>
    <comment ref="F66" authorId="0" shapeId="0" xr:uid="{00000000-0006-0000-0000-00000D010000}">
      <text>
        <r>
          <rPr>
            <b/>
            <sz val="9"/>
            <color indexed="81"/>
            <rFont val="宋体"/>
            <family val="2"/>
          </rPr>
          <t>#Input("延炼_油品动态_26101_油量",":key{{dw}}",":read")</t>
        </r>
      </text>
    </comment>
    <comment ref="G66" authorId="0" shapeId="0" xr:uid="{00000000-0006-0000-0000-00000E010000}">
      <text>
        <r>
          <rPr>
            <b/>
            <sz val="9"/>
            <color indexed="81"/>
            <rFont val="宋体"/>
            <family val="2"/>
          </rPr>
          <t>#Input("延炼_油品动态_26101_空量",":key{{dw}}",":read")</t>
        </r>
      </text>
    </comment>
    <comment ref="F67" authorId="0" shapeId="0" xr:uid="{00000000-0006-0000-0000-00000F010000}">
      <text>
        <r>
          <rPr>
            <b/>
            <sz val="9"/>
            <color indexed="81"/>
            <rFont val="宋体"/>
            <family val="2"/>
          </rPr>
          <t>#Input("延炼_油品动态_92#汽油_油量",":key{{dw}}",":read")</t>
        </r>
      </text>
    </comment>
    <comment ref="G67" authorId="0" shapeId="0" xr:uid="{00000000-0006-0000-0000-000010010000}">
      <text>
        <r>
          <rPr>
            <b/>
            <sz val="9"/>
            <color indexed="81"/>
            <rFont val="宋体"/>
            <family val="2"/>
          </rPr>
          <t>#Input("延炼_油品动态_92#汽油_空量",":key{{dw}}",":read")</t>
        </r>
      </text>
    </comment>
    <comment ref="E68" authorId="0" shapeId="0" xr:uid="{00000000-0006-0000-0000-000011010000}">
      <text>
        <r>
          <rPr>
            <b/>
            <sz val="9"/>
            <color indexed="81"/>
            <rFont val="宋体"/>
            <family val="2"/>
          </rPr>
          <t>#Input("延炼_油品动态_815_油尺",":key{{dw}}")</t>
        </r>
      </text>
    </comment>
    <comment ref="F68" authorId="0" shapeId="0" xr:uid="{00000000-0006-0000-0000-000012010000}">
      <text>
        <r>
          <rPr>
            <b/>
            <sz val="9"/>
            <color indexed="81"/>
            <rFont val="宋体"/>
            <family val="2"/>
          </rPr>
          <t>#Input("延炼_油品动态_815_油量",":key{{dw}}",":read")</t>
        </r>
      </text>
    </comment>
    <comment ref="G68" authorId="0" shapeId="0" xr:uid="{00000000-0006-0000-0000-000013010000}">
      <text>
        <r>
          <rPr>
            <b/>
            <sz val="9"/>
            <color indexed="81"/>
            <rFont val="宋体"/>
            <family val="2"/>
          </rPr>
          <t>#Input("延炼_油品动态_815_空量",":key{{dw}}",":read")</t>
        </r>
      </text>
    </comment>
    <comment ref="K68" authorId="0" shapeId="0" xr:uid="{00000000-0006-0000-0000-000014010000}">
      <text>
        <r>
          <rPr>
            <b/>
            <sz val="9"/>
            <color indexed="81"/>
            <rFont val="宋体"/>
            <family val="2"/>
          </rPr>
          <t>#Input("延炼_油品动态_2107_油尺",":key{{dw}}")</t>
        </r>
      </text>
    </comment>
    <comment ref="L68" authorId="0" shapeId="0" xr:uid="{00000000-0006-0000-0000-000015010000}">
      <text>
        <r>
          <rPr>
            <b/>
            <sz val="9"/>
            <color indexed="81"/>
            <rFont val="宋体"/>
            <family val="2"/>
          </rPr>
          <t>#Input("延炼_油品动态_2107_油量",":key{{dw}}",":read")</t>
        </r>
      </text>
    </comment>
    <comment ref="M68" authorId="0" shapeId="0" xr:uid="{00000000-0006-0000-0000-000016010000}">
      <text>
        <r>
          <rPr>
            <b/>
            <sz val="9"/>
            <color indexed="81"/>
            <rFont val="宋体"/>
            <family val="2"/>
          </rPr>
          <t>#Input("延炼_油品动态_2107_空量",":key{{dw}}",":read")</t>
        </r>
      </text>
    </comment>
    <comment ref="K69" authorId="0" shapeId="0" xr:uid="{00000000-0006-0000-0000-000017010000}">
      <text>
        <r>
          <rPr>
            <b/>
            <sz val="9"/>
            <color indexed="81"/>
            <rFont val="宋体"/>
            <family val="2"/>
          </rPr>
          <t>#Input("延炼_油品动态_2108_油尺",":key{{dw}}")</t>
        </r>
      </text>
    </comment>
    <comment ref="L69" authorId="0" shapeId="0" xr:uid="{00000000-0006-0000-0000-000018010000}">
      <text>
        <r>
          <rPr>
            <b/>
            <sz val="9"/>
            <color indexed="81"/>
            <rFont val="宋体"/>
            <family val="2"/>
          </rPr>
          <t>#Input("延炼_油品动态_2108_油量",":key{{dw}}",":read")</t>
        </r>
      </text>
    </comment>
    <comment ref="M69" authorId="0" shapeId="0" xr:uid="{00000000-0006-0000-0000-000019010000}">
      <text>
        <r>
          <rPr>
            <b/>
            <sz val="9"/>
            <color indexed="81"/>
            <rFont val="宋体"/>
            <family val="2"/>
          </rPr>
          <t>#Input("延炼_油品动态_2108_空量",":key{{dw}}",":read")</t>
        </r>
      </text>
    </comment>
    <comment ref="K70" authorId="0" shapeId="0" xr:uid="{00000000-0006-0000-0000-00001A010000}">
      <text>
        <r>
          <rPr>
            <b/>
            <sz val="9"/>
            <color indexed="81"/>
            <rFont val="宋体"/>
            <family val="2"/>
          </rPr>
          <t>#Input("延炼_油品动态_2109_油尺",":key{{dw}}")</t>
        </r>
      </text>
    </comment>
    <comment ref="L70" authorId="0" shapeId="0" xr:uid="{00000000-0006-0000-0000-00001B010000}">
      <text>
        <r>
          <rPr>
            <b/>
            <sz val="9"/>
            <color indexed="81"/>
            <rFont val="宋体"/>
            <family val="2"/>
          </rPr>
          <t>#Input("延炼_油品动态_2109_油量",":key{{dw}}",":read")</t>
        </r>
      </text>
    </comment>
    <comment ref="M70" authorId="0" shapeId="0" xr:uid="{00000000-0006-0000-0000-00001C010000}">
      <text>
        <r>
          <rPr>
            <b/>
            <sz val="9"/>
            <color indexed="81"/>
            <rFont val="宋体"/>
            <family val="2"/>
          </rPr>
          <t>#Input("延炼_油品动态_2109_空量",":key{{dw}}",":read")</t>
        </r>
      </text>
    </comment>
    <comment ref="E71" authorId="0" shapeId="0" xr:uid="{00000000-0006-0000-0000-00001D010000}">
      <text>
        <r>
          <rPr>
            <b/>
            <sz val="9"/>
            <color indexed="81"/>
            <rFont val="宋体"/>
            <family val="2"/>
          </rPr>
          <t>#Input("延炼_油品动态_814_油尺",":key{{dw}}")</t>
        </r>
      </text>
    </comment>
    <comment ref="F71" authorId="0" shapeId="0" xr:uid="{00000000-0006-0000-0000-00001E010000}">
      <text>
        <r>
          <rPr>
            <b/>
            <sz val="9"/>
            <color indexed="81"/>
            <rFont val="宋体"/>
            <family val="2"/>
          </rPr>
          <t>#Input("延炼_油品动态_814_油量",":key{{dw}}",":read")</t>
        </r>
      </text>
    </comment>
    <comment ref="G71" authorId="0" shapeId="0" xr:uid="{00000000-0006-0000-0000-00001F010000}">
      <text>
        <r>
          <rPr>
            <b/>
            <sz val="9"/>
            <color indexed="81"/>
            <rFont val="宋体"/>
            <family val="2"/>
          </rPr>
          <t>#Input("延炼_油品动态_814_空量",":key{{dw}}",":read")</t>
        </r>
      </text>
    </comment>
    <comment ref="K71" authorId="0" shapeId="0" xr:uid="{00000000-0006-0000-0000-000020010000}">
      <text>
        <r>
          <rPr>
            <b/>
            <sz val="9"/>
            <color indexed="81"/>
            <rFont val="宋体"/>
            <family val="2"/>
          </rPr>
          <t>#Input("延炼_油品动态_2110_油尺",":key{{dw}}")</t>
        </r>
      </text>
    </comment>
    <comment ref="L71" authorId="0" shapeId="0" xr:uid="{00000000-0006-0000-0000-000021010000}">
      <text>
        <r>
          <rPr>
            <b/>
            <sz val="9"/>
            <color indexed="81"/>
            <rFont val="宋体"/>
            <family val="2"/>
          </rPr>
          <t>#Input("延炼_油品动态_2110_油量",":key{{dw}}",":read")</t>
        </r>
      </text>
    </comment>
    <comment ref="M71" authorId="0" shapeId="0" xr:uid="{00000000-0006-0000-0000-000022010000}">
      <text>
        <r>
          <rPr>
            <b/>
            <sz val="9"/>
            <color indexed="81"/>
            <rFont val="宋体"/>
            <family val="2"/>
          </rPr>
          <t>#Input("延炼_油品动态_2110_空量",":key{{dw}}",":read")</t>
        </r>
      </text>
    </comment>
    <comment ref="E72" authorId="0" shapeId="0" xr:uid="{00000000-0006-0000-0000-000023010000}">
      <text>
        <r>
          <rPr>
            <b/>
            <sz val="9"/>
            <color indexed="81"/>
            <rFont val="宋体"/>
            <family val="2"/>
          </rPr>
          <t>#Input("延炼_油品动态_816_油尺",":key{{dw}}")</t>
        </r>
      </text>
    </comment>
    <comment ref="F72" authorId="0" shapeId="0" xr:uid="{00000000-0006-0000-0000-000024010000}">
      <text>
        <r>
          <rPr>
            <b/>
            <sz val="9"/>
            <color indexed="81"/>
            <rFont val="宋体"/>
            <family val="2"/>
          </rPr>
          <t>#Input("延炼_油品动态_816_油量",":key{{dw}}",":read")</t>
        </r>
      </text>
    </comment>
    <comment ref="G72" authorId="0" shapeId="0" xr:uid="{00000000-0006-0000-0000-000025010000}">
      <text>
        <r>
          <rPr>
            <b/>
            <sz val="9"/>
            <color indexed="81"/>
            <rFont val="宋体"/>
            <family val="2"/>
          </rPr>
          <t>#Input("延炼_油品动态_816_空量",":key{{dw}}",":read")</t>
        </r>
      </text>
    </comment>
    <comment ref="K72" authorId="0" shapeId="0" xr:uid="{00000000-0006-0000-0000-000026010000}">
      <text>
        <r>
          <rPr>
            <b/>
            <sz val="9"/>
            <color indexed="81"/>
            <rFont val="宋体"/>
            <family val="2"/>
          </rPr>
          <t>#Input("延炼_油品动态_2113_油尺",":key{{dw}}")</t>
        </r>
      </text>
    </comment>
    <comment ref="L72" authorId="0" shapeId="0" xr:uid="{00000000-0006-0000-0000-000027010000}">
      <text>
        <r>
          <rPr>
            <b/>
            <sz val="9"/>
            <color indexed="81"/>
            <rFont val="宋体"/>
            <family val="2"/>
          </rPr>
          <t>#Input("延炼_油品动态_2113_油量",":key{{dw}}",":read")</t>
        </r>
      </text>
    </comment>
    <comment ref="M72" authorId="0" shapeId="0" xr:uid="{00000000-0006-0000-0000-000028010000}">
      <text>
        <r>
          <rPr>
            <b/>
            <sz val="9"/>
            <color indexed="81"/>
            <rFont val="宋体"/>
            <family val="2"/>
          </rPr>
          <t>#Input("延炼_油品动态_2113_空量",":key{{dw}}",":read")</t>
        </r>
      </text>
    </comment>
    <comment ref="E73" authorId="0" shapeId="0" xr:uid="{00000000-0006-0000-0000-000029010000}">
      <text>
        <r>
          <rPr>
            <b/>
            <sz val="9"/>
            <color indexed="81"/>
            <rFont val="宋体"/>
            <family val="2"/>
          </rPr>
          <t>#Input("延炼_油品动态_817_油尺",":key{{dw}}")</t>
        </r>
      </text>
    </comment>
    <comment ref="F73" authorId="0" shapeId="0" xr:uid="{00000000-0006-0000-0000-00002A010000}">
      <text>
        <r>
          <rPr>
            <b/>
            <sz val="9"/>
            <color indexed="81"/>
            <rFont val="宋体"/>
            <family val="2"/>
          </rPr>
          <t>#Input("延炼_油品动态_817_油量",":key{{dw}}",":read")</t>
        </r>
      </text>
    </comment>
    <comment ref="G73" authorId="0" shapeId="0" xr:uid="{00000000-0006-0000-0000-00002B010000}">
      <text>
        <r>
          <rPr>
            <b/>
            <sz val="9"/>
            <color indexed="81"/>
            <rFont val="宋体"/>
            <family val="2"/>
          </rPr>
          <t>#Input("延炼_油品动态_817_空量",":key{{dw}}",":read")</t>
        </r>
      </text>
    </comment>
    <comment ref="L73" authorId="0" shapeId="0" xr:uid="{00000000-0006-0000-0000-00002C010000}">
      <text>
        <r>
          <rPr>
            <b/>
            <sz val="9"/>
            <color indexed="81"/>
            <rFont val="宋体"/>
            <family val="2"/>
          </rPr>
          <t>#Input("延炼_油品动态_石脑苯_油量",":key{{dw}}",":read")</t>
        </r>
      </text>
    </comment>
    <comment ref="M73" authorId="0" shapeId="0" xr:uid="{00000000-0006-0000-0000-00002D010000}">
      <text>
        <r>
          <rPr>
            <sz val="9"/>
            <color indexed="81"/>
            <rFont val="Arial"/>
            <family val="2"/>
          </rPr>
          <t xml:space="preserve">#Input("延炼_油品动态_石脑苯_空量",":key{{dw}}",":read")
</t>
        </r>
      </text>
    </comment>
    <comment ref="B74" authorId="0" shapeId="0" xr:uid="{00000000-0006-0000-0000-00002E010000}">
      <text>
        <r>
          <rPr>
            <b/>
            <sz val="9"/>
            <color indexed="81"/>
            <rFont val="宋体"/>
            <family val="2"/>
          </rPr>
          <t>#Input("延炼_油品动态_95#调罐1_罐号",":key{{dw}}")</t>
        </r>
      </text>
    </comment>
    <comment ref="E74" authorId="0" shapeId="0" xr:uid="{00000000-0006-0000-0000-00002F010000}">
      <text>
        <r>
          <rPr>
            <b/>
            <sz val="9"/>
            <color indexed="81"/>
            <rFont val="宋体"/>
            <family val="2"/>
          </rPr>
          <t>#Input("延炼_油品动态_95#调罐1_油尺",":key{{dw}}")</t>
        </r>
      </text>
    </comment>
    <comment ref="F74" authorId="0" shapeId="0" xr:uid="{00000000-0006-0000-0000-000030010000}">
      <text>
        <r>
          <rPr>
            <b/>
            <sz val="9"/>
            <color indexed="81"/>
            <rFont val="宋体"/>
            <family val="2"/>
          </rPr>
          <t>#Input("延炼_油品动态_95#调罐1_油量",":key{{dw}}",":read")</t>
        </r>
      </text>
    </comment>
    <comment ref="G74" authorId="0" shapeId="0" xr:uid="{00000000-0006-0000-0000-000031010000}">
      <text>
        <r>
          <rPr>
            <b/>
            <sz val="9"/>
            <color indexed="81"/>
            <rFont val="宋体"/>
            <family val="2"/>
          </rPr>
          <t>#Input("延炼_油品动态_95#调罐1_空量",":key{{dw}}",":read")</t>
        </r>
      </text>
    </comment>
    <comment ref="B75" authorId="0" shapeId="0" xr:uid="{00000000-0006-0000-0000-000032010000}">
      <text>
        <r>
          <rPr>
            <b/>
            <sz val="9"/>
            <color indexed="81"/>
            <rFont val="宋体"/>
            <family val="2"/>
          </rPr>
          <t>#Input("延炼_油品动态_95#调罐2_罐号",":key{{dw}}")</t>
        </r>
      </text>
    </comment>
    <comment ref="E75" authorId="0" shapeId="0" xr:uid="{00000000-0006-0000-0000-000033010000}">
      <text>
        <r>
          <rPr>
            <b/>
            <sz val="9"/>
            <color indexed="81"/>
            <rFont val="宋体"/>
            <family val="2"/>
          </rPr>
          <t>#Input("延炼_油品动态_95#调罐2_油尺",":key{{dw}}")</t>
        </r>
      </text>
    </comment>
    <comment ref="F75" authorId="0" shapeId="0" xr:uid="{00000000-0006-0000-0000-000034010000}">
      <text>
        <r>
          <rPr>
            <b/>
            <sz val="9"/>
            <color indexed="81"/>
            <rFont val="宋体"/>
            <family val="2"/>
          </rPr>
          <t>#Input("延炼_油品动态_95#调罐2_油量",":key{{dw}}",":read")</t>
        </r>
      </text>
    </comment>
    <comment ref="G75" authorId="0" shapeId="0" xr:uid="{00000000-0006-0000-0000-000035010000}">
      <text>
        <r>
          <rPr>
            <b/>
            <sz val="9"/>
            <color indexed="81"/>
            <rFont val="宋体"/>
            <family val="2"/>
          </rPr>
          <t>#Input("延炼_油品动态_95#调罐2_空量",":key{{dw}}",":read")</t>
        </r>
      </text>
    </comment>
    <comment ref="B76" authorId="0" shapeId="0" xr:uid="{00000000-0006-0000-0000-000036010000}">
      <text>
        <r>
          <rPr>
            <b/>
            <sz val="9"/>
            <color indexed="81"/>
            <rFont val="宋体"/>
            <family val="2"/>
          </rPr>
          <t>#Input("延炼_油品动态_95#调罐3_罐号",":key{{dw}}")</t>
        </r>
      </text>
    </comment>
    <comment ref="C76" authorId="0" shapeId="0" xr:uid="{00000000-0006-0000-0000-000037010000}">
      <text>
        <r>
          <rPr>
            <b/>
            <sz val="9"/>
            <color indexed="81"/>
            <rFont val="宋体"/>
            <family val="2"/>
          </rPr>
          <t>#Input("延炼_油品动态_95#调罐3_容积",":key{{dw}}")</t>
        </r>
      </text>
    </comment>
    <comment ref="D76" authorId="0" shapeId="0" xr:uid="{00000000-0006-0000-0000-000038010000}">
      <text>
        <r>
          <rPr>
            <b/>
            <sz val="9"/>
            <color indexed="81"/>
            <rFont val="宋体"/>
            <family val="2"/>
          </rPr>
          <t>#Input("延炼_油品动态_95#调罐3_安全高度",":key{{dw}}")</t>
        </r>
      </text>
    </comment>
    <comment ref="E76" authorId="0" shapeId="0" xr:uid="{00000000-0006-0000-0000-000039010000}">
      <text>
        <r>
          <rPr>
            <b/>
            <sz val="9"/>
            <color indexed="81"/>
            <rFont val="宋体"/>
            <family val="2"/>
          </rPr>
          <t>#Input("延炼_油品动态_95#调罐3_油尺",":key{{dw}}")</t>
        </r>
      </text>
    </comment>
    <comment ref="F76" authorId="0" shapeId="0" xr:uid="{00000000-0006-0000-0000-00003A010000}">
      <text>
        <r>
          <rPr>
            <b/>
            <sz val="9"/>
            <color indexed="81"/>
            <rFont val="宋体"/>
            <family val="2"/>
          </rPr>
          <t>#Input("延炼_油品动态_95#调罐3_油量",":key{{dw}}",":read")</t>
        </r>
      </text>
    </comment>
    <comment ref="G76" authorId="0" shapeId="0" xr:uid="{00000000-0006-0000-0000-00003B010000}">
      <text>
        <r>
          <rPr>
            <b/>
            <sz val="9"/>
            <color indexed="81"/>
            <rFont val="宋体"/>
            <family val="2"/>
          </rPr>
          <t>#Input("延炼_油品动态_95#调罐3_空量",":key{{dw}}",":read")</t>
        </r>
      </text>
    </comment>
    <comment ref="K76" authorId="0" shapeId="0" xr:uid="{00000000-0006-0000-0000-00003C010000}">
      <text>
        <r>
          <rPr>
            <b/>
            <sz val="9"/>
            <color indexed="81"/>
            <rFont val="宋体"/>
            <family val="2"/>
          </rPr>
          <t>#Input("延炼_油品动态_2114_油尺",":key{{dw}}")</t>
        </r>
      </text>
    </comment>
    <comment ref="L76" authorId="0" shapeId="0" xr:uid="{00000000-0006-0000-0000-00003D010000}">
      <text>
        <r>
          <rPr>
            <b/>
            <sz val="9"/>
            <color indexed="81"/>
            <rFont val="宋体"/>
            <family val="2"/>
          </rPr>
          <t>#Input("延炼_油品动态_2114_油量",":key{{dw}}",":read")</t>
        </r>
      </text>
    </comment>
    <comment ref="M76" authorId="0" shapeId="0" xr:uid="{00000000-0006-0000-0000-00003E010000}">
      <text>
        <r>
          <rPr>
            <b/>
            <sz val="9"/>
            <color indexed="81"/>
            <rFont val="宋体"/>
            <family val="2"/>
          </rPr>
          <t>#Input("延炼_油品动态_2114_空量",":key{{dw}}",":read")</t>
        </r>
      </text>
    </comment>
    <comment ref="E77" authorId="0" shapeId="0" xr:uid="{00000000-0006-0000-0000-00003F010000}">
      <text>
        <r>
          <rPr>
            <b/>
            <sz val="9"/>
            <color indexed="81"/>
            <rFont val="宋体"/>
            <family val="2"/>
          </rPr>
          <t>#Input("延炼_油品动态_26102_油尺",":key{{dw}}")</t>
        </r>
      </text>
    </comment>
    <comment ref="F77" authorId="0" shapeId="0" xr:uid="{00000000-0006-0000-0000-000040010000}">
      <text>
        <r>
          <rPr>
            <b/>
            <sz val="9"/>
            <color indexed="81"/>
            <rFont val="宋体"/>
            <family val="2"/>
          </rPr>
          <t>#Input("延炼_油品动态_26102_油量",":key{{dw}}",":read")</t>
        </r>
      </text>
    </comment>
    <comment ref="G77" authorId="0" shapeId="0" xr:uid="{00000000-0006-0000-0000-000041010000}">
      <text>
        <r>
          <rPr>
            <b/>
            <sz val="9"/>
            <color indexed="81"/>
            <rFont val="宋体"/>
            <family val="2"/>
          </rPr>
          <t>#Input("延炼_油品动态_26102_空量",":key{{dw}}",":read")</t>
        </r>
      </text>
    </comment>
    <comment ref="F78" authorId="0" shapeId="0" xr:uid="{00000000-0006-0000-0000-000042010000}">
      <text>
        <r>
          <rPr>
            <b/>
            <sz val="9"/>
            <color indexed="81"/>
            <rFont val="宋体"/>
            <family val="2"/>
          </rPr>
          <t>#Input("延炼_油品动态_95#汽油_油量",":key{{dw}}",":read")</t>
        </r>
      </text>
    </comment>
    <comment ref="G78" authorId="0" shapeId="0" xr:uid="{00000000-0006-0000-0000-000043010000}">
      <text>
        <r>
          <rPr>
            <b/>
            <sz val="9"/>
            <color indexed="81"/>
            <rFont val="宋体"/>
            <family val="2"/>
          </rPr>
          <t>#Input("延炼_油品动态_95#汽油_空量",":key{{dw}}",":read")</t>
        </r>
      </text>
    </comment>
    <comment ref="B79" authorId="0" shapeId="0" xr:uid="{00000000-0006-0000-0000-000044010000}">
      <text>
        <r>
          <rPr>
            <b/>
            <sz val="9"/>
            <color indexed="81"/>
            <rFont val="宋体"/>
            <family val="2"/>
          </rPr>
          <t>#Input("延炼_油品动态_95#调罐4_罐号",":key{{dw}}")</t>
        </r>
      </text>
    </comment>
    <comment ref="C79" authorId="0" shapeId="0" xr:uid="{00000000-0006-0000-0000-000045010000}">
      <text>
        <r>
          <rPr>
            <b/>
            <sz val="9"/>
            <color indexed="81"/>
            <rFont val="宋体"/>
            <family val="2"/>
          </rPr>
          <t>#Input("延炼_油品动态_95#调罐4_容积",":key{{dw}}")</t>
        </r>
      </text>
    </comment>
    <comment ref="D79" authorId="0" shapeId="0" xr:uid="{00000000-0006-0000-0000-000046010000}">
      <text>
        <r>
          <rPr>
            <b/>
            <sz val="9"/>
            <color indexed="81"/>
            <rFont val="宋体"/>
            <family val="2"/>
          </rPr>
          <t>#Input("延炼_油品动态_95#调罐4_安全高度",":key{{dw}}")</t>
        </r>
      </text>
    </comment>
    <comment ref="E79" authorId="0" shapeId="0" xr:uid="{00000000-0006-0000-0000-000047010000}">
      <text>
        <r>
          <rPr>
            <b/>
            <sz val="9"/>
            <color indexed="81"/>
            <rFont val="宋体"/>
            <family val="2"/>
          </rPr>
          <t>#Input("延炼_油品动态_95#调罐4_油尺",":key{{dw}}")</t>
        </r>
      </text>
    </comment>
    <comment ref="F79" authorId="0" shapeId="0" xr:uid="{00000000-0006-0000-0000-000048010000}">
      <text>
        <r>
          <rPr>
            <b/>
            <sz val="9"/>
            <color indexed="81"/>
            <rFont val="宋体"/>
            <family val="2"/>
          </rPr>
          <t>#Input("延炼_油品动态_95#调罐4_油量",":key{{dw}}",":read")</t>
        </r>
      </text>
    </comment>
    <comment ref="G79" authorId="0" shapeId="0" xr:uid="{00000000-0006-0000-0000-000049010000}">
      <text>
        <r>
          <rPr>
            <b/>
            <sz val="9"/>
            <color indexed="81"/>
            <rFont val="宋体"/>
            <family val="2"/>
          </rPr>
          <t>#Input("延炼_油品动态_95#调罐4_空量",":key{{dw}}",":read")</t>
        </r>
      </text>
    </comment>
    <comment ref="B80" authorId="0" shapeId="0" xr:uid="{00000000-0006-0000-0000-00004A010000}">
      <text>
        <r>
          <rPr>
            <b/>
            <sz val="9"/>
            <color indexed="81"/>
            <rFont val="宋体"/>
            <family val="2"/>
          </rPr>
          <t>#Input("延炼_油品动态_95#调罐5_罐号",":key{{dw}}")</t>
        </r>
      </text>
    </comment>
    <comment ref="C80" authorId="0" shapeId="0" xr:uid="{00000000-0006-0000-0000-00004B010000}">
      <text>
        <r>
          <rPr>
            <b/>
            <sz val="9"/>
            <color indexed="81"/>
            <rFont val="宋体"/>
            <family val="2"/>
          </rPr>
          <t>#Input("延炼_油品动态_95#调罐5_容积",":key{{dw}}")</t>
        </r>
      </text>
    </comment>
    <comment ref="D80" authorId="0" shapeId="0" xr:uid="{00000000-0006-0000-0000-00004C010000}">
      <text>
        <r>
          <rPr>
            <b/>
            <sz val="9"/>
            <color indexed="81"/>
            <rFont val="宋体"/>
            <family val="2"/>
          </rPr>
          <t>#Input("延炼_油品动态_95#调罐5_安全高度",":key{{dw}}")</t>
        </r>
      </text>
    </comment>
    <comment ref="E80" authorId="0" shapeId="0" xr:uid="{00000000-0006-0000-0000-00004D010000}">
      <text>
        <r>
          <rPr>
            <b/>
            <sz val="9"/>
            <color indexed="81"/>
            <rFont val="宋体"/>
            <family val="2"/>
          </rPr>
          <t>#Input("延炼_油品动态_95#调罐5_油尺",":key{{dw}}")</t>
        </r>
      </text>
    </comment>
    <comment ref="F80" authorId="0" shapeId="0" xr:uid="{00000000-0006-0000-0000-00004E010000}">
      <text>
        <r>
          <rPr>
            <b/>
            <sz val="9"/>
            <color indexed="81"/>
            <rFont val="宋体"/>
            <family val="2"/>
          </rPr>
          <t>#Input("延炼_油品动态_95#调罐5_油量",":key{{dw}}",":read")</t>
        </r>
      </text>
    </comment>
    <comment ref="G80" authorId="0" shapeId="0" xr:uid="{00000000-0006-0000-0000-00004F010000}">
      <text>
        <r>
          <rPr>
            <b/>
            <sz val="9"/>
            <color indexed="81"/>
            <rFont val="宋体"/>
            <family val="2"/>
          </rPr>
          <t>#Input("延炼_油品动态_95#调罐5_空量",":key{{dw}}",":read")</t>
        </r>
      </text>
    </comment>
    <comment ref="K81" authorId="0" shapeId="0" xr:uid="{00000000-0006-0000-0000-000050010000}">
      <text>
        <r>
          <rPr>
            <b/>
            <sz val="9"/>
            <color indexed="81"/>
            <rFont val="宋体"/>
            <family val="2"/>
          </rPr>
          <t>#Input("延炼_油品动态_TK3001A_油尺",":key{{dw}}")</t>
        </r>
      </text>
    </comment>
    <comment ref="L81" authorId="0" shapeId="0" xr:uid="{00000000-0006-0000-0000-000051010000}">
      <text>
        <r>
          <rPr>
            <b/>
            <sz val="9"/>
            <color indexed="81"/>
            <rFont val="宋体"/>
            <family val="2"/>
          </rPr>
          <t>#Input("延炼_油品动态_TK3001A_油量",":key{{dw}}",":read")</t>
        </r>
      </text>
    </comment>
    <comment ref="M81" authorId="0" shapeId="0" xr:uid="{00000000-0006-0000-0000-000052010000}">
      <text>
        <r>
          <rPr>
            <b/>
            <sz val="9"/>
            <color indexed="81"/>
            <rFont val="宋体"/>
            <family val="2"/>
          </rPr>
          <t>#Input("延炼_油品动态_TK3001A_空量",":key{{dw}}",":read")</t>
        </r>
      </text>
    </comment>
    <comment ref="K82" authorId="0" shapeId="0" xr:uid="{00000000-0006-0000-0000-000053010000}">
      <text>
        <r>
          <rPr>
            <b/>
            <sz val="9"/>
            <color indexed="81"/>
            <rFont val="宋体"/>
            <family val="2"/>
          </rPr>
          <t>#Input("延炼_油品动态_TK3001B_油尺",":key{{dw}}")</t>
        </r>
      </text>
    </comment>
    <comment ref="L82" authorId="0" shapeId="0" xr:uid="{00000000-0006-0000-0000-000054010000}">
      <text>
        <r>
          <rPr>
            <b/>
            <sz val="9"/>
            <color indexed="81"/>
            <rFont val="宋体"/>
            <family val="2"/>
          </rPr>
          <t>#Input("延炼_油品动态_TK3001B_油量",":key{{dw}}",":read")</t>
        </r>
      </text>
    </comment>
    <comment ref="M82" authorId="0" shapeId="0" xr:uid="{00000000-0006-0000-0000-000055010000}">
      <text>
        <r>
          <rPr>
            <b/>
            <sz val="9"/>
            <color indexed="81"/>
            <rFont val="宋体"/>
            <family val="2"/>
          </rPr>
          <t>#Input("延炼_油品动态_TK3001B_空量",":key{{dw}}",":read")</t>
        </r>
      </text>
    </comment>
    <comment ref="E83" authorId="0" shapeId="0" xr:uid="{00000000-0006-0000-0000-000056010000}">
      <text>
        <r>
          <rPr>
            <b/>
            <sz val="9"/>
            <color indexed="81"/>
            <rFont val="宋体"/>
            <family val="2"/>
          </rPr>
          <t>#Input("延炼_油品动态_821_油尺",":key{{dw}}")</t>
        </r>
      </text>
    </comment>
    <comment ref="F83" authorId="0" shapeId="0" xr:uid="{00000000-0006-0000-0000-000057010000}">
      <text>
        <r>
          <rPr>
            <b/>
            <sz val="9"/>
            <color indexed="81"/>
            <rFont val="宋体"/>
            <family val="2"/>
          </rPr>
          <t>#Input("延炼_油品动态_821_油量",":key{{dw}}",":read")</t>
        </r>
      </text>
    </comment>
    <comment ref="G83" authorId="0" shapeId="0" xr:uid="{00000000-0006-0000-0000-000058010000}">
      <text>
        <r>
          <rPr>
            <b/>
            <sz val="9"/>
            <color indexed="81"/>
            <rFont val="宋体"/>
            <family val="2"/>
          </rPr>
          <t>#Input("延炼_油品动态_821_空量",":key{{dw}}",":read")</t>
        </r>
      </text>
    </comment>
    <comment ref="L83" authorId="0" shapeId="0" xr:uid="{00000000-0006-0000-0000-000059010000}">
      <text>
        <r>
          <rPr>
            <b/>
            <sz val="9"/>
            <color indexed="81"/>
            <rFont val="宋体"/>
            <family val="2"/>
          </rPr>
          <t>#Input("延炼_油品动态_醋酸_油量",":key{{dw}}",":read")</t>
        </r>
      </text>
    </comment>
    <comment ref="M83" authorId="0" shapeId="0" xr:uid="{00000000-0006-0000-0000-00005A010000}">
      <text>
        <r>
          <rPr>
            <b/>
            <sz val="9"/>
            <color indexed="81"/>
            <rFont val="宋体"/>
            <family val="2"/>
          </rPr>
          <t>#Input("延炼_油品动态_醋酸_空量",":key{{dw}}",":read")</t>
        </r>
      </text>
    </comment>
    <comment ref="E86" authorId="0" shapeId="0" xr:uid="{00000000-0006-0000-0000-00005B010000}">
      <text>
        <r>
          <rPr>
            <b/>
            <sz val="9"/>
            <color indexed="81"/>
            <rFont val="宋体"/>
            <family val="2"/>
          </rPr>
          <t>#Input("延炼_油品动态_2115_油尺",":key{{dw}}")</t>
        </r>
      </text>
    </comment>
    <comment ref="F86" authorId="0" shapeId="0" xr:uid="{00000000-0006-0000-0000-00005C010000}">
      <text>
        <r>
          <rPr>
            <b/>
            <sz val="9"/>
            <color indexed="81"/>
            <rFont val="宋体"/>
            <family val="2"/>
          </rPr>
          <t>#Input("延炼_油品动态_2115_油量",":key{{dw}}",":read")</t>
        </r>
      </text>
    </comment>
    <comment ref="G86" authorId="0" shapeId="0" xr:uid="{00000000-0006-0000-0000-00005D010000}">
      <text>
        <r>
          <rPr>
            <b/>
            <sz val="9"/>
            <color indexed="81"/>
            <rFont val="宋体"/>
            <family val="2"/>
          </rPr>
          <t>#Input("延炼_油品动态_2115_空量",":key{{dw}}",":read")</t>
        </r>
      </text>
    </comment>
    <comment ref="K86" authorId="0" shapeId="0" xr:uid="{00000000-0006-0000-0000-00005E010000}">
      <text>
        <r>
          <rPr>
            <b/>
            <sz val="9"/>
            <color indexed="81"/>
            <rFont val="宋体"/>
            <family val="2"/>
          </rPr>
          <t>#Input("延炼_油品动态_3002A_油尺",":key{{dw}}")</t>
        </r>
      </text>
    </comment>
    <comment ref="L86" authorId="0" shapeId="0" xr:uid="{00000000-0006-0000-0000-00005F010000}">
      <text>
        <r>
          <rPr>
            <b/>
            <sz val="9"/>
            <color indexed="81"/>
            <rFont val="宋体"/>
            <family val="2"/>
          </rPr>
          <t>#Input("延炼_油品动态_3002A_油量",":key{{dw}}",":read")</t>
        </r>
      </text>
    </comment>
    <comment ref="M86" authorId="0" shapeId="0" xr:uid="{00000000-0006-0000-0000-000060010000}">
      <text>
        <r>
          <rPr>
            <b/>
            <sz val="9"/>
            <color indexed="81"/>
            <rFont val="宋体"/>
            <family val="2"/>
          </rPr>
          <t>#Input("延炼_油品动态_3002A_空量",":key{{dw}}",":read")</t>
        </r>
      </text>
    </comment>
    <comment ref="E87" authorId="0" shapeId="0" xr:uid="{00000000-0006-0000-0000-000061010000}">
      <text>
        <r>
          <rPr>
            <b/>
            <sz val="9"/>
            <color indexed="81"/>
            <rFont val="宋体"/>
            <family val="2"/>
          </rPr>
          <t>#Input("延炼_油品动态_2116_油尺",":key{{dw}}")</t>
        </r>
      </text>
    </comment>
    <comment ref="F87" authorId="0" shapeId="0" xr:uid="{00000000-0006-0000-0000-000062010000}">
      <text>
        <r>
          <rPr>
            <b/>
            <sz val="9"/>
            <color indexed="81"/>
            <rFont val="宋体"/>
            <family val="2"/>
          </rPr>
          <t>#Input("延炼_油品动态_2116_油量",":key{{dw}}",":read")</t>
        </r>
      </text>
    </comment>
    <comment ref="G87" authorId="0" shapeId="0" xr:uid="{00000000-0006-0000-0000-000063010000}">
      <text>
        <r>
          <rPr>
            <b/>
            <sz val="9"/>
            <color indexed="81"/>
            <rFont val="宋体"/>
            <family val="2"/>
          </rPr>
          <t>#Input("延炼_油品动态_2116_空量",":key{{dw}}",":read")</t>
        </r>
      </text>
    </comment>
    <comment ref="K87" authorId="0" shapeId="0" xr:uid="{00000000-0006-0000-0000-000064010000}">
      <text>
        <r>
          <rPr>
            <b/>
            <sz val="9"/>
            <color indexed="81"/>
            <rFont val="宋体"/>
            <family val="2"/>
          </rPr>
          <t>#Input("延炼_油品动态_3002B_油尺",":key{{dw}}")</t>
        </r>
      </text>
    </comment>
    <comment ref="L87" authorId="0" shapeId="0" xr:uid="{00000000-0006-0000-0000-000065010000}">
      <text>
        <r>
          <rPr>
            <b/>
            <sz val="9"/>
            <color indexed="81"/>
            <rFont val="宋体"/>
            <family val="2"/>
          </rPr>
          <t>#Input("延炼_油品动态_3002B_油量",":key{{dw}}",":read")</t>
        </r>
      </text>
    </comment>
    <comment ref="M87" authorId="0" shapeId="0" xr:uid="{00000000-0006-0000-0000-000066010000}">
      <text>
        <r>
          <rPr>
            <b/>
            <sz val="9"/>
            <color indexed="81"/>
            <rFont val="宋体"/>
            <family val="2"/>
          </rPr>
          <t>#Input("延炼_油品动态_3002B_空量",":key{{dw}}",":read")</t>
        </r>
      </text>
    </comment>
    <comment ref="E88" authorId="0" shapeId="0" xr:uid="{00000000-0006-0000-0000-000067010000}">
      <text>
        <r>
          <rPr>
            <b/>
            <sz val="9"/>
            <color indexed="81"/>
            <rFont val="宋体"/>
            <family val="2"/>
          </rPr>
          <t>#Input("延炼_油品动态_2117_油尺",":key{{dw}}")</t>
        </r>
      </text>
    </comment>
    <comment ref="F88" authorId="0" shapeId="0" xr:uid="{00000000-0006-0000-0000-000068010000}">
      <text>
        <r>
          <rPr>
            <b/>
            <sz val="9"/>
            <color indexed="81"/>
            <rFont val="宋体"/>
            <family val="2"/>
          </rPr>
          <t>#Input("延炼_油品动态_2117_油量",":key{{dw}}",":read")</t>
        </r>
      </text>
    </comment>
    <comment ref="G88" authorId="0" shapeId="0" xr:uid="{00000000-0006-0000-0000-000069010000}">
      <text>
        <r>
          <rPr>
            <b/>
            <sz val="9"/>
            <color indexed="81"/>
            <rFont val="宋体"/>
            <family val="2"/>
          </rPr>
          <t>#Input("延炼_油品动态_2117_空量",":key{{dw}}",":read")</t>
        </r>
      </text>
    </comment>
    <comment ref="L88" authorId="0" shapeId="0" xr:uid="{00000000-0006-0000-0000-00006A010000}">
      <text>
        <r>
          <rPr>
            <b/>
            <sz val="9"/>
            <color indexed="81"/>
            <rFont val="宋体"/>
            <family val="2"/>
          </rPr>
          <t>#Input("延炼_油品动态_醋酸仲丁酯_油量",":key{{dw}}",":read")</t>
        </r>
      </text>
    </comment>
    <comment ref="M88" authorId="0" shapeId="0" xr:uid="{00000000-0006-0000-0000-00006B010000}">
      <text>
        <r>
          <rPr>
            <sz val="9"/>
            <color indexed="81"/>
            <rFont val="Arial"/>
            <family val="2"/>
          </rPr>
          <t xml:space="preserve">#Input("延炼_油品动态_醋酸仲丁酯_空量",":key{{dw}}",":read")
</t>
        </r>
      </text>
    </comment>
    <comment ref="E89" authorId="0" shapeId="0" xr:uid="{00000000-0006-0000-0000-00006C010000}">
      <text>
        <r>
          <rPr>
            <b/>
            <sz val="9"/>
            <color indexed="81"/>
            <rFont val="宋体"/>
            <family val="2"/>
          </rPr>
          <t>#Input("延炼_油品动态_2118_油尺",":key{{dw}}")</t>
        </r>
      </text>
    </comment>
    <comment ref="F89" authorId="0" shapeId="0" xr:uid="{00000000-0006-0000-0000-00006D010000}">
      <text>
        <r>
          <rPr>
            <b/>
            <sz val="9"/>
            <color indexed="81"/>
            <rFont val="宋体"/>
            <family val="2"/>
          </rPr>
          <t>#Input("延炼_油品动态_2118_油量",":key{{dw}}",":read")</t>
        </r>
      </text>
    </comment>
    <comment ref="G89" authorId="0" shapeId="0" xr:uid="{00000000-0006-0000-0000-00006E010000}">
      <text>
        <r>
          <rPr>
            <b/>
            <sz val="9"/>
            <color indexed="81"/>
            <rFont val="宋体"/>
            <family val="2"/>
          </rPr>
          <t>#Input("延炼_油品动态_2118_空量",":key{{dw}}",":read")</t>
        </r>
      </text>
    </comment>
    <comment ref="L89" authorId="0" shapeId="0" xr:uid="{00000000-0006-0000-0000-00006F010000}">
      <text>
        <r>
          <rPr>
            <b/>
            <sz val="9"/>
            <color indexed="81"/>
            <rFont val="宋体"/>
            <family val="2"/>
          </rPr>
          <t>#Input("延炼_油品动态_原油入库",":key{{dw}}")</t>
        </r>
      </text>
    </comment>
    <comment ref="F90" authorId="0" shapeId="0" xr:uid="{00000000-0006-0000-0000-000070010000}">
      <text>
        <r>
          <rPr>
            <b/>
            <sz val="9"/>
            <color indexed="81"/>
            <rFont val="宋体"/>
            <family val="2"/>
          </rPr>
          <t>#Input("延炼_油品动态_苯乙烯_油量",":key{{dw}}",":read")</t>
        </r>
      </text>
    </comment>
    <comment ref="G90" authorId="0" shapeId="0" xr:uid="{00000000-0006-0000-0000-000071010000}">
      <text>
        <r>
          <rPr>
            <b/>
            <sz val="9"/>
            <color indexed="81"/>
            <rFont val="宋体"/>
            <family val="2"/>
          </rPr>
          <t>#Input("延炼_油品动态_苯乙烯_空量",":key{{dw}}",":read")</t>
        </r>
      </text>
    </comment>
    <comment ref="L90" authorId="0" shapeId="0" xr:uid="{00000000-0006-0000-0000-000072010000}">
      <text>
        <r>
          <rPr>
            <b/>
            <sz val="9"/>
            <color indexed="81"/>
            <rFont val="宋体"/>
            <family val="2"/>
          </rPr>
          <t>#Input("延炼_油品动态_末站原油",":key{{dw}}")</t>
        </r>
      </text>
    </comment>
    <comment ref="L91" authorId="0" shapeId="0" xr:uid="{00000000-0006-0000-0000-000073010000}">
      <text>
        <r>
          <rPr>
            <b/>
            <sz val="9"/>
            <color indexed="81"/>
            <rFont val="宋体"/>
            <family val="2"/>
          </rPr>
          <t>#Input("延炼_油品动态_长庆原油",":key{{dw}}")</t>
        </r>
      </text>
    </comment>
    <comment ref="L92" authorId="0" shapeId="0" xr:uid="{00000000-0006-0000-0000-000074010000}">
      <text>
        <r>
          <rPr>
            <b/>
            <sz val="9"/>
            <color indexed="81"/>
            <rFont val="宋体"/>
            <family val="2"/>
          </rPr>
          <t>#Input("延炼_油品动态_进口原油",":key{{dw}}")</t>
        </r>
      </text>
    </comment>
    <comment ref="E93" authorId="0" shapeId="0" xr:uid="{00000000-0006-0000-0000-000075010000}">
      <text>
        <r>
          <rPr>
            <b/>
            <sz val="9"/>
            <color indexed="81"/>
            <rFont val="宋体"/>
            <family val="2"/>
          </rPr>
          <t>#Input("延炼_油品动态_24901_油尺",":key{{dw}}")</t>
        </r>
      </text>
    </comment>
    <comment ref="F93" authorId="0" shapeId="0" xr:uid="{00000000-0006-0000-0000-000076010000}">
      <text>
        <r>
          <rPr>
            <b/>
            <sz val="9"/>
            <color indexed="81"/>
            <rFont val="宋体"/>
            <family val="2"/>
          </rPr>
          <t>#Input("延炼_油品动态_24901_油量",":key{{dw}}",":read")</t>
        </r>
      </text>
    </comment>
    <comment ref="G93" authorId="0" shapeId="0" xr:uid="{00000000-0006-0000-0000-000077010000}">
      <text>
        <r>
          <rPr>
            <b/>
            <sz val="9"/>
            <color indexed="81"/>
            <rFont val="宋体"/>
            <family val="2"/>
          </rPr>
          <t>#Input("延炼_油品动态_24901_空量",":key{{dw}}",":read")</t>
        </r>
      </text>
    </comment>
    <comment ref="L93" authorId="0" shapeId="0" xr:uid="{00000000-0006-0000-0000-000078010000}">
      <text>
        <r>
          <rPr>
            <b/>
            <sz val="9"/>
            <color indexed="81"/>
            <rFont val="宋体"/>
            <family val="2"/>
          </rPr>
          <t>#Input("延炼_油品动态_末站库存",":key{{dw}}")</t>
        </r>
      </text>
    </comment>
    <comment ref="E94" authorId="0" shapeId="0" xr:uid="{00000000-0006-0000-0000-000079010000}">
      <text>
        <r>
          <rPr>
            <b/>
            <sz val="9"/>
            <color indexed="81"/>
            <rFont val="宋体"/>
            <family val="2"/>
          </rPr>
          <t>#Input("延炼_油品动态_24902_油尺",":key{{dw}}")</t>
        </r>
      </text>
    </comment>
    <comment ref="F94" authorId="0" shapeId="0" xr:uid="{00000000-0006-0000-0000-00007A010000}">
      <text>
        <r>
          <rPr>
            <b/>
            <sz val="9"/>
            <color indexed="81"/>
            <rFont val="宋体"/>
            <family val="2"/>
          </rPr>
          <t>#Input("延炼_油品动态_24902_油量",":key{{dw}}",":read")</t>
        </r>
      </text>
    </comment>
    <comment ref="G94" authorId="0" shapeId="0" xr:uid="{00000000-0006-0000-0000-00007B010000}">
      <text>
        <r>
          <rPr>
            <b/>
            <sz val="9"/>
            <color indexed="81"/>
            <rFont val="宋体"/>
            <family val="2"/>
          </rPr>
          <t>#Input("延炼_油品动态_24902_空量",":key{{dw}}",":read")</t>
        </r>
      </text>
    </comment>
    <comment ref="L94" authorId="0" shapeId="0" xr:uid="{00000000-0006-0000-0000-00007C010000}">
      <text>
        <r>
          <rPr>
            <b/>
            <sz val="9"/>
            <color indexed="81"/>
            <rFont val="宋体"/>
            <family val="2"/>
          </rPr>
          <t>#Input("延炼_油品动态_末站进油量",":key{{dw}}")</t>
        </r>
      </text>
    </comment>
    <comment ref="F95" authorId="0" shapeId="0" xr:uid="{00000000-0006-0000-0000-00007D010000}">
      <text>
        <r>
          <rPr>
            <sz val="9"/>
            <color indexed="81"/>
            <rFont val="Arial"/>
            <family val="2"/>
          </rPr>
          <t xml:space="preserve">#Input("延炼_油品动态_甲醇_油量",":key{{dw}}",":read")
</t>
        </r>
      </text>
    </comment>
    <comment ref="G95" authorId="0" shapeId="0" xr:uid="{00000000-0006-0000-0000-00007E010000}">
      <text>
        <r>
          <rPr>
            <b/>
            <sz val="9"/>
            <color indexed="81"/>
            <rFont val="宋体"/>
            <family val="2"/>
          </rPr>
          <t>#Input("延炼_油品动态_甲醇_空量",":key{{dw}}",":read")</t>
        </r>
      </text>
    </comment>
    <comment ref="L95" authorId="0" shapeId="0" xr:uid="{00000000-0006-0000-0000-00007F010000}">
      <text>
        <r>
          <rPr>
            <b/>
            <sz val="9"/>
            <color indexed="81"/>
            <rFont val="宋体"/>
            <family val="2"/>
          </rPr>
          <t>#Input("延炼_油品动态_一次加工",":key{{dw}}")</t>
        </r>
      </text>
    </comment>
    <comment ref="F96" authorId="0" shapeId="0" xr:uid="{00000000-0006-0000-0000-000080010000}">
      <text>
        <r>
          <rPr>
            <b/>
            <sz val="9"/>
            <color indexed="81"/>
            <rFont val="宋体"/>
            <family val="2"/>
          </rPr>
          <t>#Input("延炼_油品动态_老区高位水罐",":key{{dw}}")</t>
        </r>
      </text>
    </comment>
    <comment ref="L96" authorId="0" shapeId="0" xr:uid="{00000000-0006-0000-0000-000081010000}">
      <text>
        <r>
          <rPr>
            <b/>
            <sz val="9"/>
            <color indexed="81"/>
            <rFont val="宋体"/>
            <family val="2"/>
          </rPr>
          <t>#Input("延炼_油品动态_二次加工",":key{{dw}}")</t>
        </r>
      </text>
    </comment>
    <comment ref="F97" authorId="0" shapeId="0" xr:uid="{00000000-0006-0000-0000-000082010000}">
      <text>
        <r>
          <rPr>
            <b/>
            <sz val="9"/>
            <color indexed="81"/>
            <rFont val="宋体"/>
            <family val="2"/>
          </rPr>
          <t>#Input("延炼_油品动态_咀头高位水罐",":key{{dw}}")</t>
        </r>
      </text>
    </comment>
    <comment ref="L97" authorId="0" shapeId="0" xr:uid="{00000000-0006-0000-0000-000083010000}">
      <text>
        <r>
          <rPr>
            <b/>
            <sz val="9"/>
            <color indexed="81"/>
            <rFont val="宋体"/>
            <family val="2"/>
          </rPr>
          <t>#Input("延炼_油品动态_自产渣油",":key{{dw}}")</t>
        </r>
      </text>
    </comment>
    <comment ref="F98" authorId="0" shapeId="0" xr:uid="{00000000-0006-0000-0000-000084010000}">
      <text>
        <r>
          <rPr>
            <b/>
            <sz val="9"/>
            <color indexed="81"/>
            <rFont val="宋体"/>
            <family val="2"/>
          </rPr>
          <t>#Input("延炼_油品动态_二甲苯卸车",":key{{dw}}")</t>
        </r>
      </text>
    </comment>
    <comment ref="L98" authorId="0" shapeId="0" xr:uid="{00000000-0006-0000-0000-000085010000}">
      <text>
        <r>
          <rPr>
            <b/>
            <sz val="9"/>
            <color indexed="81"/>
            <rFont val="宋体"/>
            <family val="2"/>
          </rPr>
          <t>#Input("延炼_油品动态_饱和液化气库存",":key{{dw}}")</t>
        </r>
      </text>
    </comment>
    <comment ref="F99" authorId="0" shapeId="0" xr:uid="{00000000-0006-0000-0000-000086010000}">
      <text>
        <r>
          <rPr>
            <b/>
            <sz val="9"/>
            <color indexed="81"/>
            <rFont val="宋体"/>
            <family val="2"/>
          </rPr>
          <t>#Input("延炼_油品动态_饱和液化气卸车",":key{{dw}}")</t>
        </r>
      </text>
    </comment>
    <comment ref="L99" authorId="0" shapeId="0" xr:uid="{00000000-0006-0000-0000-000087010000}">
      <text>
        <r>
          <rPr>
            <b/>
            <sz val="9"/>
            <color indexed="81"/>
            <rFont val="宋体"/>
            <family val="2"/>
          </rPr>
          <t>#Input("延炼_油品动态_原料液化气库存",":key{{dw}}")</t>
        </r>
      </text>
    </comment>
    <comment ref="F100" authorId="0" shapeId="0" xr:uid="{00000000-0006-0000-0000-000088010000}">
      <text>
        <r>
          <rPr>
            <b/>
            <sz val="9"/>
            <color indexed="81"/>
            <rFont val="宋体"/>
            <family val="2"/>
          </rPr>
          <t>#Input("延炼_油品动态_原料液化气卸车",":key{{dw}}")</t>
        </r>
      </text>
    </comment>
    <comment ref="L100" authorId="0" shapeId="0" xr:uid="{00000000-0006-0000-0000-000089010000}">
      <text>
        <r>
          <rPr>
            <b/>
            <sz val="9"/>
            <color indexed="81"/>
            <rFont val="宋体"/>
            <family val="2"/>
          </rPr>
          <t>#Input("延炼_油品动态_丙烯原料库存",":key{{dw}}")</t>
        </r>
      </text>
    </comment>
    <comment ref="F101" authorId="0" shapeId="0" xr:uid="{00000000-0006-0000-0000-00008A010000}">
      <text>
        <r>
          <rPr>
            <b/>
            <sz val="9"/>
            <color indexed="81"/>
            <rFont val="宋体"/>
            <family val="2"/>
          </rPr>
          <t>#Input("延炼_油品动态_民用气内调",":key{{dw}}")</t>
        </r>
      </text>
    </comment>
    <comment ref="L101" authorId="0" shapeId="0" xr:uid="{00000000-0006-0000-0000-00008B010000}">
      <text>
        <r>
          <rPr>
            <b/>
            <sz val="9"/>
            <color indexed="81"/>
            <rFont val="宋体"/>
            <family val="2"/>
          </rPr>
          <t>#Input("延炼_油品动态_MTBE原料库存",":key{{dw}}")</t>
        </r>
      </text>
    </comment>
    <comment ref="F102" authorId="0" shapeId="0" xr:uid="{00000000-0006-0000-0000-00008C010000}">
      <text>
        <r>
          <rPr>
            <b/>
            <sz val="9"/>
            <color indexed="81"/>
            <rFont val="宋体"/>
            <family val="2"/>
          </rPr>
          <t>#Input("延炼_油品动态_醚后C4内调",":key{{dw}}")</t>
        </r>
      </text>
    </comment>
    <comment ref="L102" authorId="0" shapeId="0" xr:uid="{00000000-0006-0000-0000-00008D010000}">
      <text>
        <r>
          <rPr>
            <b/>
            <sz val="9"/>
            <color indexed="81"/>
            <rFont val="宋体"/>
            <family val="2"/>
          </rPr>
          <t>#Input("延炼_油品动态_民用气库存",":key{{dw}}")</t>
        </r>
      </text>
    </comment>
    <comment ref="F103" authorId="0" shapeId="0" xr:uid="{00000000-0006-0000-0000-00008E010000}">
      <text>
        <r>
          <rPr>
            <b/>
            <sz val="9"/>
            <color indexed="81"/>
            <rFont val="宋体"/>
            <family val="2"/>
          </rPr>
          <t>#Input("延炼_油品动态_苯乙烯销售",":key{{dw}}")</t>
        </r>
      </text>
    </comment>
    <comment ref="L103" authorId="0" shapeId="0" xr:uid="{00000000-0006-0000-0000-00008F010000}">
      <text>
        <r>
          <rPr>
            <b/>
            <sz val="9"/>
            <color indexed="81"/>
            <rFont val="宋体"/>
            <family val="2"/>
          </rPr>
          <t>#Input("延炼_油品动态_醚后C4库存",":key{{dw}}")</t>
        </r>
      </text>
    </comment>
    <comment ref="F104" authorId="0" shapeId="0" xr:uid="{00000000-0006-0000-0000-000090010000}">
      <text>
        <r>
          <rPr>
            <b/>
            <sz val="9"/>
            <color indexed="81"/>
            <rFont val="宋体"/>
            <family val="2"/>
          </rPr>
          <t>#Input("延炼_油品动态_回炼油可销量",":key{{dw}}")</t>
        </r>
      </text>
    </comment>
    <comment ref="L104" authorId="0" shapeId="0" xr:uid="{00000000-0006-0000-0000-000091010000}">
      <text>
        <r>
          <rPr>
            <b/>
            <sz val="9"/>
            <color indexed="81"/>
            <rFont val="宋体"/>
            <family val="2"/>
          </rPr>
          <t>#Input("延炼_油品动态_酯后C4库存",":key{{dw}}")</t>
        </r>
      </text>
    </comment>
    <comment ref="F105" authorId="0" shapeId="0" xr:uid="{00000000-0006-0000-0000-000092010000}">
      <text>
        <r>
          <rPr>
            <b/>
            <sz val="9"/>
            <color indexed="81"/>
            <rFont val="宋体"/>
            <family val="2"/>
          </rPr>
          <t>#Input("延炼_油品动态_回炼油外调",":key{{dw}}")</t>
        </r>
      </text>
    </comment>
    <comment ref="L105" authorId="0" shapeId="0" xr:uid="{00000000-0006-0000-0000-000093010000}">
      <text>
        <r>
          <rPr>
            <b/>
            <sz val="9"/>
            <color indexed="81"/>
            <rFont val="宋体"/>
            <family val="2"/>
          </rPr>
          <t>#Input("延炼_油品动态_回炼油库存",":key{{dw}}")</t>
        </r>
      </text>
    </comment>
    <comment ref="F106" authorId="0" shapeId="0" xr:uid="{00000000-0006-0000-0000-000094010000}">
      <text>
        <r>
          <rPr>
            <b/>
            <sz val="9"/>
            <color indexed="81"/>
            <rFont val="宋体"/>
            <family val="2"/>
          </rPr>
          <t>#Input("延炼_油品动态_2#渣油可销量",":key{{dw}}")</t>
        </r>
      </text>
    </comment>
    <comment ref="L106" authorId="0" shapeId="0" xr:uid="{00000000-0006-0000-0000-000095010000}">
      <text>
        <r>
          <rPr>
            <b/>
            <sz val="9"/>
            <color indexed="81"/>
            <rFont val="宋体"/>
            <family val="2"/>
          </rPr>
          <t>#Input("延炼_油品动态_2#渣油库存",":key{{dw}}")</t>
        </r>
      </text>
    </comment>
    <comment ref="F107" authorId="0" shapeId="0" xr:uid="{00000000-0006-0000-0000-000096010000}">
      <text>
        <r>
          <rPr>
            <b/>
            <sz val="9"/>
            <color indexed="81"/>
            <rFont val="宋体"/>
            <family val="2"/>
          </rPr>
          <t>#Input("延炼_油品动态_2#渣油销售",":key{{dw}}")</t>
        </r>
      </text>
    </comment>
    <comment ref="L107" authorId="0" shapeId="0" xr:uid="{00000000-0006-0000-0000-000097010000}">
      <text>
        <r>
          <rPr>
            <b/>
            <sz val="9"/>
            <color indexed="81"/>
            <rFont val="宋体"/>
            <family val="2"/>
          </rPr>
          <t>#Input("延炼_油品动态_丙烷库存",":key{{dw}}")</t>
        </r>
      </text>
    </comment>
    <comment ref="F108" authorId="0" shapeId="0" xr:uid="{00000000-0006-0000-0000-000098010000}">
      <text>
        <r>
          <rPr>
            <b/>
            <sz val="9"/>
            <color indexed="81"/>
            <rFont val="宋体"/>
            <family val="2"/>
          </rPr>
          <t>#Input("延炼_油品动态_丙烯内调",":key{{dw}}")</t>
        </r>
      </text>
    </comment>
    <comment ref="L108" authorId="0" shapeId="0" xr:uid="{00000000-0006-0000-0000-000099010000}">
      <text>
        <r>
          <rPr>
            <b/>
            <sz val="9"/>
            <color indexed="81"/>
            <rFont val="宋体"/>
            <family val="2"/>
          </rPr>
          <t>#Input("延炼_油品动态_天然气用量",":key{{dw}}")</t>
        </r>
      </text>
    </comment>
    <comment ref="F109" authorId="0" shapeId="0" xr:uid="{00000000-0006-0000-0000-00009A010000}">
      <text>
        <r>
          <rPr>
            <b/>
            <sz val="9"/>
            <color indexed="81"/>
            <rFont val="宋体"/>
            <family val="2"/>
          </rPr>
          <t>#Input("延炼_油品动态_SBA销售",":key{{dw}}")</t>
        </r>
      </text>
    </comment>
    <comment ref="L109" authorId="0" shapeId="0" xr:uid="{00000000-0006-0000-0000-00009B010000}">
      <text>
        <r>
          <rPr>
            <b/>
            <sz val="9"/>
            <color indexed="81"/>
            <rFont val="宋体"/>
            <family val="2"/>
          </rPr>
          <t>#Input("延炼_油品动态_醚后C4销售",":key{{dw}}")</t>
        </r>
      </text>
    </comment>
    <comment ref="F110" authorId="0" shapeId="0" xr:uid="{00000000-0006-0000-0000-00009C010000}">
      <text>
        <r>
          <rPr>
            <b/>
            <sz val="9"/>
            <color indexed="81"/>
            <rFont val="宋体"/>
            <family val="2"/>
          </rPr>
          <t>#Input("延炼_油品动态_外购醋酸",":key{{dw}}")</t>
        </r>
      </text>
    </comment>
    <comment ref="L110" authorId="0" shapeId="0" xr:uid="{00000000-0006-0000-0000-00009D010000}">
      <text>
        <r>
          <rPr>
            <b/>
            <sz val="9"/>
            <color indexed="81"/>
            <rFont val="宋体"/>
            <family val="2"/>
          </rPr>
          <t>#Input("延炼_油品动态_民用气销售",":key{{dw}}")</t>
        </r>
      </text>
    </comment>
    <comment ref="F111" authorId="0" shapeId="0" xr:uid="{00000000-0006-0000-0000-00009E010000}">
      <text>
        <r>
          <rPr>
            <b/>
            <sz val="9"/>
            <color indexed="81"/>
            <rFont val="宋体"/>
            <family val="2"/>
          </rPr>
          <t>#Input("延炼_油品动态_外购甲醇",":key{{dw}}")</t>
        </r>
      </text>
    </comment>
    <comment ref="L111" authorId="0" shapeId="0" xr:uid="{00000000-0006-0000-0000-00009F010000}">
      <text>
        <r>
          <rPr>
            <b/>
            <sz val="9"/>
            <color indexed="81"/>
            <rFont val="宋体"/>
            <family val="2"/>
          </rPr>
          <t>#Input("延炼_油品动态_丙烯销售",":key{{dw}}")</t>
        </r>
      </text>
    </comment>
    <comment ref="F112" authorId="0" shapeId="0" xr:uid="{00000000-0006-0000-0000-0000A0010000}">
      <text>
        <r>
          <rPr>
            <b/>
            <sz val="9"/>
            <color indexed="81"/>
            <rFont val="宋体"/>
            <family val="2"/>
          </rPr>
          <t>#Input("延炼_油品动态_3号喷气燃料销售",":key{{dw}}")</t>
        </r>
      </text>
    </comment>
    <comment ref="F113" authorId="0" shapeId="0" xr:uid="{00000000-0006-0000-0000-0000A1010000}">
      <text>
        <r>
          <rPr>
            <b/>
            <sz val="9"/>
            <color indexed="81"/>
            <rFont val="宋体"/>
            <family val="2"/>
          </rPr>
          <t>#Input("延炼_油品动态_单位负责人",":key{{dw}}")</t>
        </r>
      </text>
    </comment>
    <comment ref="L113" authorId="0" shapeId="0" xr:uid="{00000000-0006-0000-0000-0000A2010000}">
      <text>
        <r>
          <rPr>
            <b/>
            <sz val="9"/>
            <color indexed="81"/>
            <rFont val="宋体"/>
            <family val="2"/>
          </rPr>
          <t>#Input("延炼_油品动态_填报人",":key{{dw}}")</t>
        </r>
      </text>
    </comment>
  </commentList>
</comments>
</file>

<file path=xl/sharedStrings.xml><?xml version="1.0" encoding="utf-8"?>
<sst xmlns="http://schemas.openxmlformats.org/spreadsheetml/2006/main" count="285" uniqueCount="95">
  <si>
    <r>
      <t>1</t>
    </r>
    <r>
      <rPr>
        <vertAlign val="superscript"/>
        <sz val="11"/>
        <rFont val="等线"/>
        <family val="3"/>
        <charset val="134"/>
      </rPr>
      <t>#</t>
    </r>
    <r>
      <rPr>
        <sz val="11"/>
        <rFont val="等线"/>
        <family val="3"/>
        <charset val="134"/>
      </rPr>
      <t xml:space="preserve">    渣    油</t>
    </r>
  </si>
  <si>
    <t>罐号</t>
  </si>
  <si>
    <r>
      <t>容积(m</t>
    </r>
    <r>
      <rPr>
        <vertAlign val="superscript"/>
        <sz val="11"/>
        <rFont val="等线"/>
        <family val="3"/>
        <charset val="134"/>
      </rPr>
      <t>3</t>
    </r>
    <r>
      <rPr>
        <sz val="11"/>
        <rFont val="等线"/>
        <family val="3"/>
        <charset val="134"/>
      </rPr>
      <t>)</t>
    </r>
  </si>
  <si>
    <t>安全高度(米)</t>
  </si>
  <si>
    <t>油尺</t>
  </si>
  <si>
    <t>油量(吨)</t>
  </si>
  <si>
    <t>空量(吨)</t>
  </si>
  <si>
    <t>合计</t>
  </si>
  <si>
    <t>催     化     柴     油</t>
  </si>
  <si>
    <t>常    压   石   脑   油</t>
  </si>
  <si>
    <t>常  压  直  馏  柴  油</t>
  </si>
  <si>
    <t>过  剩  精  制  汽  油</t>
  </si>
  <si>
    <r>
      <t>0</t>
    </r>
    <r>
      <rPr>
        <vertAlign val="superscript"/>
        <sz val="11"/>
        <rFont val="等线"/>
        <family val="3"/>
        <charset val="134"/>
      </rPr>
      <t>#</t>
    </r>
    <r>
      <rPr>
        <sz val="11"/>
        <rFont val="等线"/>
        <family val="3"/>
        <charset val="134"/>
      </rPr>
      <t xml:space="preserve">    柴    油</t>
    </r>
  </si>
  <si>
    <t>催   化   汽   油（原料）</t>
  </si>
  <si>
    <t>MTBE</t>
  </si>
  <si>
    <t>二甲苯</t>
  </si>
  <si>
    <t>3#喷气  燃  料  油</t>
  </si>
  <si>
    <t>航   煤   原   料</t>
  </si>
  <si>
    <t>乙                 苯</t>
  </si>
  <si>
    <t>烷    基   化   油</t>
  </si>
  <si>
    <r>
      <t>92</t>
    </r>
    <r>
      <rPr>
        <vertAlign val="superscript"/>
        <sz val="11"/>
        <rFont val="等线"/>
        <family val="3"/>
        <charset val="134"/>
      </rPr>
      <t>#</t>
    </r>
    <r>
      <rPr>
        <sz val="11"/>
        <rFont val="等线"/>
        <family val="3"/>
        <charset val="134"/>
      </rPr>
      <t xml:space="preserve">    汽    油</t>
    </r>
  </si>
  <si>
    <t>脱        氢        液</t>
  </si>
  <si>
    <t>石        油        苯</t>
  </si>
  <si>
    <r>
      <t>95</t>
    </r>
    <r>
      <rPr>
        <vertAlign val="superscript"/>
        <sz val="11"/>
        <rFont val="等线"/>
        <family val="3"/>
        <charset val="134"/>
      </rPr>
      <t>#</t>
    </r>
    <r>
      <rPr>
        <sz val="11"/>
        <rFont val="等线"/>
        <family val="3"/>
        <charset val="134"/>
      </rPr>
      <t xml:space="preserve">    汽    油</t>
    </r>
  </si>
  <si>
    <t>不   合   格   苯</t>
  </si>
  <si>
    <t>醋   酸   原   料</t>
  </si>
  <si>
    <r>
      <t>98</t>
    </r>
    <r>
      <rPr>
        <vertAlign val="superscript"/>
        <sz val="11"/>
        <rFont val="等线"/>
        <family val="3"/>
        <charset val="134"/>
      </rPr>
      <t>#</t>
    </r>
    <r>
      <rPr>
        <sz val="11"/>
        <rFont val="等线"/>
        <family val="3"/>
        <charset val="134"/>
      </rPr>
      <t xml:space="preserve">    汽    油</t>
    </r>
  </si>
  <si>
    <t>TK3001A</t>
  </si>
  <si>
    <t>TK3001B</t>
  </si>
  <si>
    <t>G-821</t>
  </si>
  <si>
    <t>合 计</t>
  </si>
  <si>
    <t>苯        乙        烯</t>
  </si>
  <si>
    <t>醋   酸   仲   丁   酯</t>
  </si>
  <si>
    <t>3002A</t>
  </si>
  <si>
    <t>3002B</t>
  </si>
  <si>
    <t>原油入库</t>
  </si>
  <si>
    <t>末站原油</t>
  </si>
  <si>
    <t xml:space="preserve"> </t>
  </si>
  <si>
    <t>甲  醇  原  料</t>
  </si>
  <si>
    <t>长庆原油</t>
  </si>
  <si>
    <t>进口原油</t>
  </si>
  <si>
    <t>末站库存</t>
  </si>
  <si>
    <t>末站进油量</t>
  </si>
  <si>
    <t>一次加工</t>
  </si>
  <si>
    <t>老区高位水罐</t>
  </si>
  <si>
    <t>5000m3</t>
  </si>
  <si>
    <t>二次加工</t>
  </si>
  <si>
    <t>咀头高位水罐</t>
  </si>
  <si>
    <t>自产渣油</t>
  </si>
  <si>
    <t>二甲苯卸车</t>
  </si>
  <si>
    <t>饱和液化气库存</t>
  </si>
  <si>
    <t>饱和液化气卸车</t>
  </si>
  <si>
    <t>原料液化气库存</t>
  </si>
  <si>
    <t>原料液化气卸车</t>
  </si>
  <si>
    <t>丙烯原料库存</t>
  </si>
  <si>
    <t>民用气内调</t>
  </si>
  <si>
    <t>MTBE原料库存</t>
  </si>
  <si>
    <t>醚后C4内调</t>
  </si>
  <si>
    <t>民用气库存</t>
  </si>
  <si>
    <t>苯乙烯销售</t>
  </si>
  <si>
    <t>醚后C4库存</t>
  </si>
  <si>
    <t>回炼油可销量</t>
  </si>
  <si>
    <t>酯后C4库存</t>
  </si>
  <si>
    <t>回炼油外调</t>
  </si>
  <si>
    <t>回炼油库存</t>
  </si>
  <si>
    <t>2#渣油可销量</t>
  </si>
  <si>
    <t>2#渣油库存</t>
  </si>
  <si>
    <t>2#渣油销售</t>
  </si>
  <si>
    <t>丙烷库存</t>
  </si>
  <si>
    <t>丙烯内调</t>
  </si>
  <si>
    <t>天然气用量</t>
  </si>
  <si>
    <t>SBA销售</t>
  </si>
  <si>
    <t>醚后C4销售</t>
  </si>
  <si>
    <t>外购醋酸</t>
  </si>
  <si>
    <t>民用气销售</t>
  </si>
  <si>
    <t>外购甲醇</t>
  </si>
  <si>
    <t>丙烯销售</t>
  </si>
  <si>
    <t>3号喷气燃料销售</t>
  </si>
  <si>
    <t>单位负责人：</t>
  </si>
  <si>
    <t>王静</t>
  </si>
  <si>
    <t>填报人：</t>
  </si>
  <si>
    <t>卫娇</t>
  </si>
  <si>
    <t>2026-01-07</t>
  </si>
  <si>
    <t>油品动态</t>
  </si>
  <si>
    <r>
      <t>2</t>
    </r>
    <r>
      <rPr>
        <sz val="11"/>
        <color theme="1"/>
        <rFont val="宋体"/>
        <family val="2"/>
        <scheme val="minor"/>
      </rPr>
      <t>0230914更新</t>
    </r>
  </si>
  <si>
    <t>米系数</t>
  </si>
  <si>
    <r>
      <t>5000</t>
    </r>
    <r>
      <rPr>
        <sz val="11"/>
        <color theme="1"/>
        <rFont val="宋体"/>
        <family val="3"/>
        <charset val="134"/>
        <scheme val="minor"/>
      </rPr>
      <t>m3</t>
    </r>
  </si>
  <si>
    <t>榆能化公司1#渣油</t>
  </si>
  <si>
    <t>榆能化1#渣油</t>
  </si>
  <si>
    <t>永炼1#渣油卸车</t>
  </si>
  <si>
    <t>正丁烷销售</t>
  </si>
  <si>
    <t>原              油</t>
    <phoneticPr fontId="12" type="noConversion"/>
  </si>
  <si>
    <t>航煤原油掺炼污油专罐</t>
    <phoneticPr fontId="12" type="noConversion"/>
  </si>
  <si>
    <t>环   保   应   急   罐</t>
    <phoneticPr fontId="12" type="noConversion"/>
  </si>
  <si>
    <t>烃        化       液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</si>
</sst>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;[Red]0"/>
  </numFmts>
  <fonts count="13" x14ac:knownFonts="1">
    <font>
      <sz val="11"/>
      <color theme="1"/>
      <name val="宋体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b/>
      <sz val="1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8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vertAlign val="superscript"/>
      <sz val="11"/>
      <name val="等线"/>
      <family val="3"/>
      <charset val="134"/>
    </font>
    <font>
      <b/>
      <sz val="9"/>
      <color indexed="81"/>
      <name val="宋体"/>
      <family val="2"/>
    </font>
    <font>
      <sz val="9"/>
      <color indexed="81"/>
      <name val="Arial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 applyFill="0" applyBorder="0"/>
    <xf numFmtId="0" fontId="2" fillId="0" borderId="0" applyFill="0" applyBorder="0"/>
  </cellStyleXfs>
  <cellXfs count="6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 applyProtection="1">
      <alignment horizontal="right" vertical="center" wrapText="1"/>
      <protection locked="0"/>
    </xf>
    <xf numFmtId="176" fontId="4" fillId="2" borderId="1" xfId="0" applyNumberFormat="1" applyFont="1" applyFill="1" applyBorder="1" applyAlignment="1" applyProtection="1">
      <alignment horizontal="right" vertical="center" wrapText="1"/>
      <protection locked="0"/>
    </xf>
    <xf numFmtId="176" fontId="4" fillId="2" borderId="1" xfId="0" applyNumberFormat="1" applyFont="1" applyFill="1" applyBorder="1" applyAlignment="1">
      <alignment horizontal="right" vertical="center" wrapText="1"/>
    </xf>
    <xf numFmtId="176" fontId="4" fillId="2" borderId="3" xfId="0" applyNumberFormat="1" applyFont="1" applyFill="1" applyBorder="1" applyAlignment="1">
      <alignment horizontal="right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right" vertical="center" wrapText="1"/>
    </xf>
    <xf numFmtId="176" fontId="5" fillId="2" borderId="1" xfId="0" applyNumberFormat="1" applyFont="1" applyFill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176" fontId="5" fillId="2" borderId="3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4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176" fontId="4" fillId="3" borderId="2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6" fontId="4" fillId="2" borderId="3" xfId="0" applyNumberFormat="1" applyFont="1" applyFill="1" applyBorder="1" applyAlignment="1" applyProtection="1">
      <alignment horizontal="right" vertical="center" wrapText="1"/>
      <protection locked="0"/>
    </xf>
    <xf numFmtId="176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76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6" fontId="4" fillId="4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vertical="center" wrapText="1"/>
    </xf>
    <xf numFmtId="176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2" borderId="0" xfId="0" applyFont="1" applyFill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8" fontId="7" fillId="0" borderId="5" xfId="0" applyNumberFormat="1" applyFont="1" applyBorder="1" applyAlignment="1" applyProtection="1">
      <alignment horizontal="center" wrapText="1"/>
      <protection locked="0"/>
    </xf>
    <xf numFmtId="178" fontId="7" fillId="0" borderId="6" xfId="0" applyNumberFormat="1" applyFont="1" applyBorder="1" applyAlignment="1" applyProtection="1">
      <alignment horizontal="center" wrapText="1"/>
      <protection locked="0"/>
    </xf>
    <xf numFmtId="178" fontId="7" fillId="0" borderId="7" xfId="0" applyNumberFormat="1" applyFont="1" applyBorder="1" applyAlignment="1" applyProtection="1">
      <alignment horizontal="center" wrapText="1"/>
      <protection locked="0"/>
    </xf>
    <xf numFmtId="176" fontId="4" fillId="6" borderId="2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6" fontId="4" fillId="6" borderId="2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6D83-8C9B-94A8-02B8-232683B95D2D}">
  <dimension ref="A1:M113"/>
  <sheetViews>
    <sheetView showGridLines="0" tabSelected="1" zoomScale="115" zoomScaleNormal="115" workbookViewId="0">
      <pane ySplit="2" topLeftCell="A3" activePane="bottomLeft" state="frozen"/>
      <selection pane="bottomLeft" activeCell="L97" sqref="L97"/>
    </sheetView>
  </sheetViews>
  <sheetFormatPr defaultRowHeight="14.25" customHeight="1" x14ac:dyDescent="0.3"/>
  <cols>
    <col min="1" max="1" width="1.81640625" style="2" customWidth="1"/>
    <col min="2" max="2" width="18.54296875" style="1" customWidth="1"/>
    <col min="3" max="4" width="13.54296875" style="3" customWidth="1"/>
    <col min="5" max="7" width="13.54296875" style="1" customWidth="1"/>
    <col min="8" max="8" width="18.54296875" style="1" customWidth="1"/>
    <col min="9" max="10" width="13.54296875" style="3" customWidth="1"/>
    <col min="11" max="13" width="13.54296875" style="1" customWidth="1"/>
  </cols>
  <sheetData>
    <row r="1" spans="1:13" ht="3" customHeight="1" x14ac:dyDescent="0.3">
      <c r="A1" s="4"/>
      <c r="B1" s="5"/>
      <c r="C1" s="6"/>
      <c r="D1" s="6"/>
      <c r="E1" s="5"/>
      <c r="F1" s="5"/>
      <c r="G1" s="5"/>
      <c r="H1" s="5"/>
      <c r="I1" s="6"/>
      <c r="J1" s="6"/>
      <c r="K1" s="5"/>
      <c r="L1" s="5"/>
      <c r="M1" s="5"/>
    </row>
    <row r="2" spans="1:13" ht="23.25" customHeight="1" x14ac:dyDescent="0.45">
      <c r="A2" s="4"/>
      <c r="B2" s="58" t="str">
        <f>取值!A1&amp;取值!B1</f>
        <v>2026-01-07油品动态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ht="18" customHeight="1" x14ac:dyDescent="0.3">
      <c r="A3" s="4"/>
      <c r="B3" s="55" t="s">
        <v>91</v>
      </c>
      <c r="C3" s="56"/>
      <c r="D3" s="56"/>
      <c r="E3" s="56"/>
      <c r="F3" s="56"/>
      <c r="G3" s="56"/>
      <c r="H3" s="56" t="s">
        <v>0</v>
      </c>
      <c r="I3" s="56"/>
      <c r="J3" s="56"/>
      <c r="K3" s="56"/>
      <c r="L3" s="56"/>
      <c r="M3" s="57"/>
    </row>
    <row r="4" spans="1:13" ht="18" customHeight="1" x14ac:dyDescent="0.3">
      <c r="A4" s="4"/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1</v>
      </c>
      <c r="I4" s="8" t="s">
        <v>2</v>
      </c>
      <c r="J4" s="8" t="s">
        <v>3</v>
      </c>
      <c r="K4" s="8" t="s">
        <v>4</v>
      </c>
      <c r="L4" s="8" t="s">
        <v>5</v>
      </c>
      <c r="M4" s="9" t="s">
        <v>6</v>
      </c>
    </row>
    <row r="5" spans="1:13" ht="18" customHeight="1" x14ac:dyDescent="0.3">
      <c r="A5" s="4"/>
      <c r="B5" s="61">
        <v>6101</v>
      </c>
      <c r="C5" s="8">
        <v>10000</v>
      </c>
      <c r="D5" s="10">
        <v>14.2</v>
      </c>
      <c r="E5" s="11">
        <v>3.58</v>
      </c>
      <c r="F5" s="12">
        <v>1897.4</v>
      </c>
      <c r="G5" s="13">
        <f>IF(E5=0,0,(14.2-E5)*530)</f>
        <v>5628.5999999999995</v>
      </c>
      <c r="H5" s="62">
        <v>6201</v>
      </c>
      <c r="I5" s="8">
        <v>10000</v>
      </c>
      <c r="J5" s="10">
        <v>16.03</v>
      </c>
      <c r="K5" s="11">
        <v>4.5999999999999996</v>
      </c>
      <c r="L5" s="13">
        <f>K5*522</f>
        <v>2401.1999999999998</v>
      </c>
      <c r="M5" s="14">
        <f>IF(K5=0,0,(16.03-K5)*522)</f>
        <v>5966.4600000000009</v>
      </c>
    </row>
    <row r="6" spans="1:13" ht="18" customHeight="1" x14ac:dyDescent="0.3">
      <c r="A6" s="4"/>
      <c r="B6" s="61">
        <v>6102</v>
      </c>
      <c r="C6" s="8">
        <v>10000</v>
      </c>
      <c r="D6" s="10">
        <v>14.2</v>
      </c>
      <c r="E6" s="11">
        <v>9.66</v>
      </c>
      <c r="F6" s="13">
        <f t="shared" ref="F6:F11" si="0">E6*530</f>
        <v>5119.8</v>
      </c>
      <c r="G6" s="13">
        <f>IF(E6=0,0,(14.2-E6)*530)</f>
        <v>2406.1999999999994</v>
      </c>
      <c r="H6" s="62">
        <v>6202</v>
      </c>
      <c r="I6" s="8">
        <v>5000</v>
      </c>
      <c r="J6" s="10">
        <v>10.8</v>
      </c>
      <c r="K6" s="11">
        <v>2.75</v>
      </c>
      <c r="L6" s="13">
        <f>K6*388</f>
        <v>1067</v>
      </c>
      <c r="M6" s="14">
        <f>IF(K6=0,0,(10.8-K6)*388)</f>
        <v>3123.4</v>
      </c>
    </row>
    <row r="7" spans="1:13" ht="18" customHeight="1" x14ac:dyDescent="0.3">
      <c r="A7" s="4"/>
      <c r="B7" s="61">
        <v>6105</v>
      </c>
      <c r="C7" s="8">
        <v>10000</v>
      </c>
      <c r="D7" s="10">
        <v>14.2</v>
      </c>
      <c r="E7" s="11">
        <v>4.45</v>
      </c>
      <c r="F7" s="13">
        <f t="shared" si="0"/>
        <v>2358.5</v>
      </c>
      <c r="G7" s="13">
        <f>IF(E7=0,0,(14.2-E7)*530)</f>
        <v>5167.5</v>
      </c>
      <c r="H7" s="62">
        <v>6204</v>
      </c>
      <c r="I7" s="8">
        <v>20000</v>
      </c>
      <c r="J7" s="10">
        <v>16.03</v>
      </c>
      <c r="K7" s="11">
        <v>7.06</v>
      </c>
      <c r="L7" s="13">
        <f>K7*997</f>
        <v>7038.82</v>
      </c>
      <c r="M7" s="14">
        <f>IF(K7=0,0,(16.03-K7)*997)</f>
        <v>8943.090000000002</v>
      </c>
    </row>
    <row r="8" spans="1:13" ht="18" customHeight="1" x14ac:dyDescent="0.3">
      <c r="A8" s="4"/>
      <c r="B8" s="61">
        <v>6106</v>
      </c>
      <c r="C8" s="8">
        <v>10000</v>
      </c>
      <c r="D8" s="10">
        <v>14.2</v>
      </c>
      <c r="E8" s="11">
        <v>10.53</v>
      </c>
      <c r="F8" s="13">
        <f t="shared" si="0"/>
        <v>5580.9</v>
      </c>
      <c r="G8" s="13">
        <f>IF(E8=0,0,(14.2-E8)*530)</f>
        <v>1945.1</v>
      </c>
      <c r="H8" s="62">
        <v>6205</v>
      </c>
      <c r="I8" s="8">
        <v>20000</v>
      </c>
      <c r="J8" s="10">
        <v>16.03</v>
      </c>
      <c r="K8" s="11">
        <v>6.9</v>
      </c>
      <c r="L8" s="13">
        <f>K8*996</f>
        <v>6872.4000000000005</v>
      </c>
      <c r="M8" s="14">
        <f>IF(K8=0,0,(16.03-K8)*996)</f>
        <v>9093.4800000000014</v>
      </c>
    </row>
    <row r="9" spans="1:13" ht="18" customHeight="1" x14ac:dyDescent="0.3">
      <c r="A9" s="4"/>
      <c r="B9" s="61">
        <v>9501</v>
      </c>
      <c r="C9" s="8">
        <v>10000</v>
      </c>
      <c r="D9" s="10">
        <v>13.6</v>
      </c>
      <c r="E9" s="11">
        <v>11.85</v>
      </c>
      <c r="F9" s="13">
        <f t="shared" si="0"/>
        <v>6280.5</v>
      </c>
      <c r="G9" s="13">
        <f>IF(E9=0,0,(13.6-E9)*530)</f>
        <v>927.5</v>
      </c>
      <c r="H9" s="62">
        <v>9505</v>
      </c>
      <c r="I9" s="8">
        <v>5000</v>
      </c>
      <c r="J9" s="10">
        <v>8.5</v>
      </c>
      <c r="K9" s="11">
        <v>7.71</v>
      </c>
      <c r="L9" s="13">
        <f>K9*282</f>
        <v>2174.2199999999998</v>
      </c>
      <c r="M9" s="14">
        <f>IF(K9=0,0,(8.5-K9)*278)</f>
        <v>219.62</v>
      </c>
    </row>
    <row r="10" spans="1:13" ht="18" customHeight="1" x14ac:dyDescent="0.3">
      <c r="A10" s="4"/>
      <c r="B10" s="61">
        <v>9502</v>
      </c>
      <c r="C10" s="8">
        <v>10000</v>
      </c>
      <c r="D10" s="10">
        <v>13.6</v>
      </c>
      <c r="E10" s="11">
        <v>11.68</v>
      </c>
      <c r="F10" s="13">
        <f t="shared" si="0"/>
        <v>6190.4</v>
      </c>
      <c r="G10" s="13">
        <f>IF(E10=0,0,(13.6-E10)*530)</f>
        <v>1017.5999999999999</v>
      </c>
      <c r="H10" s="62">
        <v>9506</v>
      </c>
      <c r="I10" s="8">
        <v>5000</v>
      </c>
      <c r="J10" s="10">
        <v>13.67</v>
      </c>
      <c r="K10" s="11">
        <v>11.06</v>
      </c>
      <c r="L10" s="13">
        <f>K10*282</f>
        <v>3118.92</v>
      </c>
      <c r="M10" s="14">
        <f>IF(K10=0,0,(13.67-K10)*278)</f>
        <v>725.57999999999981</v>
      </c>
    </row>
    <row r="11" spans="1:13" ht="18" customHeight="1" x14ac:dyDescent="0.3">
      <c r="A11" s="4"/>
      <c r="B11" s="61">
        <v>9503</v>
      </c>
      <c r="C11" s="8">
        <v>10000</v>
      </c>
      <c r="D11" s="10">
        <v>13.6</v>
      </c>
      <c r="E11" s="11">
        <v>11.2</v>
      </c>
      <c r="F11" s="13">
        <f t="shared" si="0"/>
        <v>5936</v>
      </c>
      <c r="G11" s="13">
        <f>IF(E11=0,0,(13.6-E11)*530)</f>
        <v>1272.0000000000002</v>
      </c>
      <c r="H11" s="62">
        <v>9507</v>
      </c>
      <c r="I11" s="8">
        <v>5000</v>
      </c>
      <c r="J11" s="10">
        <v>13.67</v>
      </c>
      <c r="K11" s="11">
        <v>7.21</v>
      </c>
      <c r="L11" s="13">
        <f>K11*280</f>
        <v>2018.8</v>
      </c>
      <c r="M11" s="14">
        <f>IF(K11=0,0,(13.67-K11)*278)</f>
        <v>1795.8799999999999</v>
      </c>
    </row>
    <row r="12" spans="1:13" ht="18" customHeight="1" x14ac:dyDescent="0.3">
      <c r="A12" s="4"/>
      <c r="B12" s="61">
        <v>9510</v>
      </c>
      <c r="C12" s="8">
        <v>20000</v>
      </c>
      <c r="D12" s="10">
        <v>13.4</v>
      </c>
      <c r="E12" s="11">
        <v>8.91</v>
      </c>
      <c r="F12" s="13">
        <f>E12*1045</f>
        <v>9310.9500000000007</v>
      </c>
      <c r="G12" s="13">
        <f>IF(E12=0,0,(13.4-E12)*1045)</f>
        <v>4692.05</v>
      </c>
      <c r="H12" s="62">
        <v>9508</v>
      </c>
      <c r="I12" s="8">
        <v>5000</v>
      </c>
      <c r="J12" s="10">
        <v>13.67</v>
      </c>
      <c r="K12" s="11">
        <v>6.73</v>
      </c>
      <c r="L12" s="13">
        <f>K12*280</f>
        <v>1884.4</v>
      </c>
      <c r="M12" s="14">
        <f>IF(K12=0,0,(13.67-K12)*278)</f>
        <v>1929.32</v>
      </c>
    </row>
    <row r="13" spans="1:13" ht="18" customHeight="1" x14ac:dyDescent="0.3">
      <c r="A13" s="4"/>
      <c r="B13" s="15" t="s">
        <v>7</v>
      </c>
      <c r="C13" s="16"/>
      <c r="D13" s="16"/>
      <c r="E13" s="17"/>
      <c r="F13" s="18">
        <f>SUM(F5:F12)</f>
        <v>42674.45</v>
      </c>
      <c r="G13" s="18">
        <f>SUM(G5:G12)</f>
        <v>23056.55</v>
      </c>
      <c r="H13" s="62">
        <v>23601</v>
      </c>
      <c r="I13" s="8">
        <v>5000</v>
      </c>
      <c r="J13" s="10">
        <v>15.38</v>
      </c>
      <c r="K13" s="11">
        <v>14.82</v>
      </c>
      <c r="L13" s="13">
        <f>K13*277</f>
        <v>4105.1400000000003</v>
      </c>
      <c r="M13" s="14">
        <f>IF(K13=0,0,(15.38-K13)*278)</f>
        <v>155.68000000000015</v>
      </c>
    </row>
    <row r="14" spans="1:13" ht="18" customHeight="1" x14ac:dyDescent="0.3">
      <c r="A14" s="4"/>
      <c r="B14" s="55" t="s">
        <v>92</v>
      </c>
      <c r="C14" s="56"/>
      <c r="D14" s="56"/>
      <c r="E14" s="56"/>
      <c r="F14" s="56"/>
      <c r="G14" s="56"/>
      <c r="H14" s="62">
        <v>23602</v>
      </c>
      <c r="I14" s="8">
        <v>5000</v>
      </c>
      <c r="J14" s="10">
        <v>15.38</v>
      </c>
      <c r="K14" s="11">
        <v>10.8</v>
      </c>
      <c r="L14" s="13">
        <f>K14*277</f>
        <v>2991.6000000000004</v>
      </c>
      <c r="M14" s="14">
        <f>IF(K14=0,0,(15.38-K14)*278)</f>
        <v>1273.24</v>
      </c>
    </row>
    <row r="15" spans="1:13" ht="18" customHeight="1" x14ac:dyDescent="0.3">
      <c r="A15" s="4"/>
      <c r="B15" s="61">
        <v>6104</v>
      </c>
      <c r="C15" s="8">
        <v>5000</v>
      </c>
      <c r="D15" s="10">
        <v>12.8</v>
      </c>
      <c r="E15" s="11">
        <v>2.62</v>
      </c>
      <c r="F15" s="13">
        <f>E15*319</f>
        <v>835.78000000000009</v>
      </c>
      <c r="G15" s="13">
        <f>IF(E15=0,0,(12.8-E15)*319)</f>
        <v>3247.42</v>
      </c>
      <c r="H15" s="62">
        <v>23603</v>
      </c>
      <c r="I15" s="8">
        <v>5000</v>
      </c>
      <c r="J15" s="10">
        <v>15.38</v>
      </c>
      <c r="K15" s="11">
        <v>11.15</v>
      </c>
      <c r="L15" s="13">
        <f>K15*277</f>
        <v>3088.55</v>
      </c>
      <c r="M15" s="14">
        <f>IF(K15=0,0,(15.38-K15)*278)</f>
        <v>1175.94</v>
      </c>
    </row>
    <row r="16" spans="1:13" ht="18" customHeight="1" x14ac:dyDescent="0.3">
      <c r="A16" s="4"/>
      <c r="B16" s="55" t="s">
        <v>93</v>
      </c>
      <c r="C16" s="56"/>
      <c r="D16" s="56"/>
      <c r="E16" s="56"/>
      <c r="F16" s="56"/>
      <c r="G16" s="56"/>
      <c r="H16" s="62">
        <v>23604</v>
      </c>
      <c r="I16" s="8">
        <v>5000</v>
      </c>
      <c r="J16" s="10">
        <v>15.38</v>
      </c>
      <c r="K16" s="11">
        <v>11.18</v>
      </c>
      <c r="L16" s="13">
        <f>K16*277</f>
        <v>3096.86</v>
      </c>
      <c r="M16" s="14">
        <f>IF(K16=0,0,(15.38-K16)*278)</f>
        <v>1167.6000000000004</v>
      </c>
    </row>
    <row r="17" spans="1:13" ht="18" customHeight="1" x14ac:dyDescent="0.3">
      <c r="A17" s="4"/>
      <c r="B17" s="61">
        <v>6103</v>
      </c>
      <c r="C17" s="8">
        <v>5000</v>
      </c>
      <c r="D17" s="10">
        <v>12.8</v>
      </c>
      <c r="E17" s="11">
        <v>3.43</v>
      </c>
      <c r="F17" s="13">
        <f>E17*319</f>
        <v>1094.17</v>
      </c>
      <c r="G17" s="13">
        <f>IF(E17=0,0,(12.8-E17)*319)</f>
        <v>2989.03</v>
      </c>
      <c r="H17" s="16" t="s">
        <v>7</v>
      </c>
      <c r="I17" s="16"/>
      <c r="J17" s="16"/>
      <c r="K17" s="19"/>
      <c r="L17" s="18">
        <f>SUM(L5:L16)</f>
        <v>39857.910000000011</v>
      </c>
      <c r="M17" s="20">
        <f>SUM(M5:M16)</f>
        <v>35569.290000000008</v>
      </c>
    </row>
    <row r="18" spans="1:13" ht="18" customHeight="1" x14ac:dyDescent="0.3">
      <c r="A18" s="4"/>
      <c r="B18" s="61">
        <v>9504</v>
      </c>
      <c r="C18" s="8">
        <v>10000</v>
      </c>
      <c r="D18" s="10">
        <v>13.6</v>
      </c>
      <c r="E18" s="11">
        <v>3.39</v>
      </c>
      <c r="F18" s="13">
        <f>E18*530</f>
        <v>1796.7</v>
      </c>
      <c r="G18" s="13">
        <f>IF(E18=0,0,(13.6-E18)*530)</f>
        <v>5411.2999999999993</v>
      </c>
      <c r="H18" s="8">
        <v>6203</v>
      </c>
      <c r="I18" s="8"/>
      <c r="J18" s="8"/>
      <c r="K18" s="11">
        <v>0</v>
      </c>
      <c r="L18" s="13">
        <f>K18*388</f>
        <v>0</v>
      </c>
      <c r="M18" s="14">
        <f>取值!C1</f>
        <v>0</v>
      </c>
    </row>
    <row r="19" spans="1:13" ht="18" customHeight="1" x14ac:dyDescent="0.3">
      <c r="A19" s="4"/>
      <c r="B19" s="61">
        <v>9509</v>
      </c>
      <c r="C19" s="8">
        <v>20000</v>
      </c>
      <c r="D19" s="10">
        <v>13</v>
      </c>
      <c r="E19" s="11">
        <v>2.88</v>
      </c>
      <c r="F19" s="13">
        <f>E19*1244</f>
        <v>3582.72</v>
      </c>
      <c r="G19" s="13">
        <f>IF(E19=0,0,(13-E19)*1244)</f>
        <v>12589.28</v>
      </c>
      <c r="H19" s="56" t="s">
        <v>8</v>
      </c>
      <c r="I19" s="56"/>
      <c r="J19" s="56"/>
      <c r="K19" s="56"/>
      <c r="L19" s="56"/>
      <c r="M19" s="57"/>
    </row>
    <row r="20" spans="1:13" ht="18" customHeight="1" x14ac:dyDescent="0.3">
      <c r="A20" s="4"/>
      <c r="B20" s="15" t="s">
        <v>7</v>
      </c>
      <c r="C20" s="16"/>
      <c r="D20" s="16"/>
      <c r="E20" s="17"/>
      <c r="F20" s="18">
        <f>SUM(F17:F19)</f>
        <v>6473.59</v>
      </c>
      <c r="G20" s="18">
        <f>SUM(G17:G19)</f>
        <v>20989.61</v>
      </c>
      <c r="H20" s="8" t="s">
        <v>1</v>
      </c>
      <c r="I20" s="8" t="s">
        <v>2</v>
      </c>
      <c r="J20" s="8" t="s">
        <v>3</v>
      </c>
      <c r="K20" s="8" t="s">
        <v>4</v>
      </c>
      <c r="L20" s="8" t="s">
        <v>5</v>
      </c>
      <c r="M20" s="9" t="s">
        <v>6</v>
      </c>
    </row>
    <row r="21" spans="1:13" ht="18" customHeight="1" x14ac:dyDescent="0.3">
      <c r="A21" s="4"/>
      <c r="B21" s="55" t="s">
        <v>9</v>
      </c>
      <c r="C21" s="56"/>
      <c r="D21" s="56"/>
      <c r="E21" s="56"/>
      <c r="F21" s="56"/>
      <c r="G21" s="56"/>
      <c r="H21" s="62">
        <v>6801</v>
      </c>
      <c r="I21" s="8">
        <v>10000</v>
      </c>
      <c r="J21" s="10">
        <v>16.03</v>
      </c>
      <c r="K21" s="11">
        <v>7.17</v>
      </c>
      <c r="L21" s="13">
        <f>K21*492</f>
        <v>3527.64</v>
      </c>
      <c r="M21" s="14">
        <f>IF(K21=0,0,(16.03-K21)*492)</f>
        <v>4359.1200000000008</v>
      </c>
    </row>
    <row r="22" spans="1:13" ht="18" customHeight="1" x14ac:dyDescent="0.3">
      <c r="A22" s="4"/>
      <c r="B22" s="7" t="s">
        <v>1</v>
      </c>
      <c r="C22" s="8" t="s">
        <v>2</v>
      </c>
      <c r="D22" s="8" t="s">
        <v>3</v>
      </c>
      <c r="E22" s="8" t="s">
        <v>4</v>
      </c>
      <c r="F22" s="8" t="s">
        <v>5</v>
      </c>
      <c r="G22" s="8" t="s">
        <v>6</v>
      </c>
      <c r="H22" s="62">
        <v>6802</v>
      </c>
      <c r="I22" s="8">
        <v>10000</v>
      </c>
      <c r="J22" s="10">
        <v>16.03</v>
      </c>
      <c r="K22" s="11">
        <v>2.96</v>
      </c>
      <c r="L22" s="13">
        <f>K22*492</f>
        <v>1456.32</v>
      </c>
      <c r="M22" s="14">
        <f>IF(K22=0,0,(16.03-K22)*492)</f>
        <v>6430.4400000000005</v>
      </c>
    </row>
    <row r="23" spans="1:13" ht="18" customHeight="1" x14ac:dyDescent="0.3">
      <c r="A23" s="4"/>
      <c r="B23" s="7">
        <v>6803</v>
      </c>
      <c r="C23" s="8">
        <v>10000</v>
      </c>
      <c r="D23" s="10">
        <v>16.03</v>
      </c>
      <c r="E23" s="11">
        <v>15.08</v>
      </c>
      <c r="F23" s="13">
        <f>E23*439</f>
        <v>6620.12</v>
      </c>
      <c r="G23" s="13">
        <f>IF(E23=0,0,(16.03-E23)*439)</f>
        <v>417.05000000000047</v>
      </c>
      <c r="H23" s="16" t="s">
        <v>7</v>
      </c>
      <c r="I23" s="16"/>
      <c r="J23" s="16"/>
      <c r="K23" s="21"/>
      <c r="L23" s="18">
        <f>SUM(L21:L22)</f>
        <v>4983.96</v>
      </c>
      <c r="M23" s="20">
        <f>SUM(M21:M22)</f>
        <v>10789.560000000001</v>
      </c>
    </row>
    <row r="24" spans="1:13" ht="18" customHeight="1" x14ac:dyDescent="0.3">
      <c r="A24" s="4"/>
      <c r="B24" s="7">
        <v>6804</v>
      </c>
      <c r="C24" s="8">
        <v>10000</v>
      </c>
      <c r="D24" s="10">
        <v>16.03</v>
      </c>
      <c r="E24" s="11">
        <v>11.91</v>
      </c>
      <c r="F24" s="13">
        <f>E24*439</f>
        <v>5228.49</v>
      </c>
      <c r="G24" s="13">
        <f>IF(E24=0,0,(16.03-E24)*439)</f>
        <v>1808.6800000000005</v>
      </c>
      <c r="H24" s="56" t="s">
        <v>10</v>
      </c>
      <c r="I24" s="56"/>
      <c r="J24" s="56"/>
      <c r="K24" s="56"/>
      <c r="L24" s="56"/>
      <c r="M24" s="57"/>
    </row>
    <row r="25" spans="1:13" ht="16.5" customHeight="1" x14ac:dyDescent="0.3">
      <c r="A25" s="4"/>
      <c r="B25" s="15" t="s">
        <v>7</v>
      </c>
      <c r="C25" s="16"/>
      <c r="D25" s="16"/>
      <c r="E25" s="21"/>
      <c r="F25" s="18">
        <f>SUM(F23:F24)</f>
        <v>11848.61</v>
      </c>
      <c r="G25" s="18">
        <f>SUM(G23:G24)</f>
        <v>2225.7300000000009</v>
      </c>
      <c r="H25" s="8" t="s">
        <v>1</v>
      </c>
      <c r="I25" s="8" t="s">
        <v>2</v>
      </c>
      <c r="J25" s="8" t="s">
        <v>3</v>
      </c>
      <c r="K25" s="8" t="s">
        <v>4</v>
      </c>
      <c r="L25" s="8" t="s">
        <v>5</v>
      </c>
      <c r="M25" s="9" t="s">
        <v>6</v>
      </c>
    </row>
    <row r="26" spans="1:13" ht="18" customHeight="1" x14ac:dyDescent="0.3">
      <c r="A26" s="4"/>
      <c r="B26" s="55" t="s">
        <v>11</v>
      </c>
      <c r="C26" s="56"/>
      <c r="D26" s="56"/>
      <c r="E26" s="56"/>
      <c r="F26" s="56"/>
      <c r="G26" s="56"/>
      <c r="H26" s="62">
        <v>9527</v>
      </c>
      <c r="I26" s="8">
        <v>10000</v>
      </c>
      <c r="J26" s="10">
        <v>15.5</v>
      </c>
      <c r="K26" s="11">
        <v>7.33</v>
      </c>
      <c r="L26" s="13">
        <f>K26*478</f>
        <v>3503.7400000000002</v>
      </c>
      <c r="M26" s="14">
        <f>IF(K26=0,0,(15.5-K26)*478)</f>
        <v>3905.2599999999998</v>
      </c>
    </row>
    <row r="27" spans="1:13" ht="18" customHeight="1" x14ac:dyDescent="0.3">
      <c r="A27" s="4"/>
      <c r="B27" s="7" t="s">
        <v>1</v>
      </c>
      <c r="C27" s="8" t="s">
        <v>2</v>
      </c>
      <c r="D27" s="8" t="s">
        <v>3</v>
      </c>
      <c r="E27" s="8" t="s">
        <v>4</v>
      </c>
      <c r="F27" s="8" t="s">
        <v>5</v>
      </c>
      <c r="G27" s="8" t="s">
        <v>6</v>
      </c>
      <c r="H27" s="62">
        <v>9528</v>
      </c>
      <c r="I27" s="8">
        <v>10000</v>
      </c>
      <c r="J27" s="10">
        <v>10</v>
      </c>
      <c r="K27" s="11">
        <v>5.95</v>
      </c>
      <c r="L27" s="13">
        <f>K27*478</f>
        <v>2844.1</v>
      </c>
      <c r="M27" s="14">
        <f>IF(K27=0,0,(10-K27)*478)</f>
        <v>1935.8999999999999</v>
      </c>
    </row>
    <row r="28" spans="1:13" ht="18" customHeight="1" x14ac:dyDescent="0.3">
      <c r="A28" s="4"/>
      <c r="B28" s="61">
        <v>9511</v>
      </c>
      <c r="C28" s="8">
        <v>5000</v>
      </c>
      <c r="D28" s="10">
        <v>13</v>
      </c>
      <c r="E28" s="11">
        <v>10.02</v>
      </c>
      <c r="F28" s="13">
        <f>E28*225</f>
        <v>2254.5</v>
      </c>
      <c r="G28" s="13">
        <f>IF(E28=0,0,(13-E28)*225)</f>
        <v>670.50000000000011</v>
      </c>
      <c r="H28" s="16" t="s">
        <v>7</v>
      </c>
      <c r="I28" s="16"/>
      <c r="J28" s="16"/>
      <c r="K28" s="17"/>
      <c r="L28" s="18">
        <f>SUM(L26:L27)</f>
        <v>6347.84</v>
      </c>
      <c r="M28" s="20">
        <f>SUM(M26:M27)</f>
        <v>5841.16</v>
      </c>
    </row>
    <row r="29" spans="1:13" ht="18" hidden="1" customHeight="1" x14ac:dyDescent="0.3">
      <c r="A29" s="4"/>
      <c r="B29" s="22" t="str">
        <f>IFERROR(IF(取值!C157=0,"",取值!C157),"")</f>
        <v/>
      </c>
      <c r="C29" s="8">
        <v>5000</v>
      </c>
      <c r="D29" s="10">
        <v>13</v>
      </c>
      <c r="E29" s="11" t="str">
        <f>IFERROR(IF(B29=9529,ROUND(取值!B73,2),IF(B29=9530,ROUND(取值!B74,2),IF(B29=823,ROUND(取值!B99,2),IF(B29=824,ROUND(取值!B86,2),"")))),"")</f>
        <v/>
      </c>
      <c r="F29" s="13" t="str">
        <f>IFERROR(IF(E29="","",E29*218),"")</f>
        <v/>
      </c>
      <c r="G29" s="13" t="str">
        <f>IF(E29=0,0,IFERROR(IF(E29="","",(13-E29)*225),""))</f>
        <v/>
      </c>
      <c r="H29" s="23"/>
      <c r="I29" s="24"/>
      <c r="J29" s="24"/>
      <c r="K29" s="23"/>
      <c r="L29" s="23"/>
      <c r="M29" s="25"/>
    </row>
    <row r="30" spans="1:13" ht="18" hidden="1" customHeight="1" x14ac:dyDescent="0.3">
      <c r="A30" s="4"/>
      <c r="B30" s="22" t="str">
        <f>IFERROR(IF(取值!C158=0,"",取值!C158),"")</f>
        <v/>
      </c>
      <c r="C30" s="8">
        <v>5000</v>
      </c>
      <c r="D30" s="10">
        <v>13</v>
      </c>
      <c r="E30" s="11" t="str">
        <f>IFERROR(IF(B30=9529,ROUND(取值!B73,2),IF(B30=9530,ROUND(取值!B74,2),IF(B30=823,ROUND(取值!B99,2),IF(B30=824,ROUND(取值!B86,2),"")))),"")</f>
        <v/>
      </c>
      <c r="F30" s="13" t="str">
        <f>IFERROR(IF(E30="","",E30*218),"")</f>
        <v/>
      </c>
      <c r="G30" s="13" t="str">
        <f>IF(E30=0,0,IFERROR(IF(E30="","",(13-E30)*215),""))</f>
        <v/>
      </c>
      <c r="H30" s="26"/>
      <c r="I30" s="26"/>
      <c r="J30" s="26"/>
      <c r="K30" s="26"/>
      <c r="L30" s="26"/>
      <c r="M30" s="27"/>
    </row>
    <row r="31" spans="1:13" ht="18" customHeight="1" x14ac:dyDescent="0.3">
      <c r="A31" s="4"/>
      <c r="B31" s="15" t="s">
        <v>7</v>
      </c>
      <c r="C31" s="16"/>
      <c r="D31" s="16"/>
      <c r="E31" s="17"/>
      <c r="F31" s="18">
        <f>SUM(F28:F30)</f>
        <v>2254.5</v>
      </c>
      <c r="G31" s="18">
        <f>SUM(G28:G30)</f>
        <v>670.50000000000011</v>
      </c>
      <c r="H31" s="56" t="s">
        <v>12</v>
      </c>
      <c r="I31" s="56"/>
      <c r="J31" s="56"/>
      <c r="K31" s="56"/>
      <c r="L31" s="56"/>
      <c r="M31" s="57"/>
    </row>
    <row r="32" spans="1:13" ht="18" customHeight="1" x14ac:dyDescent="0.3">
      <c r="A32" s="4"/>
      <c r="B32" s="55" t="s">
        <v>13</v>
      </c>
      <c r="C32" s="56"/>
      <c r="D32" s="56"/>
      <c r="E32" s="56"/>
      <c r="F32" s="56"/>
      <c r="G32" s="56"/>
      <c r="H32" s="8" t="s">
        <v>1</v>
      </c>
      <c r="I32" s="8" t="s">
        <v>2</v>
      </c>
      <c r="J32" s="8" t="s">
        <v>3</v>
      </c>
      <c r="K32" s="8" t="s">
        <v>4</v>
      </c>
      <c r="L32" s="8" t="s">
        <v>5</v>
      </c>
      <c r="M32" s="9" t="s">
        <v>6</v>
      </c>
    </row>
    <row r="33" spans="1:13" ht="18" customHeight="1" x14ac:dyDescent="0.3">
      <c r="A33" s="4"/>
      <c r="B33" s="7" t="s">
        <v>1</v>
      </c>
      <c r="C33" s="8" t="s">
        <v>2</v>
      </c>
      <c r="D33" s="8" t="s">
        <v>3</v>
      </c>
      <c r="E33" s="8" t="s">
        <v>4</v>
      </c>
      <c r="F33" s="8" t="s">
        <v>5</v>
      </c>
      <c r="G33" s="8" t="s">
        <v>6</v>
      </c>
      <c r="H33" s="62">
        <v>801</v>
      </c>
      <c r="I33" s="8">
        <v>10000</v>
      </c>
      <c r="J33" s="10">
        <v>13.4</v>
      </c>
      <c r="K33" s="11">
        <v>13.09</v>
      </c>
      <c r="L33" s="13">
        <f>K33*515</f>
        <v>6741.35</v>
      </c>
      <c r="M33" s="14">
        <f>IF(K33=0,0,(13.4-K33)*515)</f>
        <v>159.65000000000026</v>
      </c>
    </row>
    <row r="34" spans="1:13" ht="18" customHeight="1" x14ac:dyDescent="0.3">
      <c r="A34" s="4"/>
      <c r="B34" s="61">
        <v>9512</v>
      </c>
      <c r="C34" s="8">
        <v>5000</v>
      </c>
      <c r="D34" s="10">
        <v>13</v>
      </c>
      <c r="E34" s="11">
        <v>9.92</v>
      </c>
      <c r="F34" s="13">
        <f>E34*232.5</f>
        <v>2306.4</v>
      </c>
      <c r="G34" s="13">
        <f>IF(E34=0,0,(13-E34)*228)</f>
        <v>702.24</v>
      </c>
      <c r="H34" s="62">
        <v>802</v>
      </c>
      <c r="I34" s="8">
        <v>10000</v>
      </c>
      <c r="J34" s="10">
        <v>13.4</v>
      </c>
      <c r="K34" s="11">
        <v>13.09</v>
      </c>
      <c r="L34" s="13">
        <f>K34*515</f>
        <v>6741.35</v>
      </c>
      <c r="M34" s="14">
        <f>IF(K34=0,0,(13.4-K34)*515)</f>
        <v>159.65000000000026</v>
      </c>
    </row>
    <row r="35" spans="1:13" ht="18" customHeight="1" x14ac:dyDescent="0.3">
      <c r="A35" s="4"/>
      <c r="B35" s="61">
        <v>9513</v>
      </c>
      <c r="C35" s="8">
        <v>5000</v>
      </c>
      <c r="D35" s="10">
        <v>13</v>
      </c>
      <c r="E35" s="11">
        <v>7.62</v>
      </c>
      <c r="F35" s="13">
        <f>E35*223</f>
        <v>1699.26</v>
      </c>
      <c r="G35" s="13">
        <f>IF(E35=0,0,(13-E35)*225)</f>
        <v>1210.5</v>
      </c>
      <c r="H35" s="62">
        <v>803</v>
      </c>
      <c r="I35" s="8">
        <v>10000</v>
      </c>
      <c r="J35" s="10">
        <v>13.4</v>
      </c>
      <c r="K35" s="11">
        <v>9.5399999999999991</v>
      </c>
      <c r="L35" s="13">
        <f>K35*515</f>
        <v>4913.0999999999995</v>
      </c>
      <c r="M35" s="14">
        <f>IF(K35=0,0,(13.4-K35)*515)</f>
        <v>1987.9000000000005</v>
      </c>
    </row>
    <row r="36" spans="1:13" ht="18" customHeight="1" x14ac:dyDescent="0.3">
      <c r="A36" s="4"/>
      <c r="B36" s="15" t="s">
        <v>7</v>
      </c>
      <c r="C36" s="16"/>
      <c r="D36" s="29"/>
      <c r="E36" s="17"/>
      <c r="F36" s="18">
        <f>SUM(F35)</f>
        <v>1699.26</v>
      </c>
      <c r="G36" s="18">
        <f>SUM(G35)</f>
        <v>1210.5</v>
      </c>
      <c r="H36" s="62">
        <v>804</v>
      </c>
      <c r="I36" s="8">
        <v>10000</v>
      </c>
      <c r="J36" s="10">
        <v>13.4</v>
      </c>
      <c r="K36" s="11">
        <v>9.15</v>
      </c>
      <c r="L36" s="13">
        <f>K36*515</f>
        <v>4712.25</v>
      </c>
      <c r="M36" s="14">
        <f>IF(K36=0,0,(13.4-K36)*515)</f>
        <v>2188.75</v>
      </c>
    </row>
    <row r="37" spans="1:13" ht="18" customHeight="1" x14ac:dyDescent="0.3">
      <c r="A37" s="4"/>
      <c r="B37" s="55" t="s">
        <v>14</v>
      </c>
      <c r="C37" s="56"/>
      <c r="D37" s="56"/>
      <c r="E37" s="56"/>
      <c r="F37" s="56"/>
      <c r="G37" s="56"/>
      <c r="H37" s="62">
        <v>810</v>
      </c>
      <c r="I37" s="8">
        <v>5000</v>
      </c>
      <c r="J37" s="10">
        <v>10.199999999999999</v>
      </c>
      <c r="K37" s="11">
        <v>2.61</v>
      </c>
      <c r="L37" s="13">
        <f>K37*365</f>
        <v>952.65</v>
      </c>
      <c r="M37" s="14">
        <f>IF(K37=0,0,(10.2-K37)*365)</f>
        <v>2770.35</v>
      </c>
    </row>
    <row r="38" spans="1:13" ht="18" customHeight="1" x14ac:dyDescent="0.3">
      <c r="A38" s="4"/>
      <c r="B38" s="7" t="s">
        <v>1</v>
      </c>
      <c r="C38" s="8" t="s">
        <v>2</v>
      </c>
      <c r="D38" s="8" t="s">
        <v>3</v>
      </c>
      <c r="E38" s="8" t="s">
        <v>4</v>
      </c>
      <c r="F38" s="8" t="s">
        <v>5</v>
      </c>
      <c r="G38" s="8" t="s">
        <v>6</v>
      </c>
      <c r="H38" s="62">
        <v>811</v>
      </c>
      <c r="I38" s="8">
        <v>5000</v>
      </c>
      <c r="J38" s="10">
        <v>10.199999999999999</v>
      </c>
      <c r="K38" s="11">
        <v>3.41</v>
      </c>
      <c r="L38" s="13">
        <f>K38*365</f>
        <v>1244.6500000000001</v>
      </c>
      <c r="M38" s="14">
        <f>IF(K38=0,0,(10.2-K38)*365)</f>
        <v>2478.35</v>
      </c>
    </row>
    <row r="39" spans="1:13" ht="18" customHeight="1" x14ac:dyDescent="0.3">
      <c r="A39" s="4"/>
      <c r="B39" s="61">
        <v>24903</v>
      </c>
      <c r="C39" s="8">
        <v>1000</v>
      </c>
      <c r="D39" s="10">
        <v>7.6</v>
      </c>
      <c r="E39" s="11">
        <v>3.16</v>
      </c>
      <c r="F39" s="13">
        <f>E39*68</f>
        <v>214.88</v>
      </c>
      <c r="G39" s="13">
        <f>IF(E39=0,0,(7.6-E39)*68)</f>
        <v>301.91999999999996</v>
      </c>
      <c r="H39" s="62">
        <v>812</v>
      </c>
      <c r="I39" s="8">
        <v>10000</v>
      </c>
      <c r="J39" s="10">
        <v>13.4</v>
      </c>
      <c r="K39" s="11">
        <v>2.7</v>
      </c>
      <c r="L39" s="13">
        <f>K39*575</f>
        <v>1552.5</v>
      </c>
      <c r="M39" s="30">
        <v>6152.5</v>
      </c>
    </row>
    <row r="40" spans="1:13" ht="18" customHeight="1" x14ac:dyDescent="0.3">
      <c r="A40" s="4"/>
      <c r="B40" s="61">
        <v>24904</v>
      </c>
      <c r="C40" s="8">
        <v>1000</v>
      </c>
      <c r="D40" s="10">
        <v>7.6</v>
      </c>
      <c r="E40" s="11">
        <v>4.91</v>
      </c>
      <c r="F40" s="13">
        <f>E40*68</f>
        <v>333.88</v>
      </c>
      <c r="G40" s="13">
        <f>IF(E40=0,0,(7.6-E40)*68)</f>
        <v>182.91999999999996</v>
      </c>
      <c r="H40" s="62">
        <v>813</v>
      </c>
      <c r="I40" s="8">
        <v>10000</v>
      </c>
      <c r="J40" s="10">
        <v>13.4</v>
      </c>
      <c r="K40" s="11">
        <v>10.92</v>
      </c>
      <c r="L40" s="13">
        <f>K40*575</f>
        <v>6279</v>
      </c>
      <c r="M40" s="14">
        <f>IF(K40=0,0,(13.4-K40)*575)</f>
        <v>1426.0000000000002</v>
      </c>
    </row>
    <row r="41" spans="1:13" ht="18" customHeight="1" x14ac:dyDescent="0.3">
      <c r="A41" s="4"/>
      <c r="B41" s="61">
        <v>24905</v>
      </c>
      <c r="C41" s="31">
        <v>1000</v>
      </c>
      <c r="D41" s="32">
        <v>7.6</v>
      </c>
      <c r="E41" s="11">
        <v>3.31</v>
      </c>
      <c r="F41" s="13">
        <f>E41*81</f>
        <v>268.11</v>
      </c>
      <c r="G41" s="13">
        <f>IF(E41=0,0,(7.6-E41)*81)</f>
        <v>347.48999999999995</v>
      </c>
      <c r="H41" s="62">
        <v>818</v>
      </c>
      <c r="I41" s="8">
        <v>5000</v>
      </c>
      <c r="J41" s="10">
        <v>12.5</v>
      </c>
      <c r="K41" s="11">
        <v>12.11</v>
      </c>
      <c r="L41" s="13">
        <f>K41*305</f>
        <v>3693.5499999999997</v>
      </c>
      <c r="M41" s="14">
        <f>IF(K41=0,0,(12.5-K41)*305)</f>
        <v>118.95000000000017</v>
      </c>
    </row>
    <row r="42" spans="1:13" ht="18" customHeight="1" x14ac:dyDescent="0.3">
      <c r="A42" s="4"/>
      <c r="B42" s="61">
        <v>9514</v>
      </c>
      <c r="C42" s="8">
        <v>5000</v>
      </c>
      <c r="D42" s="10">
        <v>13</v>
      </c>
      <c r="E42" s="11">
        <v>12.29</v>
      </c>
      <c r="F42" s="13">
        <f>E42*232.5</f>
        <v>2857.4249999999997</v>
      </c>
      <c r="G42" s="13">
        <f>IF(E42=0,0,(13-E42)*225)</f>
        <v>159.7500000000002</v>
      </c>
      <c r="H42" s="62">
        <v>819</v>
      </c>
      <c r="I42" s="8">
        <v>5000</v>
      </c>
      <c r="J42" s="10">
        <v>12.5</v>
      </c>
      <c r="K42" s="11">
        <v>12.14</v>
      </c>
      <c r="L42" s="13">
        <f>K42*305</f>
        <v>3702.7000000000003</v>
      </c>
      <c r="M42" s="14">
        <f>IF(K42=0,0,(12.5-K42)*305)</f>
        <v>109.79999999999983</v>
      </c>
    </row>
    <row r="43" spans="1:13" ht="18" customHeight="1" x14ac:dyDescent="0.3">
      <c r="A43" s="4"/>
      <c r="B43" s="61">
        <v>9516</v>
      </c>
      <c r="C43" s="8">
        <v>5000</v>
      </c>
      <c r="D43" s="10">
        <v>9.76</v>
      </c>
      <c r="E43" s="11">
        <v>8.4600000000000009</v>
      </c>
      <c r="F43" s="13">
        <f>E43*224</f>
        <v>1895.0400000000002</v>
      </c>
      <c r="G43" s="13">
        <f>IF(E43=0,0,(13-E43)*225)</f>
        <v>1021.4999999999998</v>
      </c>
      <c r="H43" s="62">
        <v>26103</v>
      </c>
      <c r="I43" s="8">
        <v>20000</v>
      </c>
      <c r="J43" s="10">
        <v>15.5</v>
      </c>
      <c r="K43" s="11">
        <v>5.85</v>
      </c>
      <c r="L43" s="13">
        <f>K43*926</f>
        <v>5417.0999999999995</v>
      </c>
      <c r="M43" s="14">
        <f>IF(K43=0,0,(15.5-K43)*926)</f>
        <v>8935.9</v>
      </c>
    </row>
    <row r="44" spans="1:13" ht="18" customHeight="1" x14ac:dyDescent="0.3">
      <c r="A44" s="4"/>
      <c r="B44" s="15" t="s">
        <v>7</v>
      </c>
      <c r="C44" s="33"/>
      <c r="D44" s="33"/>
      <c r="E44" s="34"/>
      <c r="F44" s="18">
        <f>SUM(F39:F43)</f>
        <v>5569.335</v>
      </c>
      <c r="G44" s="18">
        <f>SUM(G39:G43)</f>
        <v>2013.58</v>
      </c>
      <c r="H44" s="62">
        <v>26104</v>
      </c>
      <c r="I44" s="8">
        <v>20000</v>
      </c>
      <c r="J44" s="10">
        <v>15.5</v>
      </c>
      <c r="K44" s="11">
        <v>7.04</v>
      </c>
      <c r="L44" s="13">
        <f>K44*926</f>
        <v>6519.04</v>
      </c>
      <c r="M44" s="14">
        <f>IF(K44=0,0,(15.5-K44)*926)</f>
        <v>7833.9600000000009</v>
      </c>
    </row>
    <row r="45" spans="1:13" ht="18" customHeight="1" x14ac:dyDescent="0.3">
      <c r="A45" s="4"/>
      <c r="B45" s="55" t="s">
        <v>15</v>
      </c>
      <c r="C45" s="56"/>
      <c r="D45" s="56"/>
      <c r="E45" s="56"/>
      <c r="F45" s="56"/>
      <c r="G45" s="56"/>
      <c r="H45" s="16" t="s">
        <v>7</v>
      </c>
      <c r="I45" s="16"/>
      <c r="J45" s="16"/>
      <c r="K45" s="21"/>
      <c r="L45" s="18">
        <f>SUM(L33:L44)</f>
        <v>52469.240000000005</v>
      </c>
      <c r="M45" s="20">
        <f>SUM(M33:M44)</f>
        <v>34321.760000000002</v>
      </c>
    </row>
    <row r="46" spans="1:13" ht="18" customHeight="1" x14ac:dyDescent="0.3">
      <c r="A46" s="4"/>
      <c r="B46" s="61">
        <v>9515</v>
      </c>
      <c r="C46" s="31">
        <v>1000</v>
      </c>
      <c r="D46" s="32">
        <v>7.6</v>
      </c>
      <c r="E46" s="11">
        <v>3.3</v>
      </c>
      <c r="F46" s="13">
        <f>E46*232.5</f>
        <v>767.25</v>
      </c>
      <c r="G46" s="13">
        <f>IF(E46=0,0,(9.76-E46)*232.5)</f>
        <v>1501.95</v>
      </c>
      <c r="H46" s="56" t="s">
        <v>16</v>
      </c>
      <c r="I46" s="56"/>
      <c r="J46" s="56"/>
      <c r="K46" s="56"/>
      <c r="L46" s="56"/>
      <c r="M46" s="57"/>
    </row>
    <row r="47" spans="1:13" ht="18" customHeight="1" x14ac:dyDescent="0.3">
      <c r="A47" s="4"/>
      <c r="B47" s="15" t="s">
        <v>7</v>
      </c>
      <c r="C47" s="33"/>
      <c r="D47" s="33"/>
      <c r="E47" s="34"/>
      <c r="F47" s="18">
        <f>SUM(F46)</f>
        <v>767.25</v>
      </c>
      <c r="G47" s="18">
        <f>SUM(G46)</f>
        <v>1501.95</v>
      </c>
      <c r="H47" s="62">
        <v>26105</v>
      </c>
      <c r="I47" s="8">
        <v>20000</v>
      </c>
      <c r="J47" s="10">
        <v>15.5</v>
      </c>
      <c r="K47" s="11">
        <v>14.25</v>
      </c>
      <c r="L47" s="13">
        <f>K47*892</f>
        <v>12711</v>
      </c>
      <c r="M47" s="14">
        <f>IF(K47=0,0,(15.5-K47)*892)</f>
        <v>1115</v>
      </c>
    </row>
    <row r="48" spans="1:13" ht="18" customHeight="1" x14ac:dyDescent="0.3">
      <c r="A48" s="4"/>
      <c r="B48" s="55" t="s">
        <v>17</v>
      </c>
      <c r="C48" s="56"/>
      <c r="D48" s="56"/>
      <c r="E48" s="56"/>
      <c r="F48" s="56"/>
      <c r="G48" s="56"/>
      <c r="H48" s="62">
        <v>26106</v>
      </c>
      <c r="I48" s="8">
        <v>20000</v>
      </c>
      <c r="J48" s="10">
        <v>15.5</v>
      </c>
      <c r="K48" s="11">
        <v>14.78</v>
      </c>
      <c r="L48" s="13">
        <f>K48*892</f>
        <v>13183.76</v>
      </c>
      <c r="M48" s="14">
        <f>IF(K48=0,0,(15.5-K48)*892)</f>
        <v>642.24000000000058</v>
      </c>
    </row>
    <row r="49" spans="1:13" ht="18" customHeight="1" x14ac:dyDescent="0.3">
      <c r="A49" s="4"/>
      <c r="B49" s="61">
        <v>9525</v>
      </c>
      <c r="C49" s="8">
        <v>10000</v>
      </c>
      <c r="D49" s="10">
        <v>15.12</v>
      </c>
      <c r="E49" s="11">
        <v>12.27</v>
      </c>
      <c r="F49" s="13">
        <f>E49*468</f>
        <v>5742.36</v>
      </c>
      <c r="G49" s="13">
        <f>IF(E49=0,0,(15.12-E49)*467)</f>
        <v>1330.9499999999998</v>
      </c>
      <c r="H49" s="62">
        <v>26107</v>
      </c>
      <c r="I49" s="8">
        <v>20000</v>
      </c>
      <c r="J49" s="10">
        <v>15.5</v>
      </c>
      <c r="K49" s="11">
        <v>13.77</v>
      </c>
      <c r="L49" s="13">
        <f>K49*892</f>
        <v>12282.84</v>
      </c>
      <c r="M49" s="14">
        <f>IF(K49=0,0,(15.5-K49)*892)</f>
        <v>1543.1600000000003</v>
      </c>
    </row>
    <row r="50" spans="1:13" ht="18" customHeight="1" x14ac:dyDescent="0.3">
      <c r="A50" s="4"/>
      <c r="B50" s="61">
        <v>9526</v>
      </c>
      <c r="C50" s="8">
        <v>10000</v>
      </c>
      <c r="D50" s="10">
        <v>15.12</v>
      </c>
      <c r="E50" s="11">
        <v>3.37</v>
      </c>
      <c r="F50" s="13">
        <f>E50*468</f>
        <v>1577.16</v>
      </c>
      <c r="G50" s="13">
        <f>IF(E50=0,0,(15.12-E50)*467)</f>
        <v>5487.25</v>
      </c>
      <c r="H50" s="16" t="s">
        <v>7</v>
      </c>
      <c r="I50" s="16"/>
      <c r="J50" s="16"/>
      <c r="K50" s="21"/>
      <c r="L50" s="18">
        <f>SUM(L47:L49)</f>
        <v>38177.600000000006</v>
      </c>
      <c r="M50" s="20">
        <f>SUM(M47:M49)</f>
        <v>3300.400000000001</v>
      </c>
    </row>
    <row r="51" spans="1:13" ht="18" customHeight="1" x14ac:dyDescent="0.3">
      <c r="A51" s="4"/>
      <c r="B51" s="15" t="s">
        <v>7</v>
      </c>
      <c r="C51" s="16"/>
      <c r="D51" s="16"/>
      <c r="E51" s="34"/>
      <c r="F51" s="18">
        <f>SUM(F49:F50)</f>
        <v>7319.5199999999995</v>
      </c>
      <c r="G51" s="18">
        <f>SUM(G49:G50)</f>
        <v>6818.2</v>
      </c>
      <c r="H51" s="56" t="s">
        <v>18</v>
      </c>
      <c r="I51" s="56"/>
      <c r="J51" s="56"/>
      <c r="K51" s="56"/>
      <c r="L51" s="56"/>
      <c r="M51" s="57"/>
    </row>
    <row r="52" spans="1:13" ht="18" customHeight="1" x14ac:dyDescent="0.3">
      <c r="A52" s="4"/>
      <c r="B52" s="55" t="s">
        <v>19</v>
      </c>
      <c r="C52" s="56"/>
      <c r="D52" s="56"/>
      <c r="E52" s="56"/>
      <c r="F52" s="56"/>
      <c r="G52" s="56"/>
      <c r="H52" s="8" t="s">
        <v>1</v>
      </c>
      <c r="I52" s="8" t="s">
        <v>2</v>
      </c>
      <c r="J52" s="8" t="s">
        <v>3</v>
      </c>
      <c r="K52" s="8" t="s">
        <v>4</v>
      </c>
      <c r="L52" s="8" t="s">
        <v>5</v>
      </c>
      <c r="M52" s="9" t="s">
        <v>6</v>
      </c>
    </row>
    <row r="53" spans="1:13" ht="18" customHeight="1" x14ac:dyDescent="0.3">
      <c r="A53" s="4"/>
      <c r="B53" s="7" t="s">
        <v>1</v>
      </c>
      <c r="C53" s="8" t="s">
        <v>2</v>
      </c>
      <c r="D53" s="8" t="s">
        <v>3</v>
      </c>
      <c r="E53" s="8" t="s">
        <v>4</v>
      </c>
      <c r="F53" s="8" t="s">
        <v>5</v>
      </c>
      <c r="G53" s="8" t="s">
        <v>6</v>
      </c>
      <c r="H53" s="62">
        <v>2101</v>
      </c>
      <c r="I53" s="31">
        <v>3000</v>
      </c>
      <c r="J53" s="32">
        <v>13.76</v>
      </c>
      <c r="K53" s="11">
        <v>9.2899999999999991</v>
      </c>
      <c r="L53" s="13">
        <f>K53*172</f>
        <v>1597.8799999999999</v>
      </c>
      <c r="M53" s="14">
        <f>IF(K56=0,0,(13-K53)*172)</f>
        <v>638.12000000000012</v>
      </c>
    </row>
    <row r="54" spans="1:13" ht="18" customHeight="1" x14ac:dyDescent="0.3">
      <c r="A54" s="4"/>
      <c r="B54" s="63">
        <v>9529</v>
      </c>
      <c r="C54" s="8">
        <v>5000</v>
      </c>
      <c r="D54" s="10">
        <v>13</v>
      </c>
      <c r="E54" s="11">
        <v>12.22</v>
      </c>
      <c r="F54" s="13">
        <f>IFERROR(IF(E54="","",E54*218),"")</f>
        <v>2663.96</v>
      </c>
      <c r="G54" s="13">
        <f>IF(E54=0,0,IFERROR(IF(E54="","",(13-E54)*224),""))</f>
        <v>174.71999999999986</v>
      </c>
      <c r="H54" s="62">
        <v>2102</v>
      </c>
      <c r="I54" s="8">
        <v>3000</v>
      </c>
      <c r="J54" s="10">
        <v>13</v>
      </c>
      <c r="K54" s="11">
        <v>7.48</v>
      </c>
      <c r="L54" s="13">
        <f>K54*172</f>
        <v>1286.5600000000002</v>
      </c>
      <c r="M54" s="14">
        <f>IF(K54=0,0,(13-K54)*172)</f>
        <v>949.43999999999994</v>
      </c>
    </row>
    <row r="55" spans="1:13" ht="18" customHeight="1" x14ac:dyDescent="0.3">
      <c r="A55" s="4"/>
      <c r="B55" s="63">
        <v>9530</v>
      </c>
      <c r="C55" s="8">
        <v>5000</v>
      </c>
      <c r="D55" s="10">
        <v>13</v>
      </c>
      <c r="E55" s="11">
        <v>11.84</v>
      </c>
      <c r="F55" s="13">
        <f>IFERROR(IF(E55="","",E55*218),"")</f>
        <v>2581.12</v>
      </c>
      <c r="G55" s="13">
        <f>IF(E55=0,0,IFERROR(IF(E55="","",(13-E55)*224),""))</f>
        <v>259.84000000000003</v>
      </c>
      <c r="H55" s="62">
        <v>2103</v>
      </c>
      <c r="I55" s="8">
        <v>1000</v>
      </c>
      <c r="J55" s="10">
        <v>10.7</v>
      </c>
      <c r="K55" s="11">
        <v>4.82</v>
      </c>
      <c r="L55" s="13">
        <f>K55*82</f>
        <v>395.24</v>
      </c>
      <c r="M55" s="14">
        <f>IF(K55=0,0,(10.7-K55)*81)</f>
        <v>476.27999999999992</v>
      </c>
    </row>
    <row r="56" spans="1:13" ht="18" customHeight="1" x14ac:dyDescent="0.3">
      <c r="A56" s="4"/>
      <c r="B56" s="15" t="s">
        <v>7</v>
      </c>
      <c r="C56" s="16"/>
      <c r="D56" s="16"/>
      <c r="E56" s="17"/>
      <c r="F56" s="18">
        <f>SUM(F54:F55)</f>
        <v>5245.08</v>
      </c>
      <c r="G56" s="18">
        <f>SUM(G54:G55)</f>
        <v>434.55999999999989</v>
      </c>
      <c r="H56" s="62">
        <v>2104</v>
      </c>
      <c r="I56" s="8">
        <v>1000</v>
      </c>
      <c r="J56" s="10">
        <v>10.7</v>
      </c>
      <c r="K56" s="11">
        <v>3.7</v>
      </c>
      <c r="L56" s="13">
        <f>K56*81</f>
        <v>299.7</v>
      </c>
      <c r="M56" s="14">
        <f>IF(K56=0,0,(10.3-K56)*81)</f>
        <v>534.6</v>
      </c>
    </row>
    <row r="57" spans="1:13" ht="18" customHeight="1" x14ac:dyDescent="0.3">
      <c r="A57" s="4"/>
      <c r="B57" s="55" t="s">
        <v>20</v>
      </c>
      <c r="C57" s="56"/>
      <c r="D57" s="56"/>
      <c r="E57" s="56"/>
      <c r="F57" s="56"/>
      <c r="G57" s="56"/>
      <c r="H57" s="16" t="s">
        <v>7</v>
      </c>
      <c r="I57" s="16"/>
      <c r="J57" s="16"/>
      <c r="K57" s="34"/>
      <c r="L57" s="18">
        <f>SUM(L54:L56)</f>
        <v>1981.5000000000002</v>
      </c>
      <c r="M57" s="20">
        <f>SUM(M52:M56)</f>
        <v>2598.4399999999996</v>
      </c>
    </row>
    <row r="58" spans="1:13" ht="18" customHeight="1" x14ac:dyDescent="0.3">
      <c r="A58" s="4"/>
      <c r="B58" s="7" t="s">
        <v>1</v>
      </c>
      <c r="C58" s="8" t="s">
        <v>2</v>
      </c>
      <c r="D58" s="8" t="s">
        <v>3</v>
      </c>
      <c r="E58" s="8" t="s">
        <v>4</v>
      </c>
      <c r="F58" s="8" t="s">
        <v>5</v>
      </c>
      <c r="G58" s="8" t="s">
        <v>6</v>
      </c>
      <c r="H58" s="56" t="s">
        <v>94</v>
      </c>
      <c r="I58" s="56"/>
      <c r="J58" s="56"/>
      <c r="K58" s="56"/>
      <c r="L58" s="56"/>
      <c r="M58" s="57"/>
    </row>
    <row r="59" spans="1:13" ht="18" customHeight="1" x14ac:dyDescent="0.3">
      <c r="A59" s="4"/>
      <c r="B59" s="61">
        <v>806</v>
      </c>
      <c r="C59" s="36">
        <v>5000</v>
      </c>
      <c r="D59" s="10">
        <v>11.2</v>
      </c>
      <c r="E59" s="11">
        <v>5.07</v>
      </c>
      <c r="F59" s="13">
        <f>E59*300</f>
        <v>1521</v>
      </c>
      <c r="G59" s="13">
        <f>IF(F59=0,0,(11.2-E59)*300)</f>
        <v>1838.9999999999998</v>
      </c>
      <c r="H59" s="8" t="s">
        <v>1</v>
      </c>
      <c r="I59" s="8" t="s">
        <v>2</v>
      </c>
      <c r="J59" s="8" t="s">
        <v>3</v>
      </c>
      <c r="K59" s="8" t="s">
        <v>4</v>
      </c>
      <c r="L59" s="8" t="s">
        <v>5</v>
      </c>
      <c r="M59" s="9" t="s">
        <v>6</v>
      </c>
    </row>
    <row r="60" spans="1:13" ht="18" customHeight="1" x14ac:dyDescent="0.3">
      <c r="A60" s="4"/>
      <c r="B60" s="61">
        <v>807</v>
      </c>
      <c r="C60" s="36">
        <v>5000</v>
      </c>
      <c r="D60" s="10">
        <v>11.2</v>
      </c>
      <c r="E60" s="11">
        <v>10.79</v>
      </c>
      <c r="F60" s="13">
        <f>E60*300</f>
        <v>3236.9999999999995</v>
      </c>
      <c r="G60" s="13">
        <f>IF(F60=0,0,(11.2-E60)*300)</f>
        <v>123.00000000000004</v>
      </c>
      <c r="H60" s="62">
        <v>2105</v>
      </c>
      <c r="I60" s="8">
        <v>3000</v>
      </c>
      <c r="J60" s="10">
        <v>13.76</v>
      </c>
      <c r="K60" s="11">
        <v>4.43</v>
      </c>
      <c r="L60" s="13">
        <f>K60*172</f>
        <v>761.95999999999992</v>
      </c>
      <c r="M60" s="14">
        <f>IF(K60=0,0,(13.76-K60)*172)</f>
        <v>1604.76</v>
      </c>
    </row>
    <row r="61" spans="1:13" ht="18" customHeight="1" x14ac:dyDescent="0.3">
      <c r="A61" s="4"/>
      <c r="B61" s="35" t="str">
        <f>IFERROR(IF(取值!C144=0,"",取值!C144),"")</f>
        <v/>
      </c>
      <c r="C61" s="11"/>
      <c r="D61" s="11"/>
      <c r="E61" s="11" t="str">
        <f>IFERROR(IF(B61=821,ROUND(取值!B85,2),IF(B61=822,ROUND(取值!B98,2),IF(B61=823,ROUND(取值!B99,2),IF(B61=824,ROUND(取值!B86,2),"")))),"")</f>
        <v/>
      </c>
      <c r="F61" s="13" t="str">
        <f>IFERROR(IF(E61="","",E61*520),"")</f>
        <v/>
      </c>
      <c r="G61" s="13" t="str">
        <f>IF(E61=0,0,IFERROR(IF(E61="","",(20-E61)*520),""))</f>
        <v/>
      </c>
      <c r="H61" s="16" t="s">
        <v>7</v>
      </c>
      <c r="I61" s="37"/>
      <c r="J61" s="37"/>
      <c r="K61" s="19"/>
      <c r="L61" s="18">
        <f>SUM(L53:L60)</f>
        <v>6322.84</v>
      </c>
      <c r="M61" s="20">
        <f>SUM(M53:M60)</f>
        <v>6801.6399999999994</v>
      </c>
    </row>
    <row r="62" spans="1:13" ht="18" customHeight="1" x14ac:dyDescent="0.3">
      <c r="A62" s="4"/>
      <c r="B62" s="63">
        <v>822</v>
      </c>
      <c r="C62" s="36">
        <v>15000</v>
      </c>
      <c r="D62" s="10">
        <v>20</v>
      </c>
      <c r="E62" s="11">
        <v>5.66</v>
      </c>
      <c r="F62" s="13">
        <f>IFERROR(IF(E62="","",E62*520),"")</f>
        <v>2943.2000000000003</v>
      </c>
      <c r="G62" s="13">
        <f>IF(E62=0,0,IFERROR(IF(E62="","",(20-E62)*520),""))</f>
        <v>7456.8</v>
      </c>
      <c r="H62" s="56" t="s">
        <v>21</v>
      </c>
      <c r="I62" s="56"/>
      <c r="J62" s="56"/>
      <c r="K62" s="56"/>
      <c r="L62" s="56"/>
      <c r="M62" s="57"/>
    </row>
    <row r="63" spans="1:13" ht="18" customHeight="1" x14ac:dyDescent="0.3">
      <c r="A63" s="4"/>
      <c r="B63" s="63">
        <v>823</v>
      </c>
      <c r="C63" s="36">
        <v>15000</v>
      </c>
      <c r="D63" s="10">
        <v>20</v>
      </c>
      <c r="E63" s="11">
        <v>5.55</v>
      </c>
      <c r="F63" s="13">
        <f>IFERROR(IF(E63="","",E63*520),"")</f>
        <v>2886</v>
      </c>
      <c r="G63" s="13">
        <f>IF(E63=0,0,IFERROR(IF(E63="","",(20-E63)*520),""))</f>
        <v>7514</v>
      </c>
      <c r="H63" s="8" t="s">
        <v>1</v>
      </c>
      <c r="I63" s="8" t="s">
        <v>2</v>
      </c>
      <c r="J63" s="8" t="s">
        <v>3</v>
      </c>
      <c r="K63" s="8" t="s">
        <v>4</v>
      </c>
      <c r="L63" s="8" t="s">
        <v>5</v>
      </c>
      <c r="M63" s="9" t="s">
        <v>6</v>
      </c>
    </row>
    <row r="64" spans="1:13" ht="18" customHeight="1" x14ac:dyDescent="0.3">
      <c r="A64" s="4"/>
      <c r="B64" s="63">
        <v>825</v>
      </c>
      <c r="C64" s="36">
        <v>15000</v>
      </c>
      <c r="D64" s="10">
        <v>15.5</v>
      </c>
      <c r="E64" s="11">
        <v>14.84</v>
      </c>
      <c r="F64" s="13">
        <f>IFERROR(IF(E64="","",E64*595),"")</f>
        <v>8829.7999999999993</v>
      </c>
      <c r="G64" s="13">
        <f>IF(E64=0,0,IFERROR(IF(E64="","",(15.5-E64)*595),""))</f>
        <v>392.7000000000001</v>
      </c>
      <c r="H64" s="62">
        <v>2106</v>
      </c>
      <c r="I64" s="8">
        <v>3000</v>
      </c>
      <c r="J64" s="10">
        <v>13.76</v>
      </c>
      <c r="K64" s="11">
        <v>3.58</v>
      </c>
      <c r="L64" s="13">
        <f>K64*182</f>
        <v>651.56000000000006</v>
      </c>
      <c r="M64" s="14">
        <f>IF(K64=0,0,(13.76-K64)*182)</f>
        <v>1852.76</v>
      </c>
    </row>
    <row r="65" spans="1:13" ht="18" customHeight="1" x14ac:dyDescent="0.3">
      <c r="A65" s="4"/>
      <c r="B65" s="63">
        <v>826</v>
      </c>
      <c r="C65" s="36">
        <v>15000</v>
      </c>
      <c r="D65" s="10">
        <v>15.5</v>
      </c>
      <c r="E65" s="11">
        <v>7.2</v>
      </c>
      <c r="F65" s="13">
        <f>IFERROR(IF(E65="","",E65*595),"")</f>
        <v>4284</v>
      </c>
      <c r="G65" s="13">
        <f>IF(E65=0,0,IFERROR(IF(E65="","",(15.5-E65)*595),""))</f>
        <v>4938.5</v>
      </c>
      <c r="H65" s="16" t="s">
        <v>7</v>
      </c>
      <c r="I65" s="16"/>
      <c r="J65" s="16"/>
      <c r="K65" s="34"/>
      <c r="L65" s="18">
        <f>SUM(L64)</f>
        <v>651.56000000000006</v>
      </c>
      <c r="M65" s="20">
        <f>SUM(M64)</f>
        <v>1852.76</v>
      </c>
    </row>
    <row r="66" spans="1:13" ht="18" customHeight="1" x14ac:dyDescent="0.3">
      <c r="A66" s="4"/>
      <c r="B66" s="61">
        <v>26101</v>
      </c>
      <c r="C66" s="8">
        <v>20000</v>
      </c>
      <c r="D66" s="10">
        <v>15.5</v>
      </c>
      <c r="E66" s="11">
        <v>4.82</v>
      </c>
      <c r="F66" s="13">
        <f>E66*840</f>
        <v>4048.8</v>
      </c>
      <c r="G66" s="13">
        <f>IF(F66=0,0,(15.5-E66)*840)</f>
        <v>8971.1999999999989</v>
      </c>
      <c r="H66" s="56" t="s">
        <v>22</v>
      </c>
      <c r="I66" s="56"/>
      <c r="J66" s="56"/>
      <c r="K66" s="56"/>
      <c r="L66" s="56"/>
      <c r="M66" s="57"/>
    </row>
    <row r="67" spans="1:13" ht="18" customHeight="1" x14ac:dyDescent="0.3">
      <c r="A67" s="4"/>
      <c r="B67" s="15" t="s">
        <v>7</v>
      </c>
      <c r="C67" s="16"/>
      <c r="D67" s="16"/>
      <c r="E67" s="17"/>
      <c r="F67" s="18">
        <f>SUM(F59:F66)</f>
        <v>27749.8</v>
      </c>
      <c r="G67" s="18">
        <f>SUM(G59:G66)</f>
        <v>31235.199999999997</v>
      </c>
      <c r="H67" s="8" t="s">
        <v>1</v>
      </c>
      <c r="I67" s="8" t="s">
        <v>2</v>
      </c>
      <c r="J67" s="8" t="s">
        <v>3</v>
      </c>
      <c r="K67" s="8" t="s">
        <v>4</v>
      </c>
      <c r="L67" s="8" t="s">
        <v>5</v>
      </c>
      <c r="M67" s="9" t="s">
        <v>6</v>
      </c>
    </row>
    <row r="68" spans="1:13" ht="18" customHeight="1" x14ac:dyDescent="0.3">
      <c r="A68" s="4"/>
      <c r="B68" s="28">
        <v>815</v>
      </c>
      <c r="C68" s="31"/>
      <c r="D68" s="31"/>
      <c r="E68" s="11">
        <v>4.6900000000000004</v>
      </c>
      <c r="F68" s="13">
        <f>E68*275</f>
        <v>1289.75</v>
      </c>
      <c r="G68" s="13"/>
      <c r="H68" s="62">
        <v>2107</v>
      </c>
      <c r="I68" s="8">
        <v>700</v>
      </c>
      <c r="J68" s="10">
        <v>9.6</v>
      </c>
      <c r="K68" s="11">
        <v>7.85</v>
      </c>
      <c r="L68" s="13">
        <f>K68*54</f>
        <v>423.9</v>
      </c>
      <c r="M68" s="14">
        <f>IF(K68=0,0,(9.6-K68)*54)</f>
        <v>94.5</v>
      </c>
    </row>
    <row r="69" spans="1:13" ht="18" customHeight="1" x14ac:dyDescent="0.3">
      <c r="A69" s="4"/>
      <c r="B69" s="55" t="s">
        <v>23</v>
      </c>
      <c r="C69" s="56"/>
      <c r="D69" s="56"/>
      <c r="E69" s="56"/>
      <c r="F69" s="56"/>
      <c r="G69" s="56"/>
      <c r="H69" s="62">
        <v>2108</v>
      </c>
      <c r="I69" s="8">
        <v>700</v>
      </c>
      <c r="J69" s="10">
        <v>9.6</v>
      </c>
      <c r="K69" s="11">
        <v>8.16</v>
      </c>
      <c r="L69" s="13">
        <f>K69*54</f>
        <v>440.64</v>
      </c>
      <c r="M69" s="14">
        <f>IF(K69=0,0,(9.6-K69)*54)</f>
        <v>77.759999999999977</v>
      </c>
    </row>
    <row r="70" spans="1:13" ht="18" customHeight="1" x14ac:dyDescent="0.3">
      <c r="A70" s="4"/>
      <c r="B70" s="7" t="s">
        <v>1</v>
      </c>
      <c r="C70" s="8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62">
        <v>2109</v>
      </c>
      <c r="I70" s="8">
        <v>700</v>
      </c>
      <c r="J70" s="10">
        <v>9.6</v>
      </c>
      <c r="K70" s="11">
        <v>7.24</v>
      </c>
      <c r="L70" s="13">
        <f>K70*54</f>
        <v>390.96000000000004</v>
      </c>
      <c r="M70" s="14">
        <f>IF(K70=0,0,(9.6-K70)*54)</f>
        <v>127.43999999999997</v>
      </c>
    </row>
    <row r="71" spans="1:13" ht="18" customHeight="1" x14ac:dyDescent="0.3">
      <c r="A71" s="4"/>
      <c r="B71" s="61">
        <v>814</v>
      </c>
      <c r="C71" s="36">
        <v>5000</v>
      </c>
      <c r="D71" s="10">
        <v>12.5</v>
      </c>
      <c r="E71" s="11">
        <v>9.91</v>
      </c>
      <c r="F71" s="13">
        <f>E71*275</f>
        <v>2725.25</v>
      </c>
      <c r="G71" s="13">
        <f>IF(F71=0,0,(12.5-E71)*275)</f>
        <v>712.25</v>
      </c>
      <c r="H71" s="62">
        <v>2110</v>
      </c>
      <c r="I71" s="8">
        <v>700</v>
      </c>
      <c r="J71" s="10">
        <v>9.6</v>
      </c>
      <c r="K71" s="11">
        <v>8.66</v>
      </c>
      <c r="L71" s="13">
        <f>K71*54</f>
        <v>467.64</v>
      </c>
      <c r="M71" s="14">
        <f>IF(K71=0,0,(9.6-K71)*54)</f>
        <v>50.759999999999977</v>
      </c>
    </row>
    <row r="72" spans="1:13" ht="18" customHeight="1" x14ac:dyDescent="0.3">
      <c r="A72" s="4"/>
      <c r="B72" s="61">
        <v>816</v>
      </c>
      <c r="C72" s="36">
        <v>5000</v>
      </c>
      <c r="D72" s="10">
        <v>12.5</v>
      </c>
      <c r="E72" s="11">
        <v>2.9</v>
      </c>
      <c r="F72" s="13">
        <f>E72*275</f>
        <v>797.5</v>
      </c>
      <c r="G72" s="13">
        <f>IF(F72=0,0,(12.5-E72)*275)</f>
        <v>2640</v>
      </c>
      <c r="H72" s="62">
        <v>2113</v>
      </c>
      <c r="I72" s="8">
        <v>500</v>
      </c>
      <c r="J72" s="10">
        <v>8.6</v>
      </c>
      <c r="K72" s="11">
        <v>3.97</v>
      </c>
      <c r="L72" s="13">
        <f>K72*44</f>
        <v>174.68</v>
      </c>
      <c r="M72" s="14">
        <f>IF(K72=0,0,(8.6-K72)*44)</f>
        <v>203.71999999999997</v>
      </c>
    </row>
    <row r="73" spans="1:13" ht="18" customHeight="1" x14ac:dyDescent="0.3">
      <c r="A73" s="4"/>
      <c r="B73" s="61">
        <v>817</v>
      </c>
      <c r="C73" s="36">
        <v>5000</v>
      </c>
      <c r="D73" s="10">
        <v>12.5</v>
      </c>
      <c r="E73" s="11">
        <v>2.68</v>
      </c>
      <c r="F73" s="13">
        <f>E73*275</f>
        <v>737</v>
      </c>
      <c r="G73" s="13">
        <f>IF(F73=0,0,(12.5-E73)*275)</f>
        <v>2700.5</v>
      </c>
      <c r="H73" s="16" t="s">
        <v>7</v>
      </c>
      <c r="I73" s="16"/>
      <c r="J73" s="16"/>
      <c r="K73" s="17"/>
      <c r="L73" s="18">
        <f>SUM(L68:L72)</f>
        <v>1897.82</v>
      </c>
      <c r="M73" s="20">
        <f>SUM(M68:M72)</f>
        <v>554.17999999999984</v>
      </c>
    </row>
    <row r="74" spans="1:13" ht="18" customHeight="1" x14ac:dyDescent="0.3">
      <c r="A74" s="4"/>
      <c r="B74" s="63">
        <v>821</v>
      </c>
      <c r="C74" s="36">
        <v>15000</v>
      </c>
      <c r="D74" s="10">
        <v>20</v>
      </c>
      <c r="E74" s="11">
        <v>11.68</v>
      </c>
      <c r="F74" s="13">
        <f>IFERROR(IF(E74="","",E74*520),"")</f>
        <v>6073.5999999999995</v>
      </c>
      <c r="G74" s="13">
        <f>IF(E74=0,0,IFERROR(IF(E74="","",(20-E74)*520),""))</f>
        <v>4326.4000000000005</v>
      </c>
      <c r="H74" s="56" t="s">
        <v>24</v>
      </c>
      <c r="I74" s="56"/>
      <c r="J74" s="56"/>
      <c r="K74" s="56"/>
      <c r="L74" s="56"/>
      <c r="M74" s="57"/>
    </row>
    <row r="75" spans="1:13" ht="18" customHeight="1" x14ac:dyDescent="0.3">
      <c r="A75" s="4"/>
      <c r="B75" s="63">
        <v>824</v>
      </c>
      <c r="C75" s="36">
        <v>15000</v>
      </c>
      <c r="D75" s="10">
        <v>20</v>
      </c>
      <c r="E75" s="11">
        <v>17.559999999999999</v>
      </c>
      <c r="F75" s="13">
        <f>IFERROR(IF(E75="","",E75*520),"")</f>
        <v>9131.1999999999989</v>
      </c>
      <c r="G75" s="13">
        <f>IF(E75=0,0,IFERROR(IF(E75="","",(20-E75)*520),""))</f>
        <v>1268.8000000000006</v>
      </c>
      <c r="H75" s="8" t="s">
        <v>1</v>
      </c>
      <c r="I75" s="8" t="s">
        <v>2</v>
      </c>
      <c r="J75" s="8" t="s">
        <v>3</v>
      </c>
      <c r="K75" s="8" t="s">
        <v>4</v>
      </c>
      <c r="L75" s="8" t="s">
        <v>5</v>
      </c>
      <c r="M75" s="9" t="s">
        <v>6</v>
      </c>
    </row>
    <row r="76" spans="1:13" ht="18" customHeight="1" x14ac:dyDescent="0.3">
      <c r="A76" s="4"/>
      <c r="B76" s="35" t="str">
        <f>IFERROR(IF(取值!C151=0,"",取值!C151),"")</f>
        <v/>
      </c>
      <c r="C76" s="38"/>
      <c r="D76" s="38"/>
      <c r="E76" s="11" t="str">
        <f>IFERROR(IF(B76=821,ROUND(取值!B85,2),IF(B76=822,ROUND(取值!B98,2),IF(B76=823,ROUND(取值!B99,2),IF(B76=824,ROUND(取值!B86,2),"")))),"")</f>
        <v/>
      </c>
      <c r="F76" s="13" t="str">
        <f>IFERROR(IF(E76="","",E76*520),"")</f>
        <v/>
      </c>
      <c r="G76" s="13" t="str">
        <f>IF(E76=0,0,IFERROR(IF(E76="","",(20-E76)*520),""))</f>
        <v/>
      </c>
      <c r="H76" s="62">
        <v>2114</v>
      </c>
      <c r="I76" s="8">
        <v>500</v>
      </c>
      <c r="J76" s="10">
        <v>8.6</v>
      </c>
      <c r="K76" s="11">
        <v>3.15</v>
      </c>
      <c r="L76" s="13">
        <f>K76*44</f>
        <v>138.6</v>
      </c>
      <c r="M76" s="14">
        <f>IF(K76=0,0,(8.6-K76)*44)</f>
        <v>239.79999999999995</v>
      </c>
    </row>
    <row r="77" spans="1:13" ht="18" customHeight="1" x14ac:dyDescent="0.3">
      <c r="A77" s="4"/>
      <c r="B77" s="61">
        <v>26102</v>
      </c>
      <c r="C77" s="8">
        <v>20000</v>
      </c>
      <c r="D77" s="10">
        <v>15.5</v>
      </c>
      <c r="E77" s="11">
        <v>5.82</v>
      </c>
      <c r="F77" s="13">
        <f>E77*840</f>
        <v>4888.8</v>
      </c>
      <c r="G77" s="13">
        <f>IF(F77=0,0,(15.5-E77)*840)</f>
        <v>8131.2</v>
      </c>
      <c r="H77" s="56" t="s">
        <v>25</v>
      </c>
      <c r="I77" s="56"/>
      <c r="J77" s="56"/>
      <c r="K77" s="56"/>
      <c r="L77" s="56"/>
      <c r="M77" s="57"/>
    </row>
    <row r="78" spans="1:13" ht="18" customHeight="1" x14ac:dyDescent="0.3">
      <c r="A78" s="4"/>
      <c r="B78" s="15" t="s">
        <v>7</v>
      </c>
      <c r="C78" s="16"/>
      <c r="D78" s="16"/>
      <c r="E78" s="21"/>
      <c r="F78" s="18">
        <f>SUM(F71:F77)</f>
        <v>24353.349999999995</v>
      </c>
      <c r="G78" s="18">
        <f>SUM(G71:G77)</f>
        <v>19779.150000000001</v>
      </c>
      <c r="H78" s="8" t="s">
        <v>1</v>
      </c>
      <c r="I78" s="8" t="s">
        <v>2</v>
      </c>
      <c r="J78" s="8" t="s">
        <v>3</v>
      </c>
      <c r="K78" s="8" t="s">
        <v>4</v>
      </c>
      <c r="L78" s="8" t="s">
        <v>5</v>
      </c>
      <c r="M78" s="9" t="s">
        <v>6</v>
      </c>
    </row>
    <row r="79" spans="1:13" ht="18" hidden="1" customHeight="1" x14ac:dyDescent="0.3">
      <c r="A79" s="4"/>
      <c r="B79" s="35" t="str">
        <f>IFERROR(IF(取值!C152=0,"",取值!C152),"")</f>
        <v/>
      </c>
      <c r="C79" s="38"/>
      <c r="D79" s="38"/>
      <c r="E79" s="11" t="str">
        <f>IFERROR(IF(B79=821,ROUND(取值!B86,2),IF(B79=822,ROUND(取值!B99,2),IF(B79=823,ROUND(取值!B100,2),IF(B79=824,ROUND(取值!B89,2),"")))),"")</f>
        <v/>
      </c>
      <c r="F79" s="13" t="str">
        <f>IFERROR(IF(E79="","",E79*595),"")</f>
        <v/>
      </c>
      <c r="G79" s="13" t="str">
        <f>IF(E79=0,0,IFERROR(IF(E79="","",(15.5-E79)*595),""))</f>
        <v/>
      </c>
      <c r="H79" s="23"/>
      <c r="I79" s="24"/>
      <c r="J79" s="24"/>
      <c r="K79" s="23"/>
      <c r="L79" s="23"/>
      <c r="M79" s="25"/>
    </row>
    <row r="80" spans="1:13" ht="18" hidden="1" customHeight="1" x14ac:dyDescent="0.3">
      <c r="A80" s="4"/>
      <c r="B80" s="35" t="str">
        <f>IFERROR(IF(取值!C153=0,"",取值!C153),"")</f>
        <v/>
      </c>
      <c r="C80" s="38"/>
      <c r="D80" s="38"/>
      <c r="E80" s="11" t="str">
        <f>IFERROR(IF(B80=821,ROUND(取值!B89,2),IF(B80=822,ROUND(取值!B100,2),IF(B80=823,ROUND(取值!B101,2),IF(B80=824,ROUND(取值!B90,2),"")))),"")</f>
        <v/>
      </c>
      <c r="F80" s="13" t="str">
        <f>IFERROR(IF(E80="","",E80*595),"")</f>
        <v/>
      </c>
      <c r="G80" s="13" t="str">
        <f>IF(E80=0,0,IFERROR(IF(E80="","",(15.5-E80)*595),""))</f>
        <v/>
      </c>
      <c r="H80" s="23"/>
      <c r="I80" s="24"/>
      <c r="J80" s="24"/>
      <c r="K80" s="23"/>
      <c r="L80" s="23"/>
      <c r="M80" s="25"/>
    </row>
    <row r="81" spans="1:13" ht="18" customHeight="1" x14ac:dyDescent="0.3">
      <c r="A81" s="4"/>
      <c r="B81" s="55" t="s">
        <v>26</v>
      </c>
      <c r="C81" s="56"/>
      <c r="D81" s="56"/>
      <c r="E81" s="56"/>
      <c r="F81" s="56"/>
      <c r="G81" s="56"/>
      <c r="H81" s="62" t="s">
        <v>27</v>
      </c>
      <c r="I81" s="8">
        <v>500</v>
      </c>
      <c r="J81" s="10">
        <v>8.5</v>
      </c>
      <c r="K81" s="11">
        <v>6.8268000000000004</v>
      </c>
      <c r="L81" s="13">
        <f>K81*53</f>
        <v>361.82040000000001</v>
      </c>
      <c r="M81" s="14">
        <f>IF(K81=0,0,(8.5-K81)*53)</f>
        <v>88.679599999999979</v>
      </c>
    </row>
    <row r="82" spans="1:13" ht="18" customHeight="1" x14ac:dyDescent="0.3">
      <c r="A82" s="4"/>
      <c r="B82" s="7" t="s">
        <v>1</v>
      </c>
      <c r="C82" s="8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62" t="s">
        <v>28</v>
      </c>
      <c r="I82" s="8">
        <v>500</v>
      </c>
      <c r="J82" s="10">
        <v>8.5</v>
      </c>
      <c r="K82" s="11">
        <v>7.8373400000000002</v>
      </c>
      <c r="L82" s="13">
        <f>K82*53</f>
        <v>415.37902000000003</v>
      </c>
      <c r="M82" s="14">
        <f>IF(K82=0,0,(8.5-K82)*53)</f>
        <v>35.120979999999989</v>
      </c>
    </row>
    <row r="83" spans="1:13" ht="18" customHeight="1" x14ac:dyDescent="0.3">
      <c r="A83" s="4"/>
      <c r="B83" s="61" t="s">
        <v>29</v>
      </c>
      <c r="C83" s="36">
        <v>15000</v>
      </c>
      <c r="D83" s="10">
        <v>20</v>
      </c>
      <c r="E83" s="11"/>
      <c r="F83" s="13">
        <f>E83*520</f>
        <v>0</v>
      </c>
      <c r="G83" s="13">
        <f>IF(F83=0,0,(20-E83)*520)</f>
        <v>0</v>
      </c>
      <c r="H83" s="16" t="s">
        <v>30</v>
      </c>
      <c r="I83" s="16"/>
      <c r="J83" s="16"/>
      <c r="K83" s="17"/>
      <c r="L83" s="18">
        <f>SUM(L81:L82)</f>
        <v>777.19942000000003</v>
      </c>
      <c r="M83" s="20">
        <f>SUM(M81:M82)</f>
        <v>123.80057999999997</v>
      </c>
    </row>
    <row r="84" spans="1:13" ht="18" customHeight="1" x14ac:dyDescent="0.3">
      <c r="A84" s="4"/>
      <c r="B84" s="55" t="s">
        <v>31</v>
      </c>
      <c r="C84" s="56"/>
      <c r="D84" s="56"/>
      <c r="E84" s="56"/>
      <c r="F84" s="56"/>
      <c r="G84" s="56"/>
      <c r="H84" s="56" t="s">
        <v>32</v>
      </c>
      <c r="I84" s="56"/>
      <c r="J84" s="56"/>
      <c r="K84" s="56"/>
      <c r="L84" s="56"/>
      <c r="M84" s="57"/>
    </row>
    <row r="85" spans="1:13" ht="18" customHeight="1" x14ac:dyDescent="0.3">
      <c r="A85" s="4"/>
      <c r="B85" s="7" t="s">
        <v>1</v>
      </c>
      <c r="C85" s="8" t="s">
        <v>2</v>
      </c>
      <c r="D85" s="8" t="s">
        <v>3</v>
      </c>
      <c r="E85" s="8" t="s">
        <v>4</v>
      </c>
      <c r="F85" s="8" t="s">
        <v>5</v>
      </c>
      <c r="G85" s="8" t="s">
        <v>6</v>
      </c>
      <c r="H85" s="8" t="s">
        <v>1</v>
      </c>
      <c r="I85" s="8" t="s">
        <v>2</v>
      </c>
      <c r="J85" s="8" t="s">
        <v>3</v>
      </c>
      <c r="K85" s="8" t="s">
        <v>4</v>
      </c>
      <c r="L85" s="8" t="s">
        <v>5</v>
      </c>
      <c r="M85" s="9" t="s">
        <v>6</v>
      </c>
    </row>
    <row r="86" spans="1:13" ht="18" customHeight="1" x14ac:dyDescent="0.3">
      <c r="A86" s="4"/>
      <c r="B86" s="61">
        <v>2115</v>
      </c>
      <c r="C86" s="8">
        <v>500</v>
      </c>
      <c r="D86" s="10">
        <v>8.1</v>
      </c>
      <c r="E86" s="11">
        <v>3.68</v>
      </c>
      <c r="F86" s="13">
        <f>E86*46</f>
        <v>169.28</v>
      </c>
      <c r="G86" s="13">
        <f>IF(E86=0,0,(8.1-E86)*46)</f>
        <v>203.32</v>
      </c>
      <c r="H86" s="62" t="s">
        <v>33</v>
      </c>
      <c r="I86" s="8">
        <v>1000</v>
      </c>
      <c r="J86" s="10">
        <v>9.6</v>
      </c>
      <c r="K86" s="11">
        <v>6.39438</v>
      </c>
      <c r="L86" s="13">
        <f>K86*80</f>
        <v>511.55039999999997</v>
      </c>
      <c r="M86" s="14">
        <f>IF(K86=0,0,(9.6-K86)*80)</f>
        <v>256.44959999999998</v>
      </c>
    </row>
    <row r="87" spans="1:13" ht="18" customHeight="1" x14ac:dyDescent="0.3">
      <c r="A87" s="4"/>
      <c r="B87" s="61">
        <v>2116</v>
      </c>
      <c r="C87" s="8">
        <v>500</v>
      </c>
      <c r="D87" s="10">
        <v>8.1</v>
      </c>
      <c r="E87" s="11">
        <v>4.57</v>
      </c>
      <c r="F87" s="13">
        <f>E87*46</f>
        <v>210.22000000000003</v>
      </c>
      <c r="G87" s="13">
        <f>IF(E87=0,0,(8.1-E87)*46)</f>
        <v>162.37999999999997</v>
      </c>
      <c r="H87" s="62" t="s">
        <v>34</v>
      </c>
      <c r="I87" s="8">
        <v>1000</v>
      </c>
      <c r="J87" s="10">
        <v>9.6</v>
      </c>
      <c r="K87" s="11">
        <v>3.5087899999999999</v>
      </c>
      <c r="L87" s="13">
        <f>K87*80</f>
        <v>280.70319999999998</v>
      </c>
      <c r="M87" s="14">
        <f>IF(K87=0,0,(9.6-K87)*80)</f>
        <v>487.29680000000002</v>
      </c>
    </row>
    <row r="88" spans="1:13" ht="18" customHeight="1" x14ac:dyDescent="0.3">
      <c r="A88" s="4"/>
      <c r="B88" s="61">
        <v>2117</v>
      </c>
      <c r="C88" s="8">
        <v>5000</v>
      </c>
      <c r="D88" s="10">
        <v>15.3</v>
      </c>
      <c r="E88" s="11">
        <v>3.28</v>
      </c>
      <c r="F88" s="13">
        <f>E88*272</f>
        <v>892.16</v>
      </c>
      <c r="G88" s="13">
        <f>IF(E88=0,0,(15.3-E88)*272)</f>
        <v>3269.4400000000005</v>
      </c>
      <c r="H88" s="16" t="s">
        <v>7</v>
      </c>
      <c r="I88" s="16"/>
      <c r="J88" s="16"/>
      <c r="K88" s="29"/>
      <c r="L88" s="18">
        <f>SUM(L86:L87)</f>
        <v>792.25360000000001</v>
      </c>
      <c r="M88" s="20">
        <f>SUM(M86:M87)</f>
        <v>743.74639999999999</v>
      </c>
    </row>
    <row r="89" spans="1:13" ht="18" customHeight="1" x14ac:dyDescent="0.3">
      <c r="A89" s="4"/>
      <c r="B89" s="61">
        <v>2118</v>
      </c>
      <c r="C89" s="8">
        <v>5000</v>
      </c>
      <c r="D89" s="10">
        <v>15.3</v>
      </c>
      <c r="E89" s="11">
        <v>3.16</v>
      </c>
      <c r="F89" s="13">
        <f>E89*272</f>
        <v>859.52</v>
      </c>
      <c r="G89" s="13">
        <f>IF(E89=0,0,(15.3-E89)*272)</f>
        <v>3302.08</v>
      </c>
      <c r="H89" s="8" t="s">
        <v>35</v>
      </c>
      <c r="I89" s="8"/>
      <c r="J89" s="8"/>
      <c r="K89" s="39"/>
      <c r="L89" s="12">
        <v>15115</v>
      </c>
      <c r="M89" s="9"/>
    </row>
    <row r="90" spans="1:13" ht="18" customHeight="1" x14ac:dyDescent="0.3">
      <c r="A90" s="4"/>
      <c r="B90" s="15" t="s">
        <v>7</v>
      </c>
      <c r="C90" s="16"/>
      <c r="D90" s="16"/>
      <c r="E90" s="17"/>
      <c r="F90" s="18">
        <f>SUM(F86:F89)</f>
        <v>2131.1799999999998</v>
      </c>
      <c r="G90" s="18">
        <f>SUM(G86:G89)</f>
        <v>6937.22</v>
      </c>
      <c r="H90" s="8" t="s">
        <v>36</v>
      </c>
      <c r="I90" s="8"/>
      <c r="J90" s="8"/>
      <c r="K90" s="39" t="s">
        <v>37</v>
      </c>
      <c r="L90" s="12">
        <v>14688</v>
      </c>
      <c r="M90" s="9" t="s">
        <v>37</v>
      </c>
    </row>
    <row r="91" spans="1:13" ht="18" customHeight="1" x14ac:dyDescent="0.3">
      <c r="A91" s="4"/>
      <c r="B91" s="55" t="s">
        <v>38</v>
      </c>
      <c r="C91" s="56"/>
      <c r="D91" s="56"/>
      <c r="E91" s="56"/>
      <c r="F91" s="56"/>
      <c r="G91" s="56"/>
      <c r="H91" s="8" t="s">
        <v>39</v>
      </c>
      <c r="I91" s="8"/>
      <c r="J91" s="8"/>
      <c r="K91" s="39"/>
      <c r="L91" s="12">
        <v>0</v>
      </c>
      <c r="M91" s="9"/>
    </row>
    <row r="92" spans="1:13" ht="18" customHeight="1" x14ac:dyDescent="0.3">
      <c r="A92" s="4"/>
      <c r="B92" s="7" t="s">
        <v>1</v>
      </c>
      <c r="C92" s="8" t="s">
        <v>2</v>
      </c>
      <c r="D92" s="8" t="s">
        <v>3</v>
      </c>
      <c r="E92" s="8" t="s">
        <v>4</v>
      </c>
      <c r="F92" s="8" t="s">
        <v>5</v>
      </c>
      <c r="G92" s="8" t="s">
        <v>6</v>
      </c>
      <c r="H92" s="8" t="s">
        <v>40</v>
      </c>
      <c r="I92" s="8"/>
      <c r="J92" s="8"/>
      <c r="K92" s="39"/>
      <c r="L92" s="12">
        <v>427</v>
      </c>
      <c r="M92" s="9"/>
    </row>
    <row r="93" spans="1:13" ht="18" customHeight="1" x14ac:dyDescent="0.3">
      <c r="A93" s="4"/>
      <c r="B93" s="61">
        <v>24901</v>
      </c>
      <c r="C93" s="8">
        <v>1000</v>
      </c>
      <c r="D93" s="10">
        <v>9.1999999999999993</v>
      </c>
      <c r="E93" s="11">
        <v>6.8</v>
      </c>
      <c r="F93" s="13">
        <f>E93*73</f>
        <v>496.4</v>
      </c>
      <c r="G93" s="13">
        <f>IF(E93=0,0,(9.2-E93)*73)</f>
        <v>175.19999999999996</v>
      </c>
      <c r="H93" s="8" t="s">
        <v>41</v>
      </c>
      <c r="I93" s="8"/>
      <c r="J93" s="8"/>
      <c r="K93" s="39"/>
      <c r="L93" s="12">
        <v>99188</v>
      </c>
      <c r="M93" s="9" t="s">
        <v>37</v>
      </c>
    </row>
    <row r="94" spans="1:13" ht="18" customHeight="1" x14ac:dyDescent="0.3">
      <c r="A94" s="4"/>
      <c r="B94" s="61">
        <v>24902</v>
      </c>
      <c r="C94" s="8">
        <v>1000</v>
      </c>
      <c r="D94" s="10">
        <v>9.1999999999999993</v>
      </c>
      <c r="E94" s="11">
        <v>6.31</v>
      </c>
      <c r="F94" s="13">
        <f>E94*73</f>
        <v>460.63</v>
      </c>
      <c r="G94" s="13">
        <f>IF(E94=0,0,(9.2-E94)*73)</f>
        <v>210.96999999999997</v>
      </c>
      <c r="H94" s="8" t="s">
        <v>42</v>
      </c>
      <c r="I94" s="8"/>
      <c r="J94" s="8"/>
      <c r="K94" s="39" t="s">
        <v>37</v>
      </c>
      <c r="L94" s="12">
        <v>418</v>
      </c>
      <c r="M94" s="9"/>
    </row>
    <row r="95" spans="1:13" ht="18" customHeight="1" x14ac:dyDescent="0.3">
      <c r="A95" s="4"/>
      <c r="B95" s="15" t="s">
        <v>7</v>
      </c>
      <c r="C95" s="16"/>
      <c r="D95" s="16"/>
      <c r="E95" s="17"/>
      <c r="F95" s="18">
        <f>SUM(F93:F94)</f>
        <v>957.03</v>
      </c>
      <c r="G95" s="18">
        <f>SUM(G93:G94)</f>
        <v>386.16999999999996</v>
      </c>
      <c r="H95" s="8" t="s">
        <v>43</v>
      </c>
      <c r="I95" s="8"/>
      <c r="J95" s="8"/>
      <c r="K95" s="39"/>
      <c r="L95" s="12">
        <v>16826</v>
      </c>
      <c r="M95" s="9"/>
    </row>
    <row r="96" spans="1:13" ht="18" customHeight="1" x14ac:dyDescent="0.3">
      <c r="A96" s="4"/>
      <c r="B96" s="40" t="s">
        <v>44</v>
      </c>
      <c r="C96" s="39"/>
      <c r="D96" s="39"/>
      <c r="E96" s="10"/>
      <c r="F96" s="12" t="s">
        <v>45</v>
      </c>
      <c r="G96" s="39"/>
      <c r="H96" s="8" t="s">
        <v>46</v>
      </c>
      <c r="I96" s="8"/>
      <c r="J96" s="8"/>
      <c r="K96" s="39"/>
      <c r="L96" s="12">
        <v>8809</v>
      </c>
      <c r="M96" s="9"/>
    </row>
    <row r="97" spans="1:13" ht="18" customHeight="1" x14ac:dyDescent="0.3">
      <c r="A97" s="4"/>
      <c r="B97" s="7" t="s">
        <v>47</v>
      </c>
      <c r="C97" s="8"/>
      <c r="D97" s="8"/>
      <c r="E97" s="10"/>
      <c r="F97" s="12" t="s">
        <v>45</v>
      </c>
      <c r="G97" s="39"/>
      <c r="H97" s="8" t="s">
        <v>48</v>
      </c>
      <c r="I97" s="8"/>
      <c r="J97" s="8"/>
      <c r="K97" s="39" t="s">
        <v>37</v>
      </c>
      <c r="L97" s="12">
        <v>8589</v>
      </c>
      <c r="M97" s="41"/>
    </row>
    <row r="98" spans="1:13" ht="18" customHeight="1" x14ac:dyDescent="0.3">
      <c r="A98" s="4"/>
      <c r="B98" s="7" t="s">
        <v>49</v>
      </c>
      <c r="C98" s="8"/>
      <c r="D98" s="8"/>
      <c r="E98" s="39"/>
      <c r="F98" s="12"/>
      <c r="G98" s="39"/>
      <c r="H98" s="8" t="s">
        <v>50</v>
      </c>
      <c r="I98" s="8"/>
      <c r="J98" s="8"/>
      <c r="K98" s="39"/>
      <c r="L98" s="12">
        <v>292</v>
      </c>
      <c r="M98" s="9"/>
    </row>
    <row r="99" spans="1:13" ht="18" customHeight="1" x14ac:dyDescent="0.3">
      <c r="A99" s="4"/>
      <c r="B99" s="7" t="s">
        <v>51</v>
      </c>
      <c r="C99" s="8"/>
      <c r="D99" s="8"/>
      <c r="E99" s="10"/>
      <c r="F99" s="12">
        <v>225</v>
      </c>
      <c r="G99" s="39"/>
      <c r="H99" s="8" t="s">
        <v>52</v>
      </c>
      <c r="I99" s="8"/>
      <c r="J99" s="8"/>
      <c r="K99" s="10"/>
      <c r="L99" s="12">
        <v>4528</v>
      </c>
      <c r="M99" s="9"/>
    </row>
    <row r="100" spans="1:13" ht="18" customHeight="1" x14ac:dyDescent="0.3">
      <c r="A100" s="4"/>
      <c r="B100" s="7" t="s">
        <v>53</v>
      </c>
      <c r="C100" s="8"/>
      <c r="D100" s="8"/>
      <c r="E100" s="10"/>
      <c r="F100" s="12">
        <v>1056</v>
      </c>
      <c r="G100" s="39"/>
      <c r="H100" s="8" t="s">
        <v>54</v>
      </c>
      <c r="I100" s="8"/>
      <c r="J100" s="8"/>
      <c r="K100" s="39"/>
      <c r="L100" s="12">
        <v>733</v>
      </c>
      <c r="M100" s="9"/>
    </row>
    <row r="101" spans="1:13" ht="18" customHeight="1" x14ac:dyDescent="0.3">
      <c r="A101" s="4"/>
      <c r="B101" s="7" t="s">
        <v>55</v>
      </c>
      <c r="C101" s="8"/>
      <c r="D101" s="8"/>
      <c r="E101" s="10"/>
      <c r="F101" s="12">
        <v>603</v>
      </c>
      <c r="G101" s="39"/>
      <c r="H101" s="8" t="s">
        <v>56</v>
      </c>
      <c r="I101" s="8"/>
      <c r="J101" s="8"/>
      <c r="K101" s="10"/>
      <c r="L101" s="12">
        <v>198</v>
      </c>
      <c r="M101" s="41"/>
    </row>
    <row r="102" spans="1:13" ht="18" customHeight="1" x14ac:dyDescent="0.3">
      <c r="A102" s="4"/>
      <c r="B102" s="42" t="s">
        <v>57</v>
      </c>
      <c r="C102" s="24"/>
      <c r="D102" s="24"/>
      <c r="E102" s="23"/>
      <c r="F102" s="12">
        <v>25</v>
      </c>
      <c r="G102" s="23"/>
      <c r="H102" s="8" t="s">
        <v>58</v>
      </c>
      <c r="I102" s="8"/>
      <c r="J102" s="8"/>
      <c r="K102" s="10"/>
      <c r="L102" s="12">
        <v>1343</v>
      </c>
      <c r="M102" s="41"/>
    </row>
    <row r="103" spans="1:13" ht="18" customHeight="1" x14ac:dyDescent="0.3">
      <c r="A103" s="4"/>
      <c r="B103" s="7" t="s">
        <v>59</v>
      </c>
      <c r="C103" s="8"/>
      <c r="D103" s="8"/>
      <c r="E103" s="10"/>
      <c r="F103" s="12">
        <v>164</v>
      </c>
      <c r="G103" s="39"/>
      <c r="H103" s="8" t="s">
        <v>60</v>
      </c>
      <c r="I103" s="8"/>
      <c r="J103" s="8"/>
      <c r="K103" s="10"/>
      <c r="L103" s="12">
        <v>651</v>
      </c>
      <c r="M103" s="9"/>
    </row>
    <row r="104" spans="1:13" ht="18" customHeight="1" x14ac:dyDescent="0.3">
      <c r="A104" s="4"/>
      <c r="B104" s="7" t="s">
        <v>61</v>
      </c>
      <c r="C104" s="8"/>
      <c r="D104" s="8"/>
      <c r="E104" s="10"/>
      <c r="F104" s="12">
        <v>671</v>
      </c>
      <c r="G104" s="39"/>
      <c r="H104" s="8" t="s">
        <v>62</v>
      </c>
      <c r="I104" s="8"/>
      <c r="J104" s="8"/>
      <c r="K104" s="10"/>
      <c r="L104" s="12">
        <v>504</v>
      </c>
      <c r="M104" s="41"/>
    </row>
    <row r="105" spans="1:13" ht="18" customHeight="1" x14ac:dyDescent="0.3">
      <c r="A105" s="4"/>
      <c r="B105" s="7" t="s">
        <v>63</v>
      </c>
      <c r="C105" s="8"/>
      <c r="D105" s="8"/>
      <c r="E105" s="10"/>
      <c r="F105" s="12">
        <v>64</v>
      </c>
      <c r="G105" s="39"/>
      <c r="H105" s="8" t="s">
        <v>64</v>
      </c>
      <c r="I105" s="8"/>
      <c r="J105" s="8"/>
      <c r="K105" s="10"/>
      <c r="L105" s="12">
        <v>1156</v>
      </c>
      <c r="M105" s="41"/>
    </row>
    <row r="106" spans="1:13" ht="18" customHeight="1" x14ac:dyDescent="0.3">
      <c r="A106" s="4"/>
      <c r="B106" s="7" t="s">
        <v>65</v>
      </c>
      <c r="C106" s="8"/>
      <c r="D106" s="8"/>
      <c r="E106" s="10"/>
      <c r="F106" s="12">
        <v>220</v>
      </c>
      <c r="G106" s="39"/>
      <c r="H106" s="8" t="s">
        <v>66</v>
      </c>
      <c r="I106" s="8"/>
      <c r="J106" s="8"/>
      <c r="K106" s="10"/>
      <c r="L106" s="12">
        <v>1627</v>
      </c>
      <c r="M106" s="41"/>
    </row>
    <row r="107" spans="1:13" ht="18" customHeight="1" x14ac:dyDescent="0.3">
      <c r="A107" s="4"/>
      <c r="B107" s="7" t="s">
        <v>67</v>
      </c>
      <c r="C107" s="8"/>
      <c r="D107" s="8"/>
      <c r="E107" s="10"/>
      <c r="F107" s="12">
        <v>63</v>
      </c>
      <c r="G107" s="39"/>
      <c r="H107" s="8" t="s">
        <v>68</v>
      </c>
      <c r="I107" s="8"/>
      <c r="J107" s="8"/>
      <c r="K107" s="39"/>
      <c r="L107" s="12">
        <v>206</v>
      </c>
      <c r="M107" s="41"/>
    </row>
    <row r="108" spans="1:13" ht="18" customHeight="1" x14ac:dyDescent="0.3">
      <c r="A108" s="4"/>
      <c r="B108" s="7" t="s">
        <v>69</v>
      </c>
      <c r="C108" s="8"/>
      <c r="D108" s="8"/>
      <c r="E108" s="10"/>
      <c r="F108" s="12">
        <v>95</v>
      </c>
      <c r="G108" s="39"/>
      <c r="H108" s="8" t="s">
        <v>70</v>
      </c>
      <c r="I108" s="8"/>
      <c r="J108" s="8"/>
      <c r="K108" s="10"/>
      <c r="L108" s="12">
        <v>171599</v>
      </c>
      <c r="M108" s="41"/>
    </row>
    <row r="109" spans="1:13" ht="18" customHeight="1" x14ac:dyDescent="0.3">
      <c r="A109" s="4"/>
      <c r="B109" s="7" t="s">
        <v>71</v>
      </c>
      <c r="C109" s="8"/>
      <c r="D109" s="8"/>
      <c r="E109" s="10"/>
      <c r="F109" s="12">
        <v>196</v>
      </c>
      <c r="G109" s="39"/>
      <c r="H109" s="8" t="s">
        <v>72</v>
      </c>
      <c r="I109" s="8"/>
      <c r="J109" s="8"/>
      <c r="K109" s="10"/>
      <c r="L109" s="12"/>
      <c r="M109" s="41"/>
    </row>
    <row r="110" spans="1:13" ht="18" customHeight="1" x14ac:dyDescent="0.3">
      <c r="A110" s="4"/>
      <c r="B110" s="7" t="s">
        <v>73</v>
      </c>
      <c r="C110" s="8"/>
      <c r="D110" s="8"/>
      <c r="E110" s="10"/>
      <c r="F110" s="12">
        <v>96</v>
      </c>
      <c r="G110" s="39"/>
      <c r="H110" s="8" t="s">
        <v>74</v>
      </c>
      <c r="I110" s="8"/>
      <c r="J110" s="8"/>
      <c r="K110" s="39"/>
      <c r="L110" s="12">
        <v>0</v>
      </c>
      <c r="M110" s="41"/>
    </row>
    <row r="111" spans="1:13" ht="18" customHeight="1" x14ac:dyDescent="0.3">
      <c r="A111" s="4"/>
      <c r="B111" s="7" t="s">
        <v>75</v>
      </c>
      <c r="C111" s="8"/>
      <c r="D111" s="8"/>
      <c r="E111" s="10"/>
      <c r="F111" s="12">
        <v>33</v>
      </c>
      <c r="G111" s="39"/>
      <c r="H111" s="8" t="s">
        <v>76</v>
      </c>
      <c r="I111" s="8"/>
      <c r="J111" s="8"/>
      <c r="K111" s="10"/>
      <c r="L111" s="12">
        <v>0</v>
      </c>
      <c r="M111" s="41"/>
    </row>
    <row r="112" spans="1:13" ht="18" customHeight="1" x14ac:dyDescent="0.3">
      <c r="A112" s="4"/>
      <c r="B112" s="43" t="s">
        <v>77</v>
      </c>
      <c r="C112" s="44"/>
      <c r="D112" s="44"/>
      <c r="E112" s="45"/>
      <c r="F112" s="46">
        <v>65</v>
      </c>
      <c r="G112" s="44"/>
      <c r="H112" s="47"/>
      <c r="I112" s="48"/>
      <c r="J112" s="48"/>
      <c r="K112" s="47"/>
      <c r="L112" s="47"/>
      <c r="M112" s="49"/>
    </row>
    <row r="113" spans="1:13" ht="18" customHeight="1" x14ac:dyDescent="0.3">
      <c r="A113" s="4"/>
      <c r="B113" s="5"/>
      <c r="C113" s="6"/>
      <c r="D113" s="6"/>
      <c r="E113" s="50" t="s">
        <v>78</v>
      </c>
      <c r="F113" s="51" t="s">
        <v>79</v>
      </c>
      <c r="G113" s="5"/>
      <c r="H113" s="5"/>
      <c r="I113" s="6"/>
      <c r="J113" s="6"/>
      <c r="K113" s="50" t="s">
        <v>80</v>
      </c>
      <c r="L113" s="51" t="s">
        <v>81</v>
      </c>
      <c r="M113" s="5"/>
    </row>
  </sheetData>
  <mergeCells count="28">
    <mergeCell ref="H58:M58"/>
    <mergeCell ref="H62:M62"/>
    <mergeCell ref="H66:M66"/>
    <mergeCell ref="B52:G52"/>
    <mergeCell ref="B57:G57"/>
    <mergeCell ref="B21:G21"/>
    <mergeCell ref="H24:M24"/>
    <mergeCell ref="B26:G26"/>
    <mergeCell ref="H31:M31"/>
    <mergeCell ref="B32:G32"/>
    <mergeCell ref="B37:G37"/>
    <mergeCell ref="B48:G48"/>
    <mergeCell ref="H46:M46"/>
    <mergeCell ref="H51:M51"/>
    <mergeCell ref="B45:G45"/>
    <mergeCell ref="H19:M19"/>
    <mergeCell ref="B2:M2"/>
    <mergeCell ref="B3:G3"/>
    <mergeCell ref="H3:M3"/>
    <mergeCell ref="B14:G14"/>
    <mergeCell ref="B16:G16"/>
    <mergeCell ref="B91:G91"/>
    <mergeCell ref="B69:G69"/>
    <mergeCell ref="B81:G81"/>
    <mergeCell ref="H84:M84"/>
    <mergeCell ref="B84:G84"/>
    <mergeCell ref="H74:M74"/>
    <mergeCell ref="H77:M77"/>
  </mergeCells>
  <phoneticPr fontId="12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6775-54A3-794D-16D8-9096D6F0FDD8}">
  <dimension ref="A1:R160"/>
  <sheetViews>
    <sheetView topLeftCell="A136" workbookViewId="0">
      <selection activeCell="C151" sqref="C151"/>
    </sheetView>
  </sheetViews>
  <sheetFormatPr defaultRowHeight="14.25" customHeight="1" x14ac:dyDescent="0.25"/>
  <cols>
    <col min="1" max="1" width="17.453125" customWidth="1"/>
    <col min="10" max="10" width="19.54296875" customWidth="1"/>
    <col min="12" max="12" width="16.1796875" customWidth="1"/>
  </cols>
  <sheetData>
    <row r="1" spans="1:18" ht="14.25" customHeight="1" x14ac:dyDescent="0.25">
      <c r="A1" s="52" t="s">
        <v>82</v>
      </c>
      <c r="B1" s="52" t="s">
        <v>83</v>
      </c>
      <c r="C1" s="52">
        <v>0</v>
      </c>
      <c r="D1" s="52"/>
      <c r="E1" s="52"/>
      <c r="F1" s="52"/>
      <c r="G1" s="52"/>
      <c r="H1" s="52"/>
      <c r="I1" s="52"/>
      <c r="J1" s="52"/>
      <c r="K1" s="52"/>
      <c r="L1" s="52" t="s">
        <v>84</v>
      </c>
      <c r="M1" s="52"/>
      <c r="N1" s="52"/>
      <c r="O1" s="52"/>
      <c r="P1" s="52"/>
      <c r="Q1" s="52"/>
      <c r="R1" s="52"/>
    </row>
    <row r="2" spans="1:18" ht="14.25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ht="14.25" customHeight="1" x14ac:dyDescent="0.25">
      <c r="A3" s="52">
        <v>6101</v>
      </c>
      <c r="B3" s="52">
        <v>3.5897250000000001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 t="s">
        <v>79</v>
      </c>
      <c r="N3" s="52"/>
      <c r="O3" s="52"/>
      <c r="P3" s="52"/>
      <c r="Q3" s="52"/>
      <c r="R3" s="52"/>
    </row>
    <row r="4" spans="1:18" ht="14.25" customHeight="1" x14ac:dyDescent="0.25">
      <c r="A4" s="52">
        <v>6102</v>
      </c>
      <c r="B4" s="52">
        <v>9.6675039999999992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 spans="1:18" ht="14.25" customHeight="1" x14ac:dyDescent="0.25">
      <c r="A5" s="52">
        <v>6105</v>
      </c>
      <c r="B5" s="52">
        <v>4.4561970000000004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</row>
    <row r="6" spans="1:18" ht="14.25" customHeight="1" x14ac:dyDescent="0.25">
      <c r="A6" s="52">
        <v>6106</v>
      </c>
      <c r="B6" s="52">
        <v>10.552289999999999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</row>
    <row r="7" spans="1:18" ht="14.25" customHeight="1" x14ac:dyDescent="0.25">
      <c r="A7" s="52">
        <v>9501</v>
      </c>
      <c r="B7" s="52">
        <v>11.81396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</row>
    <row r="8" spans="1:18" ht="14.25" customHeight="1" x14ac:dyDescent="0.25">
      <c r="A8" s="52">
        <v>9502</v>
      </c>
      <c r="B8" s="52">
        <v>11.72607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</row>
    <row r="9" spans="1:18" ht="14.25" customHeight="1" x14ac:dyDescent="0.25">
      <c r="A9" s="52">
        <v>9503</v>
      </c>
      <c r="B9" s="52">
        <v>10.788180000000001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spans="1:18" ht="14.25" customHeight="1" x14ac:dyDescent="0.25">
      <c r="A10" s="52">
        <v>9510</v>
      </c>
      <c r="B10" s="52">
        <v>8.8796540000000004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</row>
    <row r="11" spans="1:18" ht="14.25" customHeight="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</row>
    <row r="12" spans="1:18" ht="14.25" customHeight="1" x14ac:dyDescent="0.25">
      <c r="A12" s="52">
        <v>6104</v>
      </c>
      <c r="B12" s="52">
        <v>2.622185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</row>
    <row r="13" spans="1:18" ht="14.25" customHeight="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</row>
    <row r="14" spans="1:18" ht="14.25" customHeight="1" x14ac:dyDescent="0.25">
      <c r="A14" s="52">
        <v>6201</v>
      </c>
      <c r="B14" s="52">
        <v>4.6131080000000004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</row>
    <row r="15" spans="1:18" ht="14.25" customHeight="1" x14ac:dyDescent="0.25">
      <c r="A15" s="52">
        <v>6202</v>
      </c>
      <c r="B15" s="52">
        <v>2.7545359999999999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</row>
    <row r="16" spans="1:18" ht="14.25" customHeight="1" x14ac:dyDescent="0.25">
      <c r="A16" s="52">
        <v>6204</v>
      </c>
      <c r="B16" s="52">
        <v>7.0671309999999998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ht="14.25" customHeight="1" x14ac:dyDescent="0.25">
      <c r="A17" s="52">
        <v>6205</v>
      </c>
      <c r="B17" s="52">
        <v>6.9055239999999998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spans="1:18" ht="14.25" customHeight="1" x14ac:dyDescent="0.25">
      <c r="A18" s="52">
        <v>9505</v>
      </c>
      <c r="B18" s="52">
        <v>7.9379679999999997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</row>
    <row r="19" spans="1:18" ht="14.25" customHeight="1" x14ac:dyDescent="0.25">
      <c r="A19" s="52">
        <v>9506</v>
      </c>
      <c r="B19" s="52">
        <v>10.848649999999999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</row>
    <row r="20" spans="1:18" ht="14.25" customHeight="1" x14ac:dyDescent="0.25">
      <c r="A20" s="52">
        <v>9507</v>
      </c>
      <c r="B20" s="52">
        <v>7.2142600000000003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</row>
    <row r="21" spans="1:18" ht="14.25" customHeight="1" x14ac:dyDescent="0.25">
      <c r="A21" s="52">
        <v>9508</v>
      </c>
      <c r="B21" s="52">
        <v>6.7358419999999999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</row>
    <row r="22" spans="1:18" ht="14.25" customHeight="1" x14ac:dyDescent="0.25">
      <c r="A22" s="52">
        <v>23601</v>
      </c>
      <c r="B22" s="52">
        <v>14.735910000000001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</row>
    <row r="23" spans="1:18" ht="14.25" customHeight="1" x14ac:dyDescent="0.25">
      <c r="A23" s="52">
        <v>23602</v>
      </c>
      <c r="B23" s="52">
        <v>10.95729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</row>
    <row r="24" spans="1:18" ht="14.25" customHeight="1" x14ac:dyDescent="0.25">
      <c r="A24" s="52">
        <v>23603</v>
      </c>
      <c r="B24" s="52">
        <v>11.242380000000001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</row>
    <row r="25" spans="1:18" ht="14.25" customHeight="1" x14ac:dyDescent="0.25">
      <c r="A25" s="52">
        <v>23604</v>
      </c>
      <c r="B25" s="52">
        <v>4.2315509999999996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</row>
    <row r="26" spans="1:18" ht="14.25" customHeight="1" x14ac:dyDescent="0.25">
      <c r="A26" s="52">
        <v>6203</v>
      </c>
      <c r="B26" s="52">
        <v>0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 spans="1:18" ht="14.25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spans="1:18" ht="14.25" customHeight="1" x14ac:dyDescent="0.25">
      <c r="A28" s="52">
        <v>6103</v>
      </c>
      <c r="B28" s="52">
        <v>3.4313410000000002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spans="1:18" ht="14.25" customHeight="1" x14ac:dyDescent="0.25">
      <c r="A29" s="52">
        <v>9504</v>
      </c>
      <c r="B29" s="52">
        <v>3.3894690000000001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spans="1:18" ht="14.25" customHeight="1" x14ac:dyDescent="0.25">
      <c r="A30" s="52">
        <v>9509</v>
      </c>
      <c r="B30" s="52">
        <v>2.880814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ht="14.25" customHeigh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spans="1:18" ht="14.25" customHeight="1" x14ac:dyDescent="0.25">
      <c r="A32" s="52">
        <v>6801</v>
      </c>
      <c r="B32" s="52">
        <v>7.1707299999999998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spans="1:18" ht="14.25" customHeight="1" x14ac:dyDescent="0.25">
      <c r="A33" s="52">
        <v>6802</v>
      </c>
      <c r="B33" s="52">
        <v>2.9591940000000001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spans="1:18" ht="14.25" customHeight="1" x14ac:dyDescent="0.25">
      <c r="A34" s="52">
        <v>6803</v>
      </c>
      <c r="B34" s="52">
        <v>15.08297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spans="1:18" ht="14.25" customHeight="1" x14ac:dyDescent="0.25">
      <c r="A35" s="52">
        <v>6804</v>
      </c>
      <c r="B35" s="52">
        <v>11.9147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1:18" ht="14.25" customHeight="1" x14ac:dyDescent="0.2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spans="1:18" ht="14.25" customHeight="1" x14ac:dyDescent="0.25">
      <c r="A37" s="52">
        <v>9527</v>
      </c>
      <c r="B37" s="52">
        <v>7.3302779999999998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 t="s">
        <v>85</v>
      </c>
      <c r="O37" s="52"/>
      <c r="P37" s="52"/>
      <c r="Q37" s="52"/>
      <c r="R37" s="52"/>
    </row>
    <row r="38" spans="1:18" ht="14.25" customHeight="1" x14ac:dyDescent="0.25">
      <c r="A38" s="52">
        <v>9528</v>
      </c>
      <c r="B38" s="52">
        <v>5.9471259999999999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spans="1:18" ht="14.25" customHeight="1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1:18" ht="14.25" customHeight="1" x14ac:dyDescent="0.25">
      <c r="A40" s="52">
        <v>9511</v>
      </c>
      <c r="B40" s="52">
        <v>10.02477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spans="1:18" ht="14.25" customHeight="1" x14ac:dyDescent="0.25">
      <c r="A41" s="52">
        <v>9514</v>
      </c>
      <c r="B41" s="52">
        <v>12.29096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spans="1:18" ht="14.25" customHeight="1" x14ac:dyDescent="0.25">
      <c r="A42" s="52">
        <v>9516</v>
      </c>
      <c r="B42" s="52">
        <v>8.4579369999999994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spans="1:18" ht="14.25" customHeight="1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1:18" ht="14.25" customHeight="1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spans="1:18" ht="14.25" customHeight="1" x14ac:dyDescent="0.25">
      <c r="A45" s="52">
        <v>801</v>
      </c>
      <c r="B45" s="52">
        <v>13.09319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spans="1:18" ht="14.25" customHeight="1" x14ac:dyDescent="0.25">
      <c r="A46" s="52">
        <v>802</v>
      </c>
      <c r="B46" s="52">
        <v>13.090999999999999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spans="1:18" ht="14.25" customHeight="1" x14ac:dyDescent="0.25">
      <c r="A47" s="52">
        <v>803</v>
      </c>
      <c r="B47" s="52">
        <v>9.6450049999999994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1:18" ht="14.25" customHeight="1" x14ac:dyDescent="0.25">
      <c r="A48" s="52">
        <v>804</v>
      </c>
      <c r="B48" s="52">
        <v>9.1552690000000005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spans="1:18" ht="14.25" customHeight="1" x14ac:dyDescent="0.25">
      <c r="A49" s="52">
        <v>810</v>
      </c>
      <c r="B49" s="52">
        <v>2.6111390000000001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spans="1:18" ht="14.25" customHeight="1" x14ac:dyDescent="0.25">
      <c r="A50" s="52">
        <v>811</v>
      </c>
      <c r="B50" s="52">
        <v>3.4168419999999999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spans="1:18" ht="14.25" customHeight="1" x14ac:dyDescent="0.25">
      <c r="A51" s="52">
        <v>812</v>
      </c>
      <c r="B51" s="52">
        <v>2.679999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1:18" ht="14.25" customHeight="1" x14ac:dyDescent="0.25">
      <c r="A52" s="52">
        <v>813</v>
      </c>
      <c r="B52" s="52">
        <v>10.886240000000001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spans="1:18" ht="14.25" customHeight="1" x14ac:dyDescent="0.25">
      <c r="A53" s="52">
        <v>818</v>
      </c>
      <c r="B53" s="52">
        <v>12.11238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spans="1:18" ht="14.25" customHeight="1" x14ac:dyDescent="0.25">
      <c r="A54" s="52">
        <v>819</v>
      </c>
      <c r="B54" s="52">
        <v>12.142989999999999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spans="1:18" ht="14.25" customHeight="1" x14ac:dyDescent="0.25">
      <c r="A55" s="52">
        <v>26103</v>
      </c>
      <c r="B55" s="52">
        <v>5.8790319999999996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1:18" ht="14.25" customHeight="1" x14ac:dyDescent="0.25">
      <c r="A56" s="52">
        <v>26104</v>
      </c>
      <c r="B56" s="52">
        <v>7.0499140000000002</v>
      </c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spans="1:18" ht="14.25" customHeight="1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spans="1:18" ht="14.25" customHeight="1" x14ac:dyDescent="0.25">
      <c r="A58" s="52">
        <v>9513</v>
      </c>
      <c r="B58" s="52">
        <v>7.6167400000000001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spans="1:18" ht="14.25" customHeight="1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1:18" ht="14.25" customHeight="1" x14ac:dyDescent="0.25">
      <c r="A60" s="52">
        <v>24903</v>
      </c>
      <c r="B60" s="52">
        <v>3.1603970000000001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spans="1:18" ht="14.25" customHeight="1" x14ac:dyDescent="0.25">
      <c r="A61" s="52">
        <v>24904</v>
      </c>
      <c r="B61" s="52">
        <v>4.9081279999999996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spans="1:18" ht="14.25" customHeight="1" x14ac:dyDescent="0.25">
      <c r="A62" s="52">
        <v>24905</v>
      </c>
      <c r="B62" s="52">
        <v>3.3117269999999999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spans="1:18" ht="14.25" customHeight="1" x14ac:dyDescent="0.25">
      <c r="A63" s="52">
        <v>9512</v>
      </c>
      <c r="B63" s="52">
        <v>9.9233670000000007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1:18" ht="14.25" customHeight="1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spans="1:18" ht="14.25" customHeight="1" x14ac:dyDescent="0.25">
      <c r="A65" s="52">
        <v>9525</v>
      </c>
      <c r="B65" s="52">
        <v>12.268940000000001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spans="1:18" ht="14.25" customHeight="1" x14ac:dyDescent="0.25">
      <c r="A66" s="52">
        <v>9526</v>
      </c>
      <c r="B66" s="52">
        <v>3.373777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spans="1:18" ht="14.25" customHeight="1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1:18" ht="14.25" customHeight="1" x14ac:dyDescent="0.25">
      <c r="A68" s="52">
        <v>26105</v>
      </c>
      <c r="B68" s="52">
        <v>14.27581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spans="1:18" ht="14.25" customHeight="1" x14ac:dyDescent="0.25">
      <c r="A69" s="52">
        <v>26106</v>
      </c>
      <c r="B69" s="52">
        <v>14.781779999999999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spans="1:18" ht="14.25" customHeight="1" x14ac:dyDescent="0.25">
      <c r="A70" s="52">
        <v>26107</v>
      </c>
      <c r="B70" s="52">
        <v>13.781739999999999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spans="1:18" ht="14.25" customHeight="1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1:18" ht="14.25" customHeight="1" x14ac:dyDescent="0.25">
      <c r="A72" s="52">
        <v>9515</v>
      </c>
      <c r="B72" s="52">
        <v>3.2971210000000002</v>
      </c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spans="1:18" ht="14.25" customHeight="1" x14ac:dyDescent="0.25">
      <c r="A73" s="52">
        <v>9529</v>
      </c>
      <c r="B73" s="52">
        <v>12.22054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spans="1:18" ht="14.25" customHeight="1" x14ac:dyDescent="0.25">
      <c r="A74" s="52">
        <v>9530</v>
      </c>
      <c r="B74" s="52">
        <v>11.839919999999999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spans="1:18" ht="14.25" customHeight="1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1:18" ht="14.25" customHeight="1" x14ac:dyDescent="0.25">
      <c r="A76" s="52">
        <v>2101</v>
      </c>
      <c r="B76" s="52">
        <v>9.2861940000000001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spans="1:18" ht="14.25" customHeight="1" x14ac:dyDescent="0.25">
      <c r="A77" s="52">
        <v>2102</v>
      </c>
      <c r="B77" s="52">
        <v>7.4799800000000003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spans="1:18" ht="14.25" customHeight="1" x14ac:dyDescent="0.25">
      <c r="A78" s="52">
        <v>2103</v>
      </c>
      <c r="B78" s="52">
        <v>4.8218880000000004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spans="1:18" ht="14.25" customHeight="1" x14ac:dyDescent="0.25">
      <c r="A79" s="52">
        <v>2104</v>
      </c>
      <c r="B79" s="52">
        <v>3.6998869999999999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1:18" ht="14.25" customHeight="1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spans="1:18" ht="14.25" customHeight="1" x14ac:dyDescent="0.25">
      <c r="A81" s="52">
        <v>806</v>
      </c>
      <c r="B81" s="52">
        <v>5.0784339999999997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spans="1:18" ht="14.25" customHeight="1" x14ac:dyDescent="0.25">
      <c r="A82" s="52">
        <v>807</v>
      </c>
      <c r="B82" s="52">
        <v>10.79557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spans="1:18" ht="14.25" customHeight="1" x14ac:dyDescent="0.25">
      <c r="A83" s="52">
        <v>808</v>
      </c>
      <c r="B83" s="52">
        <v>0</v>
      </c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1:18" ht="14.25" customHeight="1" x14ac:dyDescent="0.25">
      <c r="A84" s="52">
        <v>809</v>
      </c>
      <c r="B84" s="52">
        <v>0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spans="1:18" ht="14.25" customHeight="1" x14ac:dyDescent="0.25">
      <c r="A85" s="52">
        <v>821</v>
      </c>
      <c r="B85" s="52">
        <v>11.680870000000001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spans="1:18" ht="14.25" customHeight="1" x14ac:dyDescent="0.25">
      <c r="A86" s="52">
        <v>824</v>
      </c>
      <c r="B86" s="52">
        <v>17.516500000000001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spans="1:18" ht="14.25" customHeight="1" x14ac:dyDescent="0.25">
      <c r="A87" s="52">
        <v>825</v>
      </c>
      <c r="B87" s="52">
        <v>14.84857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1:18" ht="14.25" customHeight="1" x14ac:dyDescent="0.25">
      <c r="A88" s="52">
        <v>826</v>
      </c>
      <c r="B88" s="52">
        <v>7.3085129999999996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spans="1:18" ht="14.25" customHeight="1" x14ac:dyDescent="0.25">
      <c r="A89" s="52">
        <v>26101</v>
      </c>
      <c r="B89" s="52">
        <v>4.8238589999999997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spans="1:18" ht="14.25" customHeight="1" x14ac:dyDescent="0.25">
      <c r="A90" s="52">
        <v>815</v>
      </c>
      <c r="B90" s="52">
        <v>4.6854149999999999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spans="1:18" ht="14.25" customHeight="1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1:18" ht="14.25" customHeight="1" x14ac:dyDescent="0.25">
      <c r="A92" s="52">
        <v>2105</v>
      </c>
      <c r="B92" s="52">
        <v>4.4296870000000004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spans="1:18" ht="14.25" customHeight="1" x14ac:dyDescent="0.25">
      <c r="A93" s="52">
        <v>2106</v>
      </c>
      <c r="B93" s="52">
        <v>3.5815049999999999</v>
      </c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spans="1:18" ht="14.25" customHeight="1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spans="1:18" ht="14.25" customHeight="1" x14ac:dyDescent="0.25">
      <c r="A95" s="52">
        <v>814</v>
      </c>
      <c r="B95" s="52">
        <v>9.9146479999999997</v>
      </c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1:18" ht="14.25" customHeight="1" x14ac:dyDescent="0.25">
      <c r="A96" s="52">
        <v>816</v>
      </c>
      <c r="B96" s="52">
        <v>2.9001410000000001</v>
      </c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spans="1:18" ht="14.25" customHeight="1" x14ac:dyDescent="0.25">
      <c r="A97" s="52">
        <v>817</v>
      </c>
      <c r="B97" s="52">
        <v>2.6825540000000001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spans="1:18" ht="14.25" customHeight="1" x14ac:dyDescent="0.25">
      <c r="A98" s="52">
        <v>822</v>
      </c>
      <c r="B98" s="52">
        <v>5.6521319999999999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spans="1:18" ht="14.25" customHeight="1" x14ac:dyDescent="0.25">
      <c r="A99" s="52">
        <v>823</v>
      </c>
      <c r="B99" s="52">
        <v>5.5483010000000004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1:18" ht="14.25" customHeight="1" x14ac:dyDescent="0.25">
      <c r="A100" s="52">
        <v>26102</v>
      </c>
      <c r="B100" s="52">
        <v>5.8253050000000002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spans="1:18" ht="14.25" customHeight="1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spans="1:18" ht="14.25" customHeight="1" x14ac:dyDescent="0.25">
      <c r="A102" s="52">
        <v>2107</v>
      </c>
      <c r="B102" s="52">
        <v>7.8473319999999998</v>
      </c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spans="1:18" ht="14.25" customHeight="1" x14ac:dyDescent="0.25">
      <c r="A103" s="52">
        <v>2108</v>
      </c>
      <c r="B103" s="52">
        <v>8.1562470000000005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1:18" ht="14.25" customHeight="1" x14ac:dyDescent="0.25">
      <c r="A104" s="52">
        <v>2109</v>
      </c>
      <c r="B104" s="52">
        <v>7.2373960000000004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spans="1:18" ht="14.25" customHeight="1" x14ac:dyDescent="0.25">
      <c r="A105" s="52">
        <v>2110</v>
      </c>
      <c r="B105" s="52">
        <v>8.6571200000000008</v>
      </c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spans="1:18" ht="14.25" customHeight="1" x14ac:dyDescent="0.25">
      <c r="A106" s="52">
        <v>2113</v>
      </c>
      <c r="B106" s="52">
        <v>3.9734080000000001</v>
      </c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spans="1:18" ht="14.25" customHeight="1" x14ac:dyDescent="0.25">
      <c r="A107" s="52">
        <v>2114</v>
      </c>
      <c r="B107" s="52">
        <v>3.1546850000000002</v>
      </c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1:18" ht="14.25" customHeight="1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spans="1:18" ht="14.25" customHeight="1" x14ac:dyDescent="0.25">
      <c r="A109" s="52">
        <v>2115</v>
      </c>
      <c r="B109" s="52">
        <v>3.683322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spans="1:18" ht="14.25" customHeight="1" x14ac:dyDescent="0.25">
      <c r="A110" s="52">
        <v>2116</v>
      </c>
      <c r="B110" s="52">
        <v>4.5715130000000004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spans="1:18" ht="14.25" customHeight="1" x14ac:dyDescent="0.25">
      <c r="A111" s="52">
        <v>2117</v>
      </c>
      <c r="B111" s="52">
        <v>3.2783370000000001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1:18" ht="14.25" customHeight="1" x14ac:dyDescent="0.25">
      <c r="A112" s="52">
        <v>2118</v>
      </c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spans="1:18" ht="14.25" customHeight="1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spans="1:18" ht="14.25" customHeight="1" x14ac:dyDescent="0.25">
      <c r="A114" s="52" t="s">
        <v>27</v>
      </c>
      <c r="B114" s="52">
        <v>6826.8040000000001</v>
      </c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spans="1:18" ht="14.25" customHeight="1" x14ac:dyDescent="0.25">
      <c r="A115" s="52" t="s">
        <v>28</v>
      </c>
      <c r="B115" s="52">
        <v>7837.3370000000004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1:18" ht="14.25" customHeight="1" x14ac:dyDescent="0.25">
      <c r="A116" s="52"/>
      <c r="B116" s="52">
        <v>7837.3370000000004</v>
      </c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spans="1:18" ht="14.25" customHeight="1" x14ac:dyDescent="0.25">
      <c r="A117" s="52" t="s">
        <v>33</v>
      </c>
      <c r="B117" s="52">
        <v>6394.3779999999997</v>
      </c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spans="1:18" ht="14.25" customHeight="1" x14ac:dyDescent="0.25">
      <c r="A118" s="52" t="s">
        <v>34</v>
      </c>
      <c r="B118" s="52">
        <v>3508.7849999999999</v>
      </c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spans="1:18" ht="14.25" customHeight="1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1:18" ht="14.25" customHeight="1" x14ac:dyDescent="0.25">
      <c r="A120" s="52">
        <v>24901</v>
      </c>
      <c r="B120" s="52">
        <v>6.8017300000000001</v>
      </c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spans="1:18" ht="14.25" customHeight="1" x14ac:dyDescent="0.25">
      <c r="A121" s="52">
        <v>24902</v>
      </c>
      <c r="B121" s="52">
        <v>6.3124589999999996</v>
      </c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spans="1:18" ht="14.25" customHeight="1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spans="1:18" ht="14.25" customHeight="1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1:18" ht="14.25" customHeight="1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3" t="s">
        <v>35</v>
      </c>
      <c r="K124" s="52">
        <f>IFERROR(SUM(L124:R124),0)</f>
        <v>14688</v>
      </c>
      <c r="L124" s="52">
        <v>0</v>
      </c>
      <c r="M124" s="52">
        <v>14688</v>
      </c>
      <c r="N124" s="52">
        <v>0</v>
      </c>
      <c r="O124" s="52">
        <v>0</v>
      </c>
      <c r="P124" s="52">
        <v>0</v>
      </c>
      <c r="Q124" s="52">
        <v>0</v>
      </c>
      <c r="R124" s="52">
        <v>0</v>
      </c>
    </row>
    <row r="125" spans="1:18" ht="14.25" customHeight="1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3" t="s">
        <v>36</v>
      </c>
      <c r="K125" s="52">
        <f>IFERROR(ROUND(M124,0),0)</f>
        <v>14688</v>
      </c>
      <c r="L125" s="52"/>
      <c r="M125" s="52"/>
      <c r="N125" s="52"/>
      <c r="O125" s="52"/>
      <c r="P125" s="52"/>
      <c r="Q125" s="52"/>
      <c r="R125" s="52"/>
    </row>
    <row r="126" spans="1:18" ht="14.25" customHeight="1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3" t="s">
        <v>39</v>
      </c>
      <c r="K126" s="52">
        <f>IFERROR(ROUND(L124,0),0)</f>
        <v>0</v>
      </c>
      <c r="L126" s="52"/>
      <c r="M126" s="52"/>
      <c r="N126" s="52"/>
      <c r="O126" s="52"/>
      <c r="P126" s="52"/>
      <c r="Q126" s="52"/>
      <c r="R126" s="52"/>
    </row>
    <row r="127" spans="1:18" ht="14.25" customHeight="1" x14ac:dyDescent="0.25">
      <c r="A127" s="52" t="s">
        <v>44</v>
      </c>
      <c r="B127" s="52" t="s">
        <v>86</v>
      </c>
      <c r="C127" s="52"/>
      <c r="D127" s="52"/>
      <c r="E127" s="52"/>
      <c r="F127" s="52"/>
      <c r="G127" s="52"/>
      <c r="H127" s="52"/>
      <c r="I127" s="52"/>
      <c r="J127" s="53" t="s">
        <v>41</v>
      </c>
      <c r="K127" s="52"/>
      <c r="L127" s="52"/>
      <c r="M127" s="52"/>
      <c r="N127" s="52"/>
      <c r="O127" s="52"/>
      <c r="P127" s="52"/>
      <c r="Q127" s="52"/>
      <c r="R127" s="52"/>
    </row>
    <row r="128" spans="1:18" ht="14.25" customHeight="1" x14ac:dyDescent="0.25">
      <c r="A128" s="52" t="s">
        <v>47</v>
      </c>
      <c r="B128" s="52" t="s">
        <v>86</v>
      </c>
      <c r="C128" s="52"/>
      <c r="D128" s="52"/>
      <c r="E128" s="52"/>
      <c r="F128" s="52"/>
      <c r="G128" s="52"/>
      <c r="H128" s="52"/>
      <c r="I128" s="52"/>
      <c r="J128" s="53" t="s">
        <v>42</v>
      </c>
      <c r="K128" s="52"/>
      <c r="L128" s="52"/>
      <c r="M128" s="52"/>
      <c r="N128" s="52"/>
      <c r="O128" s="52"/>
      <c r="P128" s="52"/>
      <c r="Q128" s="52"/>
      <c r="R128" s="52"/>
    </row>
    <row r="129" spans="1:18" ht="14.25" customHeight="1" x14ac:dyDescent="0.25">
      <c r="A129" s="52" t="s">
        <v>87</v>
      </c>
      <c r="B129" s="52"/>
      <c r="C129" s="52"/>
      <c r="D129" s="52"/>
      <c r="E129" s="52"/>
      <c r="F129" s="52"/>
      <c r="G129" s="52"/>
      <c r="H129" s="52"/>
      <c r="I129" s="52"/>
      <c r="J129" s="53" t="s">
        <v>43</v>
      </c>
      <c r="K129" s="52">
        <f>IFERROR(SUM(L129,M129),0)</f>
        <v>16826</v>
      </c>
      <c r="L129" s="52">
        <v>7325</v>
      </c>
      <c r="M129" s="52">
        <v>9501</v>
      </c>
      <c r="N129" s="52"/>
      <c r="O129" s="52"/>
      <c r="P129" s="52"/>
      <c r="Q129" s="52"/>
      <c r="R129" s="52"/>
    </row>
    <row r="130" spans="1:18" ht="14.25" customHeight="1" x14ac:dyDescent="0.25">
      <c r="A130" s="52" t="s">
        <v>88</v>
      </c>
      <c r="B130" s="52"/>
      <c r="C130" s="52"/>
      <c r="D130" s="52"/>
      <c r="E130" s="52"/>
      <c r="F130" s="52"/>
      <c r="G130" s="52"/>
      <c r="H130" s="52"/>
      <c r="I130" s="52"/>
      <c r="J130" s="53" t="s">
        <v>46</v>
      </c>
      <c r="K130" s="52">
        <f>IFERROR(SUM(L130:O130),0)</f>
        <v>8867</v>
      </c>
      <c r="L130" s="52">
        <v>2809</v>
      </c>
      <c r="M130" s="52">
        <v>10</v>
      </c>
      <c r="N130" s="52">
        <v>48</v>
      </c>
      <c r="O130" s="52">
        <v>6000</v>
      </c>
      <c r="P130" s="52"/>
      <c r="Q130" s="52"/>
      <c r="R130" s="52"/>
    </row>
    <row r="131" spans="1:18" ht="14.25" customHeight="1" x14ac:dyDescent="0.25">
      <c r="A131" s="52" t="s">
        <v>89</v>
      </c>
      <c r="B131" s="52">
        <f t="shared" ref="B131:B136" si="0">IFERROR(SUM(C131),0)</f>
        <v>0</v>
      </c>
      <c r="C131" s="52">
        <v>0</v>
      </c>
      <c r="D131" s="52"/>
      <c r="E131" s="52"/>
      <c r="F131" s="52"/>
      <c r="G131" s="52"/>
      <c r="H131" s="52"/>
      <c r="I131" s="52"/>
      <c r="J131" s="53" t="s">
        <v>48</v>
      </c>
      <c r="K131" s="52">
        <f>IFERROR(SUM(L131,M131),0)</f>
        <v>8589</v>
      </c>
      <c r="L131" s="52">
        <v>3741</v>
      </c>
      <c r="M131" s="52">
        <v>4848</v>
      </c>
      <c r="N131" s="52"/>
      <c r="O131" s="52"/>
      <c r="P131" s="52"/>
      <c r="Q131" s="52"/>
      <c r="R131" s="52"/>
    </row>
    <row r="132" spans="1:18" ht="14.25" customHeight="1" x14ac:dyDescent="0.25">
      <c r="A132" s="52" t="s">
        <v>51</v>
      </c>
      <c r="B132" s="52">
        <f t="shared" si="0"/>
        <v>225</v>
      </c>
      <c r="C132" s="52">
        <v>225</v>
      </c>
      <c r="D132" s="52"/>
      <c r="E132" s="52"/>
      <c r="F132" s="52"/>
      <c r="G132" s="52"/>
      <c r="H132" s="52"/>
      <c r="I132" s="52"/>
      <c r="J132" s="53" t="s">
        <v>50</v>
      </c>
      <c r="K132" s="52">
        <f>IFERROR(SUM(L132),0)</f>
        <v>292</v>
      </c>
      <c r="L132" s="52">
        <v>292</v>
      </c>
      <c r="M132" s="52"/>
      <c r="N132" s="52"/>
      <c r="O132" s="52"/>
      <c r="P132" s="52"/>
      <c r="Q132" s="52"/>
      <c r="R132" s="52"/>
    </row>
    <row r="133" spans="1:18" ht="14.25" customHeight="1" x14ac:dyDescent="0.25">
      <c r="A133" s="52" t="s">
        <v>53</v>
      </c>
      <c r="B133" s="52">
        <f t="shared" si="0"/>
        <v>1056</v>
      </c>
      <c r="C133" s="52">
        <v>1056</v>
      </c>
      <c r="D133" s="52"/>
      <c r="E133" s="52"/>
      <c r="F133" s="52"/>
      <c r="G133" s="52"/>
      <c r="H133" s="52"/>
      <c r="I133" s="52"/>
      <c r="J133" s="53" t="s">
        <v>52</v>
      </c>
      <c r="K133" s="52">
        <f>IFERROR(SUM(L133:M133),0)</f>
        <v>4528</v>
      </c>
      <c r="L133" s="52">
        <v>2037</v>
      </c>
      <c r="M133" s="52">
        <v>2491</v>
      </c>
      <c r="N133" s="52"/>
      <c r="O133" s="52"/>
      <c r="P133" s="52"/>
      <c r="Q133" s="52"/>
      <c r="R133" s="52"/>
    </row>
    <row r="134" spans="1:18" ht="14.25" customHeight="1" x14ac:dyDescent="0.25">
      <c r="A134" s="52" t="s">
        <v>59</v>
      </c>
      <c r="B134" s="52">
        <f t="shared" si="0"/>
        <v>164</v>
      </c>
      <c r="C134" s="52">
        <v>164</v>
      </c>
      <c r="D134" s="52"/>
      <c r="E134" s="52"/>
      <c r="F134" s="52"/>
      <c r="G134" s="52"/>
      <c r="H134" s="52"/>
      <c r="I134" s="52"/>
      <c r="J134" s="53" t="s">
        <v>54</v>
      </c>
      <c r="K134" s="52">
        <f>IFERROR(SUM(L134),0)</f>
        <v>733</v>
      </c>
      <c r="L134" s="52">
        <v>733</v>
      </c>
      <c r="M134" s="52"/>
      <c r="N134" s="52"/>
      <c r="O134" s="52"/>
      <c r="P134" s="52"/>
      <c r="Q134" s="52"/>
      <c r="R134" s="52"/>
    </row>
    <row r="135" spans="1:18" ht="14.25" customHeight="1" x14ac:dyDescent="0.25">
      <c r="A135" s="52" t="s">
        <v>67</v>
      </c>
      <c r="B135" s="52">
        <f t="shared" si="0"/>
        <v>63</v>
      </c>
      <c r="C135" s="52">
        <v>63</v>
      </c>
      <c r="D135" s="52"/>
      <c r="E135" s="52"/>
      <c r="F135" s="52"/>
      <c r="G135" s="52"/>
      <c r="H135" s="52"/>
      <c r="I135" s="52"/>
      <c r="J135" s="53" t="s">
        <v>56</v>
      </c>
      <c r="K135" s="52">
        <f>IFERROR(SUM(L135),0)</f>
        <v>198</v>
      </c>
      <c r="L135" s="52">
        <v>198</v>
      </c>
      <c r="M135" s="52"/>
      <c r="N135" s="52"/>
      <c r="O135" s="52"/>
      <c r="P135" s="52"/>
      <c r="Q135" s="52"/>
      <c r="R135" s="52"/>
    </row>
    <row r="136" spans="1:18" ht="14.25" customHeight="1" x14ac:dyDescent="0.25">
      <c r="A136" s="52" t="s">
        <v>74</v>
      </c>
      <c r="B136" s="52">
        <f t="shared" si="0"/>
        <v>0</v>
      </c>
      <c r="C136" s="52">
        <v>0</v>
      </c>
      <c r="D136" s="52"/>
      <c r="E136" s="52"/>
      <c r="F136" s="52"/>
      <c r="G136" s="52"/>
      <c r="H136" s="52"/>
      <c r="I136" s="52"/>
      <c r="J136" s="53" t="s">
        <v>58</v>
      </c>
      <c r="K136" s="52">
        <f>IFERROR(SUM(L136:M136),0)</f>
        <v>1343</v>
      </c>
      <c r="L136" s="52">
        <v>262</v>
      </c>
      <c r="M136" s="52">
        <v>1081</v>
      </c>
      <c r="N136" s="52"/>
      <c r="O136" s="52"/>
      <c r="P136" s="52"/>
      <c r="Q136" s="52"/>
      <c r="R136" s="52"/>
    </row>
    <row r="137" spans="1:18" ht="14.25" customHeight="1" x14ac:dyDescent="0.25">
      <c r="A137" s="52" t="s">
        <v>90</v>
      </c>
      <c r="B137" s="52"/>
      <c r="C137" s="52"/>
      <c r="D137" s="52"/>
      <c r="E137" s="52"/>
      <c r="F137" s="52"/>
      <c r="G137" s="52"/>
      <c r="H137" s="52"/>
      <c r="I137" s="52"/>
      <c r="J137" s="53" t="s">
        <v>60</v>
      </c>
      <c r="K137" s="52">
        <f>IFERROR(SUM(L137:M137),0)</f>
        <v>651</v>
      </c>
      <c r="L137" s="52">
        <v>196</v>
      </c>
      <c r="M137" s="52">
        <v>455</v>
      </c>
      <c r="N137" s="52"/>
      <c r="O137" s="52"/>
      <c r="P137" s="52"/>
      <c r="Q137" s="52"/>
      <c r="R137" s="52"/>
    </row>
    <row r="138" spans="1:18" ht="14.25" customHeight="1" x14ac:dyDescent="0.25">
      <c r="A138" s="52" t="s">
        <v>76</v>
      </c>
      <c r="B138" s="52">
        <f>IFERROR(SUM(C138),0)</f>
        <v>0</v>
      </c>
      <c r="C138" s="52">
        <v>0</v>
      </c>
      <c r="D138" s="52"/>
      <c r="E138" s="52"/>
      <c r="F138" s="52"/>
      <c r="G138" s="52"/>
      <c r="H138" s="52"/>
      <c r="I138" s="52"/>
      <c r="J138" s="53" t="s">
        <v>62</v>
      </c>
      <c r="K138" s="52">
        <f>IFERROR(SUM(L138),0)</f>
        <v>504</v>
      </c>
      <c r="L138" s="52">
        <v>504</v>
      </c>
      <c r="M138" s="52"/>
      <c r="N138" s="52"/>
      <c r="O138" s="52"/>
      <c r="P138" s="52"/>
      <c r="Q138" s="52"/>
      <c r="R138" s="52"/>
    </row>
    <row r="139" spans="1:18" ht="14.25" customHeight="1" x14ac:dyDescent="0.25">
      <c r="A139" s="52" t="s">
        <v>71</v>
      </c>
      <c r="B139" s="52">
        <f>IFERROR(SUM(C139),0)</f>
        <v>196</v>
      </c>
      <c r="C139" s="52">
        <v>196</v>
      </c>
      <c r="D139" s="52"/>
      <c r="E139" s="52"/>
      <c r="F139" s="52"/>
      <c r="G139" s="52"/>
      <c r="H139" s="52"/>
      <c r="I139" s="52"/>
      <c r="J139" s="53" t="s">
        <v>66</v>
      </c>
      <c r="K139" s="52">
        <f>IFERROR(SUM(L139),0)</f>
        <v>1627</v>
      </c>
      <c r="L139" s="52">
        <v>1627</v>
      </c>
      <c r="M139" s="52"/>
      <c r="N139" s="52"/>
      <c r="O139" s="52"/>
      <c r="P139" s="52"/>
      <c r="Q139" s="52"/>
      <c r="R139" s="52"/>
    </row>
    <row r="140" spans="1:18" ht="14.25" customHeight="1" x14ac:dyDescent="0.25">
      <c r="A140" s="52" t="s">
        <v>63</v>
      </c>
      <c r="B140" s="52">
        <f>IFERROR(SUM(C140),0)</f>
        <v>64</v>
      </c>
      <c r="C140" s="52">
        <v>64</v>
      </c>
      <c r="D140" s="52"/>
      <c r="E140" s="52"/>
      <c r="F140" s="52"/>
      <c r="G140" s="52"/>
      <c r="H140" s="52"/>
      <c r="I140" s="52"/>
      <c r="J140" s="53" t="s">
        <v>65</v>
      </c>
      <c r="K140" s="52">
        <f>IFERROR(SUM(L140),0)</f>
        <v>220</v>
      </c>
      <c r="L140" s="52">
        <v>220</v>
      </c>
      <c r="M140" s="52"/>
      <c r="N140" s="52"/>
      <c r="O140" s="52"/>
      <c r="P140" s="52"/>
      <c r="Q140" s="52"/>
      <c r="R140" s="52"/>
    </row>
    <row r="141" spans="1:18" ht="14.25" customHeight="1" x14ac:dyDescent="0.25">
      <c r="A141" s="52" t="s">
        <v>73</v>
      </c>
      <c r="B141" s="52">
        <f>IFERROR(SUM(C141),0)</f>
        <v>96</v>
      </c>
      <c r="C141" s="52">
        <v>96</v>
      </c>
      <c r="D141" s="52"/>
      <c r="E141" s="52"/>
      <c r="F141" s="52"/>
      <c r="G141" s="52"/>
      <c r="H141" s="52"/>
      <c r="I141" s="52"/>
      <c r="J141" s="53" t="s">
        <v>68</v>
      </c>
      <c r="K141" s="52">
        <f>IFERROR(SUM(L141),0)</f>
        <v>206</v>
      </c>
      <c r="L141" s="52">
        <v>206</v>
      </c>
      <c r="M141" s="52"/>
      <c r="N141" s="52"/>
      <c r="O141" s="52"/>
      <c r="P141" s="52"/>
      <c r="Q141" s="52"/>
      <c r="R141" s="52"/>
    </row>
    <row r="142" spans="1:18" ht="14.25" customHeight="1" x14ac:dyDescent="0.25">
      <c r="A142" s="52" t="s">
        <v>75</v>
      </c>
      <c r="B142" s="52">
        <f>IFERROR(SUM(C142),0)</f>
        <v>0</v>
      </c>
      <c r="C142" s="52">
        <v>0</v>
      </c>
      <c r="D142" s="52"/>
      <c r="E142" s="52"/>
      <c r="F142" s="52"/>
      <c r="G142" s="52"/>
      <c r="H142" s="52"/>
      <c r="I142" s="52"/>
      <c r="J142" s="53" t="s">
        <v>70</v>
      </c>
      <c r="K142" s="52">
        <f>IFERROR(SUM(L142),0)</f>
        <v>171599</v>
      </c>
      <c r="L142" s="52">
        <v>171599</v>
      </c>
      <c r="M142" s="52"/>
      <c r="N142" s="52"/>
      <c r="O142" s="52"/>
      <c r="P142" s="52"/>
      <c r="Q142" s="52"/>
      <c r="R142" s="52"/>
    </row>
    <row r="143" spans="1:18" ht="14.25" customHeight="1" x14ac:dyDescent="0.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1:18" ht="14.25" customHeight="1" x14ac:dyDescent="0.25">
      <c r="A144" s="52"/>
      <c r="B144" s="52"/>
      <c r="C144" s="54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spans="1:18" ht="14.25" customHeight="1" x14ac:dyDescent="0.25">
      <c r="A145" s="52"/>
      <c r="B145" s="52"/>
      <c r="C145" s="54">
        <v>822</v>
      </c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spans="1:18" ht="14.25" customHeight="1" x14ac:dyDescent="0.25">
      <c r="A146" s="52"/>
      <c r="B146" s="52"/>
      <c r="C146" s="54">
        <v>823</v>
      </c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spans="1:18" ht="14.25" customHeight="1" x14ac:dyDescent="0.25">
      <c r="A147" s="52"/>
      <c r="B147" s="52"/>
      <c r="C147" s="54">
        <v>825</v>
      </c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1:18" ht="14.25" customHeight="1" x14ac:dyDescent="0.25">
      <c r="A148" s="52"/>
      <c r="B148" s="52"/>
      <c r="C148" s="54">
        <v>826</v>
      </c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spans="1:18" ht="14.25" customHeight="1" x14ac:dyDescent="0.25">
      <c r="A149" s="52"/>
      <c r="B149" s="52"/>
      <c r="C149" s="54">
        <v>821</v>
      </c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spans="1:18" ht="14.25" customHeight="1" x14ac:dyDescent="0.25">
      <c r="A150" s="52"/>
      <c r="B150" s="52"/>
      <c r="C150" s="54">
        <v>824</v>
      </c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spans="1:18" ht="14.25" customHeight="1" x14ac:dyDescent="0.25">
      <c r="A151" s="52"/>
      <c r="B151" s="52"/>
      <c r="C151" s="54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1:18" ht="14.25" customHeight="1" x14ac:dyDescent="0.25">
      <c r="A152" s="52"/>
      <c r="B152" s="52"/>
      <c r="C152" s="54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spans="1:18" ht="14.25" customHeight="1" x14ac:dyDescent="0.25">
      <c r="A153" s="52"/>
      <c r="B153" s="52"/>
      <c r="C153" s="54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spans="1:18" ht="14.25" customHeight="1" x14ac:dyDescent="0.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spans="1:18" ht="14.25" customHeight="1" x14ac:dyDescent="0.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1:18" ht="14.25" customHeight="1" x14ac:dyDescent="0.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spans="1:18" ht="14.25" customHeight="1" x14ac:dyDescent="0.25">
      <c r="A157" s="52"/>
      <c r="B157" s="52"/>
      <c r="C157" s="54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spans="1:18" ht="14.25" customHeight="1" x14ac:dyDescent="0.25">
      <c r="A158" s="52"/>
      <c r="B158" s="52"/>
      <c r="C158" s="54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spans="1:18" ht="14.25" customHeight="1" x14ac:dyDescent="0.25">
      <c r="A159" s="52"/>
      <c r="B159" s="52"/>
      <c r="C159" s="54">
        <v>9529</v>
      </c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1:18" ht="14.25" customHeight="1" x14ac:dyDescent="0.25">
      <c r="A160" s="52"/>
      <c r="B160" s="52"/>
      <c r="C160" s="54">
        <v>9530</v>
      </c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</sheetData>
  <phoneticPr fontId="12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油品动态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烨铭 成</cp:lastModifiedBy>
  <cp:lastPrinted>2023-09-14T05:44:16Z</cp:lastPrinted>
  <dcterms:created xsi:type="dcterms:W3CDTF">2015-06-05T18:19:34Z</dcterms:created>
  <dcterms:modified xsi:type="dcterms:W3CDTF">2026-07-16T08:56:22Z</dcterms:modified>
</cp:coreProperties>
</file>