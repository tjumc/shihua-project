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报表\"/>
    </mc:Choice>
  </mc:AlternateContent>
  <xr:revisionPtr revIDLastSave="0" documentId="13_ncr:1_{D09679DA-DF41-47EC-BB56-46986C44DE4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延安炼油厂装置生产完成情况表（二）" sheetId="1" r:id="rId1"/>
    <sheet name="取值" sheetId="2" r:id="rId2"/>
  </sheets>
  <calcPr calcId="191029" iterate="1"/>
</workbook>
</file>

<file path=xl/calcChain.xml><?xml version="1.0" encoding="utf-8"?>
<calcChain xmlns="http://schemas.openxmlformats.org/spreadsheetml/2006/main">
  <c r="C3" i="2" l="1"/>
  <c r="C2" i="2"/>
  <c r="P34" i="1"/>
  <c r="I33" i="1"/>
  <c r="H33" i="1"/>
  <c r="F33" i="1"/>
  <c r="E33" i="1"/>
  <c r="D33" i="1"/>
  <c r="I32" i="1"/>
  <c r="H32" i="1"/>
  <c r="D32" i="1"/>
  <c r="E32" i="1" s="1"/>
  <c r="I31" i="1"/>
  <c r="H31" i="1"/>
  <c r="I30" i="1"/>
  <c r="H30" i="1"/>
  <c r="E30" i="1"/>
  <c r="D30" i="1"/>
  <c r="I29" i="1"/>
  <c r="H29" i="1"/>
  <c r="E29" i="1"/>
  <c r="D29" i="1"/>
  <c r="I28" i="1"/>
  <c r="H28" i="1"/>
  <c r="F28" i="1"/>
  <c r="E28" i="1"/>
  <c r="D28" i="1"/>
  <c r="I27" i="1"/>
  <c r="H27" i="1"/>
  <c r="F27" i="1"/>
  <c r="E27" i="1"/>
  <c r="D27" i="1"/>
  <c r="I26" i="1"/>
  <c r="H26" i="1"/>
  <c r="F26" i="1"/>
  <c r="E26" i="1"/>
  <c r="D26" i="1"/>
  <c r="I25" i="1"/>
  <c r="H25" i="1"/>
  <c r="F25" i="1"/>
  <c r="E25" i="1"/>
  <c r="D25" i="1"/>
  <c r="H24" i="1"/>
  <c r="E24" i="1"/>
  <c r="H23" i="1"/>
  <c r="E23" i="1"/>
  <c r="D23" i="1"/>
  <c r="H22" i="1"/>
  <c r="E22" i="1"/>
  <c r="D22" i="1"/>
  <c r="H21" i="1"/>
  <c r="E21" i="1"/>
  <c r="D21" i="1"/>
  <c r="H20" i="1"/>
  <c r="D20" i="1"/>
  <c r="D31" i="1" s="1"/>
  <c r="Q19" i="1"/>
  <c r="P19" i="1"/>
  <c r="L19" i="1"/>
  <c r="D19" i="1" s="1"/>
  <c r="F19" i="1" s="1"/>
  <c r="I19" i="1"/>
  <c r="H19" i="1"/>
  <c r="Q18" i="1"/>
  <c r="P18" i="1"/>
  <c r="L18" i="1"/>
  <c r="N18" i="1" s="1"/>
  <c r="H18" i="1"/>
  <c r="I18" i="1" s="1"/>
  <c r="Q17" i="1"/>
  <c r="P17" i="1"/>
  <c r="H17" i="1"/>
  <c r="I17" i="1" s="1"/>
  <c r="Q16" i="1"/>
  <c r="P16" i="1"/>
  <c r="M16" i="1"/>
  <c r="L16" i="1"/>
  <c r="H16" i="1"/>
  <c r="I16" i="1" s="1"/>
  <c r="E16" i="1"/>
  <c r="D16" i="1"/>
  <c r="F16" i="1" s="1"/>
  <c r="Q15" i="1"/>
  <c r="P15" i="1"/>
  <c r="N15" i="1"/>
  <c r="M15" i="1"/>
  <c r="L15" i="1"/>
  <c r="H15" i="1"/>
  <c r="I15" i="1" s="1"/>
  <c r="D15" i="1"/>
  <c r="Q14" i="1"/>
  <c r="P14" i="1"/>
  <c r="N14" i="1"/>
  <c r="M14" i="1"/>
  <c r="E14" i="1" s="1"/>
  <c r="L14" i="1"/>
  <c r="I14" i="1"/>
  <c r="H14" i="1"/>
  <c r="D14" i="1"/>
  <c r="F14" i="1" s="1"/>
  <c r="Q13" i="1"/>
  <c r="P13" i="1"/>
  <c r="N13" i="1"/>
  <c r="M13" i="1"/>
  <c r="L13" i="1"/>
  <c r="H13" i="1"/>
  <c r="I13" i="1" s="1"/>
  <c r="E13" i="1"/>
  <c r="D13" i="1"/>
  <c r="F13" i="1" s="1"/>
  <c r="Q12" i="1"/>
  <c r="P12" i="1"/>
  <c r="N12" i="1"/>
  <c r="M12" i="1"/>
  <c r="L12" i="1"/>
  <c r="H12" i="1"/>
  <c r="I12" i="1" s="1"/>
  <c r="E12" i="1"/>
  <c r="D12" i="1"/>
  <c r="Q11" i="1"/>
  <c r="P11" i="1"/>
  <c r="M11" i="1"/>
  <c r="L11" i="1"/>
  <c r="H11" i="1"/>
  <c r="I11" i="1" s="1"/>
  <c r="F11" i="1"/>
  <c r="E11" i="1"/>
  <c r="D11" i="1"/>
  <c r="Q10" i="1"/>
  <c r="P10" i="1"/>
  <c r="N10" i="1"/>
  <c r="M10" i="1"/>
  <c r="E10" i="1" s="1"/>
  <c r="L10" i="1"/>
  <c r="H10" i="1"/>
  <c r="D10" i="1"/>
  <c r="H9" i="1"/>
  <c r="E9" i="1"/>
  <c r="D9" i="1"/>
  <c r="H8" i="1"/>
  <c r="E8" i="1"/>
  <c r="D8" i="1"/>
  <c r="P7" i="1"/>
  <c r="M7" i="1"/>
  <c r="E7" i="1" s="1"/>
  <c r="L7" i="1"/>
  <c r="H7" i="1"/>
  <c r="D7" i="1"/>
  <c r="P6" i="1"/>
  <c r="L6" i="1"/>
  <c r="L17" i="1" s="1"/>
  <c r="H6" i="1"/>
  <c r="I10" i="1" s="1"/>
  <c r="D6" i="1"/>
  <c r="F10" i="1" s="1"/>
  <c r="N17" i="1" l="1"/>
  <c r="D17" i="1"/>
  <c r="F17" i="1" s="1"/>
  <c r="M17" i="1"/>
  <c r="E31" i="1"/>
  <c r="G31" i="1" s="1"/>
  <c r="F31" i="1"/>
  <c r="O16" i="1"/>
  <c r="O11" i="1"/>
  <c r="M19" i="1"/>
  <c r="F32" i="1"/>
  <c r="N11" i="1"/>
  <c r="N16" i="1"/>
  <c r="F29" i="1"/>
  <c r="E15" i="1"/>
  <c r="E20" i="1"/>
  <c r="D18" i="1"/>
  <c r="F18" i="1" s="1"/>
  <c r="N19" i="1"/>
  <c r="F15" i="1"/>
  <c r="M18" i="1"/>
  <c r="M6" i="1"/>
  <c r="O14" i="1" s="1"/>
  <c r="F12" i="1"/>
  <c r="F30" i="1"/>
  <c r="G27" i="1" l="1"/>
  <c r="G26" i="1"/>
  <c r="G28" i="1"/>
  <c r="G32" i="1"/>
  <c r="O18" i="1"/>
  <c r="E18" i="1"/>
  <c r="O17" i="1"/>
  <c r="E17" i="1"/>
  <c r="G30" i="1"/>
  <c r="O15" i="1"/>
  <c r="O10" i="1"/>
  <c r="E6" i="1"/>
  <c r="O12" i="1"/>
  <c r="G25" i="1"/>
  <c r="G33" i="1"/>
  <c r="O13" i="1"/>
  <c r="E19" i="1"/>
  <c r="G19" i="1" s="1"/>
  <c r="O19" i="1"/>
  <c r="G29" i="1"/>
  <c r="G11" i="1" l="1"/>
  <c r="G16" i="1"/>
  <c r="G12" i="1"/>
  <c r="G13" i="1"/>
  <c r="G14" i="1"/>
  <c r="G10" i="1"/>
  <c r="G15" i="1"/>
  <c r="G17" i="1"/>
  <c r="G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6" authorId="0" shapeId="0" xr:uid="{00000000-0006-0000-0000-000001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#Input("延炼_生产计划部_延炼装置生产完成情况表2_200万催化装置_原料处理量",":key{{dw}}",":read")</t>
        </r>
      </text>
    </comment>
    <comment ref="L7" authorId="0" shapeId="0" xr:uid="{00000000-0006-0000-0000-000002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#Input("延炼_生产计划部_延炼装置生产完成情况表2_200万催化装置_1#渣油",":key{{dw}}",":read")</t>
        </r>
      </text>
    </comment>
    <comment ref="L10" authorId="0" shapeId="0" xr:uid="{00000000-0006-0000-0000-000003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#Input("延炼_生产计划部_延炼装置生产完成情况表2_200万催化装置_石脑油Ⅲ",":key{{dw}}",":read")</t>
        </r>
      </text>
    </comment>
    <comment ref="L11" authorId="0" shapeId="0" xr:uid="{00000000-0006-0000-0000-000004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#Input("延炼_生产计划部_延炼装置生产完成情况表2_200万催化装置_干气产量",":key{{dw}}",":read")</t>
        </r>
      </text>
    </comment>
    <comment ref="L12" authorId="0" shapeId="0" xr:uid="{00000000-0006-0000-0000-000005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#Input("延炼_生产计划部_延炼装置生产完成情况表2_200万催化装置_液化气产量",":key{{dw}}",":read")</t>
        </r>
      </text>
    </comment>
    <comment ref="L13" authorId="0" shapeId="0" xr:uid="{00000000-0006-0000-0000-000006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#Input("延炼_生产计划部_延炼装置生产完成情况表2_200万催化装置_汽油产量",":key{{dw}}",":read")</t>
        </r>
      </text>
    </comment>
    <comment ref="L14" authorId="0" shapeId="0" xr:uid="{00000000-0006-0000-0000-000007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#Input("延炼_生产计划部_延炼装置生产完成情况表2_200万催化装置_柴油产量",":key{{dw}}",":read")</t>
        </r>
      </text>
    </comment>
    <comment ref="L15" authorId="0" shapeId="0" xr:uid="{00000000-0006-0000-0000-000008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#Input("延炼_生产计划部_延炼装置生产完成情况表2_200万催化装置_生焦量",":key{{dw}}",":read")</t>
        </r>
      </text>
    </comment>
    <comment ref="L16" authorId="0" shapeId="0" xr:uid="{00000000-0006-0000-0000-000009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#Input("延炼_生产计划部_延炼装置生产完成情况表2_200万催化装置_2#渣油产量",":key{{dw}}",":read")</t>
        </r>
      </text>
    </comment>
    <comment ref="L17" authorId="0" shapeId="0" xr:uid="{00000000-0006-0000-0000-00000A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#Input("延炼_生产计划部_延炼装置生产完成情况表2_200万催化装置_加工损失量",":key{{dw}}",":read")</t>
        </r>
      </text>
    </comment>
    <comment ref="L18" authorId="0" shapeId="0" xr:uid="{00000000-0006-0000-0000-00000B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#Input("延炼_生产计划部_延炼装置生产完成情况表2_200万催化装置_轻质油产量合计",":key{{dw}}",":read")</t>
        </r>
      </text>
    </comment>
    <comment ref="L19" authorId="0" shapeId="0" xr:uid="{00000000-0006-0000-0000-00000C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#Input("延炼_生产计划部_延炼装置生产完成情况表2_200万催化装置_汽柴液产量合计",":key{{dw}}",":read")</t>
        </r>
      </text>
    </comment>
    <comment ref="D20" authorId="0" shapeId="0" xr:uid="{00000000-0006-0000-0000-00000D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#Input("延炼_生产计划部_延炼装置生产完成情况表2_100万催化装置_原料处理量",":key{{dw}}",":read")</t>
        </r>
      </text>
    </comment>
    <comment ref="D21" authorId="0" shapeId="0" xr:uid="{00000000-0006-0000-0000-00000E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#Input("延炼_生产计划部_延炼装置生产完成情况表2_100万催化装置_1#渣油",":key{{dw}}",":read")</t>
        </r>
      </text>
    </comment>
    <comment ref="D22" authorId="0" shapeId="0" xr:uid="{00000000-0006-0000-0000-00000F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#Input("延炼_生产计划部_延炼装置生产完成情况表2_100万催化装置_OG气",":key{{dw}}",":read")</t>
        </r>
      </text>
    </comment>
    <comment ref="D23" authorId="0" shapeId="0" xr:uid="{00000000-0006-0000-0000-000010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#Input("延炼_生产计划部_延炼装置生产完成情况表2_100万催化装置_戊烷",":key{{dw}}",":read")</t>
        </r>
      </text>
    </comment>
    <comment ref="D24" authorId="0" shapeId="0" xr:uid="{00000000-0006-0000-0000-000011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#Input("延炼_生产计划部_延炼装置生产完成情况表2_100万催化装置_石脑油Ⅲ",":key{{dw}}",":read")</t>
        </r>
      </text>
    </comment>
    <comment ref="D25" authorId="0" shapeId="0" xr:uid="{00000000-0006-0000-0000-000012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#Input("延炼_生产计划部_延炼装置生产完成情况表2_100万催化装置_干气产量",":key{{dw}}",":read")</t>
        </r>
      </text>
    </comment>
    <comment ref="D26" authorId="0" shapeId="0" xr:uid="{00000000-0006-0000-0000-000013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#Input("延炼_生产计划部_延炼装置生产完成情况表2_100万催化装置_液化气产量",":key{{dw}}",":read")</t>
        </r>
      </text>
    </comment>
    <comment ref="D27" authorId="0" shapeId="0" xr:uid="{00000000-0006-0000-0000-000014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#Input("延炼_生产计划部_延炼装置生产完成情况表2_100万催化装置_汽油产量",":key{{dw}}",":read")</t>
        </r>
      </text>
    </comment>
    <comment ref="D28" authorId="0" shapeId="0" xr:uid="{00000000-0006-0000-0000-000015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#Input("延炼_生产计划部_延炼装置生产完成情况表2_100万催化装置_柴油产量",":key{{dw}}",":read")</t>
        </r>
      </text>
    </comment>
    <comment ref="D29" authorId="0" shapeId="0" xr:uid="{00000000-0006-0000-0000-000016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#Input("延炼_生产计划部_延炼装置生产完成情况表2_100万催化装置_生焦量",":key{{dw}}",":read")</t>
        </r>
      </text>
    </comment>
    <comment ref="D30" authorId="0" shapeId="0" xr:uid="{00000000-0006-0000-0000-000017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#Input("延炼_生产计划部_延炼装置生产完成情况表2_100万催化装置_2#渣油产量",":key{{dw}}",":read")</t>
        </r>
      </text>
    </comment>
    <comment ref="D31" authorId="0" shapeId="0" xr:uid="{00000000-0006-0000-0000-000018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#Input("延炼_生产计划部_延炼装置生产完成情况表2_100万催化装置_加工损失量",":key{{dw}}",":read")</t>
        </r>
      </text>
    </comment>
    <comment ref="D32" authorId="0" shapeId="0" xr:uid="{00000000-0006-0000-0000-000019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#Input("延炼_生产计划部_延炼装置生产完成情况表2_100万催化装置_轻质油产量合计",":key{{dw}}",":read")</t>
        </r>
      </text>
    </comment>
    <comment ref="D33" authorId="0" shapeId="0" xr:uid="{00000000-0006-0000-0000-00001A000000}">
      <text>
        <r>
          <rPr>
            <b/>
            <sz val="9"/>
            <color indexed="81"/>
            <rFont val="宋体"/>
            <family val="2"/>
          </rPr>
          <t>#Input("延炼_生产计划部_延炼装置生产完成情况表2_100万催化装置_汽柴液产量合计",":key{{dw}}",":read")</t>
        </r>
      </text>
    </comment>
    <comment ref="D34" authorId="0" shapeId="0" xr:uid="{00000000-0006-0000-0000-00001B000000}">
      <text>
        <r>
          <rPr>
            <b/>
            <sz val="9"/>
            <color indexed="81"/>
            <rFont val="宋体"/>
            <family val="2"/>
          </rPr>
          <t>#Input("延炼_延安炼油厂装置生产完成情况表（二）_单位负责人",":key{{dw}}")</t>
        </r>
      </text>
    </comment>
    <comment ref="K34" authorId="0" shapeId="0" xr:uid="{00000000-0006-0000-0000-00001C000000}">
      <text>
        <r>
          <rPr>
            <b/>
            <sz val="9"/>
            <color indexed="81"/>
            <rFont val="宋体"/>
            <family val="2"/>
          </rPr>
          <t>#Input("延炼_延安炼油厂装置生产完成情况表（二）_填报人",":key{{dw}}")</t>
        </r>
      </text>
    </comment>
  </commentList>
</comments>
</file>

<file path=xl/sharedStrings.xml><?xml version="1.0" encoding="utf-8"?>
<sst xmlns="http://schemas.openxmlformats.org/spreadsheetml/2006/main" count="123" uniqueCount="44">
  <si>
    <t>延安炼油厂装置生产完成情况表（二）</t>
  </si>
  <si>
    <t>填报单位：生产计划部</t>
  </si>
  <si>
    <t/>
  </si>
  <si>
    <t>日期：</t>
  </si>
  <si>
    <t>2025-12</t>
  </si>
  <si>
    <t>陕油延炼计统YB106-2表</t>
  </si>
  <si>
    <t>装置名称</t>
  </si>
  <si>
    <t>指标名称</t>
  </si>
  <si>
    <t>产量（吨）</t>
  </si>
  <si>
    <t>收率（％）</t>
  </si>
  <si>
    <t>去年同期</t>
  </si>
  <si>
    <t>本 月</t>
  </si>
  <si>
    <t>累 计</t>
  </si>
  <si>
    <t>平 均</t>
  </si>
  <si>
    <t>产量</t>
  </si>
  <si>
    <t>收 率</t>
  </si>
  <si>
    <t>催
化
装
置
合
计</t>
  </si>
  <si>
    <t>原料处理量</t>
  </si>
  <si>
    <t>/</t>
  </si>
  <si>
    <t>200
万
催
化
装
置</t>
  </si>
  <si>
    <t xml:space="preserve">  其中：1#渣油</t>
  </si>
  <si>
    <t>OG气</t>
  </si>
  <si>
    <t>戊烷</t>
  </si>
  <si>
    <t>石脑油Ⅲ</t>
  </si>
  <si>
    <t>干气产量</t>
  </si>
  <si>
    <t>液化气产量</t>
  </si>
  <si>
    <t>汽油产量</t>
  </si>
  <si>
    <t>柴油产量</t>
  </si>
  <si>
    <t>生焦量</t>
  </si>
  <si>
    <t>2#渣油产量</t>
  </si>
  <si>
    <t>油浆产量</t>
  </si>
  <si>
    <t>加工损失量</t>
  </si>
  <si>
    <t>轻质油产量合计</t>
  </si>
  <si>
    <t>汽柴液产量合计</t>
  </si>
  <si>
    <t>100
万
催
化
装
置</t>
  </si>
  <si>
    <t>单位领导：</t>
  </si>
  <si>
    <t>王静</t>
  </si>
  <si>
    <t>填报人：</t>
  </si>
  <si>
    <t>黄宏飞</t>
  </si>
  <si>
    <t>报出日期：</t>
  </si>
  <si>
    <t>报表生成时间：</t>
  </si>
  <si>
    <t xml:space="preserve"> 8:00:00</t>
  </si>
  <si>
    <t>YL_SC_ALL_YearSum</t>
  </si>
  <si>
    <t>YL_SC_Year_Compare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</si>
</sst>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_ "/>
    <numFmt numFmtId="181" formatCode="0.00_ "/>
    <numFmt numFmtId="182" formatCode="yyyy\-mm\-dd"/>
  </numFmts>
  <fonts count="6" x14ac:knownFonts="1">
    <font>
      <sz val="11"/>
      <color theme="1"/>
      <name val="宋体"/>
      <scheme val="minor"/>
    </font>
    <font>
      <sz val="11"/>
      <color theme="1"/>
      <name val="等线"/>
      <family val="3"/>
      <charset val="134"/>
    </font>
    <font>
      <sz val="11"/>
      <color rgb="FF000000"/>
      <name val="宋体"/>
      <family val="2"/>
      <scheme val="minor"/>
    </font>
    <font>
      <b/>
      <sz val="18"/>
      <color theme="1"/>
      <name val="等线"/>
      <family val="3"/>
      <charset val="134"/>
    </font>
    <font>
      <b/>
      <sz val="9"/>
      <color indexed="81"/>
      <name val="宋体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80" fontId="1" fillId="0" borderId="1" xfId="0" applyNumberFormat="1" applyFont="1" applyBorder="1" applyAlignment="1">
      <alignment vertical="center" wrapText="1"/>
    </xf>
    <xf numFmtId="180" fontId="1" fillId="2" borderId="1" xfId="0" applyNumberFormat="1" applyFont="1" applyFill="1" applyBorder="1" applyAlignment="1">
      <alignment vertical="center" wrapText="1"/>
    </xf>
    <xf numFmtId="180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80" fontId="1" fillId="2" borderId="1" xfId="0" applyNumberFormat="1" applyFont="1" applyFill="1" applyBorder="1" applyAlignment="1">
      <alignment horizontal="right" vertical="center" wrapText="1"/>
    </xf>
    <xf numFmtId="181" fontId="1" fillId="0" borderId="1" xfId="0" applyNumberFormat="1" applyFont="1" applyBorder="1" applyAlignment="1">
      <alignment vertical="center" wrapText="1"/>
    </xf>
    <xf numFmtId="181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80" fontId="1" fillId="2" borderId="3" xfId="0" applyNumberFormat="1" applyFont="1" applyFill="1" applyBorder="1" applyAlignment="1">
      <alignment vertical="center" wrapText="1"/>
    </xf>
    <xf numFmtId="180" fontId="1" fillId="0" borderId="3" xfId="0" applyNumberFormat="1" applyFont="1" applyBorder="1" applyAlignment="1">
      <alignment vertical="center" wrapText="1"/>
    </xf>
    <xf numFmtId="181" fontId="1" fillId="0" borderId="3" xfId="0" applyNumberFormat="1" applyFont="1" applyBorder="1" applyAlignment="1">
      <alignment vertical="center" wrapText="1"/>
    </xf>
    <xf numFmtId="180" fontId="1" fillId="0" borderId="3" xfId="0" applyNumberFormat="1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vertical="center" wrapText="1"/>
    </xf>
    <xf numFmtId="0" fontId="1" fillId="2" borderId="6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182" fontId="2" fillId="0" borderId="0" xfId="0" applyNumberFormat="1" applyFont="1" applyAlignment="1">
      <alignment vertical="top" wrapText="1"/>
    </xf>
    <xf numFmtId="182" fontId="0" fillId="0" borderId="0" xfId="0" applyNumberFormat="1" applyAlignment="1">
      <alignment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182" fontId="1" fillId="0" borderId="6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9678-0328-2C18-3CD8-04F267639CA5}">
  <sheetPr>
    <pageSetUpPr fitToPage="1"/>
  </sheetPr>
  <dimension ref="A1:Q34"/>
  <sheetViews>
    <sheetView showGridLines="0" tabSelected="1" defaultGridColor="0" colorId="31" workbookViewId="0">
      <pane ySplit="5" topLeftCell="A6" activePane="bottomLeft" state="frozen"/>
      <selection pane="bottomLeft" activeCell="D9" sqref="D9"/>
    </sheetView>
  </sheetViews>
  <sheetFormatPr defaultRowHeight="14.15" customHeight="1" x14ac:dyDescent="0.25"/>
  <cols>
    <col min="1" max="1" width="2.7265625" customWidth="1"/>
    <col min="3" max="3" width="16.7265625" customWidth="1"/>
    <col min="4" max="4" width="9.54296875" customWidth="1"/>
    <col min="5" max="5" width="10.54296875" customWidth="1"/>
    <col min="6" max="6" width="10.26953125" customWidth="1"/>
    <col min="8" max="8" width="9.54296875" customWidth="1"/>
    <col min="11" max="11" width="16.7265625" customWidth="1"/>
    <col min="12" max="12" width="9.54296875" customWidth="1"/>
    <col min="13" max="13" width="10.54296875" customWidth="1"/>
    <col min="16" max="16" width="9.54296875" customWidth="1"/>
  </cols>
  <sheetData>
    <row r="1" spans="1:17" ht="2.2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27.75" customHeight="1" x14ac:dyDescent="0.25">
      <c r="A2" s="2"/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1"/>
    </row>
    <row r="3" spans="1:17" ht="20.25" customHeight="1" x14ac:dyDescent="0.25">
      <c r="A3" s="2"/>
      <c r="B3" s="38" t="s">
        <v>1</v>
      </c>
      <c r="C3" s="39"/>
      <c r="D3" s="3" t="s">
        <v>2</v>
      </c>
      <c r="E3" s="3" t="s">
        <v>2</v>
      </c>
      <c r="F3" s="4"/>
      <c r="G3" s="5"/>
      <c r="H3" s="4" t="s">
        <v>3</v>
      </c>
      <c r="I3" s="35" t="s">
        <v>4</v>
      </c>
      <c r="J3" s="35"/>
      <c r="K3" s="5"/>
      <c r="L3" s="36" t="s">
        <v>5</v>
      </c>
      <c r="M3" s="36"/>
      <c r="N3" s="36"/>
      <c r="O3" s="36"/>
      <c r="P3" s="36"/>
      <c r="Q3" s="37"/>
    </row>
    <row r="4" spans="1:17" ht="20.25" customHeight="1" x14ac:dyDescent="0.25">
      <c r="A4" s="2"/>
      <c r="B4" s="32" t="s">
        <v>6</v>
      </c>
      <c r="C4" s="33" t="s">
        <v>7</v>
      </c>
      <c r="D4" s="33" t="s">
        <v>8</v>
      </c>
      <c r="E4" s="33"/>
      <c r="F4" s="33" t="s">
        <v>9</v>
      </c>
      <c r="G4" s="33"/>
      <c r="H4" s="33" t="s">
        <v>10</v>
      </c>
      <c r="I4" s="33"/>
      <c r="J4" s="33" t="s">
        <v>6</v>
      </c>
      <c r="K4" s="33" t="s">
        <v>7</v>
      </c>
      <c r="L4" s="33" t="s">
        <v>8</v>
      </c>
      <c r="M4" s="33"/>
      <c r="N4" s="33" t="s">
        <v>9</v>
      </c>
      <c r="O4" s="33"/>
      <c r="P4" s="33" t="s">
        <v>10</v>
      </c>
      <c r="Q4" s="34"/>
    </row>
    <row r="5" spans="1:17" ht="20.25" customHeight="1" x14ac:dyDescent="0.25">
      <c r="A5" s="2"/>
      <c r="B5" s="32"/>
      <c r="C5" s="33"/>
      <c r="D5" s="1" t="s">
        <v>11</v>
      </c>
      <c r="E5" s="1" t="s">
        <v>12</v>
      </c>
      <c r="F5" s="1" t="s">
        <v>11</v>
      </c>
      <c r="G5" s="1" t="s">
        <v>13</v>
      </c>
      <c r="H5" s="1" t="s">
        <v>14</v>
      </c>
      <c r="I5" s="1" t="s">
        <v>15</v>
      </c>
      <c r="J5" s="33"/>
      <c r="K5" s="33"/>
      <c r="L5" s="1" t="s">
        <v>11</v>
      </c>
      <c r="M5" s="1" t="s">
        <v>12</v>
      </c>
      <c r="N5" s="1" t="s">
        <v>11</v>
      </c>
      <c r="O5" s="1" t="s">
        <v>13</v>
      </c>
      <c r="P5" s="1" t="s">
        <v>14</v>
      </c>
      <c r="Q5" s="6" t="s">
        <v>15</v>
      </c>
    </row>
    <row r="6" spans="1:17" ht="20.25" customHeight="1" x14ac:dyDescent="0.25">
      <c r="A6" s="2"/>
      <c r="B6" s="32" t="s">
        <v>16</v>
      </c>
      <c r="C6" s="7" t="s">
        <v>17</v>
      </c>
      <c r="D6" s="8">
        <f t="shared" ref="D6:D19" si="0">IFERROR(SUM(L6,D20),"")</f>
        <v>264934</v>
      </c>
      <c r="E6" s="8">
        <f t="shared" ref="E6:E19" si="1">IFERROR(SUM(M6,E20),"")</f>
        <v>3270937</v>
      </c>
      <c r="F6" s="1" t="s">
        <v>18</v>
      </c>
      <c r="G6" s="1" t="s">
        <v>18</v>
      </c>
      <c r="H6" s="8">
        <f t="shared" ref="H6:H19" si="2">IFERROR(SUM(P6,H20),"")</f>
        <v>257562</v>
      </c>
      <c r="I6" s="1" t="s">
        <v>18</v>
      </c>
      <c r="J6" s="33" t="s">
        <v>19</v>
      </c>
      <c r="K6" s="7" t="s">
        <v>17</v>
      </c>
      <c r="L6" s="9">
        <f>IFERROR(SUM(L7),"")</f>
        <v>183144</v>
      </c>
      <c r="M6" s="8">
        <f>IFERROR(SUM(L6,取值!M3),"")</f>
        <v>2248523</v>
      </c>
      <c r="N6" s="1" t="s">
        <v>18</v>
      </c>
      <c r="O6" s="1" t="s">
        <v>18</v>
      </c>
      <c r="P6" s="10">
        <f>取值!P3</f>
        <v>181330</v>
      </c>
      <c r="Q6" s="6" t="s">
        <v>18</v>
      </c>
    </row>
    <row r="7" spans="1:17" ht="20.25" customHeight="1" x14ac:dyDescent="0.25">
      <c r="A7" s="2"/>
      <c r="B7" s="32"/>
      <c r="C7" s="11" t="s">
        <v>20</v>
      </c>
      <c r="D7" s="8">
        <f t="shared" si="0"/>
        <v>263001</v>
      </c>
      <c r="E7" s="8">
        <f t="shared" si="1"/>
        <v>3255322</v>
      </c>
      <c r="F7" s="1" t="s">
        <v>18</v>
      </c>
      <c r="G7" s="1" t="s">
        <v>18</v>
      </c>
      <c r="H7" s="8">
        <f t="shared" si="2"/>
        <v>256568</v>
      </c>
      <c r="I7" s="1" t="s">
        <v>18</v>
      </c>
      <c r="J7" s="33"/>
      <c r="K7" s="11" t="s">
        <v>20</v>
      </c>
      <c r="L7" s="12">
        <f>取值!L7</f>
        <v>183144</v>
      </c>
      <c r="M7" s="8">
        <f>IFERROR(SUM(L7,取值!M4),"")</f>
        <v>2248523</v>
      </c>
      <c r="N7" s="1" t="s">
        <v>18</v>
      </c>
      <c r="O7" s="1" t="s">
        <v>18</v>
      </c>
      <c r="P7" s="10">
        <f>取值!P4</f>
        <v>181330</v>
      </c>
      <c r="Q7" s="6" t="s">
        <v>18</v>
      </c>
    </row>
    <row r="8" spans="1:17" ht="20.25" customHeight="1" x14ac:dyDescent="0.25">
      <c r="A8" s="2"/>
      <c r="B8" s="32"/>
      <c r="C8" s="11" t="s">
        <v>21</v>
      </c>
      <c r="D8" s="8">
        <f t="shared" si="0"/>
        <v>288</v>
      </c>
      <c r="E8" s="8">
        <f t="shared" si="1"/>
        <v>3475</v>
      </c>
      <c r="F8" s="1" t="s">
        <v>18</v>
      </c>
      <c r="G8" s="1" t="s">
        <v>18</v>
      </c>
      <c r="H8" s="8">
        <f t="shared" si="2"/>
        <v>327</v>
      </c>
      <c r="I8" s="1" t="s">
        <v>18</v>
      </c>
      <c r="J8" s="33"/>
      <c r="K8" s="7" t="s">
        <v>2</v>
      </c>
      <c r="L8" s="12"/>
      <c r="M8" s="8"/>
      <c r="N8" s="1" t="s">
        <v>18</v>
      </c>
      <c r="O8" s="1" t="s">
        <v>18</v>
      </c>
      <c r="P8" s="10"/>
      <c r="Q8" s="6" t="s">
        <v>18</v>
      </c>
    </row>
    <row r="9" spans="1:17" ht="20.25" customHeight="1" x14ac:dyDescent="0.25">
      <c r="A9" s="2"/>
      <c r="B9" s="32"/>
      <c r="C9" s="11" t="s">
        <v>22</v>
      </c>
      <c r="D9" s="8">
        <f t="shared" si="0"/>
        <v>1645</v>
      </c>
      <c r="E9" s="8">
        <f t="shared" si="1"/>
        <v>12140</v>
      </c>
      <c r="F9" s="1" t="s">
        <v>18</v>
      </c>
      <c r="G9" s="1" t="s">
        <v>18</v>
      </c>
      <c r="H9" s="8">
        <f t="shared" si="2"/>
        <v>667</v>
      </c>
      <c r="I9" s="1" t="s">
        <v>18</v>
      </c>
      <c r="J9" s="33"/>
      <c r="K9" s="7"/>
      <c r="L9" s="12"/>
      <c r="M9" s="8"/>
      <c r="N9" s="1" t="s">
        <v>18</v>
      </c>
      <c r="O9" s="1" t="s">
        <v>18</v>
      </c>
      <c r="P9" s="10"/>
      <c r="Q9" s="6" t="s">
        <v>18</v>
      </c>
    </row>
    <row r="10" spans="1:17" ht="20.25" customHeight="1" x14ac:dyDescent="0.25">
      <c r="A10" s="2"/>
      <c r="B10" s="32"/>
      <c r="C10" s="7" t="s">
        <v>23</v>
      </c>
      <c r="D10" s="8">
        <f t="shared" si="0"/>
        <v>2085</v>
      </c>
      <c r="E10" s="8">
        <f t="shared" si="1"/>
        <v>27456</v>
      </c>
      <c r="F10" s="13">
        <f>IFERROR(D10/D6*100,0)</f>
        <v>0.78698845750262325</v>
      </c>
      <c r="G10" s="13">
        <f>IFERROR(E10/E6*100,0)</f>
        <v>0.83939250434967116</v>
      </c>
      <c r="H10" s="8">
        <f t="shared" si="2"/>
        <v>2735</v>
      </c>
      <c r="I10" s="13">
        <f>IFERROR(H10/H6*100,0)</f>
        <v>1.0618802463096264</v>
      </c>
      <c r="J10" s="33"/>
      <c r="K10" s="7" t="s">
        <v>23</v>
      </c>
      <c r="L10" s="12">
        <f>取值!L9</f>
        <v>2085</v>
      </c>
      <c r="M10" s="8">
        <f>IFERROR(SUM(L10,取值!M7),"")</f>
        <v>27456</v>
      </c>
      <c r="N10" s="13">
        <f>IFERROR(L10/L6*100,0)</f>
        <v>1.1384484340191325</v>
      </c>
      <c r="O10" s="13">
        <f>IFERROR(M10/M6*100,0)</f>
        <v>1.2210682301226183</v>
      </c>
      <c r="P10" s="10">
        <f>取值!P7</f>
        <v>2735</v>
      </c>
      <c r="Q10" s="14">
        <f>IFERROR(P10/P6*100,0)</f>
        <v>1.508299784922517</v>
      </c>
    </row>
    <row r="11" spans="1:17" ht="20.25" customHeight="1" x14ac:dyDescent="0.25">
      <c r="A11" s="2"/>
      <c r="B11" s="32"/>
      <c r="C11" s="7" t="s">
        <v>24</v>
      </c>
      <c r="D11" s="8">
        <f t="shared" si="0"/>
        <v>9597</v>
      </c>
      <c r="E11" s="8">
        <f t="shared" si="1"/>
        <v>108528</v>
      </c>
      <c r="F11" s="13">
        <f>IFERROR(D11/D6*100,0)</f>
        <v>3.6224116194976861</v>
      </c>
      <c r="G11" s="13">
        <f>IFERROR(E11/E6*100,0)</f>
        <v>3.3179483432423185</v>
      </c>
      <c r="H11" s="8">
        <f t="shared" si="2"/>
        <v>8694</v>
      </c>
      <c r="I11" s="13">
        <f>IFERROR(H11/H6*100,0)</f>
        <v>3.3754979383604722</v>
      </c>
      <c r="J11" s="33"/>
      <c r="K11" s="7" t="s">
        <v>24</v>
      </c>
      <c r="L11" s="12">
        <f>取值!L10</f>
        <v>6429</v>
      </c>
      <c r="M11" s="8">
        <f>IFERROR(SUM(L11,取值!M8),"")</f>
        <v>72699</v>
      </c>
      <c r="N11" s="13">
        <f>IFERROR(L11/L6*100,0)</f>
        <v>3.5103525095007209</v>
      </c>
      <c r="O11" s="13">
        <f>IFERROR(M11/M6*100,0)</f>
        <v>3.2331890756732311</v>
      </c>
      <c r="P11" s="10">
        <f>取值!P8</f>
        <v>5827</v>
      </c>
      <c r="Q11" s="14">
        <f>IFERROR(P11/P6*100,0)</f>
        <v>3.2134781889372963</v>
      </c>
    </row>
    <row r="12" spans="1:17" ht="20.25" customHeight="1" x14ac:dyDescent="0.25">
      <c r="A12" s="2"/>
      <c r="B12" s="32"/>
      <c r="C12" s="7" t="s">
        <v>25</v>
      </c>
      <c r="D12" s="8">
        <f t="shared" si="0"/>
        <v>47634</v>
      </c>
      <c r="E12" s="8">
        <f t="shared" si="1"/>
        <v>540177</v>
      </c>
      <c r="F12" s="13">
        <f>IFERROR(D12/D6*100,0)</f>
        <v>17.979572270829717</v>
      </c>
      <c r="G12" s="13">
        <f>IFERROR(E12/E6*100,0)</f>
        <v>16.514442191946834</v>
      </c>
      <c r="H12" s="8">
        <f t="shared" si="2"/>
        <v>47122</v>
      </c>
      <c r="I12" s="13">
        <f>IFERROR(H12/H6*100,0)</f>
        <v>18.295400719050171</v>
      </c>
      <c r="J12" s="33"/>
      <c r="K12" s="7" t="s">
        <v>25</v>
      </c>
      <c r="L12" s="12">
        <f>取值!L11</f>
        <v>28937</v>
      </c>
      <c r="M12" s="8">
        <f>IFERROR(SUM(L12,取值!M9),"")</f>
        <v>346354</v>
      </c>
      <c r="N12" s="13">
        <f>IFERROR(L12/L6*100,0)</f>
        <v>15.800135412571528</v>
      </c>
      <c r="O12" s="13">
        <f>IFERROR(M12/M6*100,0)</f>
        <v>15.403622733678954</v>
      </c>
      <c r="P12" s="10">
        <f>取值!P9</f>
        <v>31462</v>
      </c>
      <c r="Q12" s="14">
        <f>IFERROR(P12/P6*100,0)</f>
        <v>17.350686593503557</v>
      </c>
    </row>
    <row r="13" spans="1:17" ht="20.25" customHeight="1" x14ac:dyDescent="0.25">
      <c r="A13" s="2"/>
      <c r="B13" s="32"/>
      <c r="C13" s="7" t="s">
        <v>26</v>
      </c>
      <c r="D13" s="8">
        <f t="shared" si="0"/>
        <v>126372</v>
      </c>
      <c r="E13" s="8">
        <f t="shared" si="1"/>
        <v>1523017</v>
      </c>
      <c r="F13" s="13">
        <f>IFERROR(D13/D6*100,0)</f>
        <v>47.699427027108641</v>
      </c>
      <c r="G13" s="13">
        <f>IFERROR(E13/E6*100,0)</f>
        <v>46.562101318368406</v>
      </c>
      <c r="H13" s="8">
        <f t="shared" si="2"/>
        <v>117194</v>
      </c>
      <c r="I13" s="13">
        <f>IFERROR(H13/H6*100,0)</f>
        <v>45.501277362343821</v>
      </c>
      <c r="J13" s="33"/>
      <c r="K13" s="7" t="s">
        <v>26</v>
      </c>
      <c r="L13" s="12">
        <f>取值!L12</f>
        <v>86749</v>
      </c>
      <c r="M13" s="8">
        <f>IFERROR(SUM(L13,取值!M10),"")</f>
        <v>1034109</v>
      </c>
      <c r="N13" s="13">
        <f>IFERROR(L13/L6*100,0)</f>
        <v>47.366553094832483</v>
      </c>
      <c r="O13" s="13">
        <f>IFERROR(M13/M6*100,0)</f>
        <v>45.990590267477806</v>
      </c>
      <c r="P13" s="10">
        <f>取值!P10</f>
        <v>80519</v>
      </c>
      <c r="Q13" s="14">
        <f>IFERROR(P13/P6*100,0)</f>
        <v>44.40467655655435</v>
      </c>
    </row>
    <row r="14" spans="1:17" ht="20.25" customHeight="1" x14ac:dyDescent="0.25">
      <c r="A14" s="2"/>
      <c r="B14" s="32"/>
      <c r="C14" s="7" t="s">
        <v>27</v>
      </c>
      <c r="D14" s="8">
        <f t="shared" si="0"/>
        <v>58797</v>
      </c>
      <c r="E14" s="8">
        <f t="shared" si="1"/>
        <v>791281</v>
      </c>
      <c r="F14" s="13">
        <f>IFERROR(D14/D6*100,0)</f>
        <v>22.193074501573975</v>
      </c>
      <c r="G14" s="13">
        <f>IFERROR(E14/E6*100,0)</f>
        <v>24.191263848860434</v>
      </c>
      <c r="H14" s="8">
        <f t="shared" si="2"/>
        <v>60220</v>
      </c>
      <c r="I14" s="13">
        <f>IFERROR(H14/H6*100,0)</f>
        <v>23.380778220389654</v>
      </c>
      <c r="J14" s="33"/>
      <c r="K14" s="7" t="s">
        <v>27</v>
      </c>
      <c r="L14" s="12">
        <f>取值!L13</f>
        <v>44561</v>
      </c>
      <c r="M14" s="8">
        <f>IFERROR(SUM(L14,取值!M11),"")</f>
        <v>568748</v>
      </c>
      <c r="N14" s="13">
        <f>IFERROR(L14/L6*100,0)</f>
        <v>24.331127418861662</v>
      </c>
      <c r="O14" s="13">
        <f>IFERROR(M14/M6*100,0)</f>
        <v>25.294293187127725</v>
      </c>
      <c r="P14" s="10">
        <f>取值!P11</f>
        <v>45082</v>
      </c>
      <c r="Q14" s="14">
        <f>IFERROR(P14/P6*100,0)</f>
        <v>24.861854078199965</v>
      </c>
    </row>
    <row r="15" spans="1:17" ht="20.25" customHeight="1" x14ac:dyDescent="0.25">
      <c r="A15" s="2"/>
      <c r="B15" s="32"/>
      <c r="C15" s="7" t="s">
        <v>28</v>
      </c>
      <c r="D15" s="8">
        <f t="shared" si="0"/>
        <v>17416</v>
      </c>
      <c r="E15" s="8">
        <f t="shared" si="1"/>
        <v>243251</v>
      </c>
      <c r="F15" s="13">
        <f>IFERROR(D15/D6*100,0)</f>
        <v>6.5737126982569238</v>
      </c>
      <c r="G15" s="13">
        <f>IFERROR(E15/E6*100,0)</f>
        <v>7.4367375464583994</v>
      </c>
      <c r="H15" s="8">
        <f t="shared" si="2"/>
        <v>17991</v>
      </c>
      <c r="I15" s="13">
        <f>IFERROR(H15/H6*100,0)</f>
        <v>6.9851142637500878</v>
      </c>
      <c r="J15" s="33"/>
      <c r="K15" s="7" t="s">
        <v>28</v>
      </c>
      <c r="L15" s="12">
        <f>取值!L14</f>
        <v>12561</v>
      </c>
      <c r="M15" s="8">
        <f>IFERROR(SUM(L15,取值!M12),"")</f>
        <v>177056</v>
      </c>
      <c r="N15" s="13">
        <f>IFERROR(L15/L6*100,0)</f>
        <v>6.8585375442274925</v>
      </c>
      <c r="O15" s="13">
        <f>IFERROR(M15/M6*100,0)</f>
        <v>7.8743246122009873</v>
      </c>
      <c r="P15" s="10">
        <f>取值!P12</f>
        <v>13673</v>
      </c>
      <c r="Q15" s="14">
        <f>IFERROR(P15/P6*100,0)</f>
        <v>7.540395963161088</v>
      </c>
    </row>
    <row r="16" spans="1:17" ht="20.25" customHeight="1" x14ac:dyDescent="0.25">
      <c r="A16" s="2"/>
      <c r="B16" s="32"/>
      <c r="C16" s="7" t="s">
        <v>29</v>
      </c>
      <c r="D16" s="8">
        <f t="shared" si="0"/>
        <v>2014</v>
      </c>
      <c r="E16" s="8">
        <f t="shared" si="1"/>
        <v>23677</v>
      </c>
      <c r="F16" s="13">
        <f>IFERROR(D16/D6*100,0)</f>
        <v>0.76018933017279777</v>
      </c>
      <c r="G16" s="13">
        <f>IFERROR(E16/E6*100,0)</f>
        <v>0.72385986033971306</v>
      </c>
      <c r="H16" s="8">
        <f t="shared" si="2"/>
        <v>2577</v>
      </c>
      <c r="I16" s="13">
        <f>IFERROR(H16/H6*100,0)</f>
        <v>1.0005357933235492</v>
      </c>
      <c r="J16" s="33"/>
      <c r="K16" s="7" t="s">
        <v>30</v>
      </c>
      <c r="L16" s="12">
        <f>取值!L15</f>
        <v>1069</v>
      </c>
      <c r="M16" s="8">
        <f>IFERROR(SUM(L16,取值!M13),"")</f>
        <v>12126</v>
      </c>
      <c r="N16" s="13">
        <f>IFERROR(L16/L6*100,0)</f>
        <v>0.58369370549949773</v>
      </c>
      <c r="O16" s="13">
        <f>IFERROR(M16/M6*100,0)</f>
        <v>0.53928734551525603</v>
      </c>
      <c r="P16" s="10">
        <f>取值!P13</f>
        <v>1259</v>
      </c>
      <c r="Q16" s="14">
        <f>IFERROR(P16/P6*100,0)</f>
        <v>0.69431423371753154</v>
      </c>
    </row>
    <row r="17" spans="1:17" ht="20.25" customHeight="1" x14ac:dyDescent="0.25">
      <c r="A17" s="2"/>
      <c r="B17" s="32"/>
      <c r="C17" s="7" t="s">
        <v>31</v>
      </c>
      <c r="D17" s="8">
        <f t="shared" si="0"/>
        <v>1019</v>
      </c>
      <c r="E17" s="8">
        <f t="shared" si="1"/>
        <v>13550</v>
      </c>
      <c r="F17" s="13">
        <f>IFERROR(D17/D6*100,0)</f>
        <v>0.38462409505763701</v>
      </c>
      <c r="G17" s="13">
        <f>IFERROR(E17/E6*100,0)</f>
        <v>0.41425438643422363</v>
      </c>
      <c r="H17" s="8">
        <f t="shared" si="2"/>
        <v>1029</v>
      </c>
      <c r="I17" s="13">
        <f>IFERROR(H17/H6*100,0)</f>
        <v>0.39951545647261633</v>
      </c>
      <c r="J17" s="33"/>
      <c r="K17" s="7" t="s">
        <v>31</v>
      </c>
      <c r="L17" s="12">
        <f>IFERROR(L6-SUM(L10:L16),"")</f>
        <v>753</v>
      </c>
      <c r="M17" s="8">
        <f>IFERROR(SUM(L17,取值!M14),"")</f>
        <v>9975</v>
      </c>
      <c r="N17" s="13">
        <f>IFERROR(L17/L6*100,0)</f>
        <v>0.41115188048748524</v>
      </c>
      <c r="O17" s="13">
        <f>IFERROR(M17/M6*100,0)</f>
        <v>0.44362454820342062</v>
      </c>
      <c r="P17" s="10">
        <f>取值!P14</f>
        <v>773</v>
      </c>
      <c r="Q17" s="14">
        <f>IFERROR(P17/P6*100,0)</f>
        <v>0.42629460100369487</v>
      </c>
    </row>
    <row r="18" spans="1:17" ht="20.25" customHeight="1" x14ac:dyDescent="0.25">
      <c r="A18" s="2"/>
      <c r="B18" s="32"/>
      <c r="C18" s="7" t="s">
        <v>32</v>
      </c>
      <c r="D18" s="8">
        <f t="shared" si="0"/>
        <v>185169</v>
      </c>
      <c r="E18" s="8">
        <f t="shared" si="1"/>
        <v>2314298</v>
      </c>
      <c r="F18" s="13">
        <f>IFERROR(D18/D6*100,0)</f>
        <v>69.892501528682615</v>
      </c>
      <c r="G18" s="13">
        <f>IFERROR(E18/E6*100,0)</f>
        <v>70.75336516722885</v>
      </c>
      <c r="H18" s="8">
        <f t="shared" si="2"/>
        <v>177414</v>
      </c>
      <c r="I18" s="13">
        <f>IFERROR(H18/H6*100,0)</f>
        <v>68.882055582733486</v>
      </c>
      <c r="J18" s="33"/>
      <c r="K18" s="7" t="s">
        <v>32</v>
      </c>
      <c r="L18" s="9">
        <f>IFERROR(SUM(L13:L14),"")</f>
        <v>131310</v>
      </c>
      <c r="M18" s="8">
        <f>IFERROR(SUM(L18,取值!M15),"")</f>
        <v>1602857</v>
      </c>
      <c r="N18" s="13">
        <f>IFERROR(L18/L6*100,0)</f>
        <v>71.697680513694138</v>
      </c>
      <c r="O18" s="13">
        <f>IFERROR(M18/M6*100,0)</f>
        <v>71.284883454605534</v>
      </c>
      <c r="P18" s="10">
        <f>取值!P15</f>
        <v>125601</v>
      </c>
      <c r="Q18" s="14">
        <f>IFERROR(P18/P6*100,0)</f>
        <v>69.266530634754318</v>
      </c>
    </row>
    <row r="19" spans="1:17" ht="20.25" customHeight="1" x14ac:dyDescent="0.25">
      <c r="A19" s="2"/>
      <c r="B19" s="32"/>
      <c r="C19" s="7" t="s">
        <v>33</v>
      </c>
      <c r="D19" s="8">
        <f t="shared" si="0"/>
        <v>232803</v>
      </c>
      <c r="E19" s="8">
        <f t="shared" si="1"/>
        <v>2854475</v>
      </c>
      <c r="F19" s="13">
        <f>IFERROR(D19/D6*100,0)</f>
        <v>87.872073799512336</v>
      </c>
      <c r="G19" s="13">
        <f>IFERROR(E19/E6*100,0)</f>
        <v>87.267807359175677</v>
      </c>
      <c r="H19" s="8">
        <f t="shared" si="2"/>
        <v>224536</v>
      </c>
      <c r="I19" s="13">
        <f>IFERROR(H19/H6*100,0)</f>
        <v>87.17745630178365</v>
      </c>
      <c r="J19" s="33"/>
      <c r="K19" s="7" t="s">
        <v>33</v>
      </c>
      <c r="L19" s="9">
        <f>IFERROR(SUM(L12:L14),"")</f>
        <v>160247</v>
      </c>
      <c r="M19" s="8">
        <f>IFERROR(SUM(L19,取值!M16),"")</f>
        <v>1949211</v>
      </c>
      <c r="N19" s="13">
        <f>IFERROR(L19/L6*100,0)</f>
        <v>87.497815926265659</v>
      </c>
      <c r="O19" s="13">
        <f>IFERROR(M19/M6*100,0)</f>
        <v>86.688506188284492</v>
      </c>
      <c r="P19" s="10">
        <f>取值!P16</f>
        <v>157063</v>
      </c>
      <c r="Q19" s="14">
        <f>IFERROR(P19/P6*100,0)</f>
        <v>86.617217228257871</v>
      </c>
    </row>
    <row r="20" spans="1:17" ht="20.25" customHeight="1" x14ac:dyDescent="0.25">
      <c r="A20" s="2"/>
      <c r="B20" s="32" t="s">
        <v>34</v>
      </c>
      <c r="C20" s="7" t="s">
        <v>17</v>
      </c>
      <c r="D20" s="9">
        <f>IFERROR(SUM(D21:D23),"")</f>
        <v>81790</v>
      </c>
      <c r="E20" s="8">
        <f>IFERROR(SUM(D20,取值!E17),"")</f>
        <v>1022414</v>
      </c>
      <c r="F20" s="1" t="s">
        <v>18</v>
      </c>
      <c r="G20" s="1" t="s">
        <v>18</v>
      </c>
      <c r="H20" s="10">
        <f>取值!H17</f>
        <v>76232</v>
      </c>
      <c r="I20" s="1" t="s">
        <v>18</v>
      </c>
      <c r="J20" s="7"/>
      <c r="K20" s="7"/>
      <c r="L20" s="7"/>
      <c r="M20" s="7"/>
      <c r="N20" s="7"/>
      <c r="O20" s="7"/>
      <c r="P20" s="7"/>
      <c r="Q20" s="15"/>
    </row>
    <row r="21" spans="1:17" ht="20.25" customHeight="1" x14ac:dyDescent="0.25">
      <c r="A21" s="2"/>
      <c r="B21" s="32"/>
      <c r="C21" s="11" t="s">
        <v>20</v>
      </c>
      <c r="D21" s="12">
        <f>取值!D20</f>
        <v>79857</v>
      </c>
      <c r="E21" s="8">
        <f>IFERROR(SUM(D21,取值!E18),"")</f>
        <v>1006799</v>
      </c>
      <c r="F21" s="1" t="s">
        <v>18</v>
      </c>
      <c r="G21" s="1" t="s">
        <v>18</v>
      </c>
      <c r="H21" s="10">
        <f>取值!H18</f>
        <v>75238</v>
      </c>
      <c r="I21" s="1" t="s">
        <v>18</v>
      </c>
      <c r="J21" s="7"/>
      <c r="K21" s="7"/>
      <c r="L21" s="7"/>
      <c r="M21" s="7"/>
      <c r="N21" s="7"/>
      <c r="O21" s="7"/>
      <c r="P21" s="7"/>
      <c r="Q21" s="15"/>
    </row>
    <row r="22" spans="1:17" ht="20.25" customHeight="1" x14ac:dyDescent="0.25">
      <c r="A22" s="2"/>
      <c r="B22" s="32"/>
      <c r="C22" s="11" t="s">
        <v>21</v>
      </c>
      <c r="D22" s="12">
        <f>取值!D21</f>
        <v>288</v>
      </c>
      <c r="E22" s="8">
        <f>IFERROR(SUM(D22,取值!E19),"")</f>
        <v>3475</v>
      </c>
      <c r="F22" s="1" t="s">
        <v>18</v>
      </c>
      <c r="G22" s="1" t="s">
        <v>18</v>
      </c>
      <c r="H22" s="10">
        <f>取值!H19</f>
        <v>327</v>
      </c>
      <c r="I22" s="1" t="s">
        <v>18</v>
      </c>
      <c r="J22" s="7"/>
      <c r="K22" s="7"/>
      <c r="L22" s="7"/>
      <c r="M22" s="7"/>
      <c r="N22" s="7"/>
      <c r="O22" s="7"/>
      <c r="P22" s="7"/>
      <c r="Q22" s="15"/>
    </row>
    <row r="23" spans="1:17" ht="20.25" customHeight="1" x14ac:dyDescent="0.25">
      <c r="A23" s="2"/>
      <c r="B23" s="32"/>
      <c r="C23" s="11" t="s">
        <v>22</v>
      </c>
      <c r="D23" s="12">
        <f>取值!D22</f>
        <v>1645</v>
      </c>
      <c r="E23" s="8">
        <f>IFERROR(SUM(D23,取值!E20),"")</f>
        <v>12140</v>
      </c>
      <c r="F23" s="1" t="s">
        <v>18</v>
      </c>
      <c r="G23" s="1" t="s">
        <v>18</v>
      </c>
      <c r="H23" s="10">
        <f>取值!H20</f>
        <v>667</v>
      </c>
      <c r="I23" s="1" t="s">
        <v>18</v>
      </c>
      <c r="J23" s="7"/>
      <c r="K23" s="7"/>
      <c r="L23" s="7"/>
      <c r="M23" s="7"/>
      <c r="N23" s="7"/>
      <c r="O23" s="7"/>
      <c r="P23" s="7"/>
      <c r="Q23" s="15"/>
    </row>
    <row r="24" spans="1:17" ht="20.25" customHeight="1" x14ac:dyDescent="0.25">
      <c r="A24" s="2"/>
      <c r="B24" s="32"/>
      <c r="C24" s="7" t="s">
        <v>23</v>
      </c>
      <c r="D24" s="12"/>
      <c r="E24" s="8">
        <f>IFERROR(SUM(D24,取值!E21),"")</f>
        <v>0</v>
      </c>
      <c r="F24" s="7"/>
      <c r="G24" s="7"/>
      <c r="H24" s="10">
        <f>取值!H21</f>
        <v>0</v>
      </c>
      <c r="I24" s="7"/>
      <c r="J24" s="7"/>
      <c r="K24" s="7"/>
      <c r="L24" s="7"/>
      <c r="M24" s="7"/>
      <c r="N24" s="7"/>
      <c r="O24" s="7"/>
      <c r="P24" s="7"/>
      <c r="Q24" s="15"/>
    </row>
    <row r="25" spans="1:17" ht="20.25" customHeight="1" x14ac:dyDescent="0.25">
      <c r="A25" s="2"/>
      <c r="B25" s="32"/>
      <c r="C25" s="7" t="s">
        <v>24</v>
      </c>
      <c r="D25" s="12">
        <f>取值!D23</f>
        <v>3168</v>
      </c>
      <c r="E25" s="8">
        <f>IFERROR(SUM(D25,取值!E22),"")</f>
        <v>35829</v>
      </c>
      <c r="F25" s="13">
        <f>IFERROR(D25/D20*100,0)</f>
        <v>3.8733341484289028</v>
      </c>
      <c r="G25" s="13">
        <f>IFERROR(E25/E20*100,0)</f>
        <v>3.5043534223905382</v>
      </c>
      <c r="H25" s="10">
        <f>取值!H22</f>
        <v>2867</v>
      </c>
      <c r="I25" s="13">
        <f>IFERROR(H25/H20*100,0)</f>
        <v>3.7608878161402037</v>
      </c>
      <c r="J25" s="7"/>
      <c r="K25" s="7"/>
      <c r="L25" s="7"/>
      <c r="M25" s="7"/>
      <c r="N25" s="7"/>
      <c r="O25" s="7"/>
      <c r="P25" s="7"/>
      <c r="Q25" s="15"/>
    </row>
    <row r="26" spans="1:17" ht="20.25" customHeight="1" x14ac:dyDescent="0.25">
      <c r="A26" s="2"/>
      <c r="B26" s="32"/>
      <c r="C26" s="7" t="s">
        <v>25</v>
      </c>
      <c r="D26" s="12">
        <f>取值!D24</f>
        <v>18697</v>
      </c>
      <c r="E26" s="8">
        <f>IFERROR(SUM(D26,取值!E23),"")</f>
        <v>193823</v>
      </c>
      <c r="F26" s="13">
        <f>IFERROR(D26/D20*100,0)</f>
        <v>22.859762807189142</v>
      </c>
      <c r="G26" s="13">
        <f>IFERROR(E26/E20*100,0)</f>
        <v>18.957389081135432</v>
      </c>
      <c r="H26" s="10">
        <f>取值!H23</f>
        <v>15660</v>
      </c>
      <c r="I26" s="13">
        <f>IFERROR(H26/H20*100,0)</f>
        <v>20.542554307902194</v>
      </c>
      <c r="J26" s="7"/>
      <c r="K26" s="7"/>
      <c r="L26" s="7"/>
      <c r="M26" s="7"/>
      <c r="N26" s="7"/>
      <c r="O26" s="7"/>
      <c r="P26" s="7"/>
      <c r="Q26" s="15"/>
    </row>
    <row r="27" spans="1:17" ht="20.25" customHeight="1" x14ac:dyDescent="0.25">
      <c r="A27" s="2"/>
      <c r="B27" s="32"/>
      <c r="C27" s="7" t="s">
        <v>26</v>
      </c>
      <c r="D27" s="12">
        <f>取值!D25</f>
        <v>39623</v>
      </c>
      <c r="E27" s="8">
        <f>IFERROR(SUM(D27,取值!E24),"")</f>
        <v>488908</v>
      </c>
      <c r="F27" s="13">
        <f>IFERROR(D27/D20*100,0)</f>
        <v>48.444797652524755</v>
      </c>
      <c r="G27" s="13">
        <f>IFERROR(E27/E20*100,0)</f>
        <v>47.818985264286283</v>
      </c>
      <c r="H27" s="10">
        <f>取值!H24</f>
        <v>36675</v>
      </c>
      <c r="I27" s="13">
        <f>IFERROR(H27/H20*100,0)</f>
        <v>48.109717703851402</v>
      </c>
      <c r="J27" s="7"/>
      <c r="K27" s="7"/>
      <c r="L27" s="7"/>
      <c r="M27" s="7"/>
      <c r="N27" s="7"/>
      <c r="O27" s="7"/>
      <c r="P27" s="7"/>
      <c r="Q27" s="15"/>
    </row>
    <row r="28" spans="1:17" ht="20.25" customHeight="1" x14ac:dyDescent="0.25">
      <c r="A28" s="2"/>
      <c r="B28" s="32"/>
      <c r="C28" s="7" t="s">
        <v>27</v>
      </c>
      <c r="D28" s="12">
        <f>取值!D26</f>
        <v>14236</v>
      </c>
      <c r="E28" s="8">
        <f>IFERROR(SUM(D28,取值!E25),"")</f>
        <v>222533</v>
      </c>
      <c r="F28" s="13">
        <f>IFERROR(D28/D20*100,0)</f>
        <v>17.405550800831399</v>
      </c>
      <c r="G28" s="13">
        <f>IFERROR(E28/E20*100,0)</f>
        <v>21.765449221156988</v>
      </c>
      <c r="H28" s="10">
        <f>取值!H25</f>
        <v>15138</v>
      </c>
      <c r="I28" s="13">
        <f>IFERROR(H28/H20*100,0)</f>
        <v>19.857802497638787</v>
      </c>
      <c r="J28" s="7"/>
      <c r="K28" s="7"/>
      <c r="L28" s="7"/>
      <c r="M28" s="7"/>
      <c r="N28" s="7"/>
      <c r="O28" s="7"/>
      <c r="P28" s="7"/>
      <c r="Q28" s="15"/>
    </row>
    <row r="29" spans="1:17" ht="20.25" customHeight="1" x14ac:dyDescent="0.25">
      <c r="A29" s="2"/>
      <c r="B29" s="32"/>
      <c r="C29" s="7" t="s">
        <v>28</v>
      </c>
      <c r="D29" s="12">
        <f>取值!D27</f>
        <v>4855</v>
      </c>
      <c r="E29" s="8">
        <f>IFERROR(SUM(D29,取值!E26),"")</f>
        <v>66195</v>
      </c>
      <c r="F29" s="13">
        <f>IFERROR(D29/D20*100,0)</f>
        <v>5.935933488201492</v>
      </c>
      <c r="G29" s="13">
        <f>IFERROR(E29/E20*100,0)</f>
        <v>6.4743831755042471</v>
      </c>
      <c r="H29" s="10">
        <f>取值!H26</f>
        <v>4318</v>
      </c>
      <c r="I29" s="13">
        <f>IFERROR(H29/H20*100,0)</f>
        <v>5.6642879630601319</v>
      </c>
      <c r="J29" s="7"/>
      <c r="K29" s="7"/>
      <c r="L29" s="7"/>
      <c r="M29" s="7"/>
      <c r="N29" s="7"/>
      <c r="O29" s="7"/>
      <c r="P29" s="7"/>
      <c r="Q29" s="15"/>
    </row>
    <row r="30" spans="1:17" ht="20.25" customHeight="1" x14ac:dyDescent="0.25">
      <c r="A30" s="2"/>
      <c r="B30" s="32"/>
      <c r="C30" s="7" t="s">
        <v>29</v>
      </c>
      <c r="D30" s="12">
        <f>取值!D28</f>
        <v>945</v>
      </c>
      <c r="E30" s="8">
        <f>IFERROR(SUM(D30,取值!E27),"")</f>
        <v>11551</v>
      </c>
      <c r="F30" s="13">
        <f>IFERROR(D30/D20*100,0)</f>
        <v>1.1553979704120307</v>
      </c>
      <c r="G30" s="13">
        <f>IFERROR(E30/E20*100,0)</f>
        <v>1.1297771744127134</v>
      </c>
      <c r="H30" s="10">
        <f>取值!H27</f>
        <v>1318</v>
      </c>
      <c r="I30" s="13">
        <f>IFERROR(H30/H20*100,0)</f>
        <v>1.7289327316612444</v>
      </c>
      <c r="J30" s="7"/>
      <c r="K30" s="7"/>
      <c r="L30" s="7"/>
      <c r="M30" s="7"/>
      <c r="N30" s="7"/>
      <c r="O30" s="7"/>
      <c r="P30" s="7"/>
      <c r="Q30" s="15"/>
    </row>
    <row r="31" spans="1:17" ht="20.25" customHeight="1" x14ac:dyDescent="0.25">
      <c r="A31" s="2"/>
      <c r="B31" s="32"/>
      <c r="C31" s="7" t="s">
        <v>31</v>
      </c>
      <c r="D31" s="12">
        <f>IFERROR(D20-SUM(D25:D30),"")</f>
        <v>266</v>
      </c>
      <c r="E31" s="8">
        <f>IFERROR(SUM(D31,取值!E28),"")</f>
        <v>3575</v>
      </c>
      <c r="F31" s="13">
        <f>IFERROR(D31/D20*100,0)</f>
        <v>0.32522313241227535</v>
      </c>
      <c r="G31" s="13">
        <f>IFERROR(E31/E20*100,0)</f>
        <v>0.34966266111379535</v>
      </c>
      <c r="H31" s="10">
        <f>取值!H28</f>
        <v>256</v>
      </c>
      <c r="I31" s="13">
        <f>IFERROR(H31/H20*100,0)</f>
        <v>0.33581697974603841</v>
      </c>
      <c r="J31" s="7"/>
      <c r="K31" s="7"/>
      <c r="L31" s="7"/>
      <c r="M31" s="7"/>
      <c r="N31" s="7"/>
      <c r="O31" s="7"/>
      <c r="P31" s="7"/>
      <c r="Q31" s="15"/>
    </row>
    <row r="32" spans="1:17" ht="20.25" customHeight="1" x14ac:dyDescent="0.25">
      <c r="A32" s="2"/>
      <c r="B32" s="32"/>
      <c r="C32" s="7" t="s">
        <v>32</v>
      </c>
      <c r="D32" s="9">
        <f>IFERROR(SUM(D27:D28),"")</f>
        <v>53859</v>
      </c>
      <c r="E32" s="8">
        <f>IFERROR(SUM(D32,取值!E29),"")</f>
        <v>711441</v>
      </c>
      <c r="F32" s="13">
        <f>IFERROR(D32/D20*100,0)</f>
        <v>65.850348453356162</v>
      </c>
      <c r="G32" s="13">
        <f>IFERROR(E32/E20*100,0)</f>
        <v>69.584434485443268</v>
      </c>
      <c r="H32" s="10">
        <f>取值!H29</f>
        <v>51813</v>
      </c>
      <c r="I32" s="13">
        <f>IFERROR(H32/H20*100,0)</f>
        <v>67.967520201490188</v>
      </c>
      <c r="J32" s="7"/>
      <c r="K32" s="7"/>
      <c r="L32" s="7"/>
      <c r="M32" s="7"/>
      <c r="N32" s="7"/>
      <c r="O32" s="7"/>
      <c r="P32" s="7"/>
      <c r="Q32" s="15"/>
    </row>
    <row r="33" spans="1:17" ht="20.25" customHeight="1" x14ac:dyDescent="0.25">
      <c r="A33" s="2"/>
      <c r="B33" s="40"/>
      <c r="C33" s="16" t="s">
        <v>33</v>
      </c>
      <c r="D33" s="17">
        <f>IFERROR(SUM(D26:D28),"")</f>
        <v>72556</v>
      </c>
      <c r="E33" s="18">
        <f>IFERROR(SUM(D33,取值!E30),"")</f>
        <v>905264</v>
      </c>
      <c r="F33" s="19">
        <f>IFERROR(D33/D20*100,0)</f>
        <v>88.710111260545304</v>
      </c>
      <c r="G33" s="19">
        <f>IFERROR(E33/E20*100,0)</f>
        <v>88.541823566578699</v>
      </c>
      <c r="H33" s="20">
        <f>取值!H30</f>
        <v>67473</v>
      </c>
      <c r="I33" s="19">
        <f>IFERROR(H33/H20*100,0)</f>
        <v>88.510074509392382</v>
      </c>
      <c r="J33" s="16"/>
      <c r="K33" s="16"/>
      <c r="L33" s="16"/>
      <c r="M33" s="16"/>
      <c r="N33" s="16"/>
      <c r="O33" s="16"/>
      <c r="P33" s="16"/>
      <c r="Q33" s="21"/>
    </row>
    <row r="34" spans="1:17" ht="20.25" customHeight="1" x14ac:dyDescent="0.3">
      <c r="A34" s="2"/>
      <c r="B34" s="22"/>
      <c r="C34" s="23" t="s">
        <v>35</v>
      </c>
      <c r="D34" s="24" t="s">
        <v>36</v>
      </c>
      <c r="E34" s="22"/>
      <c r="F34" s="22"/>
      <c r="G34" s="22"/>
      <c r="H34" s="25"/>
      <c r="I34" s="41" t="s">
        <v>37</v>
      </c>
      <c r="J34" s="41"/>
      <c r="K34" s="24" t="s">
        <v>38</v>
      </c>
      <c r="L34" s="22"/>
      <c r="M34" s="22"/>
      <c r="N34" s="41" t="s">
        <v>39</v>
      </c>
      <c r="O34" s="41"/>
      <c r="P34" s="42">
        <f>IFERROR(取值!C3,"")</f>
        <v>46022</v>
      </c>
      <c r="Q34" s="42"/>
    </row>
  </sheetData>
  <mergeCells count="20">
    <mergeCell ref="B6:B19"/>
    <mergeCell ref="J6:J19"/>
    <mergeCell ref="B20:B33"/>
    <mergeCell ref="I34:J34"/>
    <mergeCell ref="P34:Q34"/>
    <mergeCell ref="N34:O34"/>
    <mergeCell ref="B2:Q2"/>
    <mergeCell ref="B4:B5"/>
    <mergeCell ref="C4:C5"/>
    <mergeCell ref="D4:E4"/>
    <mergeCell ref="F4:G4"/>
    <mergeCell ref="H4:I4"/>
    <mergeCell ref="J4:J5"/>
    <mergeCell ref="K4:K5"/>
    <mergeCell ref="L4:M4"/>
    <mergeCell ref="N4:O4"/>
    <mergeCell ref="P4:Q4"/>
    <mergeCell ref="I3:J3"/>
    <mergeCell ref="L3:Q3"/>
    <mergeCell ref="B3:C3"/>
  </mergeCells>
  <phoneticPr fontId="5" type="noConversion"/>
  <pageMargins left="1.3" right="0.71" top="0.95" bottom="0.75" header="0.31" footer="0.31"/>
  <pageSetup paperSize="9" scale="69" orientation="landscape"/>
  <headerFooter>
    <oddHeader>&amp;L&amp;C&amp;R</oddHeader>
    <oddFooter>&amp;L&amp;C&amp;R</oddFooter>
    <evenHeader>&amp;L&amp;C&amp;R</evenHeader>
    <evenFooter>&amp;L&amp;C&amp;R</even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96E4-B888-8285-0C28-2ED73035E98E}">
  <dimension ref="A1:P32"/>
  <sheetViews>
    <sheetView defaultGridColor="0" topLeftCell="A9" colorId="31" workbookViewId="0">
      <selection activeCell="F27" sqref="F27"/>
    </sheetView>
  </sheetViews>
  <sheetFormatPr defaultRowHeight="14.15" customHeight="1" x14ac:dyDescent="0.25"/>
  <sheetData>
    <row r="1" spans="1:16" ht="14.25" customHeight="1" x14ac:dyDescent="0.25">
      <c r="A1" s="2"/>
      <c r="B1" s="2" t="s">
        <v>40</v>
      </c>
      <c r="C1" s="26" t="s">
        <v>4</v>
      </c>
      <c r="D1" s="2" t="s">
        <v>41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25" customHeight="1" x14ac:dyDescent="0.25">
      <c r="A2" s="2"/>
      <c r="B2" s="2"/>
      <c r="C2" s="27">
        <f>EDATE(C1,1)</f>
        <v>46023</v>
      </c>
      <c r="D2" s="2"/>
      <c r="E2" s="2"/>
      <c r="F2" s="2"/>
      <c r="G2" s="2"/>
      <c r="H2" s="2"/>
      <c r="I2" s="2"/>
      <c r="J2" s="2"/>
      <c r="K2" s="2"/>
      <c r="L2" s="2"/>
      <c r="M2" s="2" t="s">
        <v>42</v>
      </c>
      <c r="N2" s="2"/>
      <c r="O2" s="2"/>
      <c r="P2" s="2" t="s">
        <v>43</v>
      </c>
    </row>
    <row r="3" spans="1:16" ht="14.25" customHeight="1" x14ac:dyDescent="0.25">
      <c r="A3" s="2"/>
      <c r="B3" s="2"/>
      <c r="C3" s="28">
        <f>C2-1</f>
        <v>46022</v>
      </c>
      <c r="D3" s="2"/>
      <c r="E3" s="2"/>
      <c r="F3" s="2"/>
      <c r="G3" s="2"/>
      <c r="H3" s="2"/>
      <c r="I3" s="2"/>
      <c r="J3" s="2"/>
      <c r="K3" s="2"/>
      <c r="L3" s="2"/>
      <c r="M3" s="2">
        <v>2065379</v>
      </c>
      <c r="N3" s="2"/>
      <c r="O3" s="2"/>
      <c r="P3" s="2">
        <v>181330</v>
      </c>
    </row>
    <row r="4" spans="1:1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>
        <v>2065379</v>
      </c>
      <c r="N4" s="2"/>
      <c r="O4" s="2"/>
      <c r="P4" s="2">
        <v>181330</v>
      </c>
    </row>
    <row r="5" spans="1:1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>
        <v>183144</v>
      </c>
      <c r="M7" s="2">
        <v>25371</v>
      </c>
      <c r="N7" s="2"/>
      <c r="O7" s="2"/>
      <c r="P7" s="2">
        <v>2735</v>
      </c>
    </row>
    <row r="8" spans="1:1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>
        <v>66270</v>
      </c>
      <c r="N8" s="2"/>
      <c r="O8" s="2"/>
      <c r="P8" s="2">
        <v>5827</v>
      </c>
    </row>
    <row r="9" spans="1:1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>
        <v>2085</v>
      </c>
      <c r="M9" s="2">
        <v>317417</v>
      </c>
      <c r="N9" s="2"/>
      <c r="O9" s="2"/>
      <c r="P9" s="2">
        <v>31462</v>
      </c>
    </row>
    <row r="10" spans="1:1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>
        <v>6429</v>
      </c>
      <c r="M10" s="2">
        <v>947360</v>
      </c>
      <c r="N10" s="2"/>
      <c r="O10" s="2"/>
      <c r="P10" s="2">
        <v>80519</v>
      </c>
    </row>
    <row r="11" spans="1:16" ht="14.2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>
        <v>28937</v>
      </c>
      <c r="M11" s="2">
        <v>524187</v>
      </c>
      <c r="N11" s="2"/>
      <c r="O11" s="2"/>
      <c r="P11" s="2">
        <v>45082</v>
      </c>
    </row>
    <row r="12" spans="1:1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>
        <v>86749</v>
      </c>
      <c r="M12" s="2">
        <v>164495</v>
      </c>
      <c r="N12" s="2"/>
      <c r="O12" s="2"/>
      <c r="P12" s="2">
        <v>13673</v>
      </c>
    </row>
    <row r="13" spans="1:1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>
        <v>44561</v>
      </c>
      <c r="M13" s="2">
        <v>11057</v>
      </c>
      <c r="N13" s="2"/>
      <c r="O13" s="2"/>
      <c r="P13" s="2">
        <v>1259</v>
      </c>
    </row>
    <row r="14" spans="1:1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>
        <v>12561</v>
      </c>
      <c r="M14" s="2">
        <v>9222</v>
      </c>
      <c r="N14" s="2"/>
      <c r="O14" s="2"/>
      <c r="P14" s="2">
        <v>773</v>
      </c>
    </row>
    <row r="15" spans="1:1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>
        <v>1069</v>
      </c>
      <c r="M15" s="2">
        <v>1471547</v>
      </c>
      <c r="N15" s="2"/>
      <c r="O15" s="2"/>
      <c r="P15" s="2">
        <v>125601</v>
      </c>
    </row>
    <row r="16" spans="1:16" ht="14.25" customHeight="1" x14ac:dyDescent="0.25">
      <c r="A16" s="2"/>
      <c r="B16" s="2"/>
      <c r="C16" s="2"/>
      <c r="D16" s="2"/>
      <c r="E16" s="2" t="s">
        <v>42</v>
      </c>
      <c r="F16" s="2"/>
      <c r="G16" s="2"/>
      <c r="H16" s="2" t="s">
        <v>43</v>
      </c>
      <c r="I16" s="2"/>
      <c r="J16" s="2"/>
      <c r="K16" s="2"/>
      <c r="L16" s="2"/>
      <c r="M16" s="2">
        <v>1788964</v>
      </c>
      <c r="N16" s="2"/>
      <c r="O16" s="2"/>
      <c r="P16" s="2">
        <v>157063</v>
      </c>
    </row>
    <row r="17" spans="1:16" ht="14.25" customHeight="1" x14ac:dyDescent="0.25">
      <c r="A17" s="2"/>
      <c r="B17" s="2"/>
      <c r="C17" s="2"/>
      <c r="D17" s="2"/>
      <c r="E17" s="2">
        <v>940624</v>
      </c>
      <c r="F17" s="2"/>
      <c r="G17" s="2"/>
      <c r="H17" s="2">
        <v>76232</v>
      </c>
      <c r="I17" s="2"/>
      <c r="J17" s="2"/>
      <c r="K17" s="2"/>
      <c r="L17" s="2"/>
      <c r="M17" s="2"/>
      <c r="N17" s="2"/>
      <c r="O17" s="2"/>
      <c r="P17" s="2"/>
    </row>
    <row r="18" spans="1:16" ht="14.25" customHeight="1" x14ac:dyDescent="0.25">
      <c r="A18" s="2"/>
      <c r="B18" s="2"/>
      <c r="C18" s="2"/>
      <c r="D18" s="2"/>
      <c r="E18" s="2">
        <v>926942</v>
      </c>
      <c r="F18" s="2"/>
      <c r="G18" s="2"/>
      <c r="H18" s="2">
        <v>75238</v>
      </c>
      <c r="I18" s="2"/>
      <c r="J18" s="2"/>
      <c r="K18" s="2"/>
      <c r="L18" s="2"/>
      <c r="M18" s="2"/>
      <c r="N18" s="2"/>
      <c r="O18" s="2"/>
      <c r="P18" s="2"/>
    </row>
    <row r="19" spans="1:16" ht="14.25" customHeight="1" x14ac:dyDescent="0.25">
      <c r="A19" s="2"/>
      <c r="B19" s="2"/>
      <c r="C19" s="2"/>
      <c r="D19" s="2"/>
      <c r="E19" s="2">
        <v>3187</v>
      </c>
      <c r="F19" s="2"/>
      <c r="G19" s="2"/>
      <c r="H19" s="2">
        <v>327</v>
      </c>
      <c r="I19" s="2"/>
      <c r="J19" s="2"/>
      <c r="K19" s="2"/>
      <c r="L19" s="2"/>
      <c r="M19" s="2"/>
      <c r="N19" s="2"/>
      <c r="O19" s="2"/>
      <c r="P19" s="2"/>
    </row>
    <row r="20" spans="1:16" ht="14.25" customHeight="1" x14ac:dyDescent="0.25">
      <c r="A20" s="2"/>
      <c r="B20" s="2"/>
      <c r="C20" s="2"/>
      <c r="D20" s="2">
        <v>79857</v>
      </c>
      <c r="E20" s="2">
        <v>10495</v>
      </c>
      <c r="F20" s="2"/>
      <c r="G20" s="2"/>
      <c r="H20" s="2">
        <v>667</v>
      </c>
      <c r="I20" s="2"/>
      <c r="J20" s="2"/>
      <c r="K20" s="2"/>
      <c r="L20" s="2"/>
      <c r="M20" s="2"/>
      <c r="N20" s="2"/>
      <c r="O20" s="2"/>
      <c r="P20" s="2"/>
    </row>
    <row r="21" spans="1:16" ht="14.25" customHeight="1" x14ac:dyDescent="0.25">
      <c r="A21" s="2"/>
      <c r="B21" s="2"/>
      <c r="C21" s="2"/>
      <c r="D21" s="2">
        <v>288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4.25" customHeight="1" x14ac:dyDescent="0.25">
      <c r="A22" s="2"/>
      <c r="B22" s="2"/>
      <c r="C22" s="2"/>
      <c r="D22" s="2">
        <v>1645</v>
      </c>
      <c r="E22" s="2">
        <v>32661</v>
      </c>
      <c r="F22" s="2"/>
      <c r="G22" s="2"/>
      <c r="H22" s="2">
        <v>2867</v>
      </c>
      <c r="I22" s="2"/>
      <c r="J22" s="2"/>
      <c r="K22" s="2"/>
      <c r="L22" s="2"/>
      <c r="M22" s="2"/>
      <c r="N22" s="2"/>
      <c r="O22" s="2"/>
      <c r="P22" s="2"/>
    </row>
    <row r="23" spans="1:16" ht="14.25" customHeight="1" x14ac:dyDescent="0.25">
      <c r="A23" s="2"/>
      <c r="B23" s="2"/>
      <c r="C23" s="2"/>
      <c r="D23" s="2">
        <v>3168</v>
      </c>
      <c r="E23" s="2">
        <v>175126</v>
      </c>
      <c r="F23" s="2"/>
      <c r="G23" s="2"/>
      <c r="H23" s="2">
        <v>15660</v>
      </c>
      <c r="I23" s="2"/>
      <c r="J23" s="2"/>
      <c r="K23" s="2"/>
      <c r="L23" s="2"/>
      <c r="M23" s="2"/>
      <c r="N23" s="2"/>
      <c r="O23" s="2"/>
      <c r="P23" s="2"/>
    </row>
    <row r="24" spans="1:16" ht="14.25" customHeight="1" x14ac:dyDescent="0.25">
      <c r="A24" s="2"/>
      <c r="B24" s="2"/>
      <c r="C24" s="2"/>
      <c r="D24" s="2">
        <v>18697</v>
      </c>
      <c r="E24" s="2">
        <v>449285</v>
      </c>
      <c r="F24" s="2"/>
      <c r="G24" s="2"/>
      <c r="H24" s="2">
        <v>36675</v>
      </c>
      <c r="I24" s="2"/>
      <c r="J24" s="2"/>
      <c r="K24" s="2"/>
      <c r="L24" s="2"/>
      <c r="M24" s="2"/>
      <c r="N24" s="2"/>
      <c r="O24" s="2"/>
      <c r="P24" s="2"/>
    </row>
    <row r="25" spans="1:16" ht="14.25" customHeight="1" x14ac:dyDescent="0.25">
      <c r="A25" s="2"/>
      <c r="B25" s="2"/>
      <c r="C25" s="2"/>
      <c r="D25" s="2">
        <v>39623</v>
      </c>
      <c r="E25" s="2">
        <v>208297</v>
      </c>
      <c r="F25" s="2"/>
      <c r="G25" s="2"/>
      <c r="H25" s="2">
        <v>15138</v>
      </c>
      <c r="I25" s="2"/>
      <c r="J25" s="2"/>
      <c r="K25" s="2"/>
      <c r="L25" s="2"/>
      <c r="M25" s="2"/>
      <c r="N25" s="2"/>
      <c r="O25" s="2"/>
      <c r="P25" s="2"/>
    </row>
    <row r="26" spans="1:16" ht="14.25" customHeight="1" x14ac:dyDescent="0.25">
      <c r="A26" s="2"/>
      <c r="B26" s="2"/>
      <c r="C26" s="2"/>
      <c r="D26" s="2">
        <v>14236</v>
      </c>
      <c r="E26" s="2">
        <v>61340</v>
      </c>
      <c r="F26" s="2"/>
      <c r="G26" s="2"/>
      <c r="H26" s="2">
        <v>4318</v>
      </c>
      <c r="I26" s="2"/>
      <c r="J26" s="2"/>
      <c r="K26" s="2"/>
      <c r="L26" s="2"/>
      <c r="M26" s="2"/>
      <c r="N26" s="2"/>
      <c r="O26" s="2"/>
      <c r="P26" s="2"/>
    </row>
    <row r="27" spans="1:16" ht="14.25" customHeight="1" x14ac:dyDescent="0.25">
      <c r="A27" s="2"/>
      <c r="B27" s="2"/>
      <c r="C27" s="2"/>
      <c r="D27" s="2">
        <v>4855</v>
      </c>
      <c r="E27" s="2">
        <v>10606</v>
      </c>
      <c r="F27" s="2"/>
      <c r="G27" s="2"/>
      <c r="H27" s="2">
        <v>1318</v>
      </c>
      <c r="I27" s="2"/>
      <c r="J27" s="2"/>
      <c r="K27" s="2"/>
      <c r="L27" s="2"/>
      <c r="M27" s="2"/>
      <c r="N27" s="2"/>
      <c r="O27" s="2"/>
      <c r="P27" s="2"/>
    </row>
    <row r="28" spans="1:16" ht="14.25" customHeight="1" x14ac:dyDescent="0.25">
      <c r="A28" s="2"/>
      <c r="B28" s="2"/>
      <c r="C28" s="2"/>
      <c r="D28" s="2">
        <v>945</v>
      </c>
      <c r="E28" s="2">
        <v>3309</v>
      </c>
      <c r="F28" s="2"/>
      <c r="G28" s="2"/>
      <c r="H28" s="2">
        <v>256</v>
      </c>
      <c r="I28" s="2"/>
      <c r="J28" s="2"/>
      <c r="K28" s="2"/>
      <c r="L28" s="2"/>
      <c r="M28" s="2"/>
      <c r="N28" s="2"/>
      <c r="O28" s="2"/>
      <c r="P28" s="2"/>
    </row>
    <row r="29" spans="1:16" ht="14.25" customHeight="1" x14ac:dyDescent="0.25">
      <c r="A29" s="2"/>
      <c r="B29" s="2"/>
      <c r="C29" s="2"/>
      <c r="D29" s="2"/>
      <c r="E29" s="2">
        <v>657582</v>
      </c>
      <c r="F29" s="2"/>
      <c r="G29" s="2"/>
      <c r="H29" s="2">
        <v>51813</v>
      </c>
      <c r="I29" s="2"/>
      <c r="J29" s="2"/>
      <c r="K29" s="2"/>
      <c r="L29" s="2"/>
      <c r="M29" s="2"/>
      <c r="N29" s="2"/>
      <c r="O29" s="2"/>
      <c r="P29" s="2"/>
    </row>
    <row r="30" spans="1:16" ht="14.25" customHeight="1" x14ac:dyDescent="0.25">
      <c r="A30" s="2"/>
      <c r="B30" s="2"/>
      <c r="C30" s="2"/>
      <c r="D30" s="2"/>
      <c r="E30" s="2">
        <v>832708</v>
      </c>
      <c r="F30" s="2"/>
      <c r="G30" s="2"/>
      <c r="H30" s="2">
        <v>67473</v>
      </c>
      <c r="I30" s="2"/>
      <c r="J30" s="2"/>
      <c r="K30" s="2"/>
      <c r="L30" s="2"/>
      <c r="M30" s="2"/>
      <c r="N30" s="2"/>
      <c r="O30" s="2"/>
      <c r="P30" s="2"/>
    </row>
    <row r="31" spans="1:16" ht="14.25" customHeight="1" x14ac:dyDescent="0.25">
      <c r="A31" s="2"/>
      <c r="B31" s="2"/>
      <c r="C31" s="2"/>
      <c r="D31" s="2" t="s">
        <v>36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4.25" customHeight="1" x14ac:dyDescent="0.25">
      <c r="A32" s="2"/>
      <c r="B32" s="2"/>
      <c r="C32" s="2"/>
      <c r="D32" s="2" t="s">
        <v>38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</sheetData>
  <phoneticPr fontId="5" type="noConversion"/>
  <pageMargins left="0.7" right="0.7" top="0.75" bottom="0.75" header="0.3" footer="0.3"/>
  <pageSetup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延安炼油厂装置生产完成情况表（二）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烨铭 成</cp:lastModifiedBy>
  <cp:lastPrinted>2022-05-27T02:46:52Z</cp:lastPrinted>
  <dcterms:created xsi:type="dcterms:W3CDTF">2015-06-05T18:19:34Z</dcterms:created>
  <dcterms:modified xsi:type="dcterms:W3CDTF">2026-03-31T14:43:37Z</dcterms:modified>
</cp:coreProperties>
</file>