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报表\"/>
    </mc:Choice>
  </mc:AlternateContent>
  <xr:revisionPtr revIDLastSave="0" documentId="11_4F68806D44EC5E7AAB922E3E7976595CD53EB49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延安炼油厂装置生产完成情况表（五）" sheetId="1" r:id="rId1"/>
    <sheet name="取值" sheetId="2" state="hidden" r:id="rId2"/>
  </sheets>
  <calcPr calcId="191029"/>
</workbook>
</file>

<file path=xl/calcChain.xml><?xml version="1.0" encoding="utf-8"?>
<calcChain xmlns="http://schemas.openxmlformats.org/spreadsheetml/2006/main">
  <c r="B2" i="2" l="1"/>
  <c r="B3" i="2" s="1"/>
  <c r="P30" i="1" s="1"/>
  <c r="P15" i="1"/>
  <c r="Q15" i="1" s="1"/>
  <c r="L15" i="1"/>
  <c r="N15" i="1" s="1"/>
  <c r="P14" i="1"/>
  <c r="Q14" i="1" s="1"/>
  <c r="L14" i="1"/>
  <c r="N14" i="1" s="1"/>
  <c r="H14" i="1"/>
  <c r="I14" i="1" s="1"/>
  <c r="P13" i="1"/>
  <c r="Q13" i="1" s="1"/>
  <c r="L13" i="1"/>
  <c r="N13" i="1" s="1"/>
  <c r="H13" i="1"/>
  <c r="I13" i="1" s="1"/>
  <c r="D13" i="1"/>
  <c r="F13" i="1" s="1"/>
  <c r="P12" i="1"/>
  <c r="Q12" i="1" s="1"/>
  <c r="M12" i="1"/>
  <c r="O12" i="1" s="1"/>
  <c r="L12" i="1"/>
  <c r="N12" i="1" s="1"/>
  <c r="I12" i="1"/>
  <c r="H12" i="1"/>
  <c r="D12" i="1"/>
  <c r="F12" i="1" s="1"/>
  <c r="P11" i="1"/>
  <c r="Q11" i="1" s="1"/>
  <c r="L11" i="1"/>
  <c r="N11" i="1" s="1"/>
  <c r="H11" i="1"/>
  <c r="I11" i="1" s="1"/>
  <c r="D11" i="1"/>
  <c r="F11" i="1" s="1"/>
  <c r="P10" i="1"/>
  <c r="Q10" i="1" s="1"/>
  <c r="L10" i="1"/>
  <c r="N10" i="1" s="1"/>
  <c r="H10" i="1"/>
  <c r="I10" i="1" s="1"/>
  <c r="D10" i="1"/>
  <c r="F10" i="1" s="1"/>
  <c r="P9" i="1"/>
  <c r="Q9" i="1" s="1"/>
  <c r="L9" i="1"/>
  <c r="N9" i="1" s="1"/>
  <c r="H9" i="1"/>
  <c r="I9" i="1" s="1"/>
  <c r="E9" i="1"/>
  <c r="D9" i="1"/>
  <c r="P8" i="1"/>
  <c r="L8" i="1"/>
  <c r="M8" i="1" s="1"/>
  <c r="H8" i="1"/>
  <c r="D8" i="1"/>
  <c r="E8" i="1" s="1"/>
  <c r="P7" i="1"/>
  <c r="L7" i="1"/>
  <c r="M7" i="1" s="1"/>
  <c r="H7" i="1"/>
  <c r="D7" i="1"/>
  <c r="E7" i="1" s="1"/>
  <c r="P6" i="1"/>
  <c r="L6" i="1"/>
  <c r="M6" i="1" s="1"/>
  <c r="H6" i="1"/>
  <c r="D6" i="1"/>
  <c r="D14" i="1" s="1"/>
  <c r="F14" i="1" l="1"/>
  <c r="E14" i="1"/>
  <c r="F9" i="1"/>
  <c r="M14" i="1"/>
  <c r="O14" i="1" s="1"/>
  <c r="E6" i="1"/>
  <c r="G9" i="1" s="1"/>
  <c r="E11" i="1"/>
  <c r="M9" i="1"/>
  <c r="O9" i="1" s="1"/>
  <c r="E13" i="1"/>
  <c r="M11" i="1"/>
  <c r="O11" i="1" s="1"/>
  <c r="E10" i="1"/>
  <c r="M15" i="1"/>
  <c r="O15" i="1" s="1"/>
  <c r="M13" i="1"/>
  <c r="O13" i="1" s="1"/>
  <c r="E12" i="1"/>
  <c r="G12" i="1" s="1"/>
  <c r="M10" i="1"/>
  <c r="O10" i="1" s="1"/>
  <c r="G10" i="1" l="1"/>
  <c r="G13" i="1"/>
  <c r="G11" i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000-000001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#Input("延炼_生产计划部_延炼装置生产完成情况表5_7万醋酸仲丁酯装置_原料处理量",":key{{dw}}",":read")</t>
        </r>
      </text>
    </comment>
    <comment ref="L6" authorId="0" shapeId="0" xr:uid="{00000000-0006-0000-0000-000002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#Input("延炼_生产计划部_延炼装置生产完成情况表5_50万航煤加氢装置_原料处理量",":key{{dw}}",":read")</t>
        </r>
      </text>
    </comment>
    <comment ref="D7" authorId="0" shapeId="0" xr:uid="{00000000-0006-0000-0000-000003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#Input("延炼_生产计划部_延炼装置生产完成情况表5_7万醋酸仲丁酯装置_醚后C4",":key{{dw}}",":read")</t>
        </r>
      </text>
    </comment>
    <comment ref="L7" authorId="0" shapeId="0" xr:uid="{00000000-0006-0000-0000-000004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#Input("延炼_生产计划部_延炼装置生产完成情况表5_50万航煤加氢装置_常一线",":key{{dw}}",":read")</t>
        </r>
      </text>
    </comment>
    <comment ref="D8" authorId="0" shapeId="0" xr:uid="{00000000-0006-0000-0000-000005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#Input("延炼_生产计划部_延炼装置生产完成情况表5_7万醋酸仲丁酯装置_醋酸",":key{{dw}}",":read")</t>
        </r>
      </text>
    </comment>
    <comment ref="L8" authorId="0" shapeId="0" xr:uid="{00000000-0006-0000-0000-000006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#Input("延炼_生产计划部_延炼装置生产完成情况表5_50万航煤加氢装置_氢气",":key{{dw}}",":read")</t>
        </r>
      </text>
    </comment>
    <comment ref="D9" authorId="0" shapeId="0" xr:uid="{00000000-0006-0000-0000-000007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#Input("延炼_生产计划部_延炼装置生产完成情况表5_7万醋酸仲丁酯装置_醋酸仲丁酯（SBA）",":key{{dw}}",":read")</t>
        </r>
      </text>
    </comment>
    <comment ref="L9" authorId="0" shapeId="0" xr:uid="{00000000-0006-0000-0000-000008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#Input("延炼_生产计划部_延炼装置生产完成情况表5_50万航煤加氢装置_3#喷气燃料",":key{{dw}}",":read")</t>
        </r>
      </text>
    </comment>
    <comment ref="D10" authorId="0" shapeId="0" xr:uid="{00000000-0006-0000-0000-000009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#Input("延炼_生产计划部_延炼装置生产完成情况表5_7万醋酸仲丁酯装置_酯后C4",":key{{dw}}",":read")</t>
        </r>
      </text>
    </comment>
    <comment ref="L10" authorId="0" shapeId="0" xr:uid="{00000000-0006-0000-0000-00000A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#Input("延炼_生产计划部_延炼装置生产完成情况表5_50万航煤加氢装置_石脑油",":key{{dw}}",":read")</t>
        </r>
      </text>
    </comment>
    <comment ref="D11" authorId="0" shapeId="0" xr:uid="{00000000-0006-0000-0000-00000B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#Input("延炼_生产计划部_延炼装置生产完成情况表5_7万醋酸仲丁酯装置_次品SBA",":key{{dw}}",":read")</t>
        </r>
      </text>
    </comment>
    <comment ref="L11" authorId="0" shapeId="0" xr:uid="{00000000-0006-0000-0000-00000C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#Input("延炼_生产计划部_延炼装置生产完成情况表5_50万航煤加氢装置_酸性气",":key{{dw}}",":read")</t>
        </r>
      </text>
    </comment>
    <comment ref="D12" authorId="0" shapeId="0" xr:uid="{00000000-0006-0000-0000-00000D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#Input("延炼_生产计划部_延炼装置生产完成情况表5_7万醋酸仲丁酯装置_粗酯",":key{{dw}}",":read")</t>
        </r>
      </text>
    </comment>
    <comment ref="L12" authorId="0" shapeId="0" xr:uid="{00000000-0006-0000-0000-00000E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#Input("延炼_生产计划部_延炼装置生产完成情况表5_50万航煤加氢装置_酸性水",":key{{dw}}",":read")</t>
        </r>
      </text>
    </comment>
    <comment ref="D13" authorId="0" shapeId="0" xr:uid="{00000000-0006-0000-0000-00000F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#Input("延炼_生产计划部_延炼装置生产完成情况表5_7万醋酸仲丁酯装置_C12",":key{{dw}}",":read")</t>
        </r>
      </text>
    </comment>
    <comment ref="L13" authorId="0" shapeId="0" xr:uid="{00000000-0006-0000-0000-000010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#Input("延炼_生产计划部_延炼装置生产完成情况表5_50万航煤加氢装置_污油",":key{{dw}}",":read")</t>
        </r>
      </text>
    </comment>
    <comment ref="D14" authorId="0" shapeId="0" xr:uid="{00000000-0006-0000-0000-000011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#Input("延炼_生产计划部_延炼装置生产完成情况表5_7万醋酸仲丁酯装置_损失量",":key{{dw}}",":read")</t>
        </r>
      </text>
    </comment>
    <comment ref="L14" authorId="0" shapeId="0" xr:uid="{00000000-0006-0000-0000-000012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#Input("延炼_生产计划部_延炼装置生产完成情况表5_50万航煤加氢装置_不合格3#喷气燃料",":key{{dw}}",":read")</t>
        </r>
      </text>
    </comment>
    <comment ref="L15" authorId="0" shapeId="0" xr:uid="{00000000-0006-0000-0000-000013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#Input("延炼_生产计划部_延炼装置生产完成情况表5_50万航煤加氢装置_损失量",":key{{dw}}",":read")</t>
        </r>
      </text>
    </comment>
    <comment ref="D30" authorId="0" shapeId="0" xr:uid="{00000000-0006-0000-0000-000014000000}">
      <text>
        <r>
          <rPr>
            <b/>
            <sz val="9"/>
            <color indexed="81"/>
            <rFont val="宋体"/>
            <family val="2"/>
          </rPr>
          <t>#Input("延炼_延安炼油厂装置生产完成情况表（五）_单位负责人",":key{{dw}}")</t>
        </r>
      </text>
    </comment>
    <comment ref="K30" authorId="0" shapeId="0" xr:uid="{00000000-0006-0000-0000-000015000000}">
      <text>
        <r>
          <rPr>
            <b/>
            <sz val="9"/>
            <color indexed="81"/>
            <rFont val="宋体"/>
            <family val="2"/>
          </rPr>
          <t>#Input("延炼_延安炼油厂装置生产完成情况表（五）_填报人",":key{{dw}}")</t>
        </r>
      </text>
    </comment>
  </commentList>
</comments>
</file>

<file path=xl/sharedStrings.xml><?xml version="1.0" encoding="utf-8"?>
<sst xmlns="http://schemas.openxmlformats.org/spreadsheetml/2006/main" count="310" uniqueCount="45">
  <si>
    <t>延安炼油厂装置生产完成情况表（五）</t>
  </si>
  <si>
    <t>填报单位：生产计划部</t>
  </si>
  <si>
    <t>日期：</t>
  </si>
  <si>
    <t>2025-12</t>
  </si>
  <si>
    <t>陕油延炼计统YB106-5表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</si>
  <si>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</si>
  <si>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</si>
  <si>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</si>
  <si>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</si>
  <si>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</si>
  <si>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</si>
  <si>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</si>
  <si>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</si>
  <si>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 量</t>
  </si>
  <si>
    <t>收 率</t>
  </si>
  <si>
    <t>7
万
吨
醋
酸
仲
丁
酯
装
置</t>
  </si>
  <si>
    <t>原料处理量</t>
  </si>
  <si>
    <t>/</t>
  </si>
  <si>
    <t>50
万
吨
航
煤
加
氢
装
置</t>
  </si>
  <si>
    <t>其中：醚后C4</t>
  </si>
  <si>
    <t xml:space="preserve">  其中：常一线</t>
  </si>
  <si>
    <t xml:space="preserve">      醋酸</t>
  </si>
  <si>
    <t xml:space="preserve">        氢气</t>
  </si>
  <si>
    <t>醋酸仲丁酯（SBA）</t>
  </si>
  <si>
    <t>3#喷气燃料</t>
  </si>
  <si>
    <t>酯后C4</t>
  </si>
  <si>
    <t>石脑油</t>
  </si>
  <si>
    <t>次品SBA</t>
  </si>
  <si>
    <t>酸性气</t>
  </si>
  <si>
    <t>粗酯</t>
  </si>
  <si>
    <t>酸性水</t>
  </si>
  <si>
    <t>C12</t>
  </si>
  <si>
    <t>污油</t>
  </si>
  <si>
    <t>损失量</t>
  </si>
  <si>
    <t>航煤组分油</t>
  </si>
  <si>
    <t/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</si>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</sst>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_ "/>
    <numFmt numFmtId="181" formatCode="0.00_ "/>
    <numFmt numFmtId="182" formatCode="yyyy\-mm\-dd"/>
  </numFmts>
  <fonts count="8" x14ac:knownFonts="1">
    <font>
      <sz val="11"/>
      <color theme="1"/>
      <name val="宋体"/>
      <scheme val="minor"/>
    </font>
    <font>
      <sz val="10"/>
      <name val="Arial"/>
      <family val="2"/>
    </font>
    <font>
      <sz val="11"/>
      <color theme="1"/>
      <name val="等线"/>
      <family val="3"/>
      <charset val="134"/>
    </font>
    <font>
      <sz val="11"/>
      <color rgb="FF000000"/>
      <name val="宋体"/>
      <family val="2"/>
      <scheme val="minor"/>
    </font>
    <font>
      <b/>
      <sz val="18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9"/>
      <color indexed="81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2">
    <xf numFmtId="0" fontId="0" fillId="0" borderId="0" applyFill="0" applyBorder="0"/>
    <xf numFmtId="0" fontId="1" fillId="0" borderId="0" applyFill="0" applyBorder="0"/>
  </cellStyleXfs>
  <cellXfs count="4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181" fontId="2" fillId="0" borderId="1" xfId="0" applyNumberFormat="1" applyFont="1" applyBorder="1" applyAlignment="1">
      <alignment vertical="center" wrapText="1"/>
    </xf>
    <xf numFmtId="181" fontId="2" fillId="0" borderId="2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80" fontId="2" fillId="2" borderId="7" xfId="0" applyNumberFormat="1" applyFont="1" applyFill="1" applyBorder="1" applyAlignment="1">
      <alignment horizontal="right" vertical="center" wrapText="1"/>
    </xf>
    <xf numFmtId="181" fontId="2" fillId="0" borderId="7" xfId="0" applyNumberFormat="1" applyFont="1" applyBorder="1" applyAlignment="1">
      <alignment vertical="center" wrapText="1"/>
    </xf>
    <xf numFmtId="181" fontId="2" fillId="0" borderId="8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right" vertical="center" wrapText="1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182" fontId="3" fillId="0" borderId="0" xfId="0" applyNumberFormat="1" applyFont="1" applyAlignment="1">
      <alignment vertical="top" wrapText="1"/>
    </xf>
    <xf numFmtId="182" fontId="0" fillId="0" borderId="0" xfId="0" applyNumberFormat="1" applyAlignment="1">
      <alignment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2" fontId="5" fillId="0" borderId="20" xfId="0" applyNumberFormat="1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right" vertical="center" wrapText="1"/>
    </xf>
    <xf numFmtId="182" fontId="2" fillId="0" borderId="9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2FD8-5D28-1B48-1148-8E5AEA99DBB8}">
  <sheetPr>
    <pageSetUpPr fitToPage="1"/>
  </sheetPr>
  <dimension ref="A1:Q30"/>
  <sheetViews>
    <sheetView showGridLines="0" tabSelected="1" defaultGridColor="0" colorId="31" workbookViewId="0">
      <pane ySplit="5" topLeftCell="A6" activePane="bottomLeft" state="frozen"/>
      <selection pane="bottomLeft"/>
    </sheetView>
  </sheetViews>
  <sheetFormatPr defaultRowHeight="14.15" customHeight="1" x14ac:dyDescent="0.25"/>
  <cols>
    <col min="1" max="1" width="2.7265625" customWidth="1"/>
    <col min="3" max="3" width="20.54296875" customWidth="1"/>
    <col min="4" max="9" width="10.54296875" customWidth="1"/>
    <col min="11" max="11" width="20.54296875" customWidth="1"/>
    <col min="12" max="17" width="10.54296875" customWidth="1"/>
  </cols>
  <sheetData>
    <row r="1" spans="1:17" ht="2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.75" customHeight="1" x14ac:dyDescent="0.25">
      <c r="A2" s="1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ht="20.25" customHeight="1" x14ac:dyDescent="0.25">
      <c r="A3" s="1"/>
      <c r="B3" s="38" t="s">
        <v>1</v>
      </c>
      <c r="C3" s="39"/>
      <c r="D3" s="39"/>
      <c r="E3" s="39"/>
      <c r="F3" s="35" t="s">
        <v>2</v>
      </c>
      <c r="G3" s="35"/>
      <c r="H3" s="35"/>
      <c r="I3" s="37" t="s">
        <v>3</v>
      </c>
      <c r="J3" s="37"/>
      <c r="K3" s="37"/>
      <c r="L3" s="35" t="s">
        <v>4</v>
      </c>
      <c r="M3" s="35"/>
      <c r="N3" s="35"/>
      <c r="O3" s="35"/>
      <c r="P3" s="35"/>
      <c r="Q3" s="36"/>
    </row>
    <row r="4" spans="1:17" ht="20.25" customHeight="1" x14ac:dyDescent="0.25">
      <c r="A4" s="1"/>
      <c r="B4" s="29" t="s">
        <v>5</v>
      </c>
      <c r="C4" s="31" t="s">
        <v>6</v>
      </c>
      <c r="D4" s="33" t="s">
        <v>7</v>
      </c>
      <c r="E4" s="34"/>
      <c r="F4" s="33" t="s">
        <v>8</v>
      </c>
      <c r="G4" s="34"/>
      <c r="H4" s="33" t="s">
        <v>9</v>
      </c>
      <c r="I4" s="34"/>
      <c r="J4" s="31" t="s">
        <v>5</v>
      </c>
      <c r="K4" s="31" t="s">
        <v>6</v>
      </c>
      <c r="L4" s="33" t="s">
        <v>7</v>
      </c>
      <c r="M4" s="34"/>
      <c r="N4" s="33" t="s">
        <v>8</v>
      </c>
      <c r="O4" s="34"/>
      <c r="P4" s="33" t="s">
        <v>9</v>
      </c>
      <c r="Q4" s="42"/>
    </row>
    <row r="5" spans="1:17" ht="20.25" customHeight="1" x14ac:dyDescent="0.25">
      <c r="A5" s="1"/>
      <c r="B5" s="30"/>
      <c r="C5" s="32"/>
      <c r="D5" s="2" t="s">
        <v>10</v>
      </c>
      <c r="E5" s="2" t="s">
        <v>11</v>
      </c>
      <c r="F5" s="2" t="s">
        <v>10</v>
      </c>
      <c r="G5" s="2" t="s">
        <v>12</v>
      </c>
      <c r="H5" s="2" t="s">
        <v>13</v>
      </c>
      <c r="I5" s="2" t="s">
        <v>14</v>
      </c>
      <c r="J5" s="32"/>
      <c r="K5" s="32"/>
      <c r="L5" s="2" t="s">
        <v>10</v>
      </c>
      <c r="M5" s="2" t="s">
        <v>11</v>
      </c>
      <c r="N5" s="2" t="s">
        <v>10</v>
      </c>
      <c r="O5" s="2" t="s">
        <v>12</v>
      </c>
      <c r="P5" s="2" t="s">
        <v>13</v>
      </c>
      <c r="Q5" s="3" t="s">
        <v>14</v>
      </c>
    </row>
    <row r="6" spans="1:17" ht="20.25" customHeight="1" x14ac:dyDescent="0.25">
      <c r="A6" s="1"/>
      <c r="B6" s="29" t="s">
        <v>15</v>
      </c>
      <c r="C6" s="4" t="s">
        <v>16</v>
      </c>
      <c r="D6" s="5">
        <f>IFERROR(SUM(D7:D8),"")</f>
        <v>13281</v>
      </c>
      <c r="E6" s="6">
        <f>IFERROR(SUM(D6,取值!E6),"")</f>
        <v>141630</v>
      </c>
      <c r="F6" s="2" t="s">
        <v>17</v>
      </c>
      <c r="G6" s="2" t="s">
        <v>17</v>
      </c>
      <c r="H6" s="6">
        <f>取值!H6</f>
        <v>13103</v>
      </c>
      <c r="I6" s="2" t="s">
        <v>17</v>
      </c>
      <c r="J6" s="31" t="s">
        <v>18</v>
      </c>
      <c r="K6" s="4" t="s">
        <v>16</v>
      </c>
      <c r="L6" s="5">
        <f>IFERROR(SUM(L7,L8),"")</f>
        <v>30590</v>
      </c>
      <c r="M6" s="6">
        <f>IFERROR(SUM(L6,取值!M5),"")</f>
        <v>223858</v>
      </c>
      <c r="N6" s="2" t="s">
        <v>17</v>
      </c>
      <c r="O6" s="2" t="s">
        <v>17</v>
      </c>
      <c r="P6" s="6">
        <f>取值!P5</f>
        <v>0</v>
      </c>
      <c r="Q6" s="3" t="s">
        <v>17</v>
      </c>
    </row>
    <row r="7" spans="1:17" ht="20.25" customHeight="1" x14ac:dyDescent="0.25">
      <c r="A7" s="1"/>
      <c r="B7" s="43"/>
      <c r="C7" s="4" t="s">
        <v>19</v>
      </c>
      <c r="D7" s="5">
        <f>取值!D7</f>
        <v>10450</v>
      </c>
      <c r="E7" s="6">
        <f>IFERROR(SUM(D7,取值!E7),"")</f>
        <v>113631</v>
      </c>
      <c r="F7" s="2" t="s">
        <v>17</v>
      </c>
      <c r="G7" s="2" t="s">
        <v>17</v>
      </c>
      <c r="H7" s="6">
        <f>取值!H7</f>
        <v>10204</v>
      </c>
      <c r="I7" s="2" t="s">
        <v>17</v>
      </c>
      <c r="J7" s="44"/>
      <c r="K7" s="4" t="s">
        <v>20</v>
      </c>
      <c r="L7" s="5">
        <f>取值!L5</f>
        <v>30528</v>
      </c>
      <c r="M7" s="6">
        <f>IFERROR(SUM(L7,取值!M6),"")</f>
        <v>223400</v>
      </c>
      <c r="N7" s="2" t="s">
        <v>17</v>
      </c>
      <c r="O7" s="2" t="s">
        <v>17</v>
      </c>
      <c r="P7" s="6">
        <f>取值!P6</f>
        <v>0</v>
      </c>
      <c r="Q7" s="3" t="s">
        <v>17</v>
      </c>
    </row>
    <row r="8" spans="1:17" ht="20.25" customHeight="1" x14ac:dyDescent="0.25">
      <c r="A8" s="1"/>
      <c r="B8" s="43"/>
      <c r="C8" s="4" t="s">
        <v>21</v>
      </c>
      <c r="D8" s="5">
        <f>取值!D8</f>
        <v>2831</v>
      </c>
      <c r="E8" s="6">
        <f>IFERROR(SUM(D8,取值!E8),"")</f>
        <v>27999</v>
      </c>
      <c r="F8" s="2" t="s">
        <v>17</v>
      </c>
      <c r="G8" s="2" t="s">
        <v>17</v>
      </c>
      <c r="H8" s="6">
        <f>取值!H8</f>
        <v>2899</v>
      </c>
      <c r="I8" s="2" t="s">
        <v>17</v>
      </c>
      <c r="J8" s="44"/>
      <c r="K8" s="4" t="s">
        <v>22</v>
      </c>
      <c r="L8" s="5">
        <f>取值!L6</f>
        <v>62</v>
      </c>
      <c r="M8" s="6">
        <f>IFERROR(SUM(L8,取值!M7),"")</f>
        <v>458</v>
      </c>
      <c r="N8" s="2" t="s">
        <v>17</v>
      </c>
      <c r="O8" s="2" t="s">
        <v>17</v>
      </c>
      <c r="P8" s="6">
        <f>取值!P7</f>
        <v>0</v>
      </c>
      <c r="Q8" s="3" t="s">
        <v>17</v>
      </c>
    </row>
    <row r="9" spans="1:17" ht="20.25" customHeight="1" x14ac:dyDescent="0.25">
      <c r="A9" s="1"/>
      <c r="B9" s="43"/>
      <c r="C9" s="4" t="s">
        <v>23</v>
      </c>
      <c r="D9" s="5">
        <f>取值!D9</f>
        <v>5091</v>
      </c>
      <c r="E9" s="6">
        <f>IFERROR(SUM(D9,取值!E9),"")</f>
        <v>52640</v>
      </c>
      <c r="F9" s="7">
        <f>IFERROR(D9/D6*100,0)</f>
        <v>38.332956855658459</v>
      </c>
      <c r="G9" s="7">
        <f>IFERROR(E9/E6*100,0)</f>
        <v>37.16726682200099</v>
      </c>
      <c r="H9" s="6">
        <f>取值!H9</f>
        <v>5494</v>
      </c>
      <c r="I9" s="7">
        <f>IFERROR(H9/H6*100,0)</f>
        <v>41.929329161260782</v>
      </c>
      <c r="J9" s="44"/>
      <c r="K9" s="4" t="s">
        <v>24</v>
      </c>
      <c r="L9" s="5">
        <f>取值!L7</f>
        <v>0</v>
      </c>
      <c r="M9" s="6">
        <f>IFERROR(SUM(L9,取值!M8),"")</f>
        <v>0</v>
      </c>
      <c r="N9" s="7">
        <f>IFERROR(L9/L6*100,0)</f>
        <v>0</v>
      </c>
      <c r="O9" s="7">
        <f>IFERROR(M9/M6*100,0)</f>
        <v>0</v>
      </c>
      <c r="P9" s="6">
        <f>取值!P8</f>
        <v>0</v>
      </c>
      <c r="Q9" s="8">
        <f>IFERROR(P9/P6*100,0)</f>
        <v>0</v>
      </c>
    </row>
    <row r="10" spans="1:17" ht="20.25" customHeight="1" x14ac:dyDescent="0.25">
      <c r="A10" s="1"/>
      <c r="B10" s="43"/>
      <c r="C10" s="4" t="s">
        <v>25</v>
      </c>
      <c r="D10" s="5">
        <f>取值!D10</f>
        <v>7389</v>
      </c>
      <c r="E10" s="6">
        <f>IFERROR(SUM(D10,取值!E10),"")</f>
        <v>84872</v>
      </c>
      <c r="F10" s="7">
        <f>IFERROR(D10/D6*100,0)</f>
        <v>55.635870792861986</v>
      </c>
      <c r="G10" s="7">
        <f>IFERROR(E10/E6*100,0)</f>
        <v>59.925157099484572</v>
      </c>
      <c r="H10" s="6">
        <f>取值!H10</f>
        <v>7385</v>
      </c>
      <c r="I10" s="7">
        <f>IFERROR(H10/H6*100,0)</f>
        <v>56.361138670533464</v>
      </c>
      <c r="J10" s="44"/>
      <c r="K10" s="4" t="s">
        <v>26</v>
      </c>
      <c r="L10" s="5">
        <f>取值!L8</f>
        <v>669</v>
      </c>
      <c r="M10" s="6">
        <f>IFERROR(SUM(L10,取值!M9),"")</f>
        <v>4472</v>
      </c>
      <c r="N10" s="7">
        <f>IFERROR(L10/L6*100,0)</f>
        <v>2.186989212160837</v>
      </c>
      <c r="O10" s="7">
        <f>IFERROR(M10/M6*100,0)</f>
        <v>1.9976949673453708</v>
      </c>
      <c r="P10" s="6">
        <f>取值!P9</f>
        <v>0</v>
      </c>
      <c r="Q10" s="8">
        <f>IFERROR(P10/P6*100,0)</f>
        <v>0</v>
      </c>
    </row>
    <row r="11" spans="1:17" ht="20.25" customHeight="1" x14ac:dyDescent="0.25">
      <c r="A11" s="1"/>
      <c r="B11" s="43"/>
      <c r="C11" s="4" t="s">
        <v>27</v>
      </c>
      <c r="D11" s="5">
        <f>取值!D11</f>
        <v>0</v>
      </c>
      <c r="E11" s="6">
        <f>IFERROR(SUM(D11,取值!E11),"")</f>
        <v>0</v>
      </c>
      <c r="F11" s="7">
        <f>IFERROR(D11/D6*100,0)</f>
        <v>0</v>
      </c>
      <c r="G11" s="7">
        <f>IFERROR(E11/E6*100,0)</f>
        <v>0</v>
      </c>
      <c r="H11" s="6">
        <f>取值!H11</f>
        <v>0</v>
      </c>
      <c r="I11" s="7">
        <f>IFERROR(H11/H6*100,0)</f>
        <v>0</v>
      </c>
      <c r="J11" s="44"/>
      <c r="K11" s="4" t="s">
        <v>28</v>
      </c>
      <c r="L11" s="5">
        <f>取值!L9</f>
        <v>0</v>
      </c>
      <c r="M11" s="6">
        <f>IFERROR(SUM(L11,取值!M10),"")</f>
        <v>0</v>
      </c>
      <c r="N11" s="7">
        <f>IFERROR(L11/L6*100,0)</f>
        <v>0</v>
      </c>
      <c r="O11" s="7">
        <f>IFERROR(M11/M6*100,0)</f>
        <v>0</v>
      </c>
      <c r="P11" s="6">
        <f>取值!P10</f>
        <v>0</v>
      </c>
      <c r="Q11" s="8">
        <f>IFERROR(P11/P6*100,0)</f>
        <v>0</v>
      </c>
    </row>
    <row r="12" spans="1:17" ht="20.25" customHeight="1" x14ac:dyDescent="0.25">
      <c r="A12" s="1"/>
      <c r="B12" s="43"/>
      <c r="C12" s="4" t="s">
        <v>29</v>
      </c>
      <c r="D12" s="5">
        <f>取值!D12</f>
        <v>191</v>
      </c>
      <c r="E12" s="6">
        <f>IFERROR(SUM(D12,取值!E12),"")</f>
        <v>1109</v>
      </c>
      <c r="F12" s="7">
        <f>IFERROR(D12/D6*100,0)</f>
        <v>1.4381447180182214</v>
      </c>
      <c r="G12" s="7">
        <f>IFERROR(E12/E6*100,0)</f>
        <v>0.78302619501518045</v>
      </c>
      <c r="H12" s="6">
        <f>取值!H12</f>
        <v>90</v>
      </c>
      <c r="I12" s="7">
        <f>IFERROR(H12/H6*100,0)</f>
        <v>0.6868656032969549</v>
      </c>
      <c r="J12" s="44"/>
      <c r="K12" s="4" t="s">
        <v>30</v>
      </c>
      <c r="L12" s="5">
        <f>取值!L10</f>
        <v>0</v>
      </c>
      <c r="M12" s="6">
        <f>IFERROR(SUM(L12,取值!M11),"")</f>
        <v>0</v>
      </c>
      <c r="N12" s="7">
        <f>IFERROR(L12/L6*100,0)</f>
        <v>0</v>
      </c>
      <c r="O12" s="7">
        <f>IFERROR(M12/M6*100,0)</f>
        <v>0</v>
      </c>
      <c r="P12" s="6">
        <f>取值!P11</f>
        <v>0</v>
      </c>
      <c r="Q12" s="8">
        <f>IFERROR(P12/P6*100,0)</f>
        <v>0</v>
      </c>
    </row>
    <row r="13" spans="1:17" ht="20.25" customHeight="1" x14ac:dyDescent="0.25">
      <c r="A13" s="1"/>
      <c r="B13" s="43"/>
      <c r="C13" s="4" t="s">
        <v>31</v>
      </c>
      <c r="D13" s="5">
        <f>取值!D13</f>
        <v>18</v>
      </c>
      <c r="E13" s="6">
        <f>IFERROR(SUM(D13,取值!E13),"")</f>
        <v>158</v>
      </c>
      <c r="F13" s="7">
        <f>IFERROR(D13/D6*100,0)</f>
        <v>0.1355319629545968</v>
      </c>
      <c r="G13" s="7">
        <f>IFERROR(E13/E6*100,0)</f>
        <v>0.11155828567393913</v>
      </c>
      <c r="H13" s="6">
        <f>取值!H13</f>
        <v>10</v>
      </c>
      <c r="I13" s="7">
        <f>IFERROR(H13/H6*100,0)</f>
        <v>7.6318400366328323E-2</v>
      </c>
      <c r="J13" s="44"/>
      <c r="K13" s="4" t="s">
        <v>32</v>
      </c>
      <c r="L13" s="5">
        <f>取值!L11</f>
        <v>0</v>
      </c>
      <c r="M13" s="6">
        <f>IFERROR(SUM(L13,取值!M12),"")</f>
        <v>0</v>
      </c>
      <c r="N13" s="7">
        <f>IFERROR(L13/L6*100,0)</f>
        <v>0</v>
      </c>
      <c r="O13" s="7">
        <f>IFERROR(M13/M6*100,0)</f>
        <v>0</v>
      </c>
      <c r="P13" s="6">
        <f>取值!P12</f>
        <v>0</v>
      </c>
      <c r="Q13" s="8">
        <f>IFERROR(P13/P6*100,0)</f>
        <v>0</v>
      </c>
    </row>
    <row r="14" spans="1:17" ht="20.25" customHeight="1" x14ac:dyDescent="0.25">
      <c r="A14" s="1"/>
      <c r="B14" s="43"/>
      <c r="C14" s="4" t="s">
        <v>33</v>
      </c>
      <c r="D14" s="5">
        <f>IFERROR(D6-SUM(D9:D13),"")</f>
        <v>592</v>
      </c>
      <c r="E14" s="6">
        <f>IFERROR(SUM(D14,取值!E14),"")</f>
        <v>2851</v>
      </c>
      <c r="F14" s="7">
        <f>IFERROR(D14/D6*100,0)</f>
        <v>4.4574956705067397</v>
      </c>
      <c r="G14" s="7">
        <f>IFERROR(E14/E6*100,0)</f>
        <v>2.0129915978253194</v>
      </c>
      <c r="H14" s="6">
        <f>取值!H14</f>
        <v>124</v>
      </c>
      <c r="I14" s="7">
        <f>IFERROR(H14/H6*100,0)</f>
        <v>0.94634816454247117</v>
      </c>
      <c r="J14" s="44"/>
      <c r="K14" s="4" t="s">
        <v>34</v>
      </c>
      <c r="L14" s="5">
        <f>取值!L12</f>
        <v>29765</v>
      </c>
      <c r="M14" s="6">
        <f>IFERROR(SUM(L14,取值!M13),"")</f>
        <v>218258</v>
      </c>
      <c r="N14" s="7">
        <f>IFERROR(L14/L6*100,0)</f>
        <v>97.303040209218693</v>
      </c>
      <c r="O14" s="7">
        <f>IFERROR(M14/M6*100,0)</f>
        <v>97.498414173270547</v>
      </c>
      <c r="P14" s="6">
        <f>取值!P13</f>
        <v>0</v>
      </c>
      <c r="Q14" s="8">
        <f>IFERROR(P14/P6*100,0)</f>
        <v>0</v>
      </c>
    </row>
    <row r="15" spans="1:17" ht="20.25" customHeight="1" x14ac:dyDescent="0.25">
      <c r="A15" s="1"/>
      <c r="B15" s="43"/>
      <c r="C15" s="9" t="s">
        <v>35</v>
      </c>
      <c r="D15" s="9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44"/>
      <c r="K15" s="9" t="s">
        <v>33</v>
      </c>
      <c r="L15" s="10">
        <f>IFERROR(L6-SUM(L9:L14),"")</f>
        <v>156</v>
      </c>
      <c r="M15" s="6">
        <f>IFERROR(SUM(L15,取值!M14),"")</f>
        <v>1128</v>
      </c>
      <c r="N15" s="11">
        <f>IFERROR(L15/L6*100,0)</f>
        <v>0.50997057862046413</v>
      </c>
      <c r="O15" s="11">
        <f>IFERROR(M15/M6*100,0)</f>
        <v>0.50389085938407385</v>
      </c>
      <c r="P15" s="6">
        <f>取值!P14</f>
        <v>0</v>
      </c>
      <c r="Q15" s="12">
        <f>IFERROR(P15/P6*100,0)</f>
        <v>0</v>
      </c>
    </row>
    <row r="16" spans="1:17" ht="20.25" customHeight="1" x14ac:dyDescent="0.25">
      <c r="A16" s="1"/>
      <c r="B16" s="13" t="s">
        <v>35</v>
      </c>
      <c r="C16" s="14" t="s">
        <v>35</v>
      </c>
      <c r="D16" s="14" t="s">
        <v>35</v>
      </c>
      <c r="E16" s="14" t="s">
        <v>35</v>
      </c>
      <c r="F16" s="14" t="s">
        <v>35</v>
      </c>
      <c r="G16" s="14" t="s">
        <v>35</v>
      </c>
      <c r="H16" s="14" t="s">
        <v>35</v>
      </c>
      <c r="I16" s="14" t="s">
        <v>35</v>
      </c>
      <c r="J16" s="14" t="s">
        <v>35</v>
      </c>
      <c r="K16" s="14" t="s">
        <v>35</v>
      </c>
      <c r="L16" s="14" t="s">
        <v>35</v>
      </c>
      <c r="M16" s="14" t="s">
        <v>35</v>
      </c>
      <c r="N16" s="14" t="s">
        <v>35</v>
      </c>
      <c r="O16" s="14" t="s">
        <v>35</v>
      </c>
      <c r="P16" s="14" t="s">
        <v>35</v>
      </c>
      <c r="Q16" s="15" t="s">
        <v>35</v>
      </c>
    </row>
    <row r="17" spans="1:17" ht="20.25" customHeight="1" x14ac:dyDescent="0.25">
      <c r="A17" s="1"/>
      <c r="B17" s="13" t="s">
        <v>35</v>
      </c>
      <c r="C17" s="14" t="s">
        <v>35</v>
      </c>
      <c r="D17" s="14" t="s">
        <v>35</v>
      </c>
      <c r="E17" s="14" t="s">
        <v>35</v>
      </c>
      <c r="F17" s="14" t="s">
        <v>35</v>
      </c>
      <c r="G17" s="14" t="s">
        <v>35</v>
      </c>
      <c r="H17" s="14" t="s">
        <v>35</v>
      </c>
      <c r="I17" s="14" t="s">
        <v>35</v>
      </c>
      <c r="J17" s="14" t="s">
        <v>35</v>
      </c>
      <c r="K17" s="14" t="s">
        <v>35</v>
      </c>
      <c r="L17" s="14" t="s">
        <v>35</v>
      </c>
      <c r="M17" s="14" t="s">
        <v>35</v>
      </c>
      <c r="N17" s="14" t="s">
        <v>35</v>
      </c>
      <c r="O17" s="14" t="s">
        <v>35</v>
      </c>
      <c r="P17" s="14" t="s">
        <v>35</v>
      </c>
      <c r="Q17" s="15" t="s">
        <v>35</v>
      </c>
    </row>
    <row r="18" spans="1:17" ht="20.25" customHeight="1" x14ac:dyDescent="0.25">
      <c r="A18" s="1"/>
      <c r="B18" s="13" t="s">
        <v>35</v>
      </c>
      <c r="C18" s="14" t="s">
        <v>35</v>
      </c>
      <c r="D18" s="14" t="s">
        <v>35</v>
      </c>
      <c r="E18" s="14" t="s">
        <v>35</v>
      </c>
      <c r="F18" s="14" t="s">
        <v>35</v>
      </c>
      <c r="G18" s="14" t="s">
        <v>35</v>
      </c>
      <c r="H18" s="14" t="s">
        <v>35</v>
      </c>
      <c r="I18" s="14" t="s">
        <v>35</v>
      </c>
      <c r="J18" s="14" t="s">
        <v>35</v>
      </c>
      <c r="K18" s="14" t="s">
        <v>35</v>
      </c>
      <c r="L18" s="14" t="s">
        <v>35</v>
      </c>
      <c r="M18" s="14" t="s">
        <v>35</v>
      </c>
      <c r="N18" s="14" t="s">
        <v>35</v>
      </c>
      <c r="O18" s="14" t="s">
        <v>35</v>
      </c>
      <c r="P18" s="14" t="s">
        <v>35</v>
      </c>
      <c r="Q18" s="15" t="s">
        <v>35</v>
      </c>
    </row>
    <row r="19" spans="1:17" ht="20.25" customHeight="1" x14ac:dyDescent="0.25">
      <c r="A19" s="1"/>
      <c r="B19" s="13" t="s">
        <v>35</v>
      </c>
      <c r="C19" s="14" t="s">
        <v>35</v>
      </c>
      <c r="D19" s="14" t="s">
        <v>35</v>
      </c>
      <c r="E19" s="14" t="s">
        <v>35</v>
      </c>
      <c r="F19" s="14" t="s">
        <v>35</v>
      </c>
      <c r="G19" s="14" t="s">
        <v>35</v>
      </c>
      <c r="H19" s="14" t="s">
        <v>35</v>
      </c>
      <c r="I19" s="14" t="s">
        <v>35</v>
      </c>
      <c r="J19" s="14" t="s">
        <v>35</v>
      </c>
      <c r="K19" s="14" t="s">
        <v>35</v>
      </c>
      <c r="L19" s="14" t="s">
        <v>35</v>
      </c>
      <c r="M19" s="14" t="s">
        <v>35</v>
      </c>
      <c r="N19" s="14" t="s">
        <v>35</v>
      </c>
      <c r="O19" s="14" t="s">
        <v>35</v>
      </c>
      <c r="P19" s="14" t="s">
        <v>35</v>
      </c>
      <c r="Q19" s="15" t="s">
        <v>35</v>
      </c>
    </row>
    <row r="20" spans="1:17" ht="20.25" customHeight="1" x14ac:dyDescent="0.25">
      <c r="A20" s="1"/>
      <c r="B20" s="13" t="s">
        <v>35</v>
      </c>
      <c r="C20" s="14" t="s">
        <v>35</v>
      </c>
      <c r="D20" s="14" t="s">
        <v>35</v>
      </c>
      <c r="E20" s="14" t="s">
        <v>35</v>
      </c>
      <c r="F20" s="14" t="s">
        <v>35</v>
      </c>
      <c r="G20" s="14" t="s">
        <v>35</v>
      </c>
      <c r="H20" s="14" t="s">
        <v>35</v>
      </c>
      <c r="I20" s="14" t="s">
        <v>35</v>
      </c>
      <c r="J20" s="14" t="s">
        <v>35</v>
      </c>
      <c r="K20" s="14" t="s">
        <v>35</v>
      </c>
      <c r="L20" s="14" t="s">
        <v>35</v>
      </c>
      <c r="M20" s="14" t="s">
        <v>35</v>
      </c>
      <c r="N20" s="14" t="s">
        <v>35</v>
      </c>
      <c r="O20" s="14" t="s">
        <v>35</v>
      </c>
      <c r="P20" s="14" t="s">
        <v>35</v>
      </c>
      <c r="Q20" s="15" t="s">
        <v>35</v>
      </c>
    </row>
    <row r="21" spans="1:17" ht="20.25" customHeight="1" x14ac:dyDescent="0.25">
      <c r="A21" s="1"/>
      <c r="B21" s="13" t="s">
        <v>35</v>
      </c>
      <c r="C21" s="14" t="s">
        <v>35</v>
      </c>
      <c r="D21" s="14" t="s">
        <v>35</v>
      </c>
      <c r="E21" s="14" t="s">
        <v>35</v>
      </c>
      <c r="F21" s="14" t="s">
        <v>35</v>
      </c>
      <c r="G21" s="14" t="s">
        <v>35</v>
      </c>
      <c r="H21" s="14" t="s">
        <v>35</v>
      </c>
      <c r="I21" s="14" t="s">
        <v>35</v>
      </c>
      <c r="J21" s="14" t="s">
        <v>35</v>
      </c>
      <c r="K21" s="14"/>
      <c r="L21" s="14" t="s">
        <v>35</v>
      </c>
      <c r="M21" s="14" t="s">
        <v>35</v>
      </c>
      <c r="N21" s="14" t="s">
        <v>35</v>
      </c>
      <c r="O21" s="14" t="s">
        <v>35</v>
      </c>
      <c r="P21" s="14" t="s">
        <v>35</v>
      </c>
      <c r="Q21" s="15" t="s">
        <v>35</v>
      </c>
    </row>
    <row r="22" spans="1:17" ht="20.25" customHeight="1" x14ac:dyDescent="0.25">
      <c r="A22" s="1"/>
      <c r="B22" s="13" t="s">
        <v>35</v>
      </c>
      <c r="C22" s="14" t="s">
        <v>35</v>
      </c>
      <c r="D22" s="14" t="s">
        <v>35</v>
      </c>
      <c r="E22" s="14" t="s">
        <v>35</v>
      </c>
      <c r="F22" s="14" t="s">
        <v>35</v>
      </c>
      <c r="G22" s="14" t="s">
        <v>35</v>
      </c>
      <c r="H22" s="14" t="s">
        <v>35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4" t="s">
        <v>35</v>
      </c>
      <c r="O22" s="14" t="s">
        <v>35</v>
      </c>
      <c r="P22" s="14" t="s">
        <v>35</v>
      </c>
      <c r="Q22" s="15" t="s">
        <v>35</v>
      </c>
    </row>
    <row r="23" spans="1:17" ht="20.25" customHeight="1" x14ac:dyDescent="0.25">
      <c r="A23" s="1"/>
      <c r="B23" s="13" t="s">
        <v>35</v>
      </c>
      <c r="C23" s="14" t="s">
        <v>35</v>
      </c>
      <c r="D23" s="14" t="s">
        <v>35</v>
      </c>
      <c r="E23" s="14" t="s">
        <v>35</v>
      </c>
      <c r="F23" s="14" t="s">
        <v>35</v>
      </c>
      <c r="G23" s="14" t="s">
        <v>35</v>
      </c>
      <c r="H23" s="14" t="s">
        <v>35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14" t="s">
        <v>35</v>
      </c>
      <c r="Q23" s="15" t="s">
        <v>35</v>
      </c>
    </row>
    <row r="24" spans="1:17" ht="20.25" customHeight="1" x14ac:dyDescent="0.25">
      <c r="A24" s="1"/>
      <c r="B24" s="13" t="s">
        <v>35</v>
      </c>
      <c r="C24" s="14" t="s">
        <v>35</v>
      </c>
      <c r="D24" s="14" t="s">
        <v>35</v>
      </c>
      <c r="E24" s="14" t="s">
        <v>35</v>
      </c>
      <c r="F24" s="14" t="s">
        <v>35</v>
      </c>
      <c r="G24" s="14" t="s">
        <v>35</v>
      </c>
      <c r="H24" s="14" t="s">
        <v>35</v>
      </c>
      <c r="I24" s="14" t="s">
        <v>35</v>
      </c>
      <c r="J24" s="14" t="s">
        <v>35</v>
      </c>
      <c r="K24" s="14" t="s">
        <v>35</v>
      </c>
      <c r="L24" s="14" t="s">
        <v>35</v>
      </c>
      <c r="M24" s="14" t="s">
        <v>35</v>
      </c>
      <c r="N24" s="14" t="s">
        <v>35</v>
      </c>
      <c r="O24" s="14" t="s">
        <v>35</v>
      </c>
      <c r="P24" s="14" t="s">
        <v>35</v>
      </c>
      <c r="Q24" s="15" t="s">
        <v>35</v>
      </c>
    </row>
    <row r="25" spans="1:17" ht="20.25" customHeight="1" x14ac:dyDescent="0.25">
      <c r="A25" s="1"/>
      <c r="B25" s="13" t="s">
        <v>35</v>
      </c>
      <c r="C25" s="14" t="s">
        <v>35</v>
      </c>
      <c r="D25" s="14" t="s">
        <v>35</v>
      </c>
      <c r="E25" s="14" t="s">
        <v>35</v>
      </c>
      <c r="F25" s="14" t="s">
        <v>35</v>
      </c>
      <c r="G25" s="14" t="s">
        <v>35</v>
      </c>
      <c r="H25" s="14" t="s">
        <v>35</v>
      </c>
      <c r="I25" s="14" t="s">
        <v>35</v>
      </c>
      <c r="J25" s="14" t="s">
        <v>35</v>
      </c>
      <c r="K25" s="14" t="s">
        <v>35</v>
      </c>
      <c r="L25" s="14" t="s">
        <v>35</v>
      </c>
      <c r="M25" s="14" t="s">
        <v>35</v>
      </c>
      <c r="N25" s="14" t="s">
        <v>35</v>
      </c>
      <c r="O25" s="14" t="s">
        <v>35</v>
      </c>
      <c r="P25" s="14" t="s">
        <v>35</v>
      </c>
      <c r="Q25" s="15" t="s">
        <v>35</v>
      </c>
    </row>
    <row r="26" spans="1:17" ht="20.25" customHeight="1" x14ac:dyDescent="0.25">
      <c r="A26" s="1"/>
      <c r="B26" s="13" t="s">
        <v>35</v>
      </c>
      <c r="C26" s="14" t="s">
        <v>35</v>
      </c>
      <c r="D26" s="14" t="s">
        <v>35</v>
      </c>
      <c r="E26" s="14" t="s">
        <v>35</v>
      </c>
      <c r="F26" s="14" t="s">
        <v>35</v>
      </c>
      <c r="G26" s="14" t="s">
        <v>35</v>
      </c>
      <c r="H26" s="14" t="s">
        <v>35</v>
      </c>
      <c r="I26" s="14" t="s">
        <v>35</v>
      </c>
      <c r="J26" s="14" t="s">
        <v>35</v>
      </c>
      <c r="K26" s="14" t="s">
        <v>35</v>
      </c>
      <c r="L26" s="14" t="s">
        <v>35</v>
      </c>
      <c r="M26" s="14" t="s">
        <v>35</v>
      </c>
      <c r="N26" s="14" t="s">
        <v>35</v>
      </c>
      <c r="O26" s="14" t="s">
        <v>35</v>
      </c>
      <c r="P26" s="14" t="s">
        <v>35</v>
      </c>
      <c r="Q26" s="15" t="s">
        <v>35</v>
      </c>
    </row>
    <row r="27" spans="1:17" ht="20.25" customHeight="1" x14ac:dyDescent="0.25">
      <c r="A27" s="1"/>
      <c r="B27" s="13" t="s">
        <v>35</v>
      </c>
      <c r="C27" s="14" t="s">
        <v>35</v>
      </c>
      <c r="D27" s="14" t="s">
        <v>35</v>
      </c>
      <c r="E27" s="14" t="s">
        <v>35</v>
      </c>
      <c r="F27" s="14" t="s">
        <v>35</v>
      </c>
      <c r="G27" s="14" t="s">
        <v>35</v>
      </c>
      <c r="H27" s="14" t="s">
        <v>35</v>
      </c>
      <c r="I27" s="14" t="s">
        <v>35</v>
      </c>
      <c r="J27" s="14" t="s">
        <v>35</v>
      </c>
      <c r="K27" s="14" t="s">
        <v>35</v>
      </c>
      <c r="L27" s="14" t="s">
        <v>35</v>
      </c>
      <c r="M27" s="14" t="s">
        <v>35</v>
      </c>
      <c r="N27" s="14" t="s">
        <v>35</v>
      </c>
      <c r="O27" s="14" t="s">
        <v>35</v>
      </c>
      <c r="P27" s="14" t="s">
        <v>35</v>
      </c>
      <c r="Q27" s="15" t="s">
        <v>35</v>
      </c>
    </row>
    <row r="28" spans="1:17" ht="20.25" customHeight="1" x14ac:dyDescent="0.25">
      <c r="A28" s="1"/>
      <c r="B28" s="13" t="s">
        <v>35</v>
      </c>
      <c r="C28" s="14" t="s">
        <v>35</v>
      </c>
      <c r="D28" s="14" t="s">
        <v>35</v>
      </c>
      <c r="E28" s="14" t="s">
        <v>35</v>
      </c>
      <c r="F28" s="14" t="s">
        <v>35</v>
      </c>
      <c r="G28" s="14" t="s">
        <v>35</v>
      </c>
      <c r="H28" s="14" t="s">
        <v>35</v>
      </c>
      <c r="I28" s="14" t="s">
        <v>35</v>
      </c>
      <c r="J28" s="14" t="s">
        <v>35</v>
      </c>
      <c r="K28" s="14" t="s">
        <v>35</v>
      </c>
      <c r="L28" s="14" t="s">
        <v>35</v>
      </c>
      <c r="M28" s="14" t="s">
        <v>35</v>
      </c>
      <c r="N28" s="14" t="s">
        <v>35</v>
      </c>
      <c r="O28" s="14" t="s">
        <v>35</v>
      </c>
      <c r="P28" s="14" t="s">
        <v>35</v>
      </c>
      <c r="Q28" s="15" t="s">
        <v>35</v>
      </c>
    </row>
    <row r="29" spans="1:17" ht="20.25" customHeight="1" x14ac:dyDescent="0.25">
      <c r="A29" s="1"/>
      <c r="B29" s="16" t="s">
        <v>35</v>
      </c>
      <c r="C29" s="17" t="s">
        <v>35</v>
      </c>
      <c r="D29" s="17" t="s">
        <v>35</v>
      </c>
      <c r="E29" s="17" t="s">
        <v>35</v>
      </c>
      <c r="F29" s="17" t="s">
        <v>35</v>
      </c>
      <c r="G29" s="17" t="s">
        <v>35</v>
      </c>
      <c r="H29" s="17" t="s">
        <v>35</v>
      </c>
      <c r="I29" s="17" t="s">
        <v>35</v>
      </c>
      <c r="J29" s="17" t="s">
        <v>35</v>
      </c>
      <c r="K29" s="17" t="s">
        <v>35</v>
      </c>
      <c r="L29" s="17" t="s">
        <v>35</v>
      </c>
      <c r="M29" s="17" t="s">
        <v>35</v>
      </c>
      <c r="N29" s="17" t="s">
        <v>35</v>
      </c>
      <c r="O29" s="17" t="s">
        <v>35</v>
      </c>
      <c r="P29" s="17" t="s">
        <v>35</v>
      </c>
      <c r="Q29" s="18" t="s">
        <v>35</v>
      </c>
    </row>
    <row r="30" spans="1:17" ht="20.25" customHeight="1" x14ac:dyDescent="0.3">
      <c r="A30" s="1"/>
      <c r="B30" s="19"/>
      <c r="C30" s="20" t="s">
        <v>36</v>
      </c>
      <c r="D30" s="21" t="s">
        <v>37</v>
      </c>
      <c r="E30" s="19"/>
      <c r="F30" s="19"/>
      <c r="G30" s="19"/>
      <c r="H30" s="22"/>
      <c r="I30" s="40" t="s">
        <v>38</v>
      </c>
      <c r="J30" s="40"/>
      <c r="K30" s="21" t="s">
        <v>39</v>
      </c>
      <c r="L30" s="19"/>
      <c r="M30" s="19"/>
      <c r="N30" s="40" t="s">
        <v>40</v>
      </c>
      <c r="O30" s="40"/>
      <c r="P30" s="41">
        <f>IFERROR(取值!B3,"")</f>
        <v>46022</v>
      </c>
      <c r="Q30" s="41"/>
    </row>
  </sheetData>
  <mergeCells count="20">
    <mergeCell ref="I30:J30"/>
    <mergeCell ref="N30:O30"/>
    <mergeCell ref="P30:Q30"/>
    <mergeCell ref="P4:Q4"/>
    <mergeCell ref="B6:B15"/>
    <mergeCell ref="J6:J15"/>
    <mergeCell ref="B2:Q2"/>
    <mergeCell ref="B4:B5"/>
    <mergeCell ref="C4:C5"/>
    <mergeCell ref="D4:E4"/>
    <mergeCell ref="F4:G4"/>
    <mergeCell ref="H4:I4"/>
    <mergeCell ref="J4:J5"/>
    <mergeCell ref="K4:K5"/>
    <mergeCell ref="L4:M4"/>
    <mergeCell ref="N4:O4"/>
    <mergeCell ref="L3:Q3"/>
    <mergeCell ref="I3:K3"/>
    <mergeCell ref="F3:H3"/>
    <mergeCell ref="B3:E3"/>
  </mergeCells>
  <phoneticPr fontId="7" type="noConversion"/>
  <pageMargins left="0.71" right="0.71" top="1.1499999999999999" bottom="0.75" header="0.31" footer="0.31"/>
  <pageSetup paperSize="9" scale="70" orientation="landscape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629D-D306-DE8E-7BF8-FF963AA2E958}">
  <dimension ref="A1:P18"/>
  <sheetViews>
    <sheetView defaultGridColor="0" colorId="31" workbookViewId="0"/>
  </sheetViews>
  <sheetFormatPr defaultRowHeight="14.15" customHeight="1" x14ac:dyDescent="0.25"/>
  <sheetData>
    <row r="1" spans="1:16" ht="14.25" customHeight="1" x14ac:dyDescent="0.25">
      <c r="A1" s="1" t="s">
        <v>41</v>
      </c>
      <c r="B1" s="23" t="s">
        <v>3</v>
      </c>
      <c r="C1" s="1" t="s">
        <v>42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25" customHeight="1" x14ac:dyDescent="0.25">
      <c r="A2" s="1"/>
      <c r="B2" s="24">
        <f>EDATE(B1,1)</f>
        <v>46023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25">
      <c r="A3" s="1"/>
      <c r="B3" s="25">
        <f>B2-1</f>
        <v>46022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43</v>
      </c>
      <c r="N4" s="1"/>
      <c r="O4" s="1"/>
      <c r="P4" s="1" t="s">
        <v>44</v>
      </c>
    </row>
    <row r="5" spans="1:16" ht="14.25" customHeight="1" x14ac:dyDescent="0.25">
      <c r="A5" s="1"/>
      <c r="B5" s="1"/>
      <c r="C5" s="1"/>
      <c r="D5" s="1"/>
      <c r="E5" s="1" t="s">
        <v>43</v>
      </c>
      <c r="F5" s="1"/>
      <c r="G5" s="1"/>
      <c r="H5" s="1" t="s">
        <v>44</v>
      </c>
      <c r="I5" s="1"/>
      <c r="J5" s="1"/>
      <c r="K5" s="1"/>
      <c r="L5" s="1">
        <v>30528</v>
      </c>
      <c r="M5" s="1">
        <v>193268</v>
      </c>
      <c r="N5" s="1"/>
      <c r="O5" s="1"/>
      <c r="P5" s="1">
        <v>0</v>
      </c>
    </row>
    <row r="6" spans="1:16" ht="14.25" customHeight="1" x14ac:dyDescent="0.25">
      <c r="A6" s="1"/>
      <c r="B6" s="1"/>
      <c r="C6" s="1"/>
      <c r="D6" s="1"/>
      <c r="E6" s="1">
        <v>128349</v>
      </c>
      <c r="F6" s="1"/>
      <c r="G6" s="1"/>
      <c r="H6" s="1">
        <v>13103</v>
      </c>
      <c r="I6" s="1"/>
      <c r="J6" s="1"/>
      <c r="K6" s="1"/>
      <c r="L6" s="1">
        <v>62</v>
      </c>
      <c r="M6" s="1">
        <v>192872</v>
      </c>
      <c r="N6" s="1"/>
      <c r="O6" s="1"/>
      <c r="P6" s="1">
        <v>0</v>
      </c>
    </row>
    <row r="7" spans="1:16" ht="14.25" customHeight="1" x14ac:dyDescent="0.25">
      <c r="A7" s="1"/>
      <c r="B7" s="1"/>
      <c r="C7" s="1"/>
      <c r="D7" s="1">
        <v>10450</v>
      </c>
      <c r="E7" s="1">
        <v>103181</v>
      </c>
      <c r="F7" s="1"/>
      <c r="G7" s="1"/>
      <c r="H7" s="1">
        <v>10204</v>
      </c>
      <c r="I7" s="1"/>
      <c r="J7" s="1"/>
      <c r="K7" s="1"/>
      <c r="L7" s="1">
        <v>0</v>
      </c>
      <c r="M7" s="1">
        <v>396</v>
      </c>
      <c r="N7" s="1"/>
      <c r="O7" s="1"/>
      <c r="P7" s="1">
        <v>0</v>
      </c>
    </row>
    <row r="8" spans="1:16" ht="14.25" customHeight="1" x14ac:dyDescent="0.25">
      <c r="A8" s="1"/>
      <c r="B8" s="1"/>
      <c r="C8" s="1"/>
      <c r="D8" s="1">
        <v>2831</v>
      </c>
      <c r="E8" s="1">
        <v>25168</v>
      </c>
      <c r="F8" s="1"/>
      <c r="G8" s="1"/>
      <c r="H8" s="1">
        <v>2899</v>
      </c>
      <c r="I8" s="1"/>
      <c r="J8" s="1"/>
      <c r="K8" s="1"/>
      <c r="L8" s="1">
        <v>669</v>
      </c>
      <c r="M8" s="1">
        <v>0</v>
      </c>
      <c r="N8" s="1"/>
      <c r="O8" s="1"/>
      <c r="P8" s="1">
        <v>0</v>
      </c>
    </row>
    <row r="9" spans="1:16" ht="14.25" customHeight="1" x14ac:dyDescent="0.25">
      <c r="A9" s="1"/>
      <c r="B9" s="1"/>
      <c r="C9" s="1"/>
      <c r="D9" s="1">
        <v>5091</v>
      </c>
      <c r="E9" s="1">
        <v>47549</v>
      </c>
      <c r="F9" s="1"/>
      <c r="G9" s="1"/>
      <c r="H9" s="1">
        <v>5494</v>
      </c>
      <c r="I9" s="1"/>
      <c r="J9" s="1"/>
      <c r="K9" s="1"/>
      <c r="L9" s="1">
        <v>0</v>
      </c>
      <c r="M9" s="1">
        <v>3803</v>
      </c>
      <c r="N9" s="1"/>
      <c r="O9" s="1"/>
      <c r="P9" s="1">
        <v>0</v>
      </c>
    </row>
    <row r="10" spans="1:16" ht="14.25" customHeight="1" x14ac:dyDescent="0.25">
      <c r="A10" s="1"/>
      <c r="B10" s="1"/>
      <c r="C10" s="1"/>
      <c r="D10" s="1">
        <v>7389</v>
      </c>
      <c r="E10" s="1">
        <v>77483</v>
      </c>
      <c r="F10" s="1"/>
      <c r="G10" s="1"/>
      <c r="H10" s="1">
        <v>7385</v>
      </c>
      <c r="I10" s="1"/>
      <c r="J10" s="1"/>
      <c r="K10" s="1"/>
      <c r="L10" s="1">
        <v>0</v>
      </c>
      <c r="M10" s="1">
        <v>0</v>
      </c>
      <c r="N10" s="1"/>
      <c r="O10" s="1"/>
      <c r="P10" s="1">
        <v>0</v>
      </c>
    </row>
    <row r="11" spans="1:16" ht="14.25" customHeight="1" x14ac:dyDescent="0.25">
      <c r="A11" s="1"/>
      <c r="B11" s="1"/>
      <c r="C11" s="1"/>
      <c r="D11" s="1">
        <v>0</v>
      </c>
      <c r="E11" s="1">
        <v>0</v>
      </c>
      <c r="F11" s="1"/>
      <c r="G11" s="1"/>
      <c r="H11" s="1">
        <v>0</v>
      </c>
      <c r="I11" s="1"/>
      <c r="J11" s="1"/>
      <c r="K11" s="1"/>
      <c r="L11" s="1">
        <v>0</v>
      </c>
      <c r="M11" s="1">
        <v>0</v>
      </c>
      <c r="N11" s="1"/>
      <c r="O11" s="1"/>
      <c r="P11" s="1">
        <v>0</v>
      </c>
    </row>
    <row r="12" spans="1:16" ht="14.25" customHeight="1" x14ac:dyDescent="0.25">
      <c r="A12" s="1"/>
      <c r="B12" s="1"/>
      <c r="C12" s="1"/>
      <c r="D12" s="1">
        <v>191</v>
      </c>
      <c r="E12" s="1">
        <v>918</v>
      </c>
      <c r="F12" s="1"/>
      <c r="G12" s="1"/>
      <c r="H12" s="1">
        <v>90</v>
      </c>
      <c r="I12" s="1"/>
      <c r="J12" s="1"/>
      <c r="K12" s="1"/>
      <c r="L12" s="1">
        <v>29765</v>
      </c>
      <c r="M12" s="1">
        <v>0</v>
      </c>
      <c r="N12" s="1"/>
      <c r="O12" s="1"/>
      <c r="P12" s="1">
        <v>0</v>
      </c>
    </row>
    <row r="13" spans="1:16" ht="14.25" customHeight="1" x14ac:dyDescent="0.25">
      <c r="A13" s="1"/>
      <c r="B13" s="1"/>
      <c r="C13" s="1"/>
      <c r="D13" s="1">
        <v>18</v>
      </c>
      <c r="E13" s="1">
        <v>140</v>
      </c>
      <c r="F13" s="1"/>
      <c r="G13" s="1"/>
      <c r="H13" s="1">
        <v>10</v>
      </c>
      <c r="I13" s="1"/>
      <c r="J13" s="1"/>
      <c r="K13" s="1"/>
      <c r="L13" s="1"/>
      <c r="M13" s="1">
        <v>188493</v>
      </c>
      <c r="N13" s="1"/>
      <c r="O13" s="1"/>
      <c r="P13" s="1">
        <v>0</v>
      </c>
    </row>
    <row r="14" spans="1:16" ht="14.25" customHeight="1" x14ac:dyDescent="0.25">
      <c r="A14" s="1"/>
      <c r="B14" s="1"/>
      <c r="C14" s="1"/>
      <c r="D14" s="1"/>
      <c r="E14" s="1">
        <v>2259</v>
      </c>
      <c r="F14" s="1"/>
      <c r="G14" s="1"/>
      <c r="H14" s="1">
        <v>124</v>
      </c>
      <c r="I14" s="1"/>
      <c r="J14" s="1"/>
      <c r="K14" s="1"/>
      <c r="L14" s="1"/>
      <c r="M14" s="1">
        <v>972</v>
      </c>
      <c r="N14" s="1"/>
      <c r="O14" s="1"/>
      <c r="P14" s="1">
        <v>0</v>
      </c>
    </row>
    <row r="15" spans="1:1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1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1"/>
      <c r="B17" s="1"/>
      <c r="C17" s="1"/>
      <c r="D17" s="1" t="s">
        <v>37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1"/>
      <c r="B18" s="1"/>
      <c r="C18" s="1"/>
      <c r="D18" s="1" t="s">
        <v>39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phoneticPr fontId="7" type="noConversion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延安炼油厂装置生产完成情况表（五）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烨铭 成</cp:lastModifiedBy>
  <cp:lastPrinted>2022-05-27T03:29:12Z</cp:lastPrinted>
  <dcterms:created xsi:type="dcterms:W3CDTF">2015-06-05T18:19:34Z</dcterms:created>
  <dcterms:modified xsi:type="dcterms:W3CDTF">2026-03-24T13:03:10Z</dcterms:modified>
</cp:coreProperties>
</file>