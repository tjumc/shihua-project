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延安炼油厂装置生产完成情况表（四）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#Input("延炼_生产计划部_延炼装置生产完成情况表4_18万干气精制装置（100单元）_原料处理量",":key{{dw}}",":read")</t>
        </r>
      </text>
    </comment>
    <comment ref="L6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#Input("延炼_生产计划部_延炼装置生产完成情况表4_12万乙苯装置_原料处理量",":key{{dw}}",":read")</t>
        </r>
      </text>
    </comment>
    <comment ref="D7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#Input("延炼_生产计划部_延炼装置生产完成情况表4_18万干气精制装置（100单元）_净化干气产量",":key{{dw}}",":read")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#Input("延炼_生产计划部_延炼装置生产完成情况表4_12万乙苯装置_净化干气",":key{{dw}}",":read")</t>
        </r>
      </text>
    </comment>
    <comment ref="D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#Input("延炼_生产计划部_延炼装置生产完成情况表4_18万干气精制装置（100单元）_酸性气产量",":key{{dw}}",":read")</t>
        </r>
      </text>
    </comment>
    <comment ref="L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#Input("延炼_生产计划部_延炼装置生产完成情况表4_12万乙苯装置_苯",":key{{dw}}",":read")</t>
        </r>
      </text>
    </comment>
    <comment ref="D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#Input("延炼_生产计划部_延炼装置生产完成情况表4_18万干气精制装置（100单元）_液化气组分产量",":key{{dw}}",":read")</t>
        </r>
      </text>
    </comment>
    <comment ref="L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#Input("延炼_生产计划部_延炼装置生产完成情况表4_12万乙苯装置_烃化液",":key{{dw}}",":read")</t>
        </r>
      </text>
    </comment>
    <comment ref="D1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#Input("延炼_生产计划部_延炼装置生产完成情况表4_18万干气精制装置（100单元）_瓦斯气",":key{{dw}}",":read")</t>
        </r>
      </text>
    </comment>
    <comment ref="L1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#Input("延炼_生产计划部_延炼装置生产完成情况表4_12万乙苯装置_乙苯产量",":key{{dw}}",":read")</t>
        </r>
      </text>
    </comment>
    <comment ref="D1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#Input("延炼_生产计划部_延炼装置生产完成情况表4_18万干气精制装置（100单元）_损失量",":key{{dw}}",":read")</t>
        </r>
      </text>
    </comment>
    <comment ref="L1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#Input("延炼_生产计划部_延炼装置生产完成情况表4_12万乙苯装置_丙苯产量",":key{{dw}}",":read")</t>
        </r>
      </text>
    </comment>
    <comment ref="L12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#Input("延炼_生产计划部_延炼装置生产完成情况表4_12万乙苯装置_高沸物",":key{{dw}}",":read")</t>
        </r>
      </text>
    </comment>
    <comment ref="L13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#Input("延炼_生产计划部_延炼装置生产完成情况表4_12万乙苯装置_烃化尾气",":key{{dw}}",":read")</t>
        </r>
      </text>
    </comment>
    <comment ref="L14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#Input("延炼_生产计划部_延炼装置生产完成情况表4_12万乙苯装置_损失量",":key{{dw}}",":read")</t>
        </r>
      </text>
    </comment>
    <comment ref="D1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#Input("延炼_生产计划部_延炼装置生产完成情况表4_12万苯乙烯装置（300单元）_原料处理量",":key{{dw}}",":read")</t>
        </r>
      </text>
    </comment>
    <comment ref="L1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#Input("延炼_生产计划部_延炼装置生产完成情况表4_12万苯乙烯装置（400单元）_原料处理量",":key{{dw}}",":read")</t>
        </r>
      </text>
    </comment>
    <comment ref="D1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#Input("延炼_生产计划部_延炼装置生产完成情况表4_12万苯乙烯装置（300单元）_乙苯",":key{{dw}}",":read")</t>
        </r>
      </text>
    </comment>
    <comment ref="L1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#Input("延炼_生产计划部_延炼装置生产完成情况表4_12万苯乙烯装置（400单元）_苯乙烯产量",":key{{dw}}",":read")</t>
        </r>
      </text>
    </comment>
    <comment ref="D2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#Input("延炼_生产计划部_延炼装置生产完成情况表4_12万苯乙烯装置（300单元）_高沸物",":key{{dw}}",":read")</t>
        </r>
      </text>
    </comment>
    <comment ref="L2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#Input("延炼_生产计划部_延炼装置生产完成情况表4_12万苯乙烯装置（400单元）_甲苯产量",":key{{dw}}",":read")</t>
        </r>
      </text>
    </comment>
    <comment ref="D2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#Input("延炼_生产计划部_延炼装置生产完成情况表4_12万苯乙烯装置（300单元）_脱氢液",":key{{dw}}",":read")</t>
        </r>
      </text>
    </comment>
    <comment ref="L2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#Input("延炼_生产计划部_延炼装置生产完成情况表4_12万苯乙烯装置（400单元）_苯产量",":key{{dw}}",":read")</t>
        </r>
      </text>
    </comment>
    <comment ref="D22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#Input("延炼_生产计划部_延炼装置生产完成情况表4_12万苯乙烯装置（300单元）_脱氢尾气",":key{{dw}}",":read")</t>
        </r>
      </text>
    </comment>
    <comment ref="L22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#Input("延炼_生产计划部_延炼装置生产完成情况表4_12万苯乙烯装置（400单元）_焦油产量",":key{{dw}}",":read")</t>
        </r>
      </text>
    </comment>
    <comment ref="D23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#Input("延炼_生产计划部_延炼装置生产完成情况表4_12万苯乙烯装置（300单元）_损失量",":key{{dw}}",":read")</t>
        </r>
      </text>
    </comment>
    <comment ref="L23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#Input("延炼_生产计划部_延炼装置生产完成情况表4_12万苯乙烯装置（400单元）_乙苯产量",":key{{dw}}",":read")</t>
        </r>
      </text>
    </comment>
    <comment ref="L24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#Input("延炼_生产计划部_延炼装置生产完成情况表4_12万苯乙烯装置（400单元）_损失量",":key{{dw}}",":read")</t>
        </r>
      </text>
    </comment>
    <comment ref="D30" authorId="0">
      <text>
        <r>
          <rPr>
            <b/>
            <sz val="9"/>
            <color indexed="81"/>
            <rFont val="宋体"/>
            <family val="2"/>
          </rPr>
          <t>#Input("延炼_延安炼油厂装置生产完成情况表（四）_单位负责人",":key{{dw}}")</t>
        </r>
      </text>
    </comment>
    <comment ref="K30" authorId="0">
      <text>
        <r>
          <rPr>
            <b/>
            <sz val="9"/>
            <color indexed="81"/>
            <rFont val="宋体"/>
            <family val="2"/>
          </rPr>
          <t>#Input("延炼_延安炼油厂装置生产完成情况表（四）_填报人",":key{{dw}}")</t>
        </r>
      </text>
    </comment>
  </commentList>
</comments>
</file>

<file path=xl/sharedStrings.xml><?xml version="1.0" encoding="utf-8"?>
<sst xmlns="http://schemas.openxmlformats.org/spreadsheetml/2006/main" count="124" uniqueCount="51">
  <si>
    <t>延安炼油厂装置生产完成情况表（四）</t>
  </si>
  <si>
    <t>填报单位：生产计划部</t>
  </si>
  <si>
    <t>日期：</t>
  </si>
  <si>
    <t>2025-12</t>
  </si>
  <si>
    <t>陕油延炼计统YB106-4表</t>
  </si>
  <si>
    <t>装置名称</t>
  </si>
  <si>
    <t>指标名称</t>
  </si>
  <si>
    <t>产量（吨）</t>
  </si>
  <si>
    <t>收率（％）</t>
  </si>
  <si>
    <t>去年同期</t>
  </si>
  <si>
    <t>本 月</t>
  </si>
  <si>
    <t>累 计</t>
  </si>
  <si>
    <t>平 均</t>
  </si>
  <si>
    <t>产 量</t>
  </si>
  <si>
    <t>收 率</t>
  </si>
  <si>
    <t>18
万
吨
干
气
精
制
装
置</t>
  </si>
  <si>
    <t>原料处理量</t>
  </si>
  <si>
    <t>/</t>
  </si>
  <si>
    <t>12
万
吨
乙
苯
装
置</t>
  </si>
  <si>
    <t>净化干气产量</t>
  </si>
  <si>
    <t>其中：净化干气</t>
  </si>
  <si>
    <t>酸性气产量</t>
  </si>
  <si>
    <t xml:space="preserve">      苯</t>
  </si>
  <si>
    <t>液化气组分产量</t>
  </si>
  <si>
    <r>
      <t xml:space="preserve">  </t>
    </r>
    <r>
      <rPr>
        <charset val="134"/>
        <color theme="1"/>
        <family val="3"/>
        <rFont val="等线"/>
        <sz val="11"/>
      </rPr>
      <t xml:space="preserve">    </t>
    </r>
    <r>
      <rPr>
        <charset val="134"/>
        <color theme="1"/>
        <family val="3"/>
        <rFont val="等线"/>
        <sz val="11"/>
      </rPr>
      <t>烃化液</t>
    </r>
  </si>
  <si>
    <t>瓦斯气</t>
  </si>
  <si>
    <t>乙苯产量</t>
  </si>
  <si>
    <t>损失量</t>
  </si>
  <si>
    <t>丙苯产量</t>
  </si>
  <si>
    <t/>
  </si>
  <si>
    <t>高沸物</t>
  </si>
  <si>
    <t>烃化尾气</t>
  </si>
  <si>
    <t>12
万
吨
苯
乙
烯
装
置
300
单
元</t>
  </si>
  <si>
    <t>12
万
吨
苯
乙
烯
装
置
400
单
元</t>
  </si>
  <si>
    <t>其中：乙苯</t>
  </si>
  <si>
    <t>苯乙烯产量</t>
  </si>
  <si>
    <t>甲苯产量</t>
  </si>
  <si>
    <t>脱氢液</t>
  </si>
  <si>
    <t>苯产量</t>
  </si>
  <si>
    <t>脱氢尾气</t>
  </si>
  <si>
    <t>焦油产量</t>
  </si>
  <si>
    <t>苯乙烯收率</t>
  </si>
  <si>
    <t>单位领导：</t>
  </si>
  <si>
    <t>王静</t>
  </si>
  <si>
    <t>填报人：</t>
  </si>
  <si>
    <t>黄宏飞</t>
  </si>
  <si>
    <t>报出日期：</t>
  </si>
  <si>
    <t>报表生成时间：</t>
  </si>
  <si>
    <t xml:space="preserve"> 8:00:00</t>
  </si>
  <si>
    <t>YL_SC_ALL_YearSum</t>
  </si>
  <si>
    <t>YL_SC_Year_Compare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</si>
</sst>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0.00_ "/>
    <numFmt numFmtId="173" formatCode="yyyy\-mm\-dd"/>
  </numFmts>
  <fonts count="23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Arial"/>
    </font>
    <font>
      <sz val="11"/>
      <color theme="1"/>
      <name val="等线"/>
    </font>
    <font>
      <sz val="11"/>
      <color rgb="FF000000"/>
      <name val="Calibri"/>
      <scheme val="minor"/>
    </font>
    <font>
      <b/>
      <sz val="18"/>
      <color theme="1"/>
      <name val="等线"/>
    </font>
    <font>
      <sz val="11"/>
      <color rgb="FF000000"/>
      <name val="等线"/>
    </font>
  </fonts>
  <fills count="33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3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48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/>
  </cellStyleXfs>
  <cellXfs count="151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/>
    <xf numFmtId="0" fontId="19" fillId="0" borderId="10" xfId="0" applyFont="1" applyBorder="1">
      <alignment horizontal="center" vertical="center"/>
    </xf>
    <xf numFmtId="0" fontId="19" fillId="0" borderId="11" xfId="0" applyFont="1" applyBorder="1">
      <alignment horizontal="center" vertical="center"/>
    </xf>
    <xf numFmtId="0" fontId="19" fillId="0" borderId="10" xfId="0" applyFont="1" applyBorder="1">
      <alignment vertical="center"/>
    </xf>
    <xf numFmtId="171" fontId="19" fillId="7" borderId="10" xfId="0" applyFont="1" applyFill="1" applyBorder="1" applyNumberFormat="1">
      <alignment horizontal="right" vertical="center"/>
    </xf>
    <xf numFmtId="171" fontId="19" fillId="0" borderId="10" xfId="0" applyFont="1" applyBorder="1" applyNumberFormat="1">
      <alignment horizontal="right" vertical="center"/>
    </xf>
    <xf numFmtId="172" fontId="19" fillId="0" borderId="10" xfId="0" applyFont="1" applyBorder="1" applyNumberFormat="1">
      <alignment vertical="center"/>
    </xf>
    <xf numFmtId="0" fontId="19" fillId="0" borderId="11" xfId="0" applyFont="1" applyBorder="1">
      <alignment vertical="center"/>
    </xf>
    <xf numFmtId="0" fontId="19" fillId="0" borderId="12" xfId="0" applyFont="1" applyBorder="1">
      <alignment vertical="center"/>
    </xf>
    <xf numFmtId="0" fontId="19" fillId="0" borderId="13" xfId="0" applyFont="1" applyBorder="1">
      <alignment vertical="center"/>
    </xf>
    <xf numFmtId="172" fontId="19" fillId="0" borderId="11" xfId="0" applyFont="1" applyBorder="1" applyNumberFormat="1">
      <alignment vertical="center"/>
    </xf>
    <xf numFmtId="2" fontId="19" fillId="0" borderId="11" xfId="0" applyFont="1" applyBorder="1" applyNumberFormat="1">
      <alignment vertical="center"/>
    </xf>
    <xf numFmtId="171" fontId="19" fillId="0" borderId="10" xfId="0" applyFont="1" applyBorder="1" applyNumberFormat="1">
      <alignment horizontal="right" vertical="center"/>
    </xf>
    <xf numFmtId="1" fontId="19" fillId="7" borderId="10" xfId="0" applyFont="1" applyFill="1" applyBorder="1" applyNumberFormat="1">
      <alignment horizontal="right" vertical="center"/>
    </xf>
    <xf numFmtId="1" fontId="19" fillId="0" borderId="10" xfId="0" applyFont="1" applyBorder="1" applyNumberFormat="1">
      <alignment horizontal="right" vertical="center"/>
    </xf>
    <xf numFmtId="1" fontId="19" fillId="0" borderId="10" xfId="0" applyFont="1" applyBorder="1" applyNumberFormat="1">
      <alignment horizontal="right" vertical="center"/>
    </xf>
    <xf numFmtId="0" fontId="19" fillId="0" borderId="10" xfId="0" applyFont="1" applyBorder="1">
      <alignment horizontal="right" vertical="center"/>
    </xf>
    <xf numFmtId="0" fontId="19" fillId="0" borderId="10" xfId="0" applyFont="1" applyBorder="1">
      <alignment vertical="center"/>
    </xf>
    <xf numFmtId="0" fontId="19" fillId="0" borderId="0" xfId="0" applyFont="1"/>
    <xf numFmtId="0" fontId="19" fillId="0" borderId="14" xfId="0" applyFont="1" applyBorder="1"/>
    <xf numFmtId="0" fontId="19" fillId="0" borderId="14" xfId="0" applyFont="1" applyBorder="1">
      <alignment horizontal="right" vertical="center"/>
    </xf>
    <xf numFmtId="0" fontId="19" fillId="7" borderId="14" xfId="0" applyFont="1" applyFill="1" applyBorder="1">
      <alignment horizontal="left" vertical="center"/>
    </xf>
    <xf numFmtId="0" fontId="20" fillId="0" borderId="0" xfId="0" applyFont="1">
      <alignment vertical="top"/>
    </xf>
    <xf numFmtId="173" fontId="20" fillId="0" borderId="0" xfId="0" applyFont="1" applyNumberFormat="1">
      <alignment vertical="top"/>
    </xf>
    <xf numFmtId="173" fontId="0" fillId="0" borderId="0" xfId="0" applyFont="1" applyNumberFormat="1"/>
    <xf numFmtId="0" fontId="19" fillId="0" borderId="14" xfId="0" applyFont="1" applyBorder="1">
      <alignment horizontal="right" vertical="center"/>
    </xf>
    <xf numFmtId="173" fontId="19" fillId="0" borderId="14" xfId="0" applyFont="1" applyBorder="1" applyNumberFormat="1">
      <alignment horizontal="left" vertical="center"/>
    </xf>
    <xf numFmtId="0" fontId="19" fillId="0" borderId="15" xfId="0" applyFont="1" applyBorder="1">
      <alignment horizontal="center" vertical="center" wrapText="1"/>
    </xf>
    <xf numFmtId="0" fontId="19" fillId="0" borderId="15" xfId="0" applyFont="1" applyBorder="1">
      <alignment horizontal="center" vertical="center"/>
    </xf>
    <xf numFmtId="0" fontId="19" fillId="0" borderId="16" xfId="0" applyFont="1" applyBorder="1">
      <alignment horizontal="center" vertical="center"/>
    </xf>
    <xf numFmtId="0" fontId="19" fillId="0" borderId="10" xfId="0" applyFont="1" applyBorder="1">
      <alignment horizontal="center" vertical="center" wrapText="1"/>
    </xf>
    <xf numFmtId="0" fontId="19" fillId="0" borderId="10" xfId="0" applyFont="1" applyBorder="1">
      <alignment horizontal="center" vertical="center"/>
    </xf>
    <xf numFmtId="0" fontId="19" fillId="0" borderId="12" xfId="0" applyFont="1" applyBorder="1">
      <alignment horizontal="center" vertical="center"/>
    </xf>
    <xf numFmtId="0" fontId="21" fillId="0" borderId="17" xfId="0" applyFont="1" applyBorder="1">
      <alignment horizontal="center" vertical="center"/>
    </xf>
    <xf numFmtId="0" fontId="21" fillId="0" borderId="18" xfId="0" applyFont="1" applyBorder="1">
      <alignment horizontal="center" vertical="center"/>
    </xf>
    <xf numFmtId="0" fontId="21" fillId="0" borderId="19" xfId="0" applyFont="1" applyBorder="1">
      <alignment horizontal="center" vertical="center"/>
    </xf>
    <xf numFmtId="0" fontId="19" fillId="0" borderId="11" xfId="0" applyFont="1" applyBorder="1">
      <alignment horizontal="center" vertical="center"/>
    </xf>
    <xf numFmtId="2" fontId="22" fillId="0" borderId="20" xfId="47" applyFont="1" applyBorder="1" applyNumberFormat="1">
      <alignment horizontal="left" vertical="center"/>
    </xf>
    <xf numFmtId="0" fontId="19" fillId="0" borderId="20" xfId="0" applyFont="1" applyBorder="1">
      <alignment horizontal="right" vertical="center"/>
    </xf>
    <xf numFmtId="0" fontId="19" fillId="0" borderId="21" xfId="0" applyFont="1" applyBorder="1">
      <alignment horizontal="left" vertical="center"/>
    </xf>
    <xf numFmtId="0" fontId="19" fillId="0" borderId="20" xfId="0" applyFont="1" applyBorder="1">
      <alignment horizontal="left" vertical="center"/>
    </xf>
    <xf numFmtId="0" fontId="19" fillId="0" borderId="22" xfId="0" applyFont="1" applyBorder="1">
      <alignment horizontal="right" vertical="center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21" fillId="0" borderId="17" xfId="0" applyFont="1" applyBorder="1">
      <alignment horizontal="center" vertical="center" wrapText="1"/>
    </xf>
    <xf numFmtId="0" fontId="21" fillId="0" borderId="18" xfId="0" applyFont="1" applyBorder="1">
      <alignment horizontal="center" vertical="center" wrapText="1"/>
    </xf>
    <xf numFmtId="0" fontId="21" fillId="0" borderId="19" xfId="0" applyFont="1" applyBorder="1">
      <alignment horizontal="center" vertical="center" wrapText="1"/>
    </xf>
    <xf numFmtId="0" fontId="19" fillId="0" borderId="21" xfId="0" applyFont="1" applyBorder="1">
      <alignment horizontal="left" vertical="center" wrapText="1"/>
    </xf>
    <xf numFmtId="0" fontId="19" fillId="0" borderId="20" xfId="0" applyFont="1" applyBorder="1">
      <alignment horizontal="left" vertical="center" wrapText="1"/>
    </xf>
    <xf numFmtId="0" fontId="19" fillId="0" borderId="20" xfId="0" applyFont="1" applyBorder="1">
      <alignment horizontal="right" vertical="center" wrapText="1"/>
    </xf>
    <xf numFmtId="2" fontId="22" fillId="0" borderId="20" xfId="0" applyFont="1" applyBorder="1" applyNumberFormat="1">
      <alignment horizontal="left" vertical="center" wrapText="1"/>
    </xf>
    <xf numFmtId="0" fontId="19" fillId="0" borderId="22" xfId="0" applyFont="1" applyBorder="1">
      <alignment horizontal="right" vertical="center" wrapText="1"/>
    </xf>
    <xf numFmtId="0" fontId="19" fillId="0" borderId="15" xfId="0" applyFont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19" fillId="0" borderId="11" xfId="0" applyFont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19" fillId="0" borderId="11" xfId="0" applyFont="1" applyBorder="1">
      <alignment horizontal="center" vertical="center" wrapText="1"/>
    </xf>
    <xf numFmtId="0" fontId="19" fillId="0" borderId="15" xfId="0" applyFont="1" applyBorder="1">
      <alignment horizontal="center" vertical="center" wrapText="1"/>
    </xf>
    <xf numFmtId="0" fontId="19" fillId="0" borderId="10" xfId="0" applyFont="1" applyBorder="1">
      <alignment vertical="center" wrapText="1"/>
    </xf>
    <xf numFmtId="1" fontId="19" fillId="7" borderId="10" xfId="0" applyFont="1" applyFill="1" applyBorder="1" applyNumberFormat="1">
      <alignment horizontal="right" vertical="center" wrapText="1"/>
    </xf>
    <xf numFmtId="1" fontId="19" fillId="0" borderId="10" xfId="0" applyFont="1" applyBorder="1" applyNumberFormat="1">
      <alignment horizontal="right" vertical="center" wrapText="1"/>
    </xf>
    <xf numFmtId="171" fontId="19" fillId="0" borderId="10" xfId="0" applyFont="1" applyBorder="1" applyNumberFormat="1">
      <alignment horizontal="right" vertical="center" wrapText="1"/>
    </xf>
    <xf numFmtId="0" fontId="19" fillId="0" borderId="10" xfId="0" applyFont="1" applyBorder="1">
      <alignment horizontal="center" vertical="center" wrapText="1"/>
    </xf>
    <xf numFmtId="171" fontId="19" fillId="7" borderId="10" xfId="0" applyFont="1" applyFill="1" applyBorder="1" applyNumberFormat="1">
      <alignment horizontal="right" vertical="center" wrapText="1"/>
    </xf>
    <xf numFmtId="171" fontId="19" fillId="0" borderId="10" xfId="0" applyFont="1" applyBorder="1" applyNumberFormat="1">
      <alignment horizontal="right" vertical="center" wrapText="1"/>
    </xf>
    <xf numFmtId="1" fontId="19" fillId="0" borderId="10" xfId="0" applyFont="1" applyBorder="1" applyNumberFormat="1">
      <alignment horizontal="right" vertical="center" wrapText="1"/>
    </xf>
    <xf numFmtId="172" fontId="19" fillId="0" borderId="10" xfId="0" applyFont="1" applyBorder="1" applyNumberFormat="1">
      <alignment vertical="center" wrapText="1"/>
    </xf>
    <xf numFmtId="0" fontId="19" fillId="0" borderId="10" xfId="0" applyFont="1" applyBorder="1">
      <alignment vertical="center" wrapText="1"/>
    </xf>
    <xf numFmtId="2" fontId="19" fillId="0" borderId="11" xfId="0" applyFont="1" applyBorder="1" applyNumberFormat="1">
      <alignment vertical="center" wrapText="1"/>
    </xf>
    <xf numFmtId="0" fontId="19" fillId="0" borderId="11" xfId="0" applyFont="1" applyBorder="1">
      <alignment vertical="center" wrapText="1"/>
    </xf>
    <xf numFmtId="0" fontId="19" fillId="0" borderId="10" xfId="0" applyFont="1" applyBorder="1">
      <alignment horizontal="right" vertical="center" wrapText="1"/>
    </xf>
    <xf numFmtId="172" fontId="19" fillId="0" borderId="11" xfId="0" applyFont="1" applyBorder="1" applyNumberFormat="1">
      <alignment vertical="center" wrapText="1"/>
    </xf>
    <xf numFmtId="0" fontId="19" fillId="0" borderId="16" xfId="0" applyFont="1" applyBorder="1">
      <alignment horizontal="center" vertical="center" wrapText="1"/>
    </xf>
    <xf numFmtId="0" fontId="19" fillId="0" borderId="12" xfId="0" applyFont="1" applyBorder="1">
      <alignment vertical="center" wrapText="1"/>
    </xf>
    <xf numFmtId="0" fontId="19" fillId="0" borderId="12" xfId="0" applyFont="1" applyBorder="1">
      <alignment horizontal="center" vertical="center" wrapText="1"/>
    </xf>
    <xf numFmtId="0" fontId="19" fillId="0" borderId="13" xfId="0" applyFont="1" applyBorder="1">
      <alignment vertical="center" wrapText="1"/>
    </xf>
    <xf numFmtId="0" fontId="0" fillId="0" borderId="0" xfId="0" applyFont="1"/>
    <xf numFmtId="0" fontId="19" fillId="0" borderId="14" xfId="0" applyFont="1" applyBorder="1">
      <alignment wrapText="1"/>
    </xf>
    <xf numFmtId="0" fontId="19" fillId="0" borderId="14" xfId="0" applyFont="1" applyBorder="1">
      <alignment horizontal="right" vertical="center" wrapText="1"/>
    </xf>
    <xf numFmtId="0" fontId="19" fillId="7" borderId="14" xfId="0" applyFont="1" applyFill="1" applyBorder="1">
      <alignment horizontal="left" vertical="center" wrapText="1"/>
      <protection locked="0"/>
    </xf>
    <xf numFmtId="0" fontId="19" fillId="0" borderId="0" xfId="0" applyFont="1">
      <alignment wrapText="1"/>
    </xf>
    <xf numFmtId="0" fontId="19" fillId="0" borderId="14" xfId="0" applyFont="1" applyBorder="1">
      <alignment horizontal="right" vertical="center" wrapText="1"/>
    </xf>
    <xf numFmtId="173" fontId="19" fillId="0" borderId="14" xfId="0" applyFont="1" applyBorder="1" applyNumberFormat="1">
      <alignment horizontal="lef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0" fontId="20" fillId="0" borderId="0" xfId="0" applyFont="1">
      <alignment vertical="top" wrapText="1"/>
    </xf>
    <xf numFmtId="173" fontId="20" fillId="0" borderId="0" xfId="0" applyFont="1" applyNumberFormat="1">
      <alignment vertical="top" wrapText="1"/>
    </xf>
    <xf numFmtId="173" fontId="0" fillId="0" borderId="0" xfId="0" applyFont="1" applyNumberForma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</cellXfs>
  <cellStyles count="48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 2" xfId="4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0817D26-67C9-971B-EA48-6AD5B6A0EB78}" mc:Ignorable="x14ac xr xr2 xr3">
  <sheetPr>
    <pageSetUpPr fitToPage="1"/>
  </sheetPr>
  <dimension ref="A1:Q30"/>
  <sheetViews>
    <sheetView defaultGridColor="0" colorId="31" topLeftCell="A1" showGridLines="0" workbookViewId="0" tabSelected="1">
      <pane ySplit="5" topLeftCell="A6" activePane="bottomLeft" state="frozen"/>
      <selection pane="bottomLeft" activeCell="A1" sqref="A1"/>
    </sheetView>
  </sheetViews>
  <sheetFormatPr customHeight="1" defaultRowHeight="14.100000000000001"/>
  <cols>
    <col min="1" max="1" style="130" width="2.7109375" customWidth="1"/>
    <col min="3" max="3" style="131" width="16.57421875" customWidth="1"/>
    <col min="4" max="4" style="132" width="10.57421875" customWidth="1"/>
    <col min="5" max="5" style="133" width="10.57421875" customWidth="1"/>
    <col min="6" max="6" style="134" width="10.57421875" customWidth="1"/>
    <col min="7" max="7" style="135" width="10.57421875" customWidth="1"/>
    <col min="8" max="8" style="136" width="10.57421875" customWidth="1"/>
    <col min="9" max="9" style="137" width="10.57421875" customWidth="1"/>
    <col min="11" max="11" style="138" width="16.57421875" customWidth="1"/>
    <col min="12" max="12" style="139" width="10.57421875" customWidth="1"/>
    <col min="13" max="13" style="140" width="10.57421875" customWidth="1"/>
    <col min="14" max="14" style="141" width="10.57421875" customWidth="1"/>
    <col min="15" max="15" style="142" width="10.57421875" customWidth="1"/>
    <col min="16" max="16" style="143" width="10.57421875" customWidth="1"/>
    <col min="17" max="17" style="144" width="10.57421875" customWidth="1"/>
  </cols>
  <sheetData>
    <row customHeight="1" ht="2.25">
      <c r="A1" s="89"/>
      <c r="B1" s="90"/>
      <c r="C1" s="89"/>
      <c r="D1" s="89"/>
      <c r="E1" s="89"/>
      <c r="F1" s="89"/>
      <c r="G1" s="89"/>
      <c r="H1" s="89"/>
      <c r="I1" s="89"/>
      <c r="J1" s="90"/>
      <c r="K1" s="89"/>
      <c r="L1" s="89"/>
      <c r="M1" s="89"/>
      <c r="N1" s="89"/>
      <c r="O1" s="89"/>
      <c r="P1" s="89"/>
      <c r="Q1" s="89"/>
    </row>
    <row customHeight="1" ht="27.75">
      <c r="A2" s="89"/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3"/>
    </row>
    <row customHeight="1" ht="20.25">
      <c r="A3" s="89"/>
      <c r="B3" s="94" t="s">
        <v>1</v>
      </c>
      <c r="C3" s="95"/>
      <c r="D3" s="95"/>
      <c r="E3" s="95"/>
      <c r="F3" s="96" t="s">
        <v>2</v>
      </c>
      <c r="G3" s="96"/>
      <c r="H3" s="96"/>
      <c r="I3" s="97" t="s">
        <v>3</v>
      </c>
      <c r="J3" s="97"/>
      <c r="K3" s="97"/>
      <c r="L3" s="96" t="s">
        <v>4</v>
      </c>
      <c r="M3" s="96"/>
      <c r="N3" s="96"/>
      <c r="O3" s="96"/>
      <c r="P3" s="96"/>
      <c r="Q3" s="98"/>
    </row>
    <row customHeight="1" ht="20.25">
      <c r="A4" s="89"/>
      <c r="B4" s="99" t="s">
        <v>5</v>
      </c>
      <c r="C4" s="100" t="s">
        <v>6</v>
      </c>
      <c r="D4" s="100" t="s">
        <v>7</v>
      </c>
      <c r="E4" s="100"/>
      <c r="F4" s="100" t="s">
        <v>8</v>
      </c>
      <c r="G4" s="100"/>
      <c r="H4" s="100" t="s">
        <v>9</v>
      </c>
      <c r="I4" s="100"/>
      <c r="J4" s="100" t="s">
        <v>5</v>
      </c>
      <c r="K4" s="100" t="s">
        <v>6</v>
      </c>
      <c r="L4" s="100" t="s">
        <v>7</v>
      </c>
      <c r="M4" s="100"/>
      <c r="N4" s="100" t="s">
        <v>8</v>
      </c>
      <c r="O4" s="100"/>
      <c r="P4" s="100" t="s">
        <v>9</v>
      </c>
      <c r="Q4" s="101"/>
    </row>
    <row customHeight="1" ht="20.25">
      <c r="A5" s="89"/>
      <c r="B5" s="99"/>
      <c r="C5" s="100"/>
      <c r="D5" s="102" t="s">
        <v>10</v>
      </c>
      <c r="E5" s="102" t="s">
        <v>11</v>
      </c>
      <c r="F5" s="102" t="s">
        <v>10</v>
      </c>
      <c r="G5" s="102" t="s">
        <v>12</v>
      </c>
      <c r="H5" s="102" t="s">
        <v>13</v>
      </c>
      <c r="I5" s="102" t="s">
        <v>14</v>
      </c>
      <c r="J5" s="100"/>
      <c r="K5" s="100"/>
      <c r="L5" s="102" t="s">
        <v>10</v>
      </c>
      <c r="M5" s="102" t="s">
        <v>11</v>
      </c>
      <c r="N5" s="102" t="s">
        <v>10</v>
      </c>
      <c r="O5" s="102" t="s">
        <v>12</v>
      </c>
      <c r="P5" s="102" t="s">
        <v>13</v>
      </c>
      <c r="Q5" s="103" t="s">
        <v>14</v>
      </c>
    </row>
    <row customHeight="1" ht="20.25">
      <c r="A6" s="89"/>
      <c r="B6" s="74" t="s">
        <v>15</v>
      </c>
      <c r="C6" s="105" t="s">
        <v>16</v>
      </c>
      <c r="D6" s="106">
        <f>取值!D6</f>
        <v>9597</v>
      </c>
      <c r="E6" s="107">
        <f>_xlfn.IFERROR(SUM(D6,取值!E6),"")</f>
        <v>108528</v>
      </c>
      <c r="F6" s="102" t="s">
        <v>17</v>
      </c>
      <c r="G6" s="102" t="s">
        <v>17</v>
      </c>
      <c r="H6" s="108">
        <f>取值!H6</f>
        <v>8694</v>
      </c>
      <c r="I6" s="102" t="s">
        <v>17</v>
      </c>
      <c r="J6" s="77" t="s">
        <v>18</v>
      </c>
      <c r="K6" s="105" t="s">
        <v>16</v>
      </c>
      <c r="L6" s="110">
        <f>_xlfn.IFERROR(SUM(L7:L9),"")</f>
        <v>11473</v>
      </c>
      <c r="M6" s="108">
        <f>_xlfn.IFERROR(SUM(L6,取值!M6),"")</f>
        <v>136612</v>
      </c>
      <c r="N6" s="102" t="s">
        <v>17</v>
      </c>
      <c r="O6" s="102" t="s">
        <v>17</v>
      </c>
      <c r="P6" s="111">
        <f>取值!P6</f>
        <v>10898</v>
      </c>
      <c r="Q6" s="103" t="s">
        <v>17</v>
      </c>
    </row>
    <row customHeight="1" ht="20.25">
      <c r="A7" s="89"/>
      <c r="B7" s="99"/>
      <c r="C7" s="105" t="s">
        <v>19</v>
      </c>
      <c r="D7" s="106">
        <f>取值!D7</f>
        <v>7270</v>
      </c>
      <c r="E7" s="112">
        <f>_xlfn.IFERROR(SUM(D7,取值!E7),"")</f>
        <v>85319</v>
      </c>
      <c r="F7" s="113">
        <f>_xlfn.IFERROR(D7/D6*100,0)</f>
        <v>75.7528394289882</v>
      </c>
      <c r="G7" s="113">
        <f>_xlfn.IFERROR(E7/E6*100,0)</f>
        <v>78.6147353678313</v>
      </c>
      <c r="H7" s="111">
        <f>取值!H7</f>
        <v>6917</v>
      </c>
      <c r="I7" s="113">
        <f>_xlfn.IFERROR(H7/H6*100,0)</f>
        <v>79.5606165171383</v>
      </c>
      <c r="J7" s="100"/>
      <c r="K7" s="105" t="s">
        <v>20</v>
      </c>
      <c r="L7" s="110">
        <f>取值!L7</f>
        <v>7270</v>
      </c>
      <c r="M7" s="111">
        <f>_xlfn.IFERROR(SUM(L7,取值!M7),"")</f>
        <v>85319</v>
      </c>
      <c r="N7" s="102" t="s">
        <v>17</v>
      </c>
      <c r="O7" s="102" t="s">
        <v>17</v>
      </c>
      <c r="P7" s="111">
        <f>取值!P7</f>
        <v>6917</v>
      </c>
      <c r="Q7" s="103" t="s">
        <v>17</v>
      </c>
    </row>
    <row customHeight="1" ht="20.25">
      <c r="A8" s="89"/>
      <c r="B8" s="99"/>
      <c r="C8" s="105" t="s">
        <v>21</v>
      </c>
      <c r="D8" s="106">
        <f>取值!D8</f>
        <v>1769</v>
      </c>
      <c r="E8" s="112">
        <f>_xlfn.IFERROR(SUM(D8,取值!E8),"")</f>
        <v>16721</v>
      </c>
      <c r="F8" s="113">
        <f>_xlfn.IFERROR(D8/D6*100,0)</f>
        <v>18.4328435969574</v>
      </c>
      <c r="G8" s="113">
        <f>_xlfn.IFERROR(E8/E6*100,0)</f>
        <v>15.4070838861861</v>
      </c>
      <c r="H8" s="111">
        <f>取值!H8</f>
        <v>1234</v>
      </c>
      <c r="I8" s="113">
        <f>_xlfn.IFERROR(H8/H6*100,0)</f>
        <v>14.1936968023925</v>
      </c>
      <c r="J8" s="100"/>
      <c r="K8" s="105" t="s">
        <v>22</v>
      </c>
      <c r="L8" s="110">
        <f>取值!L8</f>
        <v>4203</v>
      </c>
      <c r="M8" s="111">
        <f>_xlfn.IFERROR(SUM(L8,取值!M8),"")</f>
        <v>51293</v>
      </c>
      <c r="N8" s="102" t="s">
        <v>17</v>
      </c>
      <c r="O8" s="102" t="s">
        <v>17</v>
      </c>
      <c r="P8" s="111">
        <f>取值!P8</f>
        <v>3981</v>
      </c>
      <c r="Q8" s="103" t="s">
        <v>17</v>
      </c>
    </row>
    <row customHeight="1" ht="20.25">
      <c r="A9" s="89"/>
      <c r="B9" s="99"/>
      <c r="C9" s="105" t="s">
        <v>23</v>
      </c>
      <c r="D9" s="106">
        <f>取值!D9</f>
        <v>0</v>
      </c>
      <c r="E9" s="112">
        <f>_xlfn.IFERROR(SUM(D9,取值!E9),"")</f>
        <v>0</v>
      </c>
      <c r="F9" s="113">
        <f>_xlfn.IFERROR(D9/D6*100,0)</f>
        <v>0</v>
      </c>
      <c r="G9" s="113">
        <f>_xlfn.IFERROR(E9/E6*100,0)</f>
        <v>0</v>
      </c>
      <c r="H9" s="111">
        <f>取值!H9</f>
        <v>0</v>
      </c>
      <c r="I9" s="113">
        <f>_xlfn.IFERROR(H9/H6*100,0)</f>
        <v>0</v>
      </c>
      <c r="J9" s="100"/>
      <c r="K9" s="114" t="s">
        <v>24</v>
      </c>
      <c r="L9" s="110">
        <f>取值!L9</f>
        <v>0</v>
      </c>
      <c r="M9" s="111">
        <f>_xlfn.IFERROR(SUM(L9,取值!M9),"")</f>
        <v>0</v>
      </c>
      <c r="N9" s="102" t="s">
        <v>17</v>
      </c>
      <c r="O9" s="102" t="s">
        <v>17</v>
      </c>
      <c r="P9" s="111">
        <f>取值!P9</f>
        <v>0</v>
      </c>
      <c r="Q9" s="103" t="s">
        <v>17</v>
      </c>
    </row>
    <row customHeight="1" ht="20.25">
      <c r="A10" s="89"/>
      <c r="B10" s="99"/>
      <c r="C10" s="105" t="s">
        <v>25</v>
      </c>
      <c r="D10" s="106">
        <f>取值!D10</f>
        <v>465</v>
      </c>
      <c r="E10" s="112">
        <f>_xlfn.IFERROR(SUM(D10,取值!E10),"")</f>
        <v>5452</v>
      </c>
      <c r="F10" s="113">
        <f>_xlfn.IFERROR(D10/D6*100,0)</f>
        <v>4.84526414504533</v>
      </c>
      <c r="G10" s="113">
        <f>_xlfn.IFERROR(E10/E6*100,0)</f>
        <v>5.02358838272151</v>
      </c>
      <c r="H10" s="111">
        <f>取值!H10</f>
        <v>462</v>
      </c>
      <c r="I10" s="113">
        <f>_xlfn.IFERROR(H10/H6*100,0)</f>
        <v>5.31400966183575</v>
      </c>
      <c r="J10" s="100"/>
      <c r="K10" s="105" t="s">
        <v>26</v>
      </c>
      <c r="L10" s="110">
        <f>取值!L10</f>
        <v>5293</v>
      </c>
      <c r="M10" s="111">
        <f>_xlfn.IFERROR(SUM(L10,取值!M10),"")</f>
        <v>65411</v>
      </c>
      <c r="N10" s="113">
        <f>_xlfn.IFERROR(L10/L6*100,0)</f>
        <v>46.1344025102414</v>
      </c>
      <c r="O10" s="113">
        <f>_xlfn.IFERROR(M10/M6*100,0)</f>
        <v>47.8808596609375</v>
      </c>
      <c r="P10" s="111">
        <f>取值!P10</f>
        <v>4959</v>
      </c>
      <c r="Q10" s="115">
        <f>_xlfn.IFERROR(P10/P6*100,0)</f>
        <v>45.5037621581942</v>
      </c>
    </row>
    <row customHeight="1" ht="20.25">
      <c r="A11" s="89"/>
      <c r="B11" s="99"/>
      <c r="C11" s="105" t="s">
        <v>27</v>
      </c>
      <c r="D11" s="106">
        <f>_xlfn.IFERROR(D6-SUM(D7:D10),"")</f>
        <v>93</v>
      </c>
      <c r="E11" s="112">
        <f>_xlfn.IFERROR(SUM(D11,取值!E11),"")</f>
        <v>1036</v>
      </c>
      <c r="F11" s="113">
        <f>_xlfn.IFERROR(D11/D6*100,0)</f>
        <v>0.969052829009065</v>
      </c>
      <c r="G11" s="113">
        <f>_xlfn.IFERROR(E11/E6*100,0)</f>
        <v>0.954592363261094</v>
      </c>
      <c r="H11" s="111">
        <f>取值!H11</f>
        <v>81</v>
      </c>
      <c r="I11" s="113">
        <f>_xlfn.IFERROR(H11/H6*100,0)</f>
        <v>0.93167701863354</v>
      </c>
      <c r="J11" s="100"/>
      <c r="K11" s="105" t="s">
        <v>28</v>
      </c>
      <c r="L11" s="110">
        <f>取值!L11</f>
        <v>225</v>
      </c>
      <c r="M11" s="111">
        <f>_xlfn.IFERROR(SUM(L11,取值!M11),"")</f>
        <v>2430</v>
      </c>
      <c r="N11" s="113">
        <f>_xlfn.IFERROR(L11/L6*100,0)</f>
        <v>1.96112612219995</v>
      </c>
      <c r="O11" s="113">
        <f>_xlfn.IFERROR(M11/M6*100,0)</f>
        <v>1.77876028460165</v>
      </c>
      <c r="P11" s="111">
        <f>取值!P11</f>
        <v>32</v>
      </c>
      <c r="Q11" s="115">
        <f>_xlfn.IFERROR(P11/P6*100,0)</f>
        <v>0.293631859056708</v>
      </c>
    </row>
    <row customHeight="1" ht="20.25">
      <c r="A12" s="89"/>
      <c r="B12" s="99"/>
      <c r="C12" s="105" t="s">
        <v>29</v>
      </c>
      <c r="D12" s="105"/>
      <c r="E12" s="105"/>
      <c r="F12" s="105"/>
      <c r="G12" s="105"/>
      <c r="H12" s="105"/>
      <c r="I12" s="105"/>
      <c r="J12" s="100"/>
      <c r="K12" s="105" t="s">
        <v>30</v>
      </c>
      <c r="L12" s="110">
        <f>取值!L12</f>
        <v>58</v>
      </c>
      <c r="M12" s="111">
        <f>_xlfn.IFERROR(SUM(L12,取值!M12),"")</f>
        <v>700</v>
      </c>
      <c r="N12" s="113">
        <f>_xlfn.IFERROR(L12/L6*100,0)</f>
        <v>0.505534733722653</v>
      </c>
      <c r="O12" s="113">
        <f>_xlfn.IFERROR(M12/M6*100,0)</f>
        <v>0.512400081984013</v>
      </c>
      <c r="P12" s="111">
        <f>取值!P12</f>
        <v>56</v>
      </c>
      <c r="Q12" s="115">
        <f>_xlfn.IFERROR(P12/P6*100,0)</f>
        <v>0.513855753349238</v>
      </c>
    </row>
    <row customHeight="1" ht="20.25">
      <c r="A13" s="89"/>
      <c r="B13" s="99"/>
      <c r="C13" s="105" t="s">
        <v>29</v>
      </c>
      <c r="D13" s="105"/>
      <c r="E13" s="105"/>
      <c r="F13" s="105"/>
      <c r="G13" s="105"/>
      <c r="H13" s="105"/>
      <c r="I13" s="105"/>
      <c r="J13" s="100"/>
      <c r="K13" s="105" t="s">
        <v>31</v>
      </c>
      <c r="L13" s="110">
        <f>取值!L13</f>
        <v>5751</v>
      </c>
      <c r="M13" s="111">
        <f>_xlfn.IFERROR(SUM(L13,取值!M13),"")</f>
        <v>66484</v>
      </c>
      <c r="N13" s="113">
        <f>_xlfn.IFERROR(L13/L6*100,0)</f>
        <v>50.1263836834307</v>
      </c>
      <c r="O13" s="113">
        <f>_xlfn.IFERROR(M13/M6*100,0)</f>
        <v>48.6662957866073</v>
      </c>
      <c r="P13" s="111">
        <f>取值!P13</f>
        <v>5700</v>
      </c>
      <c r="Q13" s="115">
        <f>_xlfn.IFERROR(P13/P6*100,0)</f>
        <v>52.303174894476</v>
      </c>
    </row>
    <row customHeight="1" ht="20.25">
      <c r="A14" s="89"/>
      <c r="B14" s="99"/>
      <c r="C14" s="105" t="s">
        <v>29</v>
      </c>
      <c r="D14" s="105"/>
      <c r="E14" s="105"/>
      <c r="F14" s="105"/>
      <c r="G14" s="105"/>
      <c r="H14" s="105"/>
      <c r="I14" s="105"/>
      <c r="J14" s="100"/>
      <c r="K14" s="105" t="s">
        <v>27</v>
      </c>
      <c r="L14" s="110">
        <f>_xlfn.IFERROR(L6-SUM(L10:L13),"")</f>
        <v>146</v>
      </c>
      <c r="M14" s="111">
        <f>_xlfn.IFERROR(SUM(L14,取值!M14),"")</f>
        <v>1587</v>
      </c>
      <c r="N14" s="113">
        <f>_xlfn.IFERROR(L14/L6*100,0)</f>
        <v>1.2725529504053</v>
      </c>
      <c r="O14" s="113">
        <f>_xlfn.IFERROR(M14/M6*100,0)</f>
        <v>1.16168418586947</v>
      </c>
      <c r="P14" s="111">
        <f>取值!P14</f>
        <v>151</v>
      </c>
      <c r="Q14" s="115">
        <f>_xlfn.IFERROR(P14/P6*100,0)</f>
        <v>1.38557533492384</v>
      </c>
    </row>
    <row customHeight="1" ht="20.25">
      <c r="A15" s="89"/>
      <c r="B15" s="99"/>
      <c r="C15" s="105" t="s">
        <v>29</v>
      </c>
      <c r="D15" s="105"/>
      <c r="E15" s="105"/>
      <c r="F15" s="105"/>
      <c r="G15" s="105"/>
      <c r="H15" s="105"/>
      <c r="I15" s="105"/>
      <c r="J15" s="100"/>
      <c r="K15" s="105" t="s">
        <v>29</v>
      </c>
      <c r="L15" s="105"/>
      <c r="M15" s="105"/>
      <c r="N15" s="105"/>
      <c r="O15" s="105"/>
      <c r="P15" s="105"/>
      <c r="Q15" s="116"/>
    </row>
    <row customHeight="1" ht="20.25">
      <c r="A16" s="89"/>
      <c r="B16" s="99"/>
      <c r="C16" s="105" t="s">
        <v>29</v>
      </c>
      <c r="D16" s="105"/>
      <c r="E16" s="105"/>
      <c r="F16" s="105"/>
      <c r="G16" s="105"/>
      <c r="H16" s="105"/>
      <c r="I16" s="105"/>
      <c r="J16" s="100"/>
      <c r="K16" s="105" t="s">
        <v>29</v>
      </c>
      <c r="L16" s="105"/>
      <c r="M16" s="105"/>
      <c r="N16" s="105"/>
      <c r="O16" s="105"/>
      <c r="P16" s="105"/>
      <c r="Q16" s="116"/>
    </row>
    <row customHeight="1" ht="20.25">
      <c r="A17" s="89"/>
      <c r="B17" s="99"/>
      <c r="C17" s="105" t="s">
        <v>29</v>
      </c>
      <c r="D17" s="105"/>
      <c r="E17" s="105"/>
      <c r="F17" s="105"/>
      <c r="G17" s="105"/>
      <c r="H17" s="105"/>
      <c r="I17" s="105"/>
      <c r="J17" s="100"/>
      <c r="K17" s="105" t="s">
        <v>29</v>
      </c>
      <c r="L17" s="105"/>
      <c r="M17" s="105"/>
      <c r="N17" s="105"/>
      <c r="O17" s="105"/>
      <c r="P17" s="105"/>
      <c r="Q17" s="116"/>
    </row>
    <row customHeight="1" ht="20.25">
      <c r="A18" s="89"/>
      <c r="B18" s="74" t="s">
        <v>32</v>
      </c>
      <c r="C18" s="105" t="s">
        <v>16</v>
      </c>
      <c r="D18" s="110">
        <f>_xlfn.IFERROR(SUM(D19:D20),"")</f>
        <v>5107</v>
      </c>
      <c r="E18" s="108">
        <f>_xlfn.IFERROR(SUM(D18,取值!E19),"")</f>
        <v>64164</v>
      </c>
      <c r="F18" s="102" t="s">
        <v>17</v>
      </c>
      <c r="G18" s="102" t="s">
        <v>17</v>
      </c>
      <c r="H18" s="111">
        <f>取值!H19</f>
        <v>5712</v>
      </c>
      <c r="I18" s="102" t="s">
        <v>17</v>
      </c>
      <c r="J18" s="77" t="s">
        <v>33</v>
      </c>
      <c r="K18" s="105" t="s">
        <v>16</v>
      </c>
      <c r="L18" s="110">
        <f>取值!L18</f>
        <v>4901</v>
      </c>
      <c r="M18" s="108">
        <f>_xlfn.IFERROR(SUM(L18,取值!M19),"")</f>
        <v>62252</v>
      </c>
      <c r="N18" s="102" t="s">
        <v>17</v>
      </c>
      <c r="O18" s="102" t="s">
        <v>17</v>
      </c>
      <c r="P18" s="111">
        <f>取值!P19</f>
        <v>5193</v>
      </c>
      <c r="Q18" s="103" t="s">
        <v>17</v>
      </c>
    </row>
    <row customHeight="1" ht="20.25">
      <c r="A19" s="89"/>
      <c r="B19" s="99"/>
      <c r="C19" s="117" t="s">
        <v>34</v>
      </c>
      <c r="D19" s="110">
        <f>取值!D19</f>
        <v>5107</v>
      </c>
      <c r="E19" s="111">
        <f>_xlfn.IFERROR(SUM(D19,取值!E20),"")</f>
        <v>64164</v>
      </c>
      <c r="F19" s="102" t="s">
        <v>17</v>
      </c>
      <c r="G19" s="102" t="s">
        <v>17</v>
      </c>
      <c r="H19" s="111">
        <f>取值!H20</f>
        <v>5712</v>
      </c>
      <c r="I19" s="102" t="s">
        <v>17</v>
      </c>
      <c r="J19" s="100"/>
      <c r="K19" s="105" t="s">
        <v>35</v>
      </c>
      <c r="L19" s="110">
        <f>取值!L19</f>
        <v>4676</v>
      </c>
      <c r="M19" s="111">
        <f>_xlfn.IFERROR(SUM(L19,取值!M20),"")</f>
        <v>59047</v>
      </c>
      <c r="N19" s="113">
        <f>_xlfn.IFERROR(L19/L18*100,0)</f>
        <v>95.409100183636</v>
      </c>
      <c r="O19" s="113">
        <f>_xlfn.IFERROR(M19/M18*100,0)</f>
        <v>94.8515710338624</v>
      </c>
      <c r="P19" s="111">
        <f>取值!P20</f>
        <v>4927</v>
      </c>
      <c r="Q19" s="118">
        <f>_xlfn.IFERROR(P19/P18*100,0)</f>
        <v>94.8777200077027</v>
      </c>
    </row>
    <row customHeight="1" ht="20.25">
      <c r="A20" s="89"/>
      <c r="B20" s="99"/>
      <c r="C20" s="117" t="s">
        <v>30</v>
      </c>
      <c r="D20" s="110">
        <f>取值!D20</f>
        <v>0</v>
      </c>
      <c r="E20" s="111">
        <f>_xlfn.IFERROR(SUM(D20,取值!E21),"")</f>
        <v>0</v>
      </c>
      <c r="F20" s="102" t="s">
        <v>17</v>
      </c>
      <c r="G20" s="102" t="s">
        <v>17</v>
      </c>
      <c r="H20" s="111">
        <f>取值!H21</f>
        <v>0</v>
      </c>
      <c r="I20" s="102" t="s">
        <v>17</v>
      </c>
      <c r="J20" s="100"/>
      <c r="K20" s="105" t="s">
        <v>36</v>
      </c>
      <c r="L20" s="110">
        <f>取值!L20</f>
        <v>133</v>
      </c>
      <c r="M20" s="111">
        <f>_xlfn.IFERROR(SUM(L20,取值!M21),"")</f>
        <v>1725</v>
      </c>
      <c r="N20" s="113">
        <f>_xlfn.IFERROR(L20/L18*100,0)</f>
        <v>2.71373189145072</v>
      </c>
      <c r="O20" s="113">
        <f>_xlfn.IFERROR(M20/M18*100,0)</f>
        <v>2.77099530938765</v>
      </c>
      <c r="P20" s="111">
        <f>取值!P21</f>
        <v>148</v>
      </c>
      <c r="Q20" s="118">
        <f>_xlfn.IFERROR(P20/P18*100,0)</f>
        <v>2.84999037165415</v>
      </c>
    </row>
    <row customHeight="1" ht="20.25">
      <c r="A21" s="89"/>
      <c r="B21" s="99"/>
      <c r="C21" s="105" t="s">
        <v>37</v>
      </c>
      <c r="D21" s="110">
        <f>取值!D21</f>
        <v>4953</v>
      </c>
      <c r="E21" s="111">
        <f>_xlfn.IFERROR(SUM(D21,取值!E22),"")</f>
        <v>62340</v>
      </c>
      <c r="F21" s="113">
        <f>_xlfn.IFERROR(D21/D18*100,0)</f>
        <v>96.9845310358332</v>
      </c>
      <c r="G21" s="113">
        <f>_xlfn.IFERROR(E21/E18*100,0)</f>
        <v>97.1572844585749</v>
      </c>
      <c r="H21" s="111">
        <f>取值!H22</f>
        <v>5557</v>
      </c>
      <c r="I21" s="113">
        <f>_xlfn.IFERROR(H21/H18*100,0)</f>
        <v>97.2864145658263</v>
      </c>
      <c r="J21" s="100"/>
      <c r="K21" s="105" t="s">
        <v>38</v>
      </c>
      <c r="L21" s="110">
        <f>取值!L21</f>
        <v>0</v>
      </c>
      <c r="M21" s="111">
        <f>_xlfn.IFERROR(SUM(L21,取值!M22),"")</f>
        <v>0</v>
      </c>
      <c r="N21" s="113">
        <f>_xlfn.IFERROR(L21/L18*100,0)</f>
        <v>0</v>
      </c>
      <c r="O21" s="113">
        <f>_xlfn.IFERROR(M21/M18*100,0)</f>
        <v>0</v>
      </c>
      <c r="P21" s="111">
        <f>取值!P22</f>
        <v>0</v>
      </c>
      <c r="Q21" s="118">
        <f>_xlfn.IFERROR(P21/P18*100,0)</f>
        <v>0</v>
      </c>
    </row>
    <row customHeight="1" ht="20.25">
      <c r="A22" s="89"/>
      <c r="B22" s="99"/>
      <c r="C22" s="105" t="s">
        <v>39</v>
      </c>
      <c r="D22" s="110">
        <f>取值!D22</f>
        <v>93</v>
      </c>
      <c r="E22" s="111">
        <f>_xlfn.IFERROR(SUM(D22,取值!E23),"")</f>
        <v>1092</v>
      </c>
      <c r="F22" s="113">
        <f>_xlfn.IFERROR(D22/D18*100,0)</f>
        <v>1.82102995887997</v>
      </c>
      <c r="G22" s="113">
        <f>_xlfn.IFERROR(E22/E18*100,0)</f>
        <v>1.70188890966897</v>
      </c>
      <c r="H22" s="111">
        <f>取值!H23</f>
        <v>90</v>
      </c>
      <c r="I22" s="113">
        <f>_xlfn.IFERROR(H22/H18*100,0)</f>
        <v>1.57563025210084</v>
      </c>
      <c r="J22" s="100"/>
      <c r="K22" s="105" t="s">
        <v>40</v>
      </c>
      <c r="L22" s="110">
        <f>取值!L22</f>
        <v>53</v>
      </c>
      <c r="M22" s="111">
        <f>_xlfn.IFERROR(SUM(L22,取值!M23),"")</f>
        <v>721</v>
      </c>
      <c r="N22" s="113">
        <f>_xlfn.IFERROR(L22/L18*100,0)</f>
        <v>1.08141195674352</v>
      </c>
      <c r="O22" s="113">
        <f>_xlfn.IFERROR(M22/M18*100,0)</f>
        <v>1.15819572061942</v>
      </c>
      <c r="P22" s="111">
        <f>取值!P23</f>
        <v>62</v>
      </c>
      <c r="Q22" s="118">
        <f>_xlfn.IFERROR(P22/P18*100,0)</f>
        <v>1.19391488542268</v>
      </c>
    </row>
    <row customHeight="1" ht="20.25">
      <c r="A23" s="89"/>
      <c r="B23" s="99"/>
      <c r="C23" s="105" t="s">
        <v>27</v>
      </c>
      <c r="D23" s="110">
        <f>_xlfn.IFERROR(D18-SUM(D21,D22),"")</f>
        <v>61</v>
      </c>
      <c r="E23" s="111">
        <f>_xlfn.IFERROR(SUM(D23,取值!E24),"")</f>
        <v>732</v>
      </c>
      <c r="F23" s="113">
        <f>_xlfn.IFERROR(D23/D18*100,0)</f>
        <v>1.19443900528686</v>
      </c>
      <c r="G23" s="113">
        <f>_xlfn.IFERROR(E23/E18*100,0)</f>
        <v>1.14082663175613</v>
      </c>
      <c r="H23" s="111">
        <f>取值!H24</f>
        <v>65</v>
      </c>
      <c r="I23" s="113">
        <f>_xlfn.IFERROR(H23/H18*100,0)</f>
        <v>1.13795518207283</v>
      </c>
      <c r="J23" s="100"/>
      <c r="K23" s="105" t="s">
        <v>26</v>
      </c>
      <c r="L23" s="110">
        <f>取值!L23</f>
        <v>0</v>
      </c>
      <c r="M23" s="111">
        <f>_xlfn.IFERROR(SUM(L23,取值!M24),"")</f>
        <v>0</v>
      </c>
      <c r="N23" s="113">
        <f>_xlfn.IFERROR(L23/L18*100,0)</f>
        <v>0</v>
      </c>
      <c r="O23" s="113">
        <f>_xlfn.IFERROR(M23/M18*100,0)</f>
        <v>0</v>
      </c>
      <c r="P23" s="111">
        <f>取值!P24</f>
        <v>0</v>
      </c>
      <c r="Q23" s="118">
        <f>_xlfn.IFERROR(P23/P18*100,0)</f>
        <v>0</v>
      </c>
    </row>
    <row customHeight="1" ht="20.25">
      <c r="A24" s="89"/>
      <c r="B24" s="99"/>
      <c r="C24" s="105" t="s">
        <v>29</v>
      </c>
      <c r="D24" s="105"/>
      <c r="E24" s="105"/>
      <c r="F24" s="105"/>
      <c r="G24" s="105"/>
      <c r="H24" s="105"/>
      <c r="I24" s="105"/>
      <c r="J24" s="100"/>
      <c r="K24" s="105" t="s">
        <v>27</v>
      </c>
      <c r="L24" s="110">
        <f>_xlfn.IFERROR(L18-SUM(L19:L23),"")</f>
        <v>39</v>
      </c>
      <c r="M24" s="111">
        <f>_xlfn.IFERROR(SUM(L24,取值!M25),"")</f>
        <v>759</v>
      </c>
      <c r="N24" s="113">
        <f>_xlfn.IFERROR(L24/L18*100,0)</f>
        <v>0.795755968169761</v>
      </c>
      <c r="O24" s="113">
        <f>_xlfn.IFERROR(M24/M18*100,0)</f>
        <v>1.21923793613057</v>
      </c>
      <c r="P24" s="111">
        <f>取值!P25</f>
        <v>56</v>
      </c>
      <c r="Q24" s="118">
        <f>_xlfn.IFERROR(P24/P18*100,0)</f>
        <v>1.07837473522049</v>
      </c>
    </row>
    <row customHeight="1" ht="20.25">
      <c r="A25" s="89"/>
      <c r="B25" s="99"/>
      <c r="C25" s="105" t="s">
        <v>29</v>
      </c>
      <c r="D25" s="105"/>
      <c r="E25" s="105"/>
      <c r="F25" s="105"/>
      <c r="G25" s="105"/>
      <c r="H25" s="105"/>
      <c r="I25" s="105"/>
      <c r="J25" s="100"/>
      <c r="K25" s="105" t="s">
        <v>29</v>
      </c>
      <c r="L25" s="105"/>
      <c r="M25" s="105"/>
      <c r="N25" s="105"/>
      <c r="O25" s="105"/>
      <c r="P25" s="105"/>
      <c r="Q25" s="116"/>
    </row>
    <row customHeight="1" ht="20.25">
      <c r="A26" s="89"/>
      <c r="B26" s="99"/>
      <c r="C26" s="105" t="s">
        <v>29</v>
      </c>
      <c r="D26" s="105"/>
      <c r="E26" s="105"/>
      <c r="F26" s="105"/>
      <c r="G26" s="105"/>
      <c r="H26" s="105"/>
      <c r="I26" s="105"/>
      <c r="J26" s="100"/>
      <c r="K26" s="105" t="s">
        <v>29</v>
      </c>
      <c r="L26" s="105"/>
      <c r="M26" s="105"/>
      <c r="N26" s="105"/>
      <c r="O26" s="105"/>
      <c r="P26" s="105"/>
      <c r="Q26" s="116"/>
    </row>
    <row customHeight="1" ht="20.25">
      <c r="A27" s="89"/>
      <c r="B27" s="99"/>
      <c r="C27" s="105" t="s">
        <v>29</v>
      </c>
      <c r="D27" s="105"/>
      <c r="E27" s="105"/>
      <c r="F27" s="105"/>
      <c r="G27" s="105"/>
      <c r="H27" s="105"/>
      <c r="I27" s="105"/>
      <c r="J27" s="100"/>
      <c r="K27" s="105" t="s">
        <v>29</v>
      </c>
      <c r="L27" s="105"/>
      <c r="M27" s="105"/>
      <c r="N27" s="105"/>
      <c r="O27" s="105"/>
      <c r="P27" s="105"/>
      <c r="Q27" s="116"/>
    </row>
    <row customHeight="1" ht="20.25">
      <c r="A28" s="89"/>
      <c r="B28" s="99"/>
      <c r="C28" s="105" t="s">
        <v>29</v>
      </c>
      <c r="D28" s="105"/>
      <c r="E28" s="105"/>
      <c r="F28" s="105"/>
      <c r="G28" s="105"/>
      <c r="H28" s="105"/>
      <c r="I28" s="105"/>
      <c r="J28" s="100"/>
      <c r="K28" s="105" t="s">
        <v>41</v>
      </c>
      <c r="L28" s="105"/>
      <c r="M28" s="105"/>
      <c r="N28" s="113">
        <f>_xlfn.IFERROR(L19/D18*100,0)</f>
        <v>91.5606030937928</v>
      </c>
      <c r="O28" s="113">
        <f>_xlfn.IFERROR(M19/E18*100,0)</f>
        <v>92.0251231219999</v>
      </c>
      <c r="P28" s="105"/>
      <c r="Q28" s="116"/>
    </row>
    <row customHeight="1" ht="20.25">
      <c r="A29" s="89"/>
      <c r="B29" s="119"/>
      <c r="C29" s="120" t="s">
        <v>29</v>
      </c>
      <c r="D29" s="120"/>
      <c r="E29" s="120"/>
      <c r="F29" s="120"/>
      <c r="G29" s="120"/>
      <c r="H29" s="120"/>
      <c r="I29" s="120"/>
      <c r="J29" s="121"/>
      <c r="K29" s="120" t="s">
        <v>29</v>
      </c>
      <c r="L29" s="120"/>
      <c r="M29" s="120"/>
      <c r="N29" s="120"/>
      <c r="O29" s="120"/>
      <c r="P29" s="120"/>
      <c r="Q29" s="122"/>
    </row>
    <row s="123" customFormat="1" customHeight="1" ht="20.25">
      <c r="A30" s="89"/>
      <c r="B30" s="124"/>
      <c r="C30" s="125" t="s">
        <v>42</v>
      </c>
      <c r="D30" s="126" t="s">
        <v>43</v>
      </c>
      <c r="E30" s="124"/>
      <c r="F30" s="124"/>
      <c r="G30" s="124"/>
      <c r="H30" s="127"/>
      <c r="I30" s="128" t="s">
        <v>44</v>
      </c>
      <c r="J30" s="128"/>
      <c r="K30" s="126" t="s">
        <v>45</v>
      </c>
      <c r="L30" s="124"/>
      <c r="M30" s="124"/>
      <c r="N30" s="128" t="s">
        <v>46</v>
      </c>
      <c r="O30" s="128"/>
      <c r="P30" s="129">
        <f>_xlfn.IFERROR(取值!B3,"")</f>
        <v>46022</v>
      </c>
      <c r="Q30" s="129"/>
    </row>
  </sheetData>
  <mergeCells count="22">
    <mergeCell ref="B2:Q2"/>
    <mergeCell ref="K4:K5"/>
    <mergeCell ref="L4:M4"/>
    <mergeCell ref="N4:O4"/>
    <mergeCell ref="P4:Q4"/>
    <mergeCell ref="B4:B5"/>
    <mergeCell ref="C4:C5"/>
    <mergeCell ref="D4:E4"/>
    <mergeCell ref="F4:G4"/>
    <mergeCell ref="H4:I4"/>
    <mergeCell ref="J4:J5"/>
    <mergeCell ref="I3:K3"/>
    <mergeCell ref="F3:H3"/>
    <mergeCell ref="B3:E3"/>
    <mergeCell ref="L3:Q3"/>
    <mergeCell ref="N30:O30"/>
    <mergeCell ref="P30:Q30"/>
    <mergeCell ref="B18:B29"/>
    <mergeCell ref="J18:J29"/>
    <mergeCell ref="B6:B17"/>
    <mergeCell ref="J6:J17"/>
    <mergeCell ref="I30:J30"/>
  </mergeCells>
  <pageMargins left="0.71" right="0.71" top="1.15" bottom="0.75" header="0.31" footer="0.31"/>
  <pageSetup paperSize="9" scale="73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FB0F478-F9B6-7018-F7C8-6E55E9DF20F8}" mc:Ignorable="x14ac xr xr2 xr3">
  <dimension ref="A1:P28"/>
  <sheetViews>
    <sheetView defaultGridColor="0" colorId="31" topLeftCell="A7" workbookViewId="0">
      <selection activeCell="L24" sqref="L24"/>
    </sheetView>
  </sheetViews>
  <sheetFormatPr customHeight="1" defaultRowHeight="14.100000000000001"/>
  <sheetData>
    <row customHeight="1" ht="14.25">
      <c r="A1" s="145" t="s">
        <v>47</v>
      </c>
      <c r="B1" s="146" t="s">
        <v>3</v>
      </c>
      <c r="C1" s="145" t="s">
        <v>48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customHeight="1" ht="14.25">
      <c r="A2" s="90"/>
      <c r="B2" s="147" t="str">
        <f>EDATE(B1,1)</f>
        <v>46023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customHeight="1" ht="14.25">
      <c r="A3" s="90"/>
      <c r="B3" s="148">
        <f>B2-1</f>
        <v>46022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</row>
    <row customHeight="1" ht="14.10000000000000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</row>
    <row customHeight="1" ht="14.25">
      <c r="A5" s="90"/>
      <c r="B5" s="90"/>
      <c r="C5" s="90"/>
      <c r="D5" s="90"/>
      <c r="E5" s="149" t="s">
        <v>49</v>
      </c>
      <c r="F5" s="90"/>
      <c r="G5" s="90"/>
      <c r="H5" s="149" t="s">
        <v>50</v>
      </c>
      <c r="I5" s="90"/>
      <c r="J5" s="90"/>
      <c r="K5" s="90"/>
      <c r="L5" s="90"/>
      <c r="M5" s="149" t="s">
        <v>49</v>
      </c>
      <c r="N5" s="90"/>
      <c r="O5" s="90"/>
      <c r="P5" s="149" t="s">
        <v>50</v>
      </c>
    </row>
    <row customHeight="1" ht="14.25">
      <c r="A6" s="90"/>
      <c r="B6" s="90"/>
      <c r="C6" s="90"/>
      <c r="D6" s="90">
        <v>9597</v>
      </c>
      <c r="E6" s="149">
        <v>98931</v>
      </c>
      <c r="F6" s="90"/>
      <c r="G6" s="90"/>
      <c r="H6" s="149">
        <v>8694</v>
      </c>
      <c r="I6" s="90"/>
      <c r="J6" s="90"/>
      <c r="K6" s="90"/>
      <c r="L6" s="90"/>
      <c r="M6" s="149">
        <v>125139</v>
      </c>
      <c r="N6" s="90"/>
      <c r="O6" s="90"/>
      <c r="P6" s="149">
        <v>10898</v>
      </c>
    </row>
    <row customHeight="1" ht="14.25">
      <c r="A7" s="90"/>
      <c r="B7" s="90"/>
      <c r="C7" s="90"/>
      <c r="D7" s="90">
        <v>7270</v>
      </c>
      <c r="E7" s="149">
        <v>78049</v>
      </c>
      <c r="F7" s="90"/>
      <c r="G7" s="90"/>
      <c r="H7" s="149">
        <v>6917</v>
      </c>
      <c r="I7" s="90"/>
      <c r="J7" s="90"/>
      <c r="K7" s="90"/>
      <c r="L7" s="90">
        <v>7270</v>
      </c>
      <c r="M7" s="149">
        <v>78049</v>
      </c>
      <c r="N7" s="90"/>
      <c r="O7" s="90"/>
      <c r="P7" s="149">
        <v>6917</v>
      </c>
    </row>
    <row customHeight="1" ht="14.25">
      <c r="A8" s="90"/>
      <c r="B8" s="90"/>
      <c r="C8" s="90"/>
      <c r="D8" s="90">
        <v>1769</v>
      </c>
      <c r="E8" s="149">
        <v>14952</v>
      </c>
      <c r="F8" s="90"/>
      <c r="G8" s="90"/>
      <c r="H8" s="149">
        <v>1234</v>
      </c>
      <c r="I8" s="90"/>
      <c r="J8" s="90"/>
      <c r="K8" s="90"/>
      <c r="L8" s="90">
        <v>4203</v>
      </c>
      <c r="M8" s="149">
        <v>47090</v>
      </c>
      <c r="N8" s="90"/>
      <c r="O8" s="90"/>
      <c r="P8" s="149">
        <v>3981</v>
      </c>
    </row>
    <row customHeight="1" ht="14.25">
      <c r="A9" s="90"/>
      <c r="B9" s="90"/>
      <c r="C9" s="90"/>
      <c r="D9" s="90">
        <v>0</v>
      </c>
      <c r="E9" s="149">
        <v>0</v>
      </c>
      <c r="F9" s="90"/>
      <c r="G9" s="90"/>
      <c r="H9" s="149">
        <v>0</v>
      </c>
      <c r="I9" s="90"/>
      <c r="J9" s="90"/>
      <c r="K9" s="90"/>
      <c r="L9" s="90">
        <v>0</v>
      </c>
      <c r="M9" s="149">
        <v>0</v>
      </c>
      <c r="N9" s="90"/>
      <c r="O9" s="90"/>
      <c r="P9" s="149">
        <v>0</v>
      </c>
    </row>
    <row customHeight="1" ht="14.25">
      <c r="A10" s="90"/>
      <c r="B10" s="90"/>
      <c r="C10" s="90"/>
      <c r="D10" s="90">
        <v>465</v>
      </c>
      <c r="E10" s="149">
        <v>4987</v>
      </c>
      <c r="F10" s="90"/>
      <c r="G10" s="90"/>
      <c r="H10" s="149">
        <v>462</v>
      </c>
      <c r="I10" s="90"/>
      <c r="J10" s="90"/>
      <c r="K10" s="90"/>
      <c r="L10" s="90">
        <v>5293</v>
      </c>
      <c r="M10" s="149">
        <v>60118</v>
      </c>
      <c r="N10" s="90"/>
      <c r="O10" s="90"/>
      <c r="P10" s="149">
        <v>4959</v>
      </c>
    </row>
    <row customHeight="1" ht="14.25">
      <c r="A11" s="90"/>
      <c r="B11" s="90"/>
      <c r="C11" s="90"/>
      <c r="D11" s="90">
        <v>93</v>
      </c>
      <c r="E11" s="149">
        <v>943</v>
      </c>
      <c r="F11" s="90"/>
      <c r="G11" s="90"/>
      <c r="H11" s="149">
        <v>81</v>
      </c>
      <c r="I11" s="90"/>
      <c r="J11" s="90"/>
      <c r="K11" s="90"/>
      <c r="L11" s="90">
        <v>225</v>
      </c>
      <c r="M11" s="149">
        <v>2205</v>
      </c>
      <c r="N11" s="90"/>
      <c r="O11" s="90"/>
      <c r="P11" s="149">
        <v>32</v>
      </c>
    </row>
    <row customHeight="1" ht="14.25">
      <c r="A12" s="90"/>
      <c r="B12" s="90"/>
      <c r="C12" s="90"/>
      <c r="D12" s="90"/>
      <c r="E12" s="149"/>
      <c r="F12" s="90"/>
      <c r="G12" s="90"/>
      <c r="H12" s="90"/>
      <c r="I12" s="90"/>
      <c r="J12" s="90"/>
      <c r="K12" s="90"/>
      <c r="L12" s="90">
        <v>58</v>
      </c>
      <c r="M12" s="149">
        <v>642</v>
      </c>
      <c r="N12" s="90"/>
      <c r="O12" s="90"/>
      <c r="P12" s="149">
        <v>56</v>
      </c>
    </row>
    <row customHeight="1" ht="14.25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>
        <v>5751</v>
      </c>
      <c r="M13" s="149">
        <v>60733</v>
      </c>
      <c r="N13" s="90"/>
      <c r="O13" s="90"/>
      <c r="P13" s="149">
        <v>5700</v>
      </c>
    </row>
    <row customHeight="1" ht="14.25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>
        <v>146</v>
      </c>
      <c r="M14" s="149">
        <v>1441</v>
      </c>
      <c r="N14" s="90"/>
      <c r="O14" s="90"/>
      <c r="P14" s="149">
        <v>151</v>
      </c>
    </row>
    <row customHeight="1" ht="14.100000000000001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</row>
    <row customHeight="1" ht="14.100000000000001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</row>
    <row customHeight="1" ht="14.100000000000001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</row>
    <row customHeight="1" ht="14.25">
      <c r="A18" s="90"/>
      <c r="B18" s="90"/>
      <c r="C18" s="90"/>
      <c r="D18" s="90"/>
      <c r="E18" s="149" t="s">
        <v>49</v>
      </c>
      <c r="F18" s="150"/>
      <c r="G18" s="150"/>
      <c r="H18" s="149" t="s">
        <v>50</v>
      </c>
      <c r="I18" s="150"/>
      <c r="J18" s="150"/>
      <c r="K18" s="150"/>
      <c r="L18" s="149">
        <v>4901</v>
      </c>
      <c r="M18" s="149" t="s">
        <v>49</v>
      </c>
      <c r="N18" s="150"/>
      <c r="O18" s="150"/>
      <c r="P18" s="149" t="s">
        <v>50</v>
      </c>
    </row>
    <row customHeight="1" ht="14.25">
      <c r="A19" s="90"/>
      <c r="B19" s="90"/>
      <c r="C19" s="90"/>
      <c r="D19" s="90">
        <v>5107</v>
      </c>
      <c r="E19" s="149">
        <v>59057</v>
      </c>
      <c r="F19" s="90"/>
      <c r="G19" s="90"/>
      <c r="H19" s="149">
        <v>5712</v>
      </c>
      <c r="I19" s="90"/>
      <c r="J19" s="90"/>
      <c r="K19" s="90"/>
      <c r="L19" s="90">
        <v>4676</v>
      </c>
      <c r="M19" s="149">
        <v>57351</v>
      </c>
      <c r="N19" s="90"/>
      <c r="O19" s="90"/>
      <c r="P19" s="149">
        <v>5193</v>
      </c>
    </row>
    <row customHeight="1" ht="14.25">
      <c r="A20" s="90"/>
      <c r="B20" s="90"/>
      <c r="C20" s="90"/>
      <c r="D20" s="90">
        <v>0</v>
      </c>
      <c r="E20" s="149">
        <v>59057</v>
      </c>
      <c r="F20" s="90"/>
      <c r="G20" s="90"/>
      <c r="H20" s="149">
        <v>5712</v>
      </c>
      <c r="I20" s="90"/>
      <c r="J20" s="90"/>
      <c r="K20" s="90"/>
      <c r="L20" s="90">
        <v>133</v>
      </c>
      <c r="M20" s="149">
        <v>54371</v>
      </c>
      <c r="N20" s="90"/>
      <c r="O20" s="90"/>
      <c r="P20" s="149">
        <v>4927</v>
      </c>
    </row>
    <row customHeight="1" ht="14.25">
      <c r="A21" s="90"/>
      <c r="B21" s="90"/>
      <c r="C21" s="90"/>
      <c r="D21" s="90">
        <v>4953</v>
      </c>
      <c r="E21" s="149">
        <v>0</v>
      </c>
      <c r="F21" s="90"/>
      <c r="G21" s="90"/>
      <c r="H21" s="149">
        <v>0</v>
      </c>
      <c r="I21" s="90"/>
      <c r="J21" s="90"/>
      <c r="K21" s="90"/>
      <c r="L21" s="90"/>
      <c r="M21" s="149">
        <v>1592</v>
      </c>
      <c r="N21" s="90"/>
      <c r="O21" s="90"/>
      <c r="P21" s="149">
        <v>148</v>
      </c>
    </row>
    <row customHeight="1" ht="14.25">
      <c r="A22" s="90"/>
      <c r="B22" s="90"/>
      <c r="C22" s="90"/>
      <c r="D22" s="90">
        <v>93</v>
      </c>
      <c r="E22" s="149">
        <v>57387</v>
      </c>
      <c r="F22" s="90"/>
      <c r="G22" s="90"/>
      <c r="H22" s="149">
        <v>5557</v>
      </c>
      <c r="I22" s="90"/>
      <c r="J22" s="90"/>
      <c r="K22" s="90"/>
      <c r="L22" s="90">
        <v>53</v>
      </c>
      <c r="M22" s="149">
        <v>0</v>
      </c>
      <c r="N22" s="90"/>
      <c r="O22" s="90"/>
      <c r="P22" s="149">
        <v>0</v>
      </c>
    </row>
    <row customHeight="1" ht="14.25">
      <c r="A23" s="90"/>
      <c r="B23" s="90"/>
      <c r="C23" s="90"/>
      <c r="D23" s="90">
        <v>61</v>
      </c>
      <c r="E23" s="149">
        <v>999</v>
      </c>
      <c r="F23" s="90"/>
      <c r="G23" s="90"/>
      <c r="H23" s="149">
        <v>90</v>
      </c>
      <c r="I23" s="90"/>
      <c r="J23" s="90"/>
      <c r="K23" s="90"/>
      <c r="L23" s="90">
        <v>0</v>
      </c>
      <c r="M23" s="149">
        <v>668</v>
      </c>
      <c r="N23" s="90"/>
      <c r="O23" s="90"/>
      <c r="P23" s="149">
        <v>62</v>
      </c>
    </row>
    <row customHeight="1" ht="14.25">
      <c r="A24" s="90"/>
      <c r="B24" s="90"/>
      <c r="C24" s="90"/>
      <c r="D24" s="90">
        <v>0</v>
      </c>
      <c r="E24" s="149">
        <v>671</v>
      </c>
      <c r="F24" s="90"/>
      <c r="G24" s="90"/>
      <c r="H24" s="149">
        <v>65</v>
      </c>
      <c r="I24" s="90"/>
      <c r="J24" s="90"/>
      <c r="K24" s="90"/>
      <c r="L24" s="90">
        <v>39</v>
      </c>
      <c r="M24" s="149">
        <v>0</v>
      </c>
      <c r="N24" s="90"/>
      <c r="O24" s="90"/>
      <c r="P24" s="149">
        <v>0</v>
      </c>
    </row>
    <row customHeight="1" ht="14.2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>
        <v>53</v>
      </c>
      <c r="M25" s="149">
        <v>720</v>
      </c>
      <c r="N25" s="90"/>
      <c r="O25" s="90"/>
      <c r="P25" s="149">
        <v>56</v>
      </c>
    </row>
    <row customHeight="1" ht="14.100000000000001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</row>
    <row customHeight="1" ht="14.25">
      <c r="A27" s="90"/>
      <c r="B27" s="90"/>
      <c r="C27" s="90"/>
      <c r="D27" s="149" t="s">
        <v>43</v>
      </c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</row>
    <row customHeight="1" ht="14.25">
      <c r="A28" s="90"/>
      <c r="B28" s="90"/>
      <c r="C28" s="90"/>
      <c r="D28" s="149" t="s">
        <v>45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延安炼油厂装置生产完成情况表（四）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c3</cp:lastModifiedBy>
  <cp:lastPrinted>2022-05-27T03:17:20Z</cp:lastPrinted>
  <dcterms:created xsi:type="dcterms:W3CDTF">2015-06-05T18:19:34Z</dcterms:created>
  <dcterms:modified xsi:type="dcterms:W3CDTF">2022-06-30T08:57:48Z</dcterms:modified>
</cp:coreProperties>
</file>