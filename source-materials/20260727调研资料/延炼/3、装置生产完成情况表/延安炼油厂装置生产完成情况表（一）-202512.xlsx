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炼油厂装置生产完成情况表（一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L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#Input("延炼_生产计划部_延炼装置生产完成情况表1_300万常压装置_原料处理量",":key{{dw}}",":read")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#Input("延炼_生产计划部_延炼装置生产完成情况表1_300万常压装置_原油",":key{{dw}}",":read")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#Input("延炼_生产计划部_延炼装置生产完成情况表1_300万常压装置_回炼量",":key{{dw}}",":read")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#Input("延炼_生产计划部_延炼装置生产完成情况表1_300万常压装置_轻质油产量",":key{{dw}}",":read")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#Input("延炼_生产计划部_延炼装置生产完成情况表1_300万常压装置_常压石脑油",":key{{dw}}",":read")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#Input("延炼_生产计划部_延炼装置生产完成情况表1_300万常压装置_柴油合计",":key{{dw}}",":read")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#Input("延炼_生产计划部_延炼装置生产完成情况表1_300万常压装置_常一线",":key{{dw}}",":read")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#Input("延炼_生产计划部_延炼装置生产完成情况表1_300万常压装置_常二线",":key{{dw}}",":read")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#Input("延炼_生产计划部_延炼装置生产完成情况表1_300万常压装置_常三线",":key{{dw}}",":read")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#Input("延炼_生产计划部_延炼装置生产完成情况表1_300万常压装置_1#渣油",":key{{dw}}",":read")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#Input("延炼_生产计划部_延炼装置生产完成情况表1_300万常压装置_自用",":key{{dw}}",":read")</t>
        </r>
      </text>
    </comment>
    <comment ref="L1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#Input("延炼_生产计划部_延炼装置生产完成情况表1_300万常压装置_加工损失",":key{{dw}}",":read")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#Input("延炼_生产计划部_延炼装置生产完成情况表1_260万常压装置_原料处理量",":key{{dw}}",":read")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#Input("延炼_生产计划部_延炼装置生产完成情况表1_260万常压装置_原油",":key{{dw}}",":read")</t>
        </r>
      </text>
    </comment>
    <comment ref="D20" authorId="0">
      <text>
        <r>
          <rPr>
            <sz val="9"/>
            <color indexed="81"/>
            <rFont val="Arial"/>
            <family val="2"/>
          </rPr>
          <t xml:space="preserve">#Input("延炼_生产计划部_延炼装置生产完成情况表1_260万常压装置_回炼油",":key{{dw}}",":read")
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#Input("延炼_生产计划部_延炼装置生产完成情况表1_260万常压装置_轻质油产量",":key{{dw}}",":read")</t>
        </r>
      </text>
    </comment>
    <comment ref="D2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#Input("延炼_生产计划部_延炼装置生产完成情况表1_260万常压装置_常压石脑油",":key{{dw}}",":read")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#Input("延炼_生产计划部_延炼装置生产完成情况表1_260万常压装置_柴油合计",":key{{dw}}",":read")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#Input("延炼_生产计划部_延炼装置生产完成情况表1_260万常压装置_常一线",":key{{dw}}",":read")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#Input("延炼_生产计划部_延炼装置生产完成情况表1_260万常压装置_常二线",":key{{dw}}",":read")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#Input("延炼_生产计划部_延炼装置生产完成情况表1_260万常压装置_常三线",":key{{dw}}",":read")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#Input("延炼_生产计划部_延炼装置生产完成情况表1_260万常压装置_1#渣油",":key{{dw}}",":read")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#Input("延炼_生产计划部_延炼装置生产完成情况表1_260万常压装置_自用",":key{{dw}}",":read")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#Input("延炼_生产计划部_延炼装置生产完成情况表1_260万常压装置_加工损失",":key{{dw}}",":read")</t>
        </r>
      </text>
    </comment>
    <comment ref="D32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#Input("延炼_延安炼油厂装置生产完成情况表（一）_单位负责人",":key{{dw}}")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#Input("延炼_延安炼油厂装置生产完成情况表（一）_填报人",":key{{dw}}")</t>
        </r>
      </text>
    </comment>
  </commentList>
</comments>
</file>

<file path=xl/sharedStrings.xml><?xml version="1.0" encoding="utf-8"?>
<sst xmlns="http://schemas.openxmlformats.org/spreadsheetml/2006/main" count="124" uniqueCount="42">
  <si>
    <t>延安炼油厂装置生产完成情况表（一）</t>
  </si>
  <si>
    <t>填报单位：生产计划部</t>
  </si>
  <si>
    <t/>
  </si>
  <si>
    <t>日期：</t>
  </si>
  <si>
    <t>2025-12</t>
  </si>
  <si>
    <t>陕油延炼计统YB106-1表</t>
  </si>
  <si>
    <t>装置名称</t>
  </si>
  <si>
    <t>指标名称</t>
  </si>
  <si>
    <t>产量（吨）</t>
  </si>
  <si>
    <t>收率（％）</t>
  </si>
  <si>
    <t>去年同期</t>
  </si>
  <si>
    <t>本 月</t>
  </si>
  <si>
    <t>累 计</t>
  </si>
  <si>
    <t>平 均</t>
  </si>
  <si>
    <t>产量</t>
  </si>
  <si>
    <t>收 率</t>
  </si>
  <si>
    <t>常
压
装
置
合
计</t>
  </si>
  <si>
    <t>原料处理量</t>
  </si>
  <si>
    <t>/</t>
  </si>
  <si>
    <t>300
万
常
压
装
置</t>
  </si>
  <si>
    <t xml:space="preserve">  其中：原油  </t>
  </si>
  <si>
    <t>回炼量</t>
  </si>
  <si>
    <t>轻质油产量</t>
  </si>
  <si>
    <t xml:space="preserve">  其中：常压石脑油</t>
  </si>
  <si>
    <t>柴油合计</t>
  </si>
  <si>
    <t xml:space="preserve">  常一线油</t>
  </si>
  <si>
    <t xml:space="preserve">  常二线油</t>
  </si>
  <si>
    <t xml:space="preserve">  常三线油</t>
  </si>
  <si>
    <t>1#渣油产量</t>
  </si>
  <si>
    <t>其中：自用</t>
  </si>
  <si>
    <t>加工损失</t>
  </si>
  <si>
    <t>260
万
常
压
装
置</t>
  </si>
  <si>
    <t xml:space="preserve">  其中： 常压石脑油</t>
  </si>
  <si>
    <t>单位领导：</t>
  </si>
  <si>
    <t>王静</t>
  </si>
  <si>
    <t>填报人：</t>
  </si>
  <si>
    <t>黄宏飞</t>
  </si>
  <si>
    <t>报出日期：</t>
  </si>
  <si>
    <t>报表生成时间：</t>
  </si>
  <si>
    <t xml:space="preserve"> 8:00:00</t>
  </si>
  <si>
    <t>YL_SC_Year_Compare</t>
  </si>
  <si>
    <t>YL_SC_ALL_YearSum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</si>
</sst>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yyyy\-mm\-dd"/>
  </numFmts>
  <fonts count="2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theme="1"/>
      <name val="等线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35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171" fontId="18" fillId="0" borderId="10" xfId="0" applyFont="1" applyBorder="1" applyNumberFormat="1">
      <alignment vertical="center"/>
    </xf>
    <xf numFmtId="0" fontId="18" fillId="0" borderId="10" xfId="0" applyFont="1" applyBorder="1">
      <alignment horizontal="center" vertical="center"/>
    </xf>
    <xf numFmtId="0" fontId="18" fillId="0" borderId="10" xfId="0" applyFont="1" applyBorder="1">
      <alignment vertical="center"/>
    </xf>
    <xf numFmtId="171" fontId="18" fillId="7" borderId="10" xfId="0" applyFont="1" applyFill="1" applyBorder="1" applyNumberFormat="1">
      <alignment horizontal="right" vertical="center"/>
    </xf>
    <xf numFmtId="0" fontId="18" fillId="0" borderId="11" xfId="0" applyFont="1" applyBorder="1">
      <alignment horizontal="center" vertical="center"/>
    </xf>
    <xf numFmtId="172" fontId="18" fillId="0" borderId="10" xfId="0" applyFont="1" applyBorder="1" applyNumberFormat="1">
      <alignment vertical="center"/>
    </xf>
    <xf numFmtId="172" fontId="18" fillId="0" borderId="11" xfId="0" applyFont="1" applyBorder="1" applyNumberFormat="1">
      <alignment vertical="center"/>
    </xf>
    <xf numFmtId="172" fontId="18" fillId="0" borderId="10" xfId="0" applyFont="1" applyBorder="1" applyNumberFormat="1">
      <alignment horizontal="center" vertical="center"/>
    </xf>
    <xf numFmtId="172" fontId="18" fillId="0" borderId="11" xfId="0" applyFont="1" applyBorder="1" applyNumberFormat="1">
      <alignment horizontal="center" vertical="center"/>
    </xf>
    <xf numFmtId="0" fontId="18" fillId="0" borderId="11" xfId="0" applyFont="1" applyBorder="1">
      <alignment vertical="center"/>
    </xf>
    <xf numFmtId="0" fontId="18" fillId="0" borderId="12" xfId="0" applyFont="1" applyBorder="1">
      <alignment vertical="center"/>
    </xf>
    <xf numFmtId="0" fontId="18" fillId="0" borderId="13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14" xfId="0" applyFont="1" applyBorder="1">
      <alignment horizontal="right" vertical="center"/>
    </xf>
    <xf numFmtId="0" fontId="18" fillId="0" borderId="14" xfId="0" applyFont="1" applyBorder="1">
      <alignment horizontal="left" vertical="center"/>
    </xf>
    <xf numFmtId="171" fontId="18" fillId="7" borderId="10" xfId="0" applyFont="1" applyFill="1" applyBorder="1" applyNumberFormat="1">
      <alignment vertical="center"/>
    </xf>
    <xf numFmtId="171" fontId="18" fillId="0" borderId="10" xfId="0" applyFont="1" applyBorder="1" applyNumberFormat="1">
      <alignment horizontal="right" vertical="center"/>
    </xf>
    <xf numFmtId="0" fontId="0" fillId="0" borderId="15" xfId="0" applyFont="1" applyBorder="1"/>
    <xf numFmtId="0" fontId="18" fillId="0" borderId="15" xfId="0" applyFont="1" applyBorder="1">
      <alignment horizontal="right" vertical="center"/>
    </xf>
    <xf numFmtId="0" fontId="19" fillId="0" borderId="0" xfId="0" applyFont="1">
      <alignment vertical="top"/>
    </xf>
    <xf numFmtId="173" fontId="19" fillId="0" borderId="0" xfId="0" applyFont="1" applyNumberFormat="1">
      <alignment vertical="top"/>
    </xf>
    <xf numFmtId="173" fontId="0" fillId="0" borderId="0" xfId="0" applyFont="1" applyNumberFormat="1"/>
    <xf numFmtId="0" fontId="0" fillId="0" borderId="15" xfId="0" applyFont="1" applyBorder="1">
      <alignment horizontal="right" vertical="center"/>
    </xf>
    <xf numFmtId="0" fontId="0" fillId="7" borderId="15" xfId="0" applyFont="1" applyFill="1" applyBorder="1">
      <alignment horizontal="left" vertical="center"/>
    </xf>
    <xf numFmtId="0" fontId="18" fillId="0" borderId="16" xfId="0" applyFont="1" applyBorder="1">
      <alignment horizontal="center" vertical="center" wrapText="1"/>
    </xf>
    <xf numFmtId="0" fontId="18" fillId="0" borderId="17" xfId="0" applyFont="1" applyBorder="1">
      <alignment horizontal="center" vertical="center" wrapText="1"/>
    </xf>
    <xf numFmtId="0" fontId="18" fillId="0" borderId="18" xfId="0" applyFont="1" applyBorder="1">
      <alignment horizontal="center" vertical="center" wrapText="1"/>
    </xf>
    <xf numFmtId="0" fontId="0" fillId="0" borderId="15" xfId="0" applyFont="1" applyBorder="1">
      <alignment horizontal="right" vertical="center"/>
    </xf>
    <xf numFmtId="173" fontId="0" fillId="0" borderId="15" xfId="0" applyFont="1" applyBorder="1" applyNumberFormat="1">
      <alignment horizontal="left" vertical="center"/>
    </xf>
    <xf numFmtId="0" fontId="18" fillId="0" borderId="10" xfId="0" applyFont="1" applyBorder="1">
      <alignment horizontal="center" vertical="center"/>
    </xf>
    <xf numFmtId="0" fontId="18" fillId="0" borderId="11" xfId="0" applyFont="1" applyBorder="1">
      <alignment horizontal="center" vertical="center"/>
    </xf>
    <xf numFmtId="0" fontId="18" fillId="0" borderId="19" xfId="0" applyFont="1" applyBorder="1">
      <alignment horizontal="center" vertical="center" wrapText="1"/>
    </xf>
    <xf numFmtId="0" fontId="18" fillId="0" borderId="19" xfId="0" applyFont="1" applyBorder="1">
      <alignment horizontal="center" vertical="center"/>
    </xf>
    <xf numFmtId="0" fontId="18" fillId="0" borderId="10" xfId="0" applyFont="1" applyBorder="1">
      <alignment horizontal="center" vertical="center" wrapText="1"/>
    </xf>
    <xf numFmtId="0" fontId="20" fillId="0" borderId="20" xfId="0" applyFont="1" applyBorder="1">
      <alignment horizontal="center" vertical="center"/>
    </xf>
    <xf numFmtId="0" fontId="20" fillId="0" borderId="15" xfId="0" applyFont="1" applyBorder="1">
      <alignment horizontal="center" vertical="center"/>
    </xf>
    <xf numFmtId="0" fontId="20" fillId="0" borderId="21" xfId="0" applyFont="1" applyBorder="1">
      <alignment horizontal="center" vertical="center"/>
    </xf>
    <xf numFmtId="0" fontId="18" fillId="0" borderId="14" xfId="0" applyFont="1" applyBorder="1">
      <alignment horizontal="right" vertical="center"/>
    </xf>
    <xf numFmtId="0" fontId="18" fillId="0" borderId="22" xfId="0" applyFont="1" applyBorder="1">
      <alignment horizontal="right" vertical="center"/>
    </xf>
    <xf numFmtId="0" fontId="18" fillId="0" borderId="23" xfId="0" applyFont="1" applyBorder="1">
      <alignment horizontal="left" vertical="center"/>
    </xf>
    <xf numFmtId="0" fontId="18" fillId="0" borderId="24" xfId="0" applyFont="1" applyBorder="1">
      <alignment horizontal="left" vertical="center"/>
    </xf>
    <xf numFmtId="0" fontId="18" fillId="0" borderId="24" xfId="0" applyFont="1" applyBorder="1">
      <alignment horizontal="center" vertical="center"/>
    </xf>
    <xf numFmtId="0" fontId="0" fillId="0" borderId="0" xfId="0" applyFont="1">
      <alignment wrapText="1"/>
    </xf>
    <xf numFmtId="0" fontId="20" fillId="0" borderId="20" xfId="0" applyFont="1" applyBorder="1">
      <alignment horizontal="center" vertical="center" wrapText="1"/>
    </xf>
    <xf numFmtId="0" fontId="20" fillId="0" borderId="15" xfId="0" applyFont="1" applyBorder="1">
      <alignment horizontal="center" vertical="center" wrapText="1"/>
    </xf>
    <xf numFmtId="0" fontId="20" fillId="0" borderId="21" xfId="0" applyFont="1" applyBorder="1">
      <alignment horizontal="center" vertical="center" wrapText="1"/>
    </xf>
    <xf numFmtId="0" fontId="18" fillId="0" borderId="23" xfId="0" applyFont="1" applyBorder="1">
      <alignment horizontal="left" vertical="center" wrapText="1"/>
    </xf>
    <xf numFmtId="0" fontId="18" fillId="0" borderId="24" xfId="0" applyFont="1" applyBorder="1">
      <alignment horizontal="left" vertical="center" wrapText="1"/>
    </xf>
    <xf numFmtId="0" fontId="18" fillId="0" borderId="14" xfId="0" applyFont="1" applyBorder="1">
      <alignment vertical="center" wrapText="1"/>
    </xf>
    <xf numFmtId="0" fontId="18" fillId="0" borderId="14" xfId="0" applyFont="1" applyBorder="1">
      <alignment horizontal="right" vertical="center" wrapText="1"/>
    </xf>
    <xf numFmtId="0" fontId="18" fillId="0" borderId="14" xfId="0" applyFont="1" applyBorder="1">
      <alignment horizontal="left" vertical="center" wrapText="1"/>
    </xf>
    <xf numFmtId="0" fontId="18" fillId="0" borderId="24" xfId="0" applyFont="1" applyBorder="1">
      <alignment horizontal="center" vertical="center" wrapText="1"/>
    </xf>
    <xf numFmtId="0" fontId="18" fillId="0" borderId="14" xfId="0" applyFont="1" applyBorder="1">
      <alignment horizontal="right" vertical="center" wrapText="1"/>
    </xf>
    <xf numFmtId="0" fontId="18" fillId="0" borderId="22" xfId="0" applyFont="1" applyBorder="1">
      <alignment horizontal="right" vertical="center" wrapText="1"/>
    </xf>
    <xf numFmtId="0" fontId="18" fillId="0" borderId="19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18" fillId="0" borderId="19" xfId="0" applyFont="1" applyBorder="1">
      <alignment horizontal="center" vertical="center" wrapText="1"/>
    </xf>
    <xf numFmtId="0" fontId="18" fillId="0" borderId="10" xfId="0" applyFont="1" applyBorder="1">
      <alignment vertical="center" wrapText="1"/>
    </xf>
    <xf numFmtId="171" fontId="18" fillId="0" borderId="10" xfId="0" applyFont="1" applyBorder="1" applyNumberFormat="1">
      <alignment vertical="center" wrapText="1"/>
    </xf>
    <xf numFmtId="0" fontId="18" fillId="0" borderId="10" xfId="0" applyFont="1" applyBorder="1">
      <alignment horizontal="center" vertical="center" wrapText="1"/>
    </xf>
    <xf numFmtId="171" fontId="18" fillId="7" borderId="10" xfId="0" applyFont="1" applyFill="1" applyBorder="1" applyNumberFormat="1">
      <alignment vertical="center" wrapText="1"/>
    </xf>
    <xf numFmtId="171" fontId="18" fillId="0" borderId="10" xfId="0" applyFont="1" applyBorder="1" applyNumberFormat="1">
      <alignment horizontal="right" vertical="center" wrapText="1"/>
    </xf>
    <xf numFmtId="171" fontId="18" fillId="7" borderId="10" xfId="0" applyFont="1" applyFill="1" applyBorder="1" applyNumberFormat="1">
      <alignment horizontal="right" vertical="center" wrapText="1"/>
    </xf>
    <xf numFmtId="172" fontId="18" fillId="0" borderId="10" xfId="0" applyFont="1" applyBorder="1" applyNumberFormat="1">
      <alignment vertical="center" wrapText="1"/>
    </xf>
    <xf numFmtId="172" fontId="18" fillId="0" borderId="11" xfId="0" applyFont="1" applyBorder="1" applyNumberFormat="1">
      <alignment vertical="center" wrapText="1"/>
    </xf>
    <xf numFmtId="172" fontId="18" fillId="0" borderId="10" xfId="0" applyFont="1" applyBorder="1" applyNumberFormat="1">
      <alignment horizontal="center" vertical="center" wrapText="1"/>
    </xf>
    <xf numFmtId="172" fontId="18" fillId="0" borderId="11" xfId="0" applyFont="1" applyBorder="1" applyNumberFormat="1">
      <alignment horizontal="center" vertical="center" wrapText="1"/>
    </xf>
    <xf numFmtId="0" fontId="18" fillId="0" borderId="16" xfId="0" applyFont="1" applyBorder="1">
      <alignment horizontal="center" vertical="center" wrapText="1"/>
    </xf>
    <xf numFmtId="0" fontId="18" fillId="0" borderId="11" xfId="0" applyFont="1" applyBorder="1">
      <alignment vertical="center" wrapText="1"/>
    </xf>
    <xf numFmtId="0" fontId="18" fillId="0" borderId="17" xfId="0" applyFont="1" applyBorder="1">
      <alignment horizontal="center" vertical="center" wrapText="1"/>
    </xf>
    <xf numFmtId="0" fontId="18" fillId="0" borderId="18" xfId="0" applyFont="1" applyBorder="1">
      <alignment horizontal="center" vertical="center" wrapText="1"/>
    </xf>
    <xf numFmtId="0" fontId="18" fillId="0" borderId="12" xfId="0" applyFont="1" applyBorder="1">
      <alignment vertical="center" wrapText="1"/>
    </xf>
    <xf numFmtId="0" fontId="18" fillId="0" borderId="13" xfId="0" applyFont="1" applyBorder="1">
      <alignment vertical="center" wrapText="1"/>
    </xf>
    <xf numFmtId="0" fontId="0" fillId="0" borderId="15" xfId="0" applyFont="1" applyBorder="1">
      <alignment wrapText="1"/>
    </xf>
    <xf numFmtId="0" fontId="18" fillId="0" borderId="15" xfId="0" applyFont="1" applyBorder="1">
      <alignment horizontal="right" vertical="center" wrapText="1"/>
    </xf>
    <xf numFmtId="0" fontId="0" fillId="7" borderId="15" xfId="0" applyFont="1" applyFill="1" applyBorder="1">
      <alignment horizontal="left" vertical="center" wrapText="1"/>
      <protection locked="0"/>
    </xf>
    <xf numFmtId="0" fontId="0" fillId="0" borderId="15" xfId="0" applyFont="1" applyBorder="1">
      <alignment horizontal="right" vertical="center" wrapText="1"/>
    </xf>
    <xf numFmtId="0" fontId="0" fillId="0" borderId="15" xfId="0" applyFont="1" applyBorder="1">
      <alignment horizontal="right" vertical="center" wrapText="1"/>
    </xf>
    <xf numFmtId="173" fontId="0" fillId="0" borderId="15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0" fontId="19" fillId="0" borderId="0" xfId="0" applyFont="1">
      <alignment vertical="top" wrapText="1"/>
    </xf>
    <xf numFmtId="173" fontId="19" fillId="0" borderId="0" xfId="0" applyFont="1" applyNumberFormat="1">
      <alignment vertical="top" wrapText="1"/>
    </xf>
    <xf numFmtId="173" fontId="0" fillId="0" borderId="0" xfId="0" applyFont="1" applyNumberForma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2DA0EB-E008-5168-BCFA-7D7E16A37A28}" mc:Ignorable="x14ac xr xr2 xr3">
  <sheetPr>
    <pageSetUpPr fitToPage="1"/>
  </sheetPr>
  <dimension ref="A1:Q32"/>
  <sheetViews>
    <sheetView defaultGridColor="0" colorId="31" topLeftCell="A1" showGridLines="0" workbookViewId="0" tabSelected="1">
      <pane ySplit="5" topLeftCell="A6" activePane="bottomLeft" state="frozen"/>
      <selection pane="bottomLeft" activeCell="A1" sqref="A1"/>
    </sheetView>
  </sheetViews>
  <sheetFormatPr customHeight="1" defaultRowHeight="14.100000000000001"/>
  <cols>
    <col min="1" max="1" width="2.7109375" customWidth="1"/>
    <col min="3" max="3" width="19.7109375" customWidth="1"/>
    <col min="4" max="9" width="12.7109375" customWidth="1"/>
    <col min="11" max="11" width="19.7109375" customWidth="1"/>
    <col min="12" max="17" width="12.7109375" customWidth="1"/>
  </cols>
  <sheetData>
    <row customHeight="1" ht="2.25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customHeight="1" ht="27.75">
      <c r="A2" s="89"/>
      <c r="B2" s="90" t="s">
        <v>0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customHeight="1" ht="20.25">
      <c r="A3" s="89"/>
      <c r="B3" s="93" t="s">
        <v>1</v>
      </c>
      <c r="C3" s="94"/>
      <c r="D3" s="95" t="s">
        <v>2</v>
      </c>
      <c r="E3" s="96"/>
      <c r="F3" s="97"/>
      <c r="G3" s="95" t="s">
        <v>2</v>
      </c>
      <c r="H3" s="96" t="s">
        <v>3</v>
      </c>
      <c r="I3" s="97" t="s">
        <v>4</v>
      </c>
      <c r="J3" s="95"/>
      <c r="K3" s="98" t="s">
        <v>2</v>
      </c>
      <c r="L3" s="98"/>
      <c r="M3" s="99" t="s">
        <v>5</v>
      </c>
      <c r="N3" s="99"/>
      <c r="O3" s="99"/>
      <c r="P3" s="99"/>
      <c r="Q3" s="100"/>
    </row>
    <row customHeight="1" ht="20.25">
      <c r="A4" s="89"/>
      <c r="B4" s="101" t="s">
        <v>6</v>
      </c>
      <c r="C4" s="102" t="s">
        <v>7</v>
      </c>
      <c r="D4" s="102" t="s">
        <v>8</v>
      </c>
      <c r="E4" s="102"/>
      <c r="F4" s="102" t="s">
        <v>9</v>
      </c>
      <c r="G4" s="102"/>
      <c r="H4" s="102" t="s">
        <v>10</v>
      </c>
      <c r="I4" s="102"/>
      <c r="J4" s="102" t="s">
        <v>6</v>
      </c>
      <c r="K4" s="102" t="s">
        <v>7</v>
      </c>
      <c r="L4" s="102" t="s">
        <v>8</v>
      </c>
      <c r="M4" s="102"/>
      <c r="N4" s="102" t="s">
        <v>9</v>
      </c>
      <c r="O4" s="102"/>
      <c r="P4" s="102" t="s">
        <v>10</v>
      </c>
      <c r="Q4" s="103"/>
    </row>
    <row customHeight="1" ht="20.25">
      <c r="A5" s="89"/>
      <c r="B5" s="101"/>
      <c r="C5" s="102"/>
      <c r="D5" s="104" t="s">
        <v>11</v>
      </c>
      <c r="E5" s="104" t="s">
        <v>12</v>
      </c>
      <c r="F5" s="104" t="s">
        <v>11</v>
      </c>
      <c r="G5" s="104" t="s">
        <v>13</v>
      </c>
      <c r="H5" s="104" t="s">
        <v>14</v>
      </c>
      <c r="I5" s="104" t="s">
        <v>15</v>
      </c>
      <c r="J5" s="102"/>
      <c r="K5" s="102"/>
      <c r="L5" s="104" t="s">
        <v>11</v>
      </c>
      <c r="M5" s="104" t="s">
        <v>12</v>
      </c>
      <c r="N5" s="104" t="s">
        <v>11</v>
      </c>
      <c r="O5" s="104" t="s">
        <v>13</v>
      </c>
      <c r="P5" s="104" t="s">
        <v>14</v>
      </c>
      <c r="Q5" s="105" t="s">
        <v>15</v>
      </c>
    </row>
    <row customHeight="1" ht="20.25">
      <c r="A6" s="89"/>
      <c r="B6" s="78" t="s">
        <v>16</v>
      </c>
      <c r="C6" s="107" t="s">
        <v>17</v>
      </c>
      <c r="D6" s="108">
        <f>_xlfn.IFERROR(SUM(IF(L6="",0,L6),IF(D18="",0,D18)),"")</f>
        <v>504164</v>
      </c>
      <c r="E6" s="108">
        <f>_xlfn.IFERROR(SUM(IF(M6="",0,M6),IF(E18="",0,E18)),"")</f>
        <v>6409543</v>
      </c>
      <c r="F6" s="104" t="s">
        <v>18</v>
      </c>
      <c r="G6" s="104" t="s">
        <v>18</v>
      </c>
      <c r="H6" s="108">
        <f>_xlfn.IFERROR(SUM(IF(P6="",0,P6),IF(H18="",0,H18)),"")</f>
        <v>506558</v>
      </c>
      <c r="I6" s="104" t="s">
        <v>18</v>
      </c>
      <c r="J6" s="80" t="s">
        <v>19</v>
      </c>
      <c r="K6" s="107" t="s">
        <v>17</v>
      </c>
      <c r="L6" s="110">
        <f>_xlfn.IFERROR(SUM(L7:L8),"")</f>
        <v>279009</v>
      </c>
      <c r="M6" s="108">
        <f>_xlfn.IFERROR(SUM(L6,取值!M7),"")</f>
        <v>3555204</v>
      </c>
      <c r="N6" s="104" t="s">
        <v>18</v>
      </c>
      <c r="O6" s="104" t="s">
        <v>18</v>
      </c>
      <c r="P6" s="111">
        <f>取值!P7</f>
        <v>290664</v>
      </c>
      <c r="Q6" s="105" t="s">
        <v>18</v>
      </c>
    </row>
    <row customHeight="1" ht="20.25">
      <c r="A7" s="89"/>
      <c r="B7" s="101"/>
      <c r="C7" s="107" t="s">
        <v>20</v>
      </c>
      <c r="D7" s="108">
        <f>_xlfn.IFERROR(SUM(IF(L7="",0,L7),IF(D19="",0,D19)),"")</f>
        <v>504164</v>
      </c>
      <c r="E7" s="108">
        <f>_xlfn.IFERROR(SUM(IF(M7="",0,M7),IF(E19="",0,E19)),"")</f>
        <v>6409543</v>
      </c>
      <c r="F7" s="104" t="s">
        <v>18</v>
      </c>
      <c r="G7" s="104" t="s">
        <v>18</v>
      </c>
      <c r="H7" s="108">
        <f>_xlfn.IFERROR(SUM(IF(P7="",0,P7),IF(H19="",0,H19)),"")</f>
        <v>506558</v>
      </c>
      <c r="I7" s="104" t="s">
        <v>18</v>
      </c>
      <c r="J7" s="102"/>
      <c r="K7" s="107" t="s">
        <v>20</v>
      </c>
      <c r="L7" s="112">
        <f>取值!L7</f>
        <v>279009</v>
      </c>
      <c r="M7" s="108">
        <f>_xlfn.IFERROR(SUM(L7,取值!M8),"")</f>
        <v>3555204</v>
      </c>
      <c r="N7" s="104" t="s">
        <v>18</v>
      </c>
      <c r="O7" s="104" t="s">
        <v>18</v>
      </c>
      <c r="P7" s="111">
        <f>取值!P8</f>
        <v>290664</v>
      </c>
      <c r="Q7" s="105" t="s">
        <v>18</v>
      </c>
    </row>
    <row customHeight="1" ht="20.25">
      <c r="A8" s="89"/>
      <c r="B8" s="101"/>
      <c r="C8" s="107" t="s">
        <v>21</v>
      </c>
      <c r="D8" s="108">
        <f>_xlfn.IFERROR(SUM(IF(L8="",0,L8),IF(D20="",0,D20)),"")</f>
        <v>0</v>
      </c>
      <c r="E8" s="108">
        <f>_xlfn.IFERROR(SUM(IF(M8="",0,M8),IF(E20="",0,E20)),"")</f>
        <v>0</v>
      </c>
      <c r="F8" s="104" t="s">
        <v>18</v>
      </c>
      <c r="G8" s="104" t="s">
        <v>18</v>
      </c>
      <c r="H8" s="108">
        <f>_xlfn.IFERROR(SUM(IF(P8="",0,P8),IF(H20="",0,H20)),"")</f>
        <v>0</v>
      </c>
      <c r="I8" s="104" t="s">
        <v>18</v>
      </c>
      <c r="J8" s="102"/>
      <c r="K8" s="107" t="s">
        <v>21</v>
      </c>
      <c r="L8" s="112">
        <f>取值!L8</f>
        <v>0</v>
      </c>
      <c r="M8" s="108">
        <f>_xlfn.IFERROR(SUM(L8,取值!M9),"")</f>
        <v>0</v>
      </c>
      <c r="N8" s="104" t="s">
        <v>18</v>
      </c>
      <c r="O8" s="104" t="s">
        <v>18</v>
      </c>
      <c r="P8" s="111">
        <f>取值!P9</f>
        <v>0</v>
      </c>
      <c r="Q8" s="105" t="s">
        <v>18</v>
      </c>
    </row>
    <row customHeight="1" ht="20.25">
      <c r="A9" s="89"/>
      <c r="B9" s="101"/>
      <c r="C9" s="107" t="s">
        <v>22</v>
      </c>
      <c r="D9" s="108">
        <f>_xlfn.IFERROR(SUM(IF(L9="",0,L9),IF(D21="",0,D21)),"")</f>
        <v>245435</v>
      </c>
      <c r="E9" s="108">
        <f>_xlfn.IFERROR(SUM(IF(M9="",0,M9),IF(E21="",0,E21)),"")</f>
        <v>3113595</v>
      </c>
      <c r="F9" s="113">
        <f>_xlfn.IFERROR(D9/D6*100,0)</f>
        <v>48.6815798033973</v>
      </c>
      <c r="G9" s="113">
        <f>_xlfn.IFERROR(E9/E6*100,0)</f>
        <v>48.5774882858263</v>
      </c>
      <c r="H9" s="108">
        <f>_xlfn.IFERROR(SUM(IF(P9="",0,P9),IF(H21="",0,H21)),"")</f>
        <v>246296</v>
      </c>
      <c r="I9" s="113">
        <f>_xlfn.IFERROR(H9/H6*100,0)</f>
        <v>48.6214806596678</v>
      </c>
      <c r="J9" s="102"/>
      <c r="K9" s="107" t="s">
        <v>22</v>
      </c>
      <c r="L9" s="112">
        <f>_xlfn.IFERROR(SUM(L10:L11),"")</f>
        <v>136072</v>
      </c>
      <c r="M9" s="108">
        <f>_xlfn.IFERROR(SUM(L9,取值!M10),"")</f>
        <v>1734980</v>
      </c>
      <c r="N9" s="113">
        <f>_xlfn.IFERROR(L9/L6*100,0)</f>
        <v>48.7697529470376</v>
      </c>
      <c r="O9" s="113">
        <f>_xlfn.IFERROR(M9/M6*100,0)</f>
        <v>48.8011377124913</v>
      </c>
      <c r="P9" s="111">
        <f>取值!P10</f>
        <v>141381</v>
      </c>
      <c r="Q9" s="114">
        <f>_xlfn.IFERROR(P9/P6*100,0)</f>
        <v>48.6406985385187</v>
      </c>
    </row>
    <row customHeight="1" ht="20.25">
      <c r="A10" s="89"/>
      <c r="B10" s="101"/>
      <c r="C10" s="107" t="s">
        <v>23</v>
      </c>
      <c r="D10" s="108">
        <f>_xlfn.IFERROR(SUM(IF(L10="",0,L10),IF(D22="",0,D22)),"")</f>
        <v>77900</v>
      </c>
      <c r="E10" s="108">
        <f>_xlfn.IFERROR(SUM(IF(M10="",0,M10),IF(E22="",0,E22)),"")</f>
        <v>950693</v>
      </c>
      <c r="F10" s="113">
        <f>_xlfn.IFERROR(D10/D6*100,0)</f>
        <v>15.451321395419</v>
      </c>
      <c r="G10" s="113">
        <f>_xlfn.IFERROR(E10/E6*100,0)</f>
        <v>14.8324615343091</v>
      </c>
      <c r="H10" s="108">
        <f>_xlfn.IFERROR(SUM(IF(P10="",0,P10),IF(H22="",0,H22)),"")</f>
        <v>74242</v>
      </c>
      <c r="I10" s="113">
        <f>_xlfn.IFERROR(H10/H6*100,0)</f>
        <v>14.6561696784968</v>
      </c>
      <c r="J10" s="102"/>
      <c r="K10" s="107" t="s">
        <v>23</v>
      </c>
      <c r="L10" s="112">
        <f>取值!L10</f>
        <v>43578</v>
      </c>
      <c r="M10" s="108">
        <f>_xlfn.IFERROR(SUM(L10,取值!M11),"")</f>
        <v>526897</v>
      </c>
      <c r="N10" s="113">
        <f>_xlfn.IFERROR(L10/L6*100,0)</f>
        <v>15.6188510048063</v>
      </c>
      <c r="O10" s="113">
        <f>_xlfn.IFERROR(M10/M6*100,0)</f>
        <v>14.8204434963507</v>
      </c>
      <c r="P10" s="111">
        <f>取值!P11</f>
        <v>42026</v>
      </c>
      <c r="Q10" s="114">
        <f>_xlfn.IFERROR(P10/P6*100,0)</f>
        <v>14.4586188864118</v>
      </c>
    </row>
    <row customHeight="1" ht="20.25">
      <c r="A11" s="89"/>
      <c r="B11" s="101"/>
      <c r="C11" s="107" t="s">
        <v>24</v>
      </c>
      <c r="D11" s="108">
        <f>_xlfn.IFERROR(SUM(IF(L11="",0,L11),IF(D23="",0,D23)),"")</f>
        <v>167535</v>
      </c>
      <c r="E11" s="108">
        <f>_xlfn.IFERROR(SUM(IF(M11="",0,M11),IF(E23="",0,E23)),"")</f>
        <v>2162902</v>
      </c>
      <c r="F11" s="113">
        <f>_xlfn.IFERROR(D11/D6*100,0)</f>
        <v>33.2302584079784</v>
      </c>
      <c r="G11" s="113">
        <f>_xlfn.IFERROR(E11/E6*100,0)</f>
        <v>33.7450267515172</v>
      </c>
      <c r="H11" s="108">
        <f>_xlfn.IFERROR(SUM(IF(P11="",0,P11),IF(H23="",0,H23)),"")</f>
        <v>172054</v>
      </c>
      <c r="I11" s="113">
        <f>_xlfn.IFERROR(H11/H6*100,0)</f>
        <v>33.965310981171</v>
      </c>
      <c r="J11" s="102"/>
      <c r="K11" s="107" t="s">
        <v>24</v>
      </c>
      <c r="L11" s="112">
        <f>_xlfn.IFERROR(SUM(L12:L14),"")</f>
        <v>92494</v>
      </c>
      <c r="M11" s="108">
        <f>_xlfn.IFERROR(SUM(L11,取值!M12),"")</f>
        <v>1208083</v>
      </c>
      <c r="N11" s="113">
        <f>_xlfn.IFERROR(L11/L6*100,0)</f>
        <v>33.1509019422313</v>
      </c>
      <c r="O11" s="113">
        <f>_xlfn.IFERROR(M11/M6*100,0)</f>
        <v>33.9806942161406</v>
      </c>
      <c r="P11" s="111">
        <f>取值!P12</f>
        <v>99355</v>
      </c>
      <c r="Q11" s="114">
        <f>_xlfn.IFERROR(P11/P6*100,0)</f>
        <v>34.1820796521069</v>
      </c>
    </row>
    <row customHeight="1" ht="20.25">
      <c r="A12" s="89"/>
      <c r="B12" s="101"/>
      <c r="C12" s="107" t="s">
        <v>25</v>
      </c>
      <c r="D12" s="108">
        <f>_xlfn.IFERROR(SUM(IF(L12="",0,L12),IF(D24="",0,D24)),"")</f>
        <v>39546</v>
      </c>
      <c r="E12" s="108">
        <f>_xlfn.IFERROR(SUM(IF(M12="",0,M12),IF(E24="",0,E24)),"")</f>
        <v>481048</v>
      </c>
      <c r="F12" s="113">
        <f>_xlfn.IFERROR(D12/D6*100,0)</f>
        <v>7.84387619901461</v>
      </c>
      <c r="G12" s="113">
        <f>_xlfn.IFERROR(E12/E6*100,0)</f>
        <v>7.50518406694518</v>
      </c>
      <c r="H12" s="108">
        <f>_xlfn.IFERROR(SUM(IF(P12="",0,P12),IF(H24="",0,H24)),"")</f>
        <v>39201</v>
      </c>
      <c r="I12" s="113">
        <f>_xlfn.IFERROR(H12/H6*100,0)</f>
        <v>7.73869922101714</v>
      </c>
      <c r="J12" s="102"/>
      <c r="K12" s="107" t="s">
        <v>25</v>
      </c>
      <c r="L12" s="112">
        <f>取值!L12</f>
        <v>24103</v>
      </c>
      <c r="M12" s="108">
        <f>_xlfn.IFERROR(SUM(L12,取值!M13),"")</f>
        <v>297258</v>
      </c>
      <c r="N12" s="113">
        <f>_xlfn.IFERROR(L12/L6*100,0)</f>
        <v>8.63878942973166</v>
      </c>
      <c r="O12" s="113">
        <f>_xlfn.IFERROR(M12/M6*100,0)</f>
        <v>8.36120796443748</v>
      </c>
      <c r="P12" s="111">
        <f>取值!P13</f>
        <v>25437</v>
      </c>
      <c r="Q12" s="114">
        <f>_xlfn.IFERROR(P12/P6*100,0)</f>
        <v>8.75134175542895</v>
      </c>
    </row>
    <row customHeight="1" ht="20.25">
      <c r="A13" s="89"/>
      <c r="B13" s="101"/>
      <c r="C13" s="107" t="s">
        <v>26</v>
      </c>
      <c r="D13" s="108">
        <f>_xlfn.IFERROR(SUM(IF(L13="",0,L13),IF(D25="",0,D25)),"")</f>
        <v>45347</v>
      </c>
      <c r="E13" s="108">
        <f>_xlfn.IFERROR(SUM(IF(M13="",0,M13),IF(E25="",0,E25)),"")</f>
        <v>613017</v>
      </c>
      <c r="F13" s="113">
        <f>_xlfn.IFERROR(D13/D6*100,0)</f>
        <v>8.99449385517411</v>
      </c>
      <c r="G13" s="113">
        <f>_xlfn.IFERROR(E13/E6*100,0)</f>
        <v>9.56412961111268</v>
      </c>
      <c r="H13" s="108">
        <f>_xlfn.IFERROR(SUM(IF(P13="",0,P13),IF(H25="",0,H25)),"")</f>
        <v>45673</v>
      </c>
      <c r="I13" s="113">
        <f>_xlfn.IFERROR(H13/H6*100,0)</f>
        <v>9.01634166275135</v>
      </c>
      <c r="J13" s="102"/>
      <c r="K13" s="107" t="s">
        <v>26</v>
      </c>
      <c r="L13" s="112">
        <f>取值!L13</f>
        <v>11175</v>
      </c>
      <c r="M13" s="108">
        <f>_xlfn.IFERROR(SUM(L13,取值!M14),"")</f>
        <v>189143</v>
      </c>
      <c r="N13" s="113">
        <f>_xlfn.IFERROR(L13/L6*100,0)</f>
        <v>4.00524714256529</v>
      </c>
      <c r="O13" s="113">
        <f>_xlfn.IFERROR(M13/M6*100,0)</f>
        <v>5.32017290709619</v>
      </c>
      <c r="P13" s="111">
        <f>取值!P14</f>
        <v>15246</v>
      </c>
      <c r="Q13" s="114">
        <f>_xlfn.IFERROR(P13/P6*100,0)</f>
        <v>5.24523160762943</v>
      </c>
    </row>
    <row customHeight="1" ht="20.25">
      <c r="A14" s="89"/>
      <c r="B14" s="101"/>
      <c r="C14" s="107" t="s">
        <v>27</v>
      </c>
      <c r="D14" s="108">
        <f>_xlfn.IFERROR(SUM(IF(L14="",0,L14),IF(D26="",0,D26)),"")</f>
        <v>82642</v>
      </c>
      <c r="E14" s="108">
        <f>_xlfn.IFERROR(SUM(IF(M14="",0,M14),IF(E26="",0,E26)),"")</f>
        <v>1068837</v>
      </c>
      <c r="F14" s="113">
        <f>_xlfn.IFERROR(D14/D6*100,0)</f>
        <v>16.3918883537896</v>
      </c>
      <c r="G14" s="113">
        <f>_xlfn.IFERROR(E14/E6*100,0)</f>
        <v>16.6757130734594</v>
      </c>
      <c r="H14" s="108">
        <f>_xlfn.IFERROR(SUM(IF(P14="",0,P14),IF(H26="",0,H26)),"")</f>
        <v>87180</v>
      </c>
      <c r="I14" s="113">
        <f>_xlfn.IFERROR(H14/H6*100,0)</f>
        <v>17.2102700974025</v>
      </c>
      <c r="J14" s="102"/>
      <c r="K14" s="107" t="s">
        <v>27</v>
      </c>
      <c r="L14" s="112">
        <f>取值!L14</f>
        <v>57216</v>
      </c>
      <c r="M14" s="108">
        <f>_xlfn.IFERROR(SUM(L14,取值!M15),"")</f>
        <v>721682</v>
      </c>
      <c r="N14" s="113">
        <f>_xlfn.IFERROR(L14/L6*100,0)</f>
        <v>20.5068653699343</v>
      </c>
      <c r="O14" s="113">
        <f>_xlfn.IFERROR(M14/M6*100,0)</f>
        <v>20.2993133446069</v>
      </c>
      <c r="P14" s="111">
        <f>取值!P15</f>
        <v>58672</v>
      </c>
      <c r="Q14" s="114">
        <f>_xlfn.IFERROR(P14/P6*100,0)</f>
        <v>20.1855062890485</v>
      </c>
    </row>
    <row customHeight="1" ht="20.25">
      <c r="A15" s="89"/>
      <c r="B15" s="101"/>
      <c r="C15" s="107" t="s">
        <v>28</v>
      </c>
      <c r="D15" s="108">
        <f>_xlfn.IFERROR(SUM(IF(L15="",0,L15),IF(D27="",0,D27)),"")</f>
        <v>256952</v>
      </c>
      <c r="E15" s="108">
        <f>_xlfn.IFERROR(SUM(IF(M15="",0,M15),IF(E27="",0,E27)),"")</f>
        <v>3257686</v>
      </c>
      <c r="F15" s="113">
        <f>_xlfn.IFERROR(D15/D6*100,0)</f>
        <v>50.9659555224094</v>
      </c>
      <c r="G15" s="113">
        <f>_xlfn.IFERROR(E15/E6*100,0)</f>
        <v>50.8255580780096</v>
      </c>
      <c r="H15" s="108">
        <f>_xlfn.IFERROR(SUM(IF(P15="",0,P15),IF(H27="",0,H27)),"")</f>
        <v>256774</v>
      </c>
      <c r="I15" s="113">
        <f>_xlfn.IFERROR(H15/H6*100,0)</f>
        <v>50.6899506078277</v>
      </c>
      <c r="J15" s="102"/>
      <c r="K15" s="107" t="s">
        <v>28</v>
      </c>
      <c r="L15" s="112">
        <f>取值!L15</f>
        <v>142118</v>
      </c>
      <c r="M15" s="108">
        <f>_xlfn.IFERROR(SUM(L15,取值!M16),"")</f>
        <v>1795463</v>
      </c>
      <c r="N15" s="113">
        <f>_xlfn.IFERROR(L15/L6*100,0)</f>
        <v>50.936708134863</v>
      </c>
      <c r="O15" s="113">
        <f>_xlfn.IFERROR(M15/M6*100,0)</f>
        <v>50.5023902988408</v>
      </c>
      <c r="P15" s="111">
        <f>取值!P16</f>
        <v>146568</v>
      </c>
      <c r="Q15" s="114">
        <f>_xlfn.IFERROR(P15/P6*100,0)</f>
        <v>50.4252332590207</v>
      </c>
    </row>
    <row customHeight="1" ht="20.25">
      <c r="A16" s="89"/>
      <c r="B16" s="101"/>
      <c r="C16" s="107" t="s">
        <v>29</v>
      </c>
      <c r="D16" s="108">
        <f>_xlfn.IFERROR(SUM(IF(L16="",0,L16),IF(D28="",0,D28)),"")</f>
        <v>0</v>
      </c>
      <c r="E16" s="108">
        <f>_xlfn.IFERROR(SUM(IF(M16="",0,M16),IF(E28="",0,E28)),"")</f>
        <v>0</v>
      </c>
      <c r="F16" s="113">
        <f>_xlfn.IFERROR(D16/D6*100,0)</f>
        <v>0</v>
      </c>
      <c r="G16" s="113">
        <f>_xlfn.IFERROR(E16/E6*100,0)</f>
        <v>0</v>
      </c>
      <c r="H16" s="108">
        <f>_xlfn.IFERROR(SUM(IF(P16="",0,P16),IF(H28="",0,H28)),"")</f>
        <v>0</v>
      </c>
      <c r="I16" s="113">
        <f>_xlfn.IFERROR(H16/H6*100,0)</f>
        <v>0</v>
      </c>
      <c r="J16" s="102"/>
      <c r="K16" s="107" t="s">
        <v>29</v>
      </c>
      <c r="L16" s="112">
        <f>取值!L16</f>
        <v>0</v>
      </c>
      <c r="M16" s="108">
        <f>_xlfn.IFERROR(SUM(L16,取值!M17),"")</f>
        <v>0</v>
      </c>
      <c r="N16" s="113">
        <f>_xlfn.IFERROR(L16/L6*100,0)</f>
        <v>0</v>
      </c>
      <c r="O16" s="115" t="s">
        <v>18</v>
      </c>
      <c r="P16" s="111">
        <f>取值!P17</f>
        <v>0</v>
      </c>
      <c r="Q16" s="116" t="s">
        <v>18</v>
      </c>
    </row>
    <row customHeight="1" ht="20.25">
      <c r="A17" s="89"/>
      <c r="B17" s="101"/>
      <c r="C17" s="107" t="s">
        <v>30</v>
      </c>
      <c r="D17" s="108">
        <f>_xlfn.IFERROR(SUM(IF(L17="",0,L17),IF(D29="",0,D29)),"")</f>
        <v>1777</v>
      </c>
      <c r="E17" s="108">
        <f>_xlfn.IFERROR(SUM(IF(M17="",0,M17),IF(E29="",0,E29)),"")</f>
        <v>38262</v>
      </c>
      <c r="F17" s="113">
        <f>_xlfn.IFERROR(D17/D6*100,0)</f>
        <v>0.352464674193318</v>
      </c>
      <c r="G17" s="113">
        <f>_xlfn.IFERROR(E17/E6*100,0)</f>
        <v>0.596953636164076</v>
      </c>
      <c r="H17" s="108">
        <f>_xlfn.IFERROR(SUM(IF(P17="",0,P17),IF(H29="",0,H29)),"")</f>
        <v>3488</v>
      </c>
      <c r="I17" s="113">
        <f>_xlfn.IFERROR(H17/H6*100,0)</f>
        <v>0.688568732504471</v>
      </c>
      <c r="J17" s="102"/>
      <c r="K17" s="107" t="s">
        <v>30</v>
      </c>
      <c r="L17" s="112">
        <f>_xlfn.IFERROR(L6-SUM(L10,L12,L13,L14,L15),"")</f>
        <v>819</v>
      </c>
      <c r="M17" s="108">
        <f>_xlfn.IFERROR(SUM(L17,取值!M18),"")</f>
        <v>24761</v>
      </c>
      <c r="N17" s="113">
        <f>_xlfn.IFERROR(L17/L6*100,0)</f>
        <v>0.293538918099416</v>
      </c>
      <c r="O17" s="113">
        <f>_xlfn.IFERROR(M17/M6*100,0)</f>
        <v>0.69647198866788</v>
      </c>
      <c r="P17" s="111">
        <f>取值!P18</f>
        <v>2715</v>
      </c>
      <c r="Q17" s="114">
        <f>_xlfn.IFERROR(P17/P6*100,0)</f>
        <v>0.934068202460573</v>
      </c>
    </row>
    <row customHeight="1" ht="20.25">
      <c r="A18" s="89"/>
      <c r="B18" s="71" t="s">
        <v>31</v>
      </c>
      <c r="C18" s="107" t="s">
        <v>17</v>
      </c>
      <c r="D18" s="112">
        <f>_xlfn.IFERROR(SUM(D19,D20),"")</f>
        <v>225155</v>
      </c>
      <c r="E18" s="111">
        <f>_xlfn.IFERROR(SUM(D18,取值!D21),"")</f>
        <v>2854339</v>
      </c>
      <c r="F18" s="104" t="str">
        <f>_xlfn.IFERROR(IF(F19="",0,F19),"")</f>
        <v>/</v>
      </c>
      <c r="G18" s="104" t="str">
        <f>_xlfn.IFERROR(IF(G19="",0,G19),"")</f>
        <v>/</v>
      </c>
      <c r="H18" s="111">
        <f>取值!H21</f>
        <v>215894</v>
      </c>
      <c r="I18" s="104" t="s">
        <v>18</v>
      </c>
      <c r="J18" s="107"/>
      <c r="K18" s="107"/>
      <c r="L18" s="107"/>
      <c r="M18" s="107"/>
      <c r="N18" s="107"/>
      <c r="O18" s="107"/>
      <c r="P18" s="107"/>
      <c r="Q18" s="118"/>
    </row>
    <row customHeight="1" ht="20.25">
      <c r="A19" s="89"/>
      <c r="B19" s="72"/>
      <c r="C19" s="107" t="s">
        <v>20</v>
      </c>
      <c r="D19" s="112">
        <f>取值!C21</f>
        <v>225155</v>
      </c>
      <c r="E19" s="111">
        <f>_xlfn.IFERROR(SUM(D19,取值!D22),"")</f>
        <v>2854339</v>
      </c>
      <c r="F19" s="104" t="s">
        <v>18</v>
      </c>
      <c r="G19" s="104" t="s">
        <v>18</v>
      </c>
      <c r="H19" s="111">
        <f>取值!H22</f>
        <v>215894</v>
      </c>
      <c r="I19" s="104" t="s">
        <v>18</v>
      </c>
      <c r="J19" s="107"/>
      <c r="K19" s="107"/>
      <c r="L19" s="107"/>
      <c r="M19" s="107"/>
      <c r="N19" s="107"/>
      <c r="O19" s="107"/>
      <c r="P19" s="107"/>
      <c r="Q19" s="118"/>
    </row>
    <row customHeight="1" ht="20.25">
      <c r="A20" s="89"/>
      <c r="B20" s="72"/>
      <c r="C20" s="107" t="s">
        <v>21</v>
      </c>
      <c r="D20" s="112">
        <f>取值!C22</f>
        <v>0</v>
      </c>
      <c r="E20" s="111">
        <f>_xlfn.IFERROR(SUM(D20,取值!D23),"")</f>
        <v>0</v>
      </c>
      <c r="F20" s="104" t="s">
        <v>18</v>
      </c>
      <c r="G20" s="104" t="s">
        <v>18</v>
      </c>
      <c r="H20" s="111">
        <f>取值!H23</f>
        <v>0</v>
      </c>
      <c r="I20" s="104" t="s">
        <v>18</v>
      </c>
      <c r="J20" s="107"/>
      <c r="K20" s="107"/>
      <c r="L20" s="107"/>
      <c r="M20" s="107"/>
      <c r="N20" s="107"/>
      <c r="O20" s="107"/>
      <c r="P20" s="107"/>
      <c r="Q20" s="118"/>
    </row>
    <row customHeight="1" ht="20.25">
      <c r="A21" s="89"/>
      <c r="B21" s="72"/>
      <c r="C21" s="107" t="s">
        <v>22</v>
      </c>
      <c r="D21" s="112">
        <f>_xlfn.IFERROR(SUM(D22:D23),"")</f>
        <v>109363</v>
      </c>
      <c r="E21" s="111">
        <f>_xlfn.IFERROR(SUM(D21,取值!D24),"")</f>
        <v>1378615</v>
      </c>
      <c r="F21" s="113">
        <f>_xlfn.IFERROR(D21/D18*100,0)</f>
        <v>48.5723168483933</v>
      </c>
      <c r="G21" s="113">
        <f>_xlfn.IFERROR(E21/E18*100,0)</f>
        <v>48.2989231482315</v>
      </c>
      <c r="H21" s="111">
        <f>取值!H24</f>
        <v>104915</v>
      </c>
      <c r="I21" s="113">
        <f>_xlfn.IFERROR(H21/H18*100,0)</f>
        <v>48.595607103486</v>
      </c>
      <c r="J21" s="107"/>
      <c r="K21" s="107"/>
      <c r="L21" s="107"/>
      <c r="M21" s="107"/>
      <c r="N21" s="107"/>
      <c r="O21" s="107"/>
      <c r="P21" s="107"/>
      <c r="Q21" s="118"/>
    </row>
    <row customHeight="1" ht="20.25">
      <c r="A22" s="89"/>
      <c r="B22" s="72"/>
      <c r="C22" s="107" t="s">
        <v>32</v>
      </c>
      <c r="D22" s="112">
        <f>取值!C24</f>
        <v>34322</v>
      </c>
      <c r="E22" s="111">
        <f>_xlfn.IFERROR(SUM(D22,取值!D25),"")</f>
        <v>423796</v>
      </c>
      <c r="F22" s="113">
        <f>_xlfn.IFERROR(D22/D18*100,0)</f>
        <v>15.2437209922054</v>
      </c>
      <c r="G22" s="113">
        <f>_xlfn.IFERROR(E22/E18*100,0)</f>
        <v>14.8474305259466</v>
      </c>
      <c r="H22" s="111">
        <f>取值!H25</f>
        <v>32216</v>
      </c>
      <c r="I22" s="113">
        <f>_xlfn.IFERROR(H22/H18*100,0)</f>
        <v>14.9221377157309</v>
      </c>
      <c r="J22" s="107"/>
      <c r="K22" s="107"/>
      <c r="L22" s="107"/>
      <c r="M22" s="107"/>
      <c r="N22" s="107"/>
      <c r="O22" s="107"/>
      <c r="P22" s="107"/>
      <c r="Q22" s="118"/>
    </row>
    <row customHeight="1" ht="20.25">
      <c r="A23" s="89"/>
      <c r="B23" s="72"/>
      <c r="C23" s="107" t="s">
        <v>24</v>
      </c>
      <c r="D23" s="112">
        <f>_xlfn.IFERROR(SUM(D24:D26),"")</f>
        <v>75041</v>
      </c>
      <c r="E23" s="111">
        <f>_xlfn.IFERROR(SUM(D23,取值!D26),"")</f>
        <v>954819</v>
      </c>
      <c r="F23" s="113">
        <f>_xlfn.IFERROR(D23/D18*100,0)</f>
        <v>33.328595856188</v>
      </c>
      <c r="G23" s="113">
        <f>_xlfn.IFERROR(E23/E18*100,0)</f>
        <v>33.4514926222849</v>
      </c>
      <c r="H23" s="111">
        <f>取值!H26</f>
        <v>72699</v>
      </c>
      <c r="I23" s="113">
        <f>_xlfn.IFERROR(H23/H18*100,0)</f>
        <v>33.6734693877551</v>
      </c>
      <c r="J23" s="107"/>
      <c r="K23" s="107"/>
      <c r="L23" s="107"/>
      <c r="M23" s="107"/>
      <c r="N23" s="107"/>
      <c r="O23" s="107"/>
      <c r="P23" s="107"/>
      <c r="Q23" s="118"/>
    </row>
    <row customHeight="1" ht="20.25">
      <c r="A24" s="89"/>
      <c r="B24" s="72"/>
      <c r="C24" s="107" t="s">
        <v>25</v>
      </c>
      <c r="D24" s="112">
        <f>取值!C26</f>
        <v>15443</v>
      </c>
      <c r="E24" s="111">
        <f>_xlfn.IFERROR(SUM(D24,取值!D27),"")</f>
        <v>183790</v>
      </c>
      <c r="F24" s="113">
        <f>_xlfn.IFERROR(D24/D18*100,0)</f>
        <v>6.8588305833759</v>
      </c>
      <c r="G24" s="113">
        <f>_xlfn.IFERROR(E24/E18*100,0)</f>
        <v>6.43896888211246</v>
      </c>
      <c r="H24" s="111">
        <f>取值!H27</f>
        <v>13764</v>
      </c>
      <c r="I24" s="113">
        <f>_xlfn.IFERROR(H24/H18*100,0)</f>
        <v>6.37535086662899</v>
      </c>
      <c r="J24" s="107"/>
      <c r="K24" s="107"/>
      <c r="L24" s="107"/>
      <c r="M24" s="107"/>
      <c r="N24" s="107"/>
      <c r="O24" s="107"/>
      <c r="P24" s="107"/>
      <c r="Q24" s="118"/>
    </row>
    <row customHeight="1" ht="20.25">
      <c r="A25" s="89"/>
      <c r="B25" s="72"/>
      <c r="C25" s="107" t="s">
        <v>26</v>
      </c>
      <c r="D25" s="112">
        <f>取值!C27</f>
        <v>34172</v>
      </c>
      <c r="E25" s="111">
        <f>_xlfn.IFERROR(SUM(D25,取值!D28),"")</f>
        <v>423874</v>
      </c>
      <c r="F25" s="113">
        <f>_xlfn.IFERROR(D25/D18*100,0)</f>
        <v>15.1771002198485</v>
      </c>
      <c r="G25" s="113">
        <f>_xlfn.IFERROR(E25/E18*100,0)</f>
        <v>14.8501632076638</v>
      </c>
      <c r="H25" s="111">
        <f>取值!H28</f>
        <v>30427</v>
      </c>
      <c r="I25" s="113">
        <f>_xlfn.IFERROR(H25/H18*100,0)</f>
        <v>14.0934903239553</v>
      </c>
      <c r="J25" s="107"/>
      <c r="K25" s="107"/>
      <c r="L25" s="107"/>
      <c r="M25" s="107"/>
      <c r="N25" s="107"/>
      <c r="O25" s="107"/>
      <c r="P25" s="107"/>
      <c r="Q25" s="118"/>
    </row>
    <row customHeight="1" ht="20.25">
      <c r="A26" s="89"/>
      <c r="B26" s="72"/>
      <c r="C26" s="107" t="s">
        <v>27</v>
      </c>
      <c r="D26" s="112">
        <f>取值!C28</f>
        <v>25426</v>
      </c>
      <c r="E26" s="111">
        <f>_xlfn.IFERROR(SUM(D26,取值!D29),"")</f>
        <v>347155</v>
      </c>
      <c r="F26" s="113">
        <f>_xlfn.IFERROR(D26/D18*100,0)</f>
        <v>11.2926650529635</v>
      </c>
      <c r="G26" s="113">
        <f>_xlfn.IFERROR(E26/E18*100,0)</f>
        <v>12.1623605325086</v>
      </c>
      <c r="H26" s="111">
        <f>取值!H29</f>
        <v>28508</v>
      </c>
      <c r="I26" s="113">
        <f>_xlfn.IFERROR(H26/H18*100,0)</f>
        <v>13.2046281971708</v>
      </c>
      <c r="J26" s="107"/>
      <c r="K26" s="107"/>
      <c r="L26" s="107"/>
      <c r="M26" s="107"/>
      <c r="N26" s="107"/>
      <c r="O26" s="107"/>
      <c r="P26" s="107"/>
      <c r="Q26" s="118"/>
    </row>
    <row customHeight="1" ht="20.25">
      <c r="A27" s="89"/>
      <c r="B27" s="72"/>
      <c r="C27" s="107" t="s">
        <v>28</v>
      </c>
      <c r="D27" s="112">
        <f>取值!C29</f>
        <v>114834</v>
      </c>
      <c r="E27" s="111">
        <f>_xlfn.IFERROR(SUM(D27,取值!D30),"")</f>
        <v>1462223</v>
      </c>
      <c r="F27" s="113">
        <f>_xlfn.IFERROR(D27/D18*100,0)</f>
        <v>51.0021984854878</v>
      </c>
      <c r="G27" s="113">
        <f>_xlfn.IFERROR(E27/E18*100,0)</f>
        <v>51.2280776740254</v>
      </c>
      <c r="H27" s="111">
        <f>取值!H30</f>
        <v>110206</v>
      </c>
      <c r="I27" s="113">
        <f>_xlfn.IFERROR(H27/H18*100,0)</f>
        <v>51.046346818346</v>
      </c>
      <c r="J27" s="107"/>
      <c r="K27" s="107"/>
      <c r="L27" s="107"/>
      <c r="M27" s="107"/>
      <c r="N27" s="107"/>
      <c r="O27" s="107"/>
      <c r="P27" s="107"/>
      <c r="Q27" s="118"/>
    </row>
    <row customHeight="1" ht="20.25">
      <c r="A28" s="89"/>
      <c r="B28" s="72"/>
      <c r="C28" s="107" t="s">
        <v>29</v>
      </c>
      <c r="D28" s="112">
        <f>取值!C30</f>
        <v>0</v>
      </c>
      <c r="E28" s="111">
        <f>_xlfn.IFERROR(SUM(D28,取值!D31),"")</f>
        <v>0</v>
      </c>
      <c r="F28" s="113"/>
      <c r="G28" s="113"/>
      <c r="H28" s="111">
        <f>取值!H31</f>
        <v>0</v>
      </c>
      <c r="I28" s="113"/>
      <c r="J28" s="107"/>
      <c r="K28" s="107"/>
      <c r="L28" s="107"/>
      <c r="M28" s="107"/>
      <c r="N28" s="107"/>
      <c r="O28" s="107"/>
      <c r="P28" s="107"/>
      <c r="Q28" s="118"/>
    </row>
    <row customHeight="1" ht="20.25">
      <c r="A29" s="89"/>
      <c r="B29" s="72"/>
      <c r="C29" s="107" t="s">
        <v>30</v>
      </c>
      <c r="D29" s="112">
        <f>_xlfn.IFERROR(D18-SUM(D22,D24,D25,D26,D27),"")</f>
        <v>958</v>
      </c>
      <c r="E29" s="111">
        <f>_xlfn.IFERROR(SUM(D29,取值!D32),"")</f>
        <v>13501</v>
      </c>
      <c r="F29" s="113">
        <f>_xlfn.IFERROR(D29/D18*100,0)</f>
        <v>0.425484666118896</v>
      </c>
      <c r="G29" s="113">
        <f>_xlfn.IFERROR(E29/E18*100,0)</f>
        <v>0.472999177743078</v>
      </c>
      <c r="H29" s="111">
        <f>取值!H32</f>
        <v>773</v>
      </c>
      <c r="I29" s="113">
        <f>_xlfn.IFERROR(H29/H18*100,0)</f>
        <v>0.35804607816799</v>
      </c>
      <c r="J29" s="107"/>
      <c r="K29" s="107"/>
      <c r="L29" s="107"/>
      <c r="M29" s="107"/>
      <c r="N29" s="107"/>
      <c r="O29" s="107"/>
      <c r="P29" s="107"/>
      <c r="Q29" s="118"/>
    </row>
    <row customHeight="1" ht="20.25">
      <c r="A30" s="89"/>
      <c r="B30" s="72"/>
      <c r="C30" s="107" t="s">
        <v>2</v>
      </c>
      <c r="D30" s="107" t="s">
        <v>2</v>
      </c>
      <c r="E30" s="107" t="s">
        <v>2</v>
      </c>
      <c r="F30" s="107" t="s">
        <v>2</v>
      </c>
      <c r="G30" s="107" t="s">
        <v>2</v>
      </c>
      <c r="H30" s="107" t="s">
        <v>2</v>
      </c>
      <c r="I30" s="107" t="s">
        <v>2</v>
      </c>
      <c r="J30" s="107"/>
      <c r="K30" s="107"/>
      <c r="L30" s="107"/>
      <c r="M30" s="107"/>
      <c r="N30" s="107"/>
      <c r="O30" s="107"/>
      <c r="P30" s="107"/>
      <c r="Q30" s="118"/>
    </row>
    <row customHeight="1" ht="20.25">
      <c r="A31" s="89"/>
      <c r="B31" s="73"/>
      <c r="C31" s="121" t="s">
        <v>2</v>
      </c>
      <c r="D31" s="121" t="s">
        <v>2</v>
      </c>
      <c r="E31" s="121" t="s">
        <v>2</v>
      </c>
      <c r="F31" s="121" t="s">
        <v>2</v>
      </c>
      <c r="G31" s="121" t="s">
        <v>2</v>
      </c>
      <c r="H31" s="121" t="s">
        <v>2</v>
      </c>
      <c r="I31" s="121" t="s">
        <v>2</v>
      </c>
      <c r="J31" s="121" t="s">
        <v>2</v>
      </c>
      <c r="K31" s="121"/>
      <c r="L31" s="121"/>
      <c r="M31" s="121"/>
      <c r="N31" s="121"/>
      <c r="O31" s="121"/>
      <c r="P31" s="121"/>
      <c r="Q31" s="122"/>
    </row>
    <row customHeight="1" ht="20.25">
      <c r="A32" s="89"/>
      <c r="B32" s="123"/>
      <c r="C32" s="124" t="s">
        <v>33</v>
      </c>
      <c r="D32" s="125" t="s">
        <v>34</v>
      </c>
      <c r="E32" s="123"/>
      <c r="F32" s="123"/>
      <c r="G32" s="123"/>
      <c r="H32" s="89"/>
      <c r="I32" s="126" t="s">
        <v>35</v>
      </c>
      <c r="J32" s="126"/>
      <c r="K32" s="125" t="s">
        <v>36</v>
      </c>
      <c r="L32" s="123"/>
      <c r="M32" s="123"/>
      <c r="N32" s="123"/>
      <c r="O32" s="127" t="s">
        <v>37</v>
      </c>
      <c r="P32" s="128">
        <f>_xlfn.IFERROR(取值!B3,"")</f>
        <v>46022</v>
      </c>
      <c r="Q32" s="128"/>
    </row>
  </sheetData>
  <mergeCells count="19">
    <mergeCell ref="B2:Q2"/>
    <mergeCell ref="B4:B5"/>
    <mergeCell ref="C4:C5"/>
    <mergeCell ref="D4:E4"/>
    <mergeCell ref="F4:G4"/>
    <mergeCell ref="H4:I4"/>
    <mergeCell ref="J4:J5"/>
    <mergeCell ref="K4:K5"/>
    <mergeCell ref="M3:Q3"/>
    <mergeCell ref="B3:C3"/>
    <mergeCell ref="K3:L3"/>
    <mergeCell ref="L4:M4"/>
    <mergeCell ref="N4:O4"/>
    <mergeCell ref="B18:B31"/>
    <mergeCell ref="I32:J32"/>
    <mergeCell ref="P32:Q32"/>
    <mergeCell ref="P4:Q4"/>
    <mergeCell ref="B6:B17"/>
    <mergeCell ref="J6:J17"/>
  </mergeCells>
  <pageMargins left="0.71" right="0.71" top="1.53" bottom="0.75" header="0.31" footer="0.31"/>
  <pageSetup paperSize="9" scale="62" fitToHeight="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B057C48-6BF8-99C8-9A08-B6B6ED3668C8}" mc:Ignorable="x14ac xr xr2 xr3">
  <dimension ref="A1:P35"/>
  <sheetViews>
    <sheetView defaultGridColor="0" colorId="31" topLeftCell="A1" workbookViewId="0">
      <selection activeCell="A1" sqref="A1"/>
    </sheetView>
  </sheetViews>
  <sheetFormatPr customHeight="1" defaultRowHeight="14.100000000000001"/>
  <sheetData>
    <row customHeight="1" ht="14.25">
      <c r="A1" s="129" t="s">
        <v>38</v>
      </c>
      <c r="B1" s="130" t="s">
        <v>4</v>
      </c>
      <c r="C1" s="129" t="s">
        <v>39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customHeight="1" ht="14.25">
      <c r="A2" s="89"/>
      <c r="B2" s="131" t="str">
        <f>EDATE(B1,1)</f>
        <v>46023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customHeight="1" ht="14.25">
      <c r="A3" s="89"/>
      <c r="B3" s="132">
        <f>B2-1</f>
        <v>46022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</row>
    <row customHeight="1" ht="14.100000000000001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customHeight="1" ht="14.100000000000001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</row>
    <row customHeight="1" ht="14.25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133" t="s">
        <v>40</v>
      </c>
    </row>
    <row customHeight="1" ht="14.25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>
        <v>279009</v>
      </c>
      <c r="M7" s="133">
        <v>3276195</v>
      </c>
      <c r="N7" s="89"/>
      <c r="O7" s="89"/>
      <c r="P7" s="133">
        <v>290664</v>
      </c>
    </row>
    <row customHeight="1" ht="14.25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133">
        <v>3276195</v>
      </c>
      <c r="N8" s="89"/>
      <c r="O8" s="89"/>
      <c r="P8" s="133">
        <v>290664</v>
      </c>
    </row>
    <row customHeight="1" ht="14.25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33">
        <v>0</v>
      </c>
      <c r="N9" s="89"/>
      <c r="O9" s="89"/>
      <c r="P9" s="133">
        <v>0</v>
      </c>
    </row>
    <row customHeight="1" ht="14.25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>
        <v>43578</v>
      </c>
      <c r="M10" s="133">
        <v>1598908</v>
      </c>
      <c r="N10" s="89"/>
      <c r="O10" s="89"/>
      <c r="P10" s="133">
        <v>141381</v>
      </c>
    </row>
    <row customHeight="1" ht="14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133">
        <v>483319</v>
      </c>
      <c r="N11" s="89"/>
      <c r="O11" s="89"/>
      <c r="P11" s="133">
        <v>42026</v>
      </c>
    </row>
    <row customHeight="1" ht="14.2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134">
        <v>24103</v>
      </c>
      <c r="M12" s="133">
        <v>1115589</v>
      </c>
      <c r="N12" s="89"/>
      <c r="O12" s="89"/>
      <c r="P12" s="133">
        <v>99355</v>
      </c>
    </row>
    <row customHeight="1" ht="14.25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>
        <v>11175</v>
      </c>
      <c r="M13" s="133">
        <v>273155</v>
      </c>
      <c r="N13" s="89"/>
      <c r="O13" s="89"/>
      <c r="P13" s="133">
        <v>25437</v>
      </c>
    </row>
    <row customHeight="1" ht="14.2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134">
        <v>57216</v>
      </c>
      <c r="M14" s="133">
        <v>177968</v>
      </c>
      <c r="N14" s="89"/>
      <c r="O14" s="89"/>
      <c r="P14" s="133">
        <v>15246</v>
      </c>
    </row>
    <row customHeight="1" ht="14.2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>
        <v>142118</v>
      </c>
      <c r="M15" s="133">
        <v>664466</v>
      </c>
      <c r="N15" s="89"/>
      <c r="O15" s="89"/>
      <c r="P15" s="133">
        <v>58672</v>
      </c>
    </row>
    <row customHeight="1" ht="14.25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133">
        <v>1653345</v>
      </c>
      <c r="N16" s="89"/>
      <c r="O16" s="89"/>
      <c r="P16" s="133">
        <v>146568</v>
      </c>
    </row>
    <row customHeight="1" ht="14.2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133">
        <v>0</v>
      </c>
      <c r="N17" s="89"/>
      <c r="O17" s="89"/>
      <c r="P17" s="133">
        <v>0</v>
      </c>
    </row>
    <row customHeight="1" ht="14.2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133">
        <v>23942</v>
      </c>
      <c r="N18" s="89"/>
      <c r="O18" s="89"/>
      <c r="P18" s="133">
        <v>2715</v>
      </c>
    </row>
    <row customHeight="1" ht="14.100000000000001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</row>
    <row customHeight="1" ht="14.25">
      <c r="A20" s="89"/>
      <c r="B20" s="89"/>
      <c r="C20" s="89"/>
      <c r="D20" s="133" t="s">
        <v>41</v>
      </c>
      <c r="E20" s="89"/>
      <c r="F20" s="89"/>
      <c r="G20" s="89"/>
      <c r="H20" s="133" t="s">
        <v>40</v>
      </c>
      <c r="I20" s="89"/>
      <c r="J20" s="89"/>
      <c r="K20" s="89"/>
      <c r="L20" s="89"/>
      <c r="M20" s="89"/>
      <c r="N20" s="89"/>
      <c r="O20" s="89"/>
      <c r="P20" s="89"/>
    </row>
    <row customHeight="1" ht="14.25">
      <c r="A21" s="89"/>
      <c r="B21" s="89"/>
      <c r="C21" s="89">
        <v>225155</v>
      </c>
      <c r="D21" s="133">
        <v>2629184</v>
      </c>
      <c r="E21" s="89"/>
      <c r="F21" s="89"/>
      <c r="G21" s="89"/>
      <c r="H21" s="133">
        <v>215894</v>
      </c>
      <c r="I21" s="89"/>
      <c r="J21" s="89"/>
      <c r="K21" s="89"/>
      <c r="L21" s="89"/>
      <c r="M21" s="89"/>
      <c r="N21" s="89"/>
      <c r="O21" s="89"/>
      <c r="P21" s="89"/>
    </row>
    <row customHeight="1" ht="14.25">
      <c r="A22" s="89"/>
      <c r="B22" s="89"/>
      <c r="C22" s="89"/>
      <c r="D22" s="133">
        <v>2629184</v>
      </c>
      <c r="E22" s="89"/>
      <c r="F22" s="89"/>
      <c r="G22" s="89"/>
      <c r="H22" s="133">
        <v>215894</v>
      </c>
      <c r="I22" s="89"/>
      <c r="J22" s="89"/>
      <c r="K22" s="89"/>
      <c r="L22" s="89"/>
      <c r="M22" s="89"/>
      <c r="N22" s="89"/>
      <c r="O22" s="89"/>
      <c r="P22" s="89"/>
    </row>
    <row customHeight="1" ht="14.25">
      <c r="A23" s="89"/>
      <c r="B23" s="89"/>
      <c r="C23" s="89"/>
      <c r="D23" s="133">
        <v>0</v>
      </c>
      <c r="E23" s="89"/>
      <c r="F23" s="89"/>
      <c r="G23" s="89"/>
      <c r="H23" s="133">
        <v>0</v>
      </c>
      <c r="I23" s="89"/>
      <c r="J23" s="89"/>
      <c r="K23" s="89"/>
      <c r="L23" s="89"/>
      <c r="M23" s="89"/>
      <c r="N23" s="89"/>
      <c r="O23" s="89"/>
      <c r="P23" s="89"/>
    </row>
    <row customHeight="1" ht="14.25">
      <c r="A24" s="89"/>
      <c r="B24" s="89"/>
      <c r="C24" s="89">
        <v>34322</v>
      </c>
      <c r="D24" s="133">
        <v>1269252</v>
      </c>
      <c r="E24" s="89"/>
      <c r="F24" s="89"/>
      <c r="G24" s="89"/>
      <c r="H24" s="133">
        <v>104915</v>
      </c>
      <c r="I24" s="89"/>
      <c r="J24" s="89"/>
      <c r="K24" s="89"/>
      <c r="L24" s="89"/>
      <c r="M24" s="89"/>
      <c r="N24" s="89"/>
      <c r="O24" s="89"/>
      <c r="P24" s="89"/>
    </row>
    <row customHeight="1" ht="14.25">
      <c r="A25" s="89"/>
      <c r="B25" s="89"/>
      <c r="C25" s="89"/>
      <c r="D25" s="133">
        <v>389474</v>
      </c>
      <c r="E25" s="89"/>
      <c r="F25" s="89"/>
      <c r="G25" s="89"/>
      <c r="H25" s="133">
        <v>32216</v>
      </c>
      <c r="I25" s="89"/>
      <c r="J25" s="89"/>
      <c r="K25" s="89"/>
      <c r="L25" s="89"/>
      <c r="M25" s="89"/>
      <c r="N25" s="89"/>
      <c r="O25" s="89"/>
      <c r="P25" s="89"/>
    </row>
    <row customHeight="1" ht="14.25">
      <c r="A26" s="89"/>
      <c r="B26" s="89"/>
      <c r="C26" s="89">
        <v>15443</v>
      </c>
      <c r="D26" s="133">
        <v>879778</v>
      </c>
      <c r="E26" s="89"/>
      <c r="F26" s="89"/>
      <c r="G26" s="89"/>
      <c r="H26" s="133">
        <v>72699</v>
      </c>
      <c r="I26" s="89"/>
      <c r="J26" s="89"/>
      <c r="K26" s="89"/>
      <c r="L26" s="89"/>
      <c r="M26" s="89"/>
      <c r="N26" s="89"/>
      <c r="O26" s="89"/>
      <c r="P26" s="89"/>
    </row>
    <row customHeight="1" ht="14.25">
      <c r="A27" s="89"/>
      <c r="B27" s="89"/>
      <c r="C27" s="89">
        <v>34172</v>
      </c>
      <c r="D27" s="133">
        <v>168347</v>
      </c>
      <c r="E27" s="89"/>
      <c r="F27" s="89"/>
      <c r="G27" s="89"/>
      <c r="H27" s="133">
        <v>13764</v>
      </c>
      <c r="I27" s="89"/>
      <c r="J27" s="89"/>
      <c r="K27" s="89"/>
      <c r="L27" s="89"/>
      <c r="M27" s="89"/>
      <c r="N27" s="89"/>
      <c r="O27" s="89"/>
      <c r="P27" s="89"/>
    </row>
    <row customHeight="1" ht="14.25">
      <c r="A28" s="89"/>
      <c r="B28" s="89"/>
      <c r="C28" s="89">
        <v>25426</v>
      </c>
      <c r="D28" s="133">
        <v>389702</v>
      </c>
      <c r="E28" s="89"/>
      <c r="F28" s="89"/>
      <c r="G28" s="89"/>
      <c r="H28" s="133">
        <v>30427</v>
      </c>
      <c r="I28" s="89"/>
      <c r="J28" s="89"/>
      <c r="K28" s="89"/>
      <c r="L28" s="89"/>
      <c r="M28" s="89"/>
      <c r="N28" s="89"/>
      <c r="O28" s="89"/>
      <c r="P28" s="89"/>
    </row>
    <row customHeight="1" ht="14.25">
      <c r="A29" s="89"/>
      <c r="B29" s="89"/>
      <c r="C29" s="89">
        <v>114834</v>
      </c>
      <c r="D29" s="133">
        <v>321729</v>
      </c>
      <c r="E29" s="89"/>
      <c r="F29" s="89"/>
      <c r="G29" s="89"/>
      <c r="H29" s="133">
        <v>28508</v>
      </c>
      <c r="I29" s="89"/>
      <c r="J29" s="89"/>
      <c r="K29" s="89"/>
      <c r="L29" s="89"/>
      <c r="M29" s="89"/>
      <c r="N29" s="89"/>
      <c r="O29" s="89"/>
      <c r="P29" s="89"/>
    </row>
    <row customHeight="1" ht="14.25">
      <c r="A30" s="89"/>
      <c r="B30" s="89"/>
      <c r="C30" s="89"/>
      <c r="D30" s="133">
        <v>1347389</v>
      </c>
      <c r="E30" s="89"/>
      <c r="F30" s="89"/>
      <c r="G30" s="89"/>
      <c r="H30" s="133">
        <v>110206</v>
      </c>
      <c r="I30" s="89"/>
      <c r="J30" s="89"/>
      <c r="K30" s="89"/>
      <c r="L30" s="89"/>
      <c r="M30" s="89"/>
      <c r="N30" s="89"/>
      <c r="O30" s="89"/>
      <c r="P30" s="89"/>
    </row>
    <row customHeight="1" ht="14.25">
      <c r="A31" s="89"/>
      <c r="B31" s="89"/>
      <c r="C31" s="89"/>
      <c r="D31" s="133">
        <v>0</v>
      </c>
      <c r="E31" s="89"/>
      <c r="F31" s="89"/>
      <c r="G31" s="89"/>
      <c r="H31" s="133">
        <v>0</v>
      </c>
      <c r="I31" s="89"/>
      <c r="J31" s="89"/>
      <c r="K31" s="89"/>
      <c r="L31" s="89"/>
      <c r="M31" s="89"/>
      <c r="N31" s="89"/>
      <c r="O31" s="89"/>
      <c r="P31" s="89"/>
    </row>
    <row customHeight="1" ht="14.25">
      <c r="A32" s="89"/>
      <c r="B32" s="89"/>
      <c r="C32" s="89"/>
      <c r="D32" s="133">
        <v>12543</v>
      </c>
      <c r="E32" s="89"/>
      <c r="F32" s="89"/>
      <c r="G32" s="89"/>
      <c r="H32" s="133">
        <v>773</v>
      </c>
      <c r="I32" s="89"/>
      <c r="J32" s="89"/>
      <c r="K32" s="89"/>
      <c r="L32" s="89"/>
      <c r="M32" s="89"/>
      <c r="N32" s="89"/>
      <c r="O32" s="89"/>
      <c r="P32" s="89"/>
    </row>
    <row customHeight="1" ht="14.10000000000000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</row>
    <row customHeight="1" ht="14.25">
      <c r="A34" s="89"/>
      <c r="B34" s="89"/>
      <c r="C34" s="133" t="s">
        <v>34</v>
      </c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</row>
    <row customHeight="1" ht="14.25">
      <c r="A35" s="89"/>
      <c r="B35" s="89"/>
      <c r="C35" s="133" t="s">
        <v>36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延安炼油厂装置生产完成情况表（一）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c3</cp:lastModifiedBy>
  <cp:lastPrinted>2022-05-27T02:25:43Z</cp:lastPrinted>
  <dcterms:created xsi:type="dcterms:W3CDTF">2015-06-05T18:19:34Z</dcterms:created>
  <dcterms:modified xsi:type="dcterms:W3CDTF">2022-06-30T08:37:37Z</dcterms:modified>
</cp:coreProperties>
</file>