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F:\01Works\项目\调度国家项目\现场资料\"/>
    </mc:Choice>
  </mc:AlternateContent>
  <xr:revisionPtr revIDLastSave="0" documentId="8_{583DE763-08BE-4747-B1E7-BB6407A03446}" xr6:coauthVersionLast="36" xr6:coauthVersionMax="36" xr10:uidLastSave="{00000000-0000-0000-0000-000000000000}"/>
  <bookViews>
    <workbookView xWindow="0" yWindow="0" windowWidth="0" windowHeight="18580" firstSheet="1" activeTab="1" xr2:uid="{00000000-000D-0000-FFFF-FFFF00000000}"/>
  </bookViews>
  <sheets>
    <sheet name="生产综合报表" sheetId="1" r:id="rId1"/>
    <sheet name="生产装置物料平衡表" sheetId="2" r:id="rId2"/>
    <sheet name="动力能耗报表" sheetId="3" r:id="rId3"/>
    <sheet name="动力能耗及操作参数报表" sheetId="4" r:id="rId4"/>
    <sheet name="油品进出厂及船期" sheetId="5" r:id="rId5"/>
    <sheet name="生产受控管理" sheetId="6" r:id="rId6"/>
    <sheet name="产品中间原料库存" sheetId="7" r:id="rId7"/>
    <sheet name="库存情况" sheetId="8" r:id="rId8"/>
    <sheet name="能耗情况" sheetId="9" r:id="rId9"/>
  </sheets>
  <calcPr calcId="191029"/>
</workbook>
</file>

<file path=xl/calcChain.xml><?xml version="1.0" encoding="utf-8"?>
<calcChain xmlns="http://schemas.openxmlformats.org/spreadsheetml/2006/main">
  <c r="AI4" i="9" l="1"/>
  <c r="AK4" i="9" s="1"/>
  <c r="AH4" i="9"/>
  <c r="AJ4" i="9" s="1"/>
  <c r="S21" i="6"/>
</calcChain>
</file>

<file path=xl/sharedStrings.xml><?xml version="1.0" encoding="utf-8"?>
<sst xmlns="http://schemas.openxmlformats.org/spreadsheetml/2006/main" count="3895" uniqueCount="1358">
  <si>
    <t>2023-02-27</t>
  </si>
  <si>
    <t>6:00</t>
  </si>
  <si>
    <t>技经指标</t>
  </si>
  <si>
    <t>计划</t>
  </si>
  <si>
    <t>当日</t>
  </si>
  <si>
    <t>月累计</t>
  </si>
  <si>
    <t>项目</t>
  </si>
  <si>
    <t>主要排放口污染物监控情况</t>
  </si>
  <si>
    <t>综商</t>
  </si>
  <si>
    <t>吨油耗天然气</t>
  </si>
  <si>
    <t>吨油耗氮气</t>
  </si>
  <si>
    <t>污水总排</t>
  </si>
  <si>
    <t>催化PTU</t>
  </si>
  <si>
    <t>动力PTU</t>
  </si>
  <si>
    <t>1预处理</t>
  </si>
  <si>
    <t>2预处理</t>
  </si>
  <si>
    <t>3预处理</t>
  </si>
  <si>
    <t>4预处理</t>
  </si>
  <si>
    <t>5预处理</t>
  </si>
  <si>
    <t>6预处理</t>
  </si>
  <si>
    <t>7预处理</t>
  </si>
  <si>
    <t>9预处理</t>
  </si>
  <si>
    <t>10预处理</t>
  </si>
  <si>
    <t>轻收</t>
  </si>
  <si>
    <t>吨油耗电</t>
  </si>
  <si>
    <t>吨油耗燃料</t>
  </si>
  <si>
    <t>氨氮</t>
  </si>
  <si>
    <t>COD</t>
  </si>
  <si>
    <t>烧焦率</t>
  </si>
  <si>
    <t>吨油新鲜水耗</t>
  </si>
  <si>
    <t>吨油耗蒸汽</t>
  </si>
  <si>
    <t>mg/L</t>
  </si>
  <si>
    <t>燃料自用率</t>
  </si>
  <si>
    <t>吨油耗氢</t>
  </si>
  <si>
    <t>吨油污水外排</t>
  </si>
  <si>
    <t>组分柴汽比</t>
  </si>
  <si>
    <t>成品柴汽比</t>
  </si>
  <si>
    <t>高效产品收率</t>
  </si>
  <si>
    <t>主要对标指标</t>
  </si>
  <si>
    <t>指标</t>
  </si>
  <si>
    <t>加热炉烟气在线监测情况</t>
  </si>
  <si>
    <t>特色产品收率</t>
  </si>
  <si>
    <t>加裂加热炉热效率</t>
  </si>
  <si>
    <t>加裂液体收率</t>
  </si>
  <si>
    <t>常压炉烟气</t>
  </si>
  <si>
    <t>减压炉烟气</t>
  </si>
  <si>
    <t>石脑油加氢烟气</t>
  </si>
  <si>
    <t>轻烃回收炉烟气</t>
  </si>
  <si>
    <t>催化过热蒸汽炉</t>
  </si>
  <si>
    <t>催化再生烟气</t>
  </si>
  <si>
    <t>汽油加氢</t>
  </si>
  <si>
    <t>催化丙烯产率</t>
  </si>
  <si>
    <t>重整加热炉热效率</t>
  </si>
  <si>
    <t>聚丙烯计划执行率</t>
  </si>
  <si>
    <t>SO2</t>
  </si>
  <si>
    <t>NOx</t>
  </si>
  <si>
    <t>催化焦炭产率/总转化率</t>
  </si>
  <si>
    <t>重整纯氢产率</t>
  </si>
  <si>
    <t>丙烯单耗</t>
  </si>
  <si>
    <t>mg/m3</t>
  </si>
  <si>
    <t>催化干气产率/总转化率</t>
  </si>
  <si>
    <t xml:space="preserve"> 重整辛烷值桶</t>
  </si>
  <si>
    <t>天然气(万方)</t>
  </si>
  <si>
    <t>装置负荷、直供料比率</t>
  </si>
  <si>
    <t>装置</t>
  </si>
  <si>
    <t>直供料%</t>
  </si>
  <si>
    <t>加工量t/h</t>
  </si>
  <si>
    <t>负荷%</t>
  </si>
  <si>
    <t>超欠量</t>
  </si>
  <si>
    <t>计划完成率</t>
  </si>
  <si>
    <t>负荷</t>
  </si>
  <si>
    <t>连续重整烟气</t>
  </si>
  <si>
    <t>芳烃抽提烟气</t>
  </si>
  <si>
    <t>航煤加氢烟气</t>
  </si>
  <si>
    <t>大制氢烟气</t>
  </si>
  <si>
    <t>蜡油加氢烟气</t>
  </si>
  <si>
    <t>柴油加氢精制烟气</t>
  </si>
  <si>
    <t>常减压装置</t>
  </si>
  <si>
    <t>航煤加氢</t>
  </si>
  <si>
    <t>石脑油加氢</t>
  </si>
  <si>
    <t>石脑油异构化</t>
  </si>
  <si>
    <t>轻烃回收</t>
  </si>
  <si>
    <t>4万立制氢</t>
  </si>
  <si>
    <t>--</t>
  </si>
  <si>
    <t>重油催裂化</t>
  </si>
  <si>
    <t>14万立制氢</t>
  </si>
  <si>
    <t>汽油精制</t>
  </si>
  <si>
    <t>PSA1</t>
  </si>
  <si>
    <t>柴油加氢改质烟气</t>
  </si>
  <si>
    <t>渣油加氢烟气</t>
  </si>
  <si>
    <t>大硫磺尾气</t>
  </si>
  <si>
    <t>氢二期烟气</t>
  </si>
  <si>
    <t>动力站1#炉烟气</t>
  </si>
  <si>
    <t>动力站2#、3#炉烟气</t>
  </si>
  <si>
    <t>汽油脱硫</t>
  </si>
  <si>
    <t>蜡油加氢裂化</t>
  </si>
  <si>
    <t>烟尘</t>
  </si>
  <si>
    <t>汽油醚化</t>
  </si>
  <si>
    <t>柴油加氢精制</t>
  </si>
  <si>
    <t>气分</t>
  </si>
  <si>
    <t>柴油加氢改质</t>
  </si>
  <si>
    <t>连续重整</t>
  </si>
  <si>
    <t>渣油加氢脱硫</t>
  </si>
  <si>
    <t>芳烃抽提</t>
  </si>
  <si>
    <t>硫磺回收</t>
  </si>
  <si>
    <t>MTBE</t>
  </si>
  <si>
    <t>聚丙烯</t>
  </si>
  <si>
    <t>化验分析</t>
  </si>
  <si>
    <t>中间原料库存</t>
  </si>
  <si>
    <t>生产一部</t>
  </si>
  <si>
    <t>生产三部</t>
  </si>
  <si>
    <t>生产四部</t>
  </si>
  <si>
    <t>装置产量</t>
  </si>
  <si>
    <t>装置加工</t>
  </si>
  <si>
    <t>产量-加工</t>
  </si>
  <si>
    <t>其它转入转出</t>
  </si>
  <si>
    <t>当日库存</t>
  </si>
  <si>
    <t>昨日库存</t>
  </si>
  <si>
    <t>库存变化</t>
  </si>
  <si>
    <t>可用库存</t>
  </si>
  <si>
    <t>库存率</t>
  </si>
  <si>
    <t>罐空</t>
  </si>
  <si>
    <t>安全库容</t>
  </si>
  <si>
    <t>数值</t>
  </si>
  <si>
    <t>直馏渣油</t>
  </si>
  <si>
    <t>原油硫含量</t>
  </si>
  <si>
    <t>≤2.6</t>
  </si>
  <si>
    <t>2.104</t>
  </si>
  <si>
    <t>醚化汽油硫含量</t>
  </si>
  <si>
    <t>≤15</t>
  </si>
  <si>
    <t>11.9</t>
  </si>
  <si>
    <t>脱硫渣油硫含量</t>
  </si>
  <si>
    <t>≤0.5</t>
  </si>
  <si>
    <t>0.240</t>
  </si>
  <si>
    <t>非加氢型净化水COD</t>
  </si>
  <si>
    <t>≤1000</t>
  </si>
  <si>
    <t>474</t>
  </si>
  <si>
    <t>重蜡油</t>
  </si>
  <si>
    <t>原油酸值</t>
  </si>
  <si>
    <t>≤1</t>
  </si>
  <si>
    <t>0.43</t>
  </si>
  <si>
    <t>丙烯硫含量</t>
  </si>
  <si>
    <t>≤10</t>
  </si>
  <si>
    <t>3.7</t>
  </si>
  <si>
    <t>脱硫渣油残碳</t>
  </si>
  <si>
    <t>4-7</t>
  </si>
  <si>
    <t>3.26</t>
  </si>
  <si>
    <t>非加氢型净化水氨氮</t>
  </si>
  <si>
    <t>≤50</t>
  </si>
  <si>
    <t>34.2</t>
  </si>
  <si>
    <t>催化原料</t>
  </si>
  <si>
    <t>脱后盐</t>
  </si>
  <si>
    <t>≤3</t>
  </si>
  <si>
    <t>停工</t>
  </si>
  <si>
    <t>生产二部</t>
  </si>
  <si>
    <t>渣油石脑油终馏点</t>
  </si>
  <si>
    <t>≤170</t>
  </si>
  <si>
    <t>157.5</t>
  </si>
  <si>
    <t>加氢型净化水PH</t>
  </si>
  <si>
    <t>≤9</t>
  </si>
  <si>
    <t>8.4</t>
  </si>
  <si>
    <t>轻蜡油</t>
  </si>
  <si>
    <t>石脑油干点</t>
  </si>
  <si>
    <t>≤180</t>
  </si>
  <si>
    <t>181.5</t>
  </si>
  <si>
    <t>重整进料硫含量</t>
  </si>
  <si>
    <t>≤0.8</t>
  </si>
  <si>
    <t>0.5</t>
  </si>
  <si>
    <t>渣油柴油95%点</t>
  </si>
  <si>
    <t>≤330</t>
  </si>
  <si>
    <t>231.8</t>
  </si>
  <si>
    <t>加氢型净化水COD</t>
  </si>
  <si>
    <t>51</t>
  </si>
  <si>
    <t>重整原料</t>
  </si>
  <si>
    <t>东油石脑油干点</t>
  </si>
  <si>
    <t>/</t>
  </si>
  <si>
    <t>苯馏出口非芳烃</t>
  </si>
  <si>
    <t>≤0.10</t>
  </si>
  <si>
    <t>0.008</t>
  </si>
  <si>
    <t>精制原料硫含量</t>
  </si>
  <si>
    <t>加氢型净化水氨氮</t>
  </si>
  <si>
    <t>4.79</t>
  </si>
  <si>
    <t>催化柴油</t>
  </si>
  <si>
    <t>常一线干点</t>
  </si>
  <si>
    <t>≤298</t>
  </si>
  <si>
    <t>276.5</t>
  </si>
  <si>
    <t>二甲苯溴指数</t>
  </si>
  <si>
    <t>≤300</t>
  </si>
  <si>
    <t>12.0</t>
  </si>
  <si>
    <t>精制原料十六烷指数</t>
  </si>
  <si>
    <t>实测</t>
  </si>
  <si>
    <t>42.5</t>
  </si>
  <si>
    <t>动力部</t>
  </si>
  <si>
    <t>直馏柴油</t>
  </si>
  <si>
    <t>直馏柴油密度</t>
  </si>
  <si>
    <t>820.7</t>
  </si>
  <si>
    <t>苯纯度</t>
  </si>
  <si>
    <t>≥99.90</t>
  </si>
  <si>
    <t>99.98</t>
  </si>
  <si>
    <t>精柴密度</t>
  </si>
  <si>
    <t>除盐水SiO2</t>
  </si>
  <si>
    <t>10.9</t>
  </si>
  <si>
    <t>直馏航煤</t>
  </si>
  <si>
    <t>直馏柴油闪点</t>
  </si>
  <si>
    <t>≥62</t>
  </si>
  <si>
    <t>68.0</t>
  </si>
  <si>
    <t>甲苯馏出口硫</t>
  </si>
  <si>
    <t>≤2</t>
  </si>
  <si>
    <t>&lt;0.5</t>
  </si>
  <si>
    <t>精柴硫含量</t>
  </si>
  <si>
    <t>≤13</t>
  </si>
  <si>
    <t>1.1</t>
  </si>
  <si>
    <t>除盐水PH</t>
  </si>
  <si>
    <t>8.8～9.2</t>
  </si>
  <si>
    <t>9.1</t>
  </si>
  <si>
    <t>异构化原料</t>
  </si>
  <si>
    <t>石脑油加氢原料硫</t>
  </si>
  <si>
    <t>≤800</t>
  </si>
  <si>
    <t>828.4</t>
  </si>
  <si>
    <t>抽余油苯含量</t>
  </si>
  <si>
    <t>≤3.0</t>
  </si>
  <si>
    <t>2.22</t>
  </si>
  <si>
    <t>精柴十六烷指数</t>
  </si>
  <si>
    <t>41-51</t>
  </si>
  <si>
    <t>一循PH</t>
  </si>
  <si>
    <t>6.5～9.5</t>
  </si>
  <si>
    <t>8.6</t>
  </si>
  <si>
    <t>石脑油</t>
  </si>
  <si>
    <t>石脑油加氢原料氮</t>
  </si>
  <si>
    <t>3.6</t>
  </si>
  <si>
    <t>二甲苯密度</t>
  </si>
  <si>
    <t>≤870</t>
  </si>
  <si>
    <t>866.8</t>
  </si>
  <si>
    <t>精柴闪点</t>
  </si>
  <si>
    <t>一循浊度(NTU)</t>
  </si>
  <si>
    <t>≤20</t>
  </si>
  <si>
    <t>1.26</t>
  </si>
  <si>
    <t>催化汽油</t>
  </si>
  <si>
    <t>石脑油原料终馏点</t>
  </si>
  <si>
    <t>166.0</t>
  </si>
  <si>
    <t>重重整油溴指数</t>
  </si>
  <si>
    <t>1263.0</t>
  </si>
  <si>
    <t>柴油石脑油终馏点</t>
  </si>
  <si>
    <t>≤175</t>
  </si>
  <si>
    <t>163.2</t>
  </si>
  <si>
    <t>一循COD(KMn)</t>
  </si>
  <si>
    <t>5.60</t>
  </si>
  <si>
    <t>轻重整油</t>
  </si>
  <si>
    <t>重石脑油氮含量</t>
  </si>
  <si>
    <t>0.3</t>
  </si>
  <si>
    <t>异构化油蒸汽压</t>
  </si>
  <si>
    <t>≤120</t>
  </si>
  <si>
    <t>109.5</t>
  </si>
  <si>
    <t>膜回收原料氢气含量</t>
  </si>
  <si>
    <t>≥55</t>
  </si>
  <si>
    <t>61.63</t>
  </si>
  <si>
    <t>一循含铁</t>
  </si>
  <si>
    <t>＜2.0</t>
  </si>
  <si>
    <t>0.18</t>
  </si>
  <si>
    <t>轻烃原料</t>
  </si>
  <si>
    <t>重石脑油初馏点</t>
  </si>
  <si>
    <t>≥70</t>
  </si>
  <si>
    <t>79.9</t>
  </si>
  <si>
    <t>MTBE纯度</t>
  </si>
  <si>
    <t>≥98</t>
  </si>
  <si>
    <t>99.56</t>
  </si>
  <si>
    <t>膜回收尾气氢气含量</t>
  </si>
  <si>
    <t>≤30</t>
  </si>
  <si>
    <t>29.79</t>
  </si>
  <si>
    <t>二循PH</t>
  </si>
  <si>
    <t>8.8</t>
  </si>
  <si>
    <t>精丙烯</t>
  </si>
  <si>
    <t>重石脑油终馏点</t>
  </si>
  <si>
    <t>166.4</t>
  </si>
  <si>
    <t>MTBE硫含量</t>
  </si>
  <si>
    <t>膜回收产品氢含量</t>
  </si>
  <si>
    <t>≥86</t>
  </si>
  <si>
    <t>85.32</t>
  </si>
  <si>
    <t>二循浊度(NTU)</t>
  </si>
  <si>
    <t>2.18</t>
  </si>
  <si>
    <t>气分原料</t>
  </si>
  <si>
    <t>催化原料饱和烃</t>
  </si>
  <si>
    <t>50～70</t>
  </si>
  <si>
    <t>57.6</t>
  </si>
  <si>
    <t>精制航煤冰点</t>
  </si>
  <si>
    <t>≤-49</t>
  </si>
  <si>
    <t>-55.2</t>
  </si>
  <si>
    <t>精柴粘度</t>
  </si>
  <si>
    <t>≥1.95</t>
  </si>
  <si>
    <t>2.435</t>
  </si>
  <si>
    <t>二循COD(KMn)</t>
  </si>
  <si>
    <t>10.08</t>
  </si>
  <si>
    <t>轻污油</t>
  </si>
  <si>
    <t>催化原料密度</t>
  </si>
  <si>
    <t>≤935</t>
  </si>
  <si>
    <t>915.3</t>
  </si>
  <si>
    <t>精制航煤硫含量</t>
  </si>
  <si>
    <t>≤1200</t>
  </si>
  <si>
    <t>336.6</t>
  </si>
  <si>
    <t>加裂柴油粘度</t>
  </si>
  <si>
    <t>≥3</t>
  </si>
  <si>
    <t>3.547</t>
  </si>
  <si>
    <t>二循含铁</t>
  </si>
  <si>
    <t>0.09</t>
  </si>
  <si>
    <t>重污油</t>
  </si>
  <si>
    <t>催化原料残碳</t>
  </si>
  <si>
    <t>≤6</t>
  </si>
  <si>
    <t>4.84</t>
  </si>
  <si>
    <t>改质油烯烃含量</t>
  </si>
  <si>
    <t>≤5.4</t>
  </si>
  <si>
    <t>3.5</t>
  </si>
  <si>
    <t>渣柴粘度</t>
  </si>
  <si>
    <t>≥1.0</t>
  </si>
  <si>
    <t>三循PH</t>
  </si>
  <si>
    <t>8.9</t>
  </si>
  <si>
    <t>合计</t>
  </si>
  <si>
    <t>催化原料硫含量</t>
  </si>
  <si>
    <t>≤0.6</t>
  </si>
  <si>
    <t>0.443</t>
  </si>
  <si>
    <t>反应器进料烯烃含量</t>
  </si>
  <si>
    <t>15.0</t>
  </si>
  <si>
    <t>加裂柴油密度</t>
  </si>
  <si>
    <t>≥810</t>
  </si>
  <si>
    <t>805.3</t>
  </si>
  <si>
    <t>三循浊度(NTU)</t>
  </si>
  <si>
    <t>0.87</t>
  </si>
  <si>
    <t>产品</t>
  </si>
  <si>
    <t>当日产量</t>
  </si>
  <si>
    <t>日收率</t>
  </si>
  <si>
    <t>月累计收率</t>
  </si>
  <si>
    <t>成品</t>
  </si>
  <si>
    <t>当日收率</t>
  </si>
  <si>
    <t>昨日</t>
  </si>
  <si>
    <t>催化原料Ni+V</t>
  </si>
  <si>
    <t>17.6</t>
  </si>
  <si>
    <t>加裂柴十六烷指数</t>
  </si>
  <si>
    <t>52.0</t>
  </si>
  <si>
    <t>三循COD(KMn)</t>
  </si>
  <si>
    <t>6.72</t>
  </si>
  <si>
    <t>汽油组分</t>
  </si>
  <si>
    <t>汽油</t>
  </si>
  <si>
    <t>甲苯调和量</t>
  </si>
  <si>
    <t>催化油浆密度</t>
  </si>
  <si>
    <t>≤1099</t>
  </si>
  <si>
    <t>1084.9</t>
  </si>
  <si>
    <t>VRDS原料含硫I系列</t>
  </si>
  <si>
    <t>≤5.2</t>
  </si>
  <si>
    <t>2.780</t>
  </si>
  <si>
    <t>加裂柴油闪点</t>
  </si>
  <si>
    <t>69.8</t>
  </si>
  <si>
    <t>三循含铁</t>
  </si>
  <si>
    <t>0.17</t>
  </si>
  <si>
    <t>柴油组分</t>
  </si>
  <si>
    <t>柴油</t>
  </si>
  <si>
    <t>二甲苯调和量</t>
  </si>
  <si>
    <t>催化再生剂活性</t>
  </si>
  <si>
    <t>60～70</t>
  </si>
  <si>
    <t>60.0</t>
  </si>
  <si>
    <t>VRDS原料含硫II系列</t>
  </si>
  <si>
    <t>2.619</t>
  </si>
  <si>
    <t>加裂航煤终馏点</t>
  </si>
  <si>
    <t>203.2</t>
  </si>
  <si>
    <t>高压脱硫塔</t>
  </si>
  <si>
    <t>98</t>
  </si>
  <si>
    <t>航煤组分</t>
  </si>
  <si>
    <t>航煤</t>
  </si>
  <si>
    <t>MTBE调和量</t>
  </si>
  <si>
    <t>催化油浆固含量</t>
  </si>
  <si>
    <t>4.55</t>
  </si>
  <si>
    <t>VRDS原料残碳I系列</t>
  </si>
  <si>
    <t>6.39</t>
  </si>
  <si>
    <t>加裂石脑油终馏点</t>
  </si>
  <si>
    <t>150.7</t>
  </si>
  <si>
    <t>低压脱硫塔</t>
  </si>
  <si>
    <t>121</t>
  </si>
  <si>
    <t>主要成品库存</t>
  </si>
  <si>
    <t>轻循环油95%点</t>
  </si>
  <si>
    <t>≤365</t>
  </si>
  <si>
    <t>339.8</t>
  </si>
  <si>
    <t>VRDS原料残碳II系列</t>
  </si>
  <si>
    <t>6.43</t>
  </si>
  <si>
    <t>燃料气管网硫化氢</t>
  </si>
  <si>
    <t>&lt;20</t>
  </si>
  <si>
    <t>库存</t>
  </si>
  <si>
    <t>可发运量</t>
  </si>
  <si>
    <t>催化汽油终馏点</t>
  </si>
  <si>
    <t>≤213</t>
  </si>
  <si>
    <t>175.2</t>
  </si>
  <si>
    <t>VRDS原料I系列Ni+V</t>
  </si>
  <si>
    <t>83.8</t>
  </si>
  <si>
    <t>贫胺液浓度</t>
  </si>
  <si>
    <t>＞25</t>
  </si>
  <si>
    <t>31.24</t>
  </si>
  <si>
    <t>燃料气管网氮含量</t>
  </si>
  <si>
    <t>3.24</t>
  </si>
  <si>
    <t>船用燃料油</t>
  </si>
  <si>
    <t>小产品B</t>
  </si>
  <si>
    <t>脱硫汽油硫含量</t>
  </si>
  <si>
    <t>4.6</t>
  </si>
  <si>
    <t>VRDS原料II系列Ni+V</t>
  </si>
  <si>
    <t>86.4</t>
  </si>
  <si>
    <t>600贫胺液硫化氢</t>
  </si>
  <si>
    <t>≤1.5</t>
  </si>
  <si>
    <t>0.63</t>
  </si>
  <si>
    <t>燃料气管网氢气</t>
  </si>
  <si>
    <t>苯</t>
  </si>
  <si>
    <t>小产品D</t>
  </si>
  <si>
    <t>库存成本</t>
  </si>
  <si>
    <t>甲苯</t>
  </si>
  <si>
    <t>碳十粗芳烃</t>
  </si>
  <si>
    <t>自有原油</t>
  </si>
  <si>
    <t>单价</t>
  </si>
  <si>
    <t>总价(万元)</t>
  </si>
  <si>
    <t>中间库存</t>
  </si>
  <si>
    <t>成品库存</t>
  </si>
  <si>
    <t>合计(万元)</t>
  </si>
  <si>
    <t>总库存</t>
  </si>
  <si>
    <t>混合二甲苯</t>
  </si>
  <si>
    <t>沥青</t>
  </si>
  <si>
    <t>月初库存</t>
  </si>
  <si>
    <t>-22867.971,</t>
  </si>
  <si>
    <t>-9341.5661535,0</t>
  </si>
  <si>
    <t>204537.1623347,213878.7284882</t>
  </si>
  <si>
    <t>417306.076,440174.047</t>
  </si>
  <si>
    <t>丙烷</t>
  </si>
  <si>
    <t>当前库存</t>
  </si>
  <si>
    <t>104159.729,</t>
  </si>
  <si>
    <t>43559.5986678,0</t>
  </si>
  <si>
    <t>223081.741373,179522.1427052</t>
  </si>
  <si>
    <t>487368.304,383208.575</t>
  </si>
  <si>
    <t>液化气</t>
  </si>
  <si>
    <t>变化</t>
  </si>
  <si>
    <t>127027.7,</t>
  </si>
  <si>
    <t>52901.1648213,0</t>
  </si>
  <si>
    <t>18544.5790383,-34356.585783</t>
  </si>
  <si>
    <t>70062.228,-56965.472</t>
  </si>
  <si>
    <t>汽油产品</t>
  </si>
  <si>
    <t>半成品库存</t>
  </si>
  <si>
    <t>柴油产品</t>
  </si>
  <si>
    <t>月末预计</t>
  </si>
  <si>
    <t>15000,</t>
  </si>
  <si>
    <t>6190.5,0</t>
  </si>
  <si>
    <t>210879.926094,204689.426094</t>
  </si>
  <si>
    <t>451674.047,436674.047</t>
  </si>
  <si>
    <t>91#澳洲</t>
  </si>
  <si>
    <t>出口柴油</t>
  </si>
  <si>
    <t>燃动成本</t>
  </si>
  <si>
    <t>出口92#</t>
  </si>
  <si>
    <t>0#国VI柴油</t>
  </si>
  <si>
    <t>当日消耗</t>
  </si>
  <si>
    <t>月累计消耗</t>
  </si>
  <si>
    <t>当日成本</t>
  </si>
  <si>
    <t>累计成本</t>
  </si>
  <si>
    <t>当日能耗</t>
  </si>
  <si>
    <t>92#国VI</t>
  </si>
  <si>
    <t>天然气(千方)</t>
  </si>
  <si>
    <t>新鲜水</t>
  </si>
  <si>
    <t>95#国VI</t>
  </si>
  <si>
    <t>出口航煤</t>
  </si>
  <si>
    <t>电</t>
  </si>
  <si>
    <t>循环水</t>
  </si>
  <si>
    <t>月累计能耗</t>
  </si>
  <si>
    <t>出口93#</t>
  </si>
  <si>
    <t>国内航煤</t>
  </si>
  <si>
    <t>自产蒸汽量</t>
  </si>
  <si>
    <t>除盐水</t>
  </si>
  <si>
    <t>92乙醇</t>
  </si>
  <si>
    <t>蒸汽消耗量</t>
  </si>
  <si>
    <t>风</t>
  </si>
  <si>
    <t>汽油可运行天</t>
  </si>
  <si>
    <t>柴油可运行天</t>
  </si>
  <si>
    <t>航煤可运行天</t>
  </si>
  <si>
    <t>氮气</t>
  </si>
  <si>
    <t>当日燃动成本</t>
  </si>
  <si>
    <t>月累计燃动成本</t>
  </si>
  <si>
    <t>1000万吨/年常减压装置</t>
  </si>
  <si>
    <t>350万吨/年重油催化裂化装置</t>
  </si>
  <si>
    <t>220万吨/年蜡油加氢裂化装置</t>
  </si>
  <si>
    <t>220万吨/年连续重整装置－100万吨/年芳烃抽提装置</t>
  </si>
  <si>
    <t>小时量</t>
  </si>
  <si>
    <t>本日量</t>
  </si>
  <si>
    <t>计划收率</t>
  </si>
  <si>
    <t>昨日收率</t>
  </si>
  <si>
    <t>累收率</t>
  </si>
  <si>
    <t>加工量合计</t>
  </si>
  <si>
    <t>冷渣油</t>
  </si>
  <si>
    <t>精制石脑油</t>
  </si>
  <si>
    <t>常顶气</t>
  </si>
  <si>
    <t>0.25%</t>
  </si>
  <si>
    <t>冷蜡油</t>
  </si>
  <si>
    <t>回炼轻重整油</t>
  </si>
  <si>
    <t>17.10%</t>
  </si>
  <si>
    <t>VRDS来料</t>
  </si>
  <si>
    <t>氢气</t>
  </si>
  <si>
    <t>重整氢</t>
  </si>
  <si>
    <t>9.22%</t>
  </si>
  <si>
    <t>常一油</t>
  </si>
  <si>
    <t>3.61%</t>
  </si>
  <si>
    <t>DHT低分气</t>
  </si>
  <si>
    <t>7.30%</t>
  </si>
  <si>
    <t>混柴</t>
  </si>
  <si>
    <t>16.20%</t>
  </si>
  <si>
    <t>91.55%</t>
  </si>
  <si>
    <t xml:space="preserve"> 加工量合计</t>
  </si>
  <si>
    <t xml:space="preserve"> 抽余油</t>
  </si>
  <si>
    <t>20.84%</t>
  </si>
  <si>
    <t>减顶气</t>
  </si>
  <si>
    <t>干气</t>
  </si>
  <si>
    <t>3.23%</t>
  </si>
  <si>
    <t>脱硫低分气</t>
  </si>
  <si>
    <t>1.20%</t>
  </si>
  <si>
    <t>4.41%</t>
  </si>
  <si>
    <t>减顶污油</t>
  </si>
  <si>
    <t>15.50%</t>
  </si>
  <si>
    <t>汽提塔顶气</t>
  </si>
  <si>
    <t>0.98%</t>
  </si>
  <si>
    <t>14.10%</t>
  </si>
  <si>
    <t xml:space="preserve"> 减一线热料</t>
  </si>
  <si>
    <t>36.00%</t>
  </si>
  <si>
    <t>汽提塔顶液</t>
  </si>
  <si>
    <t>8.16%</t>
  </si>
  <si>
    <t>23.10%</t>
  </si>
  <si>
    <t>20.74%</t>
  </si>
  <si>
    <t>轻柴油</t>
  </si>
  <si>
    <t>30.52%</t>
  </si>
  <si>
    <t>分馏塔顶液</t>
  </si>
  <si>
    <t>10.88%</t>
  </si>
  <si>
    <t>混合碳9芳烃</t>
  </si>
  <si>
    <t>16.31%</t>
  </si>
  <si>
    <t>10.30%</t>
  </si>
  <si>
    <t>油浆</t>
  </si>
  <si>
    <t>6.30%</t>
  </si>
  <si>
    <t>加裂航煤</t>
  </si>
  <si>
    <t>16.30%</t>
  </si>
  <si>
    <t>重芳烃</t>
  </si>
  <si>
    <t>4.72%</t>
  </si>
  <si>
    <t>减渣</t>
  </si>
  <si>
    <t>31.70%</t>
  </si>
  <si>
    <t>烧焦</t>
  </si>
  <si>
    <t>8.07%</t>
  </si>
  <si>
    <t>加裂柴油</t>
  </si>
  <si>
    <t>61.30%</t>
  </si>
  <si>
    <t>产氢率</t>
  </si>
  <si>
    <t>自用燃料油</t>
  </si>
  <si>
    <t xml:space="preserve"> 轻收</t>
  </si>
  <si>
    <t>82.02%</t>
  </si>
  <si>
    <t>未转化油</t>
  </si>
  <si>
    <t>0.53%</t>
  </si>
  <si>
    <t>4+14万标立/时制氢装置</t>
  </si>
  <si>
    <t>损失</t>
  </si>
  <si>
    <t>0.10%</t>
  </si>
  <si>
    <t>120万吨/年汽油精制</t>
  </si>
  <si>
    <t>反冲洗污油</t>
  </si>
  <si>
    <t xml:space="preserve"> 常拔</t>
  </si>
  <si>
    <t>36.91%</t>
  </si>
  <si>
    <t>尾油</t>
  </si>
  <si>
    <t>天然气</t>
  </si>
  <si>
    <t>总拔</t>
  </si>
  <si>
    <t>67.95%</t>
  </si>
  <si>
    <t>稳定汽油</t>
  </si>
  <si>
    <t>硫化氢</t>
  </si>
  <si>
    <t>0.12%</t>
  </si>
  <si>
    <t>炼厂气(PSA1)</t>
  </si>
  <si>
    <t>东油沥青装置</t>
  </si>
  <si>
    <t>氢耗</t>
  </si>
  <si>
    <t>240万吨/年柴油加氢精制装置</t>
  </si>
  <si>
    <t>原油</t>
  </si>
  <si>
    <t>解吸气</t>
  </si>
  <si>
    <t>回炼油</t>
  </si>
  <si>
    <t>轻汽油</t>
  </si>
  <si>
    <t>34.76%</t>
  </si>
  <si>
    <t>催柴</t>
  </si>
  <si>
    <t>12万标立/时PSA装置</t>
  </si>
  <si>
    <t>11.55%</t>
  </si>
  <si>
    <t>中汽油</t>
  </si>
  <si>
    <t>65.24%</t>
  </si>
  <si>
    <t>直柴</t>
  </si>
  <si>
    <t>28.14%</t>
  </si>
  <si>
    <t>中汽油去石脑油</t>
  </si>
  <si>
    <t>低分气</t>
  </si>
  <si>
    <t>蜡油</t>
  </si>
  <si>
    <t>9.20%</t>
  </si>
  <si>
    <t>东油常渣</t>
  </si>
  <si>
    <t>0.50%</t>
  </si>
  <si>
    <t>膜回收氢气</t>
  </si>
  <si>
    <t>18.68%</t>
  </si>
  <si>
    <t>60万吨/年气体分馏装置</t>
  </si>
  <si>
    <t>0.35%</t>
  </si>
  <si>
    <t>纯氢</t>
  </si>
  <si>
    <t>35.90%</t>
  </si>
  <si>
    <t>250万吨/年石脑油加氢装置</t>
  </si>
  <si>
    <t>2.30%</t>
  </si>
  <si>
    <t>PSA尾气</t>
  </si>
  <si>
    <t>64.00%</t>
  </si>
  <si>
    <t>脱硫液化气</t>
  </si>
  <si>
    <t>精制柴油</t>
  </si>
  <si>
    <t>96.56%</t>
  </si>
  <si>
    <t>120万吨/年航煤加氢装置</t>
  </si>
  <si>
    <t>直馏石脑油</t>
  </si>
  <si>
    <t>PP回收丙烯</t>
  </si>
  <si>
    <t>污油</t>
  </si>
  <si>
    <t>罐区来石脑油</t>
  </si>
  <si>
    <t>0.29%</t>
  </si>
  <si>
    <t>常一线</t>
  </si>
  <si>
    <t>加裂石脑油</t>
  </si>
  <si>
    <t>罐区航煤</t>
  </si>
  <si>
    <t>催化中汽油</t>
  </si>
  <si>
    <t>6.43%</t>
  </si>
  <si>
    <t>200万吨/年柴油加氢改质装置</t>
  </si>
  <si>
    <t>渣油汽提塔顶液</t>
  </si>
  <si>
    <t>丙烯</t>
  </si>
  <si>
    <t>33.05%</t>
  </si>
  <si>
    <t>精制航煤</t>
  </si>
  <si>
    <t>99.30%</t>
  </si>
  <si>
    <t>渣油分馏塔顶液</t>
  </si>
  <si>
    <t>混合碳四</t>
  </si>
  <si>
    <t>60.52%</t>
  </si>
  <si>
    <t>0.55%</t>
  </si>
  <si>
    <t>汽油加氢脱硫装置</t>
  </si>
  <si>
    <t>不凝气</t>
  </si>
  <si>
    <t>0.15%</t>
  </si>
  <si>
    <t>40万吨/年石脑油异构化</t>
  </si>
  <si>
    <t xml:space="preserve"> 加氢石脑油</t>
  </si>
  <si>
    <t>精制重汽油</t>
  </si>
  <si>
    <t>轻石原料</t>
  </si>
  <si>
    <t>320万吨/年轻烃回收装置</t>
  </si>
  <si>
    <t>脱硫重汽油</t>
  </si>
  <si>
    <t>99.93%</t>
  </si>
  <si>
    <t>异构化油</t>
  </si>
  <si>
    <t>98.50%</t>
  </si>
  <si>
    <t>`加氢精制石脑油</t>
  </si>
  <si>
    <t>1.45%</t>
  </si>
  <si>
    <t>加裂汽提塔顶液</t>
  </si>
  <si>
    <t>放火炬气</t>
  </si>
  <si>
    <t>0.01%</t>
  </si>
  <si>
    <t>改质柴油</t>
  </si>
  <si>
    <t>0.05%</t>
  </si>
  <si>
    <t>重整液化气</t>
  </si>
  <si>
    <t>燃料气</t>
  </si>
  <si>
    <t>0.06%</t>
  </si>
  <si>
    <t>10万吨/年MTBE装置</t>
  </si>
  <si>
    <t>柴油汽提塔顶气</t>
  </si>
  <si>
    <t>凝缩油</t>
  </si>
  <si>
    <t>加裂汽提塔顶气</t>
  </si>
  <si>
    <t>汽油醚化装置</t>
  </si>
  <si>
    <t>改质汽提塔顶气</t>
  </si>
  <si>
    <t>甲醇</t>
  </si>
  <si>
    <t>400万吨/年渣油加氢脱硫装置</t>
  </si>
  <si>
    <t>醚后碳四</t>
  </si>
  <si>
    <t>77.42%</t>
  </si>
  <si>
    <t>甲醇进装置</t>
  </si>
  <si>
    <t>MTBE产品</t>
  </si>
  <si>
    <t>22.53%</t>
  </si>
  <si>
    <t>加裂分馏塔顶液</t>
  </si>
  <si>
    <t>管网来氢气</t>
  </si>
  <si>
    <t>氢气回收装置</t>
  </si>
  <si>
    <t>渣油</t>
  </si>
  <si>
    <t>0.20%</t>
  </si>
  <si>
    <t>醚化轻汽油</t>
  </si>
  <si>
    <t>98.77%</t>
  </si>
  <si>
    <t>原料气</t>
  </si>
  <si>
    <t>10.62%</t>
  </si>
  <si>
    <t>醚化去氢二期</t>
  </si>
  <si>
    <t>产品氢气</t>
  </si>
  <si>
    <t>20.64%</t>
  </si>
  <si>
    <t>轻石脑油</t>
  </si>
  <si>
    <t>17.15%</t>
  </si>
  <si>
    <t>1.23%</t>
  </si>
  <si>
    <t>尾气</t>
  </si>
  <si>
    <t>78.71%</t>
  </si>
  <si>
    <t>重石脑油</t>
  </si>
  <si>
    <t>72.03%</t>
  </si>
  <si>
    <t>低分气干气</t>
  </si>
  <si>
    <t>0.97%</t>
  </si>
  <si>
    <t>氢气回收二期</t>
  </si>
  <si>
    <t>0.00%</t>
  </si>
  <si>
    <t>26万吨/年硫磺回收装置</t>
  </si>
  <si>
    <t>1.42%</t>
  </si>
  <si>
    <t>20万吨/年聚丙烯装置</t>
  </si>
  <si>
    <t>膜回收尾气</t>
  </si>
  <si>
    <t>催化干气</t>
  </si>
  <si>
    <t>清洁酸性气</t>
  </si>
  <si>
    <t>1.09%</t>
  </si>
  <si>
    <t>抽余油</t>
  </si>
  <si>
    <t>丙烯加工量</t>
  </si>
  <si>
    <t>含氨酸性气</t>
  </si>
  <si>
    <t>渣油产品</t>
  </si>
  <si>
    <t>93.39%</t>
  </si>
  <si>
    <t>97.92%</t>
  </si>
  <si>
    <t>酸性气总量</t>
  </si>
  <si>
    <t>2.06%</t>
  </si>
  <si>
    <t>膜分离氢气</t>
  </si>
  <si>
    <t>3.57%</t>
  </si>
  <si>
    <t xml:space="preserve"> 返气分丙烯 </t>
  </si>
  <si>
    <t>0.28%</t>
  </si>
  <si>
    <t>硫磺产品</t>
  </si>
  <si>
    <t>干气尾气</t>
  </si>
  <si>
    <t>22.90%</t>
  </si>
  <si>
    <t>返催化丙烯</t>
  </si>
  <si>
    <t>1.70%</t>
  </si>
  <si>
    <t>制硫尾气</t>
  </si>
  <si>
    <t>2.71%</t>
  </si>
  <si>
    <t>改质油</t>
  </si>
  <si>
    <t>62.32%</t>
  </si>
  <si>
    <t>150吨/小时加氢型酸性水汽提装置</t>
  </si>
  <si>
    <t>11.21%</t>
  </si>
  <si>
    <t>150吨/小时非加氢型酸性水汽提装置</t>
  </si>
  <si>
    <t>600吨/小时溶剂再生装置</t>
  </si>
  <si>
    <t>700吨/小时溶剂再生装置</t>
  </si>
  <si>
    <t>酸性水</t>
  </si>
  <si>
    <t>净化水</t>
  </si>
  <si>
    <t>富液总量</t>
  </si>
  <si>
    <t>液氨</t>
  </si>
  <si>
    <t>贫胺液</t>
  </si>
  <si>
    <t>酸性气</t>
  </si>
  <si>
    <t>名称</t>
  </si>
  <si>
    <t>变化量</t>
  </si>
  <si>
    <t>月平均t/d</t>
  </si>
  <si>
    <t>空分</t>
  </si>
  <si>
    <t>产能(m³/h)</t>
  </si>
  <si>
    <t>全厂氮气、净化风、非净化风平衡</t>
  </si>
  <si>
    <t>外购水量/t</t>
  </si>
  <si>
    <t>対坎龙水库</t>
  </si>
  <si>
    <t>企山水库</t>
  </si>
  <si>
    <t>A塔产氮</t>
  </si>
  <si>
    <t>全厂氮气消耗m³/h</t>
  </si>
  <si>
    <t>净化风</t>
  </si>
  <si>
    <t>非净化风</t>
  </si>
  <si>
    <t>B塔产氮</t>
  </si>
  <si>
    <t>供氮压力(MPa)</t>
  </si>
  <si>
    <t>生活水</t>
  </si>
  <si>
    <t>分馏塔放空</t>
  </si>
  <si>
    <t>液氮液位（m）</t>
  </si>
  <si>
    <t>回用水量/t</t>
  </si>
  <si>
    <t>污水回用</t>
  </si>
  <si>
    <t>空压</t>
  </si>
  <si>
    <t>雨水回收</t>
  </si>
  <si>
    <t>K201A</t>
  </si>
  <si>
    <t>净化风量(m³/h)</t>
  </si>
  <si>
    <t>加氢型
净化水/t</t>
  </si>
  <si>
    <t>K201B</t>
  </si>
  <si>
    <t>净化风压力(MPa)</t>
  </si>
  <si>
    <t>产量</t>
  </si>
  <si>
    <t>K201C</t>
  </si>
  <si>
    <t>非净化风量(m³/h)</t>
  </si>
  <si>
    <t>回用</t>
  </si>
  <si>
    <t>K201D</t>
  </si>
  <si>
    <t>非净化风压力(MPa)</t>
  </si>
  <si>
    <t>非加氢型
净化水/t</t>
  </si>
  <si>
    <t>能力</t>
  </si>
  <si>
    <t>当日外送量</t>
  </si>
  <si>
    <t>昨日外送量</t>
  </si>
  <si>
    <t>新鲜水/t</t>
  </si>
  <si>
    <t>净水场外供量</t>
  </si>
  <si>
    <t>动力站</t>
  </si>
  <si>
    <t>实际负荷</t>
  </si>
  <si>
    <t>化水站</t>
  </si>
  <si>
    <t>1#</t>
  </si>
  <si>
    <t>减温减压器 t/h</t>
  </si>
  <si>
    <t>循环水场</t>
  </si>
  <si>
    <t>2#</t>
  </si>
  <si>
    <t>外供3.5MPa t/h</t>
  </si>
  <si>
    <t>催化烟脱</t>
  </si>
  <si>
    <t>3#</t>
  </si>
  <si>
    <t>外供1.0MPa t/h</t>
  </si>
  <si>
    <t>动力烟脱</t>
  </si>
  <si>
    <t>动力站产汽</t>
  </si>
  <si>
    <t>燃料油消耗</t>
  </si>
  <si>
    <t>能力(t/h)</t>
  </si>
  <si>
    <t>外供量(t/h)</t>
  </si>
  <si>
    <t>供水压力(Mpa)</t>
  </si>
  <si>
    <t>日补水量t</t>
  </si>
  <si>
    <t>一循</t>
  </si>
  <si>
    <t>燃料气
消耗/t</t>
  </si>
  <si>
    <t>平均量</t>
  </si>
  <si>
    <t>二循</t>
  </si>
  <si>
    <t>三循</t>
  </si>
  <si>
    <t>四循</t>
  </si>
  <si>
    <t>天然气/t</t>
  </si>
  <si>
    <t>催化裂化</t>
  </si>
  <si>
    <t>外购总量</t>
  </si>
  <si>
    <t>14万制氢</t>
  </si>
  <si>
    <t>膜回收</t>
  </si>
  <si>
    <t>4万制氢</t>
  </si>
  <si>
    <t>燃料天然气</t>
  </si>
  <si>
    <t>东油沥青</t>
  </si>
  <si>
    <t>自产燃料气</t>
  </si>
  <si>
    <t>余热回收站</t>
  </si>
  <si>
    <t>加氢精制</t>
  </si>
  <si>
    <t>氢气回收</t>
  </si>
  <si>
    <t>加氢裂化</t>
  </si>
  <si>
    <t>污水场</t>
  </si>
  <si>
    <t>低压火炬回收</t>
  </si>
  <si>
    <t>加氢改质</t>
  </si>
  <si>
    <t>储运一部</t>
  </si>
  <si>
    <t>液化气补充</t>
  </si>
  <si>
    <t>渣油加氢</t>
  </si>
  <si>
    <t>汇总</t>
  </si>
  <si>
    <t>全厂循环水、除盐水、净化水平衡</t>
  </si>
  <si>
    <t>高压火炬回收</t>
  </si>
  <si>
    <t>火炬</t>
  </si>
  <si>
    <t>异构化</t>
  </si>
  <si>
    <t>自产燃料气总量</t>
  </si>
  <si>
    <t>燃料气总耗</t>
  </si>
  <si>
    <t>氢气平衡</t>
  </si>
  <si>
    <t>产氢装置</t>
  </si>
  <si>
    <t>当日万Nm³/h</t>
  </si>
  <si>
    <t>昨日万Nm³/h</t>
  </si>
  <si>
    <t>耗氢装置</t>
  </si>
  <si>
    <t>加裂低分气</t>
  </si>
  <si>
    <t>渣油低分气</t>
  </si>
  <si>
    <t>PSA1氢气</t>
  </si>
  <si>
    <t>产氢</t>
  </si>
  <si>
    <t>蜡油加氢</t>
  </si>
  <si>
    <t>合计产氢</t>
  </si>
  <si>
    <t>柴油精制</t>
  </si>
  <si>
    <t>柴油改质</t>
  </si>
  <si>
    <t>硫磺</t>
  </si>
  <si>
    <t>合计耗氢</t>
  </si>
  <si>
    <t>全厂电耗</t>
  </si>
  <si>
    <t>4+14万立制氢</t>
  </si>
  <si>
    <t>生活用电</t>
  </si>
  <si>
    <t>装置耗电汇总</t>
  </si>
  <si>
    <t>转供</t>
  </si>
  <si>
    <t>空分空压</t>
  </si>
  <si>
    <t>商业储备库</t>
  </si>
  <si>
    <t>钦南长输首站</t>
  </si>
  <si>
    <t>全厂外购电量</t>
  </si>
  <si>
    <t>汽轮机发电量</t>
  </si>
  <si>
    <t>全厂蒸汽系统</t>
  </si>
  <si>
    <t>生产信息</t>
  </si>
  <si>
    <t>装置产汽</t>
  </si>
  <si>
    <t>装置耗汽</t>
  </si>
  <si>
    <t>一、安全生产 二、质量情况 三、环保情况 四、设备故障情况 五、调度会会议纪要落实情况 六、夜间危险作业 值班调度：</t>
  </si>
  <si>
    <t>3.5MPa蒸汽</t>
  </si>
  <si>
    <t>1.0MPa蒸汽</t>
  </si>
  <si>
    <t>0.4MPa蒸汽</t>
  </si>
  <si>
    <t>装  置</t>
  </si>
  <si>
    <t>汽轮机</t>
  </si>
  <si>
    <t>动力站减温减压</t>
  </si>
  <si>
    <t>全厂污油系统</t>
  </si>
  <si>
    <t>操作参数</t>
  </si>
  <si>
    <t>部门</t>
  </si>
  <si>
    <t>月累积</t>
  </si>
  <si>
    <t>生产
一部</t>
  </si>
  <si>
    <t>常减压</t>
  </si>
  <si>
    <t>常压炉出口温度</t>
  </si>
  <si>
    <t>生产
二部</t>
  </si>
  <si>
    <t>R102A入口温度</t>
  </si>
  <si>
    <t>减压炉出口温度</t>
  </si>
  <si>
    <t>R102B入口温度</t>
  </si>
  <si>
    <t>真空度</t>
  </si>
  <si>
    <t>氢油比</t>
  </si>
  <si>
    <t>石脑油
加氢</t>
  </si>
  <si>
    <t>反应温度</t>
  </si>
  <si>
    <t xml:space="preserve">在线辛烷值表	 </t>
  </si>
  <si>
    <t>保护反应器压降</t>
  </si>
  <si>
    <t>MTBE装置</t>
  </si>
  <si>
    <t>醇烯比</t>
  </si>
  <si>
    <t>主反应器压降</t>
  </si>
  <si>
    <t>R101入口温度</t>
  </si>
  <si>
    <t>脱丁烷塔底温度</t>
  </si>
  <si>
    <t>催化蒸馏塔灵敏板温度</t>
  </si>
  <si>
    <t>石脑油塔底温度</t>
  </si>
  <si>
    <t>转化炉入口温度</t>
  </si>
  <si>
    <t>脱乙烷塔底温</t>
  </si>
  <si>
    <t>转化炉出口温度</t>
  </si>
  <si>
    <t>脱丙烷塔底温</t>
  </si>
  <si>
    <t>水碳比</t>
  </si>
  <si>
    <t>加氢蒸馏塔底温</t>
  </si>
  <si>
    <t>加氢蒸馏塔进料温度</t>
  </si>
  <si>
    <t>一再温度</t>
  </si>
  <si>
    <t>生产
三部</t>
  </si>
  <si>
    <t>二再温度</t>
  </si>
  <si>
    <t>冷高分压力</t>
  </si>
  <si>
    <t>稳定塔塔底温度</t>
  </si>
  <si>
    <t>汽提塔底温</t>
  </si>
  <si>
    <t>分馏塔塔底温度</t>
  </si>
  <si>
    <t>分馏塔底温</t>
  </si>
  <si>
    <t>沉降器压力</t>
  </si>
  <si>
    <t>一系列反应温度</t>
  </si>
  <si>
    <t>两器压差</t>
  </si>
  <si>
    <t>一系列一反压差</t>
  </si>
  <si>
    <t>主风量</t>
  </si>
  <si>
    <t>一系列汽提塔顶温</t>
  </si>
  <si>
    <t>生产
四部</t>
  </si>
  <si>
    <t>C201进料温度</t>
  </si>
  <si>
    <t>二系列反应温度</t>
  </si>
  <si>
    <t>R201入口温度</t>
  </si>
  <si>
    <t>二系列一反压差</t>
  </si>
  <si>
    <t>二系列汽提塔顶温</t>
  </si>
  <si>
    <t>R103入口温度</t>
  </si>
  <si>
    <t xml:space="preserve"> 质检计量部</t>
  </si>
  <si>
    <t>总温降</t>
  </si>
  <si>
    <t>汽提塔顶温</t>
  </si>
  <si>
    <t>污油产量</t>
  </si>
  <si>
    <t>板换压差</t>
  </si>
  <si>
    <t>分馏塔顶温</t>
  </si>
  <si>
    <t>火炬系统</t>
  </si>
  <si>
    <t>其他</t>
  </si>
  <si>
    <t>苯塔温差</t>
  </si>
  <si>
    <t>压缩机</t>
  </si>
  <si>
    <t>甲苯塔温差</t>
  </si>
  <si>
    <t>低压气柜柜位M</t>
  </si>
  <si>
    <t>K101</t>
  </si>
  <si>
    <t>污水入口总量</t>
  </si>
  <si>
    <t>二甲苯塔灵敏板温度</t>
  </si>
  <si>
    <t>高压气柜柜位M</t>
  </si>
  <si>
    <t>K102</t>
  </si>
  <si>
    <t>污水外排总量</t>
  </si>
  <si>
    <t>低压火炬回收量KM3/H</t>
  </si>
  <si>
    <t>K201</t>
  </si>
  <si>
    <t>污水回用量</t>
  </si>
  <si>
    <t>反应器压降</t>
  </si>
  <si>
    <t>高压火炬回收量KM3/H</t>
  </si>
  <si>
    <t>K202</t>
  </si>
  <si>
    <t>反应压力</t>
  </si>
  <si>
    <t>含硫火炬回收量KM3/H</t>
  </si>
  <si>
    <t>消防泵站</t>
  </si>
  <si>
    <t>消防水压力</t>
  </si>
  <si>
    <t>月计划</t>
  </si>
  <si>
    <t>计划进度量</t>
  </si>
  <si>
    <t>计划进度</t>
  </si>
  <si>
    <t>实际进度</t>
  </si>
  <si>
    <t>成品质量</t>
  </si>
  <si>
    <t>原油加工量</t>
  </si>
  <si>
    <t>汽油牌号</t>
  </si>
  <si>
    <t>罐号</t>
  </si>
  <si>
    <t>研究法辛烷值</t>
  </si>
  <si>
    <t>抗爆指数</t>
  </si>
  <si>
    <t>硫含量</t>
  </si>
  <si>
    <t>烯烃</t>
  </si>
  <si>
    <t>芳烃</t>
  </si>
  <si>
    <t>氧含量</t>
  </si>
  <si>
    <t>终馏点</t>
  </si>
  <si>
    <t>蒸气压</t>
  </si>
  <si>
    <t>苯含量</t>
  </si>
  <si>
    <t>密度</t>
  </si>
  <si>
    <t>50%蒸发温度</t>
  </si>
  <si>
    <t>原油进厂量</t>
  </si>
  <si>
    <t>车用汽油(VIB)92号</t>
  </si>
  <si>
    <t>511罐</t>
  </si>
  <si>
    <t>92.6</t>
  </si>
  <si>
    <t>88.0</t>
  </si>
  <si>
    <t>5.0</t>
  </si>
  <si>
    <t>13.4</t>
  </si>
  <si>
    <t>24.9</t>
  </si>
  <si>
    <t>1.57</t>
  </si>
  <si>
    <t>174.2</t>
  </si>
  <si>
    <t>0.64</t>
  </si>
  <si>
    <t>728.0</t>
  </si>
  <si>
    <t>83.4</t>
  </si>
  <si>
    <t>厂内库存情况</t>
  </si>
  <si>
    <t>污油回调</t>
  </si>
  <si>
    <t>累计</t>
  </si>
  <si>
    <t>柴油牌号</t>
  </si>
  <si>
    <t>十六烷值</t>
  </si>
  <si>
    <t>十六烷指数</t>
  </si>
  <si>
    <t>粘度</t>
  </si>
  <si>
    <t>闪点</t>
  </si>
  <si>
    <t>95%点</t>
  </si>
  <si>
    <t>冷滤点</t>
  </si>
  <si>
    <t>总不溶物</t>
  </si>
  <si>
    <t>多环芳烃</t>
  </si>
  <si>
    <t>校正磨斑直径</t>
  </si>
  <si>
    <t>品名</t>
  </si>
  <si>
    <t>科威特</t>
  </si>
  <si>
    <t>沙重</t>
  </si>
  <si>
    <t>阿曼</t>
  </si>
  <si>
    <t>沙中</t>
  </si>
  <si>
    <t>石脑油累计</t>
  </si>
  <si>
    <t>航煤牌号</t>
  </si>
  <si>
    <t>烟点</t>
  </si>
  <si>
    <t>冰点</t>
  </si>
  <si>
    <t>芳烃含量</t>
  </si>
  <si>
    <t>磨痕直径</t>
  </si>
  <si>
    <t>电导率</t>
  </si>
  <si>
    <t>净热值</t>
  </si>
  <si>
    <t>实际胶质含量</t>
  </si>
  <si>
    <t>产品出厂及库存</t>
  </si>
  <si>
    <t>昨日产量</t>
  </si>
  <si>
    <t>月累计产量</t>
  </si>
  <si>
    <t>销售计划</t>
  </si>
  <si>
    <t>海运销售</t>
  </si>
  <si>
    <t>公路销售</t>
  </si>
  <si>
    <t>铁路销售</t>
  </si>
  <si>
    <t>管道销售</t>
  </si>
  <si>
    <t>当日销售</t>
  </si>
  <si>
    <t>月累销售</t>
  </si>
  <si>
    <t>预结算量</t>
  </si>
  <si>
    <t>出厂未结算量</t>
  </si>
  <si>
    <t>二甲苯</t>
  </si>
  <si>
    <t>工业用碳十粗芳烃</t>
  </si>
  <si>
    <t>92#国六</t>
  </si>
  <si>
    <t>95#国六</t>
  </si>
  <si>
    <t>92#乙醇</t>
  </si>
  <si>
    <t>0#国六柴油</t>
  </si>
  <si>
    <t>原油情况</t>
  </si>
  <si>
    <t>其它船期（原油船、内贸船）</t>
  </si>
  <si>
    <t>可用原油</t>
  </si>
  <si>
    <t>石脑油收率%</t>
  </si>
  <si>
    <t>航煤收率%</t>
  </si>
  <si>
    <t>柴油收率%</t>
  </si>
  <si>
    <t>轻蜡收率%</t>
  </si>
  <si>
    <t>重蜡收率%</t>
  </si>
  <si>
    <t>渣油收率%</t>
  </si>
  <si>
    <t>硫含量%</t>
  </si>
  <si>
    <t>API</t>
  </si>
  <si>
    <t>密度kg/m3</t>
  </si>
  <si>
    <t>酸值mgKOH/g</t>
  </si>
  <si>
    <t>氮含量%</t>
  </si>
  <si>
    <t>船型</t>
  </si>
  <si>
    <t>船名</t>
  </si>
  <si>
    <t>数量（吨）</t>
  </si>
  <si>
    <t>计划到港</t>
  </si>
  <si>
    <t>实际到港</t>
  </si>
  <si>
    <t>预计靠泊</t>
  </si>
  <si>
    <t>实际靠泊</t>
  </si>
  <si>
    <t>离泊时间</t>
  </si>
  <si>
    <t>装卸安排</t>
  </si>
  <si>
    <t>船用馏分燃料油</t>
  </si>
  <si>
    <t>内贸</t>
  </si>
  <si>
    <t>茂油8</t>
  </si>
  <si>
    <t>4000</t>
  </si>
  <si>
    <t>2023-02-19</t>
  </si>
  <si>
    <t>已离泊</t>
  </si>
  <si>
    <t>大安6</t>
  </si>
  <si>
    <t>2000</t>
  </si>
  <si>
    <t>巴士拉中</t>
  </si>
  <si>
    <t>巴西伊拉西玛原油</t>
  </si>
  <si>
    <t>二程船</t>
  </si>
  <si>
    <t>遵义潭</t>
  </si>
  <si>
    <t>45000</t>
  </si>
  <si>
    <t>伊拉西玛</t>
  </si>
  <si>
    <t>天鸿座</t>
  </si>
  <si>
    <t>55000</t>
  </si>
  <si>
    <t>2023-02-20</t>
  </si>
  <si>
    <t>于25日17:54靠泊</t>
  </si>
  <si>
    <t>阿曼W</t>
  </si>
  <si>
    <t>2023-02-22</t>
  </si>
  <si>
    <t>南炼2</t>
  </si>
  <si>
    <t>3000</t>
  </si>
  <si>
    <t>0#VI柴油</t>
  </si>
  <si>
    <t xml:space="preserve"> 内贸</t>
  </si>
  <si>
    <t>永诚17</t>
  </si>
  <si>
    <t>4490</t>
  </si>
  <si>
    <t>于22日00:40抵锚</t>
  </si>
  <si>
    <t>沙轻</t>
  </si>
  <si>
    <t>宇顺78</t>
  </si>
  <si>
    <t>2023-02-23</t>
  </si>
  <si>
    <t>盛航化2</t>
  </si>
  <si>
    <t>5000</t>
  </si>
  <si>
    <t>2023-2-24 13:24</t>
  </si>
  <si>
    <t>巴士拉重</t>
  </si>
  <si>
    <t>昌利26</t>
  </si>
  <si>
    <t>2023-02-24</t>
  </si>
  <si>
    <t>冷湖</t>
  </si>
  <si>
    <t>丽池</t>
  </si>
  <si>
    <t>3893.702</t>
  </si>
  <si>
    <t>2023-02-25</t>
  </si>
  <si>
    <t>于26日23:30抵锚</t>
  </si>
  <si>
    <t>巴林沙中</t>
  </si>
  <si>
    <t>调和原油性质</t>
  </si>
  <si>
    <t>出口船期</t>
  </si>
  <si>
    <t>调和时间</t>
  </si>
  <si>
    <t>调和罐</t>
  </si>
  <si>
    <t>密度 kg/m3</t>
  </si>
  <si>
    <t xml:space="preserve">水分% </t>
  </si>
  <si>
    <t>盐含量mg/L</t>
  </si>
  <si>
    <t>残炭%</t>
  </si>
  <si>
    <t>API度</t>
  </si>
  <si>
    <t>氮含量ug/g</t>
  </si>
  <si>
    <t>氯含量ug/g</t>
  </si>
  <si>
    <t>计划船期</t>
  </si>
  <si>
    <t>是否订船</t>
  </si>
  <si>
    <t>是否成交</t>
  </si>
  <si>
    <t>计划数量</t>
  </si>
  <si>
    <t>检验合格</t>
  </si>
  <si>
    <t>备货状态</t>
  </si>
  <si>
    <t>完货状态</t>
  </si>
  <si>
    <t>船期动态</t>
  </si>
  <si>
    <t>2023-02-25 23:00:00</t>
  </si>
  <si>
    <t>当前罐 TK105</t>
  </si>
  <si>
    <t>864.3</t>
  </si>
  <si>
    <t>0.075</t>
  </si>
  <si>
    <t>12.4</t>
  </si>
  <si>
    <t>5.28</t>
  </si>
  <si>
    <t>31.5</t>
  </si>
  <si>
    <t>532.3</t>
  </si>
  <si>
    <t>海豚</t>
  </si>
  <si>
    <t>是</t>
  </si>
  <si>
    <t>合格</t>
  </si>
  <si>
    <t>已备好</t>
  </si>
  <si>
    <t>已完货</t>
  </si>
  <si>
    <t>下一罐 104罐</t>
  </si>
  <si>
    <t>866.6</t>
  </si>
  <si>
    <t>2.109</t>
  </si>
  <si>
    <t>0.41</t>
  </si>
  <si>
    <t>5.51</t>
  </si>
  <si>
    <t>31.1</t>
  </si>
  <si>
    <t>615.8</t>
  </si>
  <si>
    <t>32.4</t>
  </si>
  <si>
    <t>长航紫晶</t>
  </si>
  <si>
    <t>备货中</t>
  </si>
  <si>
    <t>预计28日上午抵锚</t>
  </si>
  <si>
    <t>调和原油比例</t>
  </si>
  <si>
    <t>原油品种</t>
  </si>
  <si>
    <t>埃尔沙辛</t>
  </si>
  <si>
    <t xml:space="preserve">当前罐 TK105 比例 </t>
  </si>
  <si>
    <t xml:space="preserve">下一罐 TK104 比例 </t>
  </si>
  <si>
    <t>平稳率</t>
  </si>
  <si>
    <t>自控率</t>
  </si>
  <si>
    <t>联锁投用率</t>
  </si>
  <si>
    <t>巡检率</t>
  </si>
  <si>
    <t>报警数量</t>
  </si>
  <si>
    <t>操作变动数量</t>
  </si>
  <si>
    <t>一级</t>
  </si>
  <si>
    <t>二级</t>
  </si>
  <si>
    <t>三级</t>
  </si>
  <si>
    <t>四级</t>
  </si>
  <si>
    <t>余热回收</t>
  </si>
  <si>
    <t>化学水</t>
  </si>
  <si>
    <t>储运二部</t>
  </si>
  <si>
    <t>储备油公司</t>
  </si>
  <si>
    <t>合  计</t>
  </si>
  <si>
    <t>一级、二级操作变动信息</t>
  </si>
  <si>
    <t>序号</t>
  </si>
  <si>
    <t>操作名称</t>
  </si>
  <si>
    <t>操作类型</t>
  </si>
  <si>
    <t>操作时间</t>
  </si>
  <si>
    <t>操作班组</t>
  </si>
  <si>
    <t>操作人员</t>
  </si>
  <si>
    <t>操作内容</t>
  </si>
  <si>
    <t>操作依据</t>
  </si>
  <si>
    <t>责任人</t>
  </si>
  <si>
    <t>是否完成操作审批</t>
  </si>
  <si>
    <t>是否有操作方案或规程</t>
  </si>
  <si>
    <t>是否有操作卡</t>
  </si>
  <si>
    <t>公司级隐患</t>
  </si>
  <si>
    <t>隐患因素分类</t>
  </si>
  <si>
    <t>隐患描述</t>
  </si>
  <si>
    <t>原因分析</t>
  </si>
  <si>
    <t>隐患变化跟踪</t>
  </si>
  <si>
    <t>监护运行措施</t>
  </si>
  <si>
    <t>隐患消除措施</t>
  </si>
  <si>
    <t>隐患处理计划</t>
  </si>
  <si>
    <t>状态</t>
  </si>
  <si>
    <t>销项负责人</t>
  </si>
  <si>
    <t>备注</t>
  </si>
  <si>
    <t>罐区</t>
  </si>
  <si>
    <t>罐存t</t>
  </si>
  <si>
    <t>罐存变化</t>
  </si>
  <si>
    <t>存储物料</t>
  </si>
  <si>
    <t>质量情况</t>
  </si>
  <si>
    <t>移动状态</t>
  </si>
  <si>
    <t>中间罐区一</t>
  </si>
  <si>
    <t>减压渣油</t>
  </si>
  <si>
    <t>静止</t>
  </si>
  <si>
    <t>液化气罐区一</t>
  </si>
  <si>
    <t>汽油罐区二</t>
  </si>
  <si>
    <t>92号汽油(VI)半成品</t>
  </si>
  <si>
    <t>码头原油</t>
  </si>
  <si>
    <t>东油码头</t>
  </si>
  <si>
    <t>95号汽油(VI)</t>
  </si>
  <si>
    <t>丙烯半成品</t>
  </si>
  <si>
    <t>92号汽油(VI)</t>
  </si>
  <si>
    <t>脱硫渣油</t>
  </si>
  <si>
    <t>付油</t>
  </si>
  <si>
    <t>多收多付</t>
  </si>
  <si>
    <t>收油</t>
  </si>
  <si>
    <t>92号汽油(普氏)半成品</t>
  </si>
  <si>
    <t>加氢裂化原料</t>
  </si>
  <si>
    <t>轻烃液化气</t>
  </si>
  <si>
    <t>轻烃液化气半成品</t>
  </si>
  <si>
    <t>95号汽油(VI)半成品</t>
  </si>
  <si>
    <t>厂内原油</t>
  </si>
  <si>
    <t>HVGO蜡油</t>
  </si>
  <si>
    <t>0号车用柴油(VI)</t>
  </si>
  <si>
    <t>汽油罐区三</t>
  </si>
  <si>
    <t>重整抽余油</t>
  </si>
  <si>
    <t>液化气罐区二</t>
  </si>
  <si>
    <t>气分原料封罐</t>
  </si>
  <si>
    <t>石脑油加氢原料</t>
  </si>
  <si>
    <t>中间罐区二</t>
  </si>
  <si>
    <t>DMA</t>
  </si>
  <si>
    <t>加氢精制柴油</t>
  </si>
  <si>
    <t>船用燃料油半成品</t>
  </si>
  <si>
    <t>醚后碳四半成品</t>
  </si>
  <si>
    <t>醚后碳四封罐</t>
  </si>
  <si>
    <t>商储库</t>
  </si>
  <si>
    <t>TK101A</t>
  </si>
  <si>
    <t>TK101B</t>
  </si>
  <si>
    <t>92号车用乙醇汽油</t>
  </si>
  <si>
    <t>TK101C</t>
  </si>
  <si>
    <t>丙烷半成品</t>
  </si>
  <si>
    <t>TK101D</t>
  </si>
  <si>
    <t>东油厂内</t>
  </si>
  <si>
    <t>码头汽油</t>
  </si>
  <si>
    <t>TK201A</t>
  </si>
  <si>
    <t>轻烃回收原料</t>
  </si>
  <si>
    <t>92号汽油(普氏)</t>
  </si>
  <si>
    <t>TK201B</t>
  </si>
  <si>
    <t>420储备库</t>
  </si>
  <si>
    <t>不合格液化气</t>
  </si>
  <si>
    <t>TK201C</t>
  </si>
  <si>
    <t>液化气罐区三</t>
  </si>
  <si>
    <t>异构化汽油</t>
  </si>
  <si>
    <t>TK201D</t>
  </si>
  <si>
    <t>中间罐区三</t>
  </si>
  <si>
    <t>重整原料封罐</t>
  </si>
  <si>
    <t>航煤罐区</t>
  </si>
  <si>
    <t>不合格3#喷气燃料</t>
  </si>
  <si>
    <t>出口航空煤油半成品</t>
  </si>
  <si>
    <t xml:space="preserve">厂内芳烃
</t>
  </si>
  <si>
    <t>苯半成品</t>
  </si>
  <si>
    <t>3#喷气燃料半成品</t>
  </si>
  <si>
    <t>不合格甲苯</t>
  </si>
  <si>
    <t>3#喷气燃料</t>
  </si>
  <si>
    <t>汽油精制原料</t>
  </si>
  <si>
    <t>甲苯半成品</t>
  </si>
  <si>
    <t>航煤封罐</t>
  </si>
  <si>
    <t>出口航空煤油</t>
  </si>
  <si>
    <t>中间罐区四</t>
  </si>
  <si>
    <t>混合二甲苯半成品</t>
  </si>
  <si>
    <t>70#沥青</t>
  </si>
  <si>
    <t>90#沥青</t>
  </si>
  <si>
    <t>码头航煤</t>
  </si>
  <si>
    <t>工业用碳十粗芳烃半成品</t>
  </si>
  <si>
    <t>码头芳烃</t>
  </si>
  <si>
    <t>厂内柴油罐区</t>
  </si>
  <si>
    <t>DMA半成品</t>
  </si>
  <si>
    <t>0号车用柴油(VI)半成品</t>
  </si>
  <si>
    <t>0号出口柴油(澳洲)半成品</t>
  </si>
  <si>
    <t>汽油罐区一</t>
  </si>
  <si>
    <t>重整汽油</t>
  </si>
  <si>
    <t>催化油浆</t>
  </si>
  <si>
    <t>脱灰油浆</t>
  </si>
  <si>
    <t>中间罐区五</t>
  </si>
  <si>
    <t>加氢尾油</t>
  </si>
  <si>
    <t>0号出口柴油(澳洲)</t>
  </si>
  <si>
    <t>200#沥青</t>
  </si>
  <si>
    <t>柴油封罐</t>
  </si>
  <si>
    <t>柴油富余组分</t>
  </si>
  <si>
    <t>码头柴油</t>
  </si>
  <si>
    <t>MTBE半成品</t>
  </si>
  <si>
    <t>优等品</t>
  </si>
  <si>
    <t>待入库</t>
  </si>
  <si>
    <t>协议品</t>
  </si>
  <si>
    <t>化学药剂罐区</t>
  </si>
  <si>
    <t>乙醇</t>
  </si>
  <si>
    <t>液氨罐</t>
  </si>
  <si>
    <t>合格品</t>
  </si>
  <si>
    <t>6：00</t>
  </si>
  <si>
    <t>安全库存</t>
  </si>
  <si>
    <t>原油罐区</t>
  </si>
  <si>
    <t>东油厂内中间物料</t>
  </si>
  <si>
    <t>码头
芳烃</t>
  </si>
  <si>
    <t>船燃半成品</t>
  </si>
  <si>
    <t>调和原油</t>
  </si>
  <si>
    <t>储运二部原油</t>
  </si>
  <si>
    <t>储运二部航煤</t>
  </si>
  <si>
    <t>柴油罐区</t>
  </si>
  <si>
    <t>东油厂内原油</t>
  </si>
  <si>
    <t>碳十粗芳烃半成品</t>
  </si>
  <si>
    <t>储运二部柴油</t>
  </si>
  <si>
    <t>东油码头原油</t>
  </si>
  <si>
    <t>码头
汽油</t>
  </si>
  <si>
    <t>原油库存情况</t>
  </si>
  <si>
    <t>厂内
芳烃</t>
  </si>
  <si>
    <t>原油总库存</t>
  </si>
  <si>
    <t>自有库存</t>
  </si>
  <si>
    <t>厂内</t>
  </si>
  <si>
    <t>东油
码头</t>
  </si>
  <si>
    <t>东油柴油罐空</t>
  </si>
  <si>
    <t>东油</t>
  </si>
  <si>
    <t>原油总库容</t>
  </si>
  <si>
    <t>东油汽油罐空</t>
  </si>
  <si>
    <t>厂内汽油罐空</t>
  </si>
  <si>
    <t>码头汽油罐空</t>
  </si>
  <si>
    <t>重整汽油组分</t>
  </si>
  <si>
    <t>汽油组分合计</t>
  </si>
  <si>
    <t>0#柴油         组分</t>
  </si>
  <si>
    <t>原油中 脱硫渣油</t>
  </si>
  <si>
    <t>月末库存预计</t>
  </si>
  <si>
    <t>当前罐底</t>
  </si>
  <si>
    <t>罐容</t>
  </si>
  <si>
    <t>产品库存</t>
  </si>
  <si>
    <t>出口汽油</t>
  </si>
  <si>
    <t>汽油合计</t>
  </si>
  <si>
    <t>柴油合计</t>
  </si>
  <si>
    <t>航煤合计</t>
  </si>
  <si>
    <t>芳烃合计</t>
  </si>
  <si>
    <t>船燃</t>
  </si>
  <si>
    <t>新鲜水(吨)</t>
  </si>
  <si>
    <t>循环水(吨)</t>
  </si>
  <si>
    <t>除盐水(吨)</t>
  </si>
  <si>
    <t>除氧水(吨)</t>
  </si>
  <si>
    <t>凝结水(吨)
（透平）</t>
  </si>
  <si>
    <t>凝结水（吨）（加热）</t>
  </si>
  <si>
    <t>电力(千瓦时)</t>
  </si>
  <si>
    <t>3.5蒸汽(吨)</t>
  </si>
  <si>
    <t>1.0蒸汽(吨)</t>
  </si>
  <si>
    <t>0.4蒸汽(吨)</t>
  </si>
  <si>
    <t>燃料油(吨)</t>
  </si>
  <si>
    <t>燃料气(吨)</t>
  </si>
  <si>
    <t>烧焦(吨)</t>
  </si>
  <si>
    <t>热媒水(吨)</t>
  </si>
  <si>
    <t>热进出
千克标油</t>
  </si>
  <si>
    <t>加工量</t>
  </si>
  <si>
    <t>能耗合计
(千克标油)</t>
  </si>
  <si>
    <t>能耗
(千克标油/吨)</t>
  </si>
  <si>
    <t>总收入量</t>
  </si>
  <si>
    <t>外购量/外供量</t>
  </si>
  <si>
    <t>自产/转换量</t>
  </si>
  <si>
    <t>锅炉产蒸汽</t>
  </si>
  <si>
    <t>电站产蒸汽</t>
  </si>
  <si>
    <t>减温减压蒸汽并网量</t>
  </si>
  <si>
    <t>发电机用汽及降级量</t>
  </si>
  <si>
    <t>其他转入量</t>
  </si>
  <si>
    <t>总外销量</t>
  </si>
  <si>
    <t>总供出量</t>
  </si>
  <si>
    <t>总消耗量</t>
  </si>
  <si>
    <t>动力单元</t>
  </si>
  <si>
    <t>动力系统</t>
  </si>
  <si>
    <t>净水厂</t>
  </si>
  <si>
    <t>炼油装置</t>
  </si>
  <si>
    <t>电脱盐</t>
  </si>
  <si>
    <t>液化气脱硫醇</t>
  </si>
  <si>
    <t>气体分馏</t>
  </si>
  <si>
    <t>PSA</t>
  </si>
  <si>
    <t>航煤加氢精制</t>
  </si>
  <si>
    <t>硫磺回收（1万）</t>
  </si>
  <si>
    <t>硫磺装置（6万）</t>
  </si>
  <si>
    <t>硫磺装置（20万）</t>
  </si>
  <si>
    <t>酸性水气提</t>
  </si>
  <si>
    <t>溶剂再生（260）</t>
  </si>
  <si>
    <t>溶剂再生（600）</t>
  </si>
  <si>
    <t>溶剂再生（700）</t>
  </si>
  <si>
    <t>烟气脱硫</t>
  </si>
  <si>
    <t>非炼油装置</t>
  </si>
  <si>
    <t>制氢(4万)</t>
  </si>
  <si>
    <t>制氢（14万）</t>
  </si>
  <si>
    <t>甲基叔丁基醚</t>
  </si>
  <si>
    <t>醚化</t>
  </si>
  <si>
    <t>生产辅助</t>
  </si>
  <si>
    <t>储运系统</t>
  </si>
  <si>
    <t>污水处理场</t>
  </si>
  <si>
    <t>其它辅助部门</t>
  </si>
  <si>
    <t>能源损失</t>
  </si>
  <si>
    <t>**石化生产日报表-2  生产装置物料平衡表</t>
  </si>
  <si>
    <t xml:space="preserve">**石化生产日报表-1  生产综合报表   </t>
  </si>
  <si>
    <t>**石化生产日报表-3    动力能耗报表</t>
  </si>
  <si>
    <t>**石化生产日报表-4    动力能耗及操作参数报表</t>
  </si>
  <si>
    <t>**石化生产日报表-5  油品进出厂及船期</t>
  </si>
  <si>
    <t>**石化生产日报表-6  生产受控管理</t>
  </si>
  <si>
    <t>**石化生产日报表-7  产品、中间原料库存</t>
  </si>
  <si>
    <t>**石化生产日报表-8 库存情况</t>
  </si>
  <si>
    <t>**石化生产日报表-9 能耗情况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</si>
</sst>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8" formatCode="#0%"/>
    <numFmt numFmtId="179" formatCode="m/d\ h:mm"/>
    <numFmt numFmtId="180" formatCode="#0.0#"/>
    <numFmt numFmtId="181" formatCode="#0"/>
    <numFmt numFmtId="182" formatCode="0.000"/>
    <numFmt numFmtId="183" formatCode="yyyy/mm/dd\ hh:mm:ss"/>
    <numFmt numFmtId="184" formatCode="#0.0"/>
    <numFmt numFmtId="185" formatCode="#0.0000"/>
    <numFmt numFmtId="186" formatCode="#0.000%"/>
    <numFmt numFmtId="187" formatCode="#0.00%"/>
    <numFmt numFmtId="188" formatCode="#0.0%"/>
    <numFmt numFmtId="189" formatCode="#0.00"/>
    <numFmt numFmtId="190" formatCode="yyyy&quot;年&quot;mm&quot;月&quot;dd&quot;日&quot;"/>
    <numFmt numFmtId="191" formatCode="0.0"/>
    <numFmt numFmtId="192" formatCode="#0.000"/>
  </numFmts>
  <fonts count="21">
    <font>
      <sz val="11"/>
      <color indexed="8"/>
      <name val="宋体"/>
      <charset val="1"/>
      <scheme val="minor"/>
    </font>
    <font>
      <b/>
      <sz val="19"/>
      <name val="SimSun"/>
      <charset val="134"/>
    </font>
    <font>
      <b/>
      <sz val="8"/>
      <name val="宋体"/>
      <family val="3"/>
      <charset val="134"/>
    </font>
    <font>
      <sz val="8"/>
      <name val="宋体"/>
      <family val="3"/>
      <charset val="134"/>
    </font>
    <font>
      <sz val="8"/>
      <name val="SimSun"/>
      <charset val="134"/>
    </font>
    <font>
      <sz val="7"/>
      <name val="宋体"/>
      <family val="3"/>
      <charset val="134"/>
    </font>
    <font>
      <sz val="7"/>
      <name val="SimSun"/>
      <charset val="134"/>
    </font>
    <font>
      <sz val="9"/>
      <name val="SimSun"/>
      <charset val="134"/>
    </font>
    <font>
      <sz val="6"/>
      <name val="宋体"/>
      <family val="3"/>
      <charset val="134"/>
    </font>
    <font>
      <sz val="6"/>
      <name val="SimSun"/>
      <charset val="134"/>
    </font>
    <font>
      <b/>
      <sz val="8"/>
      <name val="SimSun"/>
      <charset val="134"/>
    </font>
    <font>
      <b/>
      <sz val="20"/>
      <name val="宋体"/>
      <family val="3"/>
      <charset val="134"/>
    </font>
    <font>
      <b/>
      <sz val="11"/>
      <name val="华文楷体"/>
      <family val="3"/>
      <charset val="134"/>
    </font>
    <font>
      <b/>
      <sz val="10"/>
      <name val="宋体"/>
      <family val="3"/>
      <charset val="134"/>
    </font>
    <font>
      <b/>
      <sz val="10"/>
      <name val="SimSun"/>
      <charset val="134"/>
    </font>
    <font>
      <b/>
      <sz val="9"/>
      <name val="SimSun"/>
      <charset val="134"/>
    </font>
    <font>
      <b/>
      <sz val="9"/>
      <name val="宋体"/>
      <family val="3"/>
      <charset val="134"/>
    </font>
    <font>
      <b/>
      <sz val="7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FFFF"/>
        <bgColor rgb="FFFFFFFF"/>
      </patternFill>
    </fill>
    <fill>
      <patternFill patternType="solid">
        <fgColor rgb="FFD5EDFE"/>
        <bgColor rgb="FFD5EDFE"/>
      </patternFill>
    </fill>
    <fill>
      <patternFill patternType="solid">
        <fgColor rgb="FFFFFF00"/>
        <bgColor indexed="64"/>
      </patternFill>
    </fill>
    <fill>
      <patternFill patternType="solid">
        <fgColor rgb="FFD9EDFE"/>
        <bgColor rgb="FFD9EDF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BEDFE"/>
        <bgColor rgb="FFDBEDFE"/>
      </patternFill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81">
    <xf numFmtId="0" fontId="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/>
    </xf>
    <xf numFmtId="181" fontId="5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181" fontId="5" fillId="0" borderId="1" xfId="0" applyNumberFormat="1" applyFont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181" fontId="5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180" fontId="5" fillId="0" borderId="1" xfId="0" applyNumberFormat="1" applyFont="1" applyBorder="1" applyAlignment="1">
      <alignment horizontal="center" vertical="center" wrapText="1"/>
    </xf>
    <xf numFmtId="181" fontId="6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81" fontId="6" fillId="5" borderId="1" xfId="0" applyNumberFormat="1" applyFont="1" applyFill="1" applyBorder="1" applyAlignment="1">
      <alignment horizontal="center" vertical="center" wrapText="1"/>
    </xf>
    <xf numFmtId="181" fontId="5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81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81" fontId="3" fillId="0" borderId="1" xfId="0" applyNumberFormat="1" applyFont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0" borderId="0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/>
    </xf>
    <xf numFmtId="187" fontId="3" fillId="7" borderId="1" xfId="0" applyNumberFormat="1" applyFont="1" applyFill="1" applyBorder="1" applyAlignment="1">
      <alignment horizontal="center" vertical="center"/>
    </xf>
    <xf numFmtId="187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87" fontId="3" fillId="8" borderId="1" xfId="0" applyNumberFormat="1" applyFont="1" applyFill="1" applyBorder="1" applyAlignment="1">
      <alignment horizontal="center" vertical="center"/>
    </xf>
    <xf numFmtId="187" fontId="3" fillId="9" borderId="1" xfId="0" applyNumberFormat="1" applyFont="1" applyFill="1" applyBorder="1" applyAlignment="1">
      <alignment horizontal="center" vertical="center"/>
    </xf>
    <xf numFmtId="187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" fontId="16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81" fontId="5" fillId="8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7" fontId="5" fillId="2" borderId="1" xfId="0" applyNumberFormat="1" applyFont="1" applyFill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87" fontId="5" fillId="0" borderId="1" xfId="0" applyNumberFormat="1" applyFont="1" applyBorder="1" applyAlignment="1">
      <alignment horizontal="center" vertical="center"/>
    </xf>
    <xf numFmtId="190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181" fontId="6" fillId="0" borderId="0" xfId="0" applyNumberFormat="1" applyFont="1" applyBorder="1" applyAlignment="1">
      <alignment horizontal="center" vertical="center" wrapText="1"/>
    </xf>
    <xf numFmtId="187" fontId="5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87" fontId="5" fillId="9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81" fontId="7" fillId="0" borderId="1" xfId="0" applyNumberFormat="1" applyFont="1" applyBorder="1" applyAlignment="1">
      <alignment horizontal="center" vertical="center" wrapText="1"/>
    </xf>
    <xf numFmtId="181" fontId="7" fillId="0" borderId="1" xfId="0" applyNumberFormat="1" applyFont="1" applyBorder="1" applyAlignment="1">
      <alignment vertical="center" wrapText="1"/>
    </xf>
    <xf numFmtId="184" fontId="3" fillId="0" borderId="1" xfId="0" applyNumberFormat="1" applyFont="1" applyBorder="1" applyAlignment="1">
      <alignment horizontal="center" vertical="center"/>
    </xf>
    <xf numFmtId="184" fontId="3" fillId="9" borderId="1" xfId="0" applyNumberFormat="1" applyFont="1" applyFill="1" applyBorder="1" applyAlignment="1">
      <alignment horizontal="center" vertical="center"/>
    </xf>
    <xf numFmtId="184" fontId="3" fillId="7" borderId="1" xfId="0" applyNumberFormat="1" applyFont="1" applyFill="1" applyBorder="1" applyAlignment="1">
      <alignment horizontal="center" vertical="center"/>
    </xf>
    <xf numFmtId="184" fontId="3" fillId="8" borderId="1" xfId="0" applyNumberFormat="1" applyFont="1" applyFill="1" applyBorder="1" applyAlignment="1">
      <alignment horizontal="center" vertical="center"/>
    </xf>
    <xf numFmtId="184" fontId="3" fillId="0" borderId="1" xfId="0" applyNumberFormat="1" applyFont="1" applyBorder="1" applyAlignment="1">
      <alignment horizontal="left" vertical="center"/>
    </xf>
    <xf numFmtId="184" fontId="4" fillId="0" borderId="1" xfId="0" applyNumberFormat="1" applyFont="1" applyBorder="1" applyAlignment="1">
      <alignment horizontal="center" vertical="center" wrapText="1"/>
    </xf>
    <xf numFmtId="184" fontId="3" fillId="11" borderId="1" xfId="0" applyNumberFormat="1" applyFont="1" applyFill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 wrapText="1"/>
    </xf>
    <xf numFmtId="189" fontId="4" fillId="9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1" fontId="4" fillId="11" borderId="1" xfId="0" applyNumberFormat="1" applyFont="1" applyFill="1" applyBorder="1" applyAlignment="1">
      <alignment horizontal="center" vertical="center" wrapText="1"/>
    </xf>
    <xf numFmtId="181" fontId="4" fillId="8" borderId="1" xfId="0" applyNumberFormat="1" applyFont="1" applyFill="1" applyBorder="1" applyAlignment="1">
      <alignment horizontal="center" vertical="center" wrapText="1"/>
    </xf>
    <xf numFmtId="18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89" fontId="4" fillId="11" borderId="1" xfId="0" applyNumberFormat="1" applyFont="1" applyFill="1" applyBorder="1" applyAlignment="1">
      <alignment horizontal="center" vertical="center" wrapText="1"/>
    </xf>
    <xf numFmtId="181" fontId="4" fillId="9" borderId="1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189" fontId="2" fillId="0" borderId="1" xfId="0" applyNumberFormat="1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81" fontId="3" fillId="9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181" fontId="3" fillId="11" borderId="1" xfId="0" applyNumberFormat="1" applyFont="1" applyFill="1" applyBorder="1" applyAlignment="1">
      <alignment horizontal="center" vertical="center"/>
    </xf>
    <xf numFmtId="18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89" fontId="3" fillId="9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81" fontId="3" fillId="8" borderId="1" xfId="0" applyNumberFormat="1" applyFont="1" applyFill="1" applyBorder="1" applyAlignment="1">
      <alignment horizontal="center" vertical="center"/>
    </xf>
    <xf numFmtId="189" fontId="3" fillId="8" borderId="1" xfId="0" applyNumberFormat="1" applyFont="1" applyFill="1" applyBorder="1" applyAlignment="1">
      <alignment horizontal="center" vertical="center"/>
    </xf>
    <xf numFmtId="189" fontId="3" fillId="11" borderId="1" xfId="0" applyNumberFormat="1" applyFont="1" applyFill="1" applyBorder="1" applyAlignment="1">
      <alignment horizontal="center" vertical="center"/>
    </xf>
    <xf numFmtId="181" fontId="3" fillId="12" borderId="1" xfId="0" applyNumberFormat="1" applyFont="1" applyFill="1" applyBorder="1" applyAlignment="1">
      <alignment horizontal="center" vertical="center"/>
    </xf>
    <xf numFmtId="181" fontId="3" fillId="7" borderId="1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187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88" fontId="18" fillId="0" borderId="1" xfId="0" applyNumberFormat="1" applyFont="1" applyBorder="1" applyAlignment="1">
      <alignment horizontal="center" vertical="center" wrapText="1"/>
    </xf>
    <xf numFmtId="187" fontId="18" fillId="0" borderId="1" xfId="0" applyNumberFormat="1" applyFont="1" applyBorder="1" applyAlignment="1">
      <alignment horizontal="center" vertical="center" wrapText="1"/>
    </xf>
    <xf numFmtId="187" fontId="3" fillId="11" borderId="1" xfId="0" applyNumberFormat="1" applyFont="1" applyFill="1" applyBorder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91" fontId="3" fillId="0" borderId="1" xfId="0" applyNumberFormat="1" applyFont="1" applyBorder="1" applyAlignment="1">
      <alignment horizontal="center" vertical="center"/>
    </xf>
    <xf numFmtId="191" fontId="3" fillId="0" borderId="1" xfId="0" applyNumberFormat="1" applyFont="1" applyBorder="1" applyAlignment="1">
      <alignment horizontal="center" vertical="center" wrapText="1"/>
    </xf>
    <xf numFmtId="187" fontId="3" fillId="0" borderId="1" xfId="0" applyNumberFormat="1" applyFont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88" fontId="3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0" fontId="19" fillId="0" borderId="2" xfId="0" applyNumberFormat="1" applyFont="1" applyBorder="1" applyAlignment="1">
      <alignment horizontal="center"/>
    </xf>
    <xf numFmtId="188" fontId="3" fillId="0" borderId="1" xfId="0" applyNumberFormat="1" applyFont="1" applyBorder="1" applyAlignment="1">
      <alignment horizontal="left" vertical="center" wrapText="1"/>
    </xf>
    <xf numFmtId="187" fontId="4" fillId="0" borderId="1" xfId="0" applyNumberFormat="1" applyFont="1" applyBorder="1" applyAlignment="1">
      <alignment horizontal="center" vertical="center" wrapText="1"/>
    </xf>
    <xf numFmtId="181" fontId="18" fillId="0" borderId="1" xfId="0" applyNumberFormat="1" applyFont="1" applyBorder="1" applyAlignment="1">
      <alignment horizontal="center" vertical="center" wrapText="1"/>
    </xf>
    <xf numFmtId="18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187" fontId="3" fillId="3" borderId="1" xfId="0" applyNumberFormat="1" applyFont="1" applyFill="1" applyBorder="1" applyAlignment="1">
      <alignment horizontal="center" vertical="center"/>
    </xf>
    <xf numFmtId="188" fontId="7" fillId="0" borderId="1" xfId="0" applyNumberFormat="1" applyFont="1" applyBorder="1" applyAlignment="1">
      <alignment horizontal="center" vertical="center" wrapText="1"/>
    </xf>
    <xf numFmtId="187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89" fontId="7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  <xf numFmtId="181" fontId="3" fillId="0" borderId="0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82" fontId="3" fillId="11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9" fontId="3" fillId="3" borderId="1" xfId="0" applyNumberFormat="1" applyFont="1" applyFill="1" applyBorder="1" applyAlignment="1">
      <alignment horizontal="center" vertical="center"/>
    </xf>
    <xf numFmtId="192" fontId="3" fillId="11" borderId="1" xfId="0" applyNumberFormat="1" applyFont="1" applyFill="1" applyBorder="1" applyAlignment="1">
      <alignment horizontal="center" vertical="center"/>
    </xf>
    <xf numFmtId="192" fontId="3" fillId="0" borderId="1" xfId="0" applyNumberFormat="1" applyFont="1" applyBorder="1" applyAlignment="1">
      <alignment horizontal="center" vertical="center"/>
    </xf>
    <xf numFmtId="188" fontId="4" fillId="0" borderId="1" xfId="0" applyNumberFormat="1" applyFont="1" applyBorder="1" applyAlignment="1">
      <alignment horizontal="center" vertical="center" wrapText="1"/>
    </xf>
    <xf numFmtId="187" fontId="4" fillId="8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85" fontId="3" fillId="0" borderId="1" xfId="0" applyNumberFormat="1" applyFont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87" fontId="4" fillId="9" borderId="1" xfId="0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89" fontId="3" fillId="0" borderId="1" xfId="0" applyNumberFormat="1" applyFont="1" applyBorder="1" applyAlignment="1">
      <alignment horizontal="center" vertical="center" wrapText="1"/>
    </xf>
    <xf numFmtId="181" fontId="3" fillId="0" borderId="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8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90" fontId="2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89" fontId="3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187" fontId="1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187" fontId="2" fillId="2" borderId="1" xfId="0" applyNumberFormat="1" applyFont="1" applyFill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190" fontId="2" fillId="2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/>
    </xf>
    <xf numFmtId="0" fontId="15" fillId="0" borderId="0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83" fontId="6" fillId="0" borderId="1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3" fillId="6" borderId="1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181" fontId="5" fillId="3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81" fontId="5" fillId="3" borderId="1" xfId="0" applyNumberFormat="1" applyFont="1" applyFill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6860"/>
          <a:ext cx="521335" cy="9093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335" y="6626860"/>
          <a:ext cx="866140" cy="90932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475" y="6626860"/>
          <a:ext cx="753745" cy="90932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1220" y="6626860"/>
          <a:ext cx="772160" cy="90932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13380" y="6626860"/>
          <a:ext cx="1358265" cy="90932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9</xdr:col>
      <xdr:colOff>0</xdr:colOff>
      <xdr:row>27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71645" y="6626860"/>
          <a:ext cx="1535430" cy="90932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12</xdr:col>
      <xdr:colOff>0</xdr:colOff>
      <xdr:row>27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07075" y="6626860"/>
          <a:ext cx="1414145" cy="90932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21220" y="6626860"/>
          <a:ext cx="2140585" cy="90932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26</xdr:row>
      <xdr:rowOff>0</xdr:rowOff>
    </xdr:from>
    <xdr:to>
      <xdr:col>18</xdr:col>
      <xdr:colOff>0</xdr:colOff>
      <xdr:row>27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61805" y="6626860"/>
          <a:ext cx="2065655" cy="90932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</xdr:row>
      <xdr:rowOff>0</xdr:rowOff>
    </xdr:from>
    <xdr:to>
      <xdr:col>20</xdr:col>
      <xdr:colOff>0</xdr:colOff>
      <xdr:row>27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27460" y="6626860"/>
          <a:ext cx="1032510" cy="90932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26</xdr:row>
      <xdr:rowOff>0</xdr:rowOff>
    </xdr:from>
    <xdr:to>
      <xdr:col>21</xdr:col>
      <xdr:colOff>0</xdr:colOff>
      <xdr:row>27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59970" y="6626860"/>
          <a:ext cx="446405" cy="90932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26</xdr:row>
      <xdr:rowOff>0</xdr:rowOff>
    </xdr:from>
    <xdr:to>
      <xdr:col>23</xdr:col>
      <xdr:colOff>0</xdr:colOff>
      <xdr:row>27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06375" y="6626860"/>
          <a:ext cx="892810" cy="90932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26</xdr:row>
      <xdr:rowOff>0</xdr:rowOff>
    </xdr:from>
    <xdr:to>
      <xdr:col>24</xdr:col>
      <xdr:colOff>0</xdr:colOff>
      <xdr:row>27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9185" y="6626860"/>
          <a:ext cx="521335" cy="90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2430"/>
          <a:ext cx="958215" cy="628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workbookViewId="0">
      <selection sqref="A1:B1"/>
    </sheetView>
  </sheetViews>
  <sheetFormatPr defaultColWidth="10" defaultRowHeight="14"/>
  <cols>
    <col min="1" max="1" width="12.1796875" customWidth="1"/>
    <col min="2" max="3" width="6.6328125" customWidth="1"/>
    <col min="4" max="4" width="6.26953125" customWidth="1"/>
    <col min="5" max="5" width="10.26953125" customWidth="1"/>
    <col min="6" max="8" width="8.08984375" customWidth="1"/>
    <col min="9" max="9" width="11" customWidth="1"/>
    <col min="10" max="10" width="6.08984375" customWidth="1"/>
    <col min="11" max="12" width="8.08984375" customWidth="1"/>
    <col min="13" max="13" width="11.81640625" customWidth="1"/>
    <col min="14" max="14" width="6.6328125" customWidth="1"/>
    <col min="15" max="15" width="8.08984375" customWidth="1"/>
    <col min="16" max="16" width="7.1796875" customWidth="1"/>
    <col min="17" max="17" width="7.453125" customWidth="1"/>
    <col min="18" max="18" width="7" customWidth="1"/>
    <col min="19" max="19" width="6.90625" customWidth="1"/>
    <col min="20" max="20" width="11.36328125" customWidth="1"/>
    <col min="21" max="22" width="7.26953125" customWidth="1"/>
    <col min="23" max="23" width="6.1796875" customWidth="1"/>
    <col min="24" max="24" width="6.90625" customWidth="1"/>
    <col min="25" max="25" width="7.26953125" customWidth="1"/>
    <col min="26" max="26" width="7.7265625" customWidth="1"/>
    <col min="27" max="47" width="9.7265625" customWidth="1"/>
  </cols>
  <sheetData>
    <row r="1" spans="1:26" ht="23.4" customHeight="1">
      <c r="A1" s="192"/>
      <c r="B1" s="192"/>
      <c r="C1" s="193" t="s">
        <v>1350</v>
      </c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4" t="s">
        <v>0</v>
      </c>
      <c r="X1" s="194"/>
      <c r="Y1" s="194"/>
      <c r="Z1" s="180" t="s">
        <v>1</v>
      </c>
    </row>
    <row r="2" spans="1:26" ht="12.5" customHeight="1">
      <c r="A2" s="68" t="s">
        <v>2</v>
      </c>
      <c r="B2" s="68" t="s">
        <v>3</v>
      </c>
      <c r="C2" s="68" t="s">
        <v>4</v>
      </c>
      <c r="D2" s="68" t="s">
        <v>5</v>
      </c>
      <c r="E2" s="68" t="s">
        <v>2</v>
      </c>
      <c r="F2" s="68" t="s">
        <v>3</v>
      </c>
      <c r="G2" s="68" t="s">
        <v>4</v>
      </c>
      <c r="H2" s="68" t="s">
        <v>5</v>
      </c>
      <c r="I2" s="68" t="s">
        <v>6</v>
      </c>
      <c r="J2" s="68" t="s">
        <v>3</v>
      </c>
      <c r="K2" s="68" t="s">
        <v>4</v>
      </c>
      <c r="L2" s="68" t="s">
        <v>5</v>
      </c>
      <c r="M2" s="195" t="s">
        <v>7</v>
      </c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2" customHeight="1">
      <c r="A3" s="48" t="s">
        <v>8</v>
      </c>
      <c r="B3" s="54">
        <v>0.87539999999999996</v>
      </c>
      <c r="C3" s="56">
        <v>0.78302452965439895</v>
      </c>
      <c r="D3" s="155">
        <v>0.91068220565486901</v>
      </c>
      <c r="E3" s="48" t="s">
        <v>9</v>
      </c>
      <c r="F3" s="112">
        <v>35.5</v>
      </c>
      <c r="G3" s="119">
        <v>78.056278908807101</v>
      </c>
      <c r="H3" s="112">
        <v>39.331408609001699</v>
      </c>
      <c r="I3" s="48" t="s">
        <v>10</v>
      </c>
      <c r="J3" s="59">
        <v>6.6</v>
      </c>
      <c r="K3" s="126">
        <v>13.0677355852864</v>
      </c>
      <c r="L3" s="112">
        <v>7.7566988649620798</v>
      </c>
      <c r="M3" s="196" t="s">
        <v>11</v>
      </c>
      <c r="N3" s="196"/>
      <c r="O3" s="49" t="s">
        <v>12</v>
      </c>
      <c r="P3" s="49" t="s">
        <v>13</v>
      </c>
      <c r="Q3" s="181" t="s">
        <v>14</v>
      </c>
      <c r="R3" s="181" t="s">
        <v>15</v>
      </c>
      <c r="S3" s="181" t="s">
        <v>16</v>
      </c>
      <c r="T3" s="49" t="s">
        <v>17</v>
      </c>
      <c r="U3" s="181" t="s">
        <v>18</v>
      </c>
      <c r="V3" s="181" t="s">
        <v>19</v>
      </c>
      <c r="W3" s="197" t="s">
        <v>20</v>
      </c>
      <c r="X3" s="197"/>
      <c r="Y3" s="181" t="s">
        <v>21</v>
      </c>
      <c r="Z3" s="188" t="s">
        <v>22</v>
      </c>
    </row>
    <row r="4" spans="1:26" ht="12.5" customHeight="1">
      <c r="A4" s="48" t="s">
        <v>23</v>
      </c>
      <c r="B4" s="54">
        <v>0.73450000000000004</v>
      </c>
      <c r="C4" s="155">
        <v>0.66827928239697898</v>
      </c>
      <c r="D4" s="155">
        <v>0.75989580405802504</v>
      </c>
      <c r="E4" s="48" t="s">
        <v>24</v>
      </c>
      <c r="F4" s="48">
        <v>105</v>
      </c>
      <c r="G4" s="126">
        <v>188.12130188999299</v>
      </c>
      <c r="H4" s="112">
        <v>105.55884069813099</v>
      </c>
      <c r="I4" s="48" t="s">
        <v>25</v>
      </c>
      <c r="J4" s="59">
        <v>3.5999999999999997E-2</v>
      </c>
      <c r="K4" s="165">
        <v>6.3568302047537301E-2</v>
      </c>
      <c r="L4" s="166">
        <v>3.4715096502105601E-2</v>
      </c>
      <c r="M4" s="38" t="s">
        <v>26</v>
      </c>
      <c r="N4" s="38" t="s">
        <v>27</v>
      </c>
      <c r="O4" s="59" t="s">
        <v>27</v>
      </c>
      <c r="P4" s="59" t="s">
        <v>27</v>
      </c>
      <c r="Q4" s="59" t="s">
        <v>27</v>
      </c>
      <c r="R4" s="59" t="s">
        <v>27</v>
      </c>
      <c r="S4" s="59" t="s">
        <v>27</v>
      </c>
      <c r="T4" s="59" t="s">
        <v>27</v>
      </c>
      <c r="U4" s="59" t="s">
        <v>27</v>
      </c>
      <c r="V4" s="59" t="s">
        <v>27</v>
      </c>
      <c r="W4" s="198" t="s">
        <v>27</v>
      </c>
      <c r="X4" s="198"/>
      <c r="Y4" s="59" t="s">
        <v>27</v>
      </c>
      <c r="Z4" s="59" t="s">
        <v>27</v>
      </c>
    </row>
    <row r="5" spans="1:26" ht="12" customHeight="1">
      <c r="A5" s="48" t="s">
        <v>28</v>
      </c>
      <c r="B5" s="54">
        <v>3.0599999999999999E-2</v>
      </c>
      <c r="C5" s="136">
        <v>5.7677439683160699E-2</v>
      </c>
      <c r="D5" s="155">
        <v>3.00809548906062E-2</v>
      </c>
      <c r="E5" s="48" t="s">
        <v>29</v>
      </c>
      <c r="F5" s="112">
        <v>0.55000000000000004</v>
      </c>
      <c r="G5" s="119">
        <v>1.4890817116405599</v>
      </c>
      <c r="H5" s="112">
        <v>0.52379231202477405</v>
      </c>
      <c r="I5" s="48" t="s">
        <v>30</v>
      </c>
      <c r="J5" s="59">
        <v>0.4</v>
      </c>
      <c r="K5" s="167">
        <v>0.75652647088645997</v>
      </c>
      <c r="L5" s="112">
        <v>0.36505603877445503</v>
      </c>
      <c r="M5" s="38" t="s">
        <v>31</v>
      </c>
      <c r="N5" s="38" t="s">
        <v>31</v>
      </c>
      <c r="O5" s="38" t="s">
        <v>31</v>
      </c>
      <c r="P5" s="38" t="s">
        <v>31</v>
      </c>
      <c r="Q5" s="38" t="s">
        <v>31</v>
      </c>
      <c r="R5" s="38" t="s">
        <v>31</v>
      </c>
      <c r="S5" s="38" t="s">
        <v>31</v>
      </c>
      <c r="T5" s="38" t="s">
        <v>31</v>
      </c>
      <c r="U5" s="38" t="s">
        <v>31</v>
      </c>
      <c r="V5" s="38" t="s">
        <v>31</v>
      </c>
      <c r="W5" s="199" t="s">
        <v>31</v>
      </c>
      <c r="X5" s="199"/>
      <c r="Y5" s="38" t="s">
        <v>31</v>
      </c>
      <c r="Z5" s="38" t="s">
        <v>31</v>
      </c>
    </row>
    <row r="6" spans="1:26" ht="12" customHeight="1">
      <c r="A6" s="48" t="s">
        <v>32</v>
      </c>
      <c r="B6" s="54">
        <v>4.3799999999999999E-2</v>
      </c>
      <c r="C6" s="136">
        <v>6.7061100366351697E-2</v>
      </c>
      <c r="D6" s="155">
        <v>4.44921268623008E-2</v>
      </c>
      <c r="E6" s="48" t="s">
        <v>33</v>
      </c>
      <c r="F6" s="48">
        <v>120</v>
      </c>
      <c r="G6" s="122">
        <v>151.65232190551501</v>
      </c>
      <c r="H6" s="112">
        <v>133.15826478789899</v>
      </c>
      <c r="I6" s="48" t="s">
        <v>34</v>
      </c>
      <c r="J6" s="59">
        <v>0.18</v>
      </c>
      <c r="K6" s="168">
        <v>0.30449061410436501</v>
      </c>
      <c r="L6" s="169">
        <v>0.17366551079286999</v>
      </c>
      <c r="M6" s="38">
        <v>8</v>
      </c>
      <c r="N6" s="38">
        <v>60</v>
      </c>
      <c r="O6" s="59">
        <v>60</v>
      </c>
      <c r="P6" s="59">
        <v>60</v>
      </c>
      <c r="Q6" s="59">
        <v>1000</v>
      </c>
      <c r="R6" s="59">
        <v>1000</v>
      </c>
      <c r="S6" s="59">
        <v>1000</v>
      </c>
      <c r="T6" s="59">
        <v>1000</v>
      </c>
      <c r="U6" s="38">
        <v>2500</v>
      </c>
      <c r="V6" s="38">
        <v>2500</v>
      </c>
      <c r="W6" s="199">
        <v>1000</v>
      </c>
      <c r="X6" s="199"/>
      <c r="Y6" s="38">
        <v>1000</v>
      </c>
      <c r="Z6" s="59">
        <v>1000</v>
      </c>
    </row>
    <row r="7" spans="1:26" ht="12" customHeight="1">
      <c r="A7" s="48" t="s">
        <v>35</v>
      </c>
      <c r="B7" s="112">
        <v>1.1599999999999999</v>
      </c>
      <c r="C7" s="126">
        <v>0.45084873081775001</v>
      </c>
      <c r="D7" s="112">
        <v>1.6226444008698699</v>
      </c>
      <c r="E7" s="48" t="s">
        <v>36</v>
      </c>
      <c r="F7" s="106">
        <v>1.3293413173652699</v>
      </c>
      <c r="G7" s="126">
        <v>0</v>
      </c>
      <c r="H7" s="112">
        <v>1.23358569104416</v>
      </c>
      <c r="I7" s="59" t="s">
        <v>37</v>
      </c>
      <c r="J7" s="170">
        <v>0.7</v>
      </c>
      <c r="K7" s="171">
        <v>0.62992696099177903</v>
      </c>
      <c r="L7" s="150">
        <v>0.73108270074788795</v>
      </c>
      <c r="M7" s="172">
        <v>0.1</v>
      </c>
      <c r="N7" s="172">
        <v>23.22</v>
      </c>
      <c r="O7" s="172">
        <v>30.57</v>
      </c>
      <c r="P7" s="172">
        <v>55</v>
      </c>
      <c r="Q7" s="38">
        <v>65</v>
      </c>
      <c r="R7" s="38">
        <v>301</v>
      </c>
      <c r="S7" s="38">
        <v>0</v>
      </c>
      <c r="T7" s="38">
        <v>350</v>
      </c>
      <c r="U7" s="38">
        <v>600</v>
      </c>
      <c r="V7" s="38">
        <v>2050</v>
      </c>
      <c r="W7" s="199">
        <v>88</v>
      </c>
      <c r="X7" s="199"/>
      <c r="Y7" s="38">
        <v>89</v>
      </c>
      <c r="Z7" s="38">
        <v>126</v>
      </c>
    </row>
    <row r="8" spans="1:26" ht="12.5" customHeight="1">
      <c r="A8" s="200" t="s">
        <v>38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spans="1:26" ht="12.5" customHeight="1">
      <c r="A9" s="59" t="s">
        <v>6</v>
      </c>
      <c r="B9" s="59" t="s">
        <v>39</v>
      </c>
      <c r="C9" s="59" t="s">
        <v>4</v>
      </c>
      <c r="D9" s="59" t="s">
        <v>5</v>
      </c>
      <c r="E9" s="59" t="s">
        <v>6</v>
      </c>
      <c r="F9" s="59" t="s">
        <v>39</v>
      </c>
      <c r="G9" s="59" t="s">
        <v>4</v>
      </c>
      <c r="H9" s="59" t="s">
        <v>5</v>
      </c>
      <c r="I9" s="59" t="s">
        <v>6</v>
      </c>
      <c r="J9" s="59" t="s">
        <v>39</v>
      </c>
      <c r="K9" s="59" t="s">
        <v>4</v>
      </c>
      <c r="L9" s="59" t="s">
        <v>5</v>
      </c>
      <c r="M9" s="202" t="s">
        <v>40</v>
      </c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 spans="1:26" ht="12" customHeight="1">
      <c r="A10" s="59" t="s">
        <v>41</v>
      </c>
      <c r="B10" s="156">
        <v>0.09</v>
      </c>
      <c r="C10" s="155">
        <v>1.86248333882661E-2</v>
      </c>
      <c r="D10" s="155">
        <v>0.147209150624346</v>
      </c>
      <c r="E10" s="25" t="s">
        <v>42</v>
      </c>
      <c r="F10" s="156">
        <v>0.92500000000000004</v>
      </c>
      <c r="G10" s="157">
        <v>0.93255741371119205</v>
      </c>
      <c r="H10" s="157">
        <v>0.93620120182175504</v>
      </c>
      <c r="I10" s="51" t="s">
        <v>43</v>
      </c>
      <c r="J10" s="156">
        <v>0.97499999999999998</v>
      </c>
      <c r="K10" s="54">
        <v>0.83919999999999995</v>
      </c>
      <c r="L10" s="54">
        <v>0.97140000000000004</v>
      </c>
      <c r="M10" s="196" t="s">
        <v>44</v>
      </c>
      <c r="N10" s="196"/>
      <c r="O10" s="196" t="s">
        <v>45</v>
      </c>
      <c r="P10" s="196"/>
      <c r="Q10" s="196" t="s">
        <v>46</v>
      </c>
      <c r="R10" s="196"/>
      <c r="S10" s="196" t="s">
        <v>47</v>
      </c>
      <c r="T10" s="196"/>
      <c r="U10" s="196" t="s">
        <v>48</v>
      </c>
      <c r="V10" s="196"/>
      <c r="W10" s="196" t="s">
        <v>49</v>
      </c>
      <c r="X10" s="196"/>
      <c r="Y10" s="196"/>
      <c r="Z10" s="39" t="s">
        <v>50</v>
      </c>
    </row>
    <row r="11" spans="1:26" ht="12" customHeight="1">
      <c r="A11" s="59" t="s">
        <v>51</v>
      </c>
      <c r="B11" s="156">
        <v>5.5E-2</v>
      </c>
      <c r="C11" s="150">
        <v>5.3826592738167402E-2</v>
      </c>
      <c r="D11" s="150">
        <v>5.2148971610535201E-2</v>
      </c>
      <c r="E11" s="25" t="s">
        <v>52</v>
      </c>
      <c r="F11" s="156">
        <v>0.92500000000000004</v>
      </c>
      <c r="G11" s="157">
        <v>0.91943665122625495</v>
      </c>
      <c r="H11" s="157">
        <v>0.91788397380336695</v>
      </c>
      <c r="I11" s="25" t="s">
        <v>53</v>
      </c>
      <c r="J11" s="156">
        <v>0.95</v>
      </c>
      <c r="K11" s="150">
        <v>0.97329931034482797</v>
      </c>
      <c r="L11" s="150">
        <v>1.0302549443309199</v>
      </c>
      <c r="M11" s="38" t="s">
        <v>54</v>
      </c>
      <c r="N11" s="38" t="s">
        <v>55</v>
      </c>
      <c r="O11" s="38" t="s">
        <v>54</v>
      </c>
      <c r="P11" s="38" t="s">
        <v>55</v>
      </c>
      <c r="Q11" s="38" t="s">
        <v>54</v>
      </c>
      <c r="R11" s="38" t="s">
        <v>55</v>
      </c>
      <c r="S11" s="38" t="s">
        <v>54</v>
      </c>
      <c r="T11" s="38" t="s">
        <v>55</v>
      </c>
      <c r="U11" s="38" t="s">
        <v>54</v>
      </c>
      <c r="V11" s="38" t="s">
        <v>55</v>
      </c>
      <c r="W11" s="199" t="s">
        <v>54</v>
      </c>
      <c r="X11" s="199"/>
      <c r="Y11" s="38" t="s">
        <v>55</v>
      </c>
      <c r="Z11" s="38" t="s">
        <v>54</v>
      </c>
    </row>
    <row r="12" spans="1:26" ht="12" customHeight="1">
      <c r="A12" s="28" t="s">
        <v>56</v>
      </c>
      <c r="B12" s="156">
        <v>0.13200000000000001</v>
      </c>
      <c r="C12" s="54">
        <v>0.134028227018851</v>
      </c>
      <c r="D12" s="54">
        <v>0.13587781906527599</v>
      </c>
      <c r="E12" s="59" t="s">
        <v>57</v>
      </c>
      <c r="F12" s="156">
        <v>3.5999999999999997E-2</v>
      </c>
      <c r="G12" s="150">
        <v>3.7802000000000002E-2</v>
      </c>
      <c r="H12" s="150">
        <v>3.7761000000000003E-2</v>
      </c>
      <c r="I12" s="59" t="s">
        <v>58</v>
      </c>
      <c r="J12" s="55">
        <v>1.0049999999999999</v>
      </c>
      <c r="K12" s="173">
        <v>1.0019936114913801</v>
      </c>
      <c r="L12" s="173">
        <v>1.0024519229842199</v>
      </c>
      <c r="M12" s="38" t="s">
        <v>59</v>
      </c>
      <c r="N12" s="38" t="s">
        <v>59</v>
      </c>
      <c r="O12" s="38" t="s">
        <v>59</v>
      </c>
      <c r="P12" s="38" t="s">
        <v>59</v>
      </c>
      <c r="Q12" s="38" t="s">
        <v>59</v>
      </c>
      <c r="R12" s="38" t="s">
        <v>59</v>
      </c>
      <c r="S12" s="38" t="s">
        <v>59</v>
      </c>
      <c r="T12" s="38" t="s">
        <v>59</v>
      </c>
      <c r="U12" s="38" t="s">
        <v>59</v>
      </c>
      <c r="V12" s="38" t="s">
        <v>59</v>
      </c>
      <c r="W12" s="199" t="s">
        <v>59</v>
      </c>
      <c r="X12" s="199"/>
      <c r="Y12" s="38" t="s">
        <v>59</v>
      </c>
      <c r="Z12" s="38" t="s">
        <v>59</v>
      </c>
    </row>
    <row r="13" spans="1:26" ht="12" customHeight="1">
      <c r="A13" s="28" t="s">
        <v>60</v>
      </c>
      <c r="B13" s="156">
        <v>5.3999999999999999E-2</v>
      </c>
      <c r="C13" s="54">
        <v>5.6138784361247501E-2</v>
      </c>
      <c r="D13" s="54">
        <v>5.7526171588012702E-2</v>
      </c>
      <c r="E13" s="158" t="s">
        <v>61</v>
      </c>
      <c r="F13" s="55">
        <v>90.5</v>
      </c>
      <c r="G13" s="106">
        <v>90.773901614388905</v>
      </c>
      <c r="H13" s="159">
        <v>90.817861862763294</v>
      </c>
      <c r="I13" s="59" t="s">
        <v>62</v>
      </c>
      <c r="J13" s="55">
        <v>100</v>
      </c>
      <c r="K13" s="139">
        <v>99.537000000000006</v>
      </c>
      <c r="L13" s="139">
        <v>99.2361111111111</v>
      </c>
      <c r="M13" s="38">
        <v>100</v>
      </c>
      <c r="N13" s="38">
        <v>150</v>
      </c>
      <c r="O13" s="38">
        <v>100</v>
      </c>
      <c r="P13" s="38">
        <v>150</v>
      </c>
      <c r="Q13" s="38">
        <v>100</v>
      </c>
      <c r="R13" s="38">
        <v>150</v>
      </c>
      <c r="S13" s="38">
        <v>100</v>
      </c>
      <c r="T13" s="38">
        <v>150</v>
      </c>
      <c r="U13" s="38">
        <v>100</v>
      </c>
      <c r="V13" s="38">
        <v>150</v>
      </c>
      <c r="W13" s="199">
        <v>100</v>
      </c>
      <c r="X13" s="199"/>
      <c r="Y13" s="38">
        <v>200</v>
      </c>
      <c r="Z13" s="38">
        <v>100</v>
      </c>
    </row>
    <row r="14" spans="1:26" ht="12.25" customHeight="1">
      <c r="A14" s="202" t="s">
        <v>63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172">
        <v>44.35</v>
      </c>
      <c r="N14" s="174">
        <v>298.36</v>
      </c>
      <c r="O14" s="172">
        <v>8.14</v>
      </c>
      <c r="P14" s="175">
        <v>224.68</v>
      </c>
      <c r="Q14" s="172">
        <v>4.51</v>
      </c>
      <c r="R14" s="172">
        <v>110.55</v>
      </c>
      <c r="S14" s="172">
        <v>4.51</v>
      </c>
      <c r="T14" s="172">
        <v>110.55</v>
      </c>
      <c r="U14" s="172">
        <v>2.41</v>
      </c>
      <c r="V14" s="172">
        <v>48.88</v>
      </c>
      <c r="W14" s="203">
        <v>29.88</v>
      </c>
      <c r="X14" s="203"/>
      <c r="Y14" s="172">
        <v>132.41</v>
      </c>
      <c r="Z14" s="172">
        <v>7.56</v>
      </c>
    </row>
    <row r="15" spans="1:26" ht="12.25" customHeight="1">
      <c r="A15" s="38" t="s">
        <v>64</v>
      </c>
      <c r="B15" s="143" t="s">
        <v>65</v>
      </c>
      <c r="C15" s="48" t="s">
        <v>66</v>
      </c>
      <c r="D15" s="48" t="s">
        <v>67</v>
      </c>
      <c r="E15" s="48" t="s">
        <v>68</v>
      </c>
      <c r="F15" s="160" t="s">
        <v>69</v>
      </c>
      <c r="G15" s="38" t="s">
        <v>64</v>
      </c>
      <c r="H15" s="143" t="s">
        <v>65</v>
      </c>
      <c r="I15" s="48" t="s">
        <v>66</v>
      </c>
      <c r="J15" s="48" t="s">
        <v>70</v>
      </c>
      <c r="K15" s="48" t="s">
        <v>68</v>
      </c>
      <c r="L15" s="24" t="s">
        <v>69</v>
      </c>
      <c r="M15" s="39" t="s">
        <v>50</v>
      </c>
      <c r="N15" s="196" t="s">
        <v>71</v>
      </c>
      <c r="O15" s="196"/>
      <c r="P15" s="196" t="s">
        <v>72</v>
      </c>
      <c r="Q15" s="196"/>
      <c r="R15" s="196" t="s">
        <v>73</v>
      </c>
      <c r="S15" s="196"/>
      <c r="T15" s="196" t="s">
        <v>74</v>
      </c>
      <c r="U15" s="196"/>
      <c r="V15" s="196" t="s">
        <v>75</v>
      </c>
      <c r="W15" s="196"/>
      <c r="X15" s="196"/>
      <c r="Y15" s="196" t="s">
        <v>76</v>
      </c>
      <c r="Z15" s="196"/>
    </row>
    <row r="16" spans="1:26" ht="12.25" customHeight="1">
      <c r="A16" s="38" t="s">
        <v>77</v>
      </c>
      <c r="B16" s="144"/>
      <c r="C16" s="45">
        <v>542.79833333333295</v>
      </c>
      <c r="D16" s="136">
        <v>0.45595059999999998</v>
      </c>
      <c r="E16" s="45">
        <v>-45657.218571428602</v>
      </c>
      <c r="F16" s="54">
        <v>0.90258677027027001</v>
      </c>
      <c r="G16" s="38" t="s">
        <v>78</v>
      </c>
      <c r="H16" s="144">
        <v>0</v>
      </c>
      <c r="I16" s="45">
        <v>91.252499999999998</v>
      </c>
      <c r="J16" s="54">
        <v>0.63622999999999996</v>
      </c>
      <c r="K16" s="45">
        <v>-22518.2776892857</v>
      </c>
      <c r="L16" s="54">
        <v>0.706585658630425</v>
      </c>
      <c r="M16" s="38" t="s">
        <v>55</v>
      </c>
      <c r="N16" s="38" t="s">
        <v>54</v>
      </c>
      <c r="O16" s="38" t="s">
        <v>55</v>
      </c>
      <c r="P16" s="38" t="s">
        <v>54</v>
      </c>
      <c r="Q16" s="38" t="s">
        <v>55</v>
      </c>
      <c r="R16" s="38" t="s">
        <v>54</v>
      </c>
      <c r="S16" s="38" t="s">
        <v>55</v>
      </c>
      <c r="T16" s="38" t="s">
        <v>54</v>
      </c>
      <c r="U16" s="38" t="s">
        <v>55</v>
      </c>
      <c r="V16" s="38" t="s">
        <v>54</v>
      </c>
      <c r="W16" s="199" t="s">
        <v>55</v>
      </c>
      <c r="X16" s="199"/>
      <c r="Y16" s="38" t="s">
        <v>54</v>
      </c>
      <c r="Z16" s="38" t="s">
        <v>55</v>
      </c>
    </row>
    <row r="17" spans="1:26" ht="12" customHeight="1">
      <c r="A17" s="38" t="s">
        <v>79</v>
      </c>
      <c r="B17" s="144">
        <v>0.322963132967514</v>
      </c>
      <c r="C17" s="45">
        <v>199.70416666666699</v>
      </c>
      <c r="D17" s="54">
        <v>0.67100599999999999</v>
      </c>
      <c r="E17" s="45">
        <v>13743.425042857099</v>
      </c>
      <c r="F17" s="54">
        <v>1.06213581689106</v>
      </c>
      <c r="G17" s="38" t="s">
        <v>80</v>
      </c>
      <c r="H17" s="144">
        <v>0</v>
      </c>
      <c r="I17" s="45">
        <v>34.103749999999998</v>
      </c>
      <c r="J17" s="54">
        <v>0.64468336483931898</v>
      </c>
      <c r="K17" s="45">
        <v>5406.6423571428604</v>
      </c>
      <c r="L17" s="54">
        <v>1.19055995257762</v>
      </c>
      <c r="M17" s="38" t="s">
        <v>59</v>
      </c>
      <c r="N17" s="38" t="s">
        <v>59</v>
      </c>
      <c r="O17" s="38" t="s">
        <v>59</v>
      </c>
      <c r="P17" s="38" t="s">
        <v>59</v>
      </c>
      <c r="Q17" s="38" t="s">
        <v>59</v>
      </c>
      <c r="R17" s="38" t="s">
        <v>59</v>
      </c>
      <c r="S17" s="38" t="s">
        <v>59</v>
      </c>
      <c r="T17" s="38" t="s">
        <v>59</v>
      </c>
      <c r="U17" s="38" t="s">
        <v>59</v>
      </c>
      <c r="V17" s="38" t="s">
        <v>59</v>
      </c>
      <c r="W17" s="199" t="s">
        <v>59</v>
      </c>
      <c r="X17" s="199"/>
      <c r="Y17" s="38" t="s">
        <v>59</v>
      </c>
      <c r="Z17" s="38" t="s">
        <v>59</v>
      </c>
    </row>
    <row r="18" spans="1:26" ht="12" customHeight="1">
      <c r="A18" s="38" t="s">
        <v>81</v>
      </c>
      <c r="B18" s="144">
        <v>1</v>
      </c>
      <c r="C18" s="45">
        <v>224.930833333333</v>
      </c>
      <c r="D18" s="57">
        <v>0.59044343749999995</v>
      </c>
      <c r="E18" s="45">
        <v>-2676.4775249999998</v>
      </c>
      <c r="F18" s="54">
        <v>0.95013396871822298</v>
      </c>
      <c r="G18" s="38" t="s">
        <v>82</v>
      </c>
      <c r="H18" s="144" t="s">
        <v>83</v>
      </c>
      <c r="I18" s="45" t="s">
        <v>83</v>
      </c>
      <c r="J18" s="54" t="s">
        <v>83</v>
      </c>
      <c r="K18" s="45" t="s">
        <v>83</v>
      </c>
      <c r="L18" s="54" t="s">
        <v>83</v>
      </c>
      <c r="M18" s="38">
        <v>150</v>
      </c>
      <c r="N18" s="38">
        <v>100</v>
      </c>
      <c r="O18" s="38">
        <v>150</v>
      </c>
      <c r="P18" s="38">
        <v>100</v>
      </c>
      <c r="Q18" s="38">
        <v>150</v>
      </c>
      <c r="R18" s="38">
        <v>100</v>
      </c>
      <c r="S18" s="38">
        <v>150</v>
      </c>
      <c r="T18" s="38">
        <v>100</v>
      </c>
      <c r="U18" s="38">
        <v>180</v>
      </c>
      <c r="V18" s="38">
        <v>100</v>
      </c>
      <c r="W18" s="199">
        <v>150</v>
      </c>
      <c r="X18" s="199"/>
      <c r="Y18" s="38">
        <v>100</v>
      </c>
      <c r="Z18" s="38">
        <v>150</v>
      </c>
    </row>
    <row r="19" spans="1:26" ht="12" customHeight="1">
      <c r="A19" s="38" t="s">
        <v>84</v>
      </c>
      <c r="B19" s="144">
        <v>0.103077018921996</v>
      </c>
      <c r="C19" s="45">
        <v>367.847916666667</v>
      </c>
      <c r="D19" s="54">
        <v>0.88283500000000004</v>
      </c>
      <c r="E19" s="45">
        <v>-11068.2899821429</v>
      </c>
      <c r="F19" s="54">
        <v>0.92407832529103995</v>
      </c>
      <c r="G19" s="38" t="s">
        <v>85</v>
      </c>
      <c r="H19" s="144">
        <v>1</v>
      </c>
      <c r="I19" s="45">
        <v>16.260833333333299</v>
      </c>
      <c r="J19" s="136">
        <v>0.45168981481481502</v>
      </c>
      <c r="K19" s="45">
        <v>2162.9510714285698</v>
      </c>
      <c r="L19" s="54">
        <v>0.96708020269089601</v>
      </c>
      <c r="M19" s="172">
        <v>49.42</v>
      </c>
      <c r="N19" s="172">
        <v>4.4400000000000004</v>
      </c>
      <c r="O19" s="172">
        <v>76.010000000000005</v>
      </c>
      <c r="P19" s="172">
        <v>4.4400000000000004</v>
      </c>
      <c r="Q19" s="172">
        <v>76.010000000000005</v>
      </c>
      <c r="R19" s="172">
        <v>8.94</v>
      </c>
      <c r="S19" s="172">
        <v>31.36</v>
      </c>
      <c r="T19" s="172">
        <v>4.09</v>
      </c>
      <c r="U19" s="172">
        <v>94.28</v>
      </c>
      <c r="V19" s="172">
        <v>17</v>
      </c>
      <c r="W19" s="203">
        <v>74.510000000000005</v>
      </c>
      <c r="X19" s="203"/>
      <c r="Y19" s="172">
        <v>7.69</v>
      </c>
      <c r="Z19" s="172">
        <v>65.010000000000005</v>
      </c>
    </row>
    <row r="20" spans="1:26" ht="12" customHeight="1">
      <c r="A20" s="38" t="s">
        <v>86</v>
      </c>
      <c r="B20" s="144">
        <v>0.90280209648240095</v>
      </c>
      <c r="C20" s="45">
        <v>143.25583333333299</v>
      </c>
      <c r="D20" s="54">
        <v>0.85953500000000005</v>
      </c>
      <c r="E20" s="45">
        <v>-11260.11615</v>
      </c>
      <c r="F20" s="54">
        <v>0.85069713705244299</v>
      </c>
      <c r="G20" s="38" t="s">
        <v>87</v>
      </c>
      <c r="H20" s="144">
        <v>1</v>
      </c>
      <c r="I20" s="94">
        <v>9.7095853749999996</v>
      </c>
      <c r="J20" s="54">
        <v>0.65165002516778503</v>
      </c>
      <c r="L20" s="54">
        <v>1.08948525789779</v>
      </c>
      <c r="M20" s="196" t="s">
        <v>88</v>
      </c>
      <c r="N20" s="196"/>
      <c r="O20" s="196" t="s">
        <v>89</v>
      </c>
      <c r="P20" s="196"/>
      <c r="Q20" s="182" t="s">
        <v>90</v>
      </c>
      <c r="R20" s="196" t="s">
        <v>91</v>
      </c>
      <c r="S20" s="196"/>
      <c r="T20" s="204" t="s">
        <v>92</v>
      </c>
      <c r="U20" s="204"/>
      <c r="V20" s="204"/>
      <c r="W20" s="196" t="s">
        <v>93</v>
      </c>
      <c r="X20" s="196"/>
      <c r="Y20" s="196"/>
      <c r="Z20" s="196"/>
    </row>
    <row r="21" spans="1:26" ht="12" customHeight="1">
      <c r="A21" s="38" t="s">
        <v>94</v>
      </c>
      <c r="B21" s="144">
        <v>1</v>
      </c>
      <c r="C21" s="45">
        <v>71.649583333333297</v>
      </c>
      <c r="D21" s="54">
        <v>0.60185650000000002</v>
      </c>
      <c r="E21" s="45">
        <v>-12924.701653571399</v>
      </c>
      <c r="F21" s="54">
        <v>0.72256220180016295</v>
      </c>
      <c r="G21" s="38" t="s">
        <v>95</v>
      </c>
      <c r="H21" s="144">
        <v>0</v>
      </c>
      <c r="I21" s="45">
        <v>69.4745833333333</v>
      </c>
      <c r="J21" s="53">
        <v>0.26526659090909099</v>
      </c>
      <c r="K21" s="45">
        <v>-16488.662314285699</v>
      </c>
      <c r="L21" s="54">
        <v>0.85575726584968104</v>
      </c>
      <c r="M21" s="38" t="s">
        <v>54</v>
      </c>
      <c r="N21" s="38" t="s">
        <v>55</v>
      </c>
      <c r="O21" s="38" t="s">
        <v>54</v>
      </c>
      <c r="P21" s="38" t="s">
        <v>55</v>
      </c>
      <c r="Q21" s="38" t="s">
        <v>54</v>
      </c>
      <c r="R21" s="38" t="s">
        <v>54</v>
      </c>
      <c r="S21" s="38" t="s">
        <v>55</v>
      </c>
      <c r="T21" s="45" t="s">
        <v>54</v>
      </c>
      <c r="U21" s="54" t="s">
        <v>55</v>
      </c>
      <c r="V21" s="38" t="s">
        <v>96</v>
      </c>
      <c r="W21" s="199" t="s">
        <v>54</v>
      </c>
      <c r="X21" s="199"/>
      <c r="Y21" s="38" t="s">
        <v>55</v>
      </c>
      <c r="Z21" s="38" t="s">
        <v>96</v>
      </c>
    </row>
    <row r="22" spans="1:26" ht="11.4" customHeight="1">
      <c r="A22" s="38" t="s">
        <v>97</v>
      </c>
      <c r="B22" s="144">
        <v>1</v>
      </c>
      <c r="C22" s="45">
        <v>51.469583333333297</v>
      </c>
      <c r="D22" s="54">
        <v>0.81118100000000004</v>
      </c>
      <c r="E22" s="45">
        <v>1899.12951428571</v>
      </c>
      <c r="F22" s="54">
        <v>1.02424052256469</v>
      </c>
      <c r="G22" s="38" t="s">
        <v>98</v>
      </c>
      <c r="H22" s="144">
        <v>0.29612765470184499</v>
      </c>
      <c r="I22" s="45">
        <v>61.859583333333298</v>
      </c>
      <c r="J22" s="53">
        <v>0.216508541666667</v>
      </c>
      <c r="K22" s="45">
        <v>-13956.4265</v>
      </c>
      <c r="L22" s="54">
        <v>0.89234140566490805</v>
      </c>
      <c r="M22" s="38" t="s">
        <v>59</v>
      </c>
      <c r="N22" s="38" t="s">
        <v>59</v>
      </c>
      <c r="O22" s="38" t="s">
        <v>59</v>
      </c>
      <c r="P22" s="38" t="s">
        <v>59</v>
      </c>
      <c r="Q22" s="38" t="s">
        <v>59</v>
      </c>
      <c r="R22" s="38" t="s">
        <v>59</v>
      </c>
      <c r="S22" s="38" t="s">
        <v>59</v>
      </c>
      <c r="T22" s="38" t="s">
        <v>59</v>
      </c>
      <c r="U22" s="38" t="s">
        <v>59</v>
      </c>
      <c r="V22" s="38" t="s">
        <v>59</v>
      </c>
      <c r="W22" s="199" t="s">
        <v>59</v>
      </c>
      <c r="X22" s="199"/>
      <c r="Y22" s="38" t="s">
        <v>59</v>
      </c>
      <c r="Z22" s="38" t="s">
        <v>59</v>
      </c>
    </row>
    <row r="23" spans="1:26" ht="12" customHeight="1">
      <c r="A23" s="38" t="s">
        <v>99</v>
      </c>
      <c r="B23" s="144">
        <v>1</v>
      </c>
      <c r="C23" s="45">
        <v>55.838333333333303</v>
      </c>
      <c r="D23" s="54">
        <v>0.78173666666666697</v>
      </c>
      <c r="E23" s="45">
        <v>-10116.415800000001</v>
      </c>
      <c r="F23" s="54">
        <v>0.76030462601544202</v>
      </c>
      <c r="G23" s="38" t="s">
        <v>100</v>
      </c>
      <c r="H23" s="144">
        <v>0</v>
      </c>
      <c r="I23" s="45">
        <v>0</v>
      </c>
      <c r="J23" s="53">
        <v>0</v>
      </c>
      <c r="K23" s="45">
        <v>0</v>
      </c>
      <c r="L23" s="54">
        <v>0</v>
      </c>
      <c r="M23" s="38">
        <v>100</v>
      </c>
      <c r="N23" s="38">
        <v>150</v>
      </c>
      <c r="O23" s="38">
        <v>100</v>
      </c>
      <c r="P23" s="38">
        <v>150</v>
      </c>
      <c r="Q23" s="38">
        <v>400</v>
      </c>
      <c r="R23" s="38">
        <v>100</v>
      </c>
      <c r="S23" s="38">
        <v>150</v>
      </c>
      <c r="T23" s="38">
        <v>200</v>
      </c>
      <c r="U23" s="38">
        <v>200</v>
      </c>
      <c r="V23" s="38">
        <v>30</v>
      </c>
      <c r="W23" s="199">
        <v>100</v>
      </c>
      <c r="X23" s="199"/>
      <c r="Y23" s="38">
        <v>100</v>
      </c>
      <c r="Z23" s="38">
        <v>30</v>
      </c>
    </row>
    <row r="24" spans="1:26" ht="11.4" customHeight="1">
      <c r="A24" s="38" t="s">
        <v>101</v>
      </c>
      <c r="B24" s="144">
        <v>1</v>
      </c>
      <c r="C24" s="45">
        <v>150.88333333333301</v>
      </c>
      <c r="D24" s="57">
        <v>0.57609999999999995</v>
      </c>
      <c r="E24" s="45">
        <v>-5527.8029785714298</v>
      </c>
      <c r="F24" s="54">
        <v>0.92465987347256096</v>
      </c>
      <c r="G24" s="38" t="s">
        <v>102</v>
      </c>
      <c r="H24" s="144">
        <v>3.75512030780897E-2</v>
      </c>
      <c r="I24" s="45">
        <v>335.16458333333298</v>
      </c>
      <c r="J24" s="54">
        <v>0.67032916666666698</v>
      </c>
      <c r="K24" s="45">
        <v>-7261.9445285714301</v>
      </c>
      <c r="L24" s="54">
        <v>0.94115332107935301</v>
      </c>
      <c r="M24" s="172">
        <v>0</v>
      </c>
      <c r="N24" s="172">
        <v>0</v>
      </c>
      <c r="O24" s="172">
        <v>8.5500000000000007</v>
      </c>
      <c r="P24" s="172">
        <v>74.8</v>
      </c>
      <c r="Q24" s="172">
        <v>272.12</v>
      </c>
      <c r="R24" s="172">
        <v>2.29</v>
      </c>
      <c r="S24" s="172">
        <v>21.87</v>
      </c>
      <c r="T24" s="38" t="s">
        <v>83</v>
      </c>
      <c r="U24" s="38" t="s">
        <v>83</v>
      </c>
      <c r="V24" s="38" t="s">
        <v>83</v>
      </c>
      <c r="W24" s="203">
        <v>0.62</v>
      </c>
      <c r="X24" s="203"/>
      <c r="Y24" s="172">
        <v>77.97</v>
      </c>
      <c r="Z24" s="172">
        <v>3.28</v>
      </c>
    </row>
    <row r="25" spans="1:26" ht="12.25" customHeight="1">
      <c r="A25" s="38" t="s">
        <v>103</v>
      </c>
      <c r="B25" s="144">
        <v>1</v>
      </c>
      <c r="C25" s="45">
        <v>124.85625</v>
      </c>
      <c r="D25" s="57">
        <v>0.54522379912663799</v>
      </c>
      <c r="E25" s="45">
        <v>-8205.4631857142904</v>
      </c>
      <c r="F25" s="54">
        <v>0.89555406608069499</v>
      </c>
      <c r="G25" s="38" t="s">
        <v>104</v>
      </c>
      <c r="H25" s="144">
        <v>1</v>
      </c>
      <c r="I25" s="45">
        <v>21.4508333333333</v>
      </c>
      <c r="J25" s="136">
        <v>0.465852560315971</v>
      </c>
      <c r="K25" s="45">
        <v>1254.1671428571401</v>
      </c>
      <c r="L25" s="54">
        <v>1.0356490121995601</v>
      </c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 spans="1:26" ht="12.25" customHeight="1">
      <c r="A26" s="38" t="s">
        <v>105</v>
      </c>
      <c r="B26" s="144">
        <v>1</v>
      </c>
      <c r="C26" s="45">
        <v>34.462499999999999</v>
      </c>
      <c r="D26" s="54">
        <v>0.72806999999999999</v>
      </c>
      <c r="E26" s="45">
        <v>12249.134425</v>
      </c>
      <c r="F26" s="54">
        <v>2.0015107636469298</v>
      </c>
      <c r="G26" s="38" t="s">
        <v>106</v>
      </c>
      <c r="H26" s="144" t="s">
        <v>83</v>
      </c>
      <c r="I26" s="45">
        <v>21.425833333333301</v>
      </c>
      <c r="J26" s="54">
        <v>0.85703333333333298</v>
      </c>
      <c r="K26" s="45">
        <v>-3372.5963964285702</v>
      </c>
      <c r="L26" s="54">
        <v>0.77469251039653597</v>
      </c>
      <c r="M26" s="202" t="s">
        <v>107</v>
      </c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spans="1:26" ht="12.25" customHeight="1">
      <c r="A27" s="195" t="s">
        <v>108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202" t="s">
        <v>109</v>
      </c>
      <c r="N27" s="202"/>
      <c r="O27" s="202"/>
      <c r="P27" s="202" t="s">
        <v>109</v>
      </c>
      <c r="Q27" s="202"/>
      <c r="R27" s="202"/>
      <c r="S27" s="202"/>
      <c r="T27" s="202" t="s">
        <v>110</v>
      </c>
      <c r="U27" s="202"/>
      <c r="V27" s="202"/>
      <c r="W27" s="202" t="s">
        <v>111</v>
      </c>
      <c r="X27" s="202"/>
      <c r="Y27" s="202"/>
      <c r="Z27" s="202"/>
    </row>
    <row r="28" spans="1:26" ht="12.25" customHeight="1">
      <c r="A28" s="38" t="s">
        <v>6</v>
      </c>
      <c r="B28" s="38" t="s">
        <v>112</v>
      </c>
      <c r="C28" s="38" t="s">
        <v>113</v>
      </c>
      <c r="D28" s="46" t="s">
        <v>114</v>
      </c>
      <c r="E28" s="46" t="s">
        <v>115</v>
      </c>
      <c r="F28" s="38" t="s">
        <v>116</v>
      </c>
      <c r="G28" s="38" t="s">
        <v>117</v>
      </c>
      <c r="H28" s="38" t="s">
        <v>118</v>
      </c>
      <c r="I28" s="38" t="s">
        <v>119</v>
      </c>
      <c r="J28" s="38" t="s">
        <v>120</v>
      </c>
      <c r="K28" s="38" t="s">
        <v>121</v>
      </c>
      <c r="L28" s="38" t="s">
        <v>122</v>
      </c>
      <c r="M28" s="39" t="s">
        <v>6</v>
      </c>
      <c r="N28" s="39" t="s">
        <v>39</v>
      </c>
      <c r="O28" s="39" t="s">
        <v>123</v>
      </c>
      <c r="P28" s="196" t="s">
        <v>6</v>
      </c>
      <c r="Q28" s="196"/>
      <c r="R28" s="39" t="s">
        <v>39</v>
      </c>
      <c r="S28" s="39" t="s">
        <v>123</v>
      </c>
      <c r="T28" s="39" t="s">
        <v>6</v>
      </c>
      <c r="U28" s="39" t="s">
        <v>39</v>
      </c>
      <c r="V28" s="39" t="s">
        <v>123</v>
      </c>
      <c r="W28" s="196" t="s">
        <v>6</v>
      </c>
      <c r="X28" s="196"/>
      <c r="Y28" s="39" t="s">
        <v>39</v>
      </c>
      <c r="Z28" s="39" t="s">
        <v>123</v>
      </c>
    </row>
    <row r="29" spans="1:26" ht="12.25" customHeight="1">
      <c r="A29" s="48" t="s">
        <v>124</v>
      </c>
      <c r="B29" s="45">
        <v>6055.43</v>
      </c>
      <c r="C29" s="45">
        <v>3042.29</v>
      </c>
      <c r="D29" s="45">
        <v>3013.14</v>
      </c>
      <c r="E29" s="48"/>
      <c r="F29" s="45">
        <v>16527.593000000001</v>
      </c>
      <c r="G29" s="45">
        <v>13827.724</v>
      </c>
      <c r="H29" s="45">
        <v>2699.8690000000001</v>
      </c>
      <c r="I29" s="45">
        <v>10305.093000000001</v>
      </c>
      <c r="J29" s="57">
        <v>0.289385894581906</v>
      </c>
      <c r="K29" s="45">
        <v>40585.049010000002</v>
      </c>
      <c r="L29" s="45">
        <v>57112.642010000003</v>
      </c>
      <c r="M29" s="37" t="s">
        <v>125</v>
      </c>
      <c r="N29" s="143" t="s">
        <v>126</v>
      </c>
      <c r="O29" s="143" t="s">
        <v>127</v>
      </c>
      <c r="P29" s="205" t="s">
        <v>128</v>
      </c>
      <c r="Q29" s="205"/>
      <c r="R29" s="143" t="s">
        <v>129</v>
      </c>
      <c r="S29" s="143" t="s">
        <v>130</v>
      </c>
      <c r="T29" s="25" t="s">
        <v>131</v>
      </c>
      <c r="U29" s="143" t="s">
        <v>132</v>
      </c>
      <c r="V29" s="143" t="s">
        <v>133</v>
      </c>
      <c r="W29" s="206" t="s">
        <v>134</v>
      </c>
      <c r="X29" s="206"/>
      <c r="Y29" s="143" t="s">
        <v>135</v>
      </c>
      <c r="Z29" s="143" t="s">
        <v>136</v>
      </c>
    </row>
    <row r="30" spans="1:26" ht="12.25" customHeight="1">
      <c r="A30" s="48" t="s">
        <v>137</v>
      </c>
      <c r="B30" s="45">
        <v>1409.4</v>
      </c>
      <c r="C30" s="45">
        <v>4249.66</v>
      </c>
      <c r="D30" s="45">
        <v>-2840.26</v>
      </c>
      <c r="E30" s="48"/>
      <c r="F30" s="45">
        <v>3931.8980000000001</v>
      </c>
      <c r="G30" s="45">
        <v>7044.06</v>
      </c>
      <c r="H30" s="45">
        <v>-3112.1619999999998</v>
      </c>
      <c r="I30" s="45">
        <v>1511.8979999999999</v>
      </c>
      <c r="J30" s="136">
        <v>0.14246007246376799</v>
      </c>
      <c r="K30" s="45">
        <v>23668.101999999999</v>
      </c>
      <c r="L30" s="45">
        <v>27600</v>
      </c>
      <c r="M30" s="37" t="s">
        <v>138</v>
      </c>
      <c r="N30" s="143" t="s">
        <v>139</v>
      </c>
      <c r="O30" s="143" t="s">
        <v>140</v>
      </c>
      <c r="P30" s="206" t="s">
        <v>141</v>
      </c>
      <c r="Q30" s="206"/>
      <c r="R30" s="143" t="s">
        <v>142</v>
      </c>
      <c r="S30" s="143" t="s">
        <v>143</v>
      </c>
      <c r="T30" s="25" t="s">
        <v>144</v>
      </c>
      <c r="U30" s="143" t="s">
        <v>145</v>
      </c>
      <c r="V30" s="178" t="s">
        <v>146</v>
      </c>
      <c r="W30" s="206" t="s">
        <v>147</v>
      </c>
      <c r="X30" s="206"/>
      <c r="Y30" s="143" t="s">
        <v>148</v>
      </c>
      <c r="Z30" s="143" t="s">
        <v>149</v>
      </c>
    </row>
    <row r="31" spans="1:26" ht="12" customHeight="1">
      <c r="A31" s="48" t="s">
        <v>150</v>
      </c>
      <c r="B31" s="45">
        <v>6732.97</v>
      </c>
      <c r="C31" s="45">
        <v>8828.35</v>
      </c>
      <c r="D31" s="45">
        <v>-2095.38</v>
      </c>
      <c r="E31" s="48"/>
      <c r="F31" s="45">
        <v>42935.214999999997</v>
      </c>
      <c r="G31" s="45">
        <v>45453.014999999999</v>
      </c>
      <c r="H31" s="45">
        <v>-2517.8000000000002</v>
      </c>
      <c r="I31" s="45">
        <v>34605.214999999997</v>
      </c>
      <c r="J31" s="54">
        <v>0.39571573861217302</v>
      </c>
      <c r="K31" s="45">
        <v>65564.929954000007</v>
      </c>
      <c r="L31" s="45">
        <v>108500.144954</v>
      </c>
      <c r="M31" s="37" t="s">
        <v>151</v>
      </c>
      <c r="N31" s="143" t="s">
        <v>152</v>
      </c>
      <c r="O31" s="177" t="s">
        <v>153</v>
      </c>
      <c r="P31" s="202" t="s">
        <v>154</v>
      </c>
      <c r="Q31" s="202"/>
      <c r="R31" s="202"/>
      <c r="S31" s="202"/>
      <c r="T31" s="25" t="s">
        <v>155</v>
      </c>
      <c r="U31" s="143" t="s">
        <v>156</v>
      </c>
      <c r="V31" s="143" t="s">
        <v>157</v>
      </c>
      <c r="W31" s="206" t="s">
        <v>158</v>
      </c>
      <c r="X31" s="206"/>
      <c r="Y31" s="143" t="s">
        <v>159</v>
      </c>
      <c r="Z31" s="143" t="s">
        <v>160</v>
      </c>
    </row>
    <row r="32" spans="1:26" ht="12" customHeight="1">
      <c r="A32" s="48" t="s">
        <v>161</v>
      </c>
      <c r="B32" s="45">
        <v>493.99</v>
      </c>
      <c r="C32" s="45">
        <v>1295.71</v>
      </c>
      <c r="D32" s="45">
        <v>-801.72</v>
      </c>
      <c r="E32" s="48"/>
      <c r="F32" s="45">
        <v>4645.1689999999999</v>
      </c>
      <c r="G32" s="45">
        <v>5234.6220000000003</v>
      </c>
      <c r="H32" s="45">
        <v>-589.45299999999997</v>
      </c>
      <c r="I32" s="45">
        <v>2645.1689999999999</v>
      </c>
      <c r="J32" s="57">
        <v>0.244482578947368</v>
      </c>
      <c r="K32" s="45">
        <v>14354.831</v>
      </c>
      <c r="L32" s="45">
        <v>19000</v>
      </c>
      <c r="M32" s="37" t="s">
        <v>162</v>
      </c>
      <c r="N32" s="143" t="s">
        <v>163</v>
      </c>
      <c r="O32" s="178" t="s">
        <v>164</v>
      </c>
      <c r="P32" s="207" t="s">
        <v>165</v>
      </c>
      <c r="Q32" s="207"/>
      <c r="R32" s="143" t="s">
        <v>166</v>
      </c>
      <c r="S32" s="143" t="s">
        <v>167</v>
      </c>
      <c r="T32" s="176" t="s">
        <v>168</v>
      </c>
      <c r="U32" s="143" t="s">
        <v>169</v>
      </c>
      <c r="V32" s="143" t="s">
        <v>170</v>
      </c>
      <c r="W32" s="206" t="s">
        <v>171</v>
      </c>
      <c r="X32" s="206"/>
      <c r="Y32" s="143" t="s">
        <v>135</v>
      </c>
      <c r="Z32" s="143" t="s">
        <v>172</v>
      </c>
    </row>
    <row r="33" spans="1:26" ht="12" customHeight="1">
      <c r="A33" s="48" t="s">
        <v>173</v>
      </c>
      <c r="B33" s="45">
        <v>4444.1099999999997</v>
      </c>
      <c r="C33" s="45">
        <v>3621.2</v>
      </c>
      <c r="D33" s="45">
        <v>822.91</v>
      </c>
      <c r="E33" s="48"/>
      <c r="F33" s="45">
        <v>1919.7190000000001</v>
      </c>
      <c r="G33" s="45">
        <v>3952.5120000000002</v>
      </c>
      <c r="H33" s="45">
        <v>-2032.7929999999999</v>
      </c>
      <c r="I33" s="45">
        <v>2.915</v>
      </c>
      <c r="J33" s="136">
        <v>0.13649869559196201</v>
      </c>
      <c r="K33" s="45">
        <v>12144.290854999999</v>
      </c>
      <c r="L33" s="45">
        <v>14064.009855</v>
      </c>
      <c r="M33" s="37" t="s">
        <v>174</v>
      </c>
      <c r="N33" s="143" t="s">
        <v>163</v>
      </c>
      <c r="O33" s="177" t="s">
        <v>175</v>
      </c>
      <c r="P33" s="206" t="s">
        <v>176</v>
      </c>
      <c r="Q33" s="206"/>
      <c r="R33" s="143" t="s">
        <v>177</v>
      </c>
      <c r="S33" s="143" t="s">
        <v>178</v>
      </c>
      <c r="T33" s="25" t="s">
        <v>179</v>
      </c>
      <c r="U33" s="143" t="s">
        <v>139</v>
      </c>
      <c r="V33" s="183" t="s">
        <v>153</v>
      </c>
      <c r="W33" s="206" t="s">
        <v>180</v>
      </c>
      <c r="X33" s="206"/>
      <c r="Y33" s="143" t="s">
        <v>148</v>
      </c>
      <c r="Z33" s="143" t="s">
        <v>181</v>
      </c>
    </row>
    <row r="34" spans="1:26" ht="12" customHeight="1">
      <c r="A34" s="48" t="s">
        <v>182</v>
      </c>
      <c r="B34" s="45">
        <v>3055.56</v>
      </c>
      <c r="C34" s="45">
        <v>757.92</v>
      </c>
      <c r="D34" s="45">
        <v>2297.64</v>
      </c>
      <c r="E34" s="48"/>
      <c r="F34" s="45">
        <v>7574.8549999999996</v>
      </c>
      <c r="G34" s="45">
        <v>6276.9759999999997</v>
      </c>
      <c r="H34" s="45">
        <v>1297.8789999999999</v>
      </c>
      <c r="I34" s="45">
        <v>5544.8549999999996</v>
      </c>
      <c r="J34" s="54">
        <v>0.56110037037036997</v>
      </c>
      <c r="K34" s="45">
        <v>5925.1450000000004</v>
      </c>
      <c r="L34" s="45">
        <v>13500</v>
      </c>
      <c r="M34" s="37" t="s">
        <v>183</v>
      </c>
      <c r="N34" s="143" t="s">
        <v>184</v>
      </c>
      <c r="O34" s="143" t="s">
        <v>185</v>
      </c>
      <c r="P34" s="206" t="s">
        <v>186</v>
      </c>
      <c r="Q34" s="206"/>
      <c r="R34" s="143" t="s">
        <v>187</v>
      </c>
      <c r="S34" s="143" t="s">
        <v>188</v>
      </c>
      <c r="T34" s="25" t="s">
        <v>189</v>
      </c>
      <c r="U34" s="143" t="s">
        <v>190</v>
      </c>
      <c r="V34" s="143" t="s">
        <v>191</v>
      </c>
      <c r="W34" s="202" t="s">
        <v>192</v>
      </c>
      <c r="X34" s="202"/>
      <c r="Y34" s="202"/>
      <c r="Z34" s="202"/>
    </row>
    <row r="35" spans="1:26" ht="12" customHeight="1">
      <c r="A35" s="48" t="s">
        <v>193</v>
      </c>
      <c r="B35" s="45">
        <v>2205.21</v>
      </c>
      <c r="C35" s="45">
        <v>1044.99</v>
      </c>
      <c r="D35" s="45">
        <v>1160.22</v>
      </c>
      <c r="E35" s="48"/>
      <c r="F35" s="45">
        <v>12366.453</v>
      </c>
      <c r="G35" s="45">
        <v>9520.018</v>
      </c>
      <c r="H35" s="45">
        <v>2846.4349999999999</v>
      </c>
      <c r="I35" s="45">
        <v>9056.4529999999995</v>
      </c>
      <c r="J35" s="54">
        <v>0.45298362637362599</v>
      </c>
      <c r="K35" s="45">
        <v>14933.547</v>
      </c>
      <c r="L35" s="45">
        <v>27300</v>
      </c>
      <c r="M35" s="37" t="s">
        <v>194</v>
      </c>
      <c r="N35" s="143" t="s">
        <v>190</v>
      </c>
      <c r="O35" s="143" t="s">
        <v>195</v>
      </c>
      <c r="P35" s="206" t="s">
        <v>196</v>
      </c>
      <c r="Q35" s="206"/>
      <c r="R35" s="143" t="s">
        <v>197</v>
      </c>
      <c r="S35" s="143" t="s">
        <v>198</v>
      </c>
      <c r="T35" s="37" t="s">
        <v>199</v>
      </c>
      <c r="U35" s="143" t="s">
        <v>190</v>
      </c>
      <c r="V35" s="177" t="s">
        <v>153</v>
      </c>
      <c r="W35" s="206" t="s">
        <v>200</v>
      </c>
      <c r="X35" s="206"/>
      <c r="Y35" s="143" t="s">
        <v>190</v>
      </c>
      <c r="Z35" s="143" t="s">
        <v>201</v>
      </c>
    </row>
    <row r="36" spans="1:26" ht="12" customHeight="1">
      <c r="A36" s="48" t="s">
        <v>202</v>
      </c>
      <c r="B36" s="45">
        <v>1320.18</v>
      </c>
      <c r="C36" s="45">
        <v>2190.06</v>
      </c>
      <c r="D36" s="45">
        <v>-869.88</v>
      </c>
      <c r="E36" s="48"/>
      <c r="F36" s="45">
        <v>3127.5639999999999</v>
      </c>
      <c r="G36" s="45">
        <v>3393.1590000000001</v>
      </c>
      <c r="H36" s="45">
        <v>-265.59500000000003</v>
      </c>
      <c r="I36" s="45">
        <v>1947.5640000000001</v>
      </c>
      <c r="J36" s="54">
        <v>0.3909455</v>
      </c>
      <c r="K36" s="45">
        <v>4872.4359999999997</v>
      </c>
      <c r="L36" s="45">
        <v>8000</v>
      </c>
      <c r="M36" s="37" t="s">
        <v>203</v>
      </c>
      <c r="N36" s="143" t="s">
        <v>204</v>
      </c>
      <c r="O36" s="143" t="s">
        <v>205</v>
      </c>
      <c r="P36" s="206" t="s">
        <v>206</v>
      </c>
      <c r="Q36" s="206"/>
      <c r="R36" s="143" t="s">
        <v>207</v>
      </c>
      <c r="S36" s="183" t="s">
        <v>208</v>
      </c>
      <c r="T36" s="37" t="s">
        <v>209</v>
      </c>
      <c r="U36" s="143" t="s">
        <v>210</v>
      </c>
      <c r="V36" s="143" t="s">
        <v>211</v>
      </c>
      <c r="W36" s="206" t="s">
        <v>212</v>
      </c>
      <c r="X36" s="206"/>
      <c r="Y36" s="143" t="s">
        <v>213</v>
      </c>
      <c r="Z36" s="143" t="s">
        <v>214</v>
      </c>
    </row>
    <row r="37" spans="1:26" ht="12" customHeight="1">
      <c r="A37" s="48" t="s">
        <v>215</v>
      </c>
      <c r="B37" s="45">
        <v>437.66</v>
      </c>
      <c r="C37" s="45">
        <v>818.49</v>
      </c>
      <c r="D37" s="45">
        <v>-380.83</v>
      </c>
      <c r="E37" s="48"/>
      <c r="F37" s="45">
        <v>2302.8220000000001</v>
      </c>
      <c r="G37" s="45">
        <v>2669.5309999999999</v>
      </c>
      <c r="H37" s="45">
        <v>-366.709</v>
      </c>
      <c r="I37" s="45">
        <v>1852.8219999999999</v>
      </c>
      <c r="J37" s="54">
        <v>0.404003859649123</v>
      </c>
      <c r="K37" s="45">
        <v>3397.1779999999999</v>
      </c>
      <c r="L37" s="45">
        <v>5700</v>
      </c>
      <c r="M37" s="37" t="s">
        <v>216</v>
      </c>
      <c r="N37" s="143" t="s">
        <v>217</v>
      </c>
      <c r="O37" s="178" t="s">
        <v>218</v>
      </c>
      <c r="P37" s="206" t="s">
        <v>219</v>
      </c>
      <c r="Q37" s="206"/>
      <c r="R37" s="143" t="s">
        <v>220</v>
      </c>
      <c r="S37" s="143" t="s">
        <v>221</v>
      </c>
      <c r="T37" s="37" t="s">
        <v>222</v>
      </c>
      <c r="U37" s="143" t="s">
        <v>223</v>
      </c>
      <c r="V37" s="177" t="s">
        <v>153</v>
      </c>
      <c r="W37" s="206" t="s">
        <v>224</v>
      </c>
      <c r="X37" s="206"/>
      <c r="Y37" s="143" t="s">
        <v>225</v>
      </c>
      <c r="Z37" s="143" t="s">
        <v>226</v>
      </c>
    </row>
    <row r="38" spans="1:26" ht="12.25" customHeight="1">
      <c r="A38" s="48" t="s">
        <v>227</v>
      </c>
      <c r="B38" s="45">
        <v>1990.13</v>
      </c>
      <c r="C38" s="45">
        <v>4189.53</v>
      </c>
      <c r="D38" s="45">
        <v>-2199.4</v>
      </c>
      <c r="E38" s="48"/>
      <c r="F38" s="161">
        <v>5195.4939999999997</v>
      </c>
      <c r="G38" s="45">
        <v>4949.2039999999997</v>
      </c>
      <c r="H38" s="45">
        <v>246.29</v>
      </c>
      <c r="I38" s="45">
        <v>2377.8620000000001</v>
      </c>
      <c r="J38" s="56">
        <v>0.190887478809564</v>
      </c>
      <c r="K38" s="45">
        <v>22022.079580000001</v>
      </c>
      <c r="L38" s="45">
        <v>27217.57358</v>
      </c>
      <c r="M38" s="37" t="s">
        <v>228</v>
      </c>
      <c r="N38" s="143" t="s">
        <v>129</v>
      </c>
      <c r="O38" s="143" t="s">
        <v>229</v>
      </c>
      <c r="P38" s="206" t="s">
        <v>230</v>
      </c>
      <c r="Q38" s="206"/>
      <c r="R38" s="143" t="s">
        <v>231</v>
      </c>
      <c r="S38" s="143" t="s">
        <v>232</v>
      </c>
      <c r="T38" s="37" t="s">
        <v>233</v>
      </c>
      <c r="U38" s="143" t="s">
        <v>204</v>
      </c>
      <c r="V38" s="143" t="s">
        <v>153</v>
      </c>
      <c r="W38" s="206" t="s">
        <v>234</v>
      </c>
      <c r="X38" s="206"/>
      <c r="Y38" s="143" t="s">
        <v>235</v>
      </c>
      <c r="Z38" s="143" t="s">
        <v>236</v>
      </c>
    </row>
    <row r="39" spans="1:26" ht="10.5" customHeight="1">
      <c r="A39" s="48" t="s">
        <v>237</v>
      </c>
      <c r="B39" s="45">
        <v>3103.96</v>
      </c>
      <c r="C39" s="45">
        <v>3437.42</v>
      </c>
      <c r="D39" s="45">
        <v>-333.46</v>
      </c>
      <c r="E39" s="48"/>
      <c r="F39" s="45">
        <v>1432.66</v>
      </c>
      <c r="G39" s="45">
        <v>1768.1289999999999</v>
      </c>
      <c r="H39" s="45">
        <v>-335.46899999999999</v>
      </c>
      <c r="I39" s="45">
        <v>892.66</v>
      </c>
      <c r="J39" s="54">
        <v>0.41936455787270999</v>
      </c>
      <c r="K39" s="45">
        <v>1983.6039000000001</v>
      </c>
      <c r="L39" s="45">
        <v>3416.2638999999999</v>
      </c>
      <c r="M39" s="37" t="s">
        <v>238</v>
      </c>
      <c r="N39" s="143" t="s">
        <v>163</v>
      </c>
      <c r="O39" s="143" t="s">
        <v>239</v>
      </c>
      <c r="P39" s="207" t="s">
        <v>240</v>
      </c>
      <c r="Q39" s="207"/>
      <c r="R39" s="143" t="s">
        <v>190</v>
      </c>
      <c r="S39" s="143" t="s">
        <v>241</v>
      </c>
      <c r="T39" s="176" t="s">
        <v>242</v>
      </c>
      <c r="U39" s="143" t="s">
        <v>243</v>
      </c>
      <c r="V39" s="143" t="s">
        <v>244</v>
      </c>
      <c r="W39" s="206" t="s">
        <v>245</v>
      </c>
      <c r="X39" s="206"/>
      <c r="Y39" s="143" t="s">
        <v>190</v>
      </c>
      <c r="Z39" s="143" t="s">
        <v>246</v>
      </c>
    </row>
    <row r="40" spans="1:26" ht="10.75" customHeight="1">
      <c r="A40" s="48" t="s">
        <v>247</v>
      </c>
      <c r="B40" s="162"/>
      <c r="C40" s="162"/>
      <c r="D40" s="45"/>
      <c r="E40" s="48"/>
      <c r="F40" s="45">
        <v>755.327</v>
      </c>
      <c r="G40" s="45">
        <v>755.48099999999999</v>
      </c>
      <c r="H40" s="45">
        <v>-0.154</v>
      </c>
      <c r="I40" s="45">
        <v>185.327</v>
      </c>
      <c r="J40" s="56">
        <v>0.18883174999999999</v>
      </c>
      <c r="K40" s="45">
        <v>3244.6729999999998</v>
      </c>
      <c r="L40" s="45">
        <v>4000</v>
      </c>
      <c r="M40" s="37" t="s">
        <v>248</v>
      </c>
      <c r="N40" s="143" t="s">
        <v>132</v>
      </c>
      <c r="O40" s="143" t="s">
        <v>249</v>
      </c>
      <c r="P40" s="206" t="s">
        <v>250</v>
      </c>
      <c r="Q40" s="206"/>
      <c r="R40" s="143" t="s">
        <v>251</v>
      </c>
      <c r="S40" s="143" t="s">
        <v>252</v>
      </c>
      <c r="T40" s="37" t="s">
        <v>253</v>
      </c>
      <c r="U40" s="143" t="s">
        <v>254</v>
      </c>
      <c r="V40" s="143" t="s">
        <v>255</v>
      </c>
      <c r="W40" s="206" t="s">
        <v>256</v>
      </c>
      <c r="X40" s="206"/>
      <c r="Y40" s="143" t="s">
        <v>257</v>
      </c>
      <c r="Z40" s="143" t="s">
        <v>258</v>
      </c>
    </row>
    <row r="41" spans="1:26" ht="12" customHeight="1">
      <c r="A41" s="48" t="s">
        <v>259</v>
      </c>
      <c r="B41" s="45">
        <v>295.51</v>
      </c>
      <c r="C41" s="45">
        <v>0</v>
      </c>
      <c r="D41" s="45">
        <v>295.51</v>
      </c>
      <c r="E41" s="46"/>
      <c r="F41" s="45">
        <v>466.61399999999998</v>
      </c>
      <c r="G41" s="45">
        <v>808.947</v>
      </c>
      <c r="H41" s="45">
        <v>-342.33300000000003</v>
      </c>
      <c r="I41" s="45">
        <v>316.61399999999998</v>
      </c>
      <c r="J41" s="54">
        <v>0.33329571428571397</v>
      </c>
      <c r="K41" s="45">
        <v>933.38599999999997</v>
      </c>
      <c r="L41" s="45">
        <v>1400</v>
      </c>
      <c r="M41" s="37" t="s">
        <v>260</v>
      </c>
      <c r="N41" s="143" t="s">
        <v>261</v>
      </c>
      <c r="O41" s="143" t="s">
        <v>262</v>
      </c>
      <c r="P41" s="206" t="s">
        <v>263</v>
      </c>
      <c r="Q41" s="206"/>
      <c r="R41" s="143" t="s">
        <v>264</v>
      </c>
      <c r="S41" s="143" t="s">
        <v>265</v>
      </c>
      <c r="T41" s="37" t="s">
        <v>266</v>
      </c>
      <c r="U41" s="143" t="s">
        <v>267</v>
      </c>
      <c r="V41" s="143" t="s">
        <v>268</v>
      </c>
      <c r="W41" s="206" t="s">
        <v>269</v>
      </c>
      <c r="X41" s="206"/>
      <c r="Y41" s="143" t="s">
        <v>225</v>
      </c>
      <c r="Z41" s="143" t="s">
        <v>270</v>
      </c>
    </row>
    <row r="42" spans="1:26" ht="10.5" customHeight="1">
      <c r="A42" s="48" t="s">
        <v>271</v>
      </c>
      <c r="B42" s="45">
        <v>475.2</v>
      </c>
      <c r="C42" s="45">
        <v>514.22</v>
      </c>
      <c r="D42" s="45">
        <v>-39.020000000000003</v>
      </c>
      <c r="E42" s="48"/>
      <c r="F42" s="45">
        <v>1750.6010000000001</v>
      </c>
      <c r="G42" s="45">
        <v>1806.8230000000001</v>
      </c>
      <c r="H42" s="45">
        <v>-56.222000000000001</v>
      </c>
      <c r="I42" s="45">
        <v>1142.2809999999999</v>
      </c>
      <c r="J42" s="57">
        <v>0.25934829629629602</v>
      </c>
      <c r="K42" s="45">
        <v>4999.3990000000003</v>
      </c>
      <c r="L42" s="45">
        <v>6750</v>
      </c>
      <c r="M42" s="37" t="s">
        <v>272</v>
      </c>
      <c r="N42" s="143" t="s">
        <v>163</v>
      </c>
      <c r="O42" s="143" t="s">
        <v>273</v>
      </c>
      <c r="P42" s="206" t="s">
        <v>274</v>
      </c>
      <c r="Q42" s="206"/>
      <c r="R42" s="143" t="s">
        <v>190</v>
      </c>
      <c r="S42" s="183" t="s">
        <v>167</v>
      </c>
      <c r="T42" s="37" t="s">
        <v>275</v>
      </c>
      <c r="U42" s="143" t="s">
        <v>276</v>
      </c>
      <c r="V42" s="178" t="s">
        <v>277</v>
      </c>
      <c r="W42" s="206" t="s">
        <v>278</v>
      </c>
      <c r="X42" s="206"/>
      <c r="Y42" s="143" t="s">
        <v>235</v>
      </c>
      <c r="Z42" s="143" t="s">
        <v>279</v>
      </c>
    </row>
    <row r="43" spans="1:26" ht="10.5" customHeight="1">
      <c r="A43" s="48" t="s">
        <v>280</v>
      </c>
      <c r="B43" s="45">
        <v>1340.12</v>
      </c>
      <c r="C43" s="45">
        <v>1334.97</v>
      </c>
      <c r="D43" s="45">
        <v>5.15</v>
      </c>
      <c r="E43" s="48"/>
      <c r="F43" s="45">
        <v>1617.924</v>
      </c>
      <c r="G43" s="45">
        <v>1612.88</v>
      </c>
      <c r="H43" s="45">
        <v>5.0439999999999996</v>
      </c>
      <c r="I43" s="45">
        <v>1317.924</v>
      </c>
      <c r="J43" s="54">
        <v>0.59810760540515495</v>
      </c>
      <c r="K43" s="45">
        <v>1087.147772</v>
      </c>
      <c r="L43" s="45">
        <v>2705.0717719999998</v>
      </c>
      <c r="M43" s="25" t="s">
        <v>281</v>
      </c>
      <c r="N43" s="143" t="s">
        <v>282</v>
      </c>
      <c r="O43" s="143" t="s">
        <v>283</v>
      </c>
      <c r="P43" s="206" t="s">
        <v>284</v>
      </c>
      <c r="Q43" s="206"/>
      <c r="R43" s="143" t="s">
        <v>285</v>
      </c>
      <c r="S43" s="143" t="s">
        <v>286</v>
      </c>
      <c r="T43" s="37" t="s">
        <v>287</v>
      </c>
      <c r="U43" s="143" t="s">
        <v>288</v>
      </c>
      <c r="V43" s="143" t="s">
        <v>289</v>
      </c>
      <c r="W43" s="206" t="s">
        <v>290</v>
      </c>
      <c r="X43" s="206"/>
      <c r="Y43" s="143" t="s">
        <v>190</v>
      </c>
      <c r="Z43" s="143" t="s">
        <v>291</v>
      </c>
    </row>
    <row r="44" spans="1:26" ht="10.5" customHeight="1">
      <c r="A44" s="48" t="s">
        <v>292</v>
      </c>
      <c r="B44" s="48" t="s">
        <v>83</v>
      </c>
      <c r="C44" s="48" t="s">
        <v>83</v>
      </c>
      <c r="D44" s="48" t="s">
        <v>83</v>
      </c>
      <c r="E44" s="48"/>
      <c r="F44" s="45">
        <v>6023.2</v>
      </c>
      <c r="G44" s="45">
        <v>4373.7809999999999</v>
      </c>
      <c r="H44" s="45">
        <v>1649.4190000000001</v>
      </c>
      <c r="I44" s="45">
        <v>4823.2</v>
      </c>
      <c r="J44" s="54">
        <v>0.71704761904761904</v>
      </c>
      <c r="K44" s="45">
        <v>2376.8000000000002</v>
      </c>
      <c r="L44" s="45">
        <v>8400</v>
      </c>
      <c r="M44" s="25" t="s">
        <v>293</v>
      </c>
      <c r="N44" s="143" t="s">
        <v>294</v>
      </c>
      <c r="O44" s="143" t="s">
        <v>295</v>
      </c>
      <c r="P44" s="206" t="s">
        <v>296</v>
      </c>
      <c r="Q44" s="206"/>
      <c r="R44" s="184" t="s">
        <v>297</v>
      </c>
      <c r="S44" s="185" t="s">
        <v>298</v>
      </c>
      <c r="T44" s="176" t="s">
        <v>299</v>
      </c>
      <c r="U44" s="143" t="s">
        <v>300</v>
      </c>
      <c r="V44" s="143" t="s">
        <v>301</v>
      </c>
      <c r="W44" s="206" t="s">
        <v>302</v>
      </c>
      <c r="X44" s="206"/>
      <c r="Y44" s="143" t="s">
        <v>257</v>
      </c>
      <c r="Z44" s="143" t="s">
        <v>303</v>
      </c>
    </row>
    <row r="45" spans="1:26" ht="10.5" customHeight="1">
      <c r="A45" s="48" t="s">
        <v>304</v>
      </c>
      <c r="B45" s="48" t="s">
        <v>83</v>
      </c>
      <c r="C45" s="48" t="s">
        <v>83</v>
      </c>
      <c r="D45" s="48" t="s">
        <v>83</v>
      </c>
      <c r="E45" s="48"/>
      <c r="F45" s="45">
        <v>5814.5889999999999</v>
      </c>
      <c r="G45" s="45">
        <v>4161.2280000000001</v>
      </c>
      <c r="H45" s="45">
        <v>1653.3610000000001</v>
      </c>
      <c r="I45" s="45">
        <v>4774.5889999999999</v>
      </c>
      <c r="J45" s="54">
        <v>0.61733014404090403</v>
      </c>
      <c r="K45" s="45">
        <v>3604.34033</v>
      </c>
      <c r="L45" s="45">
        <v>9418.9293300000008</v>
      </c>
      <c r="M45" s="37" t="s">
        <v>305</v>
      </c>
      <c r="N45" s="143" t="s">
        <v>306</v>
      </c>
      <c r="O45" s="143" t="s">
        <v>307</v>
      </c>
      <c r="P45" s="207" t="s">
        <v>308</v>
      </c>
      <c r="Q45" s="207"/>
      <c r="R45" s="143" t="s">
        <v>309</v>
      </c>
      <c r="S45" s="143" t="s">
        <v>310</v>
      </c>
      <c r="T45" s="176" t="s">
        <v>311</v>
      </c>
      <c r="U45" s="143" t="s">
        <v>312</v>
      </c>
      <c r="V45" s="177"/>
      <c r="W45" s="206" t="s">
        <v>313</v>
      </c>
      <c r="X45" s="206"/>
      <c r="Y45" s="143" t="s">
        <v>225</v>
      </c>
      <c r="Z45" s="143" t="s">
        <v>314</v>
      </c>
    </row>
    <row r="46" spans="1:26" ht="10.75" customHeight="1">
      <c r="A46" s="48" t="s">
        <v>315</v>
      </c>
      <c r="B46" s="48"/>
      <c r="C46" s="48"/>
      <c r="D46" s="48"/>
      <c r="E46" s="48"/>
      <c r="F46" s="45">
        <v>118387.697</v>
      </c>
      <c r="G46" s="45">
        <v>117608.09</v>
      </c>
      <c r="H46" s="45">
        <v>779.60699999999997</v>
      </c>
      <c r="I46" s="45">
        <v>83302.441000000006</v>
      </c>
      <c r="J46" s="54">
        <v>0.34406563042848398</v>
      </c>
      <c r="K46" s="45">
        <v>225696.93840099999</v>
      </c>
      <c r="L46" s="45">
        <v>344084.63540099998</v>
      </c>
      <c r="M46" s="37" t="s">
        <v>316</v>
      </c>
      <c r="N46" s="143" t="s">
        <v>317</v>
      </c>
      <c r="O46" s="143" t="s">
        <v>318</v>
      </c>
      <c r="P46" s="207" t="s">
        <v>319</v>
      </c>
      <c r="Q46" s="207"/>
      <c r="R46" s="143" t="s">
        <v>190</v>
      </c>
      <c r="S46" s="178" t="s">
        <v>320</v>
      </c>
      <c r="T46" s="37" t="s">
        <v>321</v>
      </c>
      <c r="U46" s="143" t="s">
        <v>322</v>
      </c>
      <c r="V46" s="178" t="s">
        <v>323</v>
      </c>
      <c r="W46" s="206" t="s">
        <v>324</v>
      </c>
      <c r="X46" s="206"/>
      <c r="Y46" s="143" t="s">
        <v>235</v>
      </c>
      <c r="Z46" s="143" t="s">
        <v>325</v>
      </c>
    </row>
    <row r="47" spans="1:26" ht="10.75" customHeight="1">
      <c r="A47" s="163" t="s">
        <v>326</v>
      </c>
      <c r="B47" s="48" t="s">
        <v>327</v>
      </c>
      <c r="C47" s="48" t="s">
        <v>5</v>
      </c>
      <c r="D47" s="48" t="s">
        <v>328</v>
      </c>
      <c r="E47" s="48" t="s">
        <v>329</v>
      </c>
      <c r="F47" s="48" t="s">
        <v>330</v>
      </c>
      <c r="G47" s="38" t="s">
        <v>331</v>
      </c>
      <c r="H47" s="48" t="s">
        <v>329</v>
      </c>
      <c r="I47" s="55" t="s">
        <v>6</v>
      </c>
      <c r="J47" s="59" t="s">
        <v>4</v>
      </c>
      <c r="K47" s="59" t="s">
        <v>332</v>
      </c>
      <c r="L47" s="59" t="s">
        <v>5</v>
      </c>
      <c r="M47" s="37" t="s">
        <v>333</v>
      </c>
      <c r="N47" s="143" t="s">
        <v>235</v>
      </c>
      <c r="O47" s="143" t="s">
        <v>334</v>
      </c>
      <c r="P47" s="202" t="s">
        <v>110</v>
      </c>
      <c r="Q47" s="202"/>
      <c r="R47" s="202"/>
      <c r="S47" s="202"/>
      <c r="T47" s="37" t="s">
        <v>335</v>
      </c>
      <c r="U47" s="143" t="s">
        <v>190</v>
      </c>
      <c r="V47" s="178" t="s">
        <v>336</v>
      </c>
      <c r="W47" s="206" t="s">
        <v>337</v>
      </c>
      <c r="X47" s="206"/>
      <c r="Y47" s="143" t="s">
        <v>190</v>
      </c>
      <c r="Z47" s="143" t="s">
        <v>338</v>
      </c>
    </row>
    <row r="48" spans="1:26" ht="10.75" customHeight="1">
      <c r="A48" s="48" t="s">
        <v>339</v>
      </c>
      <c r="B48" s="48">
        <v>5314.2879999999996</v>
      </c>
      <c r="C48" s="48">
        <v>150972.84400000001</v>
      </c>
      <c r="D48" s="54">
        <v>0.43523873319796402</v>
      </c>
      <c r="E48" s="54">
        <v>0.22777982213831499</v>
      </c>
      <c r="F48" s="45" t="s">
        <v>340</v>
      </c>
      <c r="G48" s="54">
        <v>0.53866662167641699</v>
      </c>
      <c r="H48" s="54">
        <v>0.241275756975738</v>
      </c>
      <c r="I48" s="59" t="s">
        <v>341</v>
      </c>
      <c r="J48" s="45">
        <v>1153.7180000000001</v>
      </c>
      <c r="K48" s="48">
        <v>633.42600000000004</v>
      </c>
      <c r="L48" s="45">
        <v>8153.0309999999999</v>
      </c>
      <c r="M48" s="25" t="s">
        <v>342</v>
      </c>
      <c r="N48" s="143" t="s">
        <v>343</v>
      </c>
      <c r="O48" s="143" t="s">
        <v>344</v>
      </c>
      <c r="P48" s="206" t="s">
        <v>345</v>
      </c>
      <c r="Q48" s="206"/>
      <c r="R48" s="143" t="s">
        <v>346</v>
      </c>
      <c r="S48" s="143" t="s">
        <v>347</v>
      </c>
      <c r="T48" s="37" t="s">
        <v>348</v>
      </c>
      <c r="U48" s="143" t="s">
        <v>204</v>
      </c>
      <c r="V48" s="143" t="s">
        <v>349</v>
      </c>
      <c r="W48" s="206" t="s">
        <v>350</v>
      </c>
      <c r="X48" s="206"/>
      <c r="Y48" s="143" t="s">
        <v>257</v>
      </c>
      <c r="Z48" s="143" t="s">
        <v>351</v>
      </c>
    </row>
    <row r="49" spans="1:26" ht="12" customHeight="1">
      <c r="A49" s="38" t="s">
        <v>352</v>
      </c>
      <c r="B49" s="48">
        <v>2395.94</v>
      </c>
      <c r="C49" s="48">
        <v>244975.24</v>
      </c>
      <c r="D49" s="54">
        <v>0.19622683046502701</v>
      </c>
      <c r="E49" s="54">
        <v>0.36960565302387099</v>
      </c>
      <c r="F49" s="38" t="s">
        <v>353</v>
      </c>
      <c r="G49" s="54">
        <v>0</v>
      </c>
      <c r="H49" s="54">
        <v>0.29763432140111801</v>
      </c>
      <c r="I49" s="59" t="s">
        <v>354</v>
      </c>
      <c r="J49" s="45">
        <v>0</v>
      </c>
      <c r="K49" s="48">
        <v>0</v>
      </c>
      <c r="L49" s="45">
        <v>0</v>
      </c>
      <c r="M49" s="25" t="s">
        <v>355</v>
      </c>
      <c r="N49" s="143" t="s">
        <v>356</v>
      </c>
      <c r="O49" s="143" t="s">
        <v>357</v>
      </c>
      <c r="P49" s="206" t="s">
        <v>358</v>
      </c>
      <c r="Q49" s="206"/>
      <c r="R49" s="143" t="s">
        <v>346</v>
      </c>
      <c r="S49" s="143" t="s">
        <v>359</v>
      </c>
      <c r="T49" s="37" t="s">
        <v>360</v>
      </c>
      <c r="U49" s="143" t="s">
        <v>184</v>
      </c>
      <c r="V49" s="143" t="s">
        <v>361</v>
      </c>
      <c r="W49" s="206" t="s">
        <v>362</v>
      </c>
      <c r="X49" s="206"/>
      <c r="Y49" s="143" t="s">
        <v>235</v>
      </c>
      <c r="Z49" s="177" t="s">
        <v>363</v>
      </c>
    </row>
    <row r="50" spans="1:26" ht="12" customHeight="1">
      <c r="A50" s="38" t="s">
        <v>364</v>
      </c>
      <c r="B50" s="48">
        <v>714.11800000000005</v>
      </c>
      <c r="C50" s="48">
        <v>77267.493000000002</v>
      </c>
      <c r="D50" s="54">
        <v>5.8486068815589903E-2</v>
      </c>
      <c r="E50" s="54">
        <v>0.116577096557931</v>
      </c>
      <c r="F50" s="38" t="s">
        <v>365</v>
      </c>
      <c r="G50" s="54">
        <v>5.8486068815589903E-2</v>
      </c>
      <c r="H50" s="54">
        <v>0.116577096557931</v>
      </c>
      <c r="I50" s="59" t="s">
        <v>366</v>
      </c>
      <c r="J50" s="45">
        <v>411.46100000000001</v>
      </c>
      <c r="K50" s="48">
        <v>229.91900000000001</v>
      </c>
      <c r="L50" s="45">
        <v>8142.3819999999996</v>
      </c>
      <c r="M50" s="25" t="s">
        <v>367</v>
      </c>
      <c r="N50" s="143" t="s">
        <v>159</v>
      </c>
      <c r="O50" s="143" t="s">
        <v>368</v>
      </c>
      <c r="P50" s="206" t="s">
        <v>369</v>
      </c>
      <c r="Q50" s="206"/>
      <c r="R50" s="143" t="s">
        <v>190</v>
      </c>
      <c r="S50" s="143" t="s">
        <v>370</v>
      </c>
      <c r="T50" s="25" t="s">
        <v>371</v>
      </c>
      <c r="U50" s="143" t="s">
        <v>243</v>
      </c>
      <c r="V50" s="143" t="s">
        <v>372</v>
      </c>
      <c r="W50" s="206" t="s">
        <v>373</v>
      </c>
      <c r="X50" s="206"/>
      <c r="Y50" s="143" t="s">
        <v>235</v>
      </c>
      <c r="Z50" s="177" t="s">
        <v>374</v>
      </c>
    </row>
    <row r="51" spans="1:26" ht="12" customHeight="1">
      <c r="A51" s="200" t="s">
        <v>375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37" t="s">
        <v>376</v>
      </c>
      <c r="N51" s="143" t="s">
        <v>377</v>
      </c>
      <c r="O51" s="143" t="s">
        <v>378</v>
      </c>
      <c r="P51" s="206" t="s">
        <v>379</v>
      </c>
      <c r="Q51" s="206"/>
      <c r="R51" s="143" t="s">
        <v>190</v>
      </c>
      <c r="S51" s="143" t="s">
        <v>380</v>
      </c>
      <c r="T51" s="202" t="s">
        <v>111</v>
      </c>
      <c r="U51" s="202"/>
      <c r="V51" s="202"/>
      <c r="W51" s="206" t="s">
        <v>381</v>
      </c>
      <c r="X51" s="206"/>
      <c r="Y51" s="143" t="s">
        <v>382</v>
      </c>
      <c r="Z51" s="183">
        <v>20</v>
      </c>
    </row>
    <row r="52" spans="1:26" ht="12.25" customHeight="1">
      <c r="A52" s="59" t="s">
        <v>326</v>
      </c>
      <c r="B52" s="59" t="s">
        <v>383</v>
      </c>
      <c r="C52" s="59" t="s">
        <v>384</v>
      </c>
      <c r="D52" s="59" t="s">
        <v>120</v>
      </c>
      <c r="E52" s="59" t="s">
        <v>121</v>
      </c>
      <c r="F52" s="59" t="s">
        <v>122</v>
      </c>
      <c r="G52" s="59" t="s">
        <v>326</v>
      </c>
      <c r="H52" s="59" t="s">
        <v>383</v>
      </c>
      <c r="I52" s="59" t="s">
        <v>384</v>
      </c>
      <c r="J52" s="59" t="s">
        <v>120</v>
      </c>
      <c r="K52" s="59" t="s">
        <v>121</v>
      </c>
      <c r="L52" s="59" t="s">
        <v>122</v>
      </c>
      <c r="M52" s="37" t="s">
        <v>385</v>
      </c>
      <c r="N52" s="143" t="s">
        <v>386</v>
      </c>
      <c r="O52" s="143" t="s">
        <v>387</v>
      </c>
      <c r="P52" s="206" t="s">
        <v>388</v>
      </c>
      <c r="Q52" s="206"/>
      <c r="R52" s="143" t="s">
        <v>190</v>
      </c>
      <c r="S52" s="143" t="s">
        <v>389</v>
      </c>
      <c r="T52" s="37" t="s">
        <v>390</v>
      </c>
      <c r="U52" s="143" t="s">
        <v>391</v>
      </c>
      <c r="V52" s="143" t="s">
        <v>392</v>
      </c>
      <c r="W52" s="206" t="s">
        <v>393</v>
      </c>
      <c r="X52" s="206"/>
      <c r="Y52" s="143" t="s">
        <v>306</v>
      </c>
      <c r="Z52" s="143" t="s">
        <v>394</v>
      </c>
    </row>
    <row r="53" spans="1:26" ht="12.25" customHeight="1">
      <c r="A53" s="59" t="s">
        <v>395</v>
      </c>
      <c r="B53" s="45">
        <v>9853.5130000000008</v>
      </c>
      <c r="C53" s="45">
        <v>374.18599999999998</v>
      </c>
      <c r="D53" s="54">
        <v>0.48817274460377502</v>
      </c>
      <c r="E53" s="45">
        <v>10330.967000000001</v>
      </c>
      <c r="F53" s="45">
        <v>20184.48</v>
      </c>
      <c r="G53" s="59" t="s">
        <v>396</v>
      </c>
      <c r="H53" s="45">
        <v>0</v>
      </c>
      <c r="I53" s="45">
        <v>0</v>
      </c>
      <c r="J53" s="155">
        <v>0</v>
      </c>
      <c r="K53" s="45">
        <v>0</v>
      </c>
      <c r="L53" s="45">
        <v>0</v>
      </c>
      <c r="M53" s="26" t="s">
        <v>397</v>
      </c>
      <c r="N53" s="143" t="s">
        <v>129</v>
      </c>
      <c r="O53" s="178" t="s">
        <v>398</v>
      </c>
      <c r="P53" s="206" t="s">
        <v>399</v>
      </c>
      <c r="Q53" s="206"/>
      <c r="R53" s="143" t="s">
        <v>190</v>
      </c>
      <c r="S53" s="143" t="s">
        <v>400</v>
      </c>
      <c r="T53" s="37" t="s">
        <v>401</v>
      </c>
      <c r="U53" s="143" t="s">
        <v>402</v>
      </c>
      <c r="V53" s="143" t="s">
        <v>403</v>
      </c>
      <c r="W53" s="206" t="s">
        <v>404</v>
      </c>
      <c r="X53" s="206"/>
      <c r="Y53" s="143" t="s">
        <v>235</v>
      </c>
      <c r="Z53" s="186">
        <v>15.152945764726701</v>
      </c>
    </row>
    <row r="54" spans="1:26" ht="12.25" customHeight="1">
      <c r="A54" s="59" t="s">
        <v>405</v>
      </c>
      <c r="B54" s="45">
        <v>7679.3770000000004</v>
      </c>
      <c r="C54" s="45">
        <v>5439.3770000000004</v>
      </c>
      <c r="D54" s="54">
        <v>0.61850240504060505</v>
      </c>
      <c r="E54" s="45">
        <v>4736.7056819999998</v>
      </c>
      <c r="F54" s="45">
        <v>12416.082682</v>
      </c>
      <c r="G54" s="164" t="s">
        <v>406</v>
      </c>
      <c r="H54" s="45">
        <v>20902.88</v>
      </c>
      <c r="I54" s="45">
        <v>13449.575000000001</v>
      </c>
      <c r="J54" s="57">
        <v>0.2412234375</v>
      </c>
      <c r="K54" s="45">
        <v>43474.04</v>
      </c>
      <c r="L54" s="45">
        <v>76800</v>
      </c>
      <c r="M54" s="208" t="s">
        <v>407</v>
      </c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</row>
    <row r="55" spans="1:26" ht="12.25" customHeight="1">
      <c r="A55" s="59" t="s">
        <v>408</v>
      </c>
      <c r="B55" s="45">
        <v>4768.9049999999997</v>
      </c>
      <c r="C55" s="45">
        <v>1128.905</v>
      </c>
      <c r="D55" s="57">
        <v>0.23125519951141499</v>
      </c>
      <c r="E55" s="45">
        <v>15852.923223</v>
      </c>
      <c r="F55" s="45">
        <v>20621.828223</v>
      </c>
      <c r="G55" s="51" t="s">
        <v>409</v>
      </c>
      <c r="H55" s="45">
        <v>3609.3510000000001</v>
      </c>
      <c r="I55" s="45">
        <v>1328.789</v>
      </c>
      <c r="J55" s="54">
        <v>0.40103899999999998</v>
      </c>
      <c r="K55" s="45">
        <v>5390.6490000000003</v>
      </c>
      <c r="L55" s="45">
        <v>9000</v>
      </c>
      <c r="M55" s="143" t="s">
        <v>6</v>
      </c>
      <c r="N55" s="143" t="s">
        <v>410</v>
      </c>
      <c r="O55" s="143" t="s">
        <v>411</v>
      </c>
      <c r="P55" s="69" t="s">
        <v>412</v>
      </c>
      <c r="Q55" s="143" t="s">
        <v>6</v>
      </c>
      <c r="R55" s="143" t="s">
        <v>413</v>
      </c>
      <c r="S55" s="143" t="s">
        <v>411</v>
      </c>
      <c r="T55" s="143" t="s">
        <v>412</v>
      </c>
      <c r="U55" s="143" t="s">
        <v>6</v>
      </c>
      <c r="V55" s="143" t="s">
        <v>414</v>
      </c>
      <c r="W55" s="143" t="s">
        <v>411</v>
      </c>
      <c r="X55" s="69" t="s">
        <v>412</v>
      </c>
      <c r="Y55" s="69" t="s">
        <v>415</v>
      </c>
      <c r="Z55" s="143" t="s">
        <v>416</v>
      </c>
    </row>
    <row r="56" spans="1:26" ht="12.25" customHeight="1">
      <c r="A56" s="59" t="s">
        <v>417</v>
      </c>
      <c r="B56" s="45">
        <v>7457.2120000000004</v>
      </c>
      <c r="C56" s="45">
        <v>2003.9670000000001</v>
      </c>
      <c r="D56" s="57">
        <v>0.22351530815912299</v>
      </c>
      <c r="E56" s="45">
        <v>25906.104640000001</v>
      </c>
      <c r="F56" s="45">
        <v>33363.316639999997</v>
      </c>
      <c r="G56" s="59" t="s">
        <v>418</v>
      </c>
      <c r="H56" s="45">
        <v>12894.351000000001</v>
      </c>
      <c r="I56" s="45">
        <v>11064.351000000001</v>
      </c>
      <c r="J56" s="54">
        <v>0.412592826059132</v>
      </c>
      <c r="K56" s="45">
        <v>18357.649000000001</v>
      </c>
      <c r="L56" s="45">
        <v>31252</v>
      </c>
      <c r="M56" s="143" t="s">
        <v>419</v>
      </c>
      <c r="N56" s="146" t="s">
        <v>420</v>
      </c>
      <c r="O56" s="146">
        <v>4085</v>
      </c>
      <c r="P56" s="146" t="s">
        <v>421</v>
      </c>
      <c r="Q56" s="143" t="s">
        <v>419</v>
      </c>
      <c r="R56" s="146">
        <v>151093.932</v>
      </c>
      <c r="S56" s="146">
        <v>4371</v>
      </c>
      <c r="T56" s="146">
        <v>66043.157677199997</v>
      </c>
      <c r="U56" s="143" t="s">
        <v>419</v>
      </c>
      <c r="V56" s="146">
        <v>289080.11499999999</v>
      </c>
      <c r="W56" s="146">
        <v>5114</v>
      </c>
      <c r="X56" s="146">
        <v>147835.57081100001</v>
      </c>
      <c r="Y56" s="146" t="s">
        <v>422</v>
      </c>
      <c r="Z56" s="103" t="s">
        <v>423</v>
      </c>
    </row>
    <row r="57" spans="1:26" ht="12.25" customHeight="1">
      <c r="A57" s="59" t="s">
        <v>424</v>
      </c>
      <c r="B57" s="45">
        <v>963.46199999999999</v>
      </c>
      <c r="C57" s="45" t="s">
        <v>83</v>
      </c>
      <c r="D57" s="54">
        <v>0.35683777777777798</v>
      </c>
      <c r="E57" s="45">
        <v>1736.538</v>
      </c>
      <c r="F57" s="45">
        <v>2700</v>
      </c>
      <c r="G57" s="59" t="s">
        <v>106</v>
      </c>
      <c r="H57" s="45">
        <v>2247.4749999999999</v>
      </c>
      <c r="I57" s="45">
        <v>2247.4749999999999</v>
      </c>
      <c r="J57" s="54"/>
      <c r="K57" s="45"/>
      <c r="L57" s="45"/>
      <c r="M57" s="143" t="s">
        <v>425</v>
      </c>
      <c r="N57" s="146" t="s">
        <v>426</v>
      </c>
      <c r="O57" s="146">
        <v>4182</v>
      </c>
      <c r="P57" s="146" t="s">
        <v>427</v>
      </c>
      <c r="Q57" s="143" t="s">
        <v>425</v>
      </c>
      <c r="R57" s="146">
        <v>147252.508</v>
      </c>
      <c r="S57" s="146">
        <v>4250</v>
      </c>
      <c r="T57" s="146">
        <v>62582.315900000001</v>
      </c>
      <c r="U57" s="143" t="s">
        <v>425</v>
      </c>
      <c r="V57" s="146">
        <v>235956.06700000001</v>
      </c>
      <c r="W57" s="146">
        <v>4956</v>
      </c>
      <c r="X57" s="146">
        <v>116939.82680520001</v>
      </c>
      <c r="Y57" s="146" t="s">
        <v>428</v>
      </c>
      <c r="Z57" s="103" t="s">
        <v>429</v>
      </c>
    </row>
    <row r="58" spans="1:26" ht="12.25" customHeight="1">
      <c r="A58" s="59" t="s">
        <v>430</v>
      </c>
      <c r="B58" s="45">
        <v>4087.8270000000002</v>
      </c>
      <c r="C58" s="45">
        <v>3180.2240000000002</v>
      </c>
      <c r="D58" s="54">
        <v>0.411881022725753</v>
      </c>
      <c r="E58" s="45">
        <v>5836.9492689999997</v>
      </c>
      <c r="F58" s="45">
        <v>9924.776269</v>
      </c>
      <c r="G58" s="59" t="s">
        <v>105</v>
      </c>
      <c r="H58" s="45">
        <v>1968.3130000000001</v>
      </c>
      <c r="I58" s="45">
        <v>608.31299999999999</v>
      </c>
      <c r="J58" s="57">
        <v>0.28118757142857098</v>
      </c>
      <c r="K58" s="45">
        <v>5031.6869999999999</v>
      </c>
      <c r="L58" s="45">
        <v>7000</v>
      </c>
      <c r="M58" s="143" t="s">
        <v>431</v>
      </c>
      <c r="N58" s="146" t="s">
        <v>432</v>
      </c>
      <c r="O58" s="146">
        <v>97</v>
      </c>
      <c r="P58" s="146" t="s">
        <v>433</v>
      </c>
      <c r="Q58" s="143" t="s">
        <v>431</v>
      </c>
      <c r="R58" s="146">
        <v>-3841.424</v>
      </c>
      <c r="S58" s="146">
        <v>-121</v>
      </c>
      <c r="T58" s="146">
        <v>-3460.8417771999998</v>
      </c>
      <c r="U58" s="143" t="s">
        <v>431</v>
      </c>
      <c r="V58" s="146">
        <v>-53124.048000000003</v>
      </c>
      <c r="W58" s="146">
        <v>-158</v>
      </c>
      <c r="X58" s="146">
        <v>-30895.744005799999</v>
      </c>
      <c r="Y58" s="146" t="s">
        <v>434</v>
      </c>
      <c r="Z58" s="146" t="s">
        <v>435</v>
      </c>
    </row>
    <row r="59" spans="1:26" ht="12.25" customHeight="1">
      <c r="A59" s="59" t="s">
        <v>436</v>
      </c>
      <c r="B59" s="59" t="s">
        <v>383</v>
      </c>
      <c r="C59" s="59" t="s">
        <v>384</v>
      </c>
      <c r="D59" s="150" t="s">
        <v>120</v>
      </c>
      <c r="E59" s="59" t="s">
        <v>121</v>
      </c>
      <c r="F59" s="158" t="s">
        <v>437</v>
      </c>
      <c r="G59" s="59" t="s">
        <v>438</v>
      </c>
      <c r="H59" s="59" t="s">
        <v>383</v>
      </c>
      <c r="I59" s="59" t="s">
        <v>384</v>
      </c>
      <c r="J59" s="150" t="s">
        <v>120</v>
      </c>
      <c r="K59" s="59" t="s">
        <v>121</v>
      </c>
      <c r="L59" s="82" t="s">
        <v>437</v>
      </c>
      <c r="M59" s="143" t="s">
        <v>439</v>
      </c>
      <c r="N59" s="146" t="s">
        <v>440</v>
      </c>
      <c r="O59" s="146">
        <v>4127</v>
      </c>
      <c r="P59" s="146" t="s">
        <v>441</v>
      </c>
      <c r="Q59" s="143" t="s">
        <v>439</v>
      </c>
      <c r="R59" s="146">
        <v>166093.932</v>
      </c>
      <c r="S59" s="146">
        <v>4250</v>
      </c>
      <c r="T59" s="146">
        <v>70589.921100000007</v>
      </c>
      <c r="U59" s="143" t="s">
        <v>439</v>
      </c>
      <c r="V59" s="146">
        <v>270580.11499999999</v>
      </c>
      <c r="W59" s="146">
        <v>4956</v>
      </c>
      <c r="X59" s="146">
        <v>134099.50499399999</v>
      </c>
      <c r="Y59" s="146" t="s">
        <v>442</v>
      </c>
      <c r="Z59" s="103" t="s">
        <v>443</v>
      </c>
    </row>
    <row r="60" spans="1:26" ht="12.25" customHeight="1">
      <c r="A60" s="59" t="s">
        <v>444</v>
      </c>
      <c r="B60" s="45">
        <v>0</v>
      </c>
      <c r="C60" s="45">
        <v>0</v>
      </c>
      <c r="D60" s="155">
        <v>0</v>
      </c>
      <c r="E60" s="45">
        <v>0</v>
      </c>
      <c r="F60" s="45">
        <v>0</v>
      </c>
      <c r="G60" s="59" t="s">
        <v>445</v>
      </c>
      <c r="H60" s="45">
        <v>10155.114</v>
      </c>
      <c r="I60" s="45">
        <v>1034.7249999999999</v>
      </c>
      <c r="J60" s="136">
        <v>0.13103372903225799</v>
      </c>
      <c r="K60" s="45">
        <v>67344.885999999999</v>
      </c>
      <c r="L60" s="45">
        <v>1719.3489999999999</v>
      </c>
      <c r="M60" s="200" t="s">
        <v>446</v>
      </c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spans="1:26" ht="12.25" customHeight="1">
      <c r="A61" s="59" t="s">
        <v>447</v>
      </c>
      <c r="B61" s="45">
        <v>12705.531000000001</v>
      </c>
      <c r="C61" s="45">
        <v>2587.3090000000002</v>
      </c>
      <c r="D61" s="56">
        <v>0.15724667079207899</v>
      </c>
      <c r="E61" s="45">
        <v>68094.468999999997</v>
      </c>
      <c r="F61" s="45">
        <v>2696.7530000000002</v>
      </c>
      <c r="G61" s="59" t="s">
        <v>448</v>
      </c>
      <c r="H61" s="45">
        <v>35106.455000000002</v>
      </c>
      <c r="I61" s="45">
        <v>25161.215</v>
      </c>
      <c r="J61" s="54">
        <v>0.33102189677419402</v>
      </c>
      <c r="K61" s="45">
        <v>51845.803</v>
      </c>
      <c r="L61" s="45">
        <v>4465.24</v>
      </c>
      <c r="M61" s="143" t="s">
        <v>6</v>
      </c>
      <c r="N61" s="143" t="s">
        <v>449</v>
      </c>
      <c r="O61" s="143" t="s">
        <v>450</v>
      </c>
      <c r="P61" s="143" t="s">
        <v>411</v>
      </c>
      <c r="Q61" s="143" t="s">
        <v>451</v>
      </c>
      <c r="R61" s="143" t="s">
        <v>452</v>
      </c>
      <c r="S61" s="143" t="s">
        <v>6</v>
      </c>
      <c r="T61" s="143" t="s">
        <v>449</v>
      </c>
      <c r="U61" s="69" t="s">
        <v>450</v>
      </c>
      <c r="V61" s="143" t="s">
        <v>411</v>
      </c>
      <c r="W61" s="209" t="s">
        <v>451</v>
      </c>
      <c r="X61" s="209"/>
      <c r="Y61" s="143" t="s">
        <v>452</v>
      </c>
      <c r="Z61" s="189" t="s">
        <v>453</v>
      </c>
    </row>
    <row r="62" spans="1:26" ht="12.25" customHeight="1">
      <c r="A62" s="59" t="s">
        <v>454</v>
      </c>
      <c r="B62" s="45">
        <v>25991.755000000001</v>
      </c>
      <c r="C62" s="45">
        <v>7523.7219999999998</v>
      </c>
      <c r="D62" s="54">
        <v>0.448450020876827</v>
      </c>
      <c r="E62" s="45">
        <v>26419.243999999999</v>
      </c>
      <c r="F62" s="45">
        <v>11468.032999999999</v>
      </c>
      <c r="G62" s="59" t="s">
        <v>315</v>
      </c>
      <c r="H62" s="103">
        <v>45261.569000000003</v>
      </c>
      <c r="I62" s="103">
        <v>26195.94</v>
      </c>
      <c r="J62" s="179">
        <v>0.23102781290322599</v>
      </c>
      <c r="K62" s="103">
        <v>119190.689</v>
      </c>
      <c r="L62" s="103">
        <v>6184.5889999999999</v>
      </c>
      <c r="M62" s="143" t="s">
        <v>455</v>
      </c>
      <c r="N62" s="45">
        <v>426.18227000000002</v>
      </c>
      <c r="O62" s="45">
        <v>5869.4638100000002</v>
      </c>
      <c r="P62" s="146">
        <v>2230.2800000000002</v>
      </c>
      <c r="Q62" s="186">
        <v>74.5380564950012</v>
      </c>
      <c r="R62" s="186">
        <v>19.216036662286299</v>
      </c>
      <c r="S62" s="143" t="s">
        <v>456</v>
      </c>
      <c r="T62" s="146">
        <v>18988.54</v>
      </c>
      <c r="U62" s="146">
        <v>356808.24</v>
      </c>
      <c r="V62" s="186">
        <v>2.68</v>
      </c>
      <c r="W62" s="210">
        <v>3.9907053609748999</v>
      </c>
      <c r="X62" s="210"/>
      <c r="Y62" s="186">
        <v>1.4037044246921999</v>
      </c>
      <c r="Z62" s="186">
        <v>166.561882583613</v>
      </c>
    </row>
    <row r="63" spans="1:26" ht="12.25" customHeight="1">
      <c r="A63" s="59" t="s">
        <v>457</v>
      </c>
      <c r="B63" s="45">
        <v>21776.848999999998</v>
      </c>
      <c r="C63" s="45">
        <v>9828.8639999999996</v>
      </c>
      <c r="D63" s="54">
        <v>0.714509024390244</v>
      </c>
      <c r="E63" s="45">
        <v>5875.9530000000004</v>
      </c>
      <c r="F63" s="45">
        <v>8447.9850000000006</v>
      </c>
      <c r="G63" s="59" t="s">
        <v>458</v>
      </c>
      <c r="H63" s="45">
        <v>34177.713000000003</v>
      </c>
      <c r="I63" s="45">
        <v>23355.133000000002</v>
      </c>
      <c r="J63" s="54">
        <v>0.57345156040268497</v>
      </c>
      <c r="K63" s="45">
        <v>25422.287</v>
      </c>
      <c r="L63" s="45">
        <v>5522.58</v>
      </c>
      <c r="M63" s="143" t="s">
        <v>459</v>
      </c>
      <c r="N63" s="143">
        <v>2027102</v>
      </c>
      <c r="O63" s="143">
        <v>63367086</v>
      </c>
      <c r="P63" s="143">
        <v>0.65</v>
      </c>
      <c r="Q63" s="186">
        <v>103.32662769381299</v>
      </c>
      <c r="R63" s="186">
        <v>60.462081219987397</v>
      </c>
      <c r="S63" s="143" t="s">
        <v>460</v>
      </c>
      <c r="T63" s="146">
        <v>1162127.1200000001</v>
      </c>
      <c r="U63" s="146">
        <v>30916714.100000001</v>
      </c>
      <c r="V63" s="186">
        <v>0.18</v>
      </c>
      <c r="W63" s="210">
        <v>16.4039878126903</v>
      </c>
      <c r="X63" s="210"/>
      <c r="Y63" s="186">
        <v>8.1690552729894499</v>
      </c>
      <c r="Z63" s="190" t="s">
        <v>461</v>
      </c>
    </row>
    <row r="64" spans="1:26" ht="12.25" customHeight="1">
      <c r="A64" s="59" t="s">
        <v>462</v>
      </c>
      <c r="B64" s="45">
        <v>0</v>
      </c>
      <c r="C64" s="45">
        <v>0</v>
      </c>
      <c r="D64" s="155">
        <v>0</v>
      </c>
      <c r="E64" s="45">
        <v>0</v>
      </c>
      <c r="F64" s="45">
        <v>0</v>
      </c>
      <c r="G64" s="59" t="s">
        <v>463</v>
      </c>
      <c r="H64" s="45">
        <v>9036.4609999999993</v>
      </c>
      <c r="I64" s="45">
        <v>44.393000000000001</v>
      </c>
      <c r="J64" s="54">
        <v>0.61057168918918903</v>
      </c>
      <c r="K64" s="45">
        <v>5806.4030000000002</v>
      </c>
      <c r="L64" s="45">
        <v>8242.0679999999993</v>
      </c>
      <c r="M64" s="143" t="s">
        <v>464</v>
      </c>
      <c r="N64" s="103">
        <v>11762.59</v>
      </c>
      <c r="O64" s="103">
        <v>356510.54</v>
      </c>
      <c r="P64" s="59">
        <v>169</v>
      </c>
      <c r="Q64" s="186">
        <v>155.88809886611099</v>
      </c>
      <c r="R64" s="186">
        <v>88.443328427127099</v>
      </c>
      <c r="S64" s="143" t="s">
        <v>465</v>
      </c>
      <c r="T64" s="146">
        <v>17319.759999999998</v>
      </c>
      <c r="U64" s="187">
        <v>477512.04</v>
      </c>
      <c r="V64" s="186">
        <v>6.33</v>
      </c>
      <c r="W64" s="210">
        <v>8.5974345106196708</v>
      </c>
      <c r="X64" s="210"/>
      <c r="Y64" s="186">
        <v>4.4370470706363898</v>
      </c>
      <c r="Z64" s="106">
        <v>89.410084669846995</v>
      </c>
    </row>
    <row r="65" spans="1:26" ht="12.25" customHeight="1">
      <c r="A65" s="59" t="s">
        <v>466</v>
      </c>
      <c r="B65" s="45">
        <v>4596.549</v>
      </c>
      <c r="C65" s="45">
        <v>2996.549</v>
      </c>
      <c r="D65" s="54">
        <v>0.67596308823529405</v>
      </c>
      <c r="E65" s="45">
        <v>2210.87</v>
      </c>
      <c r="F65" s="45">
        <v>0</v>
      </c>
      <c r="G65" s="59" t="s">
        <v>315</v>
      </c>
      <c r="H65" s="103">
        <v>43214.173999999999</v>
      </c>
      <c r="I65" s="103">
        <v>23399.526000000002</v>
      </c>
      <c r="J65" s="150">
        <v>0.58083567204301101</v>
      </c>
      <c r="K65" s="103">
        <v>31228.69</v>
      </c>
      <c r="L65" s="103">
        <v>13764.647999999999</v>
      </c>
      <c r="M65" s="143" t="s">
        <v>467</v>
      </c>
      <c r="N65" s="146">
        <v>10819.27</v>
      </c>
      <c r="O65" s="146">
        <v>299451.27</v>
      </c>
      <c r="P65" s="191">
        <v>198.05</v>
      </c>
      <c r="Q65" s="186">
        <v>168.03358854129999</v>
      </c>
      <c r="R65" s="186">
        <v>87.057663196310003</v>
      </c>
      <c r="S65" s="143" t="s">
        <v>468</v>
      </c>
      <c r="T65" s="146">
        <v>657723.42000000004</v>
      </c>
      <c r="U65" s="146">
        <v>17809153.780000001</v>
      </c>
      <c r="V65" s="186">
        <v>0.1</v>
      </c>
      <c r="W65" s="210">
        <v>5.1578250013939</v>
      </c>
      <c r="X65" s="210"/>
      <c r="Y65" s="186">
        <v>2.6142630438132999</v>
      </c>
      <c r="Z65" s="107"/>
    </row>
    <row r="66" spans="1:26" ht="12.25" customHeight="1">
      <c r="A66" s="59" t="s">
        <v>315</v>
      </c>
      <c r="B66" s="103">
        <v>65070.684000000001</v>
      </c>
      <c r="C66" s="103">
        <v>22936.444</v>
      </c>
      <c r="D66" s="150">
        <v>0.34250173717948701</v>
      </c>
      <c r="E66" s="103">
        <v>102600.53599999999</v>
      </c>
      <c r="F66" s="103">
        <v>22612.771000000001</v>
      </c>
      <c r="G66" s="28" t="s">
        <v>469</v>
      </c>
      <c r="H66" s="99">
        <v>15.599548010779101</v>
      </c>
      <c r="I66" s="28" t="s">
        <v>470</v>
      </c>
      <c r="J66" s="99" t="e">
        <v>#DIV/0!</v>
      </c>
      <c r="K66" s="28" t="s">
        <v>471</v>
      </c>
      <c r="L66" s="99">
        <v>43.7304339058811</v>
      </c>
      <c r="M66" s="143" t="s">
        <v>472</v>
      </c>
      <c r="N66" s="146">
        <v>97230.1</v>
      </c>
      <c r="O66" s="146">
        <v>2706561.85</v>
      </c>
      <c r="P66" s="186">
        <v>0.6</v>
      </c>
      <c r="Q66" s="186">
        <v>4.5748333608193201</v>
      </c>
      <c r="R66" s="186">
        <v>2.3838295881961802</v>
      </c>
      <c r="S66" s="209" t="s">
        <v>473</v>
      </c>
      <c r="T66" s="209"/>
      <c r="U66" s="210">
        <v>228.734959910502</v>
      </c>
      <c r="V66" s="210"/>
      <c r="W66" s="209" t="s">
        <v>474</v>
      </c>
      <c r="X66" s="209"/>
      <c r="Y66" s="209"/>
      <c r="Z66" s="186">
        <v>97.300352051784103</v>
      </c>
    </row>
    <row r="67" spans="1:26" ht="14.25" customHeight="1"/>
  </sheetData>
  <mergeCells count="114">
    <mergeCell ref="W64:X64"/>
    <mergeCell ref="W65:X65"/>
    <mergeCell ref="S66:T66"/>
    <mergeCell ref="U66:V66"/>
    <mergeCell ref="W66:Y66"/>
    <mergeCell ref="P52:Q52"/>
    <mergeCell ref="W52:X52"/>
    <mergeCell ref="P53:Q53"/>
    <mergeCell ref="W53:X53"/>
    <mergeCell ref="M54:Z54"/>
    <mergeCell ref="M60:Z60"/>
    <mergeCell ref="W61:X61"/>
    <mergeCell ref="W62:X62"/>
    <mergeCell ref="W63:X63"/>
    <mergeCell ref="P48:Q48"/>
    <mergeCell ref="W48:X48"/>
    <mergeCell ref="P49:Q49"/>
    <mergeCell ref="W49:X49"/>
    <mergeCell ref="P50:Q50"/>
    <mergeCell ref="W50:X50"/>
    <mergeCell ref="A51:L51"/>
    <mergeCell ref="P51:Q51"/>
    <mergeCell ref="T51:V51"/>
    <mergeCell ref="W51:X51"/>
    <mergeCell ref="P43:Q43"/>
    <mergeCell ref="W43:X43"/>
    <mergeCell ref="P44:Q44"/>
    <mergeCell ref="W44:X44"/>
    <mergeCell ref="P45:Q45"/>
    <mergeCell ref="W45:X45"/>
    <mergeCell ref="P46:Q46"/>
    <mergeCell ref="W46:X46"/>
    <mergeCell ref="P47:S47"/>
    <mergeCell ref="W47:X47"/>
    <mergeCell ref="P38:Q38"/>
    <mergeCell ref="W38:X38"/>
    <mergeCell ref="P39:Q39"/>
    <mergeCell ref="W39:X39"/>
    <mergeCell ref="P40:Q40"/>
    <mergeCell ref="W40:X40"/>
    <mergeCell ref="P41:Q41"/>
    <mergeCell ref="W41:X41"/>
    <mergeCell ref="P42:Q42"/>
    <mergeCell ref="W42:X42"/>
    <mergeCell ref="P33:Q33"/>
    <mergeCell ref="W33:X33"/>
    <mergeCell ref="P34:Q34"/>
    <mergeCell ref="W34:Z34"/>
    <mergeCell ref="P35:Q35"/>
    <mergeCell ref="W35:X35"/>
    <mergeCell ref="P36:Q36"/>
    <mergeCell ref="W36:X36"/>
    <mergeCell ref="P37:Q37"/>
    <mergeCell ref="W37:X37"/>
    <mergeCell ref="P28:Q28"/>
    <mergeCell ref="W28:X28"/>
    <mergeCell ref="P29:Q29"/>
    <mergeCell ref="W29:X29"/>
    <mergeCell ref="P30:Q30"/>
    <mergeCell ref="W30:X30"/>
    <mergeCell ref="P31:S31"/>
    <mergeCell ref="W31:X31"/>
    <mergeCell ref="P32:Q32"/>
    <mergeCell ref="W32:X32"/>
    <mergeCell ref="W21:X21"/>
    <mergeCell ref="W22:X22"/>
    <mergeCell ref="W23:X23"/>
    <mergeCell ref="W24:X24"/>
    <mergeCell ref="M25:Z25"/>
    <mergeCell ref="M26:Z26"/>
    <mergeCell ref="A27:L27"/>
    <mergeCell ref="M27:O27"/>
    <mergeCell ref="P27:S27"/>
    <mergeCell ref="T27:V27"/>
    <mergeCell ref="W27:Z27"/>
    <mergeCell ref="Y15:Z15"/>
    <mergeCell ref="W16:X16"/>
    <mergeCell ref="W17:X17"/>
    <mergeCell ref="W18:X18"/>
    <mergeCell ref="W19:X19"/>
    <mergeCell ref="M20:N20"/>
    <mergeCell ref="O20:P20"/>
    <mergeCell ref="R20:S20"/>
    <mergeCell ref="T20:V20"/>
    <mergeCell ref="W20:Z20"/>
    <mergeCell ref="W11:X11"/>
    <mergeCell ref="W12:X12"/>
    <mergeCell ref="W13:X13"/>
    <mergeCell ref="A14:L14"/>
    <mergeCell ref="W14:X14"/>
    <mergeCell ref="N15:O15"/>
    <mergeCell ref="P15:Q15"/>
    <mergeCell ref="R15:S15"/>
    <mergeCell ref="T15:U15"/>
    <mergeCell ref="V15:X15"/>
    <mergeCell ref="W7:X7"/>
    <mergeCell ref="A8:L8"/>
    <mergeCell ref="M8:Z8"/>
    <mergeCell ref="M9:Z9"/>
    <mergeCell ref="M10:N10"/>
    <mergeCell ref="O10:P10"/>
    <mergeCell ref="Q10:R10"/>
    <mergeCell ref="S10:T10"/>
    <mergeCell ref="U10:V10"/>
    <mergeCell ref="W10:Y10"/>
    <mergeCell ref="A1:B1"/>
    <mergeCell ref="C1:V1"/>
    <mergeCell ref="W1:Y1"/>
    <mergeCell ref="M2:Z2"/>
    <mergeCell ref="M3:N3"/>
    <mergeCell ref="W3:X3"/>
    <mergeCell ref="W4:X4"/>
    <mergeCell ref="W5:X5"/>
    <mergeCell ref="W6:X6"/>
  </mergeCells>
  <phoneticPr fontId="20" type="noConversion"/>
  <printOptions verticalCentered="1"/>
  <pageMargins left="0.19599999487400099" right="0.19599999487400099" top="0.19599999487400099" bottom="0.118000000715256" header="0" footer="0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8"/>
  <sheetViews>
    <sheetView tabSelected="1" workbookViewId="0">
      <selection activeCell="AK56" sqref="AK56"/>
    </sheetView>
  </sheetViews>
  <sheetFormatPr defaultColWidth="10" defaultRowHeight="14"/>
  <cols>
    <col min="1" max="1" width="11.90625" customWidth="1"/>
    <col min="2" max="4" width="5.6328125" customWidth="1"/>
    <col min="5" max="5" width="6.81640625" customWidth="1"/>
    <col min="6" max="7" width="6.90625" customWidth="1"/>
    <col min="8" max="8" width="5.6328125" customWidth="1"/>
    <col min="9" max="9" width="8.26953125" customWidth="1"/>
    <col min="10" max="11" width="5.1796875" customWidth="1"/>
    <col min="12" max="12" width="5.6328125" customWidth="1"/>
    <col min="13" max="13" width="6.81640625" customWidth="1"/>
    <col min="14" max="15" width="6.6328125" customWidth="1"/>
    <col min="16" max="16" width="6.1796875" customWidth="1"/>
    <col min="17" max="17" width="8.453125" customWidth="1"/>
    <col min="18" max="18" width="5.26953125" customWidth="1"/>
    <col min="19" max="19" width="5.81640625" customWidth="1"/>
    <col min="20" max="20" width="5.453125" customWidth="1"/>
    <col min="21" max="21" width="6.54296875" customWidth="1"/>
    <col min="22" max="22" width="6.6328125" customWidth="1"/>
    <col min="23" max="23" width="6.54296875" customWidth="1"/>
    <col min="24" max="24" width="5.6328125" customWidth="1"/>
    <col min="25" max="25" width="9.36328125" customWidth="1"/>
    <col min="26" max="26" width="6" customWidth="1"/>
    <col min="27" max="28" width="6.1796875" customWidth="1"/>
    <col min="29" max="29" width="6.54296875" customWidth="1"/>
    <col min="30" max="30" width="6.81640625" customWidth="1"/>
    <col min="31" max="31" width="6.6328125" customWidth="1"/>
    <col min="32" max="32" width="6" customWidth="1"/>
    <col min="33" max="33" width="9.7265625" customWidth="1"/>
  </cols>
  <sheetData>
    <row r="1" spans="1:32" ht="25.5" customHeight="1">
      <c r="A1" s="211"/>
      <c r="B1" s="211"/>
      <c r="C1" s="211"/>
      <c r="D1" s="212" t="s">
        <v>1349</v>
      </c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3" t="s">
        <v>0</v>
      </c>
      <c r="AD1" s="213"/>
      <c r="AE1" s="213"/>
      <c r="AF1" s="148" t="s">
        <v>1</v>
      </c>
    </row>
    <row r="2" spans="1:32" ht="13.65" customHeight="1">
      <c r="A2" s="214" t="s">
        <v>475</v>
      </c>
      <c r="B2" s="214"/>
      <c r="C2" s="214"/>
      <c r="D2" s="214"/>
      <c r="E2" s="214"/>
      <c r="F2" s="214"/>
      <c r="G2" s="214"/>
      <c r="H2" s="214"/>
      <c r="I2" s="214" t="s">
        <v>476</v>
      </c>
      <c r="J2" s="214"/>
      <c r="K2" s="214"/>
      <c r="L2" s="214"/>
      <c r="M2" s="214"/>
      <c r="N2" s="214"/>
      <c r="O2" s="214"/>
      <c r="P2" s="214"/>
      <c r="Q2" s="202" t="s">
        <v>477</v>
      </c>
      <c r="R2" s="202"/>
      <c r="S2" s="202"/>
      <c r="T2" s="202"/>
      <c r="U2" s="202"/>
      <c r="V2" s="202"/>
      <c r="W2" s="202"/>
      <c r="X2" s="202"/>
      <c r="Y2" s="215" t="s">
        <v>478</v>
      </c>
      <c r="Z2" s="215"/>
      <c r="AA2" s="215"/>
      <c r="AB2" s="215"/>
      <c r="AC2" s="215"/>
      <c r="AD2" s="215"/>
      <c r="AE2" s="215"/>
      <c r="AF2" s="215"/>
    </row>
    <row r="3" spans="1:32" ht="11.65" customHeight="1">
      <c r="A3" s="39" t="s">
        <v>6</v>
      </c>
      <c r="B3" s="48" t="s">
        <v>479</v>
      </c>
      <c r="C3" s="48" t="s">
        <v>480</v>
      </c>
      <c r="D3" s="48" t="s">
        <v>5</v>
      </c>
      <c r="E3" s="131" t="s">
        <v>481</v>
      </c>
      <c r="F3" s="132" t="s">
        <v>331</v>
      </c>
      <c r="G3" s="132" t="s">
        <v>482</v>
      </c>
      <c r="H3" s="132" t="s">
        <v>483</v>
      </c>
      <c r="I3" s="39" t="s">
        <v>6</v>
      </c>
      <c r="J3" s="48" t="s">
        <v>479</v>
      </c>
      <c r="K3" s="48" t="s">
        <v>480</v>
      </c>
      <c r="L3" s="48" t="s">
        <v>5</v>
      </c>
      <c r="M3" s="131" t="s">
        <v>481</v>
      </c>
      <c r="N3" s="132" t="s">
        <v>331</v>
      </c>
      <c r="O3" s="132" t="s">
        <v>482</v>
      </c>
      <c r="P3" s="132" t="s">
        <v>483</v>
      </c>
      <c r="Q3" s="39" t="s">
        <v>6</v>
      </c>
      <c r="R3" s="48" t="s">
        <v>479</v>
      </c>
      <c r="S3" s="48" t="s">
        <v>480</v>
      </c>
      <c r="T3" s="48" t="s">
        <v>5</v>
      </c>
      <c r="U3" s="147" t="s">
        <v>481</v>
      </c>
      <c r="V3" s="132" t="s">
        <v>331</v>
      </c>
      <c r="W3" s="132" t="s">
        <v>482</v>
      </c>
      <c r="X3" s="132" t="s">
        <v>483</v>
      </c>
      <c r="Y3" s="39" t="s">
        <v>6</v>
      </c>
      <c r="Z3" s="48" t="s">
        <v>479</v>
      </c>
      <c r="AA3" s="48" t="s">
        <v>480</v>
      </c>
      <c r="AB3" s="48" t="s">
        <v>5</v>
      </c>
      <c r="AC3" s="149" t="s">
        <v>481</v>
      </c>
      <c r="AD3" s="54" t="s">
        <v>331</v>
      </c>
      <c r="AE3" s="54" t="s">
        <v>482</v>
      </c>
      <c r="AF3" s="54" t="s">
        <v>483</v>
      </c>
    </row>
    <row r="4" spans="1:32" ht="11.65" customHeight="1">
      <c r="A4" s="133" t="s">
        <v>484</v>
      </c>
      <c r="B4" s="45">
        <v>542.79999999999995</v>
      </c>
      <c r="C4" s="45">
        <v>13027.16</v>
      </c>
      <c r="D4" s="45">
        <v>667914.21</v>
      </c>
      <c r="E4" s="134" t="s">
        <v>83</v>
      </c>
      <c r="F4" s="135" t="s">
        <v>83</v>
      </c>
      <c r="G4" s="135" t="s">
        <v>83</v>
      </c>
      <c r="H4" s="135" t="s">
        <v>83</v>
      </c>
      <c r="I4" s="48" t="s">
        <v>485</v>
      </c>
      <c r="J4" s="139">
        <v>329.9</v>
      </c>
      <c r="K4" s="48">
        <v>7918.35</v>
      </c>
      <c r="L4" s="48">
        <v>114071.01</v>
      </c>
      <c r="M4" s="134" t="s">
        <v>83</v>
      </c>
      <c r="N4" s="135" t="s">
        <v>83</v>
      </c>
      <c r="O4" s="135" t="s">
        <v>83</v>
      </c>
      <c r="P4" s="135" t="s">
        <v>83</v>
      </c>
      <c r="Q4" s="133" t="s">
        <v>161</v>
      </c>
      <c r="R4" s="139">
        <v>54</v>
      </c>
      <c r="S4" s="48">
        <v>1295.71</v>
      </c>
      <c r="T4" s="48">
        <v>110755.99</v>
      </c>
      <c r="U4" s="134" t="s">
        <v>83</v>
      </c>
      <c r="V4" s="135" t="s">
        <v>83</v>
      </c>
      <c r="W4" s="135" t="s">
        <v>83</v>
      </c>
      <c r="X4" s="135" t="s">
        <v>83</v>
      </c>
      <c r="Y4" s="133" t="s">
        <v>486</v>
      </c>
      <c r="Z4" s="139">
        <v>150.9</v>
      </c>
      <c r="AA4" s="48">
        <v>3621.2</v>
      </c>
      <c r="AB4" s="48">
        <v>128990.01</v>
      </c>
      <c r="AC4" s="134" t="s">
        <v>83</v>
      </c>
      <c r="AD4" s="135" t="s">
        <v>83</v>
      </c>
      <c r="AE4" s="135" t="s">
        <v>83</v>
      </c>
      <c r="AF4" s="135" t="s">
        <v>83</v>
      </c>
    </row>
    <row r="5" spans="1:32" ht="11.65" customHeight="1">
      <c r="A5" s="133" t="s">
        <v>487</v>
      </c>
      <c r="B5" s="94">
        <v>2.2999999999999998</v>
      </c>
      <c r="C5" s="45">
        <v>54.39</v>
      </c>
      <c r="D5" s="45">
        <v>1650.8</v>
      </c>
      <c r="E5" s="54" t="s">
        <v>488</v>
      </c>
      <c r="F5" s="136">
        <v>4.1999999999999997E-3</v>
      </c>
      <c r="G5" s="54">
        <v>7.4999999999999997E-3</v>
      </c>
      <c r="H5" s="54">
        <v>2.5000000000000001E-3</v>
      </c>
      <c r="I5" s="48" t="s">
        <v>489</v>
      </c>
      <c r="J5" s="139">
        <v>0</v>
      </c>
      <c r="K5" s="48">
        <v>0</v>
      </c>
      <c r="L5" s="48">
        <v>1162.24</v>
      </c>
      <c r="M5" s="134" t="s">
        <v>83</v>
      </c>
      <c r="N5" s="135" t="s">
        <v>83</v>
      </c>
      <c r="O5" s="135" t="s">
        <v>83</v>
      </c>
      <c r="P5" s="135" t="s">
        <v>83</v>
      </c>
      <c r="Q5" s="38" t="s">
        <v>182</v>
      </c>
      <c r="R5" s="139">
        <v>13.3</v>
      </c>
      <c r="S5" s="48">
        <v>318.27999999999997</v>
      </c>
      <c r="T5" s="48">
        <v>15786.48</v>
      </c>
      <c r="U5" s="134" t="s">
        <v>83</v>
      </c>
      <c r="V5" s="135" t="s">
        <v>83</v>
      </c>
      <c r="W5" s="135" t="s">
        <v>83</v>
      </c>
      <c r="X5" s="135" t="s">
        <v>83</v>
      </c>
      <c r="Y5" s="133" t="s">
        <v>490</v>
      </c>
      <c r="Z5" s="139">
        <v>0</v>
      </c>
      <c r="AA5" s="48">
        <v>0</v>
      </c>
      <c r="AB5" s="48">
        <v>0</v>
      </c>
      <c r="AC5" s="134" t="s">
        <v>83</v>
      </c>
      <c r="AD5" s="135" t="s">
        <v>83</v>
      </c>
      <c r="AE5" s="135" t="s">
        <v>83</v>
      </c>
      <c r="AF5" s="135" t="s">
        <v>83</v>
      </c>
    </row>
    <row r="6" spans="1:32" ht="11.65" customHeight="1">
      <c r="A6" s="133" t="s">
        <v>227</v>
      </c>
      <c r="B6" s="94">
        <v>70.400000000000006</v>
      </c>
      <c r="C6" s="45">
        <v>1690.25</v>
      </c>
      <c r="D6" s="45">
        <v>106362.62</v>
      </c>
      <c r="E6" s="54" t="s">
        <v>491</v>
      </c>
      <c r="F6" s="57">
        <v>0.12970000000000001</v>
      </c>
      <c r="G6" s="54">
        <v>0.1353</v>
      </c>
      <c r="H6" s="54">
        <v>0.15920000000000001</v>
      </c>
      <c r="I6" s="133" t="s">
        <v>492</v>
      </c>
      <c r="J6" s="139">
        <v>37.9</v>
      </c>
      <c r="K6" s="48">
        <v>910</v>
      </c>
      <c r="L6" s="48">
        <v>138301</v>
      </c>
      <c r="M6" s="134" t="s">
        <v>83</v>
      </c>
      <c r="N6" s="135" t="s">
        <v>83</v>
      </c>
      <c r="O6" s="135" t="s">
        <v>83</v>
      </c>
      <c r="P6" s="135" t="s">
        <v>83</v>
      </c>
      <c r="Q6" s="133" t="s">
        <v>493</v>
      </c>
      <c r="R6" s="139">
        <v>2.2000000000000002</v>
      </c>
      <c r="S6" s="48">
        <v>53.4</v>
      </c>
      <c r="T6" s="48">
        <v>3358.66</v>
      </c>
      <c r="U6" s="134" t="s">
        <v>83</v>
      </c>
      <c r="V6" s="135" t="s">
        <v>83</v>
      </c>
      <c r="W6" s="135" t="s">
        <v>83</v>
      </c>
      <c r="X6" s="135" t="s">
        <v>83</v>
      </c>
      <c r="Y6" s="133" t="s">
        <v>494</v>
      </c>
      <c r="Z6" s="139">
        <v>13.9</v>
      </c>
      <c r="AA6" s="48">
        <v>334.03</v>
      </c>
      <c r="AB6" s="48">
        <v>11883.76</v>
      </c>
      <c r="AC6" s="54" t="s">
        <v>495</v>
      </c>
      <c r="AD6" s="54">
        <v>9.2200000000000004E-2</v>
      </c>
      <c r="AE6" s="54">
        <v>9.2100000000000001E-2</v>
      </c>
      <c r="AF6" s="54">
        <v>9.2100000000000001E-2</v>
      </c>
    </row>
    <row r="7" spans="1:32" ht="11.65" customHeight="1">
      <c r="A7" s="133" t="s">
        <v>496</v>
      </c>
      <c r="B7" s="94">
        <v>55</v>
      </c>
      <c r="C7" s="45">
        <v>1320.18</v>
      </c>
      <c r="D7" s="45">
        <v>60713.08</v>
      </c>
      <c r="E7" s="54" t="s">
        <v>497</v>
      </c>
      <c r="F7" s="57">
        <v>0.1013</v>
      </c>
      <c r="G7" s="54">
        <v>0.10340000000000001</v>
      </c>
      <c r="H7" s="54">
        <v>9.0899999999999995E-2</v>
      </c>
      <c r="I7" s="133" t="s">
        <v>484</v>
      </c>
      <c r="J7" s="139">
        <v>367.8</v>
      </c>
      <c r="K7" s="48">
        <v>8828.35</v>
      </c>
      <c r="L7" s="48">
        <v>254380.28</v>
      </c>
      <c r="M7" s="134" t="s">
        <v>83</v>
      </c>
      <c r="N7" s="135" t="s">
        <v>83</v>
      </c>
      <c r="O7" s="135" t="s">
        <v>83</v>
      </c>
      <c r="P7" s="135" t="s">
        <v>83</v>
      </c>
      <c r="Q7" s="133" t="s">
        <v>498</v>
      </c>
      <c r="R7" s="139">
        <v>0.1</v>
      </c>
      <c r="S7" s="48">
        <v>2.39</v>
      </c>
      <c r="T7" s="48">
        <v>113.56</v>
      </c>
      <c r="U7" s="134" t="s">
        <v>83</v>
      </c>
      <c r="V7" s="135" t="s">
        <v>83</v>
      </c>
      <c r="W7" s="135" t="s">
        <v>83</v>
      </c>
      <c r="X7" s="135" t="s">
        <v>83</v>
      </c>
      <c r="Y7" s="133" t="s">
        <v>430</v>
      </c>
      <c r="Z7" s="139">
        <v>12.3</v>
      </c>
      <c r="AA7" s="48">
        <v>295.51</v>
      </c>
      <c r="AB7" s="48">
        <v>10324.120000000001</v>
      </c>
      <c r="AC7" s="54" t="s">
        <v>499</v>
      </c>
      <c r="AD7" s="54">
        <v>8.1600000000000006E-2</v>
      </c>
      <c r="AE7" s="54">
        <v>8.1299999999999997E-2</v>
      </c>
      <c r="AF7" s="54">
        <v>0.08</v>
      </c>
    </row>
    <row r="8" spans="1:32" ht="11.65" customHeight="1">
      <c r="A8" s="133" t="s">
        <v>500</v>
      </c>
      <c r="B8" s="94">
        <v>55.3</v>
      </c>
      <c r="C8" s="45">
        <v>1327.16</v>
      </c>
      <c r="D8" s="45">
        <v>100526.58</v>
      </c>
      <c r="E8" s="54" t="s">
        <v>501</v>
      </c>
      <c r="F8" s="56">
        <v>0.1019</v>
      </c>
      <c r="G8" s="54">
        <v>0.1133</v>
      </c>
      <c r="H8" s="54">
        <v>0.15049999999999999</v>
      </c>
      <c r="I8" s="133" t="s">
        <v>326</v>
      </c>
      <c r="J8" s="139">
        <v>337.2</v>
      </c>
      <c r="K8" s="48">
        <v>8092.66</v>
      </c>
      <c r="L8" s="48">
        <v>233886.57</v>
      </c>
      <c r="M8" s="54" t="s">
        <v>502</v>
      </c>
      <c r="N8" s="54">
        <v>0.91669999999999996</v>
      </c>
      <c r="O8" s="54">
        <v>0.9163</v>
      </c>
      <c r="P8" s="54">
        <v>0.9194</v>
      </c>
      <c r="Q8" s="38" t="s">
        <v>503</v>
      </c>
      <c r="R8" s="139">
        <v>69.599999999999994</v>
      </c>
      <c r="S8" s="48">
        <v>1669.78</v>
      </c>
      <c r="T8" s="48">
        <v>130014.69</v>
      </c>
      <c r="U8" s="134" t="s">
        <v>83</v>
      </c>
      <c r="V8" s="135" t="s">
        <v>83</v>
      </c>
      <c r="W8" s="135" t="s">
        <v>83</v>
      </c>
      <c r="X8" s="135" t="s">
        <v>83</v>
      </c>
      <c r="Y8" s="38" t="s">
        <v>504</v>
      </c>
      <c r="Z8" s="139">
        <v>21.7</v>
      </c>
      <c r="AA8" s="48">
        <v>521.71</v>
      </c>
      <c r="AB8" s="48">
        <v>22106.62</v>
      </c>
      <c r="AC8" s="54" t="s">
        <v>505</v>
      </c>
      <c r="AD8" s="57">
        <v>0.14410000000000001</v>
      </c>
      <c r="AE8" s="54">
        <v>0.14829999999999999</v>
      </c>
      <c r="AF8" s="54">
        <v>0.1714</v>
      </c>
    </row>
    <row r="9" spans="1:32" ht="11.65" customHeight="1">
      <c r="A9" s="133" t="s">
        <v>506</v>
      </c>
      <c r="B9" s="94">
        <v>0.2</v>
      </c>
      <c r="C9" s="45">
        <v>5.05</v>
      </c>
      <c r="D9" s="45">
        <v>59.23</v>
      </c>
      <c r="E9" s="137"/>
      <c r="F9" s="138">
        <v>4.0000000000000002E-4</v>
      </c>
      <c r="G9" s="54">
        <v>2.0000000000000001E-4</v>
      </c>
      <c r="H9" s="54">
        <v>1E-4</v>
      </c>
      <c r="I9" s="133" t="s">
        <v>507</v>
      </c>
      <c r="J9" s="139">
        <v>12.8</v>
      </c>
      <c r="K9" s="48">
        <v>308.07</v>
      </c>
      <c r="L9" s="48">
        <v>8675.66</v>
      </c>
      <c r="M9" s="54" t="s">
        <v>508</v>
      </c>
      <c r="N9" s="54">
        <v>3.49E-2</v>
      </c>
      <c r="O9" s="54">
        <v>3.49E-2</v>
      </c>
      <c r="P9" s="54">
        <v>3.4099999999999998E-2</v>
      </c>
      <c r="Q9" s="133" t="s">
        <v>509</v>
      </c>
      <c r="R9" s="139">
        <v>1.5</v>
      </c>
      <c r="S9" s="48">
        <v>35.07</v>
      </c>
      <c r="T9" s="48">
        <v>1442</v>
      </c>
      <c r="U9" s="54" t="s">
        <v>510</v>
      </c>
      <c r="V9" s="136">
        <v>2.1000000000000001E-2</v>
      </c>
      <c r="W9" s="54">
        <v>2.2800000000000001E-2</v>
      </c>
      <c r="X9" s="54">
        <v>1.11E-2</v>
      </c>
      <c r="Y9" s="133" t="s">
        <v>405</v>
      </c>
      <c r="Z9" s="139">
        <v>7.4</v>
      </c>
      <c r="AA9" s="48">
        <v>177.52</v>
      </c>
      <c r="AB9" s="48">
        <v>5897.85</v>
      </c>
      <c r="AC9" s="54" t="s">
        <v>511</v>
      </c>
      <c r="AD9" s="54">
        <v>4.9000000000000002E-2</v>
      </c>
      <c r="AE9" s="54">
        <v>4.7699999999999999E-2</v>
      </c>
      <c r="AF9" s="54">
        <v>4.5699999999999998E-2</v>
      </c>
    </row>
    <row r="10" spans="1:32" ht="11.65" customHeight="1">
      <c r="A10" s="133" t="s">
        <v>512</v>
      </c>
      <c r="B10" s="94">
        <v>1.9</v>
      </c>
      <c r="C10" s="45">
        <v>46.07</v>
      </c>
      <c r="D10" s="45">
        <v>333.87</v>
      </c>
      <c r="E10" s="54"/>
      <c r="F10" s="53">
        <v>3.5000000000000001E-3</v>
      </c>
      <c r="G10" s="54">
        <v>2.3999999999999998E-3</v>
      </c>
      <c r="H10" s="54">
        <v>5.0000000000000001E-4</v>
      </c>
      <c r="I10" s="133" t="s">
        <v>430</v>
      </c>
      <c r="J10" s="139">
        <v>55.8</v>
      </c>
      <c r="K10" s="48">
        <v>1340.12</v>
      </c>
      <c r="L10" s="48">
        <v>37695.54</v>
      </c>
      <c r="M10" s="54" t="s">
        <v>513</v>
      </c>
      <c r="N10" s="54">
        <v>0.15179999999999999</v>
      </c>
      <c r="O10" s="54">
        <v>0.1532</v>
      </c>
      <c r="P10" s="54">
        <v>0.1482</v>
      </c>
      <c r="Q10" s="133" t="s">
        <v>514</v>
      </c>
      <c r="R10" s="139">
        <v>0.9</v>
      </c>
      <c r="S10" s="48">
        <v>20.96</v>
      </c>
      <c r="T10" s="48">
        <v>1122.83</v>
      </c>
      <c r="U10" s="54" t="s">
        <v>515</v>
      </c>
      <c r="V10" s="56">
        <v>1.26E-2</v>
      </c>
      <c r="W10" s="54">
        <v>1.52E-2</v>
      </c>
      <c r="X10" s="54">
        <v>8.6E-3</v>
      </c>
      <c r="Y10" s="133" t="s">
        <v>408</v>
      </c>
      <c r="Z10" s="139">
        <v>24.7</v>
      </c>
      <c r="AA10" s="48">
        <v>591.77</v>
      </c>
      <c r="AB10" s="48">
        <v>19617.939999999999</v>
      </c>
      <c r="AC10" s="54" t="s">
        <v>516</v>
      </c>
      <c r="AD10" s="54">
        <v>0.16339999999999999</v>
      </c>
      <c r="AE10" s="54">
        <v>0.14760000000000001</v>
      </c>
      <c r="AF10" s="54">
        <v>0.15210000000000001</v>
      </c>
    </row>
    <row r="11" spans="1:32" ht="11.65" customHeight="1">
      <c r="A11" s="38" t="s">
        <v>517</v>
      </c>
      <c r="B11" s="134" t="s">
        <v>83</v>
      </c>
      <c r="C11" s="135" t="s">
        <v>83</v>
      </c>
      <c r="D11" s="135" t="s">
        <v>83</v>
      </c>
      <c r="E11" s="134" t="s">
        <v>83</v>
      </c>
      <c r="F11" s="135" t="s">
        <v>83</v>
      </c>
      <c r="G11" s="135" t="s">
        <v>83</v>
      </c>
      <c r="H11" s="135" t="s">
        <v>83</v>
      </c>
      <c r="I11" s="133" t="s">
        <v>340</v>
      </c>
      <c r="J11" s="139">
        <v>129.30000000000001</v>
      </c>
      <c r="K11" s="48">
        <v>3103.96</v>
      </c>
      <c r="L11" s="48">
        <v>83949.14</v>
      </c>
      <c r="M11" s="54" t="s">
        <v>518</v>
      </c>
      <c r="N11" s="54">
        <v>0.35160000000000002</v>
      </c>
      <c r="O11" s="54">
        <v>0.33479999999999999</v>
      </c>
      <c r="P11" s="54">
        <v>0.33</v>
      </c>
      <c r="Q11" s="133" t="s">
        <v>519</v>
      </c>
      <c r="R11" s="139">
        <v>4.8</v>
      </c>
      <c r="S11" s="48">
        <v>115.54</v>
      </c>
      <c r="T11" s="48">
        <v>10005.69</v>
      </c>
      <c r="U11" s="54" t="s">
        <v>520</v>
      </c>
      <c r="V11" s="54">
        <v>6.93E-2</v>
      </c>
      <c r="W11" s="54">
        <v>8.2400000000000001E-2</v>
      </c>
      <c r="X11" s="54">
        <v>7.6999999999999999E-2</v>
      </c>
      <c r="Y11" s="133" t="s">
        <v>417</v>
      </c>
      <c r="Z11" s="139">
        <v>25.1</v>
      </c>
      <c r="AA11" s="48">
        <v>602.71</v>
      </c>
      <c r="AB11" s="48">
        <v>26244.92</v>
      </c>
      <c r="AC11" s="54" t="s">
        <v>521</v>
      </c>
      <c r="AD11" s="57">
        <v>0.16639999999999999</v>
      </c>
      <c r="AE11" s="54">
        <v>0.14080000000000001</v>
      </c>
      <c r="AF11" s="54">
        <v>0.20349999999999999</v>
      </c>
    </row>
    <row r="12" spans="1:32" ht="11.65" customHeight="1">
      <c r="A12" s="133" t="s">
        <v>161</v>
      </c>
      <c r="B12" s="94">
        <v>20.6</v>
      </c>
      <c r="C12" s="45">
        <v>493.99</v>
      </c>
      <c r="D12" s="45">
        <v>104737.25</v>
      </c>
      <c r="E12" s="54" t="s">
        <v>522</v>
      </c>
      <c r="F12" s="136">
        <v>3.7900000000000003E-2</v>
      </c>
      <c r="G12" s="54">
        <v>0.1142</v>
      </c>
      <c r="H12" s="54">
        <v>0.15679999999999999</v>
      </c>
      <c r="I12" s="133" t="s">
        <v>523</v>
      </c>
      <c r="J12" s="139">
        <v>127.3</v>
      </c>
      <c r="K12" s="48">
        <v>3055.56</v>
      </c>
      <c r="L12" s="48">
        <v>88341.38</v>
      </c>
      <c r="M12" s="54" t="s">
        <v>524</v>
      </c>
      <c r="N12" s="54">
        <v>0.34610000000000002</v>
      </c>
      <c r="O12" s="54">
        <v>0.3498</v>
      </c>
      <c r="P12" s="54">
        <v>0.3473</v>
      </c>
      <c r="Q12" s="133" t="s">
        <v>525</v>
      </c>
      <c r="R12" s="139">
        <v>6.3</v>
      </c>
      <c r="S12" s="48">
        <v>152.19999999999999</v>
      </c>
      <c r="T12" s="48">
        <v>15706.21</v>
      </c>
      <c r="U12" s="54" t="s">
        <v>526</v>
      </c>
      <c r="V12" s="57">
        <v>9.1300000000000006E-2</v>
      </c>
      <c r="W12" s="54">
        <v>0.10970000000000001</v>
      </c>
      <c r="X12" s="54">
        <v>0.12089999999999999</v>
      </c>
      <c r="Y12" s="133" t="s">
        <v>527</v>
      </c>
      <c r="Z12" s="139">
        <v>40.200000000000003</v>
      </c>
      <c r="AA12" s="48">
        <v>963.87</v>
      </c>
      <c r="AB12" s="48">
        <v>27455.200000000001</v>
      </c>
      <c r="AC12" s="54" t="s">
        <v>528</v>
      </c>
      <c r="AD12" s="57">
        <v>0.26619999999999999</v>
      </c>
      <c r="AE12" s="54">
        <v>0.30180000000000001</v>
      </c>
      <c r="AF12" s="54">
        <v>0.21279999999999999</v>
      </c>
    </row>
    <row r="13" spans="1:32" ht="11.65" customHeight="1">
      <c r="A13" s="133" t="s">
        <v>137</v>
      </c>
      <c r="B13" s="94">
        <v>58.7</v>
      </c>
      <c r="C13" s="45">
        <v>1409.4</v>
      </c>
      <c r="D13" s="45">
        <v>71989.45</v>
      </c>
      <c r="E13" s="54" t="s">
        <v>529</v>
      </c>
      <c r="F13" s="54">
        <v>0.1082</v>
      </c>
      <c r="G13" s="54">
        <v>9.5899999999999999E-2</v>
      </c>
      <c r="H13" s="54">
        <v>0.10780000000000001</v>
      </c>
      <c r="I13" s="133" t="s">
        <v>530</v>
      </c>
      <c r="J13" s="139">
        <v>11.9</v>
      </c>
      <c r="K13" s="48">
        <v>284.95</v>
      </c>
      <c r="L13" s="48">
        <v>15224.85</v>
      </c>
      <c r="M13" s="54" t="s">
        <v>531</v>
      </c>
      <c r="N13" s="56">
        <v>3.2300000000000002E-2</v>
      </c>
      <c r="O13" s="54">
        <v>4.36E-2</v>
      </c>
      <c r="P13" s="54">
        <v>5.9900000000000002E-2</v>
      </c>
      <c r="Q13" s="133" t="s">
        <v>532</v>
      </c>
      <c r="R13" s="139">
        <v>5.2</v>
      </c>
      <c r="S13" s="48">
        <v>125</v>
      </c>
      <c r="T13" s="48">
        <v>21584.38</v>
      </c>
      <c r="U13" s="54" t="s">
        <v>533</v>
      </c>
      <c r="V13" s="136">
        <v>7.4999999999999997E-2</v>
      </c>
      <c r="W13" s="54">
        <v>0.1331</v>
      </c>
      <c r="X13" s="54">
        <v>0.16619999999999999</v>
      </c>
      <c r="Y13" s="133" t="s">
        <v>534</v>
      </c>
      <c r="Z13" s="139">
        <v>5.8</v>
      </c>
      <c r="AA13" s="48">
        <v>138.94999999999999</v>
      </c>
      <c r="AB13" s="48">
        <v>5582</v>
      </c>
      <c r="AC13" s="54" t="s">
        <v>535</v>
      </c>
      <c r="AD13" s="57">
        <v>3.8399999999999997E-2</v>
      </c>
      <c r="AE13" s="54">
        <v>4.1599999999999998E-2</v>
      </c>
      <c r="AF13" s="54">
        <v>4.3299999999999998E-2</v>
      </c>
    </row>
    <row r="14" spans="1:32" ht="11.4" customHeight="1">
      <c r="A14" s="133" t="s">
        <v>536</v>
      </c>
      <c r="B14" s="94">
        <v>252.3</v>
      </c>
      <c r="C14" s="45">
        <v>6055.43</v>
      </c>
      <c r="D14" s="45">
        <v>220916.07</v>
      </c>
      <c r="E14" s="54" t="s">
        <v>537</v>
      </c>
      <c r="F14" s="56">
        <v>0.46479999999999999</v>
      </c>
      <c r="G14" s="54">
        <v>0.42780000000000001</v>
      </c>
      <c r="H14" s="54">
        <v>0.33079999999999998</v>
      </c>
      <c r="I14" s="133" t="s">
        <v>538</v>
      </c>
      <c r="J14" s="139">
        <v>30.6</v>
      </c>
      <c r="K14" s="48">
        <v>735.5</v>
      </c>
      <c r="L14" s="48">
        <v>20492.060000000001</v>
      </c>
      <c r="M14" s="54" t="s">
        <v>539</v>
      </c>
      <c r="N14" s="54">
        <v>8.3299999999999999E-2</v>
      </c>
      <c r="O14" s="54">
        <v>8.3699999999999997E-2</v>
      </c>
      <c r="P14" s="54">
        <v>8.0600000000000005E-2</v>
      </c>
      <c r="Q14" s="133" t="s">
        <v>540</v>
      </c>
      <c r="R14" s="139">
        <v>39</v>
      </c>
      <c r="S14" s="48">
        <v>936.89</v>
      </c>
      <c r="T14" s="48">
        <v>77211.259999999995</v>
      </c>
      <c r="U14" s="54" t="s">
        <v>541</v>
      </c>
      <c r="V14" s="54">
        <v>0.56189999999999996</v>
      </c>
      <c r="W14" s="54">
        <v>0.52400000000000002</v>
      </c>
      <c r="X14" s="54">
        <v>0.59440000000000004</v>
      </c>
      <c r="Y14" s="38" t="s">
        <v>542</v>
      </c>
      <c r="Z14" s="54"/>
      <c r="AA14" s="54"/>
      <c r="AB14" s="54"/>
      <c r="AC14" s="54"/>
      <c r="AD14" s="150">
        <v>3.7802000000000002E-2</v>
      </c>
      <c r="AE14" s="150">
        <v>3.7761000000000003E-2</v>
      </c>
      <c r="AF14" s="150">
        <v>3.7761000000000003E-2</v>
      </c>
    </row>
    <row r="15" spans="1:32" ht="11.65" customHeight="1">
      <c r="A15" s="133" t="s">
        <v>543</v>
      </c>
      <c r="B15" s="134" t="s">
        <v>83</v>
      </c>
      <c r="C15" s="135" t="s">
        <v>83</v>
      </c>
      <c r="D15" s="135" t="s">
        <v>83</v>
      </c>
      <c r="E15" s="134" t="s">
        <v>83</v>
      </c>
      <c r="F15" s="135" t="s">
        <v>83</v>
      </c>
      <c r="G15" s="135" t="s">
        <v>83</v>
      </c>
      <c r="H15" s="135" t="s">
        <v>83</v>
      </c>
      <c r="I15" s="38" t="s">
        <v>544</v>
      </c>
      <c r="J15" s="139">
        <v>312.5</v>
      </c>
      <c r="K15" s="48">
        <v>7499.64</v>
      </c>
      <c r="L15" s="48">
        <v>209986.06</v>
      </c>
      <c r="M15" s="54" t="s">
        <v>545</v>
      </c>
      <c r="N15" s="54">
        <v>0.84950000000000003</v>
      </c>
      <c r="O15" s="54">
        <v>0.83779999999999999</v>
      </c>
      <c r="P15" s="54">
        <v>0.82550000000000001</v>
      </c>
      <c r="Q15" s="133" t="s">
        <v>546</v>
      </c>
      <c r="R15" s="139">
        <v>1.4</v>
      </c>
      <c r="S15" s="48">
        <v>32.97</v>
      </c>
      <c r="T15" s="48">
        <v>828.24</v>
      </c>
      <c r="U15" s="54" t="s">
        <v>547</v>
      </c>
      <c r="V15" s="53">
        <v>1.9800000000000002E-2</v>
      </c>
      <c r="W15" s="54">
        <v>9.5999999999999992E-3</v>
      </c>
      <c r="X15" s="54">
        <v>6.4000000000000003E-3</v>
      </c>
      <c r="Y15" s="215" t="s">
        <v>548</v>
      </c>
      <c r="Z15" s="215"/>
      <c r="AA15" s="215"/>
      <c r="AB15" s="215"/>
      <c r="AC15" s="215"/>
      <c r="AD15" s="215"/>
      <c r="AE15" s="215"/>
      <c r="AF15" s="215"/>
    </row>
    <row r="16" spans="1:32" ht="11.65" customHeight="1">
      <c r="A16" s="133" t="s">
        <v>549</v>
      </c>
      <c r="B16" s="94">
        <v>0</v>
      </c>
      <c r="C16" s="45">
        <v>0</v>
      </c>
      <c r="D16" s="45">
        <v>0.02</v>
      </c>
      <c r="E16" s="54" t="s">
        <v>550</v>
      </c>
      <c r="F16" s="54">
        <v>0</v>
      </c>
      <c r="G16" s="54">
        <v>0</v>
      </c>
      <c r="H16" s="54">
        <v>0</v>
      </c>
      <c r="I16" s="214" t="s">
        <v>551</v>
      </c>
      <c r="J16" s="214"/>
      <c r="K16" s="214"/>
      <c r="L16" s="214"/>
      <c r="M16" s="214"/>
      <c r="N16" s="214"/>
      <c r="O16" s="214"/>
      <c r="P16" s="214"/>
      <c r="Q16" s="133" t="s">
        <v>552</v>
      </c>
      <c r="R16" s="139">
        <v>1.5</v>
      </c>
      <c r="S16" s="48">
        <v>36.51</v>
      </c>
      <c r="T16" s="48">
        <v>839.79</v>
      </c>
      <c r="U16" s="54" t="s">
        <v>547</v>
      </c>
      <c r="V16" s="54">
        <v>2.1899999999999999E-2</v>
      </c>
      <c r="W16" s="54">
        <v>7.7000000000000002E-3</v>
      </c>
      <c r="X16" s="54">
        <v>6.4999999999999997E-3</v>
      </c>
      <c r="Y16" s="39" t="s">
        <v>6</v>
      </c>
      <c r="Z16" s="48" t="s">
        <v>479</v>
      </c>
      <c r="AA16" s="48" t="s">
        <v>480</v>
      </c>
      <c r="AB16" s="48" t="s">
        <v>5</v>
      </c>
      <c r="AC16" s="149" t="s">
        <v>481</v>
      </c>
      <c r="AD16" s="54" t="s">
        <v>331</v>
      </c>
      <c r="AE16" s="54" t="s">
        <v>482</v>
      </c>
      <c r="AF16" s="54" t="s">
        <v>483</v>
      </c>
    </row>
    <row r="17" spans="1:32" ht="11.65" customHeight="1">
      <c r="A17" s="38" t="s">
        <v>553</v>
      </c>
      <c r="B17" s="94">
        <v>180.7</v>
      </c>
      <c r="C17" s="45">
        <v>4337.59</v>
      </c>
      <c r="D17" s="45">
        <v>267602.28000000003</v>
      </c>
      <c r="E17" s="54" t="s">
        <v>554</v>
      </c>
      <c r="F17" s="57">
        <v>0.33300000000000002</v>
      </c>
      <c r="G17" s="54">
        <v>0.35199999999999998</v>
      </c>
      <c r="H17" s="54">
        <v>0.4007</v>
      </c>
      <c r="I17" s="39" t="s">
        <v>6</v>
      </c>
      <c r="J17" s="48" t="s">
        <v>479</v>
      </c>
      <c r="K17" s="48" t="s">
        <v>480</v>
      </c>
      <c r="L17" s="48" t="s">
        <v>5</v>
      </c>
      <c r="M17" s="131" t="s">
        <v>481</v>
      </c>
      <c r="N17" s="132" t="s">
        <v>331</v>
      </c>
      <c r="O17" s="132" t="s">
        <v>482</v>
      </c>
      <c r="P17" s="132" t="s">
        <v>483</v>
      </c>
      <c r="Q17" s="51" t="s">
        <v>555</v>
      </c>
      <c r="R17" s="139">
        <v>0</v>
      </c>
      <c r="S17" s="48">
        <v>0</v>
      </c>
      <c r="T17" s="48">
        <v>557.47</v>
      </c>
      <c r="U17" s="54"/>
      <c r="V17" s="54">
        <v>0</v>
      </c>
      <c r="W17" s="54">
        <v>0</v>
      </c>
      <c r="X17" s="54">
        <v>4.3E-3</v>
      </c>
      <c r="Y17" s="133" t="s">
        <v>556</v>
      </c>
      <c r="Z17" s="139">
        <v>16.3</v>
      </c>
      <c r="AA17" s="45">
        <v>390.26</v>
      </c>
      <c r="AB17" s="45">
        <v>14382.21</v>
      </c>
      <c r="AC17" s="151" t="s">
        <v>83</v>
      </c>
      <c r="AD17" s="135" t="s">
        <v>83</v>
      </c>
      <c r="AE17" s="135" t="s">
        <v>83</v>
      </c>
      <c r="AF17" s="135" t="s">
        <v>83</v>
      </c>
    </row>
    <row r="18" spans="1:32" ht="11.65" customHeight="1">
      <c r="A18" s="133" t="s">
        <v>557</v>
      </c>
      <c r="B18" s="94">
        <v>262</v>
      </c>
      <c r="C18" s="45">
        <v>6287.05</v>
      </c>
      <c r="D18" s="45">
        <v>444662.85</v>
      </c>
      <c r="E18" s="54" t="s">
        <v>558</v>
      </c>
      <c r="F18" s="57">
        <v>0.48259999999999997</v>
      </c>
      <c r="G18" s="54">
        <v>0.5645</v>
      </c>
      <c r="H18" s="54">
        <v>0.66569999999999996</v>
      </c>
      <c r="I18" s="133" t="s">
        <v>559</v>
      </c>
      <c r="J18" s="139">
        <v>143.19999999999999</v>
      </c>
      <c r="K18" s="48">
        <v>3437.42</v>
      </c>
      <c r="L18" s="48">
        <v>84310.66</v>
      </c>
      <c r="M18" s="134" t="s">
        <v>83</v>
      </c>
      <c r="N18" s="135" t="s">
        <v>83</v>
      </c>
      <c r="O18" s="135" t="s">
        <v>83</v>
      </c>
      <c r="P18" s="135" t="s">
        <v>83</v>
      </c>
      <c r="Q18" s="38" t="s">
        <v>560</v>
      </c>
      <c r="R18" s="139">
        <v>0</v>
      </c>
      <c r="S18" s="48">
        <v>0</v>
      </c>
      <c r="T18" s="48">
        <v>162</v>
      </c>
      <c r="U18" s="54" t="s">
        <v>561</v>
      </c>
      <c r="V18" s="54">
        <v>0</v>
      </c>
      <c r="W18" s="54">
        <v>1.9E-3</v>
      </c>
      <c r="X18" s="54">
        <v>1.1999999999999999E-3</v>
      </c>
      <c r="Y18" s="133" t="s">
        <v>562</v>
      </c>
      <c r="Z18" s="139">
        <v>0</v>
      </c>
      <c r="AA18" s="45">
        <v>0</v>
      </c>
      <c r="AB18" s="45">
        <v>2320.0100000000002</v>
      </c>
      <c r="AC18" s="151" t="s">
        <v>83</v>
      </c>
      <c r="AD18" s="135" t="s">
        <v>83</v>
      </c>
      <c r="AE18" s="135" t="s">
        <v>83</v>
      </c>
      <c r="AF18" s="135" t="s">
        <v>83</v>
      </c>
    </row>
    <row r="19" spans="1:32" ht="11.65" customHeight="1">
      <c r="A19" s="214" t="s">
        <v>563</v>
      </c>
      <c r="B19" s="214"/>
      <c r="C19" s="214"/>
      <c r="D19" s="214"/>
      <c r="E19" s="214"/>
      <c r="F19" s="214"/>
      <c r="G19" s="214"/>
      <c r="H19" s="214"/>
      <c r="I19" s="133" t="s">
        <v>493</v>
      </c>
      <c r="J19" s="112">
        <v>0</v>
      </c>
      <c r="K19" s="94">
        <v>0.72</v>
      </c>
      <c r="L19" s="94">
        <v>19.55</v>
      </c>
      <c r="M19" s="134" t="s">
        <v>83</v>
      </c>
      <c r="N19" s="135" t="s">
        <v>83</v>
      </c>
      <c r="O19" s="135" t="s">
        <v>83</v>
      </c>
      <c r="P19" s="135" t="s">
        <v>83</v>
      </c>
      <c r="Q19" s="133" t="s">
        <v>564</v>
      </c>
      <c r="R19" s="54"/>
      <c r="S19" s="54"/>
      <c r="T19" s="54"/>
      <c r="U19" s="54"/>
      <c r="V19" s="54">
        <v>3.3085706850723998E-2</v>
      </c>
      <c r="W19" s="54">
        <v>3.7726236760959903E-2</v>
      </c>
      <c r="X19" s="54">
        <v>2.6541761038803801E-2</v>
      </c>
      <c r="Y19" s="51" t="s">
        <v>430</v>
      </c>
      <c r="Z19" s="139">
        <v>0</v>
      </c>
      <c r="AA19" s="45">
        <v>0</v>
      </c>
      <c r="AB19" s="45">
        <v>0</v>
      </c>
      <c r="AC19" s="151" t="s">
        <v>83</v>
      </c>
      <c r="AD19" s="135" t="s">
        <v>83</v>
      </c>
      <c r="AE19" s="135" t="s">
        <v>83</v>
      </c>
      <c r="AF19" s="135" t="s">
        <v>83</v>
      </c>
    </row>
    <row r="20" spans="1:32" ht="11.65" customHeight="1">
      <c r="A20" s="39" t="s">
        <v>6</v>
      </c>
      <c r="B20" s="48" t="s">
        <v>479</v>
      </c>
      <c r="C20" s="48" t="s">
        <v>480</v>
      </c>
      <c r="D20" s="48" t="s">
        <v>5</v>
      </c>
      <c r="E20" s="131" t="s">
        <v>481</v>
      </c>
      <c r="F20" s="132" t="s">
        <v>331</v>
      </c>
      <c r="G20" s="132" t="s">
        <v>482</v>
      </c>
      <c r="H20" s="132" t="s">
        <v>483</v>
      </c>
      <c r="I20" s="133" t="s">
        <v>484</v>
      </c>
      <c r="J20" s="139">
        <v>143.30000000000001</v>
      </c>
      <c r="K20" s="48">
        <v>3438.14</v>
      </c>
      <c r="L20" s="48">
        <v>84330.21</v>
      </c>
      <c r="M20" s="134" t="s">
        <v>83</v>
      </c>
      <c r="N20" s="135" t="s">
        <v>83</v>
      </c>
      <c r="O20" s="135" t="s">
        <v>83</v>
      </c>
      <c r="P20" s="135" t="s">
        <v>83</v>
      </c>
      <c r="Q20" s="202" t="s">
        <v>565</v>
      </c>
      <c r="R20" s="202"/>
      <c r="S20" s="202"/>
      <c r="T20" s="202"/>
      <c r="U20" s="202"/>
      <c r="V20" s="202"/>
      <c r="W20" s="202"/>
      <c r="X20" s="202"/>
      <c r="Y20" s="133" t="s">
        <v>493</v>
      </c>
      <c r="Z20" s="139">
        <v>5.7</v>
      </c>
      <c r="AA20" s="45">
        <v>135.88999999999999</v>
      </c>
      <c r="AB20" s="45">
        <v>5568.01</v>
      </c>
      <c r="AC20" s="54">
        <v>0.32300000262978701</v>
      </c>
      <c r="AD20" s="54">
        <v>0.34820376159483402</v>
      </c>
      <c r="AE20" s="54">
        <v>0.33530562101990702</v>
      </c>
      <c r="AF20" s="54">
        <v>0.333369456275872</v>
      </c>
    </row>
    <row r="21" spans="1:32" ht="11.65" customHeight="1">
      <c r="A21" s="139" t="s">
        <v>566</v>
      </c>
      <c r="B21" s="139"/>
      <c r="C21" s="45"/>
      <c r="D21" s="45"/>
      <c r="E21" s="134" t="s">
        <v>83</v>
      </c>
      <c r="F21" s="135" t="s">
        <v>83</v>
      </c>
      <c r="G21" s="135" t="s">
        <v>83</v>
      </c>
      <c r="H21" s="135" t="s">
        <v>83</v>
      </c>
      <c r="I21" s="38" t="s">
        <v>507</v>
      </c>
      <c r="J21" s="139">
        <v>0.9</v>
      </c>
      <c r="K21" s="48">
        <v>20.5</v>
      </c>
      <c r="L21" s="48">
        <v>461.66</v>
      </c>
      <c r="M21" s="54">
        <v>0</v>
      </c>
      <c r="N21" s="54">
        <v>2.0000000000000001E-4</v>
      </c>
      <c r="O21" s="54">
        <v>2.0000000000000001E-4</v>
      </c>
      <c r="P21" s="54">
        <v>2.0000000000000001E-4</v>
      </c>
      <c r="Q21" s="39" t="s">
        <v>6</v>
      </c>
      <c r="R21" s="48" t="s">
        <v>479</v>
      </c>
      <c r="S21" s="48" t="s">
        <v>480</v>
      </c>
      <c r="T21" s="48" t="s">
        <v>5</v>
      </c>
      <c r="U21" s="147" t="s">
        <v>481</v>
      </c>
      <c r="V21" s="132" t="s">
        <v>331</v>
      </c>
      <c r="W21" s="132" t="s">
        <v>482</v>
      </c>
      <c r="X21" s="132" t="s">
        <v>483</v>
      </c>
      <c r="Y21" s="143" t="s">
        <v>567</v>
      </c>
      <c r="Z21" s="139">
        <v>42.2</v>
      </c>
      <c r="AA21" s="45">
        <v>1011.73</v>
      </c>
      <c r="AB21" s="45">
        <v>42900.63</v>
      </c>
      <c r="AC21" s="54">
        <v>0.67699996808527496</v>
      </c>
      <c r="AD21" s="54">
        <v>2.5924511863885602</v>
      </c>
      <c r="AE21" s="54">
        <v>2.59394273679988</v>
      </c>
      <c r="AF21" s="54">
        <v>2.5685585508992199</v>
      </c>
    </row>
    <row r="22" spans="1:32" ht="11.65" customHeight="1">
      <c r="A22" s="139" t="s">
        <v>568</v>
      </c>
      <c r="B22" s="139"/>
      <c r="C22" s="45"/>
      <c r="D22" s="45"/>
      <c r="E22" s="134" t="s">
        <v>83</v>
      </c>
      <c r="F22" s="135" t="s">
        <v>83</v>
      </c>
      <c r="G22" s="135" t="s">
        <v>83</v>
      </c>
      <c r="H22" s="135" t="s">
        <v>83</v>
      </c>
      <c r="I22" s="133" t="s">
        <v>569</v>
      </c>
      <c r="J22" s="139">
        <v>48.3</v>
      </c>
      <c r="K22" s="48">
        <v>1158.83</v>
      </c>
      <c r="L22" s="48">
        <v>30482.52</v>
      </c>
      <c r="M22" s="54" t="s">
        <v>570</v>
      </c>
      <c r="N22" s="54">
        <v>0.33710000000000001</v>
      </c>
      <c r="O22" s="54">
        <v>0.37419999999999998</v>
      </c>
      <c r="P22" s="54">
        <v>0.36149999999999999</v>
      </c>
      <c r="Q22" s="133" t="s">
        <v>571</v>
      </c>
      <c r="R22" s="139">
        <v>18.3</v>
      </c>
      <c r="S22" s="48">
        <v>439.64</v>
      </c>
      <c r="T22" s="48">
        <v>59649.120000000003</v>
      </c>
      <c r="U22" s="134" t="s">
        <v>83</v>
      </c>
      <c r="V22" s="135" t="s">
        <v>83</v>
      </c>
      <c r="W22" s="135" t="s">
        <v>83</v>
      </c>
      <c r="X22" s="135" t="s">
        <v>83</v>
      </c>
      <c r="Y22" s="215" t="s">
        <v>572</v>
      </c>
      <c r="Z22" s="215"/>
      <c r="AA22" s="215"/>
      <c r="AB22" s="215"/>
      <c r="AC22" s="215"/>
      <c r="AD22" s="215"/>
      <c r="AE22" s="215"/>
      <c r="AF22" s="215"/>
    </row>
    <row r="23" spans="1:32" ht="11.65" customHeight="1">
      <c r="A23" s="139" t="s">
        <v>227</v>
      </c>
      <c r="B23" s="139"/>
      <c r="C23" s="45"/>
      <c r="D23" s="45"/>
      <c r="E23" s="54" t="s">
        <v>573</v>
      </c>
      <c r="F23" s="54"/>
      <c r="G23" s="54"/>
      <c r="H23" s="54"/>
      <c r="I23" s="133" t="s">
        <v>574</v>
      </c>
      <c r="J23" s="139">
        <v>71.599999999999994</v>
      </c>
      <c r="K23" s="48">
        <v>1719.59</v>
      </c>
      <c r="L23" s="48">
        <v>38513.589999999997</v>
      </c>
      <c r="M23" s="54" t="s">
        <v>575</v>
      </c>
      <c r="N23" s="54">
        <v>0.50019999999999998</v>
      </c>
      <c r="O23" s="54">
        <v>0.51</v>
      </c>
      <c r="P23" s="54">
        <v>0.45669999999999999</v>
      </c>
      <c r="Q23" s="133" t="s">
        <v>576</v>
      </c>
      <c r="R23" s="139">
        <v>43.5</v>
      </c>
      <c r="S23" s="48">
        <v>1044.99</v>
      </c>
      <c r="T23" s="48">
        <v>111663.79</v>
      </c>
      <c r="U23" s="134" t="s">
        <v>83</v>
      </c>
      <c r="V23" s="135" t="s">
        <v>83</v>
      </c>
      <c r="W23" s="135" t="s">
        <v>83</v>
      </c>
      <c r="X23" s="135" t="s">
        <v>83</v>
      </c>
      <c r="Y23" s="39" t="s">
        <v>6</v>
      </c>
      <c r="Z23" s="48" t="s">
        <v>479</v>
      </c>
      <c r="AA23" s="48" t="s">
        <v>480</v>
      </c>
      <c r="AB23" s="48" t="s">
        <v>5</v>
      </c>
      <c r="AC23" s="149" t="s">
        <v>481</v>
      </c>
      <c r="AD23" s="54" t="s">
        <v>331</v>
      </c>
      <c r="AE23" s="54" t="s">
        <v>482</v>
      </c>
      <c r="AF23" s="54" t="s">
        <v>483</v>
      </c>
    </row>
    <row r="24" spans="1:32" ht="11.65" customHeight="1">
      <c r="A24" s="139" t="s">
        <v>193</v>
      </c>
      <c r="B24" s="139"/>
      <c r="C24" s="45"/>
      <c r="D24" s="45"/>
      <c r="E24" s="54" t="s">
        <v>577</v>
      </c>
      <c r="F24" s="54"/>
      <c r="G24" s="54"/>
      <c r="H24" s="54"/>
      <c r="I24" s="145" t="s">
        <v>578</v>
      </c>
      <c r="J24" s="139">
        <v>22.5</v>
      </c>
      <c r="K24" s="48">
        <v>538.88</v>
      </c>
      <c r="L24" s="48">
        <v>14872.07</v>
      </c>
      <c r="M24" s="54"/>
      <c r="N24" s="57">
        <v>0.15670000000000001</v>
      </c>
      <c r="O24" s="54">
        <v>0.1106</v>
      </c>
      <c r="P24" s="54">
        <v>0.1764</v>
      </c>
      <c r="Q24" s="133" t="s">
        <v>493</v>
      </c>
      <c r="R24" s="139">
        <v>0.7</v>
      </c>
      <c r="S24" s="48">
        <v>17.34</v>
      </c>
      <c r="T24" s="48">
        <v>1791.78</v>
      </c>
      <c r="U24" s="134" t="s">
        <v>83</v>
      </c>
      <c r="V24" s="135" t="s">
        <v>83</v>
      </c>
      <c r="W24" s="135" t="s">
        <v>83</v>
      </c>
      <c r="X24" s="135" t="s">
        <v>83</v>
      </c>
      <c r="Y24" s="133" t="s">
        <v>579</v>
      </c>
      <c r="Z24" s="139">
        <v>3.6</v>
      </c>
      <c r="AA24" s="48">
        <v>86.02</v>
      </c>
      <c r="AB24" s="48">
        <v>3819.98</v>
      </c>
      <c r="AC24" s="134" t="s">
        <v>83</v>
      </c>
      <c r="AD24" s="135" t="s">
        <v>83</v>
      </c>
      <c r="AE24" s="135" t="s">
        <v>83</v>
      </c>
      <c r="AF24" s="135" t="s">
        <v>83</v>
      </c>
    </row>
    <row r="25" spans="1:32" ht="11.65" customHeight="1">
      <c r="A25" s="139" t="s">
        <v>580</v>
      </c>
      <c r="B25" s="140"/>
      <c r="C25" s="45"/>
      <c r="D25" s="45"/>
      <c r="E25" s="54" t="s">
        <v>581</v>
      </c>
      <c r="F25" s="54"/>
      <c r="G25" s="141"/>
      <c r="H25" s="54"/>
      <c r="I25" s="133" t="s">
        <v>292</v>
      </c>
      <c r="J25" s="139">
        <v>0</v>
      </c>
      <c r="K25" s="48">
        <v>0.34</v>
      </c>
      <c r="L25" s="48">
        <v>0.4</v>
      </c>
      <c r="M25" s="54"/>
      <c r="N25" s="54">
        <v>1E-4</v>
      </c>
      <c r="O25" s="54">
        <v>0</v>
      </c>
      <c r="P25" s="54">
        <v>0</v>
      </c>
      <c r="Q25" s="133" t="s">
        <v>484</v>
      </c>
      <c r="R25" s="139">
        <v>62.6</v>
      </c>
      <c r="S25" s="48">
        <v>1501.97</v>
      </c>
      <c r="T25" s="48">
        <v>173104.69</v>
      </c>
      <c r="U25" s="134" t="s">
        <v>83</v>
      </c>
      <c r="V25" s="135" t="s">
        <v>83</v>
      </c>
      <c r="W25" s="135" t="s">
        <v>83</v>
      </c>
      <c r="X25" s="135" t="s">
        <v>83</v>
      </c>
      <c r="Y25" s="133" t="s">
        <v>494</v>
      </c>
      <c r="Z25" s="139">
        <v>13.9</v>
      </c>
      <c r="AA25" s="48">
        <v>334.03</v>
      </c>
      <c r="AB25" s="48">
        <v>11884.39</v>
      </c>
      <c r="AC25" s="134" t="s">
        <v>83</v>
      </c>
      <c r="AD25" s="135" t="s">
        <v>83</v>
      </c>
      <c r="AE25" s="135" t="s">
        <v>83</v>
      </c>
      <c r="AF25" s="135" t="s">
        <v>83</v>
      </c>
    </row>
    <row r="26" spans="1:32" ht="11.65" customHeight="1">
      <c r="A26" s="59" t="s">
        <v>582</v>
      </c>
      <c r="B26" s="140"/>
      <c r="C26" s="45"/>
      <c r="D26" s="45"/>
      <c r="E26" s="54" t="s">
        <v>537</v>
      </c>
      <c r="F26" s="54"/>
      <c r="G26" s="141"/>
      <c r="H26" s="54"/>
      <c r="I26" s="133" t="s">
        <v>564</v>
      </c>
      <c r="J26" s="54"/>
      <c r="K26" s="54"/>
      <c r="L26" s="54"/>
      <c r="M26" s="54"/>
      <c r="N26" s="54">
        <v>2.0945942014650499E-4</v>
      </c>
      <c r="O26" s="54">
        <v>2.4023114843652301E-4</v>
      </c>
      <c r="P26" s="54">
        <v>2.3188052376769399E-4</v>
      </c>
      <c r="Q26" s="133" t="s">
        <v>579</v>
      </c>
      <c r="R26" s="139">
        <v>0</v>
      </c>
      <c r="S26" s="48">
        <v>1.1399999999999999</v>
      </c>
      <c r="T26" s="48">
        <v>111.22</v>
      </c>
      <c r="U26" s="54" t="s">
        <v>583</v>
      </c>
      <c r="V26" s="56">
        <v>8.0000000000000004E-4</v>
      </c>
      <c r="W26" s="54">
        <v>5.9999999999999995E-4</v>
      </c>
      <c r="X26" s="54">
        <v>5.9999999999999995E-4</v>
      </c>
      <c r="Y26" s="143" t="s">
        <v>584</v>
      </c>
      <c r="Z26" s="139">
        <v>4.2</v>
      </c>
      <c r="AA26" s="48">
        <v>100.98</v>
      </c>
      <c r="AB26" s="48">
        <v>3117.61</v>
      </c>
      <c r="AC26" s="134" t="s">
        <v>83</v>
      </c>
      <c r="AD26" s="135" t="s">
        <v>83</v>
      </c>
      <c r="AE26" s="135" t="s">
        <v>83</v>
      </c>
      <c r="AF26" s="135" t="s">
        <v>83</v>
      </c>
    </row>
    <row r="27" spans="1:32" ht="11.65" customHeight="1">
      <c r="A27" s="139" t="s">
        <v>418</v>
      </c>
      <c r="B27" s="139"/>
      <c r="C27" s="45"/>
      <c r="D27" s="45"/>
      <c r="E27" s="54" t="s">
        <v>585</v>
      </c>
      <c r="F27" s="54"/>
      <c r="G27" s="54"/>
      <c r="H27" s="54"/>
      <c r="I27" s="214" t="s">
        <v>586</v>
      </c>
      <c r="J27" s="214"/>
      <c r="K27" s="214"/>
      <c r="L27" s="214"/>
      <c r="M27" s="214"/>
      <c r="N27" s="214"/>
      <c r="O27" s="214"/>
      <c r="P27" s="214"/>
      <c r="Q27" s="133" t="s">
        <v>514</v>
      </c>
      <c r="R27" s="139">
        <v>0.1</v>
      </c>
      <c r="S27" s="48">
        <v>2.4700000000000002</v>
      </c>
      <c r="T27" s="48">
        <v>914.45</v>
      </c>
      <c r="U27" s="54" t="s">
        <v>587</v>
      </c>
      <c r="V27" s="136">
        <v>1.6999999999999999E-3</v>
      </c>
      <c r="W27" s="54">
        <v>3.8999999999999998E-3</v>
      </c>
      <c r="X27" s="54">
        <v>5.3E-3</v>
      </c>
      <c r="Y27" s="133" t="s">
        <v>588</v>
      </c>
      <c r="Z27" s="139">
        <v>7.9</v>
      </c>
      <c r="AA27" s="48">
        <v>188.51</v>
      </c>
      <c r="AB27" s="48">
        <v>6765.64</v>
      </c>
      <c r="AC27" s="54" t="s">
        <v>589</v>
      </c>
      <c r="AD27" s="54">
        <v>0.36180258334452903</v>
      </c>
      <c r="AE27" s="54">
        <v>0.359590182628375</v>
      </c>
      <c r="AF27" s="54">
        <v>0.35945421257487298</v>
      </c>
    </row>
    <row r="28" spans="1:32" ht="11.65" customHeight="1">
      <c r="A28" s="214" t="s">
        <v>590</v>
      </c>
      <c r="B28" s="214"/>
      <c r="C28" s="214"/>
      <c r="D28" s="214"/>
      <c r="E28" s="214"/>
      <c r="F28" s="214"/>
      <c r="G28" s="214"/>
      <c r="H28" s="214"/>
      <c r="I28" s="39" t="s">
        <v>6</v>
      </c>
      <c r="J28" s="48" t="s">
        <v>479</v>
      </c>
      <c r="K28" s="48" t="s">
        <v>480</v>
      </c>
      <c r="L28" s="48" t="s">
        <v>5</v>
      </c>
      <c r="M28" s="131" t="s">
        <v>481</v>
      </c>
      <c r="N28" s="132" t="s">
        <v>331</v>
      </c>
      <c r="O28" s="132" t="s">
        <v>482</v>
      </c>
      <c r="P28" s="132" t="s">
        <v>483</v>
      </c>
      <c r="Q28" s="133" t="s">
        <v>525</v>
      </c>
      <c r="R28" s="139">
        <v>0</v>
      </c>
      <c r="S28" s="48">
        <v>0</v>
      </c>
      <c r="T28" s="48">
        <v>3099.07</v>
      </c>
      <c r="U28" s="54" t="s">
        <v>591</v>
      </c>
      <c r="V28" s="136">
        <v>0</v>
      </c>
      <c r="W28" s="54">
        <v>1.78E-2</v>
      </c>
      <c r="X28" s="54">
        <v>1.8100000000000002E-2</v>
      </c>
      <c r="Y28" s="133" t="s">
        <v>592</v>
      </c>
      <c r="Z28" s="139">
        <v>13.9</v>
      </c>
      <c r="AA28" s="48">
        <v>332.5</v>
      </c>
      <c r="AB28" s="48">
        <v>12055.8</v>
      </c>
      <c r="AC28" s="54" t="s">
        <v>593</v>
      </c>
      <c r="AD28" s="54">
        <v>0.63815903114983796</v>
      </c>
      <c r="AE28" s="54">
        <v>0.64037473026789005</v>
      </c>
      <c r="AF28" s="54">
        <v>0.64051709756359299</v>
      </c>
    </row>
    <row r="29" spans="1:32" ht="11.65" customHeight="1">
      <c r="A29" s="39" t="s">
        <v>6</v>
      </c>
      <c r="B29" s="48" t="s">
        <v>479</v>
      </c>
      <c r="C29" s="48" t="s">
        <v>480</v>
      </c>
      <c r="D29" s="48" t="s">
        <v>5</v>
      </c>
      <c r="E29" s="131" t="s">
        <v>481</v>
      </c>
      <c r="F29" s="132" t="s">
        <v>331</v>
      </c>
      <c r="G29" s="132" t="s">
        <v>482</v>
      </c>
      <c r="H29" s="132" t="s">
        <v>483</v>
      </c>
      <c r="I29" s="133" t="s">
        <v>594</v>
      </c>
      <c r="J29" s="139">
        <v>55.6</v>
      </c>
      <c r="K29" s="48">
        <v>1334.97</v>
      </c>
      <c r="L29" s="48">
        <v>37546.160000000003</v>
      </c>
      <c r="M29" s="134" t="s">
        <v>83</v>
      </c>
      <c r="N29" s="135" t="s">
        <v>83</v>
      </c>
      <c r="O29" s="135" t="s">
        <v>83</v>
      </c>
      <c r="P29" s="135" t="s">
        <v>83</v>
      </c>
      <c r="Q29" s="133" t="s">
        <v>595</v>
      </c>
      <c r="R29" s="139">
        <v>60.8</v>
      </c>
      <c r="S29" s="48">
        <v>1459.05</v>
      </c>
      <c r="T29" s="48">
        <v>167763.98000000001</v>
      </c>
      <c r="U29" s="54" t="s">
        <v>596</v>
      </c>
      <c r="V29" s="54">
        <v>0.98280000000000001</v>
      </c>
      <c r="W29" s="54">
        <v>0.98040000000000005</v>
      </c>
      <c r="X29" s="54">
        <v>0.97929999999999995</v>
      </c>
      <c r="Y29" s="215" t="s">
        <v>597</v>
      </c>
      <c r="Z29" s="215"/>
      <c r="AA29" s="215"/>
      <c r="AB29" s="215"/>
      <c r="AC29" s="215"/>
      <c r="AD29" s="215"/>
      <c r="AE29" s="215"/>
      <c r="AF29" s="215"/>
    </row>
    <row r="30" spans="1:32" ht="11.65" customHeight="1">
      <c r="A30" s="133" t="s">
        <v>598</v>
      </c>
      <c r="B30" s="139">
        <v>39.200000000000003</v>
      </c>
      <c r="C30" s="48">
        <v>941.26</v>
      </c>
      <c r="D30" s="48">
        <v>99304.17</v>
      </c>
      <c r="E30" s="134" t="s">
        <v>83</v>
      </c>
      <c r="F30" s="135" t="s">
        <v>83</v>
      </c>
      <c r="G30" s="135" t="s">
        <v>83</v>
      </c>
      <c r="H30" s="135" t="s">
        <v>83</v>
      </c>
      <c r="I30" s="133" t="s">
        <v>599</v>
      </c>
      <c r="J30" s="139">
        <v>0.2</v>
      </c>
      <c r="K30" s="48">
        <v>5.15</v>
      </c>
      <c r="L30" s="48">
        <v>161.05000000000001</v>
      </c>
      <c r="M30" s="134" t="s">
        <v>83</v>
      </c>
      <c r="N30" s="135" t="s">
        <v>83</v>
      </c>
      <c r="O30" s="135" t="s">
        <v>83</v>
      </c>
      <c r="P30" s="135" t="s">
        <v>83</v>
      </c>
      <c r="Q30" s="133" t="s">
        <v>600</v>
      </c>
      <c r="R30" s="139">
        <v>1.6</v>
      </c>
      <c r="S30" s="48">
        <v>39.31</v>
      </c>
      <c r="T30" s="48">
        <v>1215.97</v>
      </c>
      <c r="U30" s="54"/>
      <c r="V30" s="54">
        <v>2.6499999999999999E-2</v>
      </c>
      <c r="W30" s="54">
        <v>9.1999999999999998E-3</v>
      </c>
      <c r="X30" s="54">
        <v>7.1000000000000004E-3</v>
      </c>
      <c r="Y30" s="39" t="s">
        <v>6</v>
      </c>
      <c r="Z30" s="48" t="s">
        <v>479</v>
      </c>
      <c r="AA30" s="48" t="s">
        <v>480</v>
      </c>
      <c r="AB30" s="48" t="s">
        <v>5</v>
      </c>
      <c r="AC30" s="149" t="s">
        <v>481</v>
      </c>
      <c r="AD30" s="54" t="s">
        <v>331</v>
      </c>
      <c r="AE30" s="54" t="s">
        <v>482</v>
      </c>
      <c r="AF30" s="54" t="s">
        <v>483</v>
      </c>
    </row>
    <row r="31" spans="1:32" ht="11.65" customHeight="1">
      <c r="A31" s="133" t="s">
        <v>601</v>
      </c>
      <c r="B31" s="139">
        <v>135.19999999999999</v>
      </c>
      <c r="C31" s="48">
        <v>3244.97</v>
      </c>
      <c r="D31" s="48">
        <v>31472.400000000001</v>
      </c>
      <c r="E31" s="134" t="s">
        <v>83</v>
      </c>
      <c r="F31" s="135" t="s">
        <v>83</v>
      </c>
      <c r="G31" s="135" t="s">
        <v>83</v>
      </c>
      <c r="H31" s="135" t="s">
        <v>83</v>
      </c>
      <c r="I31" s="133" t="s">
        <v>484</v>
      </c>
      <c r="J31" s="139">
        <v>55.8</v>
      </c>
      <c r="K31" s="48">
        <v>1340.12</v>
      </c>
      <c r="L31" s="48">
        <v>37707.21</v>
      </c>
      <c r="M31" s="134" t="s">
        <v>83</v>
      </c>
      <c r="N31" s="135" t="s">
        <v>83</v>
      </c>
      <c r="O31" s="135" t="s">
        <v>83</v>
      </c>
      <c r="P31" s="135" t="s">
        <v>83</v>
      </c>
      <c r="Q31" s="41" t="s">
        <v>560</v>
      </c>
      <c r="R31" s="139">
        <v>0</v>
      </c>
      <c r="S31" s="48">
        <v>0</v>
      </c>
      <c r="T31" s="48">
        <v>0</v>
      </c>
      <c r="U31" s="54" t="s">
        <v>602</v>
      </c>
      <c r="V31" s="54">
        <v>0</v>
      </c>
      <c r="W31" s="54">
        <v>0</v>
      </c>
      <c r="X31" s="54">
        <v>0</v>
      </c>
      <c r="Y31" s="133" t="s">
        <v>603</v>
      </c>
      <c r="Z31" s="139">
        <v>0</v>
      </c>
      <c r="AA31" s="48">
        <v>0</v>
      </c>
      <c r="AB31" s="48">
        <v>42569.74</v>
      </c>
      <c r="AC31" s="134" t="s">
        <v>83</v>
      </c>
      <c r="AD31" s="135" t="s">
        <v>83</v>
      </c>
      <c r="AE31" s="135" t="s">
        <v>83</v>
      </c>
      <c r="AF31" s="135" t="s">
        <v>83</v>
      </c>
    </row>
    <row r="32" spans="1:32" ht="11.65" customHeight="1">
      <c r="A32" s="133" t="s">
        <v>604</v>
      </c>
      <c r="B32" s="139">
        <v>0.1</v>
      </c>
      <c r="C32" s="48">
        <v>3.3</v>
      </c>
      <c r="D32" s="48">
        <v>55.9</v>
      </c>
      <c r="E32" s="134" t="s">
        <v>83</v>
      </c>
      <c r="F32" s="135" t="s">
        <v>83</v>
      </c>
      <c r="G32" s="135" t="s">
        <v>83</v>
      </c>
      <c r="H32" s="135" t="s">
        <v>83</v>
      </c>
      <c r="I32" s="133" t="s">
        <v>507</v>
      </c>
      <c r="J32" s="139">
        <v>0</v>
      </c>
      <c r="K32" s="48">
        <v>0</v>
      </c>
      <c r="L32" s="48">
        <v>0.04</v>
      </c>
      <c r="M32" s="54"/>
      <c r="N32" s="141">
        <v>0</v>
      </c>
      <c r="O32" s="141">
        <v>0</v>
      </c>
      <c r="P32" s="141">
        <v>0</v>
      </c>
      <c r="Q32" s="133" t="s">
        <v>564</v>
      </c>
      <c r="R32" s="54"/>
      <c r="S32" s="54"/>
      <c r="T32" s="54"/>
      <c r="U32" s="54"/>
      <c r="V32" s="54">
        <v>1.1679677764830299E-2</v>
      </c>
      <c r="W32" s="54">
        <v>1.1937870721367099E-2</v>
      </c>
      <c r="X32" s="54">
        <v>1.04591066721125E-2</v>
      </c>
      <c r="Y32" s="38" t="s">
        <v>605</v>
      </c>
      <c r="Z32" s="139">
        <v>91.3</v>
      </c>
      <c r="AA32" s="48">
        <v>2190.06</v>
      </c>
      <c r="AB32" s="48">
        <v>19153.75</v>
      </c>
      <c r="AC32" s="134" t="s">
        <v>83</v>
      </c>
      <c r="AD32" s="135" t="s">
        <v>83</v>
      </c>
      <c r="AE32" s="135" t="s">
        <v>83</v>
      </c>
      <c r="AF32" s="135" t="s">
        <v>83</v>
      </c>
    </row>
    <row r="33" spans="1:32" ht="11.65" customHeight="1">
      <c r="A33" s="142" t="s">
        <v>606</v>
      </c>
      <c r="B33" s="139">
        <v>22.5</v>
      </c>
      <c r="C33" s="48">
        <v>538.88</v>
      </c>
      <c r="D33" s="48">
        <v>14872.07</v>
      </c>
      <c r="E33" s="134" t="s">
        <v>83</v>
      </c>
      <c r="F33" s="135" t="s">
        <v>83</v>
      </c>
      <c r="G33" s="135" t="s">
        <v>83</v>
      </c>
      <c r="H33" s="135" t="s">
        <v>83</v>
      </c>
      <c r="I33" s="133" t="s">
        <v>424</v>
      </c>
      <c r="J33" s="139">
        <v>3.1</v>
      </c>
      <c r="K33" s="48">
        <v>74.06</v>
      </c>
      <c r="L33" s="48">
        <v>2270.12</v>
      </c>
      <c r="M33" s="54" t="s">
        <v>607</v>
      </c>
      <c r="N33" s="54">
        <v>5.5300000000000002E-2</v>
      </c>
      <c r="O33" s="54">
        <v>5.5300000000000002E-2</v>
      </c>
      <c r="P33" s="54">
        <v>6.0199999999999997E-2</v>
      </c>
      <c r="Q33" s="202" t="s">
        <v>608</v>
      </c>
      <c r="R33" s="202"/>
      <c r="S33" s="202"/>
      <c r="T33" s="202"/>
      <c r="U33" s="202"/>
      <c r="V33" s="202"/>
      <c r="W33" s="202"/>
      <c r="X33" s="202"/>
      <c r="Y33" s="133" t="s">
        <v>493</v>
      </c>
      <c r="Z33" s="139">
        <v>0</v>
      </c>
      <c r="AA33" s="48">
        <v>0.59</v>
      </c>
      <c r="AB33" s="48">
        <v>19.190000000000001</v>
      </c>
      <c r="AC33" s="134" t="s">
        <v>83</v>
      </c>
      <c r="AD33" s="135" t="s">
        <v>83</v>
      </c>
      <c r="AE33" s="135" t="s">
        <v>83</v>
      </c>
      <c r="AF33" s="135" t="s">
        <v>83</v>
      </c>
    </row>
    <row r="34" spans="1:32" ht="11.65" customHeight="1">
      <c r="A34" s="38" t="s">
        <v>609</v>
      </c>
      <c r="B34" s="139">
        <v>2.7</v>
      </c>
      <c r="C34" s="48">
        <v>64.489999999999995</v>
      </c>
      <c r="D34" s="48">
        <v>3319.56</v>
      </c>
      <c r="E34" s="134" t="s">
        <v>83</v>
      </c>
      <c r="F34" s="135" t="s">
        <v>83</v>
      </c>
      <c r="G34" s="135" t="s">
        <v>83</v>
      </c>
      <c r="H34" s="135" t="s">
        <v>83</v>
      </c>
      <c r="I34" s="133" t="s">
        <v>610</v>
      </c>
      <c r="J34" s="139">
        <v>19.8</v>
      </c>
      <c r="K34" s="48">
        <v>475.2</v>
      </c>
      <c r="L34" s="48">
        <v>13265.67</v>
      </c>
      <c r="M34" s="54" t="s">
        <v>611</v>
      </c>
      <c r="N34" s="54">
        <v>0.35460000000000003</v>
      </c>
      <c r="O34" s="54">
        <v>0.35770000000000002</v>
      </c>
      <c r="P34" s="54">
        <v>0.3518</v>
      </c>
      <c r="Q34" s="39" t="s">
        <v>6</v>
      </c>
      <c r="R34" s="48" t="s">
        <v>479</v>
      </c>
      <c r="S34" s="48" t="s">
        <v>480</v>
      </c>
      <c r="T34" s="48" t="s">
        <v>5</v>
      </c>
      <c r="U34" s="147" t="s">
        <v>481</v>
      </c>
      <c r="V34" s="132" t="s">
        <v>331</v>
      </c>
      <c r="W34" s="132" t="s">
        <v>482</v>
      </c>
      <c r="X34" s="132" t="s">
        <v>483</v>
      </c>
      <c r="Y34" s="133" t="s">
        <v>612</v>
      </c>
      <c r="Z34" s="139">
        <v>90.9</v>
      </c>
      <c r="AA34" s="48">
        <v>2181.36</v>
      </c>
      <c r="AB34" s="48">
        <v>61466.62</v>
      </c>
      <c r="AC34" s="54" t="s">
        <v>613</v>
      </c>
      <c r="AD34" s="54">
        <v>0.996</v>
      </c>
      <c r="AE34" s="54">
        <v>0.99380000000000002</v>
      </c>
      <c r="AF34" s="54">
        <v>0.99580000000000002</v>
      </c>
    </row>
    <row r="35" spans="1:32" ht="11.65" customHeight="1">
      <c r="A35" s="143" t="s">
        <v>614</v>
      </c>
      <c r="B35" s="139">
        <v>0</v>
      </c>
      <c r="C35" s="48">
        <v>0</v>
      </c>
      <c r="D35" s="48">
        <v>0</v>
      </c>
      <c r="E35" s="134" t="s">
        <v>83</v>
      </c>
      <c r="F35" s="135" t="s">
        <v>83</v>
      </c>
      <c r="G35" s="135" t="s">
        <v>83</v>
      </c>
      <c r="H35" s="135" t="s">
        <v>83</v>
      </c>
      <c r="I35" s="133" t="s">
        <v>615</v>
      </c>
      <c r="J35" s="139">
        <v>33</v>
      </c>
      <c r="K35" s="48">
        <v>790.86</v>
      </c>
      <c r="L35" s="48">
        <v>22171.46</v>
      </c>
      <c r="M35" s="54" t="s">
        <v>616</v>
      </c>
      <c r="N35" s="54">
        <v>0.59009999999999996</v>
      </c>
      <c r="O35" s="54">
        <v>0.58689999999999998</v>
      </c>
      <c r="P35" s="54">
        <v>0.58799999999999997</v>
      </c>
      <c r="Q35" s="133" t="s">
        <v>571</v>
      </c>
      <c r="R35" s="139">
        <v>0</v>
      </c>
      <c r="S35" s="48">
        <v>0</v>
      </c>
      <c r="T35" s="48">
        <v>0</v>
      </c>
      <c r="U35" s="48"/>
      <c r="V35" s="135" t="s">
        <v>83</v>
      </c>
      <c r="W35" s="135" t="s">
        <v>83</v>
      </c>
      <c r="X35" s="135" t="s">
        <v>83</v>
      </c>
      <c r="Y35" s="133" t="s">
        <v>227</v>
      </c>
      <c r="Z35" s="139">
        <v>0.2</v>
      </c>
      <c r="AA35" s="48">
        <v>4.51</v>
      </c>
      <c r="AB35" s="48">
        <v>127.69</v>
      </c>
      <c r="AC35" s="54" t="s">
        <v>617</v>
      </c>
      <c r="AD35" s="54">
        <v>2.0999999999999999E-3</v>
      </c>
      <c r="AE35" s="54">
        <v>4.1999999999999997E-3</v>
      </c>
      <c r="AF35" s="54">
        <v>2.0999999999999999E-3</v>
      </c>
    </row>
    <row r="36" spans="1:32" ht="11.65" customHeight="1">
      <c r="A36" s="133" t="s">
        <v>494</v>
      </c>
      <c r="B36" s="139">
        <v>0.2</v>
      </c>
      <c r="C36" s="48">
        <v>5.64</v>
      </c>
      <c r="D36" s="48">
        <v>156.97999999999999</v>
      </c>
      <c r="E36" s="134" t="s">
        <v>83</v>
      </c>
      <c r="F36" s="135" t="s">
        <v>83</v>
      </c>
      <c r="G36" s="135" t="s">
        <v>83</v>
      </c>
      <c r="H36" s="135" t="s">
        <v>83</v>
      </c>
      <c r="I36" s="214" t="s">
        <v>618</v>
      </c>
      <c r="J36" s="214"/>
      <c r="K36" s="214"/>
      <c r="L36" s="214"/>
      <c r="M36" s="214"/>
      <c r="N36" s="214"/>
      <c r="O36" s="214"/>
      <c r="P36" s="214"/>
      <c r="Q36" s="133" t="s">
        <v>576</v>
      </c>
      <c r="R36" s="139">
        <v>0</v>
      </c>
      <c r="S36" s="48">
        <v>0</v>
      </c>
      <c r="T36" s="48">
        <v>0</v>
      </c>
      <c r="U36" s="48"/>
      <c r="V36" s="135" t="s">
        <v>83</v>
      </c>
      <c r="W36" s="135" t="s">
        <v>83</v>
      </c>
      <c r="X36" s="135" t="s">
        <v>83</v>
      </c>
      <c r="Y36" s="38" t="s">
        <v>619</v>
      </c>
      <c r="Z36" s="139">
        <v>0.2</v>
      </c>
      <c r="AA36" s="48">
        <v>4.47</v>
      </c>
      <c r="AB36" s="48">
        <v>140.22999999999999</v>
      </c>
      <c r="AC36" s="54" t="s">
        <v>620</v>
      </c>
      <c r="AD36" s="57">
        <v>2E-3</v>
      </c>
      <c r="AE36" s="54">
        <v>2.2000000000000001E-3</v>
      </c>
      <c r="AF36" s="54">
        <v>2.3E-3</v>
      </c>
    </row>
    <row r="37" spans="1:32" ht="11.65" customHeight="1">
      <c r="A37" s="133" t="s">
        <v>484</v>
      </c>
      <c r="B37" s="139">
        <v>199.9</v>
      </c>
      <c r="C37" s="48">
        <v>4798.54</v>
      </c>
      <c r="D37" s="48">
        <v>149181.07999999999</v>
      </c>
      <c r="E37" s="54"/>
      <c r="F37" s="54"/>
      <c r="G37" s="54"/>
      <c r="H37" s="144"/>
      <c r="I37" s="39" t="s">
        <v>6</v>
      </c>
      <c r="J37" s="48" t="s">
        <v>479</v>
      </c>
      <c r="K37" s="48" t="s">
        <v>480</v>
      </c>
      <c r="L37" s="48" t="s">
        <v>5</v>
      </c>
      <c r="M37" s="131" t="s">
        <v>481</v>
      </c>
      <c r="N37" s="132" t="s">
        <v>331</v>
      </c>
      <c r="O37" s="132" t="s">
        <v>482</v>
      </c>
      <c r="P37" s="132" t="s">
        <v>483</v>
      </c>
      <c r="Q37" s="133" t="s">
        <v>493</v>
      </c>
      <c r="R37" s="139">
        <v>0</v>
      </c>
      <c r="S37" s="48">
        <v>0</v>
      </c>
      <c r="T37" s="48">
        <v>0</v>
      </c>
      <c r="U37" s="48"/>
      <c r="V37" s="135" t="s">
        <v>83</v>
      </c>
      <c r="W37" s="135" t="s">
        <v>83</v>
      </c>
      <c r="X37" s="135" t="s">
        <v>83</v>
      </c>
      <c r="Y37" s="215" t="s">
        <v>621</v>
      </c>
      <c r="Z37" s="215"/>
      <c r="AA37" s="215"/>
      <c r="AB37" s="215"/>
      <c r="AC37" s="215"/>
      <c r="AD37" s="215"/>
      <c r="AE37" s="215"/>
      <c r="AF37" s="215"/>
    </row>
    <row r="38" spans="1:32" ht="11.65" customHeight="1">
      <c r="A38" s="38" t="s">
        <v>622</v>
      </c>
      <c r="B38" s="139">
        <v>199.9</v>
      </c>
      <c r="C38" s="48">
        <v>4798.54</v>
      </c>
      <c r="D38" s="48">
        <v>149181.04999999999</v>
      </c>
      <c r="E38" s="54">
        <v>0.99870000000000003</v>
      </c>
      <c r="F38" s="54">
        <v>1.0012000000000001</v>
      </c>
      <c r="G38" s="54">
        <v>1.0009999999999999</v>
      </c>
      <c r="H38" s="144">
        <v>1.0011000000000001</v>
      </c>
      <c r="I38" s="38" t="s">
        <v>623</v>
      </c>
      <c r="J38" s="139">
        <v>71.599999999999994</v>
      </c>
      <c r="K38" s="48">
        <v>1719.59</v>
      </c>
      <c r="L38" s="48">
        <v>38513.910000000003</v>
      </c>
      <c r="M38" s="134" t="s">
        <v>83</v>
      </c>
      <c r="N38" s="135" t="s">
        <v>83</v>
      </c>
      <c r="O38" s="135" t="s">
        <v>83</v>
      </c>
      <c r="P38" s="135" t="s">
        <v>83</v>
      </c>
      <c r="Q38" s="133" t="s">
        <v>484</v>
      </c>
      <c r="R38" s="139">
        <v>0</v>
      </c>
      <c r="S38" s="48">
        <v>0</v>
      </c>
      <c r="T38" s="48">
        <v>0</v>
      </c>
      <c r="U38" s="48"/>
      <c r="V38" s="135" t="s">
        <v>83</v>
      </c>
      <c r="W38" s="135" t="s">
        <v>83</v>
      </c>
      <c r="X38" s="135" t="s">
        <v>83</v>
      </c>
      <c r="Y38" s="39" t="s">
        <v>6</v>
      </c>
      <c r="Z38" s="48" t="s">
        <v>479</v>
      </c>
      <c r="AA38" s="48" t="s">
        <v>480</v>
      </c>
      <c r="AB38" s="48" t="s">
        <v>5</v>
      </c>
      <c r="AC38" s="149" t="s">
        <v>481</v>
      </c>
      <c r="AD38" s="54" t="s">
        <v>331</v>
      </c>
      <c r="AE38" s="54" t="s">
        <v>482</v>
      </c>
      <c r="AF38" s="54" t="s">
        <v>483</v>
      </c>
    </row>
    <row r="39" spans="1:32" ht="11.65" customHeight="1">
      <c r="A39" s="38" t="s">
        <v>564</v>
      </c>
      <c r="B39" s="54">
        <v>0</v>
      </c>
      <c r="C39" s="54">
        <v>0</v>
      </c>
      <c r="D39" s="54">
        <v>0</v>
      </c>
      <c r="E39" s="54"/>
      <c r="F39" s="54"/>
      <c r="G39" s="54"/>
      <c r="H39" s="54"/>
      <c r="I39" s="38" t="s">
        <v>493</v>
      </c>
      <c r="J39" s="139">
        <v>0.2</v>
      </c>
      <c r="K39" s="48">
        <v>4.83</v>
      </c>
      <c r="L39" s="48">
        <v>120.73</v>
      </c>
      <c r="M39" s="134" t="s">
        <v>83</v>
      </c>
      <c r="N39" s="135" t="s">
        <v>83</v>
      </c>
      <c r="O39" s="135" t="s">
        <v>83</v>
      </c>
      <c r="P39" s="135" t="s">
        <v>83</v>
      </c>
      <c r="Q39" s="133" t="s">
        <v>514</v>
      </c>
      <c r="R39" s="139">
        <v>0</v>
      </c>
      <c r="S39" s="48">
        <v>0</v>
      </c>
      <c r="T39" s="48">
        <v>0</v>
      </c>
      <c r="U39" s="54"/>
      <c r="V39" s="54">
        <v>0</v>
      </c>
      <c r="W39" s="54">
        <v>0</v>
      </c>
      <c r="X39" s="54">
        <v>0</v>
      </c>
      <c r="Y39" s="38" t="s">
        <v>624</v>
      </c>
      <c r="Z39" s="139">
        <v>34.1</v>
      </c>
      <c r="AA39" s="48">
        <v>818.49</v>
      </c>
      <c r="AB39" s="48">
        <v>28404.12</v>
      </c>
      <c r="AC39" s="134" t="s">
        <v>83</v>
      </c>
      <c r="AD39" s="135" t="s">
        <v>83</v>
      </c>
      <c r="AE39" s="135" t="s">
        <v>83</v>
      </c>
      <c r="AF39" s="135" t="s">
        <v>83</v>
      </c>
    </row>
    <row r="40" spans="1:32" ht="11.65" customHeight="1">
      <c r="A40" s="214" t="s">
        <v>625</v>
      </c>
      <c r="B40" s="214"/>
      <c r="C40" s="214"/>
      <c r="D40" s="214"/>
      <c r="E40" s="214"/>
      <c r="F40" s="214"/>
      <c r="G40" s="214"/>
      <c r="H40" s="214"/>
      <c r="I40" s="133" t="s">
        <v>484</v>
      </c>
      <c r="J40" s="139">
        <v>71.900000000000006</v>
      </c>
      <c r="K40" s="48">
        <v>1724.42</v>
      </c>
      <c r="L40" s="48">
        <v>38634.639999999999</v>
      </c>
      <c r="M40" s="134" t="s">
        <v>83</v>
      </c>
      <c r="N40" s="135" t="s">
        <v>83</v>
      </c>
      <c r="O40" s="135" t="s">
        <v>83</v>
      </c>
      <c r="P40" s="135" t="s">
        <v>83</v>
      </c>
      <c r="Q40" s="133" t="s">
        <v>579</v>
      </c>
      <c r="R40" s="139">
        <v>0</v>
      </c>
      <c r="S40" s="48">
        <v>0</v>
      </c>
      <c r="T40" s="48">
        <v>0</v>
      </c>
      <c r="U40" s="54"/>
      <c r="V40" s="54">
        <v>0</v>
      </c>
      <c r="W40" s="54">
        <v>0</v>
      </c>
      <c r="X40" s="54">
        <v>0</v>
      </c>
      <c r="Y40" s="38" t="s">
        <v>493</v>
      </c>
      <c r="Z40" s="139">
        <v>0.1</v>
      </c>
      <c r="AA40" s="48">
        <v>1.57</v>
      </c>
      <c r="AB40" s="48">
        <v>43.36</v>
      </c>
      <c r="AC40" s="134" t="s">
        <v>83</v>
      </c>
      <c r="AD40" s="135" t="s">
        <v>83</v>
      </c>
      <c r="AE40" s="135" t="s">
        <v>83</v>
      </c>
      <c r="AF40" s="135" t="s">
        <v>83</v>
      </c>
    </row>
    <row r="41" spans="1:32" ht="11.65" customHeight="1">
      <c r="A41" s="39" t="s">
        <v>6</v>
      </c>
      <c r="B41" s="48" t="s">
        <v>479</v>
      </c>
      <c r="C41" s="48" t="s">
        <v>480</v>
      </c>
      <c r="D41" s="48" t="s">
        <v>5</v>
      </c>
      <c r="E41" s="131" t="s">
        <v>481</v>
      </c>
      <c r="F41" s="132" t="s">
        <v>331</v>
      </c>
      <c r="G41" s="132" t="s">
        <v>482</v>
      </c>
      <c r="H41" s="132" t="s">
        <v>483</v>
      </c>
      <c r="I41" s="38" t="s">
        <v>626</v>
      </c>
      <c r="J41" s="139">
        <v>71.8</v>
      </c>
      <c r="K41" s="48">
        <v>1723.36</v>
      </c>
      <c r="L41" s="48">
        <v>38609.769999999997</v>
      </c>
      <c r="M41" s="54" t="s">
        <v>627</v>
      </c>
      <c r="N41" s="54">
        <v>1.0022</v>
      </c>
      <c r="O41" s="54">
        <v>1.0024999999999999</v>
      </c>
      <c r="P41" s="54">
        <v>1.0024999999999999</v>
      </c>
      <c r="Q41" s="133" t="s">
        <v>519</v>
      </c>
      <c r="R41" s="139">
        <v>0</v>
      </c>
      <c r="S41" s="48">
        <v>0</v>
      </c>
      <c r="T41" s="48">
        <v>0</v>
      </c>
      <c r="U41" s="54"/>
      <c r="V41" s="54">
        <v>0</v>
      </c>
      <c r="W41" s="54">
        <v>0</v>
      </c>
      <c r="X41" s="54">
        <v>0</v>
      </c>
      <c r="Y41" s="38" t="s">
        <v>628</v>
      </c>
      <c r="Z41" s="139">
        <v>33.5</v>
      </c>
      <c r="AA41" s="48">
        <v>803.73</v>
      </c>
      <c r="AB41" s="48">
        <v>28122.23</v>
      </c>
      <c r="AC41" s="54" t="s">
        <v>629</v>
      </c>
      <c r="AD41" s="54">
        <v>0.98199999999999998</v>
      </c>
      <c r="AE41" s="54">
        <v>0.98499999999999999</v>
      </c>
      <c r="AF41" s="54">
        <v>0.99009999999999998</v>
      </c>
    </row>
    <row r="42" spans="1:32" ht="11.65" customHeight="1">
      <c r="A42" s="38" t="s">
        <v>630</v>
      </c>
      <c r="B42" s="139">
        <v>199.9</v>
      </c>
      <c r="C42" s="48">
        <v>4798.54</v>
      </c>
      <c r="D42" s="48">
        <v>149181.04999999999</v>
      </c>
      <c r="E42" s="134" t="s">
        <v>83</v>
      </c>
      <c r="F42" s="135" t="s">
        <v>83</v>
      </c>
      <c r="G42" s="135" t="s">
        <v>83</v>
      </c>
      <c r="H42" s="135" t="s">
        <v>83</v>
      </c>
      <c r="I42" s="51" t="s">
        <v>574</v>
      </c>
      <c r="J42" s="139"/>
      <c r="K42" s="48"/>
      <c r="L42" s="48"/>
      <c r="M42" s="54"/>
      <c r="N42" s="54"/>
      <c r="O42" s="54"/>
      <c r="P42" s="54"/>
      <c r="Q42" s="133" t="s">
        <v>600</v>
      </c>
      <c r="R42" s="139">
        <v>0</v>
      </c>
      <c r="S42" s="48">
        <v>0</v>
      </c>
      <c r="T42" s="48">
        <v>0</v>
      </c>
      <c r="U42" s="54"/>
      <c r="V42" s="54">
        <v>0</v>
      </c>
      <c r="W42" s="54">
        <v>0</v>
      </c>
      <c r="X42" s="54">
        <v>0</v>
      </c>
      <c r="Y42" s="38" t="s">
        <v>507</v>
      </c>
      <c r="Z42" s="139">
        <v>0.7</v>
      </c>
      <c r="AA42" s="48">
        <v>16.23</v>
      </c>
      <c r="AB42" s="48">
        <v>319.5</v>
      </c>
      <c r="AC42" s="54" t="s">
        <v>631</v>
      </c>
      <c r="AD42" s="136">
        <v>1.9800000000000002E-2</v>
      </c>
      <c r="AE42" s="54">
        <v>1.7000000000000001E-2</v>
      </c>
      <c r="AF42" s="54">
        <v>1.12E-2</v>
      </c>
    </row>
    <row r="43" spans="1:32" ht="11.65" customHeight="1">
      <c r="A43" s="38" t="s">
        <v>632</v>
      </c>
      <c r="B43" s="139">
        <v>24</v>
      </c>
      <c r="C43" s="48">
        <v>576.36</v>
      </c>
      <c r="D43" s="48">
        <v>19280.810000000001</v>
      </c>
      <c r="E43" s="134" t="s">
        <v>83</v>
      </c>
      <c r="F43" s="135" t="s">
        <v>83</v>
      </c>
      <c r="G43" s="135" t="s">
        <v>83</v>
      </c>
      <c r="H43" s="135" t="s">
        <v>83</v>
      </c>
      <c r="I43" s="132" t="s">
        <v>633</v>
      </c>
      <c r="J43" s="139">
        <v>0</v>
      </c>
      <c r="K43" s="48">
        <v>0.32</v>
      </c>
      <c r="L43" s="48">
        <v>8.4499999999999993</v>
      </c>
      <c r="M43" s="54" t="s">
        <v>634</v>
      </c>
      <c r="N43" s="54">
        <v>2.0000000000000001E-4</v>
      </c>
      <c r="O43" s="54">
        <v>2.0000000000000001E-4</v>
      </c>
      <c r="P43" s="54">
        <v>2.0000000000000001E-4</v>
      </c>
      <c r="Q43" s="133" t="s">
        <v>635</v>
      </c>
      <c r="R43" s="139">
        <v>0</v>
      </c>
      <c r="S43" s="48">
        <v>0</v>
      </c>
      <c r="T43" s="48">
        <v>0</v>
      </c>
      <c r="U43" s="54"/>
      <c r="V43" s="54">
        <v>0</v>
      </c>
      <c r="W43" s="54">
        <v>0</v>
      </c>
      <c r="X43" s="54">
        <v>0</v>
      </c>
      <c r="Y43" s="38" t="s">
        <v>549</v>
      </c>
      <c r="Z43" s="139">
        <v>0</v>
      </c>
      <c r="AA43" s="48">
        <v>0.1</v>
      </c>
      <c r="AB43" s="48">
        <v>5.75</v>
      </c>
      <c r="AC43" s="54" t="s">
        <v>636</v>
      </c>
      <c r="AD43" s="54">
        <v>1E-4</v>
      </c>
      <c r="AE43" s="54">
        <v>2.0000000000000001E-4</v>
      </c>
      <c r="AF43" s="54">
        <v>2.0000000000000001E-4</v>
      </c>
    </row>
    <row r="44" spans="1:32" ht="11.65" customHeight="1">
      <c r="A44" s="38" t="s">
        <v>637</v>
      </c>
      <c r="B44" s="139">
        <v>0</v>
      </c>
      <c r="C44" s="48">
        <v>0</v>
      </c>
      <c r="D44" s="48">
        <v>0</v>
      </c>
      <c r="E44" s="134" t="s">
        <v>83</v>
      </c>
      <c r="F44" s="135" t="s">
        <v>83</v>
      </c>
      <c r="G44" s="135" t="s">
        <v>83</v>
      </c>
      <c r="H44" s="135" t="s">
        <v>83</v>
      </c>
      <c r="I44" s="38" t="s">
        <v>638</v>
      </c>
      <c r="J44" s="139">
        <v>0</v>
      </c>
      <c r="K44" s="48">
        <v>0.74</v>
      </c>
      <c r="L44" s="48">
        <v>16.27</v>
      </c>
      <c r="M44" s="54" t="s">
        <v>639</v>
      </c>
      <c r="N44" s="54">
        <v>4.0000000000000002E-4</v>
      </c>
      <c r="O44" s="54">
        <v>4.0000000000000002E-4</v>
      </c>
      <c r="P44" s="54">
        <v>4.0000000000000002E-4</v>
      </c>
      <c r="Q44" s="133" t="s">
        <v>227</v>
      </c>
      <c r="R44" s="139">
        <v>0</v>
      </c>
      <c r="S44" s="48">
        <v>0</v>
      </c>
      <c r="T44" s="48">
        <v>0</v>
      </c>
      <c r="U44" s="54"/>
      <c r="V44" s="54">
        <v>0</v>
      </c>
      <c r="W44" s="54">
        <v>0</v>
      </c>
      <c r="X44" s="54">
        <v>0</v>
      </c>
      <c r="Y44" s="215" t="s">
        <v>640</v>
      </c>
      <c r="Z44" s="215"/>
      <c r="AA44" s="215"/>
      <c r="AB44" s="215"/>
      <c r="AC44" s="215"/>
      <c r="AD44" s="215"/>
      <c r="AE44" s="215"/>
      <c r="AF44" s="215"/>
    </row>
    <row r="45" spans="1:32" ht="11.65" customHeight="1">
      <c r="A45" s="38" t="s">
        <v>641</v>
      </c>
      <c r="B45" s="139">
        <v>0.1</v>
      </c>
      <c r="C45" s="48">
        <v>2.48</v>
      </c>
      <c r="D45" s="48">
        <v>914.83</v>
      </c>
      <c r="E45" s="134" t="s">
        <v>83</v>
      </c>
      <c r="F45" s="135" t="s">
        <v>83</v>
      </c>
      <c r="G45" s="135" t="s">
        <v>83</v>
      </c>
      <c r="H45" s="135" t="s">
        <v>83</v>
      </c>
      <c r="I45" s="133" t="s">
        <v>564</v>
      </c>
      <c r="J45" s="54"/>
      <c r="K45" s="54"/>
      <c r="L45" s="54"/>
      <c r="M45" s="54"/>
      <c r="N45" s="54">
        <v>2.80880907658221E-3</v>
      </c>
      <c r="O45" s="54">
        <v>3.09643458459395E-3</v>
      </c>
      <c r="P45" s="54">
        <v>3.1347115886182402E-3</v>
      </c>
      <c r="Q45" s="133" t="s">
        <v>642</v>
      </c>
      <c r="R45" s="139">
        <v>0</v>
      </c>
      <c r="S45" s="48">
        <v>0</v>
      </c>
      <c r="T45" s="48">
        <v>0</v>
      </c>
      <c r="U45" s="54"/>
      <c r="V45" s="54">
        <v>0</v>
      </c>
      <c r="W45" s="54">
        <v>0</v>
      </c>
      <c r="X45" s="54">
        <v>0</v>
      </c>
      <c r="Y45" s="39" t="s">
        <v>6</v>
      </c>
      <c r="Z45" s="48" t="s">
        <v>479</v>
      </c>
      <c r="AA45" s="48" t="s">
        <v>480</v>
      </c>
      <c r="AB45" s="48" t="s">
        <v>5</v>
      </c>
      <c r="AC45" s="149" t="s">
        <v>481</v>
      </c>
      <c r="AD45" s="54" t="s">
        <v>331</v>
      </c>
      <c r="AE45" s="54" t="s">
        <v>482</v>
      </c>
      <c r="AF45" s="54" t="s">
        <v>483</v>
      </c>
    </row>
    <row r="46" spans="1:32" ht="11.65" customHeight="1">
      <c r="A46" s="38" t="s">
        <v>643</v>
      </c>
      <c r="B46" s="139">
        <v>0.9</v>
      </c>
      <c r="C46" s="48">
        <v>20.96</v>
      </c>
      <c r="D46" s="48">
        <v>1122.8800000000001</v>
      </c>
      <c r="E46" s="134" t="s">
        <v>83</v>
      </c>
      <c r="F46" s="135" t="s">
        <v>83</v>
      </c>
      <c r="G46" s="135" t="s">
        <v>83</v>
      </c>
      <c r="H46" s="135" t="s">
        <v>83</v>
      </c>
      <c r="I46" s="214" t="s">
        <v>644</v>
      </c>
      <c r="J46" s="214"/>
      <c r="K46" s="214"/>
      <c r="L46" s="214"/>
      <c r="M46" s="214"/>
      <c r="N46" s="214"/>
      <c r="O46" s="214"/>
      <c r="P46" s="214"/>
      <c r="Q46" s="133" t="s">
        <v>560</v>
      </c>
      <c r="R46" s="139">
        <v>0</v>
      </c>
      <c r="S46" s="48">
        <v>0</v>
      </c>
      <c r="T46" s="48">
        <v>0</v>
      </c>
      <c r="U46" s="54"/>
      <c r="V46" s="54">
        <v>0</v>
      </c>
      <c r="W46" s="54">
        <v>0</v>
      </c>
      <c r="X46" s="54">
        <v>0</v>
      </c>
      <c r="Y46" s="38" t="s">
        <v>615</v>
      </c>
      <c r="Z46" s="139">
        <v>31.3</v>
      </c>
      <c r="AA46" s="48">
        <v>751.9</v>
      </c>
      <c r="AB46" s="48">
        <v>21565.55</v>
      </c>
      <c r="AC46" s="134" t="s">
        <v>83</v>
      </c>
      <c r="AD46" s="135" t="s">
        <v>83</v>
      </c>
      <c r="AE46" s="135" t="s">
        <v>83</v>
      </c>
      <c r="AF46" s="135" t="s">
        <v>83</v>
      </c>
    </row>
    <row r="47" spans="1:32" ht="11.65" customHeight="1">
      <c r="A47" s="38" t="s">
        <v>645</v>
      </c>
      <c r="B47" s="139">
        <v>0</v>
      </c>
      <c r="C47" s="48">
        <v>0</v>
      </c>
      <c r="D47" s="48">
        <v>0</v>
      </c>
      <c r="E47" s="134" t="s">
        <v>83</v>
      </c>
      <c r="F47" s="135" t="s">
        <v>83</v>
      </c>
      <c r="G47" s="135" t="s">
        <v>83</v>
      </c>
      <c r="H47" s="135" t="s">
        <v>83</v>
      </c>
      <c r="I47" s="39" t="s">
        <v>6</v>
      </c>
      <c r="J47" s="48" t="s">
        <v>479</v>
      </c>
      <c r="K47" s="48" t="s">
        <v>480</v>
      </c>
      <c r="L47" s="48" t="s">
        <v>5</v>
      </c>
      <c r="M47" s="131" t="s">
        <v>481</v>
      </c>
      <c r="N47" s="132" t="s">
        <v>331</v>
      </c>
      <c r="O47" s="132" t="s">
        <v>482</v>
      </c>
      <c r="P47" s="132" t="s">
        <v>483</v>
      </c>
      <c r="Q47" s="133" t="s">
        <v>564</v>
      </c>
      <c r="R47" s="54"/>
      <c r="S47" s="54"/>
      <c r="T47" s="54"/>
      <c r="U47" s="48"/>
      <c r="V47" s="54">
        <v>0</v>
      </c>
      <c r="W47" s="54">
        <v>0</v>
      </c>
      <c r="X47" s="54">
        <v>0</v>
      </c>
      <c r="Y47" s="38" t="s">
        <v>646</v>
      </c>
      <c r="Z47" s="139">
        <v>3.1</v>
      </c>
      <c r="AA47" s="48">
        <v>75.2</v>
      </c>
      <c r="AB47" s="48">
        <v>2071.34</v>
      </c>
      <c r="AC47" s="134" t="s">
        <v>83</v>
      </c>
      <c r="AD47" s="135" t="s">
        <v>83</v>
      </c>
      <c r="AE47" s="135" t="s">
        <v>83</v>
      </c>
      <c r="AF47" s="135" t="s">
        <v>83</v>
      </c>
    </row>
    <row r="48" spans="1:32" ht="11.65" customHeight="1">
      <c r="A48" s="38" t="s">
        <v>609</v>
      </c>
      <c r="B48" s="139">
        <v>0</v>
      </c>
      <c r="C48" s="48">
        <v>0</v>
      </c>
      <c r="D48" s="48">
        <v>0</v>
      </c>
      <c r="E48" s="134" t="s">
        <v>83</v>
      </c>
      <c r="F48" s="135" t="s">
        <v>83</v>
      </c>
      <c r="G48" s="135" t="s">
        <v>83</v>
      </c>
      <c r="H48" s="135" t="s">
        <v>83</v>
      </c>
      <c r="I48" s="146" t="s">
        <v>569</v>
      </c>
      <c r="J48" s="139">
        <v>48.3</v>
      </c>
      <c r="K48" s="48">
        <v>1158.83</v>
      </c>
      <c r="L48" s="48">
        <v>30462.52</v>
      </c>
      <c r="M48" s="134" t="s">
        <v>83</v>
      </c>
      <c r="N48" s="135" t="s">
        <v>83</v>
      </c>
      <c r="O48" s="135" t="s">
        <v>83</v>
      </c>
      <c r="P48" s="135" t="s">
        <v>83</v>
      </c>
      <c r="Q48" s="216" t="s">
        <v>647</v>
      </c>
      <c r="R48" s="216"/>
      <c r="S48" s="216"/>
      <c r="T48" s="216"/>
      <c r="U48" s="216"/>
      <c r="V48" s="216"/>
      <c r="W48" s="216"/>
      <c r="X48" s="216"/>
      <c r="Y48" s="38" t="s">
        <v>648</v>
      </c>
      <c r="Z48" s="139">
        <v>25.8</v>
      </c>
      <c r="AA48" s="48">
        <v>618.92999999999995</v>
      </c>
      <c r="AB48" s="48">
        <v>17902.169999999998</v>
      </c>
      <c r="AC48" s="54" t="s">
        <v>649</v>
      </c>
      <c r="AD48" s="54">
        <v>0.74829999999999997</v>
      </c>
      <c r="AE48" s="54">
        <v>0.749</v>
      </c>
      <c r="AF48" s="54">
        <v>0.75739999999999996</v>
      </c>
    </row>
    <row r="49" spans="1:32" ht="11.65" customHeight="1">
      <c r="A49" s="38" t="s">
        <v>486</v>
      </c>
      <c r="B49" s="139">
        <v>0</v>
      </c>
      <c r="C49" s="48">
        <v>0</v>
      </c>
      <c r="D49" s="48">
        <v>8.4700000000000006</v>
      </c>
      <c r="E49" s="134" t="s">
        <v>83</v>
      </c>
      <c r="F49" s="135" t="s">
        <v>83</v>
      </c>
      <c r="G49" s="135" t="s">
        <v>83</v>
      </c>
      <c r="H49" s="135" t="s">
        <v>83</v>
      </c>
      <c r="I49" s="38" t="s">
        <v>650</v>
      </c>
      <c r="J49" s="139">
        <v>3.2</v>
      </c>
      <c r="K49" s="48">
        <v>76.44</v>
      </c>
      <c r="L49" s="48">
        <v>1975.16</v>
      </c>
      <c r="M49" s="134" t="s">
        <v>83</v>
      </c>
      <c r="N49" s="135" t="s">
        <v>83</v>
      </c>
      <c r="O49" s="135" t="s">
        <v>83</v>
      </c>
      <c r="P49" s="135" t="s">
        <v>83</v>
      </c>
      <c r="Q49" s="39" t="s">
        <v>6</v>
      </c>
      <c r="R49" s="48" t="s">
        <v>479</v>
      </c>
      <c r="S49" s="48" t="s">
        <v>480</v>
      </c>
      <c r="T49" s="48" t="s">
        <v>5</v>
      </c>
      <c r="U49" s="147" t="s">
        <v>481</v>
      </c>
      <c r="V49" s="132" t="s">
        <v>331</v>
      </c>
      <c r="W49" s="132" t="s">
        <v>482</v>
      </c>
      <c r="X49" s="132" t="s">
        <v>483</v>
      </c>
      <c r="Y49" s="38" t="s">
        <v>651</v>
      </c>
      <c r="Z49" s="139">
        <v>8.6999999999999993</v>
      </c>
      <c r="AA49" s="48">
        <v>208.02</v>
      </c>
      <c r="AB49" s="48">
        <v>5728.99</v>
      </c>
      <c r="AC49" s="54" t="s">
        <v>652</v>
      </c>
      <c r="AD49" s="54">
        <v>0.2515</v>
      </c>
      <c r="AE49" s="54">
        <v>0.25080000000000002</v>
      </c>
      <c r="AF49" s="54">
        <v>0.2424</v>
      </c>
    </row>
    <row r="50" spans="1:32" ht="11.65" customHeight="1">
      <c r="A50" s="38" t="s">
        <v>653</v>
      </c>
      <c r="B50" s="139">
        <v>0</v>
      </c>
      <c r="C50" s="48">
        <v>0</v>
      </c>
      <c r="D50" s="48">
        <v>9187.9699999999993</v>
      </c>
      <c r="E50" s="134" t="s">
        <v>83</v>
      </c>
      <c r="F50" s="135" t="s">
        <v>83</v>
      </c>
      <c r="G50" s="135" t="s">
        <v>83</v>
      </c>
      <c r="H50" s="135" t="s">
        <v>83</v>
      </c>
      <c r="I50" s="38" t="s">
        <v>654</v>
      </c>
      <c r="J50" s="139">
        <v>0</v>
      </c>
      <c r="K50" s="48">
        <v>0.23</v>
      </c>
      <c r="L50" s="48">
        <v>6.18</v>
      </c>
      <c r="M50" s="134" t="s">
        <v>83</v>
      </c>
      <c r="N50" s="135" t="s">
        <v>83</v>
      </c>
      <c r="O50" s="135" t="s">
        <v>83</v>
      </c>
      <c r="P50" s="135" t="s">
        <v>83</v>
      </c>
      <c r="Q50" s="133" t="s">
        <v>580</v>
      </c>
      <c r="R50" s="139">
        <v>177.1</v>
      </c>
      <c r="S50" s="48">
        <v>4249.66</v>
      </c>
      <c r="T50" s="48">
        <v>82454.399999999994</v>
      </c>
      <c r="U50" s="54" t="s">
        <v>83</v>
      </c>
      <c r="V50" s="54" t="s">
        <v>83</v>
      </c>
      <c r="W50" s="54" t="s">
        <v>83</v>
      </c>
      <c r="X50" s="54" t="s">
        <v>83</v>
      </c>
      <c r="Y50" s="215" t="s">
        <v>655</v>
      </c>
      <c r="Z50" s="215"/>
      <c r="AA50" s="215"/>
      <c r="AB50" s="215"/>
      <c r="AC50" s="215"/>
      <c r="AD50" s="215"/>
      <c r="AE50" s="215"/>
      <c r="AF50" s="215"/>
    </row>
    <row r="51" spans="1:32" ht="11.65" customHeight="1">
      <c r="A51" s="38" t="s">
        <v>503</v>
      </c>
      <c r="B51" s="139">
        <v>224.9</v>
      </c>
      <c r="C51" s="48">
        <v>5398.34</v>
      </c>
      <c r="D51" s="48">
        <v>179696.01</v>
      </c>
      <c r="E51" s="54"/>
      <c r="F51" s="54"/>
      <c r="G51" s="54"/>
      <c r="H51" s="54"/>
      <c r="I51" s="133" t="s">
        <v>484</v>
      </c>
      <c r="J51" s="139">
        <v>51.5</v>
      </c>
      <c r="K51" s="48">
        <v>1235.5</v>
      </c>
      <c r="L51" s="48">
        <v>32443.86</v>
      </c>
      <c r="M51" s="134" t="s">
        <v>83</v>
      </c>
      <c r="N51" s="135" t="s">
        <v>83</v>
      </c>
      <c r="O51" s="135" t="s">
        <v>83</v>
      </c>
      <c r="P51" s="135" t="s">
        <v>83</v>
      </c>
      <c r="Q51" s="38" t="s">
        <v>656</v>
      </c>
      <c r="R51" s="139">
        <v>126.8</v>
      </c>
      <c r="S51" s="48">
        <v>3042.29</v>
      </c>
      <c r="T51" s="48">
        <v>205541.22</v>
      </c>
      <c r="U51" s="54" t="s">
        <v>83</v>
      </c>
      <c r="V51" s="54" t="s">
        <v>83</v>
      </c>
      <c r="W51" s="54" t="s">
        <v>83</v>
      </c>
      <c r="X51" s="54" t="s">
        <v>83</v>
      </c>
      <c r="Y51" s="39" t="s">
        <v>6</v>
      </c>
      <c r="Z51" s="48" t="s">
        <v>479</v>
      </c>
      <c r="AA51" s="48" t="s">
        <v>480</v>
      </c>
      <c r="AB51" s="48" t="s">
        <v>5</v>
      </c>
      <c r="AC51" s="149" t="s">
        <v>481</v>
      </c>
      <c r="AD51" s="54" t="s">
        <v>331</v>
      </c>
      <c r="AE51" s="54" t="s">
        <v>482</v>
      </c>
      <c r="AF51" s="54" t="s">
        <v>483</v>
      </c>
    </row>
    <row r="52" spans="1:32" ht="11.65" customHeight="1">
      <c r="A52" s="38" t="s">
        <v>507</v>
      </c>
      <c r="B52" s="139">
        <v>0.3</v>
      </c>
      <c r="C52" s="48">
        <v>8.2899999999999991</v>
      </c>
      <c r="D52" s="48">
        <v>355.42</v>
      </c>
      <c r="E52" s="54" t="s">
        <v>657</v>
      </c>
      <c r="F52" s="54">
        <v>1.5E-3</v>
      </c>
      <c r="G52" s="54">
        <v>1.6000000000000001E-3</v>
      </c>
      <c r="H52" s="54">
        <v>2E-3</v>
      </c>
      <c r="I52" s="132" t="s">
        <v>658</v>
      </c>
      <c r="J52" s="139">
        <v>44.2</v>
      </c>
      <c r="K52" s="48">
        <v>1060.27</v>
      </c>
      <c r="L52" s="48">
        <v>27409.63</v>
      </c>
      <c r="M52" s="54" t="s">
        <v>659</v>
      </c>
      <c r="N52" s="54">
        <v>0.85829999999999995</v>
      </c>
      <c r="O52" s="54">
        <v>0.85260000000000002</v>
      </c>
      <c r="P52" s="54">
        <v>0.84499999999999997</v>
      </c>
      <c r="Q52" s="133" t="s">
        <v>493</v>
      </c>
      <c r="R52" s="139">
        <v>5.8</v>
      </c>
      <c r="S52" s="48">
        <v>140.25</v>
      </c>
      <c r="T52" s="48">
        <v>5350.92</v>
      </c>
      <c r="U52" s="54" t="s">
        <v>83</v>
      </c>
      <c r="V52" s="54" t="s">
        <v>83</v>
      </c>
      <c r="W52" s="54" t="s">
        <v>83</v>
      </c>
      <c r="X52" s="54" t="s">
        <v>83</v>
      </c>
      <c r="Y52" s="38" t="s">
        <v>660</v>
      </c>
      <c r="Z52" s="143">
        <v>16.600000000000001</v>
      </c>
      <c r="AA52" s="143">
        <v>399.51</v>
      </c>
      <c r="AB52" s="143">
        <v>13578.49</v>
      </c>
      <c r="AC52" s="152" t="s">
        <v>83</v>
      </c>
      <c r="AD52" s="135" t="s">
        <v>83</v>
      </c>
      <c r="AE52" s="135" t="s">
        <v>83</v>
      </c>
      <c r="AF52" s="135" t="s">
        <v>83</v>
      </c>
    </row>
    <row r="53" spans="1:32" ht="11.65" customHeight="1">
      <c r="A53" s="38" t="s">
        <v>430</v>
      </c>
      <c r="B53" s="139">
        <v>21.2</v>
      </c>
      <c r="C53" s="48">
        <v>508.28</v>
      </c>
      <c r="D53" s="48">
        <v>18720.2</v>
      </c>
      <c r="E53" s="54" t="s">
        <v>661</v>
      </c>
      <c r="F53" s="57">
        <v>9.4200000000000006E-2</v>
      </c>
      <c r="G53" s="54">
        <v>8.0699999999999994E-2</v>
      </c>
      <c r="H53" s="54">
        <v>0.1042</v>
      </c>
      <c r="I53" s="26" t="s">
        <v>662</v>
      </c>
      <c r="J53" s="139">
        <v>6.6</v>
      </c>
      <c r="K53" s="48">
        <v>157.41</v>
      </c>
      <c r="L53" s="48">
        <v>4562.84</v>
      </c>
      <c r="M53" s="54"/>
      <c r="N53" s="54">
        <v>0.12740000000000001</v>
      </c>
      <c r="O53" s="54">
        <v>0.13289999999999999</v>
      </c>
      <c r="P53" s="54">
        <v>0.14069999999999999</v>
      </c>
      <c r="Q53" s="133" t="s">
        <v>182</v>
      </c>
      <c r="R53" s="139">
        <v>30</v>
      </c>
      <c r="S53" s="48">
        <v>720</v>
      </c>
      <c r="T53" s="48">
        <v>6388</v>
      </c>
      <c r="U53" s="54" t="s">
        <v>83</v>
      </c>
      <c r="V53" s="54" t="s">
        <v>83</v>
      </c>
      <c r="W53" s="54" t="s">
        <v>83</v>
      </c>
      <c r="X53" s="54" t="s">
        <v>83</v>
      </c>
      <c r="Y53" s="38" t="s">
        <v>663</v>
      </c>
      <c r="Z53" s="143">
        <v>4.2</v>
      </c>
      <c r="AA53" s="45">
        <v>100.98</v>
      </c>
      <c r="AB53" s="45">
        <v>3117.61</v>
      </c>
      <c r="AC53" s="54" t="s">
        <v>664</v>
      </c>
      <c r="AD53" s="57">
        <v>0.25280000000000002</v>
      </c>
      <c r="AE53" s="54">
        <v>0.26</v>
      </c>
      <c r="AF53" s="54">
        <v>0.2296</v>
      </c>
    </row>
    <row r="54" spans="1:32" ht="11.65" customHeight="1">
      <c r="A54" s="38" t="s">
        <v>665</v>
      </c>
      <c r="B54" s="139">
        <v>18.2</v>
      </c>
      <c r="C54" s="48">
        <v>437.66</v>
      </c>
      <c r="D54" s="48">
        <v>27670.77</v>
      </c>
      <c r="E54" s="54" t="s">
        <v>666</v>
      </c>
      <c r="F54" s="54">
        <v>8.1100000000000005E-2</v>
      </c>
      <c r="G54" s="54">
        <v>0.1246</v>
      </c>
      <c r="H54" s="54">
        <v>0.154</v>
      </c>
      <c r="I54" s="132" t="s">
        <v>638</v>
      </c>
      <c r="J54" s="139">
        <v>0.7</v>
      </c>
      <c r="K54" s="48">
        <v>17.82</v>
      </c>
      <c r="L54" s="48">
        <v>471.51</v>
      </c>
      <c r="M54" s="54" t="s">
        <v>667</v>
      </c>
      <c r="N54" s="54">
        <v>1.44E-2</v>
      </c>
      <c r="O54" s="54">
        <v>1.47E-2</v>
      </c>
      <c r="P54" s="54">
        <v>1.4500000000000001E-2</v>
      </c>
      <c r="Q54" s="38" t="s">
        <v>503</v>
      </c>
      <c r="R54" s="139">
        <v>335.2</v>
      </c>
      <c r="S54" s="48">
        <v>8043.95</v>
      </c>
      <c r="T54" s="48">
        <v>295455.95</v>
      </c>
      <c r="U54" s="54" t="s">
        <v>83</v>
      </c>
      <c r="V54" s="54" t="s">
        <v>83</v>
      </c>
      <c r="W54" s="54" t="s">
        <v>83</v>
      </c>
      <c r="X54" s="54" t="s">
        <v>83</v>
      </c>
      <c r="Y54" s="38" t="s">
        <v>668</v>
      </c>
      <c r="Z54" s="143">
        <v>12.4</v>
      </c>
      <c r="AA54" s="45">
        <v>296.39999999999998</v>
      </c>
      <c r="AB54" s="45">
        <v>10241.34</v>
      </c>
      <c r="AC54" s="54" t="s">
        <v>669</v>
      </c>
      <c r="AD54" s="54">
        <v>0.7419</v>
      </c>
      <c r="AE54" s="54">
        <v>0.7298</v>
      </c>
      <c r="AF54" s="54">
        <v>0.75419999999999998</v>
      </c>
    </row>
    <row r="55" spans="1:32" ht="11.65" customHeight="1">
      <c r="A55" s="38" t="s">
        <v>670</v>
      </c>
      <c r="B55" s="139">
        <v>185.2</v>
      </c>
      <c r="C55" s="48">
        <v>4444.1099999999997</v>
      </c>
      <c r="D55" s="48">
        <v>132949.56</v>
      </c>
      <c r="E55" s="54" t="s">
        <v>671</v>
      </c>
      <c r="F55" s="56">
        <v>0.82320000000000004</v>
      </c>
      <c r="G55" s="54">
        <v>0.79300000000000004</v>
      </c>
      <c r="H55" s="54">
        <v>0.7399</v>
      </c>
      <c r="I55" s="133" t="s">
        <v>564</v>
      </c>
      <c r="J55" s="54"/>
      <c r="K55" s="54"/>
      <c r="L55" s="54"/>
      <c r="M55" s="54"/>
      <c r="N55" s="54">
        <v>0</v>
      </c>
      <c r="O55" s="54">
        <v>1.8985513227949999E-4</v>
      </c>
      <c r="P55" s="54">
        <v>1.9051917399764699E-4</v>
      </c>
      <c r="Q55" s="133" t="s">
        <v>672</v>
      </c>
      <c r="R55" s="139">
        <v>3.7</v>
      </c>
      <c r="S55" s="48">
        <v>89.04</v>
      </c>
      <c r="T55" s="48">
        <v>3679.61</v>
      </c>
      <c r="U55" s="54" t="s">
        <v>673</v>
      </c>
      <c r="V55" s="57">
        <v>1.11E-2</v>
      </c>
      <c r="W55" s="54">
        <v>1.17E-2</v>
      </c>
      <c r="X55" s="54">
        <v>1.2500000000000001E-2</v>
      </c>
      <c r="Y55" s="215" t="s">
        <v>674</v>
      </c>
      <c r="Z55" s="215"/>
      <c r="AA55" s="215"/>
      <c r="AB55" s="215"/>
      <c r="AC55" s="215"/>
      <c r="AD55" s="215"/>
      <c r="AE55" s="215"/>
      <c r="AF55" s="215"/>
    </row>
    <row r="56" spans="1:32" ht="11.65" customHeight="1">
      <c r="A56" s="133" t="s">
        <v>549</v>
      </c>
      <c r="B56" s="139">
        <v>0</v>
      </c>
      <c r="C56" s="48">
        <v>0</v>
      </c>
      <c r="D56" s="48">
        <v>0.02</v>
      </c>
      <c r="E56" s="54" t="s">
        <v>675</v>
      </c>
      <c r="F56" s="54">
        <v>0</v>
      </c>
      <c r="G56" s="54">
        <v>0</v>
      </c>
      <c r="H56" s="54">
        <v>0</v>
      </c>
      <c r="I56" s="214" t="s">
        <v>676</v>
      </c>
      <c r="J56" s="214"/>
      <c r="K56" s="214"/>
      <c r="L56" s="214"/>
      <c r="M56" s="214"/>
      <c r="N56" s="214"/>
      <c r="O56" s="214"/>
      <c r="P56" s="214"/>
      <c r="Q56" s="133" t="s">
        <v>519</v>
      </c>
      <c r="R56" s="139">
        <v>5.3</v>
      </c>
      <c r="S56" s="48">
        <v>126.49</v>
      </c>
      <c r="T56" s="48">
        <v>6002.06</v>
      </c>
      <c r="U56" s="54" t="s">
        <v>677</v>
      </c>
      <c r="V56" s="57">
        <v>1.5699999999999999E-2</v>
      </c>
      <c r="W56" s="54">
        <v>2.1100000000000001E-2</v>
      </c>
      <c r="X56" s="54">
        <v>2.0299999999999999E-2</v>
      </c>
      <c r="Y56" s="39" t="s">
        <v>6</v>
      </c>
      <c r="Z56" s="48" t="s">
        <v>479</v>
      </c>
      <c r="AA56" s="48" t="s">
        <v>480</v>
      </c>
      <c r="AB56" s="48" t="s">
        <v>5</v>
      </c>
      <c r="AC56" s="149" t="s">
        <v>481</v>
      </c>
      <c r="AD56" s="54" t="s">
        <v>331</v>
      </c>
      <c r="AE56" s="54" t="s">
        <v>482</v>
      </c>
      <c r="AF56" s="54" t="s">
        <v>483</v>
      </c>
    </row>
    <row r="57" spans="1:32" ht="11.65" customHeight="1">
      <c r="A57" s="214" t="s">
        <v>678</v>
      </c>
      <c r="B57" s="214"/>
      <c r="C57" s="214"/>
      <c r="D57" s="214"/>
      <c r="E57" s="214"/>
      <c r="F57" s="214"/>
      <c r="G57" s="214"/>
      <c r="H57" s="214"/>
      <c r="I57" s="39" t="s">
        <v>6</v>
      </c>
      <c r="J57" s="48" t="s">
        <v>479</v>
      </c>
      <c r="K57" s="48" t="s">
        <v>480</v>
      </c>
      <c r="L57" s="48" t="s">
        <v>5</v>
      </c>
      <c r="M57" s="131" t="s">
        <v>481</v>
      </c>
      <c r="N57" s="132" t="s">
        <v>331</v>
      </c>
      <c r="O57" s="132" t="s">
        <v>482</v>
      </c>
      <c r="P57" s="132" t="s">
        <v>483</v>
      </c>
      <c r="Q57" s="133" t="s">
        <v>679</v>
      </c>
      <c r="R57" s="139">
        <v>0</v>
      </c>
      <c r="S57" s="48">
        <v>0</v>
      </c>
      <c r="T57" s="48">
        <v>0</v>
      </c>
      <c r="U57" s="54" t="s">
        <v>675</v>
      </c>
      <c r="V57" s="57">
        <v>0</v>
      </c>
      <c r="W57" s="54">
        <v>0</v>
      </c>
      <c r="X57" s="54">
        <v>0</v>
      </c>
      <c r="Y57" s="38" t="s">
        <v>680</v>
      </c>
      <c r="Z57" s="139">
        <v>10.8</v>
      </c>
      <c r="AA57" s="45">
        <v>260.14</v>
      </c>
      <c r="AB57" s="45">
        <v>6891.27</v>
      </c>
      <c r="AC57" s="152" t="s">
        <v>83</v>
      </c>
      <c r="AD57" s="135" t="s">
        <v>83</v>
      </c>
      <c r="AE57" s="135" t="s">
        <v>83</v>
      </c>
      <c r="AF57" s="135" t="s">
        <v>83</v>
      </c>
    </row>
    <row r="58" spans="1:32" ht="11.65" customHeight="1">
      <c r="A58" s="39" t="s">
        <v>6</v>
      </c>
      <c r="B58" s="48" t="s">
        <v>479</v>
      </c>
      <c r="C58" s="48" t="s">
        <v>480</v>
      </c>
      <c r="D58" s="48" t="s">
        <v>5</v>
      </c>
      <c r="E58" s="131" t="s">
        <v>481</v>
      </c>
      <c r="F58" s="132" t="s">
        <v>331</v>
      </c>
      <c r="G58" s="132" t="s">
        <v>482</v>
      </c>
      <c r="H58" s="132" t="s">
        <v>483</v>
      </c>
      <c r="I58" s="133" t="s">
        <v>681</v>
      </c>
      <c r="J58" s="139">
        <v>20.2</v>
      </c>
      <c r="K58" s="48">
        <v>484.99</v>
      </c>
      <c r="L58" s="48">
        <v>22777.32</v>
      </c>
      <c r="M58" s="135" t="s">
        <v>83</v>
      </c>
      <c r="N58" s="135" t="s">
        <v>83</v>
      </c>
      <c r="O58" s="135" t="s">
        <v>83</v>
      </c>
      <c r="P58" s="135" t="s">
        <v>83</v>
      </c>
      <c r="Q58" s="38" t="s">
        <v>227</v>
      </c>
      <c r="R58" s="139">
        <v>6</v>
      </c>
      <c r="S58" s="48">
        <v>143.16999999999999</v>
      </c>
      <c r="T58" s="48">
        <v>3853.28</v>
      </c>
      <c r="U58" s="54" t="s">
        <v>682</v>
      </c>
      <c r="V58" s="56">
        <v>1.78E-2</v>
      </c>
      <c r="W58" s="54">
        <v>1.18E-2</v>
      </c>
      <c r="X58" s="54">
        <v>1.2999999999999999E-2</v>
      </c>
      <c r="Y58" s="59" t="s">
        <v>683</v>
      </c>
      <c r="Z58" s="59">
        <v>23.1</v>
      </c>
      <c r="AA58" s="103">
        <v>554.29999999999995</v>
      </c>
      <c r="AB58" s="103">
        <v>19197.2</v>
      </c>
      <c r="AC58" s="152" t="s">
        <v>83</v>
      </c>
      <c r="AD58" s="135" t="s">
        <v>83</v>
      </c>
      <c r="AE58" s="135" t="s">
        <v>83</v>
      </c>
      <c r="AF58" s="135" t="s">
        <v>83</v>
      </c>
    </row>
    <row r="59" spans="1:32" ht="11.65" customHeight="1">
      <c r="A59" s="133" t="s">
        <v>684</v>
      </c>
      <c r="B59" s="139">
        <v>21.4</v>
      </c>
      <c r="C59" s="48">
        <v>514.22</v>
      </c>
      <c r="D59" s="48">
        <v>13780.69</v>
      </c>
      <c r="E59" s="54" t="s">
        <v>83</v>
      </c>
      <c r="F59" s="54" t="s">
        <v>83</v>
      </c>
      <c r="G59" s="54" t="s">
        <v>83</v>
      </c>
      <c r="H59" s="54" t="s">
        <v>83</v>
      </c>
      <c r="I59" s="133" t="s">
        <v>685</v>
      </c>
      <c r="J59" s="139">
        <v>0.9</v>
      </c>
      <c r="K59" s="48">
        <v>21.08</v>
      </c>
      <c r="L59" s="48">
        <v>621.16999999999996</v>
      </c>
      <c r="M59" s="135" t="s">
        <v>83</v>
      </c>
      <c r="N59" s="135" t="s">
        <v>83</v>
      </c>
      <c r="O59" s="135" t="s">
        <v>83</v>
      </c>
      <c r="P59" s="135" t="s">
        <v>83</v>
      </c>
      <c r="Q59" s="38" t="s">
        <v>686</v>
      </c>
      <c r="R59" s="139">
        <v>280.5</v>
      </c>
      <c r="S59" s="48">
        <v>6732.97</v>
      </c>
      <c r="T59" s="48">
        <v>267011.33</v>
      </c>
      <c r="U59" s="54" t="s">
        <v>687</v>
      </c>
      <c r="V59" s="54">
        <v>0.83699999999999997</v>
      </c>
      <c r="W59" s="54">
        <v>0.8488</v>
      </c>
      <c r="X59" s="54">
        <v>0.90369999999999995</v>
      </c>
      <c r="Y59" s="59" t="s">
        <v>658</v>
      </c>
      <c r="Z59" s="59">
        <v>6.6</v>
      </c>
      <c r="AA59" s="103">
        <v>157.41</v>
      </c>
      <c r="AB59" s="103">
        <v>4600.32</v>
      </c>
    </row>
    <row r="60" spans="1:32" ht="11.65" customHeight="1">
      <c r="A60" s="133" t="s">
        <v>106</v>
      </c>
      <c r="B60" s="139">
        <v>21</v>
      </c>
      <c r="C60" s="48">
        <v>504.03</v>
      </c>
      <c r="D60" s="48">
        <v>13483.47</v>
      </c>
      <c r="E60" s="54" t="s">
        <v>688</v>
      </c>
      <c r="F60" s="54">
        <v>0.98019999999999996</v>
      </c>
      <c r="G60" s="54">
        <v>0.98029999999999995</v>
      </c>
      <c r="H60" s="54">
        <v>0.97840000000000005</v>
      </c>
      <c r="I60" s="133" t="s">
        <v>689</v>
      </c>
      <c r="J60" s="139">
        <v>21.1</v>
      </c>
      <c r="K60" s="48">
        <v>506.07</v>
      </c>
      <c r="L60" s="48">
        <v>23398.49</v>
      </c>
      <c r="M60" s="135" t="s">
        <v>83</v>
      </c>
      <c r="N60" s="135" t="s">
        <v>83</v>
      </c>
      <c r="O60" s="135" t="s">
        <v>83</v>
      </c>
      <c r="P60" s="135" t="s">
        <v>83</v>
      </c>
      <c r="Q60" s="133" t="s">
        <v>353</v>
      </c>
      <c r="R60" s="139">
        <v>36.6</v>
      </c>
      <c r="S60" s="48">
        <v>878.05</v>
      </c>
      <c r="T60" s="48">
        <v>9354.82</v>
      </c>
      <c r="U60" s="54" t="s">
        <v>690</v>
      </c>
      <c r="V60" s="53">
        <v>0.10920000000000001</v>
      </c>
      <c r="W60" s="54">
        <v>8.8300000000000003E-2</v>
      </c>
      <c r="X60" s="54">
        <v>3.1699999999999999E-2</v>
      </c>
      <c r="Y60" s="38" t="s">
        <v>691</v>
      </c>
      <c r="Z60" s="139">
        <v>1.7</v>
      </c>
      <c r="AA60" s="45">
        <v>41.52</v>
      </c>
      <c r="AB60" s="45">
        <v>1072.6600000000001</v>
      </c>
      <c r="AC60" s="54" t="s">
        <v>692</v>
      </c>
      <c r="AD60" s="57">
        <v>4.2700000000000002E-2</v>
      </c>
      <c r="AE60" s="54">
        <v>4.02E-2</v>
      </c>
      <c r="AF60" s="54">
        <v>3.5000000000000003E-2</v>
      </c>
    </row>
    <row r="61" spans="1:32" ht="11.65" customHeight="1">
      <c r="A61" s="133" t="s">
        <v>693</v>
      </c>
      <c r="B61" s="139">
        <v>0.2</v>
      </c>
      <c r="C61" s="48">
        <v>5.04</v>
      </c>
      <c r="D61" s="48">
        <v>136.04</v>
      </c>
      <c r="E61" s="54" t="s">
        <v>694</v>
      </c>
      <c r="F61" s="54">
        <v>9.7999999999999997E-3</v>
      </c>
      <c r="G61" s="54">
        <v>9.7000000000000003E-3</v>
      </c>
      <c r="H61" s="54">
        <v>9.9000000000000008E-3</v>
      </c>
      <c r="I61" s="133" t="s">
        <v>695</v>
      </c>
      <c r="J61" s="48">
        <v>8.3000000000000007</v>
      </c>
      <c r="K61" s="48">
        <v>199.23</v>
      </c>
      <c r="L61" s="48">
        <v>18200.91</v>
      </c>
      <c r="M61" s="54">
        <v>0.91820000000000002</v>
      </c>
      <c r="N61" s="54">
        <v>0.38700000000000001</v>
      </c>
      <c r="O61" s="54">
        <v>0.55589999999999995</v>
      </c>
      <c r="P61" s="54">
        <v>0.77480000000000004</v>
      </c>
      <c r="Q61" s="133" t="s">
        <v>600</v>
      </c>
      <c r="R61" s="139">
        <v>0</v>
      </c>
      <c r="S61" s="48">
        <v>0</v>
      </c>
      <c r="T61" s="48">
        <v>0</v>
      </c>
      <c r="U61" s="135"/>
      <c r="V61" s="141">
        <v>0</v>
      </c>
      <c r="W61" s="141">
        <v>0</v>
      </c>
      <c r="X61" s="141">
        <v>0</v>
      </c>
      <c r="Y61" s="38" t="s">
        <v>696</v>
      </c>
      <c r="Z61" s="139">
        <v>9.1</v>
      </c>
      <c r="AA61" s="45">
        <v>217.73</v>
      </c>
      <c r="AB61" s="45">
        <v>5897.13</v>
      </c>
      <c r="AC61" s="54" t="s">
        <v>697</v>
      </c>
      <c r="AD61" s="57">
        <v>0.224</v>
      </c>
      <c r="AE61" s="54">
        <v>0.21129999999999999</v>
      </c>
      <c r="AF61" s="54">
        <v>0.19220000000000001</v>
      </c>
    </row>
    <row r="62" spans="1:32" ht="11.65" customHeight="1">
      <c r="A62" s="38" t="s">
        <v>698</v>
      </c>
      <c r="B62" s="139">
        <v>0.2</v>
      </c>
      <c r="C62" s="48">
        <v>5.15</v>
      </c>
      <c r="D62" s="48">
        <v>161.05000000000001</v>
      </c>
      <c r="E62" s="54" t="s">
        <v>699</v>
      </c>
      <c r="F62" s="57">
        <v>0.01</v>
      </c>
      <c r="G62" s="54">
        <v>0.01</v>
      </c>
      <c r="H62" s="54">
        <v>1.17E-2</v>
      </c>
      <c r="I62" s="133" t="s">
        <v>700</v>
      </c>
      <c r="J62" s="139"/>
      <c r="K62" s="48"/>
      <c r="L62" s="48"/>
      <c r="M62" s="54"/>
      <c r="N62" s="54"/>
      <c r="O62" s="54"/>
      <c r="P62" s="54"/>
      <c r="Q62" s="133" t="s">
        <v>560</v>
      </c>
      <c r="R62" s="139">
        <v>8.5</v>
      </c>
      <c r="S62" s="48">
        <v>203.55</v>
      </c>
      <c r="T62" s="48">
        <v>10582.82</v>
      </c>
      <c r="U62" s="54" t="s">
        <v>701</v>
      </c>
      <c r="V62" s="57">
        <v>2.53E-2</v>
      </c>
      <c r="W62" s="54">
        <v>3.49E-2</v>
      </c>
      <c r="X62" s="54">
        <v>3.5799999999999998E-2</v>
      </c>
      <c r="Y62" s="38" t="s">
        <v>702</v>
      </c>
      <c r="Z62" s="139">
        <v>26.7</v>
      </c>
      <c r="AA62" s="45">
        <v>641.4</v>
      </c>
      <c r="AB62" s="45">
        <v>20631.099999999999</v>
      </c>
      <c r="AC62" s="54" t="s">
        <v>703</v>
      </c>
      <c r="AD62" s="54">
        <v>0.66</v>
      </c>
      <c r="AE62" s="54">
        <v>0.68589999999999995</v>
      </c>
      <c r="AF62" s="54">
        <v>0.67230000000000001</v>
      </c>
    </row>
    <row r="63" spans="1:32" ht="11.65" customHeight="1">
      <c r="A63" s="133" t="s">
        <v>549</v>
      </c>
      <c r="B63" s="139">
        <v>0</v>
      </c>
      <c r="C63" s="48">
        <v>0</v>
      </c>
      <c r="D63" s="48">
        <v>0.13</v>
      </c>
      <c r="E63" s="54" t="s">
        <v>550</v>
      </c>
      <c r="F63" s="54">
        <v>0</v>
      </c>
      <c r="G63" s="54">
        <v>0</v>
      </c>
      <c r="H63" s="54">
        <v>0</v>
      </c>
      <c r="I63" s="214" t="s">
        <v>704</v>
      </c>
      <c r="J63" s="214"/>
      <c r="K63" s="214"/>
      <c r="L63" s="214"/>
      <c r="M63" s="214"/>
      <c r="N63" s="214"/>
      <c r="O63" s="214"/>
      <c r="P63" s="214"/>
      <c r="Q63" s="133" t="s">
        <v>564</v>
      </c>
      <c r="R63" s="54"/>
      <c r="S63" s="112"/>
      <c r="T63" s="45"/>
      <c r="U63" s="54"/>
      <c r="V63" s="54">
        <v>1.7505101754254598E-2</v>
      </c>
      <c r="W63" s="54">
        <v>1.79872811687934E-2</v>
      </c>
      <c r="X63" s="54">
        <v>1.8176690673210701E-2</v>
      </c>
      <c r="Y63" s="38" t="s">
        <v>430</v>
      </c>
      <c r="Z63" s="38">
        <v>3</v>
      </c>
      <c r="AA63" s="45">
        <v>70.87</v>
      </c>
      <c r="AB63" s="45">
        <v>3079.24</v>
      </c>
      <c r="AC63" s="54" t="s">
        <v>705</v>
      </c>
      <c r="AD63" s="57">
        <v>7.2900000000000006E-2</v>
      </c>
      <c r="AE63" s="54">
        <v>6.2300000000000001E-2</v>
      </c>
      <c r="AF63" s="54">
        <v>0.1003</v>
      </c>
    </row>
    <row r="64" spans="1:32" ht="11.65" customHeight="1">
      <c r="A64" s="214" t="s">
        <v>706</v>
      </c>
      <c r="B64" s="214"/>
      <c r="C64" s="214"/>
      <c r="D64" s="214"/>
      <c r="E64" s="214"/>
      <c r="F64" s="214"/>
      <c r="G64" s="214"/>
      <c r="H64" s="214"/>
      <c r="I64" s="39" t="s">
        <v>6</v>
      </c>
      <c r="J64" s="48" t="s">
        <v>479</v>
      </c>
      <c r="K64" s="48" t="s">
        <v>480</v>
      </c>
      <c r="L64" s="48" t="s">
        <v>5</v>
      </c>
      <c r="M64" s="131" t="s">
        <v>481</v>
      </c>
      <c r="N64" s="132" t="s">
        <v>331</v>
      </c>
      <c r="O64" s="132" t="s">
        <v>482</v>
      </c>
      <c r="P64" s="132" t="s">
        <v>483</v>
      </c>
      <c r="Q64" s="202" t="s">
        <v>707</v>
      </c>
      <c r="R64" s="202"/>
      <c r="S64" s="202"/>
      <c r="T64" s="202"/>
      <c r="U64" s="202"/>
      <c r="V64" s="202"/>
      <c r="W64" s="202"/>
      <c r="X64" s="202"/>
      <c r="Y64" s="215" t="s">
        <v>708</v>
      </c>
      <c r="Z64" s="215"/>
      <c r="AA64" s="215"/>
      <c r="AB64" s="215"/>
      <c r="AC64" s="215"/>
      <c r="AD64" s="215"/>
      <c r="AE64" s="215"/>
      <c r="AF64" s="215"/>
    </row>
    <row r="65" spans="1:32" ht="11.65" customHeight="1">
      <c r="A65" s="39" t="s">
        <v>6</v>
      </c>
      <c r="B65" s="48" t="s">
        <v>479</v>
      </c>
      <c r="C65" s="48" t="s">
        <v>480</v>
      </c>
      <c r="D65" s="48" t="s">
        <v>5</v>
      </c>
      <c r="E65" s="131" t="s">
        <v>481</v>
      </c>
      <c r="F65" s="132" t="s">
        <v>331</v>
      </c>
      <c r="G65" s="132" t="s">
        <v>482</v>
      </c>
      <c r="H65" s="132" t="s">
        <v>483</v>
      </c>
      <c r="I65" s="48" t="s">
        <v>709</v>
      </c>
      <c r="J65" s="48">
        <v>121.1</v>
      </c>
      <c r="K65" s="48">
        <v>2905.86</v>
      </c>
      <c r="L65" s="48">
        <v>82915.3</v>
      </c>
      <c r="M65" s="54" t="s">
        <v>83</v>
      </c>
      <c r="N65" s="135" t="s">
        <v>83</v>
      </c>
      <c r="O65" s="135" t="s">
        <v>83</v>
      </c>
      <c r="P65" s="135" t="s">
        <v>83</v>
      </c>
      <c r="Q65" s="39" t="s">
        <v>6</v>
      </c>
      <c r="R65" s="48" t="s">
        <v>479</v>
      </c>
      <c r="S65" s="48" t="s">
        <v>480</v>
      </c>
      <c r="T65" s="48" t="s">
        <v>5</v>
      </c>
      <c r="U65" s="147" t="s">
        <v>481</v>
      </c>
      <c r="V65" s="132" t="s">
        <v>331</v>
      </c>
      <c r="W65" s="132" t="s">
        <v>482</v>
      </c>
      <c r="X65" s="132" t="s">
        <v>483</v>
      </c>
      <c r="Y65" s="39" t="s">
        <v>6</v>
      </c>
      <c r="Z65" s="48" t="s">
        <v>479</v>
      </c>
      <c r="AA65" s="48" t="s">
        <v>480</v>
      </c>
      <c r="AB65" s="48" t="s">
        <v>5</v>
      </c>
      <c r="AC65" s="149" t="s">
        <v>481</v>
      </c>
      <c r="AD65" s="54" t="s">
        <v>331</v>
      </c>
      <c r="AE65" s="54" t="s">
        <v>482</v>
      </c>
      <c r="AF65" s="54" t="s">
        <v>483</v>
      </c>
    </row>
    <row r="66" spans="1:32" ht="11.65" customHeight="1">
      <c r="A66" s="133" t="s">
        <v>709</v>
      </c>
      <c r="B66" s="139">
        <v>107.6</v>
      </c>
      <c r="C66" s="48">
        <v>2582.65</v>
      </c>
      <c r="D66" s="48">
        <v>79664.89</v>
      </c>
      <c r="E66" s="54" t="s">
        <v>83</v>
      </c>
      <c r="F66" s="54" t="s">
        <v>83</v>
      </c>
      <c r="G66" s="54" t="s">
        <v>83</v>
      </c>
      <c r="H66" s="54" t="s">
        <v>83</v>
      </c>
      <c r="I66" s="48" t="s">
        <v>710</v>
      </c>
      <c r="J66" s="48">
        <v>111.8</v>
      </c>
      <c r="K66" s="48">
        <v>2682.65</v>
      </c>
      <c r="L66" s="48">
        <v>76533.429999999993</v>
      </c>
      <c r="M66" s="54" t="s">
        <v>83</v>
      </c>
      <c r="N66" s="54">
        <v>0.92320000000000002</v>
      </c>
      <c r="O66" s="54">
        <v>0.93110000000000004</v>
      </c>
      <c r="P66" s="54">
        <v>0.92300000000000004</v>
      </c>
      <c r="Q66" s="38" t="s">
        <v>711</v>
      </c>
      <c r="R66" s="38">
        <v>436.3</v>
      </c>
      <c r="S66" s="45">
        <v>10470.64</v>
      </c>
      <c r="T66" s="45">
        <v>283411.38</v>
      </c>
      <c r="U66" s="54" t="s">
        <v>83</v>
      </c>
      <c r="V66" s="54" t="s">
        <v>83</v>
      </c>
      <c r="W66" s="54" t="s">
        <v>83</v>
      </c>
      <c r="X66" s="54" t="s">
        <v>83</v>
      </c>
      <c r="Y66" s="38" t="s">
        <v>711</v>
      </c>
      <c r="Z66" s="38">
        <v>452.7</v>
      </c>
      <c r="AA66" s="45">
        <v>10863.86</v>
      </c>
      <c r="AB66" s="45">
        <v>314465.82</v>
      </c>
      <c r="AC66" s="144" t="s">
        <v>83</v>
      </c>
      <c r="AD66" s="54" t="s">
        <v>83</v>
      </c>
      <c r="AE66" s="54" t="s">
        <v>83</v>
      </c>
      <c r="AF66" s="54" t="s">
        <v>83</v>
      </c>
    </row>
    <row r="67" spans="1:32" ht="11.65" customHeight="1">
      <c r="A67" s="133" t="s">
        <v>710</v>
      </c>
      <c r="B67" s="139">
        <v>106.4</v>
      </c>
      <c r="C67" s="48">
        <v>2552.63</v>
      </c>
      <c r="D67" s="48">
        <v>78940.149999999994</v>
      </c>
      <c r="E67" s="54" t="s">
        <v>83</v>
      </c>
      <c r="F67" s="54">
        <v>0.98839999999999995</v>
      </c>
      <c r="G67" s="54">
        <v>0.98939999999999995</v>
      </c>
      <c r="H67" s="54">
        <v>0.9909</v>
      </c>
      <c r="I67" s="48" t="s">
        <v>712</v>
      </c>
      <c r="J67" s="48">
        <v>1</v>
      </c>
      <c r="K67" s="48">
        <v>24.38</v>
      </c>
      <c r="L67" s="48">
        <v>581.58000000000004</v>
      </c>
      <c r="M67" s="54" t="s">
        <v>83</v>
      </c>
      <c r="N67" s="57">
        <v>8.3999999999999995E-3</v>
      </c>
      <c r="O67" s="54">
        <v>6.3E-3</v>
      </c>
      <c r="P67" s="54">
        <v>7.0000000000000001E-3</v>
      </c>
      <c r="Q67" s="38" t="s">
        <v>713</v>
      </c>
      <c r="R67" s="38">
        <v>435.3</v>
      </c>
      <c r="S67" s="45">
        <v>10446.469999999999</v>
      </c>
      <c r="T67" s="45">
        <v>277790.74</v>
      </c>
      <c r="U67" s="54" t="s">
        <v>83</v>
      </c>
      <c r="V67" s="153">
        <v>0.99770000000000003</v>
      </c>
      <c r="W67" s="153">
        <v>0.99390000000000001</v>
      </c>
      <c r="X67" s="153">
        <v>0.98019999999999996</v>
      </c>
      <c r="Y67" s="38" t="s">
        <v>713</v>
      </c>
      <c r="Z67" s="38">
        <v>445.1</v>
      </c>
      <c r="AA67" s="45">
        <v>10681.58</v>
      </c>
      <c r="AB67" s="45">
        <v>305633.19</v>
      </c>
      <c r="AC67" s="144" t="s">
        <v>83</v>
      </c>
      <c r="AD67" s="54">
        <v>0.98319999999999996</v>
      </c>
      <c r="AE67" s="54">
        <v>0.98029999999999995</v>
      </c>
      <c r="AF67" s="54">
        <v>0.97189999999999999</v>
      </c>
    </row>
    <row r="68" spans="1:32" ht="11.65" customHeight="1">
      <c r="A68" s="38" t="s">
        <v>685</v>
      </c>
      <c r="B68" s="139">
        <v>1.2</v>
      </c>
      <c r="C68" s="48">
        <v>29.83</v>
      </c>
      <c r="D68" s="48">
        <v>712.52</v>
      </c>
      <c r="E68" s="54" t="s">
        <v>83</v>
      </c>
      <c r="F68" s="54">
        <v>1.1599999999999999E-2</v>
      </c>
      <c r="G68" s="54">
        <v>1.03E-2</v>
      </c>
      <c r="H68" s="54">
        <v>8.8999999999999999E-3</v>
      </c>
      <c r="I68" s="48" t="s">
        <v>681</v>
      </c>
      <c r="J68" s="48">
        <v>1.4</v>
      </c>
      <c r="K68" s="48">
        <v>32.93</v>
      </c>
      <c r="L68" s="48">
        <v>966.87</v>
      </c>
      <c r="M68" s="54" t="s">
        <v>83</v>
      </c>
      <c r="N68" s="54">
        <v>1.1299999999999999E-2</v>
      </c>
      <c r="O68" s="54">
        <v>1.2500000000000001E-2</v>
      </c>
      <c r="P68" s="54">
        <v>1.17E-2</v>
      </c>
      <c r="Q68" s="38" t="s">
        <v>714</v>
      </c>
      <c r="R68" s="38">
        <v>1</v>
      </c>
      <c r="S68" s="45">
        <v>23.75</v>
      </c>
      <c r="T68" s="45">
        <v>5608.31</v>
      </c>
      <c r="U68" s="54" t="s">
        <v>83</v>
      </c>
      <c r="V68" s="154">
        <v>2.3E-3</v>
      </c>
      <c r="W68" s="153">
        <v>6.1000000000000004E-3</v>
      </c>
      <c r="X68" s="153">
        <v>1.9800000000000002E-2</v>
      </c>
      <c r="Y68" s="38" t="s">
        <v>714</v>
      </c>
      <c r="Z68" s="38">
        <v>7.6</v>
      </c>
      <c r="AA68" s="45">
        <v>182.18</v>
      </c>
      <c r="AB68" s="45">
        <v>8819.6200000000008</v>
      </c>
      <c r="AC68" s="144" t="s">
        <v>83</v>
      </c>
      <c r="AD68" s="136">
        <v>1.6799999999999999E-2</v>
      </c>
      <c r="AE68" s="54">
        <v>1.9599999999999999E-2</v>
      </c>
      <c r="AF68" s="54">
        <v>2.8000000000000001E-2</v>
      </c>
    </row>
  </sheetData>
  <mergeCells count="30">
    <mergeCell ref="A64:H64"/>
    <mergeCell ref="Q64:X64"/>
    <mergeCell ref="Y64:AF64"/>
    <mergeCell ref="Y50:AF50"/>
    <mergeCell ref="Y55:AF55"/>
    <mergeCell ref="I56:P56"/>
    <mergeCell ref="A57:H57"/>
    <mergeCell ref="I63:P63"/>
    <mergeCell ref="Y37:AF37"/>
    <mergeCell ref="A40:H40"/>
    <mergeCell ref="Y44:AF44"/>
    <mergeCell ref="I46:P46"/>
    <mergeCell ref="Q48:X48"/>
    <mergeCell ref="I27:P27"/>
    <mergeCell ref="A28:H28"/>
    <mergeCell ref="Y29:AF29"/>
    <mergeCell ref="Q33:X33"/>
    <mergeCell ref="I36:P36"/>
    <mergeCell ref="Y15:AF15"/>
    <mergeCell ref="I16:P16"/>
    <mergeCell ref="A19:H19"/>
    <mergeCell ref="Q20:X20"/>
    <mergeCell ref="Y22:AF22"/>
    <mergeCell ref="A1:C1"/>
    <mergeCell ref="D1:AB1"/>
    <mergeCell ref="AC1:AE1"/>
    <mergeCell ref="A2:H2"/>
    <mergeCell ref="I2:P2"/>
    <mergeCell ref="Q2:X2"/>
    <mergeCell ref="Y2:AF2"/>
  </mergeCells>
  <phoneticPr fontId="20" type="noConversion"/>
  <printOptions verticalCentered="1"/>
  <pageMargins left="0.19400000572204601" right="0.19400000572204601" top="0.19400000572204601" bottom="0.19400000572204601" header="0" footer="0"/>
  <pageSetup paperSize="8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4"/>
  <sheetViews>
    <sheetView workbookViewId="0">
      <selection sqref="A1:B1"/>
    </sheetView>
  </sheetViews>
  <sheetFormatPr defaultColWidth="10" defaultRowHeight="14"/>
  <cols>
    <col min="1" max="1" width="10.81640625" customWidth="1"/>
    <col min="2" max="2" width="12.453125" customWidth="1"/>
    <col min="3" max="3" width="9.1796875" customWidth="1"/>
    <col min="4" max="4" width="9.7265625" customWidth="1"/>
    <col min="5" max="5" width="11.6328125" customWidth="1"/>
    <col min="6" max="6" width="8.7265625" customWidth="1"/>
    <col min="7" max="7" width="8" customWidth="1"/>
    <col min="8" max="8" width="11.6328125" customWidth="1"/>
    <col min="9" max="9" width="10.26953125" customWidth="1"/>
    <col min="10" max="10" width="13.453125" customWidth="1"/>
    <col min="11" max="12" width="6.26953125" customWidth="1"/>
    <col min="13" max="13" width="11.81640625" customWidth="1"/>
    <col min="14" max="19" width="6.1796875" customWidth="1"/>
    <col min="20" max="20" width="6.81640625" customWidth="1"/>
    <col min="21" max="22" width="6.1796875" customWidth="1"/>
    <col min="23" max="23" width="7.90625" customWidth="1"/>
    <col min="24" max="24" width="7.6328125" customWidth="1"/>
    <col min="25" max="25" width="6.81640625" customWidth="1"/>
    <col min="26" max="29" width="9.7265625" customWidth="1"/>
  </cols>
  <sheetData>
    <row r="1" spans="1:25" ht="23.25" customHeight="1">
      <c r="A1" s="217"/>
      <c r="B1" s="217"/>
      <c r="C1" s="218" t="s">
        <v>1351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9" t="s">
        <v>0</v>
      </c>
      <c r="W1" s="219"/>
      <c r="X1" s="219"/>
      <c r="Y1" s="129" t="s">
        <v>1</v>
      </c>
    </row>
    <row r="2" spans="1:25" ht="11.4" customHeight="1">
      <c r="A2" s="40" t="s">
        <v>6</v>
      </c>
      <c r="B2" s="40" t="s">
        <v>715</v>
      </c>
      <c r="C2" s="40" t="s">
        <v>4</v>
      </c>
      <c r="D2" s="40" t="s">
        <v>332</v>
      </c>
      <c r="E2" s="40" t="s">
        <v>716</v>
      </c>
      <c r="F2" s="40" t="s">
        <v>717</v>
      </c>
      <c r="G2" s="220" t="s">
        <v>718</v>
      </c>
      <c r="H2" s="220" t="s">
        <v>64</v>
      </c>
      <c r="I2" s="220" t="s">
        <v>719</v>
      </c>
      <c r="J2" s="220" t="s">
        <v>6</v>
      </c>
      <c r="K2" s="220" t="s">
        <v>4</v>
      </c>
      <c r="L2" s="220" t="s">
        <v>332</v>
      </c>
      <c r="M2" s="220" t="s">
        <v>720</v>
      </c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</row>
    <row r="3" spans="1:25" ht="10.5" customHeight="1">
      <c r="A3" s="220" t="s">
        <v>721</v>
      </c>
      <c r="B3" s="38" t="s">
        <v>722</v>
      </c>
      <c r="C3" s="45">
        <v>0</v>
      </c>
      <c r="D3" s="45">
        <v>0</v>
      </c>
      <c r="E3" s="45">
        <v>0</v>
      </c>
      <c r="F3" s="45">
        <v>0</v>
      </c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</row>
    <row r="4" spans="1:25" ht="10.5" customHeight="1">
      <c r="A4" s="220"/>
      <c r="B4" s="38" t="s">
        <v>723</v>
      </c>
      <c r="C4" s="116">
        <v>18988.7</v>
      </c>
      <c r="D4" s="45">
        <v>15410.43</v>
      </c>
      <c r="E4" s="45">
        <v>3578.27</v>
      </c>
      <c r="F4" s="45">
        <v>13215.6751851852</v>
      </c>
      <c r="G4" s="220"/>
      <c r="H4" s="38" t="s">
        <v>724</v>
      </c>
      <c r="I4" s="45">
        <v>6832.0737499999996</v>
      </c>
      <c r="J4" s="38" t="s">
        <v>725</v>
      </c>
      <c r="K4" s="45">
        <v>6943.2979166666701</v>
      </c>
      <c r="L4" s="45">
        <v>6890.2674999999999</v>
      </c>
      <c r="M4" s="220" t="s">
        <v>64</v>
      </c>
      <c r="N4" s="220" t="s">
        <v>472</v>
      </c>
      <c r="O4" s="220"/>
      <c r="P4" s="220"/>
      <c r="Q4" s="220"/>
      <c r="R4" s="220" t="s">
        <v>726</v>
      </c>
      <c r="S4" s="220"/>
      <c r="T4" s="220"/>
      <c r="U4" s="220"/>
      <c r="V4" s="220" t="s">
        <v>727</v>
      </c>
      <c r="W4" s="220"/>
      <c r="X4" s="220"/>
      <c r="Y4" s="220"/>
    </row>
    <row r="5" spans="1:25" ht="10.5" customHeight="1">
      <c r="A5" s="220"/>
      <c r="B5" s="38" t="s">
        <v>315</v>
      </c>
      <c r="C5" s="116">
        <v>18988.7</v>
      </c>
      <c r="D5" s="45">
        <v>15410.43</v>
      </c>
      <c r="E5" s="45">
        <v>3578.27</v>
      </c>
      <c r="F5" s="45">
        <v>13215.6751851852</v>
      </c>
      <c r="G5" s="220"/>
      <c r="H5" s="38" t="s">
        <v>728</v>
      </c>
      <c r="I5" s="45">
        <v>5717.4641666666703</v>
      </c>
      <c r="J5" s="38" t="s">
        <v>729</v>
      </c>
      <c r="K5" s="112">
        <v>0.63939429999999997</v>
      </c>
      <c r="L5" s="112">
        <v>0.60523939999999998</v>
      </c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</row>
    <row r="6" spans="1:25" ht="10.5" customHeight="1">
      <c r="A6" s="220"/>
      <c r="B6" s="38" t="s">
        <v>730</v>
      </c>
      <c r="C6" s="45">
        <v>276.82</v>
      </c>
      <c r="D6" s="45">
        <v>290.33</v>
      </c>
      <c r="E6" s="45">
        <v>-13.51</v>
      </c>
      <c r="F6" s="45">
        <v>361.95592592592601</v>
      </c>
      <c r="G6" s="220"/>
      <c r="H6" s="199" t="s">
        <v>731</v>
      </c>
      <c r="I6" s="121">
        <v>0</v>
      </c>
      <c r="J6" s="38" t="s">
        <v>732</v>
      </c>
      <c r="K6" s="112">
        <v>9.1613939999999996</v>
      </c>
      <c r="L6" s="112">
        <v>9.1787790000000005</v>
      </c>
      <c r="M6" s="220"/>
      <c r="N6" s="40" t="s">
        <v>39</v>
      </c>
      <c r="O6" s="40" t="s">
        <v>4</v>
      </c>
      <c r="P6" s="40" t="s">
        <v>332</v>
      </c>
      <c r="Q6" s="40" t="s">
        <v>716</v>
      </c>
      <c r="R6" s="40" t="s">
        <v>39</v>
      </c>
      <c r="S6" s="40" t="s">
        <v>4</v>
      </c>
      <c r="T6" s="40" t="s">
        <v>332</v>
      </c>
      <c r="U6" s="40" t="s">
        <v>716</v>
      </c>
      <c r="V6" s="40" t="s">
        <v>39</v>
      </c>
      <c r="W6" s="40" t="s">
        <v>4</v>
      </c>
      <c r="X6" s="40" t="s">
        <v>332</v>
      </c>
      <c r="Y6" s="40" t="s">
        <v>716</v>
      </c>
    </row>
    <row r="7" spans="1:25" ht="10.5" customHeight="1">
      <c r="A7" s="220" t="s">
        <v>733</v>
      </c>
      <c r="B7" s="40" t="s">
        <v>715</v>
      </c>
      <c r="C7" s="117" t="s">
        <v>4</v>
      </c>
      <c r="D7" s="117" t="s">
        <v>332</v>
      </c>
      <c r="E7" s="117" t="s">
        <v>716</v>
      </c>
      <c r="F7" s="117" t="s">
        <v>717</v>
      </c>
      <c r="G7" s="220"/>
      <c r="H7" s="199"/>
      <c r="I7" s="121">
        <v>0.47000049999999999</v>
      </c>
      <c r="J7" s="38"/>
      <c r="K7" s="38"/>
      <c r="L7" s="38"/>
      <c r="M7" s="38" t="s">
        <v>77</v>
      </c>
      <c r="N7" s="38">
        <v>50</v>
      </c>
      <c r="O7" s="45">
        <v>3.0175000000000001</v>
      </c>
      <c r="P7" s="45">
        <v>18.019166666666699</v>
      </c>
      <c r="Q7" s="94">
        <v>-15.001666666666701</v>
      </c>
      <c r="R7" s="45">
        <v>600</v>
      </c>
      <c r="S7" s="45">
        <v>578.91333333333296</v>
      </c>
      <c r="T7" s="45">
        <v>579.20375000000001</v>
      </c>
      <c r="U7" s="94">
        <v>-0.29041666666666699</v>
      </c>
      <c r="V7" s="45">
        <v>240</v>
      </c>
      <c r="W7" s="45">
        <v>0</v>
      </c>
      <c r="X7" s="45">
        <v>8.6249999999999993E-2</v>
      </c>
      <c r="Y7" s="94">
        <v>-8.6249999999999993E-2</v>
      </c>
    </row>
    <row r="8" spans="1:25" ht="10.5" customHeight="1">
      <c r="A8" s="220"/>
      <c r="B8" s="38" t="s">
        <v>734</v>
      </c>
      <c r="C8" s="45">
        <v>1848.05</v>
      </c>
      <c r="D8" s="45">
        <v>1855.94</v>
      </c>
      <c r="E8" s="45">
        <v>-7.89</v>
      </c>
      <c r="F8" s="45">
        <v>1812.7392592592601</v>
      </c>
      <c r="G8" s="220" t="s">
        <v>735</v>
      </c>
      <c r="H8" s="40" t="s">
        <v>64</v>
      </c>
      <c r="I8" s="40" t="s">
        <v>719</v>
      </c>
      <c r="J8" s="40" t="s">
        <v>6</v>
      </c>
      <c r="K8" s="40" t="s">
        <v>4</v>
      </c>
      <c r="L8" s="40" t="s">
        <v>332</v>
      </c>
      <c r="M8" s="38" t="s">
        <v>79</v>
      </c>
      <c r="N8" s="38">
        <v>55</v>
      </c>
      <c r="O8" s="45">
        <v>20.530416666666699</v>
      </c>
      <c r="P8" s="45">
        <v>20.388750000000002</v>
      </c>
      <c r="Q8" s="94">
        <v>0.141666666666667</v>
      </c>
      <c r="R8" s="45">
        <v>100</v>
      </c>
      <c r="S8" s="45">
        <v>79.335416666666703</v>
      </c>
      <c r="T8" s="45">
        <v>79.658333333333303</v>
      </c>
      <c r="U8" s="94">
        <v>-0.32291666666666702</v>
      </c>
      <c r="V8" s="45">
        <v>480</v>
      </c>
      <c r="W8" s="45">
        <v>0</v>
      </c>
      <c r="X8" s="45">
        <v>0</v>
      </c>
      <c r="Y8" s="94">
        <v>0</v>
      </c>
    </row>
    <row r="9" spans="1:25" ht="10.5" customHeight="1">
      <c r="A9" s="220"/>
      <c r="B9" s="38" t="s">
        <v>736</v>
      </c>
      <c r="C9" s="45">
        <v>3745</v>
      </c>
      <c r="D9" s="45">
        <v>3953.5</v>
      </c>
      <c r="E9" s="45">
        <v>-208.5</v>
      </c>
      <c r="F9" s="45">
        <v>6392.8333333333303</v>
      </c>
      <c r="G9" s="220"/>
      <c r="H9" s="38" t="s">
        <v>737</v>
      </c>
      <c r="I9" s="38">
        <v>17500</v>
      </c>
      <c r="J9" s="38" t="s">
        <v>738</v>
      </c>
      <c r="K9" s="45">
        <v>15134.0054166667</v>
      </c>
      <c r="L9" s="45">
        <v>15203.157083333301</v>
      </c>
      <c r="M9" s="38" t="s">
        <v>81</v>
      </c>
      <c r="N9" s="38">
        <v>130</v>
      </c>
      <c r="O9" s="45">
        <v>106.35875</v>
      </c>
      <c r="P9" s="45">
        <v>104.870833333333</v>
      </c>
      <c r="Q9" s="94">
        <v>1.4879166666666701</v>
      </c>
      <c r="R9" s="45">
        <v>250</v>
      </c>
      <c r="S9" s="45">
        <v>228.66083333333299</v>
      </c>
      <c r="T9" s="45">
        <v>230.51541666666699</v>
      </c>
      <c r="U9" s="94">
        <v>-1.8545833333333299</v>
      </c>
      <c r="V9" s="45">
        <v>300</v>
      </c>
      <c r="W9" s="45">
        <v>0</v>
      </c>
      <c r="X9" s="45">
        <v>0</v>
      </c>
      <c r="Y9" s="94">
        <v>0</v>
      </c>
    </row>
    <row r="10" spans="1:25" ht="10.5" customHeight="1">
      <c r="A10" s="222" t="s">
        <v>739</v>
      </c>
      <c r="B10" s="38" t="s">
        <v>715</v>
      </c>
      <c r="C10" s="45" t="s">
        <v>4</v>
      </c>
      <c r="D10" s="45" t="s">
        <v>332</v>
      </c>
      <c r="E10" s="45" t="s">
        <v>716</v>
      </c>
      <c r="F10" s="45" t="s">
        <v>717</v>
      </c>
      <c r="G10" s="220"/>
      <c r="H10" s="38" t="s">
        <v>740</v>
      </c>
      <c r="I10" s="38">
        <v>17500</v>
      </c>
      <c r="J10" s="38" t="s">
        <v>741</v>
      </c>
      <c r="K10" s="122">
        <v>0.61174729999999999</v>
      </c>
      <c r="L10" s="112">
        <v>0.63306660000000003</v>
      </c>
      <c r="M10" s="38" t="s">
        <v>84</v>
      </c>
      <c r="N10" s="38">
        <v>950</v>
      </c>
      <c r="O10" s="45">
        <v>889.81166666666695</v>
      </c>
      <c r="P10" s="45">
        <v>887.59291666666695</v>
      </c>
      <c r="Q10" s="94">
        <v>2.21875</v>
      </c>
      <c r="R10" s="45">
        <v>2900</v>
      </c>
      <c r="S10" s="116">
        <v>3073.85541666667</v>
      </c>
      <c r="T10" s="45">
        <v>3063.9020833333302</v>
      </c>
      <c r="U10" s="94">
        <v>9.9533333333333296</v>
      </c>
      <c r="V10" s="45">
        <v>12000</v>
      </c>
      <c r="W10" s="116">
        <v>12614.8929166667</v>
      </c>
      <c r="X10" s="45">
        <v>12604.7366666667</v>
      </c>
      <c r="Y10" s="94">
        <v>10.15625</v>
      </c>
    </row>
    <row r="11" spans="1:25" ht="10.5" customHeight="1">
      <c r="A11" s="222"/>
      <c r="B11" s="38" t="s">
        <v>742</v>
      </c>
      <c r="C11" s="116">
        <v>2600.4699999999998</v>
      </c>
      <c r="D11" s="45">
        <v>2973.26</v>
      </c>
      <c r="E11" s="45">
        <v>-372.79</v>
      </c>
      <c r="F11" s="45">
        <v>2774.2588888888899</v>
      </c>
      <c r="G11" s="220"/>
      <c r="H11" s="38" t="s">
        <v>743</v>
      </c>
      <c r="I11" s="38">
        <v>17500</v>
      </c>
      <c r="J11" s="38" t="s">
        <v>744</v>
      </c>
      <c r="K11" s="45">
        <v>12698.8770833333</v>
      </c>
      <c r="L11" s="45">
        <v>12843.600833333299</v>
      </c>
      <c r="M11" s="38" t="s">
        <v>86</v>
      </c>
      <c r="N11" s="38">
        <v>50</v>
      </c>
      <c r="O11" s="45">
        <v>0</v>
      </c>
      <c r="P11" s="45">
        <v>0</v>
      </c>
      <c r="Q11" s="94">
        <v>0</v>
      </c>
      <c r="R11" s="45">
        <v>120</v>
      </c>
      <c r="S11" s="45">
        <v>0</v>
      </c>
      <c r="T11" s="45">
        <v>0</v>
      </c>
      <c r="U11" s="94">
        <v>0</v>
      </c>
      <c r="V11" s="45">
        <v>300</v>
      </c>
      <c r="W11" s="45">
        <v>0</v>
      </c>
      <c r="X11" s="45">
        <v>0</v>
      </c>
      <c r="Y11" s="94">
        <v>0</v>
      </c>
    </row>
    <row r="12" spans="1:25" ht="10.5" customHeight="1">
      <c r="A12" s="222"/>
      <c r="B12" s="38" t="s">
        <v>745</v>
      </c>
      <c r="C12" s="45">
        <v>607.04999999999995</v>
      </c>
      <c r="D12" s="45">
        <v>602.24</v>
      </c>
      <c r="E12" s="45">
        <v>4.8099999999999996</v>
      </c>
      <c r="F12" s="45">
        <v>597.54481481481503</v>
      </c>
      <c r="G12" s="220"/>
      <c r="H12" s="38" t="s">
        <v>746</v>
      </c>
      <c r="I12" s="38">
        <v>12000</v>
      </c>
      <c r="J12" s="38" t="s">
        <v>747</v>
      </c>
      <c r="K12" s="122">
        <v>0.59515499999999999</v>
      </c>
      <c r="L12" s="112">
        <v>0.6151761</v>
      </c>
      <c r="M12" s="38" t="s">
        <v>94</v>
      </c>
      <c r="N12" s="38"/>
      <c r="O12" s="45">
        <v>0</v>
      </c>
      <c r="P12" s="45">
        <v>0</v>
      </c>
      <c r="Q12" s="94">
        <v>0</v>
      </c>
      <c r="R12" s="45">
        <v>200</v>
      </c>
      <c r="S12" s="45">
        <v>165.036666666667</v>
      </c>
      <c r="T12" s="45">
        <v>165.382916666667</v>
      </c>
      <c r="U12" s="94">
        <v>-0.34625</v>
      </c>
      <c r="V12" s="45"/>
      <c r="W12" s="45">
        <v>307.86500000000001</v>
      </c>
      <c r="X12" s="45">
        <v>310.63625000000002</v>
      </c>
      <c r="Y12" s="94">
        <v>-2.7712500000000002</v>
      </c>
    </row>
    <row r="13" spans="1:25" ht="10.5" customHeight="1">
      <c r="A13" s="222" t="s">
        <v>748</v>
      </c>
      <c r="B13" s="38" t="s">
        <v>715</v>
      </c>
      <c r="C13" s="45" t="s">
        <v>4</v>
      </c>
      <c r="D13" s="45" t="s">
        <v>332</v>
      </c>
      <c r="E13" s="45" t="s">
        <v>716</v>
      </c>
      <c r="F13" s="45" t="s">
        <v>717</v>
      </c>
      <c r="G13" s="112"/>
      <c r="H13" s="38"/>
      <c r="I13" s="38"/>
      <c r="J13" s="38"/>
      <c r="K13" s="38"/>
      <c r="L13" s="38"/>
      <c r="M13" s="38" t="s">
        <v>97</v>
      </c>
      <c r="N13" s="38">
        <v>75</v>
      </c>
      <c r="O13" s="45">
        <v>56.0758333333333</v>
      </c>
      <c r="P13" s="45">
        <v>55.240833333333299</v>
      </c>
      <c r="Q13" s="94">
        <v>0.83499999999999996</v>
      </c>
      <c r="R13" s="45">
        <v>300</v>
      </c>
      <c r="S13" s="45">
        <v>0</v>
      </c>
      <c r="T13" s="45">
        <v>0</v>
      </c>
      <c r="U13" s="94">
        <v>0</v>
      </c>
      <c r="V13" s="45"/>
      <c r="W13" s="45">
        <v>39.7129166666667</v>
      </c>
      <c r="X13" s="45">
        <v>39.7441666666667</v>
      </c>
      <c r="Y13" s="94">
        <v>-3.125E-2</v>
      </c>
    </row>
    <row r="14" spans="1:25" ht="10.5" customHeight="1">
      <c r="A14" s="222"/>
      <c r="B14" s="38" t="s">
        <v>742</v>
      </c>
      <c r="C14" s="116">
        <v>2751.9</v>
      </c>
      <c r="D14" s="45">
        <v>3102.35</v>
      </c>
      <c r="E14" s="45">
        <v>-350.45</v>
      </c>
      <c r="F14" s="45">
        <v>3220.7459259259299</v>
      </c>
      <c r="G14" s="220" t="s">
        <v>465</v>
      </c>
      <c r="H14" s="40" t="s">
        <v>749</v>
      </c>
      <c r="I14" s="123" t="s">
        <v>750</v>
      </c>
      <c r="J14" s="40" t="s">
        <v>751</v>
      </c>
      <c r="K14" s="40" t="s">
        <v>716</v>
      </c>
      <c r="L14" s="38"/>
      <c r="M14" s="38" t="s">
        <v>99</v>
      </c>
      <c r="N14" s="38">
        <v>89.9</v>
      </c>
      <c r="O14" s="45">
        <v>1.6908333333333301</v>
      </c>
      <c r="P14" s="45">
        <v>1.7079166666666701</v>
      </c>
      <c r="Q14" s="94">
        <v>-1.7083333333333301E-2</v>
      </c>
      <c r="R14" s="45">
        <v>150</v>
      </c>
      <c r="S14" s="45">
        <v>0</v>
      </c>
      <c r="T14" s="45">
        <v>0</v>
      </c>
      <c r="U14" s="94">
        <v>0</v>
      </c>
      <c r="V14" s="45">
        <v>1200</v>
      </c>
      <c r="W14" s="45">
        <v>0</v>
      </c>
      <c r="X14" s="45">
        <v>0</v>
      </c>
      <c r="Y14" s="94">
        <v>0</v>
      </c>
    </row>
    <row r="15" spans="1:25" ht="10.5" customHeight="1">
      <c r="A15" s="222"/>
      <c r="B15" s="38" t="s">
        <v>745</v>
      </c>
      <c r="C15" s="45">
        <v>809.97</v>
      </c>
      <c r="D15" s="45">
        <v>898.81</v>
      </c>
      <c r="E15" s="45">
        <v>-88.84</v>
      </c>
      <c r="F15" s="45">
        <v>1784.0214814814799</v>
      </c>
      <c r="G15" s="220"/>
      <c r="H15" s="38">
        <v>1100</v>
      </c>
      <c r="I15" s="45">
        <v>17426.05</v>
      </c>
      <c r="J15" s="45">
        <v>17721.75</v>
      </c>
      <c r="K15" s="45">
        <v>-295.7</v>
      </c>
      <c r="L15" s="93"/>
      <c r="M15" s="38" t="s">
        <v>101</v>
      </c>
      <c r="N15" s="38">
        <v>390</v>
      </c>
      <c r="O15" s="45">
        <v>361.084583333333</v>
      </c>
      <c r="P15" s="45">
        <v>361.96708333333299</v>
      </c>
      <c r="Q15" s="94">
        <v>-0.88249999999999995</v>
      </c>
      <c r="R15" s="45">
        <v>1950</v>
      </c>
      <c r="S15" s="45">
        <v>1808.3162500000001</v>
      </c>
      <c r="T15" s="45">
        <v>1869.3675000000001</v>
      </c>
      <c r="U15" s="94">
        <v>-61.051250000000003</v>
      </c>
      <c r="V15" s="45">
        <v>3360</v>
      </c>
      <c r="W15" s="45">
        <v>0</v>
      </c>
      <c r="X15" s="45">
        <v>0</v>
      </c>
      <c r="Y15" s="94">
        <v>0</v>
      </c>
    </row>
    <row r="16" spans="1:25" ht="10.75" customHeight="1">
      <c r="A16" s="220" t="s">
        <v>752</v>
      </c>
      <c r="B16" s="40" t="s">
        <v>715</v>
      </c>
      <c r="C16" s="117" t="s">
        <v>4</v>
      </c>
      <c r="D16" s="117" t="s">
        <v>332</v>
      </c>
      <c r="E16" s="117" t="s">
        <v>716</v>
      </c>
      <c r="F16" s="117" t="s">
        <v>717</v>
      </c>
      <c r="G16" s="38"/>
      <c r="H16" s="38"/>
      <c r="I16" s="38"/>
      <c r="J16" s="38"/>
      <c r="K16" s="38"/>
      <c r="L16" s="38"/>
      <c r="M16" s="38" t="s">
        <v>103</v>
      </c>
      <c r="N16" s="38">
        <v>100</v>
      </c>
      <c r="O16" s="45">
        <v>70.249583333333305</v>
      </c>
      <c r="P16" s="45">
        <v>70.217500000000001</v>
      </c>
      <c r="Q16" s="94">
        <v>3.2083333333333297E-2</v>
      </c>
      <c r="R16" s="45">
        <v>300</v>
      </c>
      <c r="S16" s="118">
        <v>361.34875</v>
      </c>
      <c r="T16" s="45">
        <v>362.96583333333302</v>
      </c>
      <c r="U16" s="94">
        <v>-1.6170833333333301</v>
      </c>
      <c r="V16" s="45"/>
      <c r="W16" s="45">
        <v>660.88333333333298</v>
      </c>
      <c r="X16" s="45">
        <v>661.36958333333303</v>
      </c>
      <c r="Y16" s="94">
        <v>-0.48625000000000002</v>
      </c>
    </row>
    <row r="17" spans="1:25" ht="10.75" customHeight="1">
      <c r="A17" s="220"/>
      <c r="B17" s="38" t="s">
        <v>753</v>
      </c>
      <c r="C17" s="45">
        <v>18770.29</v>
      </c>
      <c r="D17" s="45">
        <v>17587.96</v>
      </c>
      <c r="E17" s="45">
        <v>1182.33</v>
      </c>
      <c r="F17" s="45">
        <v>17072.491851851901</v>
      </c>
      <c r="G17" s="220" t="s">
        <v>754</v>
      </c>
      <c r="H17" s="40" t="s">
        <v>715</v>
      </c>
      <c r="I17" s="40" t="s">
        <v>755</v>
      </c>
      <c r="J17" s="40" t="s">
        <v>6</v>
      </c>
      <c r="K17" s="40" t="s">
        <v>4</v>
      </c>
      <c r="L17" s="40" t="s">
        <v>332</v>
      </c>
      <c r="M17" s="38" t="s">
        <v>105</v>
      </c>
      <c r="N17" s="38">
        <v>20</v>
      </c>
      <c r="O17" s="45">
        <v>1.25E-3</v>
      </c>
      <c r="P17" s="45">
        <v>2.66666666666667E-2</v>
      </c>
      <c r="Q17" s="94">
        <v>-2.5416666666666698E-2</v>
      </c>
      <c r="R17" s="45">
        <v>60</v>
      </c>
      <c r="S17" s="45">
        <v>39.382916666666702</v>
      </c>
      <c r="T17" s="45">
        <v>38.9479166666667</v>
      </c>
      <c r="U17" s="94">
        <v>0.435</v>
      </c>
      <c r="V17" s="45"/>
      <c r="W17" s="45">
        <v>0.18124999999999999</v>
      </c>
      <c r="X17" s="45">
        <v>0.18083333333333301</v>
      </c>
      <c r="Y17" s="94">
        <v>4.1666666666666702E-4</v>
      </c>
    </row>
    <row r="18" spans="1:25" ht="10.75" customHeight="1">
      <c r="A18" s="220"/>
      <c r="B18" s="38" t="s">
        <v>756</v>
      </c>
      <c r="C18" s="45">
        <v>10179.23</v>
      </c>
      <c r="D18" s="45">
        <v>9472.0300000000007</v>
      </c>
      <c r="E18" s="45">
        <v>707.2</v>
      </c>
      <c r="F18" s="45">
        <v>9266.8922222222209</v>
      </c>
      <c r="G18" s="220"/>
      <c r="H18" s="38" t="s">
        <v>757</v>
      </c>
      <c r="I18" s="112">
        <v>49</v>
      </c>
      <c r="J18" s="94" t="s">
        <v>758</v>
      </c>
      <c r="K18" s="94">
        <v>29.317916666666701</v>
      </c>
      <c r="L18" s="94">
        <v>28.935833333333299</v>
      </c>
      <c r="M18" s="38" t="s">
        <v>78</v>
      </c>
      <c r="N18" s="38">
        <v>80</v>
      </c>
      <c r="O18" s="45">
        <v>66.277500000000003</v>
      </c>
      <c r="P18" s="45">
        <v>66.63</v>
      </c>
      <c r="Q18" s="94">
        <v>-0.35249999999999998</v>
      </c>
      <c r="R18" s="45">
        <v>400</v>
      </c>
      <c r="S18" s="45">
        <v>334.16583333333301</v>
      </c>
      <c r="T18" s="45">
        <v>332.51125000000002</v>
      </c>
      <c r="U18" s="94">
        <v>1.65458333333333</v>
      </c>
      <c r="V18" s="45"/>
      <c r="W18" s="45">
        <v>1.0912500000000001</v>
      </c>
      <c r="X18" s="45">
        <v>0.97041666666666704</v>
      </c>
      <c r="Y18" s="94">
        <v>0.120833333333333</v>
      </c>
    </row>
    <row r="19" spans="1:25" ht="10.75" customHeight="1">
      <c r="A19" s="220"/>
      <c r="B19" s="38" t="s">
        <v>759</v>
      </c>
      <c r="C19" s="45">
        <v>8167.34</v>
      </c>
      <c r="D19" s="45">
        <v>7502.96</v>
      </c>
      <c r="E19" s="45">
        <v>664.38</v>
      </c>
      <c r="F19" s="45">
        <v>7046.0714814814801</v>
      </c>
      <c r="G19" s="220"/>
      <c r="H19" s="38" t="s">
        <v>760</v>
      </c>
      <c r="I19" s="112">
        <v>0</v>
      </c>
      <c r="J19" s="94" t="s">
        <v>761</v>
      </c>
      <c r="K19" s="94">
        <v>0</v>
      </c>
      <c r="L19" s="94">
        <v>0</v>
      </c>
      <c r="M19" s="38" t="s">
        <v>80</v>
      </c>
      <c r="N19" s="38">
        <v>45</v>
      </c>
      <c r="O19" s="118">
        <v>69.880416666666704</v>
      </c>
      <c r="P19" s="45">
        <v>28.717500000000001</v>
      </c>
      <c r="Q19" s="94">
        <v>50.902916666666698</v>
      </c>
      <c r="R19" s="45">
        <v>120</v>
      </c>
      <c r="S19" s="45">
        <v>107.271666666667</v>
      </c>
      <c r="T19" s="45">
        <v>119.101666666667</v>
      </c>
      <c r="U19" s="94">
        <v>-11.83</v>
      </c>
      <c r="V19" s="45"/>
      <c r="W19" s="45">
        <v>0</v>
      </c>
      <c r="X19" s="45">
        <v>0</v>
      </c>
      <c r="Y19" s="94">
        <v>0</v>
      </c>
    </row>
    <row r="20" spans="1:25" ht="10.75" customHeight="1">
      <c r="A20" s="220"/>
      <c r="B20" s="38" t="s">
        <v>762</v>
      </c>
      <c r="C20" s="45">
        <v>1652.91</v>
      </c>
      <c r="D20" s="45">
        <v>1658.94</v>
      </c>
      <c r="E20" s="45">
        <v>-6.03</v>
      </c>
      <c r="F20" s="45">
        <v>1647.89222222222</v>
      </c>
      <c r="G20" s="220"/>
      <c r="H20" s="38" t="s">
        <v>763</v>
      </c>
      <c r="I20" s="112">
        <v>59.25</v>
      </c>
      <c r="J20" s="94" t="s">
        <v>764</v>
      </c>
      <c r="K20" s="94">
        <v>24.317916666666701</v>
      </c>
      <c r="L20" s="94">
        <v>23.935833333333299</v>
      </c>
      <c r="M20" s="38" t="s">
        <v>82</v>
      </c>
      <c r="N20" s="38">
        <v>5</v>
      </c>
      <c r="O20" s="118">
        <v>7.80375</v>
      </c>
      <c r="P20" s="45">
        <v>2.04958333333333</v>
      </c>
      <c r="Q20" s="94">
        <v>5.75416666666667</v>
      </c>
      <c r="R20" s="45">
        <v>50</v>
      </c>
      <c r="S20" s="45">
        <v>0</v>
      </c>
      <c r="T20" s="45">
        <v>2.70041666666667</v>
      </c>
      <c r="U20" s="94">
        <v>-2.70041666666667</v>
      </c>
      <c r="V20" s="45"/>
      <c r="W20" s="45">
        <v>0</v>
      </c>
      <c r="X20" s="45">
        <v>4.3749999999999997E-2</v>
      </c>
      <c r="Y20" s="94">
        <v>-4.3749999999999997E-2</v>
      </c>
    </row>
    <row r="21" spans="1:25" ht="10.75" customHeight="1">
      <c r="A21" s="220"/>
      <c r="B21" s="38" t="s">
        <v>765</v>
      </c>
      <c r="C21" s="118">
        <v>0</v>
      </c>
      <c r="D21" s="45">
        <v>0.05</v>
      </c>
      <c r="E21" s="45">
        <v>-0.05</v>
      </c>
      <c r="F21" s="45">
        <v>81.569259259259297</v>
      </c>
      <c r="G21" s="220"/>
      <c r="H21" s="38" t="s">
        <v>766</v>
      </c>
      <c r="I21" s="112">
        <v>108.25</v>
      </c>
      <c r="J21" s="94" t="s">
        <v>767</v>
      </c>
      <c r="K21" s="94">
        <v>0.53500000000000003</v>
      </c>
      <c r="L21" s="94">
        <v>0.24374999999999999</v>
      </c>
      <c r="M21" s="38" t="s">
        <v>85</v>
      </c>
      <c r="N21" s="38">
        <v>30</v>
      </c>
      <c r="O21" s="45">
        <v>0</v>
      </c>
      <c r="P21" s="45">
        <v>0</v>
      </c>
      <c r="Q21" s="94">
        <v>0</v>
      </c>
      <c r="R21" s="45">
        <v>700</v>
      </c>
      <c r="S21" s="45">
        <v>640.98958333333303</v>
      </c>
      <c r="T21" s="45">
        <v>639.375</v>
      </c>
      <c r="U21" s="94">
        <v>1.6145833333333299</v>
      </c>
      <c r="V21" s="45"/>
      <c r="W21" s="45">
        <v>0</v>
      </c>
      <c r="X21" s="45">
        <v>0</v>
      </c>
      <c r="Y21" s="94">
        <v>0</v>
      </c>
    </row>
    <row r="22" spans="1:25" ht="10.75" customHeight="1">
      <c r="A22" s="220" t="s">
        <v>759</v>
      </c>
      <c r="B22" s="40" t="s">
        <v>64</v>
      </c>
      <c r="C22" s="40" t="s">
        <v>768</v>
      </c>
      <c r="D22" s="40" t="s">
        <v>769</v>
      </c>
      <c r="E22" s="40" t="s">
        <v>770</v>
      </c>
      <c r="F22" s="40" t="s">
        <v>771</v>
      </c>
      <c r="G22" s="38"/>
      <c r="H22" s="38"/>
      <c r="I22" s="38"/>
      <c r="J22" s="38"/>
      <c r="K22" s="38"/>
      <c r="L22" s="38"/>
      <c r="M22" s="38" t="s">
        <v>87</v>
      </c>
      <c r="N22" s="45">
        <v>100</v>
      </c>
      <c r="O22" s="116">
        <v>111.301666666667</v>
      </c>
      <c r="P22" s="45">
        <v>111.02124999999999</v>
      </c>
      <c r="Q22" s="94">
        <v>0.28041666666666698</v>
      </c>
      <c r="R22" s="45">
        <v>150</v>
      </c>
      <c r="S22" s="45">
        <v>20.090416666666702</v>
      </c>
      <c r="T22" s="45">
        <v>20.4725</v>
      </c>
      <c r="U22" s="94">
        <v>-0.382083333333333</v>
      </c>
      <c r="V22" s="45">
        <v>1200</v>
      </c>
      <c r="W22" s="45">
        <v>0</v>
      </c>
      <c r="X22" s="45">
        <v>0</v>
      </c>
      <c r="Y22" s="94">
        <v>0</v>
      </c>
    </row>
    <row r="23" spans="1:25" ht="10.75" customHeight="1">
      <c r="A23" s="220"/>
      <c r="B23" s="38" t="s">
        <v>772</v>
      </c>
      <c r="C23" s="38">
        <v>16000</v>
      </c>
      <c r="D23" s="45">
        <v>16019.256666666701</v>
      </c>
      <c r="E23" s="112">
        <v>0.4646748</v>
      </c>
      <c r="F23" s="45" t="s">
        <v>83</v>
      </c>
      <c r="G23" s="220" t="s">
        <v>773</v>
      </c>
      <c r="H23" s="38" t="s">
        <v>715</v>
      </c>
      <c r="I23" s="38" t="s">
        <v>4</v>
      </c>
      <c r="J23" s="38" t="s">
        <v>332</v>
      </c>
      <c r="K23" s="38" t="s">
        <v>716</v>
      </c>
      <c r="L23" s="38" t="s">
        <v>774</v>
      </c>
      <c r="M23" s="38" t="s">
        <v>95</v>
      </c>
      <c r="N23" s="45">
        <v>180</v>
      </c>
      <c r="O23" s="45">
        <v>0</v>
      </c>
      <c r="P23" s="45">
        <v>0</v>
      </c>
      <c r="Q23" s="94">
        <v>0</v>
      </c>
      <c r="R23" s="45">
        <v>1200</v>
      </c>
      <c r="S23" s="116">
        <v>1298.89333333333</v>
      </c>
      <c r="T23" s="45">
        <v>1303.51125</v>
      </c>
      <c r="U23" s="94">
        <v>-4.6179166666666696</v>
      </c>
      <c r="V23" s="45">
        <v>1200</v>
      </c>
      <c r="W23" s="45">
        <v>0</v>
      </c>
      <c r="X23" s="45">
        <v>0</v>
      </c>
      <c r="Y23" s="94">
        <v>0</v>
      </c>
    </row>
    <row r="24" spans="1:25" ht="10.75" customHeight="1">
      <c r="A24" s="220"/>
      <c r="B24" s="38" t="s">
        <v>775</v>
      </c>
      <c r="C24" s="38">
        <v>28000</v>
      </c>
      <c r="D24" s="45">
        <v>21410.1695833333</v>
      </c>
      <c r="E24" s="112">
        <v>0.50631139999999997</v>
      </c>
      <c r="F24" s="45" t="s">
        <v>83</v>
      </c>
      <c r="G24" s="220"/>
      <c r="H24" s="38" t="s">
        <v>77</v>
      </c>
      <c r="I24" s="95">
        <v>153.22999999999999</v>
      </c>
      <c r="J24" s="94">
        <v>64.22</v>
      </c>
      <c r="K24" s="94">
        <v>89.01</v>
      </c>
      <c r="L24" s="94">
        <v>212.84444444444401</v>
      </c>
      <c r="M24" s="38" t="s">
        <v>98</v>
      </c>
      <c r="N24" s="45">
        <v>180</v>
      </c>
      <c r="O24" s="45">
        <v>86.463750000000005</v>
      </c>
      <c r="P24" s="45">
        <v>0</v>
      </c>
      <c r="Q24" s="94">
        <v>86.463750000000005</v>
      </c>
      <c r="R24" s="45">
        <v>120</v>
      </c>
      <c r="S24" s="45">
        <v>89.711250000000007</v>
      </c>
      <c r="T24" s="45">
        <v>91.295416666666696</v>
      </c>
      <c r="U24" s="94">
        <v>-1.5841666666666701</v>
      </c>
      <c r="V24" s="45"/>
      <c r="W24" s="45">
        <v>43.11</v>
      </c>
      <c r="X24" s="45">
        <v>0.47791666666666699</v>
      </c>
      <c r="Y24" s="94">
        <v>42.632083333333298</v>
      </c>
    </row>
    <row r="25" spans="1:25" ht="10.75" customHeight="1">
      <c r="A25" s="220"/>
      <c r="B25" s="38" t="s">
        <v>776</v>
      </c>
      <c r="C25" s="38">
        <v>20000</v>
      </c>
      <c r="D25" s="45">
        <v>10992.5370833333</v>
      </c>
      <c r="E25" s="112">
        <v>0.4507313</v>
      </c>
      <c r="F25" s="45" t="s">
        <v>83</v>
      </c>
      <c r="G25" s="220"/>
      <c r="H25" s="38" t="s">
        <v>79</v>
      </c>
      <c r="I25" s="95">
        <v>9.98</v>
      </c>
      <c r="J25" s="94">
        <v>13.7</v>
      </c>
      <c r="K25" s="94">
        <v>-3.72</v>
      </c>
      <c r="L25" s="94">
        <v>13.46</v>
      </c>
      <c r="M25" s="38" t="s">
        <v>100</v>
      </c>
      <c r="N25" s="45">
        <v>50</v>
      </c>
      <c r="O25" s="124">
        <v>73.556250000000006</v>
      </c>
      <c r="P25" s="45">
        <v>73.513750000000002</v>
      </c>
      <c r="Q25" s="94">
        <v>4.2500000000000003E-2</v>
      </c>
      <c r="R25" s="45">
        <v>300</v>
      </c>
      <c r="S25" s="45">
        <v>0</v>
      </c>
      <c r="T25" s="45">
        <v>0</v>
      </c>
      <c r="U25" s="94">
        <v>0</v>
      </c>
      <c r="V25" s="45"/>
      <c r="W25" s="45">
        <v>0</v>
      </c>
      <c r="X25" s="45">
        <v>0</v>
      </c>
      <c r="Y25" s="94">
        <v>0</v>
      </c>
    </row>
    <row r="26" spans="1:25" ht="10.75" customHeight="1">
      <c r="A26" s="220"/>
      <c r="B26" s="38" t="s">
        <v>777</v>
      </c>
      <c r="C26" s="38">
        <v>4000</v>
      </c>
      <c r="D26" s="45">
        <v>2993.335</v>
      </c>
      <c r="E26" s="112">
        <v>0.50453789999999998</v>
      </c>
      <c r="F26" s="45" t="s">
        <v>83</v>
      </c>
      <c r="G26" s="220"/>
      <c r="H26" s="38" t="s">
        <v>81</v>
      </c>
      <c r="I26" s="97">
        <v>66.11</v>
      </c>
      <c r="J26" s="94">
        <v>76.25</v>
      </c>
      <c r="K26" s="94">
        <v>-10.14</v>
      </c>
      <c r="L26" s="94">
        <v>77.735555555555607</v>
      </c>
      <c r="M26" s="38" t="s">
        <v>102</v>
      </c>
      <c r="N26" s="45">
        <v>300</v>
      </c>
      <c r="O26" s="45">
        <v>0</v>
      </c>
      <c r="P26" s="45">
        <v>0</v>
      </c>
      <c r="Q26" s="94">
        <v>0</v>
      </c>
      <c r="R26" s="45">
        <v>1200</v>
      </c>
      <c r="S26" s="45">
        <v>1139.30708333333</v>
      </c>
      <c r="T26" s="45">
        <v>1144.2787499999999</v>
      </c>
      <c r="U26" s="94">
        <v>-4.9716666666666702</v>
      </c>
      <c r="V26" s="45"/>
      <c r="W26" s="45">
        <v>0</v>
      </c>
      <c r="X26" s="45">
        <v>0</v>
      </c>
      <c r="Y26" s="94">
        <v>0</v>
      </c>
    </row>
    <row r="27" spans="1:25" ht="10.75" customHeight="1">
      <c r="A27" s="220" t="s">
        <v>778</v>
      </c>
      <c r="B27" s="40" t="s">
        <v>715</v>
      </c>
      <c r="C27" s="40" t="s">
        <v>4</v>
      </c>
      <c r="D27" s="40" t="s">
        <v>332</v>
      </c>
      <c r="E27" s="40" t="s">
        <v>716</v>
      </c>
      <c r="F27" s="40" t="s">
        <v>774</v>
      </c>
      <c r="G27" s="220"/>
      <c r="H27" s="38" t="s">
        <v>779</v>
      </c>
      <c r="I27" s="94">
        <v>101.39</v>
      </c>
      <c r="J27" s="94">
        <v>102.98</v>
      </c>
      <c r="K27" s="94">
        <v>-1.59</v>
      </c>
      <c r="L27" s="94">
        <v>100.430740740741</v>
      </c>
      <c r="M27" s="38" t="s">
        <v>104</v>
      </c>
      <c r="N27" s="45">
        <v>680</v>
      </c>
      <c r="O27" s="45">
        <v>663.27250000000004</v>
      </c>
      <c r="P27" s="45">
        <v>714.73374999999999</v>
      </c>
      <c r="Q27" s="94">
        <v>-51.46125</v>
      </c>
      <c r="R27" s="45">
        <v>500</v>
      </c>
      <c r="S27" s="45">
        <v>460.368333333333</v>
      </c>
      <c r="T27" s="45">
        <v>458.245833333333</v>
      </c>
      <c r="U27" s="94">
        <v>2.1225000000000001</v>
      </c>
      <c r="V27" s="45">
        <v>360</v>
      </c>
      <c r="W27" s="116">
        <v>374.02166666666699</v>
      </c>
      <c r="X27" s="45">
        <v>374.78416666666698</v>
      </c>
      <c r="Y27" s="94">
        <v>-0.76249999999999996</v>
      </c>
    </row>
    <row r="28" spans="1:25" ht="10.75" customHeight="1">
      <c r="A28" s="220"/>
      <c r="B28" s="38" t="s">
        <v>780</v>
      </c>
      <c r="C28" s="95">
        <v>673.56687899999997</v>
      </c>
      <c r="D28" s="94">
        <v>580.94695000000002</v>
      </c>
      <c r="E28" s="94">
        <v>92.619928999999999</v>
      </c>
      <c r="F28" s="94">
        <v>671.53076388888906</v>
      </c>
      <c r="G28" s="220"/>
      <c r="H28" s="38" t="s">
        <v>94</v>
      </c>
      <c r="I28" s="94">
        <v>41.1</v>
      </c>
      <c r="J28" s="94">
        <v>40.159999999999997</v>
      </c>
      <c r="K28" s="94">
        <v>0.94</v>
      </c>
      <c r="L28" s="94">
        <v>37.6714814814815</v>
      </c>
      <c r="M28" s="38" t="s">
        <v>106</v>
      </c>
      <c r="N28" s="45">
        <v>1430</v>
      </c>
      <c r="O28" s="116">
        <v>1444.0520833333301</v>
      </c>
      <c r="P28" s="45">
        <v>1450.6954166666701</v>
      </c>
      <c r="Q28" s="94">
        <v>-6.64333333333333</v>
      </c>
      <c r="R28" s="45">
        <v>300</v>
      </c>
      <c r="S28" s="124">
        <v>338.20625000000001</v>
      </c>
      <c r="T28" s="45">
        <v>335.45041666666702</v>
      </c>
      <c r="U28" s="94">
        <v>2.7558333333333298</v>
      </c>
      <c r="V28" s="45">
        <v>60</v>
      </c>
      <c r="W28" s="45">
        <v>42.514583333333299</v>
      </c>
      <c r="X28" s="45">
        <v>43.942916666666697</v>
      </c>
      <c r="Y28" s="94">
        <v>-1.4283333333333299</v>
      </c>
    </row>
    <row r="29" spans="1:25" ht="10.75" customHeight="1">
      <c r="A29" s="220"/>
      <c r="B29" s="38" t="s">
        <v>781</v>
      </c>
      <c r="C29" s="94">
        <v>390.26</v>
      </c>
      <c r="D29" s="94">
        <v>351.51</v>
      </c>
      <c r="E29" s="94">
        <v>0</v>
      </c>
      <c r="F29" s="94">
        <v>532.67444444444402</v>
      </c>
      <c r="G29" s="220"/>
      <c r="H29" s="38" t="s">
        <v>101</v>
      </c>
      <c r="I29" s="94">
        <v>152.11000000000001</v>
      </c>
      <c r="J29" s="94">
        <v>167.9</v>
      </c>
      <c r="K29" s="94">
        <v>-15.79</v>
      </c>
      <c r="L29" s="94">
        <v>205.73666666666699</v>
      </c>
      <c r="M29" s="38" t="s">
        <v>782</v>
      </c>
      <c r="N29" s="45">
        <v>15</v>
      </c>
      <c r="O29" s="116">
        <v>16.286249999999999</v>
      </c>
      <c r="P29" s="45">
        <v>16.5625</v>
      </c>
      <c r="Q29" s="94">
        <v>-0.27625</v>
      </c>
      <c r="R29" s="45">
        <v>150</v>
      </c>
      <c r="S29" s="45">
        <v>123.791666666667</v>
      </c>
      <c r="T29" s="45">
        <v>123.8125</v>
      </c>
      <c r="U29" s="94">
        <v>-2.0833333333333301E-2</v>
      </c>
      <c r="V29" s="45"/>
      <c r="W29" s="45"/>
      <c r="X29" s="45"/>
      <c r="Y29" s="94"/>
    </row>
    <row r="30" spans="1:25" ht="10.75" customHeight="1">
      <c r="A30" s="220"/>
      <c r="B30" s="38" t="s">
        <v>783</v>
      </c>
      <c r="C30" s="94"/>
      <c r="D30" s="94"/>
      <c r="E30" s="94">
        <v>54.24</v>
      </c>
      <c r="F30" s="94">
        <v>0</v>
      </c>
      <c r="G30" s="220"/>
      <c r="H30" s="38" t="s">
        <v>103</v>
      </c>
      <c r="I30" s="94">
        <v>75.33</v>
      </c>
      <c r="J30" s="94">
        <v>75.92</v>
      </c>
      <c r="K30" s="94">
        <v>-0.59</v>
      </c>
      <c r="L30" s="94">
        <v>80.754444444444403</v>
      </c>
      <c r="M30" s="38" t="s">
        <v>674</v>
      </c>
      <c r="N30" s="45">
        <v>25</v>
      </c>
      <c r="O30" s="45">
        <v>10.7083333333333</v>
      </c>
      <c r="P30" s="45">
        <v>10.7395833333333</v>
      </c>
      <c r="Q30" s="94">
        <v>-3.125E-2</v>
      </c>
      <c r="R30" s="45">
        <v>260</v>
      </c>
      <c r="S30" s="45">
        <v>168.166666666667</v>
      </c>
      <c r="T30" s="45">
        <v>168.166666666667</v>
      </c>
      <c r="U30" s="94">
        <v>0</v>
      </c>
      <c r="V30" s="45"/>
      <c r="W30" s="94">
        <v>0</v>
      </c>
      <c r="X30" s="94">
        <v>0</v>
      </c>
      <c r="Y30" s="94">
        <v>0</v>
      </c>
    </row>
    <row r="31" spans="1:25" ht="10.75" customHeight="1">
      <c r="A31" s="220"/>
      <c r="B31" s="38" t="s">
        <v>784</v>
      </c>
      <c r="C31" s="95">
        <v>288.39999999999998</v>
      </c>
      <c r="D31" s="94">
        <v>234.16</v>
      </c>
      <c r="E31" s="94">
        <v>54.24</v>
      </c>
      <c r="F31" s="94">
        <v>147.106666666667</v>
      </c>
      <c r="G31" s="220"/>
      <c r="H31" s="38" t="s">
        <v>78</v>
      </c>
      <c r="I31" s="94">
        <v>8.5500000000000007</v>
      </c>
      <c r="J31" s="94">
        <v>8.3190000000000008</v>
      </c>
      <c r="K31" s="94">
        <v>0.23100000000000001</v>
      </c>
      <c r="L31" s="94">
        <v>8.3384444444444394</v>
      </c>
      <c r="M31" s="38" t="s">
        <v>785</v>
      </c>
      <c r="N31" s="45">
        <v>40</v>
      </c>
      <c r="O31" s="45">
        <v>30</v>
      </c>
      <c r="P31" s="45">
        <v>31</v>
      </c>
      <c r="Q31" s="94">
        <v>-1</v>
      </c>
      <c r="R31" s="45">
        <v>100</v>
      </c>
      <c r="S31" s="45">
        <v>80</v>
      </c>
      <c r="T31" s="45">
        <v>82</v>
      </c>
      <c r="U31" s="94">
        <v>-2</v>
      </c>
      <c r="V31" s="38"/>
      <c r="W31" s="45"/>
      <c r="X31" s="38"/>
      <c r="Y31" s="94"/>
    </row>
    <row r="32" spans="1:25" ht="10.75" customHeight="1">
      <c r="A32" s="220" t="s">
        <v>786</v>
      </c>
      <c r="B32" s="38" t="s">
        <v>715</v>
      </c>
      <c r="C32" s="38" t="s">
        <v>4</v>
      </c>
      <c r="D32" s="38" t="s">
        <v>332</v>
      </c>
      <c r="E32" s="38" t="s">
        <v>716</v>
      </c>
      <c r="F32" s="38" t="s">
        <v>774</v>
      </c>
      <c r="G32" s="220"/>
      <c r="H32" s="38" t="s">
        <v>783</v>
      </c>
      <c r="I32" s="94">
        <v>0</v>
      </c>
      <c r="J32" s="94">
        <v>0</v>
      </c>
      <c r="K32" s="94">
        <v>0</v>
      </c>
      <c r="L32" s="94">
        <v>0</v>
      </c>
      <c r="M32" s="38" t="s">
        <v>787</v>
      </c>
      <c r="N32" s="86"/>
      <c r="O32" s="45">
        <v>0</v>
      </c>
      <c r="P32" s="45">
        <v>0</v>
      </c>
      <c r="Q32" s="94">
        <v>0</v>
      </c>
      <c r="R32" s="45">
        <v>60</v>
      </c>
      <c r="S32" s="45">
        <v>39.783333333333303</v>
      </c>
      <c r="T32" s="45">
        <v>39.93</v>
      </c>
      <c r="U32" s="94">
        <v>-0.146666666666667</v>
      </c>
      <c r="V32" s="45"/>
      <c r="W32" s="45"/>
      <c r="X32" s="38"/>
      <c r="Y32" s="94"/>
    </row>
    <row r="33" spans="1:25" ht="10.5" customHeight="1">
      <c r="A33" s="220"/>
      <c r="B33" s="38" t="s">
        <v>77</v>
      </c>
      <c r="C33" s="38"/>
      <c r="D33" s="94"/>
      <c r="E33" s="94"/>
      <c r="F33" s="94"/>
      <c r="G33" s="220"/>
      <c r="H33" s="38" t="s">
        <v>781</v>
      </c>
      <c r="I33" s="94">
        <v>46.92</v>
      </c>
      <c r="J33" s="94">
        <v>43.82</v>
      </c>
      <c r="K33" s="94">
        <v>3.1</v>
      </c>
      <c r="L33" s="94">
        <v>33.2959259259259</v>
      </c>
      <c r="M33" s="38" t="s">
        <v>756</v>
      </c>
      <c r="N33" s="45"/>
      <c r="O33" s="45"/>
      <c r="P33" s="45"/>
      <c r="Q33" s="94"/>
      <c r="R33" s="45">
        <v>300</v>
      </c>
      <c r="S33" s="45">
        <v>132.97208333333299</v>
      </c>
      <c r="T33" s="45">
        <v>140.23291666666699</v>
      </c>
      <c r="U33" s="94">
        <v>-7.2608333333333297</v>
      </c>
      <c r="V33" s="38">
        <v>1800</v>
      </c>
      <c r="W33" s="45"/>
      <c r="X33" s="38"/>
      <c r="Y33" s="94"/>
    </row>
    <row r="34" spans="1:25" ht="10.5" customHeight="1">
      <c r="A34" s="220"/>
      <c r="B34" s="38" t="s">
        <v>779</v>
      </c>
      <c r="C34" s="94">
        <v>0</v>
      </c>
      <c r="D34" s="94">
        <v>0</v>
      </c>
      <c r="E34" s="94">
        <v>0</v>
      </c>
      <c r="F34" s="94">
        <v>0</v>
      </c>
      <c r="G34" s="220"/>
      <c r="H34" s="38" t="s">
        <v>788</v>
      </c>
      <c r="I34" s="95">
        <v>16.059999999999999</v>
      </c>
      <c r="J34" s="94">
        <v>8.18</v>
      </c>
      <c r="K34" s="94">
        <v>7.88</v>
      </c>
      <c r="L34" s="94">
        <v>7.9185185185185203</v>
      </c>
      <c r="M34" s="38" t="s">
        <v>754</v>
      </c>
      <c r="N34" s="45">
        <v>10</v>
      </c>
      <c r="O34" s="45">
        <v>0</v>
      </c>
      <c r="P34" s="45">
        <v>0</v>
      </c>
      <c r="Q34" s="94">
        <v>0</v>
      </c>
      <c r="R34" s="45">
        <v>300</v>
      </c>
      <c r="S34" s="45">
        <v>0</v>
      </c>
      <c r="T34" s="45">
        <v>8.8475000000000001</v>
      </c>
      <c r="U34" s="94">
        <v>-8.8475000000000001</v>
      </c>
      <c r="V34" s="45">
        <v>1000</v>
      </c>
      <c r="W34" s="45">
        <v>488.40625</v>
      </c>
      <c r="X34" s="45">
        <v>493.82375000000002</v>
      </c>
      <c r="Y34" s="94">
        <v>-5.4175000000000004</v>
      </c>
    </row>
    <row r="35" spans="1:25" ht="10.75" customHeight="1">
      <c r="A35" s="220"/>
      <c r="B35" s="38" t="s">
        <v>789</v>
      </c>
      <c r="C35" s="94">
        <v>296.39999999999998</v>
      </c>
      <c r="D35" s="94">
        <v>276.99</v>
      </c>
      <c r="E35" s="94">
        <v>19.41</v>
      </c>
      <c r="F35" s="94">
        <v>293.38259259259303</v>
      </c>
      <c r="G35" s="220"/>
      <c r="H35" s="38" t="s">
        <v>790</v>
      </c>
      <c r="I35" s="95">
        <v>46.78</v>
      </c>
      <c r="J35" s="94">
        <v>37.08</v>
      </c>
      <c r="K35" s="94">
        <v>9.6999999999999993</v>
      </c>
      <c r="L35" s="94">
        <v>38.884444444444398</v>
      </c>
      <c r="M35" s="38" t="s">
        <v>791</v>
      </c>
      <c r="N35" s="45"/>
      <c r="O35" s="45">
        <v>0</v>
      </c>
      <c r="P35" s="45">
        <v>0</v>
      </c>
      <c r="Q35" s="94">
        <v>0</v>
      </c>
      <c r="R35" s="45">
        <v>120</v>
      </c>
      <c r="S35" s="45">
        <v>2.17875</v>
      </c>
      <c r="T35" s="45">
        <v>2.21708333333333</v>
      </c>
      <c r="U35" s="94">
        <v>-3.8333333333333303E-2</v>
      </c>
      <c r="V35" s="45"/>
      <c r="W35" s="45">
        <v>0.23125000000000001</v>
      </c>
      <c r="X35" s="45">
        <v>0.13750000000000001</v>
      </c>
      <c r="Y35" s="94">
        <v>9.375E-2</v>
      </c>
    </row>
    <row r="36" spans="1:25" ht="10.5" customHeight="1">
      <c r="A36" s="220"/>
      <c r="B36" s="38" t="s">
        <v>792</v>
      </c>
      <c r="C36" s="94">
        <v>71.28</v>
      </c>
      <c r="D36" s="94">
        <v>71.28</v>
      </c>
      <c r="E36" s="94">
        <v>0</v>
      </c>
      <c r="F36" s="94">
        <v>55.928888888888899</v>
      </c>
      <c r="G36" s="220"/>
      <c r="H36" s="38" t="s">
        <v>793</v>
      </c>
      <c r="I36" s="94">
        <v>0</v>
      </c>
      <c r="J36" s="94">
        <v>0</v>
      </c>
      <c r="K36" s="94">
        <v>0</v>
      </c>
      <c r="L36" s="94">
        <v>0</v>
      </c>
      <c r="M36" s="38" t="s">
        <v>794</v>
      </c>
      <c r="N36" s="45">
        <v>1300</v>
      </c>
      <c r="O36" s="124">
        <v>1463.3670833333299</v>
      </c>
      <c r="P36" s="45">
        <v>1436.36375</v>
      </c>
      <c r="Q36" s="94">
        <v>27.003333333333298</v>
      </c>
      <c r="R36" s="45">
        <v>200</v>
      </c>
      <c r="S36" s="45">
        <v>47.019166666666699</v>
      </c>
      <c r="T36" s="45">
        <v>47.754583333333301</v>
      </c>
      <c r="U36" s="94">
        <v>-0.73541666666666705</v>
      </c>
      <c r="V36" s="45"/>
      <c r="W36" s="45"/>
      <c r="X36" s="38"/>
      <c r="Y36" s="94"/>
    </row>
    <row r="37" spans="1:25" ht="10.5" customHeight="1">
      <c r="A37" s="220"/>
      <c r="B37" s="38" t="s">
        <v>795</v>
      </c>
      <c r="C37" s="96">
        <v>70.239999999999995</v>
      </c>
      <c r="D37" s="94">
        <v>17.2</v>
      </c>
      <c r="E37" s="94">
        <v>53.04</v>
      </c>
      <c r="F37" s="94">
        <v>145.68925925925899</v>
      </c>
      <c r="G37" s="220"/>
      <c r="H37" s="38" t="s">
        <v>796</v>
      </c>
      <c r="I37" s="97">
        <v>48.96</v>
      </c>
      <c r="J37" s="94">
        <v>44.22</v>
      </c>
      <c r="K37" s="94">
        <v>4.74</v>
      </c>
      <c r="L37" s="94">
        <v>40.872592592592603</v>
      </c>
      <c r="M37" s="59" t="s">
        <v>797</v>
      </c>
      <c r="N37" s="103">
        <v>6379.9</v>
      </c>
      <c r="O37" s="103">
        <v>5551.79</v>
      </c>
      <c r="P37" s="103">
        <v>5462.0587500000001</v>
      </c>
      <c r="Q37" s="99">
        <v>99.471249999999998</v>
      </c>
      <c r="R37" s="103">
        <v>13460</v>
      </c>
      <c r="S37" s="103">
        <v>11357.764999999999</v>
      </c>
      <c r="T37" s="103">
        <v>11449.8475</v>
      </c>
      <c r="U37" s="99">
        <v>-92.082499999999996</v>
      </c>
      <c r="V37" s="103">
        <v>23500</v>
      </c>
      <c r="W37" s="103">
        <v>14572.9104166667</v>
      </c>
      <c r="X37" s="103">
        <v>14530.934166666701</v>
      </c>
      <c r="Y37" s="99">
        <v>41.97625</v>
      </c>
    </row>
    <row r="38" spans="1:25" ht="10.5" customHeight="1">
      <c r="A38" s="220"/>
      <c r="B38" s="38" t="s">
        <v>87</v>
      </c>
      <c r="C38" s="94">
        <v>332.5</v>
      </c>
      <c r="D38" s="94">
        <v>365.02</v>
      </c>
      <c r="E38" s="94">
        <v>-32.520000000000003</v>
      </c>
      <c r="F38" s="94">
        <v>446.51111111111101</v>
      </c>
      <c r="G38" s="220"/>
      <c r="H38" s="38" t="s">
        <v>106</v>
      </c>
      <c r="I38" s="94">
        <v>0</v>
      </c>
      <c r="J38" s="94">
        <v>0</v>
      </c>
      <c r="K38" s="94">
        <v>0</v>
      </c>
      <c r="L38" s="94">
        <v>0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 ht="10.5" customHeight="1">
      <c r="A39" s="220"/>
      <c r="B39" s="38" t="s">
        <v>81</v>
      </c>
      <c r="C39" s="95">
        <v>8.2899999999999991</v>
      </c>
      <c r="D39" s="94">
        <v>9.3000000000000007</v>
      </c>
      <c r="E39" s="94">
        <v>-1.01</v>
      </c>
      <c r="F39" s="94">
        <v>13.1637037037037</v>
      </c>
      <c r="G39" s="220"/>
      <c r="H39" s="70" t="s">
        <v>104</v>
      </c>
      <c r="I39" s="97">
        <v>9.5988621999999992</v>
      </c>
      <c r="J39" s="94">
        <v>10.810001099999999</v>
      </c>
      <c r="K39" s="94">
        <v>-1.2111388999999999</v>
      </c>
      <c r="L39" s="94">
        <v>14.398729296296301</v>
      </c>
      <c r="M39" s="220" t="s">
        <v>798</v>
      </c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</row>
    <row r="40" spans="1:25" ht="10.5" customHeight="1">
      <c r="A40" s="220"/>
      <c r="B40" s="38" t="s">
        <v>799</v>
      </c>
      <c r="C40" s="97">
        <v>14.18</v>
      </c>
      <c r="D40" s="94">
        <v>20.65</v>
      </c>
      <c r="E40" s="94">
        <v>-6.47</v>
      </c>
      <c r="F40" s="94">
        <v>29.1055555555556</v>
      </c>
      <c r="G40" s="220"/>
      <c r="H40" s="38" t="s">
        <v>754</v>
      </c>
      <c r="I40" s="94">
        <v>34.31</v>
      </c>
      <c r="J40" s="94">
        <v>35.71</v>
      </c>
      <c r="K40" s="94">
        <v>-1.4</v>
      </c>
      <c r="L40" s="94">
        <v>3.3618518518518501</v>
      </c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</row>
    <row r="41" spans="1:25" ht="10.5" customHeight="1">
      <c r="A41" s="220"/>
      <c r="B41" s="38" t="s">
        <v>94</v>
      </c>
      <c r="C41" s="95">
        <v>0.74</v>
      </c>
      <c r="D41" s="94">
        <v>0.65</v>
      </c>
      <c r="E41" s="94">
        <v>0.09</v>
      </c>
      <c r="F41" s="94">
        <v>0.60259259259259301</v>
      </c>
      <c r="G41" s="220"/>
      <c r="H41" s="38" t="s">
        <v>800</v>
      </c>
      <c r="I41" s="97">
        <v>0.19</v>
      </c>
      <c r="J41" s="94">
        <v>0.17</v>
      </c>
      <c r="K41" s="94">
        <v>0.02</v>
      </c>
      <c r="L41" s="94">
        <v>0.18333333333333299</v>
      </c>
      <c r="M41" s="220" t="s">
        <v>64</v>
      </c>
      <c r="N41" s="220" t="s">
        <v>460</v>
      </c>
      <c r="O41" s="220"/>
      <c r="P41" s="220"/>
      <c r="Q41" s="220"/>
      <c r="R41" s="220" t="s">
        <v>465</v>
      </c>
      <c r="S41" s="220"/>
      <c r="T41" s="220"/>
      <c r="U41" s="220"/>
      <c r="V41" s="220" t="s">
        <v>710</v>
      </c>
      <c r="W41" s="220"/>
      <c r="X41" s="220"/>
      <c r="Y41" s="220"/>
    </row>
    <row r="42" spans="1:25" ht="10.5" customHeight="1">
      <c r="A42" s="220"/>
      <c r="B42" s="38" t="s">
        <v>801</v>
      </c>
      <c r="C42" s="97">
        <v>16.23</v>
      </c>
      <c r="D42" s="94">
        <v>11.8</v>
      </c>
      <c r="E42" s="94">
        <v>4.43</v>
      </c>
      <c r="F42" s="94">
        <v>11.8333333333333</v>
      </c>
      <c r="G42" s="220"/>
      <c r="H42" s="38" t="s">
        <v>674</v>
      </c>
      <c r="I42" s="94">
        <v>3.2471999999999999</v>
      </c>
      <c r="J42" s="94">
        <v>3.3176000000000001</v>
      </c>
      <c r="K42" s="94">
        <v>-7.0400000000000004E-2</v>
      </c>
      <c r="L42" s="94">
        <v>3.6035796296296301</v>
      </c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</row>
    <row r="43" spans="1:25" ht="10.5" customHeight="1">
      <c r="A43" s="220"/>
      <c r="B43" s="51" t="s">
        <v>674</v>
      </c>
      <c r="C43" s="94">
        <v>217.73</v>
      </c>
      <c r="D43" s="94">
        <v>216.67</v>
      </c>
      <c r="E43" s="94">
        <v>1.06</v>
      </c>
      <c r="F43" s="94">
        <v>218.412222222222</v>
      </c>
      <c r="G43" s="220"/>
      <c r="H43" s="38" t="s">
        <v>785</v>
      </c>
      <c r="I43" s="94">
        <v>0</v>
      </c>
      <c r="J43" s="94">
        <v>0</v>
      </c>
      <c r="K43" s="94">
        <v>0</v>
      </c>
      <c r="L43" s="94">
        <v>0</v>
      </c>
      <c r="M43" s="220"/>
      <c r="N43" s="40" t="s">
        <v>39</v>
      </c>
      <c r="O43" s="40" t="s">
        <v>4</v>
      </c>
      <c r="P43" s="40" t="s">
        <v>332</v>
      </c>
      <c r="Q43" s="40" t="s">
        <v>716</v>
      </c>
      <c r="R43" s="40" t="s">
        <v>39</v>
      </c>
      <c r="S43" s="40" t="s">
        <v>4</v>
      </c>
      <c r="T43" s="40" t="s">
        <v>332</v>
      </c>
      <c r="U43" s="40" t="s">
        <v>716</v>
      </c>
      <c r="V43" s="40" t="s">
        <v>39</v>
      </c>
      <c r="W43" s="40" t="s">
        <v>4</v>
      </c>
      <c r="X43" s="40" t="s">
        <v>332</v>
      </c>
      <c r="Y43" s="40" t="s">
        <v>716</v>
      </c>
    </row>
    <row r="44" spans="1:25" ht="10.5" customHeight="1">
      <c r="A44" s="220"/>
      <c r="B44" s="38" t="s">
        <v>802</v>
      </c>
      <c r="C44" s="95">
        <v>670.57</v>
      </c>
      <c r="D44" s="94">
        <v>603.44000000000005</v>
      </c>
      <c r="E44" s="94">
        <v>67.13</v>
      </c>
      <c r="F44" s="94">
        <v>758.13703703703698</v>
      </c>
      <c r="G44" s="220"/>
      <c r="H44" s="38" t="s">
        <v>803</v>
      </c>
      <c r="I44" s="97">
        <v>810.61886219999997</v>
      </c>
      <c r="J44" s="94">
        <v>729.43900110000004</v>
      </c>
      <c r="K44" s="94">
        <v>81.179861099999997</v>
      </c>
      <c r="L44" s="94">
        <v>875.88717374074099</v>
      </c>
      <c r="M44" s="38" t="s">
        <v>77</v>
      </c>
      <c r="N44" s="38">
        <v>5850</v>
      </c>
      <c r="O44" s="45">
        <v>5581.7641666666696</v>
      </c>
      <c r="P44" s="45">
        <v>5434.9520833333299</v>
      </c>
      <c r="Q44" s="94">
        <v>146.81208333333299</v>
      </c>
      <c r="R44" s="45"/>
      <c r="S44" s="45"/>
      <c r="T44" s="45"/>
      <c r="U44" s="94"/>
      <c r="V44" s="45">
        <v>30</v>
      </c>
      <c r="W44" s="127">
        <v>13.9345833333333</v>
      </c>
      <c r="X44" s="45">
        <v>18.169166666666701</v>
      </c>
      <c r="Y44" s="94">
        <v>-4.2345833333333296</v>
      </c>
    </row>
    <row r="45" spans="1:25" ht="10.25" customHeight="1">
      <c r="A45" s="220" t="s">
        <v>804</v>
      </c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38" t="s">
        <v>79</v>
      </c>
      <c r="N45" s="38">
        <v>100</v>
      </c>
      <c r="O45" s="45">
        <v>83.419166666666698</v>
      </c>
      <c r="P45" s="45">
        <v>83.424166666666693</v>
      </c>
      <c r="Q45" s="94">
        <v>-5.0000000000000001E-3</v>
      </c>
      <c r="R45" s="45">
        <v>13</v>
      </c>
      <c r="S45" s="45">
        <v>9.6737500000000001</v>
      </c>
      <c r="T45" s="45">
        <v>9.56666666666667</v>
      </c>
      <c r="U45" s="94">
        <v>0.107083333333333</v>
      </c>
      <c r="V45" s="45">
        <v>15</v>
      </c>
      <c r="W45" s="128">
        <v>0</v>
      </c>
      <c r="X45" s="45">
        <v>0</v>
      </c>
      <c r="Y45" s="94">
        <v>0</v>
      </c>
    </row>
    <row r="46" spans="1:25" ht="10.5" customHeight="1">
      <c r="A46" s="220" t="s">
        <v>805</v>
      </c>
      <c r="B46" s="38" t="s">
        <v>64</v>
      </c>
      <c r="C46" s="38" t="s">
        <v>6</v>
      </c>
      <c r="D46" s="37" t="s">
        <v>806</v>
      </c>
      <c r="E46" s="38" t="s">
        <v>807</v>
      </c>
      <c r="F46" s="38" t="s">
        <v>716</v>
      </c>
      <c r="G46" s="220" t="s">
        <v>808</v>
      </c>
      <c r="H46" s="38" t="s">
        <v>64</v>
      </c>
      <c r="I46" s="38" t="s">
        <v>806</v>
      </c>
      <c r="J46" s="38" t="s">
        <v>807</v>
      </c>
      <c r="K46" s="38" t="s">
        <v>716</v>
      </c>
      <c r="L46" s="38"/>
      <c r="M46" s="38" t="s">
        <v>81</v>
      </c>
      <c r="N46" s="38">
        <v>500</v>
      </c>
      <c r="O46" s="45">
        <v>418.16208333333299</v>
      </c>
      <c r="P46" s="45">
        <v>418.18208333333303</v>
      </c>
      <c r="Q46" s="94">
        <v>-0.02</v>
      </c>
      <c r="R46" s="45"/>
      <c r="S46" s="45">
        <v>9.83958333333333</v>
      </c>
      <c r="T46" s="45">
        <v>9.7287499999999998</v>
      </c>
      <c r="U46" s="94">
        <v>0.11083333333333301</v>
      </c>
      <c r="V46" s="45"/>
      <c r="W46" s="45"/>
      <c r="X46" s="45"/>
      <c r="Y46" s="94"/>
    </row>
    <row r="47" spans="1:25" ht="10.5" customHeight="1">
      <c r="A47" s="220"/>
      <c r="B47" s="199" t="s">
        <v>101</v>
      </c>
      <c r="C47" s="38" t="s">
        <v>494</v>
      </c>
      <c r="D47" s="112">
        <v>6.9271062916666697</v>
      </c>
      <c r="E47" s="112">
        <v>7.4837976250000002</v>
      </c>
      <c r="F47" s="112">
        <v>-0.55669133333333298</v>
      </c>
      <c r="G47" s="220"/>
      <c r="H47" s="38" t="s">
        <v>79</v>
      </c>
      <c r="I47" s="125">
        <v>0.26109662500000003</v>
      </c>
      <c r="J47" s="112">
        <v>0.222956458333333</v>
      </c>
      <c r="K47" s="112">
        <v>3.8140166666666697E-2</v>
      </c>
      <c r="L47" s="45"/>
      <c r="M47" s="38" t="s">
        <v>84</v>
      </c>
      <c r="N47" s="38">
        <v>3000</v>
      </c>
      <c r="O47" s="45">
        <v>2570.0491666666699</v>
      </c>
      <c r="P47" s="45">
        <v>2548.4899999999998</v>
      </c>
      <c r="Q47" s="94">
        <v>21.559166666666702</v>
      </c>
      <c r="R47" s="45">
        <v>500</v>
      </c>
      <c r="S47" s="45">
        <v>407.42708333333297</v>
      </c>
      <c r="T47" s="45">
        <v>416.26041666666703</v>
      </c>
      <c r="U47" s="94">
        <v>-8.8333333333333304</v>
      </c>
      <c r="V47" s="45">
        <v>20</v>
      </c>
      <c r="W47" s="45">
        <v>24.622551999999999</v>
      </c>
      <c r="X47" s="45">
        <v>24.554379999999998</v>
      </c>
      <c r="Y47" s="94">
        <v>6.8171999999999996E-2</v>
      </c>
    </row>
    <row r="48" spans="1:25" ht="10.25" customHeight="1">
      <c r="A48" s="220"/>
      <c r="B48" s="199"/>
      <c r="C48" s="38" t="s">
        <v>809</v>
      </c>
      <c r="D48" s="112">
        <v>0.451011458333333</v>
      </c>
      <c r="E48" s="112">
        <v>0.46076258333333298</v>
      </c>
      <c r="F48" s="112">
        <v>-9.7511249999999994E-3</v>
      </c>
      <c r="G48" s="220"/>
      <c r="H48" s="38" t="s">
        <v>86</v>
      </c>
      <c r="I48" s="112">
        <v>3.34292083333333E-2</v>
      </c>
      <c r="J48" s="112">
        <v>3.3481916666666701E-2</v>
      </c>
      <c r="K48" s="112">
        <v>-5.2708333333333298E-5</v>
      </c>
      <c r="L48" s="45"/>
      <c r="M48" s="38" t="s">
        <v>86</v>
      </c>
      <c r="N48" s="38">
        <v>580</v>
      </c>
      <c r="O48" s="45">
        <v>258.70666666666699</v>
      </c>
      <c r="P48" s="45">
        <v>258.81541666666698</v>
      </c>
      <c r="Q48" s="94">
        <v>-0.10875</v>
      </c>
      <c r="R48" s="45"/>
      <c r="S48" s="45"/>
      <c r="T48" s="45"/>
      <c r="U48" s="94"/>
      <c r="V48" s="45"/>
      <c r="W48" s="45"/>
      <c r="X48" s="45"/>
      <c r="Y48" s="94"/>
    </row>
    <row r="49" spans="1:25" ht="10.5" customHeight="1">
      <c r="A49" s="220"/>
      <c r="B49" s="199"/>
      <c r="C49" s="38" t="s">
        <v>810</v>
      </c>
      <c r="D49" s="112">
        <v>0.65664887500000002</v>
      </c>
      <c r="E49" s="112">
        <v>0.71033325000000003</v>
      </c>
      <c r="F49" s="112">
        <v>-5.3684374999999999E-2</v>
      </c>
      <c r="G49" s="220"/>
      <c r="H49" s="38" t="s">
        <v>94</v>
      </c>
      <c r="I49" s="112">
        <v>0.223598291666667</v>
      </c>
      <c r="J49" s="112">
        <v>0.222184666666667</v>
      </c>
      <c r="K49" s="112">
        <v>1.413625E-3</v>
      </c>
      <c r="L49" s="45"/>
      <c r="M49" s="38" t="s">
        <v>94</v>
      </c>
      <c r="N49" s="38">
        <v>340</v>
      </c>
      <c r="O49" s="45">
        <v>310.62291666666698</v>
      </c>
      <c r="P49" s="45">
        <v>310.57125000000002</v>
      </c>
      <c r="Q49" s="94">
        <v>5.1666666666666701E-2</v>
      </c>
      <c r="R49" s="45">
        <v>1</v>
      </c>
      <c r="S49" s="45">
        <v>0</v>
      </c>
      <c r="T49" s="45">
        <v>0</v>
      </c>
      <c r="U49" s="94">
        <v>0</v>
      </c>
      <c r="V49" s="45"/>
      <c r="W49" s="45"/>
      <c r="X49" s="45"/>
      <c r="Y49" s="94"/>
    </row>
    <row r="50" spans="1:25" ht="10.5" customHeight="1">
      <c r="A50" s="220"/>
      <c r="B50" s="199"/>
      <c r="C50" s="38" t="s">
        <v>584</v>
      </c>
      <c r="D50" s="119">
        <v>1.67481875</v>
      </c>
      <c r="E50" s="112">
        <v>1.9165791666666701</v>
      </c>
      <c r="F50" s="112">
        <v>-0.24176041666666701</v>
      </c>
      <c r="G50" s="220"/>
      <c r="H50" s="38" t="s">
        <v>97</v>
      </c>
      <c r="I50" s="112">
        <v>1.0637499999999999E-2</v>
      </c>
      <c r="J50" s="112">
        <v>1.06291666666667E-2</v>
      </c>
      <c r="K50" s="112">
        <v>8.3333333333333303E-6</v>
      </c>
      <c r="L50" s="45"/>
      <c r="M50" s="38" t="s">
        <v>97</v>
      </c>
      <c r="N50" s="38">
        <v>560</v>
      </c>
      <c r="O50" s="45">
        <v>519.66833333333295</v>
      </c>
      <c r="P50" s="45">
        <v>519.57791666666697</v>
      </c>
      <c r="Q50" s="94">
        <v>9.0416666666666701E-2</v>
      </c>
      <c r="R50" s="45">
        <v>11</v>
      </c>
      <c r="S50" s="45">
        <v>3.9775</v>
      </c>
      <c r="T50" s="45">
        <v>3.9337499999999999</v>
      </c>
      <c r="U50" s="94">
        <v>4.3749999999999997E-2</v>
      </c>
      <c r="V50" s="45"/>
      <c r="W50" s="45"/>
      <c r="X50" s="45"/>
      <c r="Y50" s="94"/>
    </row>
    <row r="51" spans="1:25" ht="10.5" customHeight="1">
      <c r="A51" s="220"/>
      <c r="B51" s="199"/>
      <c r="C51" s="38" t="s">
        <v>811</v>
      </c>
      <c r="D51" s="112">
        <v>8.855141862</v>
      </c>
      <c r="E51" s="112">
        <v>9.6411830340000009</v>
      </c>
      <c r="F51" s="112">
        <v>-0.78604117200000001</v>
      </c>
      <c r="G51" s="220"/>
      <c r="H51" s="38" t="s">
        <v>78</v>
      </c>
      <c r="I51" s="125">
        <v>2.7181458333333301E-2</v>
      </c>
      <c r="J51" s="112">
        <v>3.1189041666666702E-2</v>
      </c>
      <c r="K51" s="112">
        <v>-4.00758333333333E-3</v>
      </c>
      <c r="L51" s="45"/>
      <c r="M51" s="38" t="s">
        <v>99</v>
      </c>
      <c r="N51" s="38">
        <v>4137</v>
      </c>
      <c r="O51" s="45">
        <v>2576.6470833333301</v>
      </c>
      <c r="P51" s="45">
        <v>2061.5612500000002</v>
      </c>
      <c r="Q51" s="94">
        <v>515.08583333333297</v>
      </c>
      <c r="R51" s="45"/>
      <c r="S51" s="45"/>
      <c r="T51" s="45"/>
      <c r="U51" s="94"/>
      <c r="V51" s="45"/>
      <c r="W51" s="45"/>
      <c r="X51" s="45"/>
      <c r="Y51" s="94"/>
    </row>
    <row r="52" spans="1:25" ht="10.5" customHeight="1">
      <c r="A52" s="220"/>
      <c r="B52" s="38" t="s">
        <v>783</v>
      </c>
      <c r="C52" s="38" t="s">
        <v>812</v>
      </c>
      <c r="D52" s="112">
        <v>0</v>
      </c>
      <c r="E52" s="112">
        <v>7.0541666666666696E-5</v>
      </c>
      <c r="F52" s="112">
        <v>-7.0541666666666696E-5</v>
      </c>
      <c r="G52" s="220"/>
      <c r="H52" s="38" t="s">
        <v>801</v>
      </c>
      <c r="I52" s="112">
        <v>7.2699666666666704E-2</v>
      </c>
      <c r="J52" s="112">
        <v>7.2546583333333303E-2</v>
      </c>
      <c r="K52" s="112">
        <v>1.5308333333333301E-4</v>
      </c>
      <c r="L52" s="38"/>
      <c r="M52" s="38" t="s">
        <v>101</v>
      </c>
      <c r="N52" s="38">
        <v>7126</v>
      </c>
      <c r="O52" s="116">
        <v>7232.91791666667</v>
      </c>
      <c r="P52" s="45">
        <v>7232.75</v>
      </c>
      <c r="Q52" s="94">
        <v>0.16791666666666699</v>
      </c>
      <c r="R52" s="45">
        <v>60</v>
      </c>
      <c r="S52" s="45">
        <v>37.39</v>
      </c>
      <c r="T52" s="45">
        <v>38.508749999999999</v>
      </c>
      <c r="U52" s="94">
        <v>-1.1187499999999999</v>
      </c>
      <c r="V52" s="45"/>
      <c r="W52" s="45"/>
      <c r="X52" s="45"/>
      <c r="Y52" s="94"/>
    </row>
    <row r="53" spans="1:25" ht="10.5" customHeight="1">
      <c r="A53" s="220"/>
      <c r="B53" s="38" t="s">
        <v>781</v>
      </c>
      <c r="C53" s="38" t="s">
        <v>812</v>
      </c>
      <c r="D53" s="112">
        <v>6.2033630000000004</v>
      </c>
      <c r="E53" s="112">
        <v>6.2612517916666697</v>
      </c>
      <c r="F53" s="112">
        <v>-5.7888791666666703E-2</v>
      </c>
      <c r="G53" s="220"/>
      <c r="H53" s="38" t="s">
        <v>796</v>
      </c>
      <c r="I53" s="112">
        <v>6.4924830416666701</v>
      </c>
      <c r="J53" s="112">
        <v>7.0144985000000002</v>
      </c>
      <c r="K53" s="112">
        <v>-0.52201545833333296</v>
      </c>
      <c r="L53" s="38"/>
      <c r="M53" s="38" t="s">
        <v>103</v>
      </c>
      <c r="N53" s="38">
        <v>1312</v>
      </c>
      <c r="O53" s="45">
        <v>976.61083333333295</v>
      </c>
      <c r="P53" s="45">
        <v>976.819166666667</v>
      </c>
      <c r="Q53" s="94">
        <v>-0.20833333333333301</v>
      </c>
      <c r="R53" s="45"/>
      <c r="S53" s="45"/>
      <c r="T53" s="45"/>
      <c r="U53" s="94"/>
      <c r="V53" s="45"/>
      <c r="W53" s="45"/>
      <c r="X53" s="45"/>
      <c r="Y53" s="94"/>
    </row>
    <row r="54" spans="1:25" ht="10.5" customHeight="1">
      <c r="A54" s="220"/>
      <c r="B54" s="38" t="s">
        <v>782</v>
      </c>
      <c r="C54" s="38" t="s">
        <v>812</v>
      </c>
      <c r="D54" s="119">
        <v>1.67481875</v>
      </c>
      <c r="E54" s="112">
        <v>1.9165791666666701</v>
      </c>
      <c r="F54" s="112">
        <v>-0.24176041666666701</v>
      </c>
      <c r="G54" s="220"/>
      <c r="H54" s="38" t="s">
        <v>813</v>
      </c>
      <c r="I54" s="112">
        <v>2.4721203333333301</v>
      </c>
      <c r="J54" s="112">
        <v>2.6055262916666702</v>
      </c>
      <c r="K54" s="112">
        <v>-0.13340595833333299</v>
      </c>
      <c r="L54" s="38"/>
      <c r="M54" s="38" t="s">
        <v>105</v>
      </c>
      <c r="N54" s="38">
        <v>1310</v>
      </c>
      <c r="O54" s="45">
        <v>1040.8258333333299</v>
      </c>
      <c r="P54" s="45">
        <v>1041.50166666667</v>
      </c>
      <c r="Q54" s="94">
        <v>-0.67583333333333295</v>
      </c>
      <c r="R54" s="45"/>
      <c r="S54" s="45">
        <v>5.6250000000000001E-2</v>
      </c>
      <c r="T54" s="45">
        <v>0.04</v>
      </c>
      <c r="U54" s="94">
        <v>1.6250000000000001E-2</v>
      </c>
      <c r="V54" s="45"/>
      <c r="W54" s="45"/>
      <c r="X54" s="45"/>
      <c r="Y54" s="94"/>
    </row>
    <row r="55" spans="1:25" ht="10.5" customHeight="1">
      <c r="A55" s="220"/>
      <c r="B55" s="46"/>
      <c r="C55" s="38" t="s">
        <v>814</v>
      </c>
      <c r="D55" s="112">
        <v>14.1125774125</v>
      </c>
      <c r="E55" s="112">
        <v>14.913248820833299</v>
      </c>
      <c r="F55" s="112">
        <v>-0.80067140833333195</v>
      </c>
      <c r="G55" s="220"/>
      <c r="H55" s="38" t="s">
        <v>815</v>
      </c>
      <c r="I55" s="126">
        <v>1.1056235833333301</v>
      </c>
      <c r="J55" s="112">
        <v>1.65175758333333</v>
      </c>
      <c r="K55" s="112">
        <v>-0.54613400000000001</v>
      </c>
      <c r="L55" s="38"/>
      <c r="M55" s="38" t="s">
        <v>78</v>
      </c>
      <c r="N55" s="38">
        <v>191</v>
      </c>
      <c r="O55" s="45">
        <v>142.75208333333299</v>
      </c>
      <c r="P55" s="45">
        <v>141.65833333333299</v>
      </c>
      <c r="Q55" s="94">
        <v>1.09375</v>
      </c>
      <c r="R55" s="45"/>
      <c r="S55" s="45"/>
      <c r="T55" s="45"/>
      <c r="U55" s="94"/>
      <c r="V55" s="45"/>
      <c r="W55" s="45"/>
      <c r="X55" s="45"/>
      <c r="Y55" s="94"/>
    </row>
    <row r="56" spans="1:25" ht="10.5" customHeight="1">
      <c r="A56" s="38"/>
      <c r="B56" s="38"/>
      <c r="C56" s="38"/>
      <c r="D56" s="38"/>
      <c r="E56" s="38"/>
      <c r="F56" s="38"/>
      <c r="G56" s="220"/>
      <c r="H56" s="38" t="s">
        <v>816</v>
      </c>
      <c r="I56" s="112">
        <v>0</v>
      </c>
      <c r="J56" s="112">
        <v>0</v>
      </c>
      <c r="K56" s="112">
        <v>0</v>
      </c>
      <c r="L56" s="38"/>
      <c r="M56" s="38" t="s">
        <v>80</v>
      </c>
      <c r="N56" s="38">
        <v>127</v>
      </c>
      <c r="O56" s="45">
        <v>30.6658333333333</v>
      </c>
      <c r="P56" s="45">
        <v>30.148333333333301</v>
      </c>
      <c r="Q56" s="94">
        <v>0.51749999999999996</v>
      </c>
      <c r="R56" s="45"/>
      <c r="S56" s="45"/>
      <c r="T56" s="45"/>
      <c r="U56" s="94"/>
      <c r="V56" s="45"/>
      <c r="W56" s="45"/>
      <c r="X56" s="45"/>
      <c r="Y56" s="94"/>
    </row>
    <row r="57" spans="1:25" ht="10.5" customHeight="1">
      <c r="A57" s="38"/>
      <c r="B57" s="38"/>
      <c r="C57" s="38"/>
      <c r="D57" s="38"/>
      <c r="E57" s="38"/>
      <c r="F57" s="38"/>
      <c r="G57" s="220"/>
      <c r="H57" s="38" t="s">
        <v>106</v>
      </c>
      <c r="I57" s="112">
        <v>5.13333333333333E-3</v>
      </c>
      <c r="J57" s="112">
        <v>4.6666666666666697E-3</v>
      </c>
      <c r="K57" s="112">
        <v>4.6666666666666699E-4</v>
      </c>
      <c r="L57" s="38"/>
      <c r="M57" s="38" t="s">
        <v>82</v>
      </c>
      <c r="N57" s="38">
        <v>311</v>
      </c>
      <c r="O57" s="45">
        <v>178.50125</v>
      </c>
      <c r="P57" s="45">
        <v>178.47624999999999</v>
      </c>
      <c r="Q57" s="94">
        <v>2.5000000000000001E-2</v>
      </c>
      <c r="R57" s="45">
        <v>61</v>
      </c>
      <c r="S57" s="45">
        <v>0</v>
      </c>
      <c r="T57" s="45">
        <v>7.0833333333333304E-3</v>
      </c>
      <c r="U57" s="94">
        <v>-7.0833333333333304E-3</v>
      </c>
      <c r="V57" s="45"/>
      <c r="W57" s="45"/>
      <c r="X57" s="45"/>
      <c r="Y57" s="94"/>
    </row>
    <row r="58" spans="1:25" ht="10.5" customHeight="1">
      <c r="A58" s="38"/>
      <c r="B58" s="38"/>
      <c r="C58" s="38"/>
      <c r="D58" s="38"/>
      <c r="E58" s="38"/>
      <c r="F58" s="38"/>
      <c r="G58" s="220"/>
      <c r="H58" s="38" t="s">
        <v>817</v>
      </c>
      <c r="I58" s="112">
        <v>0.14090095833333299</v>
      </c>
      <c r="J58" s="112">
        <v>0.14936329166666701</v>
      </c>
      <c r="K58" s="112">
        <v>-8.4623333333333304E-3</v>
      </c>
      <c r="L58" s="38"/>
      <c r="M58" s="38" t="s">
        <v>85</v>
      </c>
      <c r="N58" s="38">
        <v>280</v>
      </c>
      <c r="O58" s="45">
        <v>223.73124999999999</v>
      </c>
      <c r="P58" s="45">
        <v>223.613333333333</v>
      </c>
      <c r="Q58" s="94">
        <v>0.117916666666667</v>
      </c>
      <c r="R58" s="45">
        <v>150</v>
      </c>
      <c r="S58" s="45">
        <v>108.379583333333</v>
      </c>
      <c r="T58" s="45">
        <v>103.96</v>
      </c>
      <c r="U58" s="94">
        <v>4.4195833333333301</v>
      </c>
      <c r="V58" s="45"/>
      <c r="W58" s="45"/>
      <c r="X58" s="45"/>
      <c r="Y58" s="94"/>
    </row>
    <row r="59" spans="1:25" ht="10.5" customHeight="1">
      <c r="A59" s="38"/>
      <c r="B59" s="38"/>
      <c r="C59" s="38"/>
      <c r="D59" s="38"/>
      <c r="E59" s="38"/>
      <c r="F59" s="38"/>
      <c r="G59" s="220"/>
      <c r="H59" s="38" t="s">
        <v>818</v>
      </c>
      <c r="I59" s="112">
        <v>10.844904</v>
      </c>
      <c r="J59" s="112">
        <v>12.018800166666701</v>
      </c>
      <c r="K59" s="112">
        <v>-1.1738961666666701</v>
      </c>
      <c r="L59" s="38"/>
      <c r="M59" s="38" t="s">
        <v>87</v>
      </c>
      <c r="N59" s="45">
        <v>510</v>
      </c>
      <c r="O59" s="45">
        <v>504.85708333333298</v>
      </c>
      <c r="P59" s="45">
        <v>502.12416666666701</v>
      </c>
      <c r="Q59" s="94">
        <v>2.7329166666666702</v>
      </c>
      <c r="R59" s="45"/>
      <c r="S59" s="45">
        <v>0</v>
      </c>
      <c r="T59" s="45">
        <v>0</v>
      </c>
      <c r="U59" s="94">
        <v>0</v>
      </c>
      <c r="V59" s="45"/>
      <c r="W59" s="45"/>
      <c r="X59" s="45"/>
      <c r="Y59" s="94"/>
    </row>
    <row r="60" spans="1:25" ht="10.5" customHeight="1">
      <c r="A60" s="221" t="s">
        <v>819</v>
      </c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38" t="s">
        <v>95</v>
      </c>
      <c r="N60" s="45">
        <v>800</v>
      </c>
      <c r="O60" s="45">
        <v>685.45041666666702</v>
      </c>
      <c r="P60" s="45">
        <v>679.24916666666695</v>
      </c>
      <c r="Q60" s="94">
        <v>6.2012499999999999</v>
      </c>
      <c r="R60" s="45">
        <v>20</v>
      </c>
      <c r="S60" s="45">
        <v>13.9691666666667</v>
      </c>
      <c r="T60" s="45">
        <v>13.904999999999999</v>
      </c>
      <c r="U60" s="94">
        <v>6.4166666666666705E-2</v>
      </c>
      <c r="V60" s="45"/>
      <c r="W60" s="45"/>
      <c r="X60" s="45"/>
      <c r="Y60" s="94"/>
    </row>
    <row r="61" spans="1:25" ht="10.5" customHeight="1">
      <c r="A61" s="40" t="s">
        <v>64</v>
      </c>
      <c r="B61" s="40" t="s">
        <v>4</v>
      </c>
      <c r="C61" s="40" t="s">
        <v>332</v>
      </c>
      <c r="D61" s="40" t="s">
        <v>716</v>
      </c>
      <c r="E61" s="40" t="s">
        <v>64</v>
      </c>
      <c r="F61" s="40" t="s">
        <v>4</v>
      </c>
      <c r="G61" s="40" t="s">
        <v>332</v>
      </c>
      <c r="H61" s="40" t="s">
        <v>716</v>
      </c>
      <c r="I61" s="40" t="s">
        <v>64</v>
      </c>
      <c r="J61" s="40" t="s">
        <v>4</v>
      </c>
      <c r="K61" s="40" t="s">
        <v>332</v>
      </c>
      <c r="L61" s="40" t="s">
        <v>716</v>
      </c>
      <c r="M61" s="38" t="s">
        <v>98</v>
      </c>
      <c r="N61" s="45">
        <v>1980</v>
      </c>
      <c r="O61" s="45">
        <v>1846.6683333333301</v>
      </c>
      <c r="P61" s="45">
        <v>1846.3675000000001</v>
      </c>
      <c r="Q61" s="94">
        <v>0.30083333333333301</v>
      </c>
      <c r="R61" s="45">
        <v>7</v>
      </c>
      <c r="S61" s="45">
        <v>5.29958333333333</v>
      </c>
      <c r="T61" s="45">
        <v>5.4204166666666698</v>
      </c>
      <c r="U61" s="94">
        <v>-0.120833333333333</v>
      </c>
      <c r="V61" s="45"/>
      <c r="W61" s="45"/>
      <c r="X61" s="45"/>
      <c r="Y61" s="94"/>
    </row>
    <row r="62" spans="1:25" ht="10.5" customHeight="1">
      <c r="A62" s="38" t="s">
        <v>77</v>
      </c>
      <c r="B62" s="120">
        <v>206848</v>
      </c>
      <c r="C62" s="38">
        <v>135680</v>
      </c>
      <c r="D62" s="38">
        <v>71168</v>
      </c>
      <c r="E62" s="38" t="s">
        <v>80</v>
      </c>
      <c r="F62" s="38">
        <v>8852</v>
      </c>
      <c r="G62" s="38">
        <v>9000</v>
      </c>
      <c r="H62" s="38">
        <v>-148</v>
      </c>
      <c r="I62" s="38" t="s">
        <v>754</v>
      </c>
      <c r="J62" s="124">
        <v>47178</v>
      </c>
      <c r="K62" s="45">
        <v>39300</v>
      </c>
      <c r="L62" s="45">
        <v>7878</v>
      </c>
      <c r="M62" s="38" t="s">
        <v>100</v>
      </c>
      <c r="N62" s="45">
        <v>460</v>
      </c>
      <c r="O62" s="45">
        <v>371.71041666666702</v>
      </c>
      <c r="P62" s="45">
        <v>371.54624999999999</v>
      </c>
      <c r="Q62" s="94">
        <v>0.16416666666666699</v>
      </c>
      <c r="R62" s="45">
        <v>10</v>
      </c>
      <c r="S62" s="45">
        <v>0</v>
      </c>
      <c r="T62" s="45">
        <v>0</v>
      </c>
      <c r="U62" s="94">
        <v>0</v>
      </c>
      <c r="V62" s="45"/>
      <c r="W62" s="45"/>
      <c r="X62" s="45"/>
      <c r="Y62" s="94"/>
    </row>
    <row r="63" spans="1:25" ht="10.5" customHeight="1">
      <c r="A63" s="38" t="s">
        <v>79</v>
      </c>
      <c r="B63" s="38">
        <v>28448</v>
      </c>
      <c r="C63" s="38">
        <v>29152</v>
      </c>
      <c r="D63" s="38">
        <v>-704</v>
      </c>
      <c r="E63" s="38" t="s">
        <v>820</v>
      </c>
      <c r="F63" s="38">
        <v>45600</v>
      </c>
      <c r="G63" s="38">
        <v>49808</v>
      </c>
      <c r="H63" s="38">
        <v>-4208</v>
      </c>
      <c r="I63" s="38" t="s">
        <v>791</v>
      </c>
      <c r="J63" s="45">
        <v>32384</v>
      </c>
      <c r="K63" s="45">
        <v>32416</v>
      </c>
      <c r="L63" s="45">
        <v>-32</v>
      </c>
      <c r="M63" s="38" t="s">
        <v>102</v>
      </c>
      <c r="N63" s="45">
        <v>2976</v>
      </c>
      <c r="O63" s="45">
        <v>2501.6754166666701</v>
      </c>
      <c r="P63" s="45">
        <v>2483.5220833333301</v>
      </c>
      <c r="Q63" s="94">
        <v>18.1533333333333</v>
      </c>
      <c r="R63" s="45">
        <v>2</v>
      </c>
      <c r="S63" s="45">
        <v>4.4166666666666701E-2</v>
      </c>
      <c r="T63" s="45">
        <v>0</v>
      </c>
      <c r="U63" s="94">
        <v>4.4166666666666701E-2</v>
      </c>
      <c r="V63" s="45">
        <v>20</v>
      </c>
      <c r="W63" s="45">
        <v>24.024166666666702</v>
      </c>
      <c r="X63" s="45">
        <v>23.954999999999998</v>
      </c>
      <c r="Y63" s="94">
        <v>6.9166666666666696E-2</v>
      </c>
    </row>
    <row r="64" spans="1:25" ht="10.5" customHeight="1">
      <c r="A64" s="38" t="s">
        <v>81</v>
      </c>
      <c r="B64" s="38">
        <v>42880</v>
      </c>
      <c r="C64" s="38">
        <v>43264</v>
      </c>
      <c r="D64" s="38">
        <v>-384</v>
      </c>
      <c r="E64" s="38" t="s">
        <v>87</v>
      </c>
      <c r="F64" s="38">
        <v>60128</v>
      </c>
      <c r="G64" s="38">
        <v>61920</v>
      </c>
      <c r="H64" s="38">
        <v>-1792</v>
      </c>
      <c r="I64" s="38" t="s">
        <v>759</v>
      </c>
      <c r="J64" s="45">
        <v>262016</v>
      </c>
      <c r="K64" s="45">
        <v>263936</v>
      </c>
      <c r="L64" s="45">
        <v>-1920</v>
      </c>
      <c r="M64" s="38" t="s">
        <v>104</v>
      </c>
      <c r="N64" s="45">
        <v>2579</v>
      </c>
      <c r="O64" s="45">
        <v>2364.63</v>
      </c>
      <c r="P64" s="45">
        <v>2345.8766666666702</v>
      </c>
      <c r="Q64" s="94">
        <v>18.753333333333298</v>
      </c>
      <c r="R64" s="45">
        <v>132</v>
      </c>
      <c r="S64" s="45">
        <v>2.2083333333333299E-2</v>
      </c>
      <c r="T64" s="45">
        <v>3.2083333333333297E-2</v>
      </c>
      <c r="U64" s="94">
        <v>-0.01</v>
      </c>
      <c r="V64" s="45"/>
      <c r="W64" s="45"/>
      <c r="X64" s="38"/>
      <c r="Y64" s="94"/>
    </row>
    <row r="65" spans="1:25" ht="10.5" customHeight="1">
      <c r="A65" s="38" t="s">
        <v>84</v>
      </c>
      <c r="B65" s="38">
        <v>433480</v>
      </c>
      <c r="C65" s="38">
        <v>436240</v>
      </c>
      <c r="D65" s="38">
        <v>-2760</v>
      </c>
      <c r="E65" s="38" t="s">
        <v>95</v>
      </c>
      <c r="F65" s="38">
        <v>175360</v>
      </c>
      <c r="G65" s="38">
        <v>180608</v>
      </c>
      <c r="H65" s="38">
        <v>-5248</v>
      </c>
      <c r="I65" s="38" t="s">
        <v>794</v>
      </c>
      <c r="J65" s="45">
        <v>45860</v>
      </c>
      <c r="K65" s="45">
        <v>45972</v>
      </c>
      <c r="L65" s="45">
        <v>-112</v>
      </c>
      <c r="M65" s="38" t="s">
        <v>106</v>
      </c>
      <c r="N65" s="45">
        <v>2800</v>
      </c>
      <c r="O65" s="45">
        <v>2465.085</v>
      </c>
      <c r="P65" s="45">
        <v>2481.0262499999999</v>
      </c>
      <c r="Q65" s="94">
        <v>-15.94125</v>
      </c>
      <c r="R65" s="94">
        <v>9.5</v>
      </c>
      <c r="S65" s="45">
        <v>4.42875</v>
      </c>
      <c r="T65" s="45">
        <v>4.3345833333333301</v>
      </c>
      <c r="U65" s="94">
        <v>9.4166666666666704E-2</v>
      </c>
      <c r="V65" s="45"/>
      <c r="W65" s="45"/>
      <c r="X65" s="38"/>
      <c r="Y65" s="94"/>
    </row>
    <row r="66" spans="1:25" ht="10.5" customHeight="1">
      <c r="A66" s="38" t="s">
        <v>86</v>
      </c>
      <c r="B66" s="38">
        <v>21688</v>
      </c>
      <c r="C66" s="38">
        <v>21744</v>
      </c>
      <c r="D66" s="38">
        <v>-56</v>
      </c>
      <c r="E66" s="38" t="s">
        <v>98</v>
      </c>
      <c r="F66" s="130">
        <v>70816</v>
      </c>
      <c r="G66" s="38">
        <v>83968</v>
      </c>
      <c r="H66" s="38">
        <v>-13152</v>
      </c>
      <c r="I66" s="38" t="s">
        <v>821</v>
      </c>
      <c r="J66" s="45">
        <v>9100</v>
      </c>
      <c r="K66" s="45">
        <v>9250</v>
      </c>
      <c r="L66" s="45">
        <v>-150</v>
      </c>
      <c r="M66" s="38" t="s">
        <v>782</v>
      </c>
      <c r="N66" s="45"/>
      <c r="O66" s="45">
        <v>354.54166666666703</v>
      </c>
      <c r="P66" s="45">
        <v>354.58333333333297</v>
      </c>
      <c r="Q66" s="94">
        <v>-4.1666666666666699E-2</v>
      </c>
      <c r="R66" s="45"/>
      <c r="S66" s="45">
        <v>0</v>
      </c>
      <c r="T66" s="45">
        <v>0</v>
      </c>
      <c r="U66" s="94">
        <v>0</v>
      </c>
      <c r="V66" s="45"/>
      <c r="W66" s="45"/>
      <c r="X66" s="38"/>
      <c r="Y66" s="94"/>
    </row>
    <row r="67" spans="1:25" ht="10.5" customHeight="1">
      <c r="A67" s="38" t="s">
        <v>94</v>
      </c>
      <c r="B67" s="38">
        <v>32384</v>
      </c>
      <c r="C67" s="38">
        <v>32672</v>
      </c>
      <c r="D67" s="38">
        <v>-288</v>
      </c>
      <c r="E67" s="38" t="s">
        <v>100</v>
      </c>
      <c r="F67" s="120">
        <v>192</v>
      </c>
      <c r="G67" s="38">
        <v>80</v>
      </c>
      <c r="H67" s="38">
        <v>112</v>
      </c>
      <c r="I67" s="38" t="s">
        <v>822</v>
      </c>
      <c r="J67" s="45">
        <v>2638804</v>
      </c>
      <c r="K67" s="45">
        <v>2576099</v>
      </c>
      <c r="L67" s="45">
        <v>62705</v>
      </c>
      <c r="M67" s="38" t="s">
        <v>674</v>
      </c>
      <c r="N67" s="45">
        <v>850</v>
      </c>
      <c r="O67" s="45">
        <v>794</v>
      </c>
      <c r="P67" s="45">
        <v>787.72916666666697</v>
      </c>
      <c r="Q67" s="94">
        <v>6.2708333333333304</v>
      </c>
      <c r="R67" s="45">
        <v>10</v>
      </c>
      <c r="S67" s="45">
        <v>0.39958333333333301</v>
      </c>
      <c r="T67" s="45">
        <v>0.41458333333333303</v>
      </c>
      <c r="U67" s="94">
        <v>-1.4999999999999999E-2</v>
      </c>
      <c r="V67" s="45"/>
      <c r="W67" s="45"/>
      <c r="X67" s="38"/>
      <c r="Y67" s="94"/>
    </row>
    <row r="68" spans="1:25" ht="10.5" customHeight="1">
      <c r="A68" s="38" t="s">
        <v>97</v>
      </c>
      <c r="B68" s="38">
        <v>8396</v>
      </c>
      <c r="C68" s="38">
        <v>8296</v>
      </c>
      <c r="D68" s="38">
        <v>100</v>
      </c>
      <c r="E68" s="38" t="s">
        <v>102</v>
      </c>
      <c r="F68" s="38">
        <v>413056</v>
      </c>
      <c r="G68" s="38">
        <v>423168</v>
      </c>
      <c r="H68" s="38">
        <v>-10112</v>
      </c>
      <c r="I68" s="38" t="s">
        <v>823</v>
      </c>
      <c r="J68" s="45">
        <v>173502</v>
      </c>
      <c r="K68" s="45">
        <v>178652</v>
      </c>
      <c r="L68" s="45">
        <v>-5150</v>
      </c>
      <c r="M68" s="38" t="s">
        <v>824</v>
      </c>
      <c r="N68" s="45">
        <v>2300</v>
      </c>
      <c r="O68" s="116">
        <v>2343.5987500000001</v>
      </c>
      <c r="P68" s="45">
        <v>2339.16166666667</v>
      </c>
      <c r="Q68" s="94">
        <v>4.4370833333333302</v>
      </c>
      <c r="R68" s="45"/>
      <c r="S68" s="45"/>
      <c r="T68" s="45"/>
      <c r="U68" s="94"/>
      <c r="V68" s="45"/>
      <c r="W68" s="45"/>
      <c r="X68" s="38"/>
      <c r="Y68" s="94"/>
    </row>
    <row r="69" spans="1:25" ht="10.5" customHeight="1">
      <c r="A69" s="38" t="s">
        <v>99</v>
      </c>
      <c r="B69" s="38">
        <v>8860</v>
      </c>
      <c r="C69" s="38">
        <v>8880</v>
      </c>
      <c r="D69" s="38">
        <v>-20</v>
      </c>
      <c r="E69" s="38" t="s">
        <v>104</v>
      </c>
      <c r="F69" s="38">
        <v>102652</v>
      </c>
      <c r="G69" s="38">
        <v>105040</v>
      </c>
      <c r="H69" s="38">
        <v>-2388</v>
      </c>
      <c r="I69" s="38" t="s">
        <v>782</v>
      </c>
      <c r="J69" s="45">
        <v>148352</v>
      </c>
      <c r="K69" s="45">
        <v>149200</v>
      </c>
      <c r="L69" s="45">
        <v>-848</v>
      </c>
      <c r="M69" s="38" t="s">
        <v>787</v>
      </c>
      <c r="N69" s="45">
        <v>4500</v>
      </c>
      <c r="O69" s="45"/>
      <c r="P69" s="45"/>
      <c r="Q69" s="94"/>
      <c r="R69" s="45">
        <v>6</v>
      </c>
      <c r="S69" s="45">
        <v>0.93083333333333296</v>
      </c>
      <c r="T69" s="45">
        <v>2.37333333333333</v>
      </c>
      <c r="U69" s="94">
        <v>-1.4424999999999999</v>
      </c>
      <c r="V69" s="45"/>
      <c r="W69" s="45"/>
      <c r="X69" s="38"/>
      <c r="Y69" s="94"/>
    </row>
    <row r="70" spans="1:25" ht="10.5" customHeight="1">
      <c r="A70" s="38" t="s">
        <v>101</v>
      </c>
      <c r="B70" s="38">
        <v>87392</v>
      </c>
      <c r="C70" s="38">
        <v>88224</v>
      </c>
      <c r="D70" s="38">
        <v>-832</v>
      </c>
      <c r="E70" s="38" t="s">
        <v>106</v>
      </c>
      <c r="F70" s="38">
        <v>140736</v>
      </c>
      <c r="G70" s="38">
        <v>143808</v>
      </c>
      <c r="H70" s="38">
        <v>-3072</v>
      </c>
      <c r="I70" s="38" t="s">
        <v>674</v>
      </c>
      <c r="J70" s="45">
        <v>19334</v>
      </c>
      <c r="K70" s="45">
        <v>19532</v>
      </c>
      <c r="L70" s="45">
        <v>-198</v>
      </c>
      <c r="M70" s="38" t="s">
        <v>756</v>
      </c>
      <c r="N70" s="45">
        <v>3000</v>
      </c>
      <c r="O70" s="45">
        <v>2066.4299999999998</v>
      </c>
      <c r="P70" s="45">
        <v>1993.4175</v>
      </c>
      <c r="Q70" s="94">
        <v>73.012500000000003</v>
      </c>
      <c r="R70" s="45"/>
      <c r="S70" s="45"/>
      <c r="T70" s="45"/>
      <c r="U70" s="94"/>
      <c r="V70" s="45"/>
      <c r="W70" s="45"/>
      <c r="X70" s="38"/>
      <c r="Y70" s="94"/>
    </row>
    <row r="71" spans="1:25" ht="10.5" customHeight="1">
      <c r="A71" s="38" t="s">
        <v>103</v>
      </c>
      <c r="B71" s="38">
        <v>57248</v>
      </c>
      <c r="C71" s="38">
        <v>58112</v>
      </c>
      <c r="D71" s="38">
        <v>-864</v>
      </c>
      <c r="E71" s="38" t="s">
        <v>824</v>
      </c>
      <c r="F71" s="116">
        <v>218944</v>
      </c>
      <c r="G71" s="45">
        <v>187200</v>
      </c>
      <c r="H71" s="45">
        <v>31744</v>
      </c>
      <c r="I71" s="59" t="s">
        <v>785</v>
      </c>
      <c r="J71" s="128">
        <v>2816</v>
      </c>
      <c r="K71" s="45">
        <v>5600</v>
      </c>
      <c r="L71" s="45">
        <v>-2784</v>
      </c>
      <c r="M71" s="38" t="s">
        <v>754</v>
      </c>
      <c r="N71" s="45">
        <v>10000</v>
      </c>
      <c r="O71" s="45">
        <v>8648.9383333333299</v>
      </c>
      <c r="P71" s="45">
        <v>8649.7870833333309</v>
      </c>
      <c r="Q71" s="94">
        <v>-0.84875</v>
      </c>
      <c r="R71" s="45">
        <v>142</v>
      </c>
      <c r="S71" s="45">
        <v>113.995</v>
      </c>
      <c r="T71" s="45">
        <v>115.14291666666701</v>
      </c>
      <c r="U71" s="94">
        <v>-1.14791666666667</v>
      </c>
      <c r="V71" s="45"/>
      <c r="W71" s="45"/>
      <c r="X71" s="38"/>
      <c r="Y71" s="94"/>
    </row>
    <row r="72" spans="1:25" ht="10.5" customHeight="1">
      <c r="A72" s="38" t="s">
        <v>105</v>
      </c>
      <c r="B72" s="38">
        <v>3726</v>
      </c>
      <c r="C72" s="38">
        <v>3805</v>
      </c>
      <c r="D72" s="38">
        <v>-79</v>
      </c>
      <c r="E72" s="38" t="s">
        <v>787</v>
      </c>
      <c r="F72" s="45">
        <v>27780</v>
      </c>
      <c r="G72" s="45">
        <v>27780</v>
      </c>
      <c r="H72" s="45">
        <v>0</v>
      </c>
      <c r="I72" s="59" t="s">
        <v>825</v>
      </c>
      <c r="J72" s="45">
        <v>3000</v>
      </c>
      <c r="K72" s="45">
        <v>3000</v>
      </c>
      <c r="L72" s="45">
        <v>0</v>
      </c>
      <c r="M72" s="38" t="s">
        <v>791</v>
      </c>
      <c r="N72" s="45">
        <v>250</v>
      </c>
      <c r="O72" s="94">
        <v>47.480416666666699</v>
      </c>
      <c r="P72" s="94">
        <v>47.497916666666697</v>
      </c>
      <c r="Q72" s="94">
        <v>-1.7500000000000002E-2</v>
      </c>
      <c r="R72" s="45"/>
      <c r="S72" s="45"/>
      <c r="T72" s="45"/>
      <c r="U72" s="94"/>
      <c r="V72" s="45"/>
      <c r="W72" s="45"/>
      <c r="X72" s="38"/>
      <c r="Y72" s="94"/>
    </row>
    <row r="73" spans="1:25" ht="10.5" customHeight="1">
      <c r="A73" s="38" t="s">
        <v>78</v>
      </c>
      <c r="B73" s="38">
        <v>28080</v>
      </c>
      <c r="C73" s="38">
        <v>28416</v>
      </c>
      <c r="D73" s="38">
        <v>-336</v>
      </c>
      <c r="E73" s="38" t="s">
        <v>756</v>
      </c>
      <c r="F73" s="45">
        <v>18720</v>
      </c>
      <c r="G73" s="45">
        <v>18360</v>
      </c>
      <c r="H73" s="45">
        <v>360</v>
      </c>
      <c r="I73" s="59" t="s">
        <v>826</v>
      </c>
      <c r="J73" s="128">
        <v>0</v>
      </c>
      <c r="K73" s="45">
        <v>1320</v>
      </c>
      <c r="L73" s="45">
        <v>-1320</v>
      </c>
      <c r="M73" s="38" t="s">
        <v>794</v>
      </c>
      <c r="N73" s="45">
        <v>250</v>
      </c>
      <c r="O73" s="45">
        <v>197.91208333333299</v>
      </c>
      <c r="P73" s="45">
        <v>197.73666666666699</v>
      </c>
      <c r="Q73" s="94">
        <v>0.175416666666667</v>
      </c>
      <c r="R73" s="45"/>
      <c r="S73" s="45"/>
      <c r="T73" s="45"/>
      <c r="U73" s="94"/>
      <c r="V73" s="45"/>
      <c r="W73" s="45"/>
      <c r="X73" s="38"/>
      <c r="Y73" s="94"/>
    </row>
    <row r="74" spans="1:25" ht="10.5" customHeight="1">
      <c r="A74" s="38" t="s">
        <v>827</v>
      </c>
      <c r="B74" s="38">
        <v>2569600</v>
      </c>
      <c r="C74" s="38">
        <v>2534400</v>
      </c>
      <c r="D74" s="38">
        <v>35200</v>
      </c>
      <c r="E74" s="38" t="s">
        <v>828</v>
      </c>
      <c r="F74" s="38">
        <v>224960</v>
      </c>
      <c r="G74" s="38">
        <v>216000</v>
      </c>
      <c r="H74" s="38">
        <v>8960</v>
      </c>
      <c r="I74" s="55"/>
      <c r="J74" s="86"/>
      <c r="K74" s="86"/>
      <c r="L74" s="86"/>
      <c r="M74" s="59" t="s">
        <v>797</v>
      </c>
      <c r="N74" s="103">
        <v>58979</v>
      </c>
      <c r="O74" s="103">
        <v>47338.022499999999</v>
      </c>
      <c r="P74" s="103">
        <v>46540.166666666701</v>
      </c>
      <c r="Q74" s="99">
        <v>797.85583333333295</v>
      </c>
      <c r="R74" s="103">
        <v>1134.5</v>
      </c>
      <c r="S74" s="103">
        <v>715.83291666666696</v>
      </c>
      <c r="T74" s="103">
        <v>723.62833333333299</v>
      </c>
      <c r="U74" s="99">
        <v>-7.7954166666666698</v>
      </c>
      <c r="V74" s="103">
        <v>85</v>
      </c>
      <c r="W74" s="103">
        <v>62.581302000000001</v>
      </c>
      <c r="X74" s="103">
        <v>66.678546666666705</v>
      </c>
      <c r="Y74" s="99">
        <v>-4.0972446666666702</v>
      </c>
    </row>
  </sheetData>
  <mergeCells count="37">
    <mergeCell ref="L2:L3"/>
    <mergeCell ref="M4:M6"/>
    <mergeCell ref="M41:M43"/>
    <mergeCell ref="M2:Y3"/>
    <mergeCell ref="N4:Q5"/>
    <mergeCell ref="R4:U5"/>
    <mergeCell ref="V4:Y5"/>
    <mergeCell ref="M39:Y40"/>
    <mergeCell ref="N41:Q42"/>
    <mergeCell ref="R41:U42"/>
    <mergeCell ref="V41:Y42"/>
    <mergeCell ref="H2:H3"/>
    <mergeCell ref="H6:H7"/>
    <mergeCell ref="I2:I3"/>
    <mergeCell ref="J2:J3"/>
    <mergeCell ref="K2:K3"/>
    <mergeCell ref="G8:G12"/>
    <mergeCell ref="G14:G15"/>
    <mergeCell ref="G17:G21"/>
    <mergeCell ref="G23:G44"/>
    <mergeCell ref="G46:G59"/>
    <mergeCell ref="A1:B1"/>
    <mergeCell ref="C1:U1"/>
    <mergeCell ref="V1:X1"/>
    <mergeCell ref="A45:L45"/>
    <mergeCell ref="A60:L60"/>
    <mergeCell ref="A3:A6"/>
    <mergeCell ref="A7:A9"/>
    <mergeCell ref="A10:A12"/>
    <mergeCell ref="A13:A15"/>
    <mergeCell ref="A16:A21"/>
    <mergeCell ref="A22:A26"/>
    <mergeCell ref="A27:A31"/>
    <mergeCell ref="A32:A44"/>
    <mergeCell ref="A46:A55"/>
    <mergeCell ref="B47:B51"/>
    <mergeCell ref="G2:G7"/>
  </mergeCells>
  <phoneticPr fontId="20" type="noConversion"/>
  <printOptions verticalCentered="1"/>
  <pageMargins left="0.236000001430511" right="0.19400000572204601" top="0.19400000572204601" bottom="0.19400000572204601" header="0" footer="0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2"/>
  <sheetViews>
    <sheetView workbookViewId="0">
      <selection sqref="A1:E1"/>
    </sheetView>
  </sheetViews>
  <sheetFormatPr defaultColWidth="10" defaultRowHeight="14"/>
  <cols>
    <col min="1" max="1" width="6" customWidth="1"/>
    <col min="2" max="2" width="8.453125" customWidth="1"/>
    <col min="3" max="3" width="6.54296875" customWidth="1"/>
    <col min="4" max="4" width="6.6328125" customWidth="1"/>
    <col min="5" max="5" width="6.36328125" customWidth="1"/>
    <col min="6" max="6" width="5.1796875" customWidth="1"/>
    <col min="7" max="7" width="7.6328125" customWidth="1"/>
    <col min="8" max="8" width="6.54296875" customWidth="1"/>
    <col min="9" max="9" width="7.1796875" customWidth="1"/>
    <col min="10" max="10" width="7.54296875" customWidth="1"/>
    <col min="11" max="11" width="6.6328125" customWidth="1"/>
    <col min="12" max="12" width="10.81640625" customWidth="1"/>
    <col min="13" max="21" width="7.7265625" customWidth="1"/>
    <col min="22" max="23" width="7.1796875" customWidth="1"/>
    <col min="24" max="24" width="7.7265625" customWidth="1"/>
    <col min="25" max="26" width="7.1796875" customWidth="1"/>
    <col min="27" max="27" width="8.54296875" customWidth="1"/>
    <col min="28" max="40" width="9.7265625" customWidth="1"/>
  </cols>
  <sheetData>
    <row r="1" spans="1:28" ht="25.5" customHeight="1">
      <c r="A1" s="223"/>
      <c r="B1" s="223"/>
      <c r="C1" s="223"/>
      <c r="D1" s="223"/>
      <c r="E1" s="223"/>
      <c r="F1" s="224" t="s">
        <v>1352</v>
      </c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19" t="s">
        <v>0</v>
      </c>
      <c r="Z1" s="219"/>
      <c r="AA1" s="219"/>
      <c r="AB1" s="110" t="s">
        <v>1</v>
      </c>
    </row>
    <row r="2" spans="1:28" ht="14.25" customHeight="1">
      <c r="A2" s="202" t="s">
        <v>829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25" t="s">
        <v>830</v>
      </c>
      <c r="W2" s="225"/>
      <c r="X2" s="225"/>
      <c r="Y2" s="225"/>
      <c r="Z2" s="225"/>
      <c r="AA2" s="225"/>
      <c r="AB2" s="225"/>
    </row>
    <row r="3" spans="1:28" ht="11.4" customHeight="1">
      <c r="A3" s="196" t="s">
        <v>831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226" t="s">
        <v>832</v>
      </c>
      <c r="M3" s="226"/>
      <c r="N3" s="226"/>
      <c r="O3" s="226"/>
      <c r="P3" s="226"/>
      <c r="Q3" s="226"/>
      <c r="R3" s="226"/>
      <c r="S3" s="226"/>
      <c r="T3" s="226"/>
      <c r="U3" s="226"/>
      <c r="V3" s="232" t="s">
        <v>833</v>
      </c>
      <c r="W3" s="232"/>
      <c r="X3" s="232"/>
      <c r="Y3" s="232"/>
      <c r="Z3" s="232"/>
      <c r="AA3" s="232"/>
      <c r="AB3" s="232"/>
    </row>
    <row r="4" spans="1:28" ht="10.75" customHeight="1">
      <c r="A4" s="196" t="s">
        <v>64</v>
      </c>
      <c r="B4" s="196"/>
      <c r="C4" s="227" t="s">
        <v>834</v>
      </c>
      <c r="D4" s="227"/>
      <c r="E4" s="227"/>
      <c r="F4" s="227" t="s">
        <v>835</v>
      </c>
      <c r="G4" s="227"/>
      <c r="H4" s="227"/>
      <c r="I4" s="227" t="s">
        <v>836</v>
      </c>
      <c r="J4" s="227"/>
      <c r="K4" s="227"/>
      <c r="L4" s="196" t="s">
        <v>837</v>
      </c>
      <c r="M4" s="227" t="s">
        <v>834</v>
      </c>
      <c r="N4" s="227"/>
      <c r="O4" s="227"/>
      <c r="P4" s="227" t="s">
        <v>835</v>
      </c>
      <c r="Q4" s="227"/>
      <c r="R4" s="227"/>
      <c r="S4" s="227" t="s">
        <v>836</v>
      </c>
      <c r="T4" s="227"/>
      <c r="U4" s="227"/>
      <c r="V4" s="232"/>
      <c r="W4" s="232"/>
      <c r="X4" s="232"/>
      <c r="Y4" s="232"/>
      <c r="Z4" s="232"/>
      <c r="AA4" s="232"/>
      <c r="AB4" s="232"/>
    </row>
    <row r="5" spans="1:28" ht="10.75" customHeight="1">
      <c r="A5" s="196"/>
      <c r="B5" s="196"/>
      <c r="C5" s="38" t="s">
        <v>4</v>
      </c>
      <c r="D5" s="38" t="s">
        <v>332</v>
      </c>
      <c r="E5" s="38" t="s">
        <v>716</v>
      </c>
      <c r="F5" s="38" t="s">
        <v>4</v>
      </c>
      <c r="G5" s="38" t="s">
        <v>332</v>
      </c>
      <c r="H5" s="38" t="s">
        <v>716</v>
      </c>
      <c r="I5" s="38" t="s">
        <v>4</v>
      </c>
      <c r="J5" s="38" t="s">
        <v>332</v>
      </c>
      <c r="K5" s="38" t="s">
        <v>716</v>
      </c>
      <c r="L5" s="196"/>
      <c r="M5" s="39" t="s">
        <v>4</v>
      </c>
      <c r="N5" s="39" t="s">
        <v>332</v>
      </c>
      <c r="O5" s="39" t="s">
        <v>716</v>
      </c>
      <c r="P5" s="39" t="s">
        <v>4</v>
      </c>
      <c r="Q5" s="39" t="s">
        <v>332</v>
      </c>
      <c r="R5" s="39" t="s">
        <v>716</v>
      </c>
      <c r="S5" s="39" t="s">
        <v>4</v>
      </c>
      <c r="T5" s="39" t="s">
        <v>332</v>
      </c>
      <c r="U5" s="39" t="s">
        <v>716</v>
      </c>
      <c r="V5" s="232"/>
      <c r="W5" s="232"/>
      <c r="X5" s="232"/>
      <c r="Y5" s="232"/>
      <c r="Z5" s="232"/>
      <c r="AA5" s="232"/>
      <c r="AB5" s="232"/>
    </row>
    <row r="6" spans="1:28" ht="10.75" customHeight="1">
      <c r="A6" s="199" t="s">
        <v>77</v>
      </c>
      <c r="B6" s="199"/>
      <c r="C6" s="94"/>
      <c r="D6" s="94"/>
      <c r="E6" s="94"/>
      <c r="F6" s="94">
        <v>5.7237499999999999</v>
      </c>
      <c r="G6" s="94">
        <v>5.7708333333333304</v>
      </c>
      <c r="H6" s="94">
        <v>-4.7083333333333102E-2</v>
      </c>
      <c r="I6" s="94"/>
      <c r="J6" s="94"/>
      <c r="K6" s="94"/>
      <c r="L6" s="38" t="s">
        <v>77</v>
      </c>
      <c r="M6" s="94">
        <v>0</v>
      </c>
      <c r="N6" s="94">
        <v>0</v>
      </c>
      <c r="O6" s="94">
        <v>0</v>
      </c>
      <c r="P6" s="94">
        <v>13.8091666666667</v>
      </c>
      <c r="Q6" s="94">
        <v>13.803750000000001</v>
      </c>
      <c r="R6" s="94">
        <v>5.4166666666670702E-3</v>
      </c>
      <c r="S6" s="94"/>
      <c r="T6" s="94"/>
      <c r="U6" s="94"/>
      <c r="V6" s="232"/>
      <c r="W6" s="232"/>
      <c r="X6" s="232"/>
      <c r="Y6" s="232"/>
      <c r="Z6" s="232"/>
      <c r="AA6" s="232"/>
      <c r="AB6" s="232"/>
    </row>
    <row r="7" spans="1:28" ht="10.75" customHeight="1">
      <c r="A7" s="199" t="s">
        <v>79</v>
      </c>
      <c r="B7" s="199"/>
      <c r="C7" s="94"/>
      <c r="D7" s="94"/>
      <c r="E7" s="94"/>
      <c r="F7" s="94">
        <v>16.611249999999998</v>
      </c>
      <c r="G7" s="94">
        <v>18.121666666666702</v>
      </c>
      <c r="H7" s="94">
        <v>-1.5104166666666701</v>
      </c>
      <c r="I7" s="94"/>
      <c r="J7" s="94"/>
      <c r="K7" s="94"/>
      <c r="L7" s="38" t="s">
        <v>79</v>
      </c>
      <c r="M7" s="94">
        <v>16.543749999999999</v>
      </c>
      <c r="N7" s="94">
        <v>17.1466666666667</v>
      </c>
      <c r="O7" s="94">
        <v>-0.60291666666666499</v>
      </c>
      <c r="P7" s="94">
        <v>1.18458333333333</v>
      </c>
      <c r="Q7" s="94">
        <v>1.1850000000000001</v>
      </c>
      <c r="R7" s="94">
        <v>-4.1666666666673202E-4</v>
      </c>
      <c r="S7" s="94"/>
      <c r="T7" s="94"/>
      <c r="U7" s="94"/>
      <c r="V7" s="232"/>
      <c r="W7" s="232"/>
      <c r="X7" s="232"/>
      <c r="Y7" s="232"/>
      <c r="Z7" s="232"/>
      <c r="AA7" s="232"/>
      <c r="AB7" s="232"/>
    </row>
    <row r="8" spans="1:28" ht="10.75" customHeight="1">
      <c r="A8" s="199" t="s">
        <v>81</v>
      </c>
      <c r="B8" s="199"/>
      <c r="C8" s="94"/>
      <c r="D8" s="94"/>
      <c r="E8" s="94"/>
      <c r="F8" s="94"/>
      <c r="G8" s="94"/>
      <c r="H8" s="94"/>
      <c r="I8" s="94"/>
      <c r="J8" s="94"/>
      <c r="K8" s="94"/>
      <c r="L8" s="38" t="s">
        <v>81</v>
      </c>
      <c r="M8" s="94"/>
      <c r="N8" s="94"/>
      <c r="O8" s="94"/>
      <c r="P8" s="94">
        <v>-0.129583333333333</v>
      </c>
      <c r="Q8" s="94">
        <v>-0.12875</v>
      </c>
      <c r="R8" s="94">
        <v>-8.3333333333332504E-4</v>
      </c>
      <c r="S8" s="94">
        <v>3.2987500000000001</v>
      </c>
      <c r="T8" s="94">
        <v>3.1979166666666701</v>
      </c>
      <c r="U8" s="94">
        <v>0.100833333333334</v>
      </c>
      <c r="V8" s="232"/>
      <c r="W8" s="232"/>
      <c r="X8" s="232"/>
      <c r="Y8" s="232"/>
      <c r="Z8" s="232"/>
      <c r="AA8" s="232"/>
      <c r="AB8" s="232"/>
    </row>
    <row r="9" spans="1:28" ht="10.75" customHeight="1">
      <c r="A9" s="199" t="s">
        <v>84</v>
      </c>
      <c r="B9" s="199"/>
      <c r="C9" s="94">
        <v>388.46041666666702</v>
      </c>
      <c r="D9" s="94">
        <v>392.95041666666702</v>
      </c>
      <c r="E9" s="94">
        <v>-4.49</v>
      </c>
      <c r="F9" s="94">
        <v>59.2216666666667</v>
      </c>
      <c r="G9" s="94">
        <v>58.671666666666702</v>
      </c>
      <c r="H9" s="94">
        <v>0.55000000000000404</v>
      </c>
      <c r="I9" s="94"/>
      <c r="J9" s="94"/>
      <c r="K9" s="94"/>
      <c r="L9" s="38" t="s">
        <v>84</v>
      </c>
      <c r="M9" s="94">
        <v>163.59041666666701</v>
      </c>
      <c r="N9" s="94">
        <v>167.03708333333299</v>
      </c>
      <c r="O9" s="94">
        <v>-3.4466666666666601</v>
      </c>
      <c r="P9" s="94">
        <v>0</v>
      </c>
      <c r="Q9" s="94">
        <v>0</v>
      </c>
      <c r="R9" s="94">
        <v>0</v>
      </c>
      <c r="S9" s="97">
        <v>15.0766666666667</v>
      </c>
      <c r="T9" s="94">
        <v>11.126666666666701</v>
      </c>
      <c r="U9" s="94">
        <v>3.95</v>
      </c>
      <c r="V9" s="232"/>
      <c r="W9" s="232"/>
      <c r="X9" s="232"/>
      <c r="Y9" s="232"/>
      <c r="Z9" s="232"/>
      <c r="AA9" s="232"/>
      <c r="AB9" s="232"/>
    </row>
    <row r="10" spans="1:28" ht="10.75" customHeight="1">
      <c r="A10" s="199" t="s">
        <v>86</v>
      </c>
      <c r="B10" s="199"/>
      <c r="C10" s="94"/>
      <c r="D10" s="94"/>
      <c r="E10" s="94"/>
      <c r="F10" s="95">
        <v>2.3654166666666701</v>
      </c>
      <c r="G10" s="94">
        <v>2.0145833333333298</v>
      </c>
      <c r="H10" s="94">
        <v>0.350833333333334</v>
      </c>
      <c r="I10" s="94"/>
      <c r="J10" s="94"/>
      <c r="K10" s="94"/>
      <c r="L10" s="38" t="s">
        <v>86</v>
      </c>
      <c r="M10" s="94">
        <v>30.961666666666702</v>
      </c>
      <c r="N10" s="94">
        <v>28.9175</v>
      </c>
      <c r="O10" s="94">
        <v>2.04416666666667</v>
      </c>
      <c r="P10" s="94">
        <v>0.39708333333333301</v>
      </c>
      <c r="Q10" s="94">
        <v>0.40416666666666701</v>
      </c>
      <c r="R10" s="94">
        <v>-7.0833333333333304E-3</v>
      </c>
      <c r="S10" s="94"/>
      <c r="T10" s="94"/>
      <c r="U10" s="94"/>
      <c r="V10" s="232"/>
      <c r="W10" s="232"/>
      <c r="X10" s="232"/>
      <c r="Y10" s="232"/>
      <c r="Z10" s="232"/>
      <c r="AA10" s="232"/>
      <c r="AB10" s="232"/>
    </row>
    <row r="11" spans="1:28" ht="10.75" customHeight="1">
      <c r="A11" s="199" t="s">
        <v>94</v>
      </c>
      <c r="B11" s="199"/>
      <c r="C11" s="94"/>
      <c r="D11" s="94"/>
      <c r="E11" s="94"/>
      <c r="F11" s="94">
        <v>9.1279166666666693</v>
      </c>
      <c r="G11" s="94">
        <v>9.1170833333333299</v>
      </c>
      <c r="H11" s="94">
        <v>1.08333333333324E-2</v>
      </c>
      <c r="I11" s="94"/>
      <c r="J11" s="94"/>
      <c r="K11" s="94"/>
      <c r="L11" s="38" t="s">
        <v>94</v>
      </c>
      <c r="M11" s="94"/>
      <c r="N11" s="94"/>
      <c r="O11" s="94"/>
      <c r="P11" s="99"/>
      <c r="Q11" s="99"/>
      <c r="R11" s="94"/>
      <c r="S11" s="94"/>
      <c r="T11" s="94"/>
      <c r="U11" s="94"/>
      <c r="V11" s="232"/>
      <c r="W11" s="232"/>
      <c r="X11" s="232"/>
      <c r="Y11" s="232"/>
      <c r="Z11" s="232"/>
      <c r="AA11" s="232"/>
      <c r="AB11" s="232"/>
    </row>
    <row r="12" spans="1:28" ht="10.75" customHeight="1">
      <c r="A12" s="199" t="s">
        <v>97</v>
      </c>
      <c r="B12" s="199"/>
      <c r="C12" s="94"/>
      <c r="D12" s="94"/>
      <c r="E12" s="94"/>
      <c r="F12" s="94"/>
      <c r="G12" s="94"/>
      <c r="H12" s="94"/>
      <c r="I12" s="96">
        <v>0.06</v>
      </c>
      <c r="J12" s="94">
        <v>1.4999999999999999E-2</v>
      </c>
      <c r="K12" s="94">
        <v>4.4999999999999998E-2</v>
      </c>
      <c r="L12" s="38" t="s">
        <v>97</v>
      </c>
      <c r="M12" s="94"/>
      <c r="N12" s="94"/>
      <c r="O12" s="94"/>
      <c r="P12" s="94">
        <v>17.483750000000001</v>
      </c>
      <c r="Q12" s="94">
        <v>17.481249999999999</v>
      </c>
      <c r="R12" s="94">
        <v>2.5000000000000001E-3</v>
      </c>
      <c r="S12" s="96">
        <v>0.06</v>
      </c>
      <c r="T12" s="94">
        <v>1.4999999999999999E-2</v>
      </c>
      <c r="U12" s="94">
        <v>4.4999999999999998E-2</v>
      </c>
      <c r="V12" s="232"/>
      <c r="W12" s="232"/>
      <c r="X12" s="232"/>
      <c r="Y12" s="232"/>
      <c r="Z12" s="232"/>
      <c r="AA12" s="232"/>
      <c r="AB12" s="232"/>
    </row>
    <row r="13" spans="1:28" ht="10.75" customHeight="1">
      <c r="A13" s="199" t="s">
        <v>99</v>
      </c>
      <c r="B13" s="199"/>
      <c r="C13" s="94"/>
      <c r="D13" s="94"/>
      <c r="E13" s="94"/>
      <c r="F13" s="94"/>
      <c r="G13" s="94"/>
      <c r="H13" s="94"/>
      <c r="I13" s="94"/>
      <c r="J13" s="94"/>
      <c r="K13" s="94"/>
      <c r="L13" s="38" t="s">
        <v>99</v>
      </c>
      <c r="M13" s="94"/>
      <c r="N13" s="94"/>
      <c r="O13" s="94"/>
      <c r="P13" s="94">
        <v>7.4999999999999997E-3</v>
      </c>
      <c r="Q13" s="94">
        <v>7.0833333333333304E-3</v>
      </c>
      <c r="R13" s="94">
        <v>4.1666666666666599E-4</v>
      </c>
      <c r="S13" s="94">
        <v>15.954166666666699</v>
      </c>
      <c r="T13" s="94">
        <v>15.539583333333301</v>
      </c>
      <c r="U13" s="94">
        <v>0.41458333333333303</v>
      </c>
      <c r="V13" s="232"/>
      <c r="W13" s="232"/>
      <c r="X13" s="232"/>
      <c r="Y13" s="232"/>
      <c r="Z13" s="232"/>
      <c r="AA13" s="232"/>
      <c r="AB13" s="232"/>
    </row>
    <row r="14" spans="1:28" ht="10.75" customHeight="1">
      <c r="A14" s="199" t="s">
        <v>101</v>
      </c>
      <c r="B14" s="199"/>
      <c r="C14" s="94">
        <v>37.25</v>
      </c>
      <c r="D14" s="94">
        <v>40.341250000000002</v>
      </c>
      <c r="E14" s="94">
        <v>-3.0912500000000001</v>
      </c>
      <c r="F14" s="94"/>
      <c r="G14" s="94"/>
      <c r="H14" s="94"/>
      <c r="I14" s="94">
        <v>0</v>
      </c>
      <c r="J14" s="94">
        <v>0</v>
      </c>
      <c r="K14" s="94">
        <v>0</v>
      </c>
      <c r="L14" s="38" t="s">
        <v>101</v>
      </c>
      <c r="M14" s="94">
        <v>60.4166666666667</v>
      </c>
      <c r="N14" s="94">
        <v>61.6666666666667</v>
      </c>
      <c r="O14" s="94">
        <v>-1.25</v>
      </c>
      <c r="P14" s="94">
        <v>5.3825000000000003</v>
      </c>
      <c r="Q14" s="94">
        <v>5.41916666666667</v>
      </c>
      <c r="R14" s="94">
        <v>-3.6666666666666202E-2</v>
      </c>
      <c r="S14" s="94"/>
      <c r="T14" s="94"/>
      <c r="U14" s="94"/>
      <c r="V14" s="232"/>
      <c r="W14" s="232"/>
      <c r="X14" s="232"/>
      <c r="Y14" s="232"/>
      <c r="Z14" s="232"/>
      <c r="AA14" s="232"/>
      <c r="AB14" s="232"/>
    </row>
    <row r="15" spans="1:28" ht="10.75" customHeight="1">
      <c r="A15" s="199" t="s">
        <v>103</v>
      </c>
      <c r="B15" s="199"/>
      <c r="C15" s="94">
        <v>3.8466666666666698</v>
      </c>
      <c r="D15" s="94">
        <v>3.8845833333333299</v>
      </c>
      <c r="E15" s="94">
        <v>-3.7916666666667299E-2</v>
      </c>
      <c r="F15" s="94">
        <v>2.0058333333333298</v>
      </c>
      <c r="G15" s="94">
        <v>1.93916666666667</v>
      </c>
      <c r="H15" s="94">
        <v>6.6666666666666693E-2</v>
      </c>
      <c r="I15" s="94">
        <v>0</v>
      </c>
      <c r="J15" s="94">
        <v>0</v>
      </c>
      <c r="K15" s="94">
        <v>0</v>
      </c>
      <c r="L15" s="38" t="s">
        <v>103</v>
      </c>
      <c r="M15" s="94">
        <v>46.653750000000002</v>
      </c>
      <c r="N15" s="94">
        <v>47.415833333333303</v>
      </c>
      <c r="O15" s="94">
        <v>-0.762083333333329</v>
      </c>
      <c r="P15" s="94">
        <v>0.135833333333333</v>
      </c>
      <c r="Q15" s="94">
        <v>0.14083333333333301</v>
      </c>
      <c r="R15" s="94">
        <v>-5.0000000000000096E-3</v>
      </c>
      <c r="S15" s="94"/>
      <c r="T15" s="94"/>
      <c r="U15" s="94"/>
      <c r="V15" s="232"/>
      <c r="W15" s="232"/>
      <c r="X15" s="232"/>
      <c r="Y15" s="232"/>
      <c r="Z15" s="232"/>
      <c r="AA15" s="232"/>
      <c r="AB15" s="232"/>
    </row>
    <row r="16" spans="1:28" ht="10.75" customHeight="1">
      <c r="A16" s="199" t="s">
        <v>105</v>
      </c>
      <c r="B16" s="199"/>
      <c r="C16" s="94"/>
      <c r="D16" s="94"/>
      <c r="E16" s="94"/>
      <c r="F16" s="94"/>
      <c r="G16" s="94"/>
      <c r="H16" s="94"/>
      <c r="I16" s="94"/>
      <c r="J16" s="94"/>
      <c r="L16" s="38" t="s">
        <v>105</v>
      </c>
      <c r="M16" s="94"/>
      <c r="N16" s="94"/>
      <c r="O16" s="94"/>
      <c r="P16" s="94">
        <v>5.68333333333333</v>
      </c>
      <c r="Q16" s="94">
        <v>5.97291666666667</v>
      </c>
      <c r="R16" s="94">
        <v>-0.28958333333333303</v>
      </c>
      <c r="S16" s="94"/>
      <c r="T16" s="94"/>
      <c r="U16" s="94"/>
      <c r="V16" s="232"/>
      <c r="W16" s="232"/>
      <c r="X16" s="232"/>
      <c r="Y16" s="232"/>
      <c r="Z16" s="232"/>
      <c r="AA16" s="232"/>
      <c r="AB16" s="232"/>
    </row>
    <row r="17" spans="1:28" ht="10.75" customHeight="1">
      <c r="A17" s="199" t="s">
        <v>78</v>
      </c>
      <c r="B17" s="199"/>
      <c r="C17" s="94"/>
      <c r="D17" s="94"/>
      <c r="E17" s="94"/>
      <c r="F17" s="94"/>
      <c r="G17" s="94"/>
      <c r="H17" s="94"/>
      <c r="I17" s="94"/>
      <c r="J17" s="94"/>
      <c r="K17" s="94"/>
      <c r="L17" s="38" t="s">
        <v>78</v>
      </c>
      <c r="M17" s="94"/>
      <c r="N17" s="94"/>
      <c r="O17" s="94"/>
      <c r="P17" s="100">
        <v>0</v>
      </c>
      <c r="Q17" s="94">
        <v>8.3333333333333295E-4</v>
      </c>
      <c r="R17" s="94">
        <v>-8.3333333333333295E-4</v>
      </c>
      <c r="S17" s="94"/>
      <c r="T17" s="94"/>
      <c r="U17" s="94"/>
      <c r="V17" s="232"/>
      <c r="W17" s="232"/>
      <c r="X17" s="232"/>
      <c r="Y17" s="232"/>
      <c r="Z17" s="232"/>
      <c r="AA17" s="232"/>
      <c r="AB17" s="232"/>
    </row>
    <row r="18" spans="1:28" ht="10.75" customHeight="1">
      <c r="A18" s="199" t="s">
        <v>80</v>
      </c>
      <c r="B18" s="199"/>
      <c r="C18" s="94"/>
      <c r="D18" s="94"/>
      <c r="E18" s="94"/>
      <c r="F18" s="94"/>
      <c r="G18" s="94"/>
      <c r="H18" s="94"/>
      <c r="I18" s="94"/>
      <c r="J18" s="94"/>
      <c r="K18" s="94"/>
      <c r="L18" s="38" t="s">
        <v>80</v>
      </c>
      <c r="M18" s="94">
        <v>1.02833333333333</v>
      </c>
      <c r="N18" s="94">
        <v>1.0533333333333299</v>
      </c>
      <c r="O18" s="94">
        <v>-2.5000000000000199E-2</v>
      </c>
      <c r="P18" s="94">
        <v>5.7237499999999999</v>
      </c>
      <c r="Q18" s="94">
        <v>5.59791666666667</v>
      </c>
      <c r="R18" s="94">
        <v>0.12583333333333299</v>
      </c>
      <c r="S18" s="94">
        <v>5.0504166666666697</v>
      </c>
      <c r="T18" s="94">
        <v>4.9924999999999997</v>
      </c>
      <c r="U18" s="94">
        <v>5.7916666666666401E-2</v>
      </c>
      <c r="V18" s="232"/>
      <c r="W18" s="232"/>
      <c r="X18" s="232"/>
      <c r="Y18" s="232"/>
      <c r="Z18" s="232"/>
      <c r="AA18" s="232"/>
      <c r="AB18" s="232"/>
    </row>
    <row r="19" spans="1:28" ht="10.75" customHeight="1">
      <c r="A19" s="199" t="s">
        <v>82</v>
      </c>
      <c r="B19" s="199"/>
      <c r="C19" s="96">
        <v>0</v>
      </c>
      <c r="D19" s="94">
        <v>0.59166666666666701</v>
      </c>
      <c r="E19" s="94">
        <v>-0.59166666666666701</v>
      </c>
      <c r="F19" s="94"/>
      <c r="G19" s="94"/>
      <c r="H19" s="94"/>
      <c r="I19" s="94"/>
      <c r="J19" s="94"/>
      <c r="K19" s="94"/>
      <c r="L19" s="38" t="s">
        <v>82</v>
      </c>
      <c r="M19" s="94"/>
      <c r="N19" s="94"/>
      <c r="O19" s="94"/>
      <c r="P19" s="94">
        <v>0</v>
      </c>
      <c r="Q19" s="94">
        <v>0</v>
      </c>
      <c r="R19" s="94">
        <v>0</v>
      </c>
      <c r="S19" s="94"/>
      <c r="T19" s="94"/>
      <c r="U19" s="94"/>
      <c r="V19" s="232"/>
      <c r="W19" s="232"/>
      <c r="X19" s="232"/>
      <c r="Y19" s="232"/>
      <c r="Z19" s="232"/>
      <c r="AA19" s="232"/>
      <c r="AB19" s="232"/>
    </row>
    <row r="20" spans="1:28" ht="10.75" customHeight="1">
      <c r="A20" s="199" t="s">
        <v>85</v>
      </c>
      <c r="B20" s="199"/>
      <c r="C20" s="94">
        <v>32.452916666666702</v>
      </c>
      <c r="D20" s="94">
        <v>32.5995833333333</v>
      </c>
      <c r="E20" s="94">
        <v>-0.146666666666668</v>
      </c>
      <c r="F20" s="94"/>
      <c r="G20" s="94"/>
      <c r="H20" s="94"/>
      <c r="I20" s="94">
        <v>13.4166666666667</v>
      </c>
      <c r="J20" s="94">
        <v>13.7229166666667</v>
      </c>
      <c r="K20" s="94">
        <v>-0.30625000000000202</v>
      </c>
      <c r="L20" s="38" t="s">
        <v>85</v>
      </c>
      <c r="M20" s="94"/>
      <c r="N20" s="94"/>
      <c r="O20" s="94"/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232"/>
      <c r="W20" s="232"/>
      <c r="X20" s="232"/>
      <c r="Y20" s="232"/>
      <c r="Z20" s="232"/>
      <c r="AA20" s="232"/>
      <c r="AB20" s="232"/>
    </row>
    <row r="21" spans="1:28" ht="10.75" customHeight="1">
      <c r="A21" s="199" t="s">
        <v>87</v>
      </c>
      <c r="B21" s="199"/>
      <c r="C21" s="94"/>
      <c r="D21" s="94"/>
      <c r="E21" s="94"/>
      <c r="F21" s="94"/>
      <c r="G21" s="94"/>
      <c r="H21" s="94"/>
      <c r="I21" s="94"/>
      <c r="J21" s="94"/>
      <c r="K21" s="94"/>
      <c r="L21" s="38" t="s">
        <v>87</v>
      </c>
      <c r="M21" s="94"/>
      <c r="N21" s="94"/>
      <c r="O21" s="94"/>
      <c r="P21" s="94">
        <v>3.3333333333333301E-3</v>
      </c>
      <c r="Q21" s="94">
        <v>3.3333333333333301E-3</v>
      </c>
      <c r="R21" s="94">
        <v>0</v>
      </c>
      <c r="S21" s="94"/>
      <c r="T21" s="94"/>
      <c r="U21" s="94"/>
      <c r="V21" s="232"/>
      <c r="W21" s="232"/>
      <c r="X21" s="232"/>
      <c r="Y21" s="232"/>
      <c r="Z21" s="232"/>
      <c r="AA21" s="232"/>
      <c r="AB21" s="232"/>
    </row>
    <row r="22" spans="1:28" ht="10.75" customHeight="1">
      <c r="A22" s="199" t="s">
        <v>95</v>
      </c>
      <c r="B22" s="199"/>
      <c r="C22" s="94"/>
      <c r="D22" s="94"/>
      <c r="E22" s="94"/>
      <c r="F22" s="94">
        <v>29.615833333333299</v>
      </c>
      <c r="G22" s="94">
        <v>32.055</v>
      </c>
      <c r="H22" s="94">
        <v>-2.43916666666667</v>
      </c>
      <c r="I22" s="94">
        <v>16.552499999999998</v>
      </c>
      <c r="J22" s="94">
        <v>16.921666666666699</v>
      </c>
      <c r="K22" s="94">
        <v>-0.36916666666666798</v>
      </c>
      <c r="L22" s="38" t="s">
        <v>95</v>
      </c>
      <c r="M22" s="94">
        <v>34.21875</v>
      </c>
      <c r="N22" s="94">
        <v>33.5370833333333</v>
      </c>
      <c r="O22" s="94">
        <v>0.68166666666666498</v>
      </c>
      <c r="P22" s="99"/>
      <c r="Q22" s="94"/>
      <c r="R22" s="94"/>
      <c r="S22" s="94"/>
      <c r="T22" s="94"/>
      <c r="U22" s="94"/>
      <c r="V22" s="232"/>
      <c r="W22" s="232"/>
      <c r="X22" s="232"/>
      <c r="Y22" s="232"/>
      <c r="Z22" s="232"/>
      <c r="AA22" s="232"/>
      <c r="AB22" s="232"/>
    </row>
    <row r="23" spans="1:28" ht="10.75" customHeight="1">
      <c r="A23" s="199" t="s">
        <v>98</v>
      </c>
      <c r="B23" s="199"/>
      <c r="C23" s="94"/>
      <c r="D23" s="94"/>
      <c r="E23" s="94"/>
      <c r="F23" s="96">
        <v>0.420833333333333</v>
      </c>
      <c r="G23" s="94">
        <v>1.48875</v>
      </c>
      <c r="H23" s="94">
        <v>-1.06791666666667</v>
      </c>
      <c r="I23" s="94"/>
      <c r="J23" s="94"/>
      <c r="K23" s="94"/>
      <c r="L23" s="38" t="s">
        <v>98</v>
      </c>
      <c r="M23" s="95">
        <v>10.8954166666667</v>
      </c>
      <c r="N23" s="94">
        <v>12.942083333333301</v>
      </c>
      <c r="O23" s="94">
        <v>-2.04666666666667</v>
      </c>
      <c r="P23" s="99"/>
      <c r="Q23" s="94"/>
      <c r="R23" s="94"/>
      <c r="S23" s="94"/>
      <c r="T23" s="94"/>
      <c r="U23" s="94"/>
      <c r="V23" s="232"/>
      <c r="W23" s="232"/>
      <c r="X23" s="232"/>
      <c r="Y23" s="232"/>
      <c r="Z23" s="232"/>
      <c r="AA23" s="232"/>
      <c r="AB23" s="232"/>
    </row>
    <row r="24" spans="1:28" ht="10.75" customHeight="1">
      <c r="A24" s="199" t="s">
        <v>100</v>
      </c>
      <c r="B24" s="199"/>
      <c r="C24" s="94"/>
      <c r="D24" s="94"/>
      <c r="E24" s="94"/>
      <c r="F24" s="94">
        <v>0</v>
      </c>
      <c r="G24" s="94">
        <v>0</v>
      </c>
      <c r="H24" s="94">
        <v>0</v>
      </c>
      <c r="I24" s="94">
        <v>0</v>
      </c>
      <c r="J24" s="94">
        <v>0</v>
      </c>
      <c r="K24" s="94">
        <v>0</v>
      </c>
      <c r="L24" s="38" t="s">
        <v>100</v>
      </c>
      <c r="M24" s="94">
        <v>0</v>
      </c>
      <c r="N24" s="94">
        <v>0</v>
      </c>
      <c r="O24" s="94">
        <v>0</v>
      </c>
      <c r="P24" s="99"/>
      <c r="Q24" s="94"/>
      <c r="R24" s="94"/>
      <c r="S24" s="99"/>
      <c r="T24" s="94"/>
      <c r="U24" s="94"/>
      <c r="V24" s="232"/>
      <c r="W24" s="232"/>
      <c r="X24" s="232"/>
      <c r="Y24" s="232"/>
      <c r="Z24" s="232"/>
      <c r="AA24" s="232"/>
      <c r="AB24" s="232"/>
    </row>
    <row r="25" spans="1:28" ht="10.75" customHeight="1">
      <c r="A25" s="199" t="s">
        <v>102</v>
      </c>
      <c r="B25" s="199"/>
      <c r="C25" s="94"/>
      <c r="D25" s="94"/>
      <c r="E25" s="94"/>
      <c r="F25" s="94"/>
      <c r="G25" s="94"/>
      <c r="H25" s="94"/>
      <c r="I25" s="94">
        <v>82.417916666666699</v>
      </c>
      <c r="J25" s="94">
        <v>89.875</v>
      </c>
      <c r="K25" s="94">
        <v>-7.4570833333333297</v>
      </c>
      <c r="L25" s="38" t="s">
        <v>102</v>
      </c>
      <c r="M25" s="94">
        <v>67.176249999999996</v>
      </c>
      <c r="N25" s="94">
        <v>70.212083333333297</v>
      </c>
      <c r="O25" s="94">
        <v>-3.0358333333333301</v>
      </c>
      <c r="P25" s="94">
        <v>0</v>
      </c>
      <c r="Q25" s="94">
        <v>0</v>
      </c>
      <c r="R25" s="94">
        <v>0</v>
      </c>
      <c r="S25" s="94"/>
      <c r="T25" s="94"/>
      <c r="U25" s="94"/>
      <c r="V25" s="232"/>
      <c r="W25" s="232"/>
      <c r="X25" s="232"/>
      <c r="Y25" s="232"/>
      <c r="Z25" s="232"/>
      <c r="AA25" s="232"/>
      <c r="AB25" s="232"/>
    </row>
    <row r="26" spans="1:28" ht="10.75" customHeight="1">
      <c r="A26" s="199" t="s">
        <v>104</v>
      </c>
      <c r="B26" s="199"/>
      <c r="C26" s="97">
        <v>28.097916666666698</v>
      </c>
      <c r="D26" s="94">
        <v>36.271250000000002</v>
      </c>
      <c r="E26" s="94">
        <v>-8.1733333333333391</v>
      </c>
      <c r="F26" s="94"/>
      <c r="G26" s="94"/>
      <c r="H26" s="94"/>
      <c r="I26" s="94">
        <v>8.4091666666666693</v>
      </c>
      <c r="J26" s="94">
        <v>11.463333333333299</v>
      </c>
      <c r="K26" s="94">
        <v>0</v>
      </c>
      <c r="L26" s="38" t="s">
        <v>104</v>
      </c>
      <c r="M26" s="94">
        <v>12</v>
      </c>
      <c r="N26" s="94">
        <v>12</v>
      </c>
      <c r="O26" s="94">
        <v>0</v>
      </c>
      <c r="P26" s="94">
        <v>54.577500000000001</v>
      </c>
      <c r="Q26" s="94">
        <v>52.26</v>
      </c>
      <c r="R26" s="94">
        <v>2.3174999999999999</v>
      </c>
      <c r="S26" s="94">
        <v>81.042083333333295</v>
      </c>
      <c r="T26" s="94">
        <v>81.999583333333305</v>
      </c>
      <c r="U26" s="94">
        <v>-0.95749999999999003</v>
      </c>
      <c r="V26" s="232"/>
      <c r="W26" s="232"/>
      <c r="X26" s="232"/>
      <c r="Y26" s="232"/>
      <c r="Z26" s="232"/>
      <c r="AA26" s="232"/>
      <c r="AB26" s="232"/>
    </row>
    <row r="27" spans="1:28" ht="10.75" customHeight="1">
      <c r="A27" s="199" t="s">
        <v>106</v>
      </c>
      <c r="B27" s="199"/>
      <c r="C27" s="94"/>
      <c r="D27" s="94"/>
      <c r="E27" s="94"/>
      <c r="F27" s="94"/>
      <c r="G27" s="94"/>
      <c r="H27" s="94"/>
      <c r="I27" s="94"/>
      <c r="L27" s="38" t="s">
        <v>106</v>
      </c>
      <c r="M27" s="94"/>
      <c r="N27" s="94"/>
      <c r="O27" s="94"/>
      <c r="P27" s="94">
        <v>5.7287499999999998</v>
      </c>
      <c r="Q27" s="94">
        <v>5.5833333333333304</v>
      </c>
      <c r="R27" s="94">
        <v>0.145416666666667</v>
      </c>
      <c r="S27" s="99"/>
      <c r="T27" s="94"/>
      <c r="U27" s="94"/>
      <c r="V27" s="232"/>
      <c r="W27" s="232"/>
      <c r="X27" s="232"/>
      <c r="Y27" s="232"/>
      <c r="Z27" s="232"/>
      <c r="AA27" s="232"/>
      <c r="AB27" s="232"/>
    </row>
    <row r="28" spans="1:28" ht="10.75" customHeight="1">
      <c r="A28" s="199" t="s">
        <v>782</v>
      </c>
      <c r="B28" s="199"/>
      <c r="C28" s="94"/>
      <c r="D28" s="94"/>
      <c r="E28" s="94"/>
      <c r="F28" s="94"/>
      <c r="G28" s="94"/>
      <c r="H28" s="94"/>
      <c r="I28" s="94"/>
      <c r="J28" s="94"/>
      <c r="K28" s="94"/>
      <c r="L28" s="38" t="s">
        <v>782</v>
      </c>
      <c r="M28" s="94"/>
      <c r="N28" s="94"/>
      <c r="O28" s="94"/>
      <c r="P28" s="94">
        <v>1.09541666666667</v>
      </c>
      <c r="Q28" s="94">
        <v>1.18333333333333</v>
      </c>
      <c r="R28" s="94">
        <v>-8.7916666666666601E-2</v>
      </c>
      <c r="S28" s="99"/>
      <c r="T28" s="94"/>
      <c r="U28" s="94"/>
      <c r="V28" s="232"/>
      <c r="W28" s="232"/>
      <c r="X28" s="232"/>
      <c r="Y28" s="232"/>
      <c r="Z28" s="232"/>
      <c r="AA28" s="232"/>
      <c r="AB28" s="232"/>
    </row>
    <row r="29" spans="1:28" ht="10.75" customHeight="1">
      <c r="A29" s="199" t="s">
        <v>674</v>
      </c>
      <c r="B29" s="199"/>
      <c r="C29" s="94"/>
      <c r="D29" s="94"/>
      <c r="E29" s="94"/>
      <c r="F29" s="94"/>
      <c r="G29" s="94"/>
      <c r="H29" s="94"/>
      <c r="I29" s="94"/>
      <c r="J29" s="94"/>
      <c r="K29" s="94"/>
      <c r="L29" s="38" t="s">
        <v>674</v>
      </c>
      <c r="M29" s="94"/>
      <c r="N29" s="94"/>
      <c r="O29" s="94"/>
      <c r="P29" s="99"/>
      <c r="Q29" s="94"/>
      <c r="R29" s="94"/>
      <c r="S29" s="99"/>
      <c r="T29" s="94"/>
      <c r="U29" s="94"/>
      <c r="V29" s="232"/>
      <c r="W29" s="232"/>
      <c r="X29" s="232"/>
      <c r="Y29" s="232"/>
      <c r="Z29" s="232"/>
      <c r="AA29" s="232"/>
      <c r="AB29" s="232"/>
    </row>
    <row r="30" spans="1:28" ht="10.75" customHeight="1">
      <c r="A30" s="199" t="s">
        <v>824</v>
      </c>
      <c r="B30" s="199"/>
      <c r="C30" s="94"/>
      <c r="D30" s="94"/>
      <c r="E30" s="94"/>
      <c r="F30" s="94"/>
      <c r="G30" s="94"/>
      <c r="H30" s="94"/>
      <c r="I30" s="94"/>
      <c r="J30" s="94"/>
      <c r="K30" s="94"/>
      <c r="L30" s="38" t="s">
        <v>785</v>
      </c>
      <c r="M30" s="94"/>
      <c r="N30" s="94"/>
      <c r="O30" s="94"/>
      <c r="P30" s="94">
        <v>0</v>
      </c>
      <c r="Q30" s="94">
        <v>0</v>
      </c>
      <c r="R30" s="94">
        <v>0</v>
      </c>
      <c r="S30" s="99"/>
      <c r="T30" s="94"/>
      <c r="U30" s="94"/>
      <c r="V30" s="232"/>
      <c r="W30" s="232"/>
      <c r="X30" s="232"/>
      <c r="Y30" s="232"/>
      <c r="Z30" s="232"/>
      <c r="AA30" s="232"/>
      <c r="AB30" s="232"/>
    </row>
    <row r="31" spans="1:28" ht="10.75" customHeight="1">
      <c r="A31" s="199" t="s">
        <v>787</v>
      </c>
      <c r="B31" s="199"/>
      <c r="C31" s="94"/>
      <c r="D31" s="94"/>
      <c r="E31" s="94"/>
      <c r="F31" s="94"/>
      <c r="G31" s="94"/>
      <c r="H31" s="94"/>
      <c r="I31" s="94"/>
      <c r="J31" s="94"/>
      <c r="K31" s="94"/>
      <c r="L31" s="38" t="s">
        <v>787</v>
      </c>
      <c r="M31" s="94"/>
      <c r="N31" s="94"/>
      <c r="O31" s="94"/>
      <c r="P31" s="94">
        <v>4.7829166666666696</v>
      </c>
      <c r="Q31" s="94">
        <v>4.7483333333333304</v>
      </c>
      <c r="R31" s="94">
        <v>3.4583333333333903E-2</v>
      </c>
      <c r="S31" s="94">
        <v>25.2679166666667</v>
      </c>
      <c r="T31" s="94">
        <v>24.2016666666667</v>
      </c>
      <c r="U31" s="94">
        <v>1.0662499999999999</v>
      </c>
      <c r="V31" s="232"/>
      <c r="W31" s="232"/>
      <c r="X31" s="232"/>
      <c r="Y31" s="232"/>
      <c r="Z31" s="232"/>
      <c r="AA31" s="232"/>
      <c r="AB31" s="232"/>
    </row>
    <row r="32" spans="1:28" ht="10.75" customHeight="1">
      <c r="A32" s="199" t="s">
        <v>756</v>
      </c>
      <c r="B32" s="199"/>
      <c r="C32" s="94"/>
      <c r="D32" s="94"/>
      <c r="E32" s="94"/>
      <c r="F32" s="94"/>
      <c r="G32" s="94"/>
      <c r="H32" s="94"/>
      <c r="I32" s="94"/>
      <c r="J32" s="94"/>
      <c r="K32" s="94"/>
      <c r="L32" s="38" t="s">
        <v>838</v>
      </c>
      <c r="M32" s="94">
        <v>47.003333333333302</v>
      </c>
      <c r="N32" s="94">
        <v>46.179583333333298</v>
      </c>
      <c r="O32" s="94">
        <v>0.82374999999999998</v>
      </c>
      <c r="P32" s="99"/>
      <c r="Q32" s="94"/>
      <c r="R32" s="94"/>
      <c r="S32" s="99"/>
      <c r="T32" s="94"/>
      <c r="U32" s="94"/>
      <c r="V32" s="232"/>
      <c r="W32" s="232"/>
      <c r="X32" s="232"/>
      <c r="Y32" s="232"/>
      <c r="Z32" s="232"/>
      <c r="AA32" s="232"/>
      <c r="AB32" s="232"/>
    </row>
    <row r="33" spans="1:28" ht="10.75" customHeight="1">
      <c r="A33" s="199" t="s">
        <v>754</v>
      </c>
      <c r="B33" s="199"/>
      <c r="C33" s="95">
        <v>108.25</v>
      </c>
      <c r="D33" s="94">
        <v>92.9583333333333</v>
      </c>
      <c r="E33" s="94">
        <v>15.2916666666667</v>
      </c>
      <c r="F33" s="94">
        <v>24.317916666666701</v>
      </c>
      <c r="G33" s="94">
        <v>23.935833333333299</v>
      </c>
      <c r="H33" s="94">
        <v>0.38208333333333</v>
      </c>
      <c r="I33" s="94"/>
      <c r="J33" s="94"/>
      <c r="K33" s="94"/>
      <c r="L33" s="38" t="s">
        <v>839</v>
      </c>
      <c r="M33" s="94">
        <v>29.317916666666701</v>
      </c>
      <c r="N33" s="94">
        <v>28.935833333333299</v>
      </c>
      <c r="O33" s="94">
        <v>0.38208333333333</v>
      </c>
      <c r="P33" s="94">
        <v>0</v>
      </c>
      <c r="Q33" s="94">
        <v>0</v>
      </c>
      <c r="R33" s="94">
        <v>0</v>
      </c>
      <c r="S33" s="99"/>
      <c r="T33" s="94"/>
      <c r="U33" s="94"/>
      <c r="V33" s="232"/>
      <c r="W33" s="232"/>
      <c r="X33" s="232"/>
      <c r="Y33" s="232"/>
      <c r="Z33" s="232"/>
      <c r="AA33" s="232"/>
      <c r="AB33" s="232"/>
    </row>
    <row r="34" spans="1:28" ht="10.75" customHeight="1">
      <c r="A34" s="199" t="s">
        <v>791</v>
      </c>
      <c r="B34" s="199"/>
      <c r="C34" s="94"/>
      <c r="D34" s="94"/>
      <c r="E34" s="94"/>
      <c r="F34" s="94"/>
      <c r="G34" s="94"/>
      <c r="H34" s="94"/>
      <c r="I34" s="94"/>
      <c r="J34" s="94"/>
      <c r="K34" s="94"/>
      <c r="L34" s="38" t="s">
        <v>791</v>
      </c>
      <c r="M34" s="94"/>
      <c r="N34" s="94"/>
      <c r="O34" s="94"/>
      <c r="P34" s="94">
        <v>3.0020833333333301</v>
      </c>
      <c r="Q34" s="94">
        <v>3.0020833333333301</v>
      </c>
      <c r="R34" s="94">
        <v>0</v>
      </c>
      <c r="S34" s="99"/>
      <c r="T34" s="94"/>
      <c r="U34" s="94"/>
      <c r="V34" s="232"/>
      <c r="W34" s="232"/>
      <c r="X34" s="232"/>
      <c r="Y34" s="232"/>
      <c r="Z34" s="232"/>
      <c r="AA34" s="232"/>
      <c r="AB34" s="232"/>
    </row>
    <row r="35" spans="1:28" ht="10.75" customHeight="1">
      <c r="A35" s="199" t="s">
        <v>794</v>
      </c>
      <c r="B35" s="199"/>
      <c r="C35" s="38"/>
      <c r="D35" s="38"/>
      <c r="E35" s="94"/>
      <c r="F35" s="94"/>
      <c r="G35" s="38"/>
      <c r="H35" s="94"/>
      <c r="I35" s="94"/>
      <c r="J35" s="38"/>
      <c r="K35" s="94"/>
      <c r="L35" s="38" t="s">
        <v>794</v>
      </c>
      <c r="M35" s="94"/>
      <c r="N35" s="94"/>
      <c r="O35" s="94"/>
      <c r="P35" s="94">
        <v>33.477499999999999</v>
      </c>
      <c r="Q35" s="94">
        <v>31.94875</v>
      </c>
      <c r="R35" s="94">
        <v>1.5287500000000001</v>
      </c>
      <c r="S35" s="99"/>
      <c r="T35" s="94"/>
      <c r="U35" s="94"/>
      <c r="V35" s="232"/>
      <c r="W35" s="232"/>
      <c r="X35" s="232"/>
      <c r="Y35" s="232"/>
      <c r="Z35" s="232"/>
      <c r="AA35" s="232"/>
      <c r="AB35" s="232"/>
    </row>
    <row r="36" spans="1:28" ht="10.75" customHeight="1">
      <c r="A36" s="198" t="s">
        <v>797</v>
      </c>
      <c r="B36" s="198"/>
      <c r="C36" s="94">
        <v>598.35791666666705</v>
      </c>
      <c r="D36" s="94">
        <v>599.59708333333299</v>
      </c>
      <c r="E36" s="94">
        <v>-1.2391666666666199</v>
      </c>
      <c r="F36" s="94">
        <v>149.410416666667</v>
      </c>
      <c r="G36" s="94">
        <v>153.114583333333</v>
      </c>
      <c r="H36" s="94">
        <v>-3.7041666666666502</v>
      </c>
      <c r="I36" s="94">
        <v>120.85625</v>
      </c>
      <c r="J36" s="94">
        <v>131.99791666666701</v>
      </c>
      <c r="K36" s="94">
        <v>-11.141666666666699</v>
      </c>
      <c r="L36" s="94" t="s">
        <v>797</v>
      </c>
      <c r="M36" s="94">
        <v>519.80624999999998</v>
      </c>
      <c r="N36" s="94">
        <v>527.04375000000005</v>
      </c>
      <c r="O36" s="94">
        <v>-7.2374999999999003</v>
      </c>
      <c r="P36" s="94">
        <v>152.34541666666701</v>
      </c>
      <c r="Q36" s="94">
        <v>148.613333333333</v>
      </c>
      <c r="R36" s="94">
        <v>3.7320833333333199</v>
      </c>
      <c r="S36" s="94">
        <v>145.75</v>
      </c>
      <c r="T36" s="94">
        <v>141.072916666667</v>
      </c>
      <c r="U36" s="94">
        <v>4.6770833333333401</v>
      </c>
      <c r="V36" s="232"/>
      <c r="W36" s="232"/>
      <c r="X36" s="232"/>
      <c r="Y36" s="232"/>
      <c r="Z36" s="232"/>
      <c r="AA36" s="232"/>
      <c r="AB36" s="232"/>
    </row>
    <row r="37" spans="1:28" ht="10.75" customHeight="1">
      <c r="A37" s="202" t="s">
        <v>840</v>
      </c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 t="s">
        <v>841</v>
      </c>
      <c r="M37" s="202"/>
      <c r="N37" s="202"/>
      <c r="O37" s="202"/>
      <c r="P37" s="202"/>
      <c r="Q37" s="202"/>
      <c r="R37" s="202"/>
      <c r="S37" s="202"/>
      <c r="T37" s="202"/>
      <c r="U37" s="202"/>
      <c r="V37" s="232"/>
      <c r="W37" s="232"/>
      <c r="X37" s="232"/>
      <c r="Y37" s="232"/>
      <c r="Z37" s="232"/>
      <c r="AA37" s="232"/>
      <c r="AB37" s="232"/>
    </row>
    <row r="38" spans="1:28" ht="10.75" customHeight="1">
      <c r="A38" s="196" t="s">
        <v>842</v>
      </c>
      <c r="B38" s="196" t="s">
        <v>64</v>
      </c>
      <c r="C38" s="196"/>
      <c r="D38" s="196" t="s">
        <v>39</v>
      </c>
      <c r="E38" s="227" t="s">
        <v>292</v>
      </c>
      <c r="F38" s="227"/>
      <c r="G38" s="227"/>
      <c r="H38" s="227" t="s">
        <v>304</v>
      </c>
      <c r="I38" s="227"/>
      <c r="J38" s="227"/>
      <c r="K38" s="227" t="s">
        <v>843</v>
      </c>
      <c r="L38" s="79" t="s">
        <v>842</v>
      </c>
      <c r="M38" s="79" t="s">
        <v>64</v>
      </c>
      <c r="N38" s="225" t="s">
        <v>6</v>
      </c>
      <c r="O38" s="225"/>
      <c r="P38" s="79" t="s">
        <v>123</v>
      </c>
      <c r="Q38" s="79" t="s">
        <v>842</v>
      </c>
      <c r="R38" s="79" t="s">
        <v>64</v>
      </c>
      <c r="S38" s="225" t="s">
        <v>6</v>
      </c>
      <c r="T38" s="225"/>
      <c r="U38" s="79" t="s">
        <v>123</v>
      </c>
      <c r="V38" s="232"/>
      <c r="W38" s="232"/>
      <c r="X38" s="232"/>
      <c r="Y38" s="232"/>
      <c r="Z38" s="232"/>
      <c r="AA38" s="232"/>
      <c r="AB38" s="232"/>
    </row>
    <row r="39" spans="1:28" ht="10.75" customHeight="1">
      <c r="A39" s="196"/>
      <c r="B39" s="196"/>
      <c r="C39" s="196"/>
      <c r="D39" s="196"/>
      <c r="E39" s="38" t="s">
        <v>4</v>
      </c>
      <c r="F39" s="38" t="s">
        <v>332</v>
      </c>
      <c r="G39" s="38" t="s">
        <v>716</v>
      </c>
      <c r="H39" s="38" t="s">
        <v>4</v>
      </c>
      <c r="I39" s="38" t="s">
        <v>332</v>
      </c>
      <c r="J39" s="38" t="s">
        <v>716</v>
      </c>
      <c r="K39" s="227"/>
      <c r="L39" s="199" t="s">
        <v>844</v>
      </c>
      <c r="M39" s="199" t="s">
        <v>845</v>
      </c>
      <c r="N39" s="199" t="s">
        <v>846</v>
      </c>
      <c r="O39" s="199"/>
      <c r="P39" s="101">
        <v>348.79320000000001</v>
      </c>
      <c r="Q39" s="199" t="s">
        <v>847</v>
      </c>
      <c r="R39" s="199" t="s">
        <v>801</v>
      </c>
      <c r="S39" s="199" t="s">
        <v>848</v>
      </c>
      <c r="T39" s="199"/>
      <c r="U39" s="103">
        <v>132.15860000000001</v>
      </c>
      <c r="V39" s="232"/>
      <c r="W39" s="232"/>
      <c r="X39" s="232"/>
      <c r="Y39" s="232"/>
      <c r="Z39" s="232"/>
      <c r="AA39" s="232"/>
      <c r="AB39" s="232"/>
    </row>
    <row r="40" spans="1:28" ht="10.75" customHeight="1">
      <c r="A40" s="199" t="s">
        <v>844</v>
      </c>
      <c r="B40" s="199" t="s">
        <v>77</v>
      </c>
      <c r="C40" s="199"/>
      <c r="D40" s="94"/>
      <c r="E40" s="94">
        <v>1455.252</v>
      </c>
      <c r="F40" s="94">
        <v>0</v>
      </c>
      <c r="G40" s="94">
        <v>1455.252</v>
      </c>
      <c r="H40" s="94">
        <v>2329.1849999999999</v>
      </c>
      <c r="I40" s="94">
        <v>0</v>
      </c>
      <c r="J40" s="94">
        <v>2329.1849999999999</v>
      </c>
      <c r="K40" s="201"/>
      <c r="L40" s="199"/>
      <c r="M40" s="199"/>
      <c r="N40" s="199" t="s">
        <v>849</v>
      </c>
      <c r="O40" s="199"/>
      <c r="P40" s="101">
        <v>369.76889999999997</v>
      </c>
      <c r="Q40" s="199"/>
      <c r="R40" s="199"/>
      <c r="S40" s="199" t="s">
        <v>850</v>
      </c>
      <c r="T40" s="199"/>
      <c r="U40" s="103">
        <v>135.09790000000001</v>
      </c>
      <c r="V40" s="232"/>
      <c r="W40" s="232"/>
      <c r="X40" s="232"/>
      <c r="Y40" s="232"/>
      <c r="Z40" s="232"/>
      <c r="AA40" s="232"/>
      <c r="AB40" s="232"/>
    </row>
    <row r="41" spans="1:28" ht="10.75" customHeight="1">
      <c r="A41" s="199"/>
      <c r="B41" s="199" t="s">
        <v>79</v>
      </c>
      <c r="C41" s="199"/>
      <c r="D41" s="94"/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201"/>
      <c r="L41" s="199"/>
      <c r="M41" s="199"/>
      <c r="N41" s="199" t="s">
        <v>851</v>
      </c>
      <c r="O41" s="199"/>
      <c r="P41" s="102">
        <v>6.1020750000000001</v>
      </c>
      <c r="Q41" s="199"/>
      <c r="R41" s="199"/>
      <c r="S41" s="199" t="s">
        <v>852</v>
      </c>
      <c r="T41" s="199"/>
      <c r="U41" s="106">
        <v>8.8393459999999993E-2</v>
      </c>
      <c r="V41" s="232"/>
      <c r="W41" s="232"/>
      <c r="X41" s="232"/>
      <c r="Y41" s="232"/>
      <c r="Z41" s="232"/>
      <c r="AA41" s="232"/>
      <c r="AB41" s="232"/>
    </row>
    <row r="42" spans="1:28" ht="10.75" customHeight="1">
      <c r="A42" s="199"/>
      <c r="B42" s="199" t="s">
        <v>81</v>
      </c>
      <c r="C42" s="199"/>
      <c r="D42" s="98"/>
      <c r="E42" s="94">
        <v>291.60000000000002</v>
      </c>
      <c r="F42" s="94">
        <v>133.989</v>
      </c>
      <c r="G42" s="94">
        <v>157.61099999999999</v>
      </c>
      <c r="H42" s="94">
        <v>0</v>
      </c>
      <c r="I42" s="94">
        <v>0</v>
      </c>
      <c r="J42" s="94">
        <v>0</v>
      </c>
      <c r="K42" s="201"/>
      <c r="L42" s="199"/>
      <c r="M42" s="199" t="s">
        <v>853</v>
      </c>
      <c r="N42" s="199" t="s">
        <v>854</v>
      </c>
      <c r="O42" s="199"/>
      <c r="P42" s="103">
        <v>292.55029999999999</v>
      </c>
      <c r="Q42" s="199"/>
      <c r="R42" s="199"/>
      <c r="S42" s="198" t="s">
        <v>855</v>
      </c>
      <c r="T42" s="198"/>
      <c r="U42" s="103">
        <v>90</v>
      </c>
      <c r="V42" s="232"/>
      <c r="W42" s="232"/>
      <c r="X42" s="232"/>
      <c r="Y42" s="232"/>
      <c r="Z42" s="232"/>
      <c r="AA42" s="232"/>
      <c r="AB42" s="232"/>
    </row>
    <row r="43" spans="1:28" ht="10.75" customHeight="1">
      <c r="A43" s="199"/>
      <c r="B43" s="199" t="s">
        <v>84</v>
      </c>
      <c r="C43" s="199"/>
      <c r="D43" s="98"/>
      <c r="E43" s="94">
        <v>0</v>
      </c>
      <c r="F43" s="94">
        <v>0</v>
      </c>
      <c r="G43" s="94">
        <v>0</v>
      </c>
      <c r="H43" s="94">
        <v>0</v>
      </c>
      <c r="I43" s="94">
        <v>0</v>
      </c>
      <c r="J43" s="94">
        <v>0</v>
      </c>
      <c r="K43" s="201"/>
      <c r="L43" s="199"/>
      <c r="M43" s="199"/>
      <c r="N43" s="199" t="s">
        <v>856</v>
      </c>
      <c r="O43" s="199"/>
      <c r="P43" s="104">
        <v>221.79689999999999</v>
      </c>
      <c r="Q43" s="199"/>
      <c r="R43" s="199" t="s">
        <v>857</v>
      </c>
      <c r="S43" s="199" t="s">
        <v>858</v>
      </c>
      <c r="T43" s="199"/>
      <c r="U43" s="106">
        <v>1.152347</v>
      </c>
      <c r="V43" s="232"/>
      <c r="W43" s="232"/>
      <c r="X43" s="232"/>
      <c r="Y43" s="232"/>
      <c r="Z43" s="232"/>
      <c r="AA43" s="232"/>
      <c r="AB43" s="232"/>
    </row>
    <row r="44" spans="1:28" ht="10.75" customHeight="1">
      <c r="A44" s="199"/>
      <c r="B44" s="199" t="s">
        <v>86</v>
      </c>
      <c r="C44" s="199"/>
      <c r="D44" s="98"/>
      <c r="E44" s="94">
        <v>0</v>
      </c>
      <c r="F44" s="94">
        <v>0</v>
      </c>
      <c r="G44" s="94">
        <v>0</v>
      </c>
      <c r="H44" s="94">
        <v>0</v>
      </c>
      <c r="I44" s="94">
        <v>0</v>
      </c>
      <c r="J44" s="94">
        <v>0</v>
      </c>
      <c r="K44" s="201"/>
      <c r="L44" s="199"/>
      <c r="M44" s="199"/>
      <c r="N44" s="199" t="s">
        <v>859</v>
      </c>
      <c r="O44" s="199"/>
      <c r="P44" s="105">
        <v>27.208500000000001</v>
      </c>
      <c r="Q44" s="199"/>
      <c r="R44" s="199"/>
      <c r="S44" s="199" t="s">
        <v>860</v>
      </c>
      <c r="T44" s="199"/>
      <c r="U44" s="103">
        <v>45.856569999999998</v>
      </c>
      <c r="V44" s="232"/>
      <c r="W44" s="232"/>
      <c r="X44" s="232"/>
      <c r="Y44" s="232"/>
      <c r="Z44" s="232"/>
      <c r="AA44" s="232"/>
      <c r="AB44" s="232"/>
    </row>
    <row r="45" spans="1:28" ht="10.75" customHeight="1">
      <c r="A45" s="199"/>
      <c r="B45" s="199" t="s">
        <v>94</v>
      </c>
      <c r="C45" s="199"/>
      <c r="D45" s="98"/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4">
        <v>0</v>
      </c>
      <c r="K45" s="201"/>
      <c r="L45" s="199"/>
      <c r="M45" s="199" t="s">
        <v>81</v>
      </c>
      <c r="N45" s="199" t="s">
        <v>861</v>
      </c>
      <c r="O45" s="199"/>
      <c r="P45" s="103">
        <v>201.45699999999999</v>
      </c>
      <c r="Q45" s="199"/>
      <c r="R45" s="199"/>
      <c r="S45" s="199" t="s">
        <v>862</v>
      </c>
      <c r="T45" s="199"/>
      <c r="U45" s="103">
        <v>105.7603</v>
      </c>
      <c r="V45" s="232"/>
      <c r="W45" s="232"/>
      <c r="X45" s="232"/>
      <c r="Y45" s="232"/>
      <c r="Z45" s="232"/>
      <c r="AA45" s="232"/>
      <c r="AB45" s="232"/>
    </row>
    <row r="46" spans="1:28" ht="10.75" customHeight="1">
      <c r="A46" s="199"/>
      <c r="B46" s="199" t="s">
        <v>97</v>
      </c>
      <c r="C46" s="199"/>
      <c r="D46" s="98"/>
      <c r="E46" s="94">
        <v>0</v>
      </c>
      <c r="F46" s="94">
        <v>0</v>
      </c>
      <c r="G46" s="94">
        <v>0</v>
      </c>
      <c r="H46" s="94">
        <v>0</v>
      </c>
      <c r="I46" s="94">
        <v>0</v>
      </c>
      <c r="J46" s="94">
        <v>0</v>
      </c>
      <c r="K46" s="201"/>
      <c r="L46" s="199"/>
      <c r="M46" s="199"/>
      <c r="N46" s="199" t="s">
        <v>863</v>
      </c>
      <c r="O46" s="199"/>
      <c r="P46" s="103">
        <v>142.75659999999999</v>
      </c>
      <c r="Q46" s="199"/>
      <c r="R46" s="199" t="s">
        <v>82</v>
      </c>
      <c r="S46" s="199" t="s">
        <v>864</v>
      </c>
      <c r="T46" s="199"/>
      <c r="U46" s="103">
        <v>17.96021</v>
      </c>
      <c r="V46" s="232"/>
      <c r="W46" s="232"/>
      <c r="X46" s="232"/>
      <c r="Y46" s="232"/>
      <c r="Z46" s="232"/>
      <c r="AA46" s="232"/>
      <c r="AB46" s="232"/>
    </row>
    <row r="47" spans="1:28" ht="10.75" customHeight="1">
      <c r="A47" s="199" t="s">
        <v>847</v>
      </c>
      <c r="B47" s="199" t="s">
        <v>101</v>
      </c>
      <c r="C47" s="199"/>
      <c r="D47" s="98"/>
      <c r="E47" s="94">
        <v>0</v>
      </c>
      <c r="F47" s="94">
        <v>0</v>
      </c>
      <c r="G47" s="94">
        <v>0</v>
      </c>
      <c r="H47" s="94">
        <v>0</v>
      </c>
      <c r="I47" s="94">
        <v>0</v>
      </c>
      <c r="J47" s="94">
        <v>0</v>
      </c>
      <c r="K47" s="199"/>
      <c r="L47" s="199"/>
      <c r="M47" s="199" t="s">
        <v>99</v>
      </c>
      <c r="N47" s="199" t="s">
        <v>865</v>
      </c>
      <c r="O47" s="199"/>
      <c r="P47" s="103">
        <v>65.464230000000001</v>
      </c>
      <c r="Q47" s="199"/>
      <c r="R47" s="199"/>
      <c r="S47" s="199" t="s">
        <v>866</v>
      </c>
      <c r="T47" s="199"/>
      <c r="U47" s="103">
        <v>17.823139999999999</v>
      </c>
      <c r="V47" s="232"/>
      <c r="W47" s="232"/>
      <c r="X47" s="232"/>
      <c r="Y47" s="232"/>
      <c r="Z47" s="232"/>
      <c r="AA47" s="232"/>
      <c r="AB47" s="232"/>
    </row>
    <row r="48" spans="1:28" ht="10.75" customHeight="1">
      <c r="A48" s="199"/>
      <c r="B48" s="199" t="s">
        <v>103</v>
      </c>
      <c r="C48" s="199"/>
      <c r="D48" s="98"/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>
        <v>0</v>
      </c>
      <c r="K48" s="199"/>
      <c r="L48" s="199"/>
      <c r="M48" s="199"/>
      <c r="N48" s="199" t="s">
        <v>867</v>
      </c>
      <c r="O48" s="199"/>
      <c r="P48" s="103">
        <v>105.30410000000001</v>
      </c>
      <c r="Q48" s="199"/>
      <c r="R48" s="199"/>
      <c r="S48" s="199" t="s">
        <v>868</v>
      </c>
      <c r="T48" s="199"/>
      <c r="U48" s="99">
        <v>3.6</v>
      </c>
      <c r="V48" s="232"/>
      <c r="W48" s="232"/>
      <c r="X48" s="232"/>
      <c r="Y48" s="232"/>
      <c r="Z48" s="232"/>
      <c r="AA48" s="232"/>
      <c r="AB48" s="232"/>
    </row>
    <row r="49" spans="1:28" ht="10.75" customHeight="1">
      <c r="A49" s="199"/>
      <c r="B49" s="199" t="s">
        <v>105</v>
      </c>
      <c r="C49" s="199"/>
      <c r="D49" s="98"/>
      <c r="E49" s="94">
        <v>0</v>
      </c>
      <c r="F49" s="94">
        <v>0</v>
      </c>
      <c r="G49" s="94">
        <v>0</v>
      </c>
      <c r="H49" s="94">
        <v>0</v>
      </c>
      <c r="I49" s="94">
        <v>0</v>
      </c>
      <c r="J49" s="94">
        <v>0</v>
      </c>
      <c r="K49" s="199"/>
      <c r="L49" s="199"/>
      <c r="M49" s="199" t="s">
        <v>86</v>
      </c>
      <c r="N49" s="199" t="s">
        <v>869</v>
      </c>
      <c r="O49" s="199"/>
      <c r="P49" s="103">
        <v>181.05250000000001</v>
      </c>
      <c r="Q49" s="199"/>
      <c r="R49" s="229" t="s">
        <v>85</v>
      </c>
      <c r="S49" s="228" t="s">
        <v>864</v>
      </c>
      <c r="T49" s="228"/>
      <c r="U49" s="106">
        <v>580.34889999999996</v>
      </c>
      <c r="V49" s="232"/>
      <c r="W49" s="232"/>
      <c r="X49" s="232"/>
      <c r="Y49" s="232"/>
      <c r="Z49" s="232"/>
      <c r="AA49" s="232"/>
      <c r="AB49" s="232"/>
    </row>
    <row r="50" spans="1:28" ht="10.75" customHeight="1">
      <c r="A50" s="199"/>
      <c r="B50" s="199" t="s">
        <v>78</v>
      </c>
      <c r="C50" s="199"/>
      <c r="D50" s="98"/>
      <c r="E50" s="94">
        <v>0</v>
      </c>
      <c r="F50" s="94">
        <v>0</v>
      </c>
      <c r="G50" s="94">
        <v>0</v>
      </c>
      <c r="H50" s="94">
        <v>0</v>
      </c>
      <c r="I50" s="94">
        <v>0</v>
      </c>
      <c r="J50" s="94">
        <v>0</v>
      </c>
      <c r="K50" s="199"/>
      <c r="L50" s="199"/>
      <c r="M50" s="199"/>
      <c r="N50" s="199" t="s">
        <v>870</v>
      </c>
      <c r="O50" s="199"/>
      <c r="P50" s="103">
        <v>138.45509999999999</v>
      </c>
      <c r="Q50" s="199"/>
      <c r="R50" s="229"/>
      <c r="S50" s="199" t="s">
        <v>866</v>
      </c>
      <c r="T50" s="199"/>
      <c r="U50" s="103">
        <v>800.35860000000002</v>
      </c>
      <c r="V50" s="232"/>
      <c r="W50" s="232"/>
      <c r="X50" s="232"/>
      <c r="Y50" s="232"/>
      <c r="Z50" s="232"/>
      <c r="AA50" s="232"/>
      <c r="AB50" s="232"/>
    </row>
    <row r="51" spans="1:28" ht="10.75" customHeight="1">
      <c r="A51" s="199"/>
      <c r="B51" s="199" t="s">
        <v>80</v>
      </c>
      <c r="C51" s="199"/>
      <c r="D51" s="98"/>
      <c r="E51" s="94">
        <v>0</v>
      </c>
      <c r="F51" s="94">
        <v>0</v>
      </c>
      <c r="G51" s="94">
        <v>0</v>
      </c>
      <c r="H51" s="94">
        <v>0</v>
      </c>
      <c r="I51" s="94">
        <v>0</v>
      </c>
      <c r="J51" s="94">
        <v>0</v>
      </c>
      <c r="K51" s="199"/>
      <c r="L51" s="199"/>
      <c r="M51" s="199" t="s">
        <v>779</v>
      </c>
      <c r="N51" s="199" t="s">
        <v>854</v>
      </c>
      <c r="O51" s="199"/>
      <c r="P51" s="103">
        <v>520.06780000000003</v>
      </c>
      <c r="Q51" s="199"/>
      <c r="R51" s="229"/>
      <c r="S51" s="199" t="s">
        <v>868</v>
      </c>
      <c r="T51" s="199"/>
      <c r="U51" s="106">
        <v>3.4230830000000001</v>
      </c>
      <c r="V51" s="232"/>
      <c r="W51" s="232"/>
      <c r="X51" s="232"/>
      <c r="Y51" s="232"/>
      <c r="Z51" s="232"/>
      <c r="AA51" s="232"/>
      <c r="AB51" s="232"/>
    </row>
    <row r="52" spans="1:28" ht="10.75" customHeight="1">
      <c r="A52" s="199"/>
      <c r="B52" s="199" t="s">
        <v>82</v>
      </c>
      <c r="C52" s="199"/>
      <c r="D52" s="98"/>
      <c r="E52" s="94">
        <v>0</v>
      </c>
      <c r="F52" s="94">
        <v>0</v>
      </c>
      <c r="G52" s="94">
        <v>0</v>
      </c>
      <c r="H52" s="94">
        <v>0</v>
      </c>
      <c r="I52" s="94">
        <v>0</v>
      </c>
      <c r="J52" s="94">
        <v>0</v>
      </c>
      <c r="K52" s="199"/>
      <c r="L52" s="199"/>
      <c r="M52" s="199"/>
      <c r="N52" s="199" t="s">
        <v>871</v>
      </c>
      <c r="O52" s="199"/>
      <c r="P52" s="103">
        <v>701.36869999999999</v>
      </c>
      <c r="Q52" s="199" t="s">
        <v>872</v>
      </c>
      <c r="R52" s="199" t="s">
        <v>815</v>
      </c>
      <c r="S52" s="199" t="s">
        <v>854</v>
      </c>
      <c r="T52" s="199"/>
      <c r="U52" s="105">
        <v>321.89999999999998</v>
      </c>
      <c r="V52" s="232"/>
      <c r="W52" s="232"/>
      <c r="X52" s="232"/>
      <c r="Y52" s="232"/>
      <c r="Z52" s="232"/>
      <c r="AA52" s="232"/>
      <c r="AB52" s="232"/>
    </row>
    <row r="53" spans="1:28" ht="10.75" customHeight="1">
      <c r="A53" s="199"/>
      <c r="B53" s="199" t="s">
        <v>85</v>
      </c>
      <c r="C53" s="199"/>
      <c r="D53" s="98"/>
      <c r="E53" s="94">
        <v>0</v>
      </c>
      <c r="F53" s="94">
        <v>0</v>
      </c>
      <c r="G53" s="94">
        <v>0</v>
      </c>
      <c r="H53" s="94">
        <v>0</v>
      </c>
      <c r="I53" s="94">
        <v>0</v>
      </c>
      <c r="J53" s="94">
        <v>0</v>
      </c>
      <c r="K53" s="199"/>
      <c r="L53" s="199"/>
      <c r="M53" s="199"/>
      <c r="N53" s="199" t="s">
        <v>873</v>
      </c>
      <c r="O53" s="199"/>
      <c r="P53" s="103">
        <v>676.2604</v>
      </c>
      <c r="Q53" s="199"/>
      <c r="R53" s="199"/>
      <c r="S53" s="199" t="s">
        <v>874</v>
      </c>
      <c r="T53" s="199"/>
      <c r="U53" s="106">
        <v>6.8054410000000001</v>
      </c>
      <c r="V53" s="232"/>
      <c r="W53" s="232"/>
      <c r="X53" s="232"/>
      <c r="Y53" s="232"/>
      <c r="Z53" s="232"/>
      <c r="AA53" s="232"/>
      <c r="AB53" s="232"/>
    </row>
    <row r="54" spans="1:28" ht="10.75" customHeight="1">
      <c r="A54" s="199"/>
      <c r="B54" s="199" t="s">
        <v>674</v>
      </c>
      <c r="C54" s="199"/>
      <c r="D54" s="98"/>
      <c r="E54" s="94">
        <v>0</v>
      </c>
      <c r="F54" s="94">
        <v>0</v>
      </c>
      <c r="G54" s="94">
        <v>0</v>
      </c>
      <c r="H54" s="94">
        <v>0</v>
      </c>
      <c r="I54" s="94">
        <v>0</v>
      </c>
      <c r="J54" s="94">
        <v>0</v>
      </c>
      <c r="K54" s="199"/>
      <c r="L54" s="199"/>
      <c r="M54" s="199"/>
      <c r="N54" s="199" t="s">
        <v>875</v>
      </c>
      <c r="O54" s="199"/>
      <c r="P54" s="103">
        <v>183.2</v>
      </c>
      <c r="Q54" s="199"/>
      <c r="R54" s="199"/>
      <c r="S54" s="199" t="s">
        <v>876</v>
      </c>
      <c r="T54" s="199"/>
      <c r="U54" s="104">
        <v>177.81549999999999</v>
      </c>
      <c r="V54" s="232"/>
      <c r="W54" s="232"/>
      <c r="X54" s="232"/>
      <c r="Y54" s="232"/>
      <c r="Z54" s="232"/>
      <c r="AA54" s="232"/>
      <c r="AB54" s="232"/>
    </row>
    <row r="55" spans="1:28" ht="10.75" customHeight="1">
      <c r="A55" s="199" t="s">
        <v>872</v>
      </c>
      <c r="B55" s="199" t="s">
        <v>95</v>
      </c>
      <c r="C55" s="199"/>
      <c r="D55" s="98"/>
      <c r="E55" s="94">
        <v>0</v>
      </c>
      <c r="F55" s="94">
        <v>0</v>
      </c>
      <c r="G55" s="94">
        <v>0</v>
      </c>
      <c r="H55" s="94">
        <v>80</v>
      </c>
      <c r="I55" s="94">
        <v>0</v>
      </c>
      <c r="J55" s="94">
        <v>80</v>
      </c>
      <c r="K55" s="201"/>
      <c r="L55" s="199"/>
      <c r="M55" s="199"/>
      <c r="N55" s="199" t="s">
        <v>877</v>
      </c>
      <c r="O55" s="199"/>
      <c r="P55" s="103">
        <v>332.40309999999999</v>
      </c>
      <c r="Q55" s="199"/>
      <c r="R55" s="199"/>
      <c r="S55" s="199" t="s">
        <v>878</v>
      </c>
      <c r="T55" s="199"/>
      <c r="U55" s="104">
        <v>223.60079999999999</v>
      </c>
      <c r="V55" s="232"/>
      <c r="W55" s="232"/>
      <c r="X55" s="232"/>
      <c r="Y55" s="232"/>
      <c r="Z55" s="232"/>
      <c r="AA55" s="232"/>
      <c r="AB55" s="232"/>
    </row>
    <row r="56" spans="1:28" ht="10.75" customHeight="1">
      <c r="A56" s="199"/>
      <c r="B56" s="199" t="s">
        <v>98</v>
      </c>
      <c r="C56" s="199"/>
      <c r="D56" s="98"/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201"/>
      <c r="L56" s="199"/>
      <c r="M56" s="199"/>
      <c r="N56" s="199" t="s">
        <v>879</v>
      </c>
      <c r="O56" s="199"/>
      <c r="P56" s="106">
        <v>0.1178371</v>
      </c>
      <c r="Q56" s="199"/>
      <c r="R56" s="199" t="s">
        <v>796</v>
      </c>
      <c r="S56" s="199" t="s">
        <v>880</v>
      </c>
      <c r="T56" s="199"/>
      <c r="U56" s="103">
        <v>376.4787</v>
      </c>
      <c r="V56" s="232"/>
      <c r="W56" s="232"/>
      <c r="X56" s="232"/>
      <c r="Y56" s="232"/>
      <c r="Z56" s="232"/>
      <c r="AA56" s="232"/>
      <c r="AB56" s="232"/>
    </row>
    <row r="57" spans="1:28" ht="10.75" customHeight="1">
      <c r="A57" s="199"/>
      <c r="B57" s="199" t="s">
        <v>100</v>
      </c>
      <c r="C57" s="199"/>
      <c r="D57" s="98"/>
      <c r="E57" s="94">
        <v>0</v>
      </c>
      <c r="F57" s="94">
        <v>0</v>
      </c>
      <c r="G57" s="94">
        <v>0</v>
      </c>
      <c r="H57" s="94">
        <v>0</v>
      </c>
      <c r="I57" s="94">
        <v>0</v>
      </c>
      <c r="J57" s="94">
        <v>0</v>
      </c>
      <c r="K57" s="201"/>
      <c r="L57" s="199"/>
      <c r="M57" s="199"/>
      <c r="N57" s="199" t="s">
        <v>881</v>
      </c>
      <c r="O57" s="199"/>
      <c r="P57" s="106">
        <v>43.528199999999998</v>
      </c>
      <c r="Q57" s="199"/>
      <c r="R57" s="199"/>
      <c r="S57" s="199" t="s">
        <v>882</v>
      </c>
      <c r="T57" s="199"/>
      <c r="U57" s="108">
        <v>0.350769</v>
      </c>
      <c r="V57" s="232"/>
      <c r="W57" s="232"/>
      <c r="X57" s="232"/>
      <c r="Y57" s="232"/>
      <c r="Z57" s="232"/>
      <c r="AA57" s="232"/>
      <c r="AB57" s="232"/>
    </row>
    <row r="58" spans="1:28" ht="10.75" customHeight="1">
      <c r="A58" s="199"/>
      <c r="B58" s="199" t="s">
        <v>102</v>
      </c>
      <c r="C58" s="199"/>
      <c r="D58" s="98"/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201"/>
      <c r="L58" s="199"/>
      <c r="M58" s="199"/>
      <c r="N58" s="199" t="s">
        <v>883</v>
      </c>
      <c r="O58" s="199"/>
      <c r="P58" s="103">
        <v>5002.348</v>
      </c>
      <c r="Q58" s="199"/>
      <c r="R58" s="199"/>
      <c r="S58" s="199" t="s">
        <v>884</v>
      </c>
      <c r="T58" s="199"/>
      <c r="U58" s="103">
        <v>145</v>
      </c>
      <c r="V58" s="232"/>
      <c r="W58" s="232"/>
      <c r="X58" s="232"/>
      <c r="Y58" s="232"/>
      <c r="Z58" s="232"/>
      <c r="AA58" s="232"/>
      <c r="AB58" s="232"/>
    </row>
    <row r="59" spans="1:28" ht="10.75" customHeight="1">
      <c r="A59" s="199" t="s">
        <v>885</v>
      </c>
      <c r="B59" s="199" t="s">
        <v>104</v>
      </c>
      <c r="C59" s="199"/>
      <c r="D59" s="94"/>
      <c r="E59" s="94">
        <v>0</v>
      </c>
      <c r="F59" s="94">
        <v>0</v>
      </c>
      <c r="G59" s="94">
        <v>0</v>
      </c>
      <c r="H59" s="94">
        <v>0</v>
      </c>
      <c r="I59" s="94">
        <v>0</v>
      </c>
      <c r="J59" s="94">
        <v>0</v>
      </c>
      <c r="K59" s="201"/>
      <c r="L59" s="199"/>
      <c r="M59" s="199" t="s">
        <v>94</v>
      </c>
      <c r="N59" s="199" t="s">
        <v>886</v>
      </c>
      <c r="O59" s="199"/>
      <c r="P59" s="103">
        <v>249.422</v>
      </c>
      <c r="Q59" s="199"/>
      <c r="R59" s="199"/>
      <c r="S59" s="199" t="s">
        <v>887</v>
      </c>
      <c r="T59" s="199"/>
      <c r="U59" s="103">
        <v>380.28769999999997</v>
      </c>
      <c r="V59" s="232"/>
      <c r="W59" s="232"/>
      <c r="X59" s="232"/>
      <c r="Y59" s="232"/>
      <c r="Z59" s="232"/>
      <c r="AA59" s="232"/>
      <c r="AB59" s="232"/>
    </row>
    <row r="60" spans="1:28" ht="10.75" customHeight="1">
      <c r="A60" s="199"/>
      <c r="B60" s="199" t="s">
        <v>106</v>
      </c>
      <c r="C60" s="199"/>
      <c r="D60" s="86"/>
      <c r="E60" s="94">
        <v>0</v>
      </c>
      <c r="F60" s="94">
        <v>0</v>
      </c>
      <c r="G60" s="94">
        <v>0</v>
      </c>
      <c r="H60" s="94">
        <v>0</v>
      </c>
      <c r="I60" s="94">
        <v>0</v>
      </c>
      <c r="J60" s="94">
        <v>0</v>
      </c>
      <c r="K60" s="201"/>
      <c r="L60" s="199"/>
      <c r="M60" s="199"/>
      <c r="N60" s="199" t="s">
        <v>888</v>
      </c>
      <c r="O60" s="199"/>
      <c r="P60" s="103">
        <v>262.27960000000002</v>
      </c>
      <c r="Q60" s="199"/>
      <c r="R60" s="199"/>
      <c r="S60" s="199" t="s">
        <v>889</v>
      </c>
      <c r="T60" s="199"/>
      <c r="U60" s="108">
        <v>0.57087710000000003</v>
      </c>
      <c r="V60" s="232"/>
      <c r="W60" s="232"/>
      <c r="X60" s="232"/>
      <c r="Y60" s="232"/>
      <c r="Z60" s="232"/>
      <c r="AA60" s="232"/>
      <c r="AB60" s="232"/>
    </row>
    <row r="61" spans="1:28" ht="10.75" customHeight="1">
      <c r="A61" s="199" t="s">
        <v>192</v>
      </c>
      <c r="B61" s="199" t="s">
        <v>791</v>
      </c>
      <c r="C61" s="199"/>
      <c r="D61" s="38"/>
      <c r="E61" s="94">
        <v>0</v>
      </c>
      <c r="F61" s="94">
        <v>0</v>
      </c>
      <c r="G61" s="94">
        <v>0</v>
      </c>
      <c r="H61" s="94">
        <v>0</v>
      </c>
      <c r="I61" s="94">
        <v>0</v>
      </c>
      <c r="J61" s="94">
        <v>0</v>
      </c>
      <c r="K61" s="199"/>
      <c r="L61" s="199"/>
      <c r="M61" s="199" t="s">
        <v>97</v>
      </c>
      <c r="N61" s="199" t="s">
        <v>860</v>
      </c>
      <c r="O61" s="199"/>
      <c r="P61" s="103">
        <v>47.326099999999997</v>
      </c>
      <c r="Q61" s="199"/>
      <c r="R61" s="199"/>
      <c r="S61" s="199" t="s">
        <v>890</v>
      </c>
      <c r="T61" s="199"/>
      <c r="U61" s="103">
        <v>145</v>
      </c>
      <c r="V61" s="232"/>
      <c r="W61" s="232"/>
      <c r="X61" s="232"/>
      <c r="Y61" s="232"/>
      <c r="Z61" s="232"/>
      <c r="AA61" s="232"/>
      <c r="AB61" s="232"/>
    </row>
    <row r="62" spans="1:28" ht="10.75" customHeight="1">
      <c r="A62" s="199"/>
      <c r="B62" s="198" t="s">
        <v>754</v>
      </c>
      <c r="C62" s="198"/>
      <c r="D62" s="86"/>
      <c r="E62" s="94">
        <v>0</v>
      </c>
      <c r="F62" s="94">
        <v>0</v>
      </c>
      <c r="G62" s="94">
        <v>0</v>
      </c>
      <c r="H62" s="94">
        <v>0</v>
      </c>
      <c r="I62" s="94">
        <v>0</v>
      </c>
      <c r="J62" s="94">
        <v>0</v>
      </c>
      <c r="K62" s="199"/>
      <c r="L62" s="199"/>
      <c r="M62" s="199"/>
      <c r="N62" s="199" t="s">
        <v>891</v>
      </c>
      <c r="O62" s="199"/>
      <c r="P62" s="103">
        <v>73.027150000000006</v>
      </c>
      <c r="Q62" s="199"/>
      <c r="R62" s="199" t="s">
        <v>813</v>
      </c>
      <c r="S62" s="199" t="s">
        <v>854</v>
      </c>
      <c r="T62" s="199"/>
      <c r="U62" s="103">
        <v>362.0025</v>
      </c>
      <c r="V62" s="232"/>
      <c r="W62" s="232"/>
      <c r="X62" s="232"/>
      <c r="Y62" s="232"/>
      <c r="Z62" s="232"/>
      <c r="AA62" s="232"/>
      <c r="AB62" s="232"/>
    </row>
    <row r="63" spans="1:28" ht="10.75" customHeight="1">
      <c r="A63" s="207" t="s">
        <v>794</v>
      </c>
      <c r="B63" s="207"/>
      <c r="C63" s="207"/>
      <c r="D63" s="86"/>
      <c r="E63" s="94">
        <v>0</v>
      </c>
      <c r="F63" s="94">
        <v>0</v>
      </c>
      <c r="G63" s="94">
        <v>0</v>
      </c>
      <c r="H63" s="94">
        <v>0</v>
      </c>
      <c r="I63" s="94">
        <v>0</v>
      </c>
      <c r="J63" s="94">
        <v>0</v>
      </c>
      <c r="K63" s="38"/>
      <c r="L63" s="231" t="s">
        <v>847</v>
      </c>
      <c r="M63" s="199" t="s">
        <v>101</v>
      </c>
      <c r="N63" s="199" t="s">
        <v>854</v>
      </c>
      <c r="O63" s="199"/>
      <c r="P63" s="103">
        <v>518.96680000000003</v>
      </c>
      <c r="Q63" s="199"/>
      <c r="R63" s="199"/>
      <c r="S63" s="199" t="s">
        <v>874</v>
      </c>
      <c r="T63" s="199"/>
      <c r="U63" s="102">
        <v>14.48936</v>
      </c>
      <c r="V63" s="232"/>
      <c r="W63" s="232"/>
      <c r="X63" s="232"/>
      <c r="Y63" s="232"/>
      <c r="Z63" s="232"/>
      <c r="AA63" s="232"/>
      <c r="AB63" s="232"/>
    </row>
    <row r="64" spans="1:28" ht="10.75" customHeight="1">
      <c r="A64" s="206" t="s">
        <v>892</v>
      </c>
      <c r="B64" s="206"/>
      <c r="C64" s="206"/>
      <c r="D64" s="38"/>
      <c r="E64" s="94">
        <v>0</v>
      </c>
      <c r="F64" s="94">
        <v>0</v>
      </c>
      <c r="G64" s="94">
        <v>0</v>
      </c>
      <c r="H64" s="94">
        <v>0</v>
      </c>
      <c r="I64" s="94">
        <v>0</v>
      </c>
      <c r="J64" s="94">
        <v>0</v>
      </c>
      <c r="K64" s="38"/>
      <c r="L64" s="231"/>
      <c r="M64" s="199"/>
      <c r="N64" s="199" t="s">
        <v>893</v>
      </c>
      <c r="O64" s="199"/>
      <c r="P64" s="103">
        <v>189.71629999999999</v>
      </c>
      <c r="Q64" s="199"/>
      <c r="R64" s="199"/>
      <c r="S64" s="199" t="s">
        <v>894</v>
      </c>
      <c r="T64" s="199"/>
      <c r="U64" s="109">
        <v>138.5427</v>
      </c>
      <c r="V64" s="232"/>
      <c r="W64" s="232"/>
      <c r="X64" s="232"/>
      <c r="Y64" s="232"/>
      <c r="Z64" s="232"/>
      <c r="AA64" s="232"/>
      <c r="AB64" s="232"/>
    </row>
    <row r="65" spans="1:28" ht="10.75" customHeight="1">
      <c r="A65" s="196" t="s">
        <v>895</v>
      </c>
      <c r="B65" s="196"/>
      <c r="C65" s="196"/>
      <c r="D65" s="66"/>
      <c r="E65" s="94">
        <v>1746.8520000000001</v>
      </c>
      <c r="F65" s="94">
        <v>133.989</v>
      </c>
      <c r="G65" s="94">
        <v>1612.8630000000001</v>
      </c>
      <c r="H65" s="94">
        <v>2409.1849999999999</v>
      </c>
      <c r="I65" s="94">
        <v>0</v>
      </c>
      <c r="J65" s="94">
        <v>2409.1849999999999</v>
      </c>
      <c r="K65" s="66"/>
      <c r="L65" s="231"/>
      <c r="M65" s="199"/>
      <c r="N65" s="199" t="s">
        <v>896</v>
      </c>
      <c r="O65" s="199"/>
      <c r="P65" s="103">
        <v>66.261600000000001</v>
      </c>
      <c r="Q65" s="199"/>
      <c r="R65" s="199"/>
      <c r="S65" s="199" t="s">
        <v>897</v>
      </c>
      <c r="T65" s="199"/>
      <c r="U65" s="104">
        <v>129.64699999999999</v>
      </c>
      <c r="V65" s="232"/>
      <c r="W65" s="232"/>
      <c r="X65" s="232"/>
      <c r="Y65" s="232"/>
      <c r="Z65" s="232"/>
      <c r="AA65" s="232"/>
      <c r="AB65" s="232"/>
    </row>
    <row r="66" spans="1:28" ht="10.75" customHeight="1">
      <c r="A66" s="225" t="s">
        <v>898</v>
      </c>
      <c r="B66" s="225"/>
      <c r="C66" s="225"/>
      <c r="D66" s="225"/>
      <c r="E66" s="225"/>
      <c r="F66" s="202" t="s">
        <v>899</v>
      </c>
      <c r="G66" s="202"/>
      <c r="H66" s="202"/>
      <c r="I66" s="202"/>
      <c r="J66" s="202"/>
      <c r="K66" s="202"/>
      <c r="L66" s="231"/>
      <c r="M66" s="199" t="s">
        <v>103</v>
      </c>
      <c r="N66" s="199" t="s">
        <v>900</v>
      </c>
      <c r="O66" s="199"/>
      <c r="P66" s="109">
        <v>6.7527080000000002</v>
      </c>
      <c r="Q66" s="199"/>
      <c r="R66" s="199" t="s">
        <v>816</v>
      </c>
      <c r="S66" s="199" t="s">
        <v>854</v>
      </c>
      <c r="T66" s="199"/>
      <c r="U66" s="103">
        <v>18.374400000000001</v>
      </c>
      <c r="V66" s="232"/>
      <c r="W66" s="232"/>
      <c r="X66" s="232"/>
      <c r="Y66" s="232"/>
      <c r="Z66" s="232"/>
      <c r="AA66" s="232"/>
      <c r="AB66" s="232"/>
    </row>
    <row r="67" spans="1:28" ht="10.75" customHeight="1">
      <c r="A67" s="196" t="s">
        <v>6</v>
      </c>
      <c r="B67" s="196"/>
      <c r="C67" s="39" t="s">
        <v>123</v>
      </c>
      <c r="D67" s="39" t="s">
        <v>901</v>
      </c>
      <c r="E67" s="39" t="s">
        <v>70</v>
      </c>
      <c r="F67" s="196" t="s">
        <v>6</v>
      </c>
      <c r="G67" s="196"/>
      <c r="H67" s="111" t="s">
        <v>4</v>
      </c>
      <c r="I67" s="115" t="s">
        <v>332</v>
      </c>
      <c r="J67" s="115" t="s">
        <v>5</v>
      </c>
      <c r="K67" s="115" t="s">
        <v>479</v>
      </c>
      <c r="L67" s="231"/>
      <c r="M67" s="199"/>
      <c r="N67" s="199" t="s">
        <v>902</v>
      </c>
      <c r="O67" s="199"/>
      <c r="P67" s="103">
        <v>2.8363040000000002</v>
      </c>
      <c r="Q67" s="199"/>
      <c r="R67" s="199"/>
      <c r="S67" s="199" t="s">
        <v>874</v>
      </c>
      <c r="T67" s="199"/>
      <c r="U67" s="106">
        <v>0.38132440000000001</v>
      </c>
      <c r="V67" s="232"/>
      <c r="W67" s="232"/>
      <c r="X67" s="232"/>
      <c r="Y67" s="232"/>
      <c r="Z67" s="232"/>
      <c r="AA67" s="232"/>
      <c r="AB67" s="232"/>
    </row>
    <row r="68" spans="1:28" ht="10.75" customHeight="1">
      <c r="A68" s="229" t="s">
        <v>903</v>
      </c>
      <c r="B68" s="229"/>
      <c r="C68" s="112">
        <v>7.7972109999999999</v>
      </c>
      <c r="D68" s="38" t="s">
        <v>904</v>
      </c>
      <c r="E68" s="54">
        <v>1</v>
      </c>
      <c r="F68" s="199" t="s">
        <v>905</v>
      </c>
      <c r="G68" s="199"/>
      <c r="H68" s="48">
        <v>7979.31</v>
      </c>
      <c r="I68" s="48">
        <v>8906.74</v>
      </c>
      <c r="J68" s="48">
        <v>198951.54</v>
      </c>
      <c r="K68" s="94">
        <v>332.47125</v>
      </c>
      <c r="L68" s="231"/>
      <c r="M68" s="199"/>
      <c r="N68" s="199" t="s">
        <v>906</v>
      </c>
      <c r="O68" s="199"/>
      <c r="P68" s="103">
        <v>229.02709999999999</v>
      </c>
      <c r="Q68" s="199"/>
      <c r="R68" s="199"/>
      <c r="S68" s="199" t="s">
        <v>894</v>
      </c>
      <c r="T68" s="199"/>
      <c r="U68" s="103">
        <v>15.839320000000001</v>
      </c>
      <c r="V68" s="232"/>
      <c r="W68" s="232"/>
      <c r="X68" s="232"/>
      <c r="Y68" s="232"/>
      <c r="Z68" s="232"/>
      <c r="AA68" s="232"/>
      <c r="AB68" s="232"/>
    </row>
    <row r="69" spans="1:28" ht="10.75" customHeight="1">
      <c r="A69" s="229" t="s">
        <v>907</v>
      </c>
      <c r="B69" s="229"/>
      <c r="C69" s="112">
        <v>9.8587710000000008</v>
      </c>
      <c r="D69" s="38" t="s">
        <v>908</v>
      </c>
      <c r="E69" s="54">
        <v>1</v>
      </c>
      <c r="F69" s="199" t="s">
        <v>909</v>
      </c>
      <c r="G69" s="199"/>
      <c r="H69" s="113">
        <v>3882.85</v>
      </c>
      <c r="I69" s="48">
        <v>5557.34</v>
      </c>
      <c r="J69" s="48">
        <v>118306.22</v>
      </c>
      <c r="K69" s="94">
        <v>161.785416666667</v>
      </c>
      <c r="L69" s="231"/>
      <c r="M69" s="199" t="s">
        <v>78</v>
      </c>
      <c r="N69" s="199" t="s">
        <v>854</v>
      </c>
      <c r="O69" s="199"/>
      <c r="P69" s="103">
        <v>270.01560000000001</v>
      </c>
      <c r="Q69" s="199"/>
      <c r="R69" s="199"/>
      <c r="S69" s="199" t="s">
        <v>878</v>
      </c>
      <c r="T69" s="199"/>
      <c r="U69" s="103">
        <v>17.233830000000001</v>
      </c>
      <c r="V69" s="232"/>
      <c r="W69" s="232"/>
      <c r="X69" s="232"/>
      <c r="Y69" s="232"/>
      <c r="Z69" s="232"/>
      <c r="AA69" s="232"/>
      <c r="AB69" s="232"/>
    </row>
    <row r="70" spans="1:28" ht="10.75" customHeight="1">
      <c r="A70" s="230" t="s">
        <v>910</v>
      </c>
      <c r="B70" s="230"/>
      <c r="C70" s="114">
        <v>3500</v>
      </c>
      <c r="D70" s="38" t="s">
        <v>911</v>
      </c>
      <c r="E70" s="54">
        <v>0</v>
      </c>
      <c r="F70" s="198" t="s">
        <v>912</v>
      </c>
      <c r="G70" s="198"/>
      <c r="H70" s="48">
        <v>1848.05</v>
      </c>
      <c r="I70" s="48">
        <v>1855.94</v>
      </c>
      <c r="J70" s="48">
        <v>48943.96</v>
      </c>
      <c r="K70" s="94">
        <v>76.202083333333306</v>
      </c>
      <c r="L70" s="231"/>
      <c r="M70" s="199"/>
      <c r="N70" s="199" t="s">
        <v>913</v>
      </c>
      <c r="O70" s="199"/>
      <c r="P70" s="99">
        <v>0.1206555</v>
      </c>
      <c r="Q70" s="199" t="s">
        <v>885</v>
      </c>
      <c r="R70" s="199" t="s">
        <v>106</v>
      </c>
      <c r="S70" s="199" t="s">
        <v>854</v>
      </c>
      <c r="T70" s="199"/>
      <c r="U70" s="103">
        <v>69.499799999999993</v>
      </c>
      <c r="V70" s="232"/>
      <c r="W70" s="232"/>
      <c r="X70" s="232"/>
      <c r="Y70" s="232"/>
      <c r="Z70" s="232"/>
      <c r="AA70" s="232"/>
      <c r="AB70" s="232"/>
    </row>
    <row r="71" spans="1:28" ht="10.75" customHeight="1">
      <c r="A71" s="230" t="s">
        <v>914</v>
      </c>
      <c r="B71" s="230"/>
      <c r="C71" s="114">
        <v>0</v>
      </c>
      <c r="D71" s="38" t="s">
        <v>915</v>
      </c>
      <c r="E71" s="54">
        <v>1</v>
      </c>
      <c r="F71" s="201"/>
      <c r="G71" s="201"/>
      <c r="H71" s="201"/>
      <c r="I71" s="201"/>
      <c r="J71" s="201"/>
      <c r="K71" s="201"/>
      <c r="L71" s="231"/>
      <c r="M71" s="199"/>
      <c r="N71" s="199" t="s">
        <v>878</v>
      </c>
      <c r="O71" s="199"/>
      <c r="P71" s="103">
        <v>234.31010000000001</v>
      </c>
      <c r="Q71" s="199"/>
      <c r="R71" s="199"/>
      <c r="S71" s="199" t="s">
        <v>916</v>
      </c>
      <c r="T71" s="199"/>
      <c r="U71" s="106">
        <v>3.0929540000000002</v>
      </c>
      <c r="V71" s="232"/>
      <c r="W71" s="232"/>
      <c r="X71" s="232"/>
      <c r="Y71" s="232"/>
      <c r="Z71" s="232"/>
      <c r="AA71" s="232"/>
      <c r="AB71" s="232"/>
    </row>
    <row r="72" spans="1:28" ht="10.75" customHeight="1">
      <c r="A72" s="230" t="s">
        <v>917</v>
      </c>
      <c r="B72" s="230"/>
      <c r="C72" s="114">
        <v>3000</v>
      </c>
      <c r="D72" s="196"/>
      <c r="E72" s="196"/>
      <c r="F72" s="196"/>
      <c r="G72" s="196"/>
      <c r="H72" s="196"/>
      <c r="I72" s="196"/>
      <c r="J72" s="196"/>
      <c r="K72" s="196"/>
      <c r="L72" s="231"/>
      <c r="M72" s="199"/>
      <c r="N72" s="199" t="s">
        <v>852</v>
      </c>
      <c r="O72" s="199"/>
      <c r="P72" s="103">
        <v>185.08789999999999</v>
      </c>
      <c r="Q72" s="38" t="s">
        <v>192</v>
      </c>
      <c r="R72" s="38" t="s">
        <v>918</v>
      </c>
      <c r="S72" s="199" t="s">
        <v>919</v>
      </c>
      <c r="T72" s="199"/>
      <c r="U72" s="102">
        <v>0.80515729999999996</v>
      </c>
      <c r="V72" s="232"/>
      <c r="W72" s="232"/>
      <c r="X72" s="232"/>
      <c r="Y72" s="232"/>
      <c r="Z72" s="232"/>
      <c r="AA72" s="232"/>
      <c r="AB72" s="232"/>
    </row>
  </sheetData>
  <mergeCells count="200">
    <mergeCell ref="A40:A46"/>
    <mergeCell ref="A47:A54"/>
    <mergeCell ref="A55:A58"/>
    <mergeCell ref="A59:A60"/>
    <mergeCell ref="A61:A62"/>
    <mergeCell ref="D38:D39"/>
    <mergeCell ref="K38:K39"/>
    <mergeCell ref="K40:K46"/>
    <mergeCell ref="K47:K54"/>
    <mergeCell ref="K55:K58"/>
    <mergeCell ref="K59:K60"/>
    <mergeCell ref="K61:K62"/>
    <mergeCell ref="B38:C39"/>
    <mergeCell ref="A70:B70"/>
    <mergeCell ref="F70:G70"/>
    <mergeCell ref="N70:O70"/>
    <mergeCell ref="S70:T70"/>
    <mergeCell ref="A71:B71"/>
    <mergeCell ref="F71:K71"/>
    <mergeCell ref="N71:O71"/>
    <mergeCell ref="S71:T71"/>
    <mergeCell ref="A72:B72"/>
    <mergeCell ref="D72:K72"/>
    <mergeCell ref="N72:O72"/>
    <mergeCell ref="S72:T72"/>
    <mergeCell ref="L63:L72"/>
    <mergeCell ref="M63:M65"/>
    <mergeCell ref="M66:M68"/>
    <mergeCell ref="M69:M72"/>
    <mergeCell ref="Q52:Q69"/>
    <mergeCell ref="Q70:Q71"/>
    <mergeCell ref="R52:R55"/>
    <mergeCell ref="R56:R61"/>
    <mergeCell ref="R62:R65"/>
    <mergeCell ref="R66:R69"/>
    <mergeCell ref="R70:R71"/>
    <mergeCell ref="A67:B67"/>
    <mergeCell ref="F67:G67"/>
    <mergeCell ref="N67:O67"/>
    <mergeCell ref="S67:T67"/>
    <mergeCell ref="A68:B68"/>
    <mergeCell ref="F68:G68"/>
    <mergeCell ref="N68:O68"/>
    <mergeCell ref="S68:T68"/>
    <mergeCell ref="A69:B69"/>
    <mergeCell ref="F69:G69"/>
    <mergeCell ref="N69:O69"/>
    <mergeCell ref="S69:T69"/>
    <mergeCell ref="A64:C64"/>
    <mergeCell ref="N64:O64"/>
    <mergeCell ref="S64:T64"/>
    <mergeCell ref="A65:C65"/>
    <mergeCell ref="N65:O65"/>
    <mergeCell ref="S65:T65"/>
    <mergeCell ref="A66:E66"/>
    <mergeCell ref="F66:K66"/>
    <mergeCell ref="N66:O66"/>
    <mergeCell ref="S66:T66"/>
    <mergeCell ref="B61:C61"/>
    <mergeCell ref="N61:O61"/>
    <mergeCell ref="S61:T61"/>
    <mergeCell ref="B62:C62"/>
    <mergeCell ref="N62:O62"/>
    <mergeCell ref="S62:T62"/>
    <mergeCell ref="A63:C63"/>
    <mergeCell ref="N63:O63"/>
    <mergeCell ref="S63:T63"/>
    <mergeCell ref="L39:L62"/>
    <mergeCell ref="M39:M41"/>
    <mergeCell ref="M42:M44"/>
    <mergeCell ref="M45:M46"/>
    <mergeCell ref="M47:M48"/>
    <mergeCell ref="M49:M50"/>
    <mergeCell ref="M51:M58"/>
    <mergeCell ref="M59:M60"/>
    <mergeCell ref="M61:M62"/>
    <mergeCell ref="Q39:Q51"/>
    <mergeCell ref="R39:R42"/>
    <mergeCell ref="R43:R45"/>
    <mergeCell ref="R46:R48"/>
    <mergeCell ref="R49:R51"/>
    <mergeCell ref="B58:C58"/>
    <mergeCell ref="N58:O58"/>
    <mergeCell ref="S58:T58"/>
    <mergeCell ref="B59:C59"/>
    <mergeCell ref="N59:O59"/>
    <mergeCell ref="S59:T59"/>
    <mergeCell ref="B60:C60"/>
    <mergeCell ref="N60:O60"/>
    <mergeCell ref="S60:T60"/>
    <mergeCell ref="B55:C55"/>
    <mergeCell ref="N55:O55"/>
    <mergeCell ref="S55:T55"/>
    <mergeCell ref="B56:C56"/>
    <mergeCell ref="N56:O56"/>
    <mergeCell ref="S56:T56"/>
    <mergeCell ref="B57:C57"/>
    <mergeCell ref="N57:O57"/>
    <mergeCell ref="S57:T57"/>
    <mergeCell ref="B52:C52"/>
    <mergeCell ref="N52:O52"/>
    <mergeCell ref="S52:T52"/>
    <mergeCell ref="B53:C53"/>
    <mergeCell ref="N53:O53"/>
    <mergeCell ref="S53:T53"/>
    <mergeCell ref="B54:C54"/>
    <mergeCell ref="N54:O54"/>
    <mergeCell ref="S54:T54"/>
    <mergeCell ref="B49:C49"/>
    <mergeCell ref="N49:O49"/>
    <mergeCell ref="S49:T49"/>
    <mergeCell ref="B50:C50"/>
    <mergeCell ref="N50:O50"/>
    <mergeCell ref="S50:T50"/>
    <mergeCell ref="B51:C51"/>
    <mergeCell ref="N51:O51"/>
    <mergeCell ref="S51:T51"/>
    <mergeCell ref="B46:C46"/>
    <mergeCell ref="N46:O46"/>
    <mergeCell ref="S46:T46"/>
    <mergeCell ref="B47:C47"/>
    <mergeCell ref="N47:O47"/>
    <mergeCell ref="S47:T47"/>
    <mergeCell ref="B48:C48"/>
    <mergeCell ref="N48:O48"/>
    <mergeCell ref="S48:T48"/>
    <mergeCell ref="B43:C43"/>
    <mergeCell ref="N43:O43"/>
    <mergeCell ref="S43:T43"/>
    <mergeCell ref="B44:C44"/>
    <mergeCell ref="N44:O44"/>
    <mergeCell ref="S44:T44"/>
    <mergeCell ref="B45:C45"/>
    <mergeCell ref="N45:O45"/>
    <mergeCell ref="S45:T45"/>
    <mergeCell ref="N39:O39"/>
    <mergeCell ref="S39:T39"/>
    <mergeCell ref="B40:C40"/>
    <mergeCell ref="N40:O40"/>
    <mergeCell ref="S40:T40"/>
    <mergeCell ref="B41:C41"/>
    <mergeCell ref="N41:O41"/>
    <mergeCell ref="S41:T41"/>
    <mergeCell ref="B42:C42"/>
    <mergeCell ref="N42:O42"/>
    <mergeCell ref="S42:T42"/>
    <mergeCell ref="A33:B33"/>
    <mergeCell ref="A34:B34"/>
    <mergeCell ref="A35:B35"/>
    <mergeCell ref="A36:B36"/>
    <mergeCell ref="A37:K37"/>
    <mergeCell ref="L37:U37"/>
    <mergeCell ref="E38:G38"/>
    <mergeCell ref="H38:J38"/>
    <mergeCell ref="N38:O38"/>
    <mergeCell ref="S38:T38"/>
    <mergeCell ref="A38:A39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:E1"/>
    <mergeCell ref="F1:X1"/>
    <mergeCell ref="Y1:AA1"/>
    <mergeCell ref="A2:U2"/>
    <mergeCell ref="V2:AB2"/>
    <mergeCell ref="A3:K3"/>
    <mergeCell ref="L3:U3"/>
    <mergeCell ref="C4:E4"/>
    <mergeCell ref="F4:H4"/>
    <mergeCell ref="I4:K4"/>
    <mergeCell ref="M4:O4"/>
    <mergeCell ref="P4:R4"/>
    <mergeCell ref="S4:U4"/>
    <mergeCell ref="L4:L5"/>
    <mergeCell ref="V3:AB72"/>
    <mergeCell ref="A4:B5"/>
  </mergeCells>
  <phoneticPr fontId="20" type="noConversion"/>
  <printOptions verticalCentered="1"/>
  <pageMargins left="0.19599999487400099" right="0.19599999487400099" top="0.19599999487400099" bottom="0.19599999487400099" header="0" footer="0"/>
  <pageSetup paperSize="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3"/>
  <sheetViews>
    <sheetView workbookViewId="0">
      <selection sqref="A1:X1"/>
    </sheetView>
  </sheetViews>
  <sheetFormatPr defaultColWidth="10" defaultRowHeight="14"/>
  <cols>
    <col min="1" max="1" width="8.54296875" customWidth="1"/>
    <col min="2" max="2" width="7.7265625" customWidth="1"/>
    <col min="3" max="3" width="8" customWidth="1"/>
    <col min="4" max="4" width="6.90625" customWidth="1"/>
    <col min="5" max="5" width="6.81640625" customWidth="1"/>
    <col min="6" max="7" width="7.7265625" customWidth="1"/>
    <col min="8" max="8" width="6.81640625" customWidth="1"/>
    <col min="9" max="9" width="7.90625" customWidth="1"/>
    <col min="10" max="12" width="8.08984375" customWidth="1"/>
    <col min="13" max="13" width="7.7265625" customWidth="1"/>
    <col min="14" max="14" width="11.26953125" customWidth="1"/>
    <col min="15" max="15" width="7.7265625" customWidth="1"/>
    <col min="16" max="16" width="10.26953125" customWidth="1"/>
    <col min="17" max="17" width="9.36328125" customWidth="1"/>
    <col min="18" max="18" width="7.7265625" customWidth="1"/>
    <col min="19" max="19" width="10.7265625" customWidth="1"/>
    <col min="20" max="20" width="11.36328125" customWidth="1"/>
    <col min="21" max="22" width="10.7265625" customWidth="1"/>
    <col min="23" max="23" width="9.26953125" customWidth="1"/>
    <col min="24" max="24" width="10.26953125" customWidth="1"/>
    <col min="25" max="45" width="9.7265625" customWidth="1"/>
  </cols>
  <sheetData>
    <row r="1" spans="1:24" ht="25.65" customHeight="1">
      <c r="A1" s="233" t="s">
        <v>1353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</row>
    <row r="2" spans="1:24" ht="12.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77"/>
      <c r="Q2" s="66"/>
      <c r="R2" s="66"/>
      <c r="S2" s="66"/>
      <c r="T2" s="66"/>
      <c r="U2" s="66"/>
      <c r="V2" s="234" t="s">
        <v>0</v>
      </c>
      <c r="W2" s="234"/>
      <c r="X2" s="89" t="s">
        <v>1</v>
      </c>
    </row>
    <row r="3" spans="1:24" ht="12.25" customHeight="1">
      <c r="A3" s="202" t="s">
        <v>6</v>
      </c>
      <c r="B3" s="202"/>
      <c r="C3" s="1" t="s">
        <v>920</v>
      </c>
      <c r="D3" s="1" t="s">
        <v>4</v>
      </c>
      <c r="E3" s="1" t="s">
        <v>332</v>
      </c>
      <c r="F3" s="1" t="s">
        <v>5</v>
      </c>
      <c r="G3" s="67" t="s">
        <v>921</v>
      </c>
      <c r="H3" s="1" t="s">
        <v>68</v>
      </c>
      <c r="I3" s="1" t="s">
        <v>922</v>
      </c>
      <c r="J3" s="1" t="s">
        <v>923</v>
      </c>
      <c r="K3" s="208" t="s">
        <v>924</v>
      </c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</row>
    <row r="4" spans="1:24" ht="12.25" customHeight="1">
      <c r="A4" s="199" t="s">
        <v>925</v>
      </c>
      <c r="B4" s="199"/>
      <c r="C4" s="9">
        <v>740000</v>
      </c>
      <c r="D4" s="9">
        <v>13027.16</v>
      </c>
      <c r="E4" s="9">
        <v>7492.4</v>
      </c>
      <c r="F4" s="9">
        <v>667914.21</v>
      </c>
      <c r="G4" s="9">
        <v>713571.42857142899</v>
      </c>
      <c r="H4" s="9">
        <v>-45657.218571428602</v>
      </c>
      <c r="I4" s="78">
        <v>0.96428571428571397</v>
      </c>
      <c r="J4" s="78">
        <v>0.90258677027027001</v>
      </c>
      <c r="K4" s="225" t="s">
        <v>926</v>
      </c>
      <c r="L4" s="225"/>
      <c r="M4" s="80" t="s">
        <v>927</v>
      </c>
      <c r="N4" s="81" t="s">
        <v>928</v>
      </c>
      <c r="O4" s="80" t="s">
        <v>929</v>
      </c>
      <c r="P4" s="80" t="s">
        <v>930</v>
      </c>
      <c r="Q4" s="90" t="s">
        <v>931</v>
      </c>
      <c r="R4" s="80" t="s">
        <v>932</v>
      </c>
      <c r="S4" s="80" t="s">
        <v>933</v>
      </c>
      <c r="T4" s="80" t="s">
        <v>934</v>
      </c>
      <c r="U4" s="80" t="s">
        <v>935</v>
      </c>
      <c r="V4" s="90" t="s">
        <v>936</v>
      </c>
      <c r="W4" s="90" t="s">
        <v>937</v>
      </c>
      <c r="X4" s="33" t="s">
        <v>938</v>
      </c>
    </row>
    <row r="5" spans="1:24" ht="12.25" customHeight="1">
      <c r="A5" s="199" t="s">
        <v>939</v>
      </c>
      <c r="B5" s="199"/>
      <c r="C5" s="9">
        <v>735832</v>
      </c>
      <c r="D5" s="9">
        <v>44009.616999999998</v>
      </c>
      <c r="E5" s="9">
        <v>0</v>
      </c>
      <c r="F5" s="9">
        <v>757732.68900000001</v>
      </c>
      <c r="G5" s="9">
        <v>709552.28571428603</v>
      </c>
      <c r="H5" s="9">
        <v>48180.403285714303</v>
      </c>
      <c r="I5" s="78">
        <v>0.96428571428571397</v>
      </c>
      <c r="J5" s="78">
        <v>1.02976316468977</v>
      </c>
      <c r="K5" s="235" t="s">
        <v>940</v>
      </c>
      <c r="L5" s="235"/>
      <c r="M5" s="25" t="s">
        <v>941</v>
      </c>
      <c r="N5" s="59" t="s">
        <v>942</v>
      </c>
      <c r="O5" s="59" t="s">
        <v>943</v>
      </c>
      <c r="P5" s="59" t="s">
        <v>944</v>
      </c>
      <c r="Q5" s="59" t="s">
        <v>945</v>
      </c>
      <c r="R5" s="59" t="s">
        <v>946</v>
      </c>
      <c r="S5" s="59" t="s">
        <v>947</v>
      </c>
      <c r="T5" s="59" t="s">
        <v>948</v>
      </c>
      <c r="U5" s="59" t="s">
        <v>283</v>
      </c>
      <c r="V5" s="59" t="s">
        <v>949</v>
      </c>
      <c r="W5" s="59" t="s">
        <v>950</v>
      </c>
      <c r="X5" s="59" t="s">
        <v>951</v>
      </c>
    </row>
    <row r="6" spans="1:24" ht="12.25" customHeight="1">
      <c r="A6" s="195" t="s">
        <v>952</v>
      </c>
      <c r="B6" s="195"/>
      <c r="C6" s="195"/>
      <c r="D6" s="195"/>
      <c r="E6" s="195"/>
      <c r="F6" s="195"/>
      <c r="G6" s="195"/>
      <c r="H6" s="195"/>
      <c r="I6" s="195"/>
      <c r="J6" s="83" t="s">
        <v>953</v>
      </c>
      <c r="K6" s="235"/>
      <c r="L6" s="235"/>
      <c r="M6" s="25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 spans="1:24" ht="12.25" customHeight="1">
      <c r="A7" s="1" t="s">
        <v>6</v>
      </c>
      <c r="B7" s="1">
        <v>101</v>
      </c>
      <c r="C7" s="1">
        <v>102</v>
      </c>
      <c r="D7" s="1">
        <v>103</v>
      </c>
      <c r="E7" s="1">
        <v>104</v>
      </c>
      <c r="F7" s="1">
        <v>105</v>
      </c>
      <c r="G7" s="1">
        <v>106</v>
      </c>
      <c r="H7" s="1">
        <v>107</v>
      </c>
      <c r="I7" s="1">
        <v>108</v>
      </c>
      <c r="J7" s="83" t="s">
        <v>954</v>
      </c>
      <c r="K7" s="208" t="s">
        <v>955</v>
      </c>
      <c r="L7" s="208"/>
      <c r="M7" s="80" t="s">
        <v>927</v>
      </c>
      <c r="N7" s="80" t="s">
        <v>956</v>
      </c>
      <c r="O7" s="81" t="s">
        <v>957</v>
      </c>
      <c r="P7" s="80" t="s">
        <v>930</v>
      </c>
      <c r="Q7" s="90" t="s">
        <v>937</v>
      </c>
      <c r="R7" s="90" t="s">
        <v>958</v>
      </c>
      <c r="S7" s="90" t="s">
        <v>959</v>
      </c>
      <c r="T7" s="90" t="s">
        <v>960</v>
      </c>
      <c r="U7" s="90" t="s">
        <v>961</v>
      </c>
      <c r="V7" s="90" t="s">
        <v>962</v>
      </c>
      <c r="W7" s="90" t="s">
        <v>963</v>
      </c>
      <c r="X7" s="91" t="s">
        <v>964</v>
      </c>
    </row>
    <row r="8" spans="1:24" ht="12.25" customHeight="1">
      <c r="A8" s="38" t="s">
        <v>965</v>
      </c>
      <c r="B8" s="69" t="s">
        <v>966</v>
      </c>
      <c r="C8" s="69" t="s">
        <v>967</v>
      </c>
      <c r="D8" s="69"/>
      <c r="E8" s="69" t="s">
        <v>968</v>
      </c>
      <c r="F8" s="69" t="s">
        <v>968</v>
      </c>
      <c r="G8" s="69" t="s">
        <v>969</v>
      </c>
      <c r="H8" s="69"/>
      <c r="I8" s="69" t="s">
        <v>968</v>
      </c>
      <c r="J8" s="24">
        <v>5112.5510000000004</v>
      </c>
      <c r="K8" s="235"/>
      <c r="L8" s="235"/>
      <c r="M8" s="25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spans="1:24" ht="12.25" customHeight="1">
      <c r="A9" s="38" t="s">
        <v>383</v>
      </c>
      <c r="B9" s="7">
        <v>17739.46</v>
      </c>
      <c r="C9" s="7">
        <v>62579.919000000002</v>
      </c>
      <c r="D9" s="7"/>
      <c r="E9" s="7">
        <v>80320.688999999998</v>
      </c>
      <c r="F9" s="7">
        <v>63260.540999999997</v>
      </c>
      <c r="G9" s="7">
        <v>31416.343000000001</v>
      </c>
      <c r="H9" s="7"/>
      <c r="I9" s="7">
        <v>11994.352000000001</v>
      </c>
      <c r="J9" s="37" t="s">
        <v>970</v>
      </c>
      <c r="K9" s="208" t="s">
        <v>971</v>
      </c>
      <c r="L9" s="208"/>
      <c r="M9" s="80" t="s">
        <v>927</v>
      </c>
      <c r="N9" s="80" t="s">
        <v>930</v>
      </c>
      <c r="O9" s="80" t="s">
        <v>972</v>
      </c>
      <c r="P9" s="80" t="s">
        <v>973</v>
      </c>
      <c r="Q9" s="90" t="s">
        <v>937</v>
      </c>
      <c r="R9" s="90" t="s">
        <v>934</v>
      </c>
      <c r="S9" s="90" t="s">
        <v>959</v>
      </c>
      <c r="T9" s="90" t="s">
        <v>974</v>
      </c>
      <c r="U9" s="90" t="s">
        <v>975</v>
      </c>
      <c r="V9" s="90" t="s">
        <v>976</v>
      </c>
      <c r="W9" s="90" t="s">
        <v>977</v>
      </c>
      <c r="X9" s="91" t="s">
        <v>978</v>
      </c>
    </row>
    <row r="10" spans="1:24" ht="12.25" customHeight="1">
      <c r="A10" s="38" t="s">
        <v>119</v>
      </c>
      <c r="B10" s="7">
        <v>6419.46</v>
      </c>
      <c r="C10" s="7">
        <v>51259.919000000002</v>
      </c>
      <c r="D10" s="7"/>
      <c r="E10" s="7">
        <v>69000.688999999998</v>
      </c>
      <c r="F10" s="7">
        <v>51940.540999999997</v>
      </c>
      <c r="G10" s="7">
        <v>20096.343000000001</v>
      </c>
      <c r="H10" s="7"/>
      <c r="I10" s="7">
        <v>674.35199999999998</v>
      </c>
      <c r="J10" s="84">
        <v>0</v>
      </c>
      <c r="K10" s="235"/>
      <c r="L10" s="235"/>
      <c r="M10" s="25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 spans="1:24" ht="12.25" customHeight="1">
      <c r="A11" s="202" t="s">
        <v>979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</row>
    <row r="12" spans="1:24" ht="12.25" customHeight="1">
      <c r="A12" s="202" t="s">
        <v>6</v>
      </c>
      <c r="B12" s="202"/>
      <c r="C12" s="202" t="s">
        <v>920</v>
      </c>
      <c r="D12" s="202"/>
      <c r="E12" s="1" t="s">
        <v>327</v>
      </c>
      <c r="F12" s="1" t="s">
        <v>980</v>
      </c>
      <c r="G12" s="67" t="s">
        <v>981</v>
      </c>
      <c r="H12" s="67" t="s">
        <v>921</v>
      </c>
      <c r="I12" s="1" t="s">
        <v>68</v>
      </c>
      <c r="J12" s="1" t="s">
        <v>922</v>
      </c>
      <c r="K12" s="1" t="s">
        <v>923</v>
      </c>
      <c r="L12" s="1" t="s">
        <v>982</v>
      </c>
      <c r="M12" s="1" t="s">
        <v>983</v>
      </c>
      <c r="N12" s="1" t="s">
        <v>984</v>
      </c>
      <c r="O12" s="1" t="s">
        <v>985</v>
      </c>
      <c r="P12" s="75" t="s">
        <v>986</v>
      </c>
      <c r="Q12" s="1" t="s">
        <v>987</v>
      </c>
      <c r="R12" s="1" t="s">
        <v>988</v>
      </c>
      <c r="S12" s="1" t="s">
        <v>921</v>
      </c>
      <c r="T12" s="1" t="s">
        <v>68</v>
      </c>
      <c r="U12" s="1" t="s">
        <v>923</v>
      </c>
      <c r="V12" s="1" t="s">
        <v>384</v>
      </c>
      <c r="W12" s="1" t="s">
        <v>989</v>
      </c>
      <c r="X12" s="1" t="s">
        <v>990</v>
      </c>
    </row>
    <row r="13" spans="1:24" ht="12.25" customHeight="1">
      <c r="A13" s="199" t="s">
        <v>405</v>
      </c>
      <c r="B13" s="199"/>
      <c r="C13" s="236">
        <v>6000</v>
      </c>
      <c r="D13" s="236"/>
      <c r="E13" s="9">
        <v>177.256</v>
      </c>
      <c r="F13" s="9">
        <v>185.64</v>
      </c>
      <c r="G13" s="9">
        <v>6010.7979999999998</v>
      </c>
      <c r="H13" s="9">
        <v>5415.5206216216202</v>
      </c>
      <c r="I13" s="9">
        <v>595.27737837837799</v>
      </c>
      <c r="J13" s="78">
        <v>0.90258677027027001</v>
      </c>
      <c r="K13" s="78">
        <v>1.00179966666667</v>
      </c>
      <c r="L13" s="24">
        <v>6000</v>
      </c>
      <c r="M13" s="9"/>
      <c r="N13" s="9"/>
      <c r="O13" s="9"/>
      <c r="P13" s="11"/>
      <c r="Q13" s="9"/>
      <c r="R13" s="9">
        <v>4933.5749999999998</v>
      </c>
      <c r="S13" s="9">
        <v>5785.7142857142899</v>
      </c>
      <c r="T13" s="9">
        <v>-852.13928571428596</v>
      </c>
      <c r="U13" s="78">
        <v>0.82226250000000001</v>
      </c>
      <c r="V13" s="9">
        <v>5439.3770000000004</v>
      </c>
      <c r="W13" s="9"/>
      <c r="X13" s="9"/>
    </row>
    <row r="14" spans="1:24" ht="12.25" customHeight="1">
      <c r="A14" s="199" t="s">
        <v>408</v>
      </c>
      <c r="B14" s="199"/>
      <c r="C14" s="236">
        <v>14000</v>
      </c>
      <c r="D14" s="236"/>
      <c r="E14" s="9">
        <v>-696.39099999999996</v>
      </c>
      <c r="F14" s="9">
        <v>-41.942</v>
      </c>
      <c r="G14" s="9">
        <v>11926.31</v>
      </c>
      <c r="H14" s="9">
        <v>12636.2147837838</v>
      </c>
      <c r="I14" s="9">
        <v>-709.90478378378396</v>
      </c>
      <c r="J14" s="78">
        <v>0.90258677027027001</v>
      </c>
      <c r="K14" s="78">
        <v>0.85187928571428595</v>
      </c>
      <c r="L14" s="24">
        <v>15000</v>
      </c>
      <c r="M14" s="9"/>
      <c r="N14" s="9"/>
      <c r="O14" s="9"/>
      <c r="P14" s="11"/>
      <c r="Q14" s="9"/>
      <c r="R14" s="9">
        <v>17400.771000000001</v>
      </c>
      <c r="S14" s="9">
        <v>14464.285714285699</v>
      </c>
      <c r="T14" s="9">
        <v>2936.4852857142901</v>
      </c>
      <c r="U14" s="78">
        <v>1.1600514</v>
      </c>
      <c r="V14" s="9">
        <v>1128.905</v>
      </c>
      <c r="W14" s="9"/>
      <c r="X14" s="9"/>
    </row>
    <row r="15" spans="1:24" ht="12.25" customHeight="1">
      <c r="A15" s="199" t="s">
        <v>991</v>
      </c>
      <c r="B15" s="199"/>
      <c r="C15" s="236">
        <v>28000</v>
      </c>
      <c r="D15" s="236"/>
      <c r="E15" s="9">
        <v>616.65499999999997</v>
      </c>
      <c r="F15" s="9">
        <v>555.28800000000001</v>
      </c>
      <c r="G15" s="9">
        <v>26511.414000000001</v>
      </c>
      <c r="H15" s="9">
        <v>25272.4295675676</v>
      </c>
      <c r="I15" s="9">
        <v>1238.9844324324299</v>
      </c>
      <c r="J15" s="78">
        <v>0.90258677027027001</v>
      </c>
      <c r="K15" s="78">
        <v>0.94683621428571396</v>
      </c>
      <c r="L15" s="24">
        <v>28000</v>
      </c>
      <c r="M15" s="9"/>
      <c r="N15" s="9">
        <v>349</v>
      </c>
      <c r="O15" s="9"/>
      <c r="P15" s="11"/>
      <c r="Q15" s="9">
        <v>349</v>
      </c>
      <c r="R15" s="9">
        <v>27373.79</v>
      </c>
      <c r="S15" s="9">
        <v>27000</v>
      </c>
      <c r="T15" s="9">
        <v>373.79</v>
      </c>
      <c r="U15" s="78">
        <v>0.97763535714285699</v>
      </c>
      <c r="V15" s="9">
        <v>2003.9670000000001</v>
      </c>
      <c r="W15" s="9"/>
      <c r="X15" s="9"/>
    </row>
    <row r="16" spans="1:24" ht="12.25" customHeight="1">
      <c r="A16" s="237" t="s">
        <v>106</v>
      </c>
      <c r="B16" s="237"/>
      <c r="C16" s="236">
        <v>14500</v>
      </c>
      <c r="D16" s="236"/>
      <c r="E16" s="9">
        <v>504.03</v>
      </c>
      <c r="F16" s="9">
        <v>508.86</v>
      </c>
      <c r="G16" s="9">
        <v>13483.47</v>
      </c>
      <c r="H16" s="9">
        <v>13087.508168918899</v>
      </c>
      <c r="I16" s="9">
        <v>395.96183108108102</v>
      </c>
      <c r="J16" s="78">
        <v>0.90258677027027001</v>
      </c>
      <c r="K16" s="78">
        <v>0.92989448275862097</v>
      </c>
      <c r="L16" s="24">
        <v>14500</v>
      </c>
      <c r="M16" s="9"/>
      <c r="N16" s="9">
        <v>663</v>
      </c>
      <c r="O16" s="9"/>
      <c r="P16" s="11"/>
      <c r="Q16" s="9">
        <v>663</v>
      </c>
      <c r="R16" s="9">
        <v>12017</v>
      </c>
      <c r="S16" s="9">
        <v>13982.142857142901</v>
      </c>
      <c r="T16" s="9">
        <v>-1965.1428571428601</v>
      </c>
      <c r="U16" s="78">
        <v>0.828758620689655</v>
      </c>
      <c r="V16" s="9">
        <v>2247.4749999999999</v>
      </c>
      <c r="W16" s="9"/>
      <c r="X16" s="9"/>
    </row>
    <row r="17" spans="1:24" ht="12.25" customHeight="1">
      <c r="A17" s="237" t="s">
        <v>817</v>
      </c>
      <c r="B17" s="237"/>
      <c r="C17" s="236">
        <v>17000</v>
      </c>
      <c r="D17" s="236"/>
      <c r="E17" s="9">
        <v>409.8</v>
      </c>
      <c r="F17" s="9">
        <v>410</v>
      </c>
      <c r="G17" s="9">
        <v>16887.150000000001</v>
      </c>
      <c r="H17" s="9">
        <v>15343.9750945946</v>
      </c>
      <c r="I17" s="9">
        <v>1543.1749054054101</v>
      </c>
      <c r="J17" s="78">
        <v>0.90258677027027001</v>
      </c>
      <c r="K17" s="78">
        <v>0.993361764705882</v>
      </c>
      <c r="L17" s="24">
        <v>17000</v>
      </c>
      <c r="M17" s="9"/>
      <c r="N17" s="9">
        <v>427.8</v>
      </c>
      <c r="O17" s="9">
        <v>512</v>
      </c>
      <c r="P17" s="11"/>
      <c r="Q17" s="9">
        <v>939.8</v>
      </c>
      <c r="R17" s="9">
        <v>17372.650000000001</v>
      </c>
      <c r="S17" s="9">
        <v>16392.857142857101</v>
      </c>
      <c r="T17" s="9">
        <v>979.79285714285697</v>
      </c>
      <c r="U17" s="78">
        <v>1.02192058823529</v>
      </c>
      <c r="V17" s="9">
        <v>202.5</v>
      </c>
      <c r="W17" s="9"/>
      <c r="X17" s="9"/>
    </row>
    <row r="18" spans="1:24" ht="12.25" customHeight="1">
      <c r="A18" s="199" t="s">
        <v>430</v>
      </c>
      <c r="B18" s="199"/>
      <c r="C18" s="236">
        <v>43000</v>
      </c>
      <c r="D18" s="236"/>
      <c r="E18" s="9">
        <v>1240.8599999999999</v>
      </c>
      <c r="F18" s="9">
        <v>1253.18</v>
      </c>
      <c r="G18" s="9">
        <v>38639.336000000003</v>
      </c>
      <c r="H18" s="9">
        <v>38811.231121621597</v>
      </c>
      <c r="I18" s="9">
        <v>-171.895121621622</v>
      </c>
      <c r="J18" s="78">
        <v>0.90258677027027001</v>
      </c>
      <c r="K18" s="78">
        <v>0.898589209302326</v>
      </c>
      <c r="L18" s="24">
        <v>43000</v>
      </c>
      <c r="M18" s="9"/>
      <c r="N18" s="9">
        <v>48</v>
      </c>
      <c r="O18" s="9"/>
      <c r="P18" s="9"/>
      <c r="Q18" s="9">
        <v>48</v>
      </c>
      <c r="R18" s="9">
        <v>20808.859</v>
      </c>
      <c r="S18" s="9">
        <v>41464.285714285703</v>
      </c>
      <c r="T18" s="9">
        <v>-20655.426714285699</v>
      </c>
      <c r="U18" s="78">
        <v>0.483926953488372</v>
      </c>
      <c r="V18" s="9">
        <v>3947.9609999999998</v>
      </c>
      <c r="W18" s="9"/>
      <c r="X18" s="9"/>
    </row>
    <row r="19" spans="1:24" ht="12.25" customHeight="1">
      <c r="A19" s="198" t="s">
        <v>395</v>
      </c>
      <c r="B19" s="198"/>
      <c r="C19" s="236">
        <v>14000</v>
      </c>
      <c r="D19" s="236"/>
      <c r="E19" s="9">
        <v>0</v>
      </c>
      <c r="F19" s="9">
        <v>0</v>
      </c>
      <c r="G19" s="9">
        <v>14277.727999999999</v>
      </c>
      <c r="H19" s="9">
        <v>12636.2147837838</v>
      </c>
      <c r="I19" s="9">
        <v>1641.5132162162199</v>
      </c>
      <c r="J19" s="78">
        <v>0.90258677027027001</v>
      </c>
      <c r="K19" s="78">
        <v>1.01983771428571</v>
      </c>
      <c r="L19" s="24">
        <v>14000</v>
      </c>
      <c r="M19" s="9">
        <v>2172.759</v>
      </c>
      <c r="N19" s="9"/>
      <c r="O19" s="9"/>
      <c r="P19" s="11"/>
      <c r="Q19" s="9">
        <v>2172.759</v>
      </c>
      <c r="R19" s="9">
        <v>10842.17</v>
      </c>
      <c r="S19" s="9">
        <v>13500</v>
      </c>
      <c r="T19" s="9">
        <v>-2657.83</v>
      </c>
      <c r="U19" s="78">
        <v>0.77444071428571404</v>
      </c>
      <c r="V19" s="9">
        <v>374.18599999999998</v>
      </c>
      <c r="W19" s="9"/>
      <c r="X19" s="9"/>
    </row>
    <row r="20" spans="1:24" ht="12.25" customHeight="1">
      <c r="A20" s="199" t="s">
        <v>712</v>
      </c>
      <c r="B20" s="199"/>
      <c r="C20" s="236">
        <v>600</v>
      </c>
      <c r="D20" s="236"/>
      <c r="E20" s="9">
        <v>24.38</v>
      </c>
      <c r="F20" s="9">
        <v>20.7</v>
      </c>
      <c r="G20" s="9">
        <v>581.58000000000004</v>
      </c>
      <c r="H20" s="9">
        <v>541.55206216216197</v>
      </c>
      <c r="I20" s="9">
        <v>40.027937837837797</v>
      </c>
      <c r="J20" s="78">
        <v>0.90258677027027001</v>
      </c>
      <c r="K20" s="78">
        <v>0.96930000000000005</v>
      </c>
      <c r="L20" s="24">
        <v>600</v>
      </c>
      <c r="M20" s="9"/>
      <c r="N20" s="9"/>
      <c r="O20" s="9"/>
      <c r="P20" s="11"/>
      <c r="Q20" s="9"/>
      <c r="R20" s="9">
        <v>753</v>
      </c>
      <c r="S20" s="9">
        <v>578.57142857142901</v>
      </c>
      <c r="T20" s="9">
        <v>174.42857142857099</v>
      </c>
      <c r="U20" s="78">
        <v>1.2549999999999999</v>
      </c>
      <c r="V20" s="9">
        <v>172.273</v>
      </c>
      <c r="W20" s="9"/>
      <c r="X20" s="9"/>
    </row>
    <row r="21" spans="1:24" ht="12.25" customHeight="1">
      <c r="A21" s="199" t="s">
        <v>418</v>
      </c>
      <c r="B21" s="199"/>
      <c r="C21" s="236">
        <v>0</v>
      </c>
      <c r="D21" s="236"/>
      <c r="E21" s="9">
        <v>0</v>
      </c>
      <c r="F21" s="9">
        <v>0</v>
      </c>
      <c r="G21" s="9">
        <v>181.798</v>
      </c>
      <c r="H21" s="9">
        <v>0</v>
      </c>
      <c r="I21" s="9">
        <v>181.798</v>
      </c>
      <c r="J21" s="78">
        <v>0.90258677027027001</v>
      </c>
      <c r="K21" s="85"/>
      <c r="L21" s="24">
        <v>0</v>
      </c>
      <c r="M21" s="9"/>
      <c r="N21" s="9"/>
      <c r="O21" s="9"/>
      <c r="P21" s="11"/>
      <c r="Q21" s="9"/>
      <c r="R21" s="9"/>
      <c r="S21" s="9">
        <v>0</v>
      </c>
      <c r="T21" s="9">
        <v>0</v>
      </c>
      <c r="U21" s="78"/>
      <c r="V21" s="9">
        <v>11064.351000000001</v>
      </c>
      <c r="W21" s="9"/>
      <c r="X21" s="9"/>
    </row>
    <row r="22" spans="1:24" ht="12.25" customHeight="1">
      <c r="A22" s="198" t="s">
        <v>992</v>
      </c>
      <c r="B22" s="198"/>
      <c r="C22" s="236">
        <v>6000</v>
      </c>
      <c r="D22" s="236"/>
      <c r="E22" s="9">
        <v>139.983</v>
      </c>
      <c r="F22" s="9">
        <v>162.69</v>
      </c>
      <c r="G22" s="9">
        <v>5645.759</v>
      </c>
      <c r="H22" s="9">
        <v>5415.5206216216202</v>
      </c>
      <c r="I22" s="9">
        <v>230.238378378378</v>
      </c>
      <c r="J22" s="78">
        <v>0.90258677027027001</v>
      </c>
      <c r="K22" s="78">
        <v>0.940959833333333</v>
      </c>
      <c r="L22" s="24">
        <v>6000</v>
      </c>
      <c r="M22" s="9"/>
      <c r="N22" s="9">
        <v>516</v>
      </c>
      <c r="O22" s="9"/>
      <c r="P22" s="86"/>
      <c r="Q22" s="9">
        <v>516</v>
      </c>
      <c r="R22" s="9">
        <v>4238</v>
      </c>
      <c r="S22" s="9">
        <v>5785.7142857142899</v>
      </c>
      <c r="T22" s="9">
        <v>-1547.7142857142901</v>
      </c>
      <c r="U22" s="78">
        <v>0.70633333333333304</v>
      </c>
      <c r="V22" s="9">
        <v>1328.789</v>
      </c>
      <c r="W22" s="92"/>
      <c r="X22" s="93"/>
    </row>
    <row r="23" spans="1:24" ht="12.25" customHeight="1">
      <c r="A23" s="198" t="s">
        <v>406</v>
      </c>
      <c r="B23" s="198"/>
      <c r="C23" s="236">
        <v>30000</v>
      </c>
      <c r="D23" s="236"/>
      <c r="E23" s="9">
        <v>0</v>
      </c>
      <c r="F23" s="9">
        <v>553.55200000000002</v>
      </c>
      <c r="G23" s="9">
        <v>35911.334999999999</v>
      </c>
      <c r="H23" s="9">
        <v>27077.603108108098</v>
      </c>
      <c r="I23" s="9">
        <v>8833.73189189189</v>
      </c>
      <c r="J23" s="78">
        <v>0.90258677027027001</v>
      </c>
      <c r="K23" s="78">
        <v>1.1970445000000001</v>
      </c>
      <c r="L23" s="24">
        <v>30000</v>
      </c>
      <c r="M23" s="9">
        <v>994.33900000000006</v>
      </c>
      <c r="N23" s="9"/>
      <c r="O23" s="9"/>
      <c r="P23" s="86"/>
      <c r="Q23" s="9">
        <v>994.33900000000006</v>
      </c>
      <c r="R23" s="9">
        <v>47307.411</v>
      </c>
      <c r="S23" s="9">
        <v>28928.571428571398</v>
      </c>
      <c r="T23" s="9">
        <v>18378.839571428602</v>
      </c>
      <c r="U23" s="78">
        <v>1.5769137</v>
      </c>
      <c r="V23" s="9">
        <v>7913.4470000000001</v>
      </c>
      <c r="W23" s="92"/>
      <c r="X23" s="93"/>
    </row>
    <row r="24" spans="1:24" ht="12.25" customHeight="1">
      <c r="A24" s="198" t="s">
        <v>530</v>
      </c>
      <c r="B24" s="198"/>
      <c r="C24" s="236">
        <v>16000</v>
      </c>
      <c r="D24" s="236"/>
      <c r="E24" s="9">
        <v>277.25299999999999</v>
      </c>
      <c r="F24" s="9">
        <v>395.20600000000002</v>
      </c>
      <c r="G24" s="9">
        <v>15869.71</v>
      </c>
      <c r="H24" s="9">
        <v>14441.3883243243</v>
      </c>
      <c r="I24" s="9">
        <v>1428.3216756756799</v>
      </c>
      <c r="J24" s="78">
        <v>0.90258677027027001</v>
      </c>
      <c r="K24" s="78">
        <v>0.99185687499999997</v>
      </c>
      <c r="L24" s="24">
        <v>16000</v>
      </c>
      <c r="M24" s="9"/>
      <c r="N24" s="9"/>
      <c r="O24" s="9"/>
      <c r="P24" s="86"/>
      <c r="Q24" s="9"/>
      <c r="R24" s="9">
        <v>18956.439999999999</v>
      </c>
      <c r="S24" s="9">
        <v>15428.5714285714</v>
      </c>
      <c r="T24" s="9">
        <v>3527.8685714285698</v>
      </c>
      <c r="U24" s="78">
        <v>1.1847775</v>
      </c>
      <c r="V24" s="9">
        <v>6610.4719999999998</v>
      </c>
      <c r="W24" s="92"/>
      <c r="X24" s="93"/>
    </row>
    <row r="25" spans="1:24" ht="12.25" customHeight="1">
      <c r="A25" s="221" t="s">
        <v>340</v>
      </c>
      <c r="B25" s="37" t="s">
        <v>444</v>
      </c>
      <c r="C25" s="236">
        <v>0</v>
      </c>
      <c r="D25" s="236"/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78"/>
      <c r="K25" s="78"/>
      <c r="L25" s="24">
        <v>0</v>
      </c>
      <c r="M25" s="9"/>
      <c r="N25" s="9"/>
      <c r="O25" s="9"/>
      <c r="P25" s="11"/>
      <c r="Q25" s="9"/>
      <c r="R25" s="9"/>
      <c r="S25" s="9">
        <v>0</v>
      </c>
      <c r="T25" s="9">
        <v>0</v>
      </c>
      <c r="U25" s="78"/>
      <c r="V25" s="9">
        <v>0</v>
      </c>
      <c r="W25" s="9"/>
      <c r="X25" s="9"/>
    </row>
    <row r="26" spans="1:24" ht="12.25" customHeight="1">
      <c r="A26" s="221"/>
      <c r="B26" s="37" t="s">
        <v>447</v>
      </c>
      <c r="C26" s="236">
        <v>0</v>
      </c>
      <c r="D26" s="236"/>
      <c r="E26" s="9">
        <v>0</v>
      </c>
      <c r="F26" s="9">
        <v>0</v>
      </c>
      <c r="G26" s="9">
        <v>5355.1109999999999</v>
      </c>
      <c r="H26" s="9">
        <v>0</v>
      </c>
      <c r="I26" s="9">
        <v>5355.1109999999999</v>
      </c>
      <c r="J26" s="78">
        <v>0.90258677027027001</v>
      </c>
      <c r="K26" s="85"/>
      <c r="L26" s="24">
        <v>0</v>
      </c>
      <c r="M26" s="9"/>
      <c r="N26" s="9"/>
      <c r="O26" s="9"/>
      <c r="P26" s="11"/>
      <c r="Q26" s="9"/>
      <c r="R26" s="9">
        <v>35316.103999999999</v>
      </c>
      <c r="S26" s="9">
        <v>0</v>
      </c>
      <c r="T26" s="9">
        <v>35316.103999999999</v>
      </c>
      <c r="U26" s="78"/>
      <c r="V26" s="9">
        <v>2587.3090000000002</v>
      </c>
      <c r="W26" s="9"/>
      <c r="X26" s="9"/>
    </row>
    <row r="27" spans="1:24" ht="12.25" customHeight="1">
      <c r="A27" s="221"/>
      <c r="B27" s="37" t="s">
        <v>462</v>
      </c>
      <c r="C27" s="236">
        <v>0</v>
      </c>
      <c r="D27" s="236"/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78"/>
      <c r="K27" s="78"/>
      <c r="L27" s="24">
        <v>0</v>
      </c>
      <c r="M27" s="9"/>
      <c r="N27" s="9"/>
      <c r="O27" s="9"/>
      <c r="P27" s="11"/>
      <c r="Q27" s="9"/>
      <c r="R27" s="9"/>
      <c r="S27" s="9">
        <v>0</v>
      </c>
      <c r="T27" s="9">
        <v>0</v>
      </c>
      <c r="U27" s="78"/>
      <c r="V27" s="9">
        <v>0</v>
      </c>
      <c r="W27" s="9"/>
      <c r="X27" s="9"/>
    </row>
    <row r="28" spans="1:24" ht="12.25" customHeight="1">
      <c r="A28" s="221"/>
      <c r="B28" s="37" t="s">
        <v>993</v>
      </c>
      <c r="C28" s="236">
        <v>103000</v>
      </c>
      <c r="D28" s="236"/>
      <c r="E28" s="9">
        <v>1493.829</v>
      </c>
      <c r="F28" s="9">
        <v>4684.442</v>
      </c>
      <c r="G28" s="9">
        <v>92359.857000000004</v>
      </c>
      <c r="H28" s="9">
        <v>92966.437337837793</v>
      </c>
      <c r="I28" s="9">
        <v>-606.58033783783799</v>
      </c>
      <c r="J28" s="78">
        <v>0.90258677027027001</v>
      </c>
      <c r="K28" s="78">
        <v>0.896697640776699</v>
      </c>
      <c r="L28" s="24">
        <v>123000</v>
      </c>
      <c r="M28" s="9"/>
      <c r="N28" s="9">
        <v>499</v>
      </c>
      <c r="O28" s="9"/>
      <c r="P28" s="9"/>
      <c r="Q28" s="9">
        <v>499</v>
      </c>
      <c r="R28" s="9">
        <v>89018.89</v>
      </c>
      <c r="S28" s="9">
        <v>118607.142857143</v>
      </c>
      <c r="T28" s="9">
        <v>-29588.252857142899</v>
      </c>
      <c r="U28" s="78">
        <v>0.72373081300813003</v>
      </c>
      <c r="V28" s="9">
        <v>7523.7219999999998</v>
      </c>
      <c r="W28" s="9"/>
      <c r="X28" s="9"/>
    </row>
    <row r="29" spans="1:24" ht="12.25" customHeight="1">
      <c r="A29" s="221"/>
      <c r="B29" s="37" t="s">
        <v>994</v>
      </c>
      <c r="C29" s="236">
        <v>49000</v>
      </c>
      <c r="D29" s="236"/>
      <c r="E29" s="9">
        <v>5083.3190000000004</v>
      </c>
      <c r="F29" s="9">
        <v>0</v>
      </c>
      <c r="G29" s="9">
        <v>46900.294000000002</v>
      </c>
      <c r="H29" s="9">
        <v>44226.7517432432</v>
      </c>
      <c r="I29" s="9">
        <v>2673.5422567567598</v>
      </c>
      <c r="J29" s="78">
        <v>0.90258677027027001</v>
      </c>
      <c r="K29" s="78">
        <v>0.95714885714285702</v>
      </c>
      <c r="L29" s="24">
        <v>49000</v>
      </c>
      <c r="M29" s="9"/>
      <c r="N29" s="9">
        <v>304</v>
      </c>
      <c r="O29" s="9"/>
      <c r="P29" s="9"/>
      <c r="Q29" s="9">
        <v>304</v>
      </c>
      <c r="R29" s="9">
        <v>32578</v>
      </c>
      <c r="S29" s="9">
        <v>47250</v>
      </c>
      <c r="T29" s="9">
        <v>-14672</v>
      </c>
      <c r="U29" s="78">
        <v>0.66485714285714304</v>
      </c>
      <c r="V29" s="9">
        <v>9828.8639999999996</v>
      </c>
      <c r="W29" s="9"/>
      <c r="X29" s="9"/>
    </row>
    <row r="30" spans="1:24" ht="12.25" customHeight="1">
      <c r="A30" s="221"/>
      <c r="B30" s="37" t="s">
        <v>995</v>
      </c>
      <c r="C30" s="236">
        <v>15000</v>
      </c>
      <c r="D30" s="236"/>
      <c r="E30" s="9">
        <v>0</v>
      </c>
      <c r="F30" s="9">
        <v>599.06600000000003</v>
      </c>
      <c r="G30" s="9">
        <v>15302.71</v>
      </c>
      <c r="H30" s="9">
        <v>13538.8015540541</v>
      </c>
      <c r="I30" s="9">
        <v>1763.90844594595</v>
      </c>
      <c r="J30" s="78">
        <v>0.90258677027027001</v>
      </c>
      <c r="K30" s="78">
        <v>1.02018066666667</v>
      </c>
      <c r="L30" s="24">
        <v>15000</v>
      </c>
      <c r="M30" s="9"/>
      <c r="N30" s="9">
        <v>179</v>
      </c>
      <c r="O30" s="9"/>
      <c r="P30" s="11"/>
      <c r="Q30" s="9">
        <v>179</v>
      </c>
      <c r="R30" s="9">
        <v>13260</v>
      </c>
      <c r="S30" s="9">
        <v>14464.285714285699</v>
      </c>
      <c r="T30" s="9">
        <v>-1204.2857142857099</v>
      </c>
      <c r="U30" s="78">
        <v>0.88400000000000001</v>
      </c>
      <c r="V30" s="9">
        <v>2996.549</v>
      </c>
      <c r="W30" s="9"/>
      <c r="X30" s="9"/>
    </row>
    <row r="31" spans="1:24" ht="12.25" customHeight="1">
      <c r="A31" s="221"/>
      <c r="B31" s="37" t="s">
        <v>315</v>
      </c>
      <c r="C31" s="238">
        <v>167000</v>
      </c>
      <c r="D31" s="238"/>
      <c r="E31" s="9">
        <v>6577.1480000000001</v>
      </c>
      <c r="F31" s="71">
        <v>5283.5079999999998</v>
      </c>
      <c r="G31" s="9">
        <v>159917.97200000001</v>
      </c>
      <c r="H31" s="9">
        <v>150731.99063513501</v>
      </c>
      <c r="I31" s="9">
        <v>9185.9813648648706</v>
      </c>
      <c r="J31" s="78">
        <v>0.90258677027027001</v>
      </c>
      <c r="K31" s="78">
        <v>0.95759264670658695</v>
      </c>
      <c r="L31" s="9">
        <v>187000</v>
      </c>
      <c r="M31" s="9"/>
      <c r="N31" s="9">
        <v>982</v>
      </c>
      <c r="O31" s="9"/>
      <c r="P31" s="9"/>
      <c r="Q31" s="9">
        <v>982</v>
      </c>
      <c r="R31" s="9">
        <v>170172.99400000001</v>
      </c>
      <c r="S31" s="9">
        <v>180321.42857142899</v>
      </c>
      <c r="T31" s="9">
        <v>-10148.434571428599</v>
      </c>
      <c r="U31" s="78">
        <v>0.91001601069518701</v>
      </c>
      <c r="V31" s="9">
        <v>22936.444</v>
      </c>
      <c r="W31" s="9"/>
      <c r="X31" s="9"/>
    </row>
    <row r="32" spans="1:24" ht="12.25" customHeight="1">
      <c r="A32" s="221" t="s">
        <v>353</v>
      </c>
      <c r="B32" s="37" t="s">
        <v>445</v>
      </c>
      <c r="C32" s="238">
        <v>66000</v>
      </c>
      <c r="D32" s="238"/>
      <c r="E32" s="9">
        <v>0</v>
      </c>
      <c r="F32" s="9">
        <v>0</v>
      </c>
      <c r="G32" s="9">
        <v>101238.50199999999</v>
      </c>
      <c r="H32" s="9">
        <v>59570.726837837799</v>
      </c>
      <c r="I32" s="9">
        <v>41667.775162162201</v>
      </c>
      <c r="J32" s="78">
        <v>0.90258677027027001</v>
      </c>
      <c r="K32" s="78">
        <v>1.5339166969697</v>
      </c>
      <c r="L32" s="24">
        <v>117000</v>
      </c>
      <c r="M32" s="9"/>
      <c r="N32" s="9"/>
      <c r="O32" s="9"/>
      <c r="P32" s="25"/>
      <c r="Q32" s="37"/>
      <c r="R32" s="9">
        <v>117467.923</v>
      </c>
      <c r="S32" s="9">
        <v>112821.428571429</v>
      </c>
      <c r="T32" s="9">
        <v>4646.49442857142</v>
      </c>
      <c r="U32" s="78">
        <v>1.0039993418803399</v>
      </c>
      <c r="V32" s="9">
        <v>1034.7249999999999</v>
      </c>
      <c r="W32" s="9"/>
      <c r="X32" s="9"/>
    </row>
    <row r="33" spans="1:24" ht="12.25" customHeight="1">
      <c r="A33" s="221"/>
      <c r="B33" s="37" t="s">
        <v>996</v>
      </c>
      <c r="C33" s="238">
        <v>156000</v>
      </c>
      <c r="D33" s="238"/>
      <c r="E33" s="9">
        <v>0</v>
      </c>
      <c r="F33" s="9">
        <v>2128.7689999999998</v>
      </c>
      <c r="G33" s="9">
        <v>96034.02</v>
      </c>
      <c r="H33" s="9">
        <v>140803.536162162</v>
      </c>
      <c r="I33" s="9">
        <v>-44769.516162162203</v>
      </c>
      <c r="J33" s="78">
        <v>0.90258677027027001</v>
      </c>
      <c r="K33" s="87">
        <v>0.61560269230769205</v>
      </c>
      <c r="L33" s="24">
        <v>105000</v>
      </c>
      <c r="M33" s="9"/>
      <c r="N33" s="9">
        <v>1087</v>
      </c>
      <c r="O33" s="9"/>
      <c r="P33" s="9"/>
      <c r="Q33" s="9">
        <v>1087</v>
      </c>
      <c r="R33" s="9">
        <v>110911.67999999999</v>
      </c>
      <c r="S33" s="9">
        <v>101250</v>
      </c>
      <c r="T33" s="9">
        <v>9661.68</v>
      </c>
      <c r="U33" s="78">
        <v>1.0563017142857101</v>
      </c>
      <c r="V33" s="9">
        <v>25161.215</v>
      </c>
      <c r="W33" s="9"/>
      <c r="X33" s="92"/>
    </row>
    <row r="34" spans="1:24" ht="12.25" customHeight="1">
      <c r="A34" s="221"/>
      <c r="B34" s="37" t="s">
        <v>315</v>
      </c>
      <c r="C34" s="238">
        <v>222000</v>
      </c>
      <c r="D34" s="238"/>
      <c r="E34" s="71">
        <v>0</v>
      </c>
      <c r="F34" s="71">
        <v>2128.7689999999998</v>
      </c>
      <c r="G34" s="9">
        <v>197272.522</v>
      </c>
      <c r="H34" s="9">
        <v>200374.26300000001</v>
      </c>
      <c r="I34" s="9">
        <v>-3101.741</v>
      </c>
      <c r="J34" s="78">
        <v>0.90258677027027001</v>
      </c>
      <c r="K34" s="78">
        <v>0.888614963963964</v>
      </c>
      <c r="L34" s="37">
        <v>222000</v>
      </c>
      <c r="M34" s="9"/>
      <c r="N34" s="9">
        <v>1087</v>
      </c>
      <c r="O34" s="9"/>
      <c r="P34" s="9"/>
      <c r="Q34" s="9">
        <v>1087</v>
      </c>
      <c r="R34" s="9">
        <v>228379.603</v>
      </c>
      <c r="S34" s="9">
        <v>214071.42857142899</v>
      </c>
      <c r="T34" s="9">
        <v>14308.174428571399</v>
      </c>
      <c r="U34" s="78">
        <v>1.02873695045045</v>
      </c>
      <c r="V34" s="9">
        <v>26195.94</v>
      </c>
      <c r="W34" s="9"/>
      <c r="X34" s="9"/>
    </row>
    <row r="35" spans="1:24" ht="12.25" customHeight="1">
      <c r="A35" s="202" t="s">
        <v>365</v>
      </c>
      <c r="B35" s="37" t="s">
        <v>458</v>
      </c>
      <c r="C35" s="236">
        <v>75000</v>
      </c>
      <c r="D35" s="236"/>
      <c r="E35" s="9">
        <v>714.11800000000005</v>
      </c>
      <c r="F35" s="9">
        <v>610.01900000000001</v>
      </c>
      <c r="G35" s="9">
        <v>57426.714999999997</v>
      </c>
      <c r="H35" s="9">
        <v>67694.007770270298</v>
      </c>
      <c r="I35" s="9">
        <v>-10267.2927702703</v>
      </c>
      <c r="J35" s="78">
        <v>0.90258677027027001</v>
      </c>
      <c r="K35" s="87">
        <v>0.76568953333333301</v>
      </c>
      <c r="L35" s="24">
        <v>75000</v>
      </c>
      <c r="M35" s="9"/>
      <c r="N35" s="9"/>
      <c r="O35" s="9"/>
      <c r="P35" s="25"/>
      <c r="Q35" s="9"/>
      <c r="R35" s="9">
        <v>62637.716999999997</v>
      </c>
      <c r="S35" s="9">
        <v>72321.428571428594</v>
      </c>
      <c r="T35" s="9">
        <v>-9683.7115714285792</v>
      </c>
      <c r="U35" s="78">
        <v>0.83516955999999998</v>
      </c>
      <c r="V35" s="9">
        <v>23355.133000000002</v>
      </c>
      <c r="W35" s="45"/>
      <c r="X35" s="9"/>
    </row>
    <row r="36" spans="1:24" ht="12.25" customHeight="1">
      <c r="A36" s="202"/>
      <c r="B36" s="37" t="s">
        <v>463</v>
      </c>
      <c r="C36" s="236">
        <v>25000</v>
      </c>
      <c r="D36" s="236"/>
      <c r="E36" s="9">
        <v>0</v>
      </c>
      <c r="F36" s="9">
        <v>837.78800000000001</v>
      </c>
      <c r="G36" s="9">
        <v>19840.777999999998</v>
      </c>
      <c r="H36" s="9">
        <v>22564.669256756799</v>
      </c>
      <c r="I36" s="9">
        <v>-2723.89125675676</v>
      </c>
      <c r="J36" s="78">
        <v>0.90258677027027001</v>
      </c>
      <c r="K36" s="87">
        <v>0.79363112000000002</v>
      </c>
      <c r="L36" s="24">
        <v>22500</v>
      </c>
      <c r="M36" s="9"/>
      <c r="N36" s="9">
        <v>1253</v>
      </c>
      <c r="O36" s="9"/>
      <c r="P36" s="25"/>
      <c r="Q36" s="37">
        <v>1253</v>
      </c>
      <c r="R36" s="9">
        <v>26542</v>
      </c>
      <c r="S36" s="9">
        <v>21696.428571428602</v>
      </c>
      <c r="T36" s="9">
        <v>4845.5714285714303</v>
      </c>
      <c r="U36" s="78">
        <v>1.1796444444444401</v>
      </c>
      <c r="V36" s="9">
        <v>44.393000000000001</v>
      </c>
      <c r="W36" s="45"/>
      <c r="X36" s="9"/>
    </row>
    <row r="37" spans="1:24" ht="12.25" customHeight="1">
      <c r="A37" s="202"/>
      <c r="B37" s="37" t="s">
        <v>315</v>
      </c>
      <c r="C37" s="206">
        <v>100000</v>
      </c>
      <c r="D37" s="206"/>
      <c r="E37" s="71">
        <v>714.11800000000005</v>
      </c>
      <c r="F37" s="9">
        <v>1447.807</v>
      </c>
      <c r="G37" s="9">
        <v>77267.493000000002</v>
      </c>
      <c r="H37" s="9">
        <v>90258.677027027006</v>
      </c>
      <c r="I37" s="9">
        <v>-12991.184027027</v>
      </c>
      <c r="J37" s="78">
        <v>0.90258677027027001</v>
      </c>
      <c r="K37" s="87">
        <v>0.77267492999999998</v>
      </c>
      <c r="L37" s="9">
        <v>97500</v>
      </c>
      <c r="M37" s="9"/>
      <c r="N37" s="9">
        <v>1253</v>
      </c>
      <c r="O37" s="9"/>
      <c r="P37" s="9"/>
      <c r="Q37" s="9">
        <v>1253</v>
      </c>
      <c r="R37" s="9">
        <v>89179.717000000004</v>
      </c>
      <c r="S37" s="9">
        <v>94017.857142857101</v>
      </c>
      <c r="T37" s="9">
        <v>-4838.1401428571398</v>
      </c>
      <c r="U37" s="78">
        <v>0.914663764102564</v>
      </c>
      <c r="V37" s="9">
        <v>23399.526000000002</v>
      </c>
      <c r="W37" s="9"/>
      <c r="X37" s="9"/>
    </row>
    <row r="38" spans="1:24" ht="12.25" customHeight="1">
      <c r="A38" s="198" t="s">
        <v>797</v>
      </c>
      <c r="B38" s="198"/>
      <c r="C38" s="239">
        <v>678100</v>
      </c>
      <c r="D38" s="239"/>
      <c r="E38" s="11">
        <v>9985.0920000000006</v>
      </c>
      <c r="F38" s="11">
        <v>12863.258</v>
      </c>
      <c r="G38" s="11">
        <v>620384.375</v>
      </c>
      <c r="H38" s="9">
        <v>612044.08892026998</v>
      </c>
      <c r="I38" s="11">
        <v>8340.2860797297308</v>
      </c>
      <c r="J38" s="78">
        <v>0.90258677027027001</v>
      </c>
      <c r="K38" s="78">
        <v>0.91488626308804</v>
      </c>
      <c r="L38" s="11">
        <v>696600</v>
      </c>
      <c r="M38" s="11">
        <v>3167.098</v>
      </c>
      <c r="N38" s="11">
        <v>5325.8</v>
      </c>
      <c r="O38" s="11">
        <v>512</v>
      </c>
      <c r="P38" s="11"/>
      <c r="Q38" s="11">
        <v>9004.8979999999992</v>
      </c>
      <c r="R38" s="11">
        <v>669735.98</v>
      </c>
      <c r="S38" s="11">
        <v>671721.42857142899</v>
      </c>
      <c r="T38" s="11">
        <v>-1985.44857142861</v>
      </c>
      <c r="U38" s="78">
        <v>0.96143551536032201</v>
      </c>
      <c r="V38" s="11">
        <v>114965.613</v>
      </c>
      <c r="W38" s="11">
        <v>0</v>
      </c>
      <c r="X38" s="11">
        <v>0</v>
      </c>
    </row>
    <row r="39" spans="1:24" ht="12.25" customHeight="1">
      <c r="A39" s="202" t="s">
        <v>997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 t="s">
        <v>998</v>
      </c>
      <c r="O39" s="202"/>
      <c r="P39" s="202"/>
      <c r="Q39" s="202"/>
      <c r="R39" s="202"/>
      <c r="S39" s="202"/>
      <c r="T39" s="202"/>
      <c r="U39" s="202"/>
      <c r="V39" s="202"/>
      <c r="W39" s="202"/>
      <c r="X39" s="202"/>
    </row>
    <row r="40" spans="1:24" ht="12.25" customHeight="1">
      <c r="A40" s="21" t="s">
        <v>999</v>
      </c>
      <c r="B40" s="72" t="s">
        <v>383</v>
      </c>
      <c r="C40" s="17" t="s">
        <v>1000</v>
      </c>
      <c r="D40" s="72" t="s">
        <v>1001</v>
      </c>
      <c r="E40" s="72" t="s">
        <v>1002</v>
      </c>
      <c r="F40" s="72" t="s">
        <v>1003</v>
      </c>
      <c r="G40" s="72" t="s">
        <v>1004</v>
      </c>
      <c r="H40" s="73" t="s">
        <v>1005</v>
      </c>
      <c r="I40" s="72" t="s">
        <v>1006</v>
      </c>
      <c r="J40" s="72" t="s">
        <v>1007</v>
      </c>
      <c r="K40" s="72" t="s">
        <v>1008</v>
      </c>
      <c r="L40" s="72" t="s">
        <v>1009</v>
      </c>
      <c r="M40" s="73" t="s">
        <v>1010</v>
      </c>
      <c r="N40" s="68" t="s">
        <v>965</v>
      </c>
      <c r="O40" s="88" t="s">
        <v>1011</v>
      </c>
      <c r="P40" s="68" t="s">
        <v>1012</v>
      </c>
      <c r="Q40" s="68" t="s">
        <v>1013</v>
      </c>
      <c r="R40" s="68" t="s">
        <v>1014</v>
      </c>
      <c r="S40" s="68" t="s">
        <v>1015</v>
      </c>
      <c r="T40" s="68" t="s">
        <v>1016</v>
      </c>
      <c r="U40" s="68" t="s">
        <v>1017</v>
      </c>
      <c r="V40" s="68" t="s">
        <v>1018</v>
      </c>
      <c r="W40" s="195" t="s">
        <v>1019</v>
      </c>
      <c r="X40" s="195"/>
    </row>
    <row r="41" spans="1:24" ht="12.25" customHeight="1">
      <c r="A41" s="25" t="s">
        <v>968</v>
      </c>
      <c r="B41" s="9">
        <v>176269.87299999999</v>
      </c>
      <c r="C41" s="74">
        <v>17.27</v>
      </c>
      <c r="D41" s="74">
        <v>9.42</v>
      </c>
      <c r="E41" s="74">
        <v>17.3</v>
      </c>
      <c r="F41" s="74">
        <v>22.74</v>
      </c>
      <c r="G41" s="74">
        <v>4.63</v>
      </c>
      <c r="H41" s="74">
        <v>26.18</v>
      </c>
      <c r="I41" s="74">
        <v>1.536</v>
      </c>
      <c r="J41" s="74">
        <v>32.9</v>
      </c>
      <c r="K41" s="74">
        <v>865.7</v>
      </c>
      <c r="L41" s="74">
        <v>0.5</v>
      </c>
      <c r="M41" s="74">
        <v>1465</v>
      </c>
      <c r="N41" s="25" t="s">
        <v>1020</v>
      </c>
      <c r="O41" s="25" t="s">
        <v>1021</v>
      </c>
      <c r="P41" s="25" t="s">
        <v>1022</v>
      </c>
      <c r="Q41" s="25" t="s">
        <v>1023</v>
      </c>
      <c r="R41" s="25" t="s">
        <v>1024</v>
      </c>
      <c r="S41" s="25"/>
      <c r="T41" s="25"/>
      <c r="U41" s="25"/>
      <c r="V41" s="25"/>
      <c r="W41" s="240" t="s">
        <v>1025</v>
      </c>
      <c r="X41" s="240"/>
    </row>
    <row r="42" spans="1:24" ht="12.25" customHeight="1">
      <c r="A42" s="25" t="s">
        <v>966</v>
      </c>
      <c r="B42" s="9">
        <v>173091.79399999999</v>
      </c>
      <c r="C42" s="74">
        <v>18.350000000000001</v>
      </c>
      <c r="D42" s="74">
        <v>10.75</v>
      </c>
      <c r="E42" s="74">
        <v>22.17</v>
      </c>
      <c r="F42" s="74">
        <v>17.25</v>
      </c>
      <c r="G42" s="74">
        <v>6.32</v>
      </c>
      <c r="H42" s="74">
        <v>22.35</v>
      </c>
      <c r="I42" s="74">
        <v>2.8</v>
      </c>
      <c r="J42" s="74">
        <v>30.14</v>
      </c>
      <c r="K42" s="74">
        <v>871.4</v>
      </c>
      <c r="L42" s="74">
        <v>0.62</v>
      </c>
      <c r="M42" s="74">
        <v>942</v>
      </c>
      <c r="N42" s="25" t="s">
        <v>1020</v>
      </c>
      <c r="O42" s="25" t="s">
        <v>1021</v>
      </c>
      <c r="P42" s="25" t="s">
        <v>1026</v>
      </c>
      <c r="Q42" s="25" t="s">
        <v>1027</v>
      </c>
      <c r="R42" s="25" t="s">
        <v>1024</v>
      </c>
      <c r="S42" s="25"/>
      <c r="T42" s="25"/>
      <c r="U42" s="25"/>
      <c r="V42" s="25"/>
      <c r="W42" s="240" t="s">
        <v>1025</v>
      </c>
      <c r="X42" s="240"/>
    </row>
    <row r="43" spans="1:24" ht="12.25" customHeight="1">
      <c r="A43" s="25" t="s">
        <v>1028</v>
      </c>
      <c r="B43" s="9">
        <v>159905.55499999999</v>
      </c>
      <c r="C43" s="74">
        <v>18.63</v>
      </c>
      <c r="D43" s="74">
        <v>10.66</v>
      </c>
      <c r="E43" s="74">
        <v>22.28</v>
      </c>
      <c r="F43" s="74">
        <v>12.7</v>
      </c>
      <c r="G43" s="74">
        <v>9</v>
      </c>
      <c r="H43" s="74">
        <v>21.79</v>
      </c>
      <c r="I43" s="74">
        <v>3.1480000000000001</v>
      </c>
      <c r="J43" s="74">
        <v>29.2</v>
      </c>
      <c r="K43" s="74">
        <v>877.4</v>
      </c>
      <c r="L43" s="74">
        <v>0.28000000000000003</v>
      </c>
      <c r="M43" s="74">
        <v>452.2</v>
      </c>
      <c r="N43" s="25" t="s">
        <v>1029</v>
      </c>
      <c r="O43" s="25" t="s">
        <v>1030</v>
      </c>
      <c r="P43" s="25" t="s">
        <v>1031</v>
      </c>
      <c r="Q43" s="25" t="s">
        <v>1032</v>
      </c>
      <c r="R43" s="25" t="s">
        <v>1024</v>
      </c>
      <c r="S43" s="25"/>
      <c r="T43" s="25"/>
      <c r="U43" s="25"/>
      <c r="V43" s="25"/>
      <c r="W43" s="240" t="s">
        <v>1025</v>
      </c>
      <c r="X43" s="240"/>
    </row>
    <row r="44" spans="1:24" ht="12.25" customHeight="1">
      <c r="A44" s="25" t="s">
        <v>1033</v>
      </c>
      <c r="B44" s="9">
        <v>81309.918000000005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25" t="s">
        <v>1029</v>
      </c>
      <c r="O44" s="25" t="s">
        <v>1030</v>
      </c>
      <c r="P44" s="25" t="s">
        <v>1034</v>
      </c>
      <c r="Q44" s="25" t="s">
        <v>1035</v>
      </c>
      <c r="R44" s="25" t="s">
        <v>1036</v>
      </c>
      <c r="S44" s="25"/>
      <c r="T44" s="25"/>
      <c r="U44" s="25"/>
      <c r="V44" s="25"/>
      <c r="W44" s="240" t="s">
        <v>1037</v>
      </c>
      <c r="X44" s="240"/>
    </row>
    <row r="45" spans="1:24" ht="12.25" customHeight="1">
      <c r="A45" s="25" t="s">
        <v>1038</v>
      </c>
      <c r="B45" s="9">
        <v>76171.691999999995</v>
      </c>
      <c r="C45" s="74">
        <v>12.78</v>
      </c>
      <c r="D45" s="74">
        <v>8.94</v>
      </c>
      <c r="E45" s="74">
        <v>22.43</v>
      </c>
      <c r="F45" s="74">
        <v>23.46</v>
      </c>
      <c r="G45" s="74">
        <v>6.66</v>
      </c>
      <c r="H45" s="74">
        <v>25.7</v>
      </c>
      <c r="I45" s="74">
        <v>1.53</v>
      </c>
      <c r="J45" s="74">
        <v>29.4</v>
      </c>
      <c r="K45" s="74">
        <v>876</v>
      </c>
      <c r="L45" s="74">
        <v>0.19</v>
      </c>
      <c r="M45" s="74">
        <v>1703</v>
      </c>
      <c r="N45" s="25" t="s">
        <v>1020</v>
      </c>
      <c r="O45" s="25" t="s">
        <v>1021</v>
      </c>
      <c r="P45" s="25" t="s">
        <v>1026</v>
      </c>
      <c r="Q45" s="25" t="s">
        <v>1027</v>
      </c>
      <c r="R45" s="25" t="s">
        <v>1039</v>
      </c>
      <c r="S45" s="25"/>
      <c r="T45" s="25"/>
      <c r="U45" s="25"/>
      <c r="V45" s="25"/>
      <c r="W45" s="240" t="s">
        <v>1025</v>
      </c>
      <c r="X45" s="240"/>
    </row>
    <row r="46" spans="1:24" ht="12.25" customHeight="1">
      <c r="A46" s="25" t="s">
        <v>967</v>
      </c>
      <c r="B46" s="9">
        <v>62579.919000000002</v>
      </c>
      <c r="C46" s="74">
        <v>14.77</v>
      </c>
      <c r="D46" s="74">
        <v>9.7799999999999994</v>
      </c>
      <c r="E46" s="74">
        <v>17.37</v>
      </c>
      <c r="F46" s="74">
        <v>17.37</v>
      </c>
      <c r="G46" s="74">
        <v>21.56</v>
      </c>
      <c r="H46" s="74">
        <v>29.1</v>
      </c>
      <c r="I46" s="74">
        <v>3.3780000000000001</v>
      </c>
      <c r="J46" s="74">
        <v>26.41</v>
      </c>
      <c r="K46" s="74">
        <v>892.1</v>
      </c>
      <c r="L46" s="74">
        <v>0.39</v>
      </c>
      <c r="M46" s="74">
        <v>630.70000000000005</v>
      </c>
      <c r="N46" s="25" t="s">
        <v>408</v>
      </c>
      <c r="O46" s="25" t="s">
        <v>1021</v>
      </c>
      <c r="P46" s="25" t="s">
        <v>1040</v>
      </c>
      <c r="Q46" s="25" t="s">
        <v>1041</v>
      </c>
      <c r="R46" s="25" t="s">
        <v>1039</v>
      </c>
      <c r="S46" s="25"/>
      <c r="T46" s="25"/>
      <c r="U46" s="25"/>
      <c r="V46" s="25"/>
      <c r="W46" s="240" t="s">
        <v>1025</v>
      </c>
      <c r="X46" s="240"/>
    </row>
    <row r="47" spans="1:24" ht="12.25" customHeight="1">
      <c r="A47" s="25" t="s">
        <v>969</v>
      </c>
      <c r="B47" s="9">
        <v>52133.597999999998</v>
      </c>
      <c r="C47" s="74">
        <v>19.489999999999998</v>
      </c>
      <c r="D47" s="74">
        <v>11.04</v>
      </c>
      <c r="E47" s="74">
        <v>21.5</v>
      </c>
      <c r="F47" s="74">
        <v>17.059999999999999</v>
      </c>
      <c r="G47" s="74">
        <v>6.45</v>
      </c>
      <c r="H47" s="74">
        <v>22.68</v>
      </c>
      <c r="I47" s="74">
        <v>2.5569999999999999</v>
      </c>
      <c r="J47" s="74">
        <v>30.64</v>
      </c>
      <c r="K47" s="74">
        <v>868.7</v>
      </c>
      <c r="L47" s="74">
        <v>0.19</v>
      </c>
      <c r="M47" s="74">
        <v>758</v>
      </c>
      <c r="N47" s="25" t="s">
        <v>1042</v>
      </c>
      <c r="O47" s="25" t="s">
        <v>1043</v>
      </c>
      <c r="P47" s="25" t="s">
        <v>1044</v>
      </c>
      <c r="Q47" s="25" t="s">
        <v>1045</v>
      </c>
      <c r="R47" s="25" t="s">
        <v>1039</v>
      </c>
      <c r="S47" s="25"/>
      <c r="T47" s="25"/>
      <c r="U47" s="25"/>
      <c r="V47" s="25"/>
      <c r="W47" s="240" t="s">
        <v>1046</v>
      </c>
      <c r="X47" s="240"/>
    </row>
    <row r="48" spans="1:24" ht="12.25" customHeight="1">
      <c r="A48" s="25" t="s">
        <v>1047</v>
      </c>
      <c r="B48" s="9">
        <v>44488.347999999998</v>
      </c>
      <c r="C48" s="74">
        <v>19.850000000000001</v>
      </c>
      <c r="D48" s="74">
        <v>12.29</v>
      </c>
      <c r="E48" s="74">
        <v>23.63</v>
      </c>
      <c r="F48" s="74">
        <v>18.04</v>
      </c>
      <c r="G48" s="74">
        <v>6.18</v>
      </c>
      <c r="H48" s="74">
        <v>18.04</v>
      </c>
      <c r="I48" s="74">
        <v>2.056</v>
      </c>
      <c r="J48" s="74">
        <v>32.69</v>
      </c>
      <c r="K48" s="74">
        <v>857.8</v>
      </c>
      <c r="L48" s="74">
        <v>0.14000000000000001</v>
      </c>
      <c r="M48" s="74">
        <v>740</v>
      </c>
      <c r="N48" s="25" t="s">
        <v>1020</v>
      </c>
      <c r="O48" s="25" t="s">
        <v>1021</v>
      </c>
      <c r="P48" s="25" t="s">
        <v>1048</v>
      </c>
      <c r="Q48" s="25" t="s">
        <v>1041</v>
      </c>
      <c r="R48" s="25" t="s">
        <v>1049</v>
      </c>
      <c r="S48" s="25"/>
      <c r="T48" s="25"/>
      <c r="U48" s="25"/>
      <c r="V48" s="25"/>
      <c r="W48" s="240" t="s">
        <v>1025</v>
      </c>
      <c r="X48" s="240"/>
    </row>
    <row r="49" spans="1:24" ht="12.25" customHeight="1">
      <c r="A49" s="25" t="s">
        <v>899</v>
      </c>
      <c r="B49" s="9">
        <v>30822.442999999999</v>
      </c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25" t="s">
        <v>991</v>
      </c>
      <c r="O49" s="25" t="s">
        <v>1021</v>
      </c>
      <c r="P49" s="25" t="s">
        <v>1050</v>
      </c>
      <c r="Q49" s="25" t="s">
        <v>1051</v>
      </c>
      <c r="R49" s="25" t="s">
        <v>1049</v>
      </c>
      <c r="S49" s="25"/>
      <c r="T49" s="25"/>
      <c r="U49" s="25" t="s">
        <v>1052</v>
      </c>
      <c r="V49" s="25"/>
      <c r="W49" s="240" t="s">
        <v>1025</v>
      </c>
      <c r="X49" s="240"/>
    </row>
    <row r="50" spans="1:24" ht="12.25" customHeight="1">
      <c r="A50" s="25" t="s">
        <v>1053</v>
      </c>
      <c r="B50" s="9">
        <v>22656.041000000001</v>
      </c>
      <c r="C50" s="74">
        <v>16.03</v>
      </c>
      <c r="D50" s="74">
        <v>9.0299999999999994</v>
      </c>
      <c r="E50" s="74">
        <v>19.8</v>
      </c>
      <c r="F50" s="74">
        <v>17.37</v>
      </c>
      <c r="G50" s="74">
        <v>9.83</v>
      </c>
      <c r="H50" s="74">
        <v>25.73</v>
      </c>
      <c r="I50" s="74">
        <v>3.8919999999999999</v>
      </c>
      <c r="J50" s="74">
        <v>23.87</v>
      </c>
      <c r="K50" s="74">
        <v>906.8</v>
      </c>
      <c r="L50" s="74">
        <v>0.52</v>
      </c>
      <c r="M50" s="74">
        <v>1668</v>
      </c>
      <c r="N50" s="25" t="s">
        <v>1020</v>
      </c>
      <c r="O50" s="25" t="s">
        <v>1021</v>
      </c>
      <c r="P50" s="25" t="s">
        <v>1054</v>
      </c>
      <c r="Q50" s="25" t="s">
        <v>1041</v>
      </c>
      <c r="R50" s="25" t="s">
        <v>1055</v>
      </c>
      <c r="S50" s="25"/>
      <c r="T50" s="25"/>
      <c r="U50" s="25"/>
      <c r="V50" s="25"/>
      <c r="W50" s="240" t="s">
        <v>1025</v>
      </c>
      <c r="X50" s="240"/>
    </row>
    <row r="51" spans="1:24" ht="12.25" customHeight="1">
      <c r="A51" s="25" t="s">
        <v>1056</v>
      </c>
      <c r="B51" s="9">
        <v>14929.619000000001</v>
      </c>
      <c r="C51" s="74">
        <v>15.15</v>
      </c>
      <c r="D51" s="74">
        <v>4.72</v>
      </c>
      <c r="E51" s="74">
        <v>13.91</v>
      </c>
      <c r="F51" s="74">
        <v>19.36</v>
      </c>
      <c r="G51" s="74"/>
      <c r="H51" s="74">
        <v>45.53</v>
      </c>
      <c r="I51" s="74">
        <v>3.5310000000000001</v>
      </c>
      <c r="J51" s="74">
        <v>20.49</v>
      </c>
      <c r="K51" s="74">
        <v>927</v>
      </c>
      <c r="L51" s="74">
        <v>1.58</v>
      </c>
      <c r="M51" s="74">
        <v>2369</v>
      </c>
      <c r="N51" s="25" t="s">
        <v>1029</v>
      </c>
      <c r="O51" s="25" t="s">
        <v>1030</v>
      </c>
      <c r="P51" s="25" t="s">
        <v>1057</v>
      </c>
      <c r="Q51" s="25" t="s">
        <v>1058</v>
      </c>
      <c r="R51" s="25" t="s">
        <v>1059</v>
      </c>
      <c r="S51" s="25"/>
      <c r="T51" s="25"/>
      <c r="U51" s="25"/>
      <c r="V51" s="25"/>
      <c r="W51" s="240" t="s">
        <v>1060</v>
      </c>
      <c r="X51" s="240"/>
    </row>
    <row r="52" spans="1:24" ht="12.25" customHeight="1">
      <c r="A52" s="25" t="s">
        <v>1061</v>
      </c>
      <c r="B52" s="9">
        <v>11538.401</v>
      </c>
      <c r="C52" s="74">
        <v>15.8</v>
      </c>
      <c r="D52" s="74">
        <v>10.52</v>
      </c>
      <c r="E52" s="74">
        <v>18.48</v>
      </c>
      <c r="F52" s="74">
        <v>20.92</v>
      </c>
      <c r="G52" s="74">
        <v>5.03</v>
      </c>
      <c r="H52" s="74">
        <v>28.4</v>
      </c>
      <c r="I52" s="74">
        <v>2.8260000000000001</v>
      </c>
      <c r="J52" s="74">
        <v>27.81</v>
      </c>
      <c r="K52" s="74">
        <v>884.2</v>
      </c>
      <c r="L52" s="74">
        <v>0.22</v>
      </c>
      <c r="M52" s="74">
        <v>541.6</v>
      </c>
      <c r="N52" s="25"/>
      <c r="O52" s="25"/>
      <c r="P52" s="25"/>
      <c r="Q52" s="25"/>
      <c r="R52" s="25"/>
      <c r="S52" s="25"/>
      <c r="T52" s="25"/>
      <c r="U52" s="25"/>
      <c r="V52" s="25"/>
      <c r="W52" s="240"/>
      <c r="X52" s="240"/>
    </row>
    <row r="53" spans="1:24" ht="12.25" customHeight="1">
      <c r="A53" s="25"/>
      <c r="B53" s="9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25"/>
      <c r="O53" s="25"/>
      <c r="P53" s="25"/>
      <c r="Q53" s="25"/>
      <c r="R53" s="25"/>
      <c r="S53" s="25"/>
      <c r="T53" s="25"/>
      <c r="U53" s="25"/>
      <c r="V53" s="25"/>
      <c r="W53" s="240"/>
      <c r="X53" s="240"/>
    </row>
    <row r="54" spans="1:24" ht="12.25" customHeight="1">
      <c r="A54" s="25"/>
      <c r="B54" s="9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25"/>
      <c r="O54" s="25"/>
      <c r="P54" s="25"/>
      <c r="Q54" s="25"/>
      <c r="R54" s="25"/>
      <c r="S54" s="25"/>
      <c r="T54" s="25"/>
      <c r="U54" s="25"/>
      <c r="V54" s="25"/>
      <c r="W54" s="240"/>
      <c r="X54" s="240"/>
    </row>
    <row r="55" spans="1:24" ht="12.25" customHeight="1">
      <c r="A55" s="25"/>
      <c r="B55" s="9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25"/>
      <c r="O55" s="25"/>
      <c r="P55" s="25"/>
      <c r="Q55" s="25"/>
      <c r="R55" s="25"/>
      <c r="S55" s="25"/>
      <c r="T55" s="25"/>
      <c r="U55" s="25"/>
      <c r="V55" s="25"/>
      <c r="W55" s="240"/>
      <c r="X55" s="240"/>
    </row>
    <row r="56" spans="1:24" ht="12.25" customHeight="1">
      <c r="A56" s="200" t="s">
        <v>1062</v>
      </c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 t="s">
        <v>1063</v>
      </c>
      <c r="O56" s="200"/>
      <c r="P56" s="200"/>
      <c r="Q56" s="200"/>
      <c r="R56" s="200"/>
      <c r="S56" s="200"/>
      <c r="T56" s="200"/>
      <c r="U56" s="200"/>
      <c r="V56" s="200"/>
      <c r="W56" s="200"/>
      <c r="X56" s="200"/>
    </row>
    <row r="57" spans="1:24" ht="16.5" customHeight="1">
      <c r="A57" s="207" t="s">
        <v>1064</v>
      </c>
      <c r="B57" s="207"/>
      <c r="C57" s="207" t="s">
        <v>1065</v>
      </c>
      <c r="D57" s="207"/>
      <c r="E57" s="11" t="s">
        <v>1066</v>
      </c>
      <c r="F57" s="9" t="s">
        <v>1067</v>
      </c>
      <c r="G57" s="37" t="s">
        <v>1006</v>
      </c>
      <c r="H57" s="9" t="s">
        <v>1068</v>
      </c>
      <c r="I57" s="9" t="s">
        <v>1009</v>
      </c>
      <c r="J57" s="37" t="s">
        <v>1069</v>
      </c>
      <c r="K57" s="9" t="s">
        <v>1070</v>
      </c>
      <c r="L57" s="9" t="s">
        <v>1071</v>
      </c>
      <c r="M57" s="37" t="s">
        <v>1072</v>
      </c>
      <c r="N57" s="75" t="s">
        <v>965</v>
      </c>
      <c r="O57" s="75" t="s">
        <v>1073</v>
      </c>
      <c r="P57" s="75" t="s">
        <v>1012</v>
      </c>
      <c r="Q57" s="75" t="s">
        <v>1074</v>
      </c>
      <c r="R57" s="75" t="s">
        <v>1075</v>
      </c>
      <c r="S57" s="75" t="s">
        <v>1076</v>
      </c>
      <c r="T57" s="75" t="s">
        <v>1077</v>
      </c>
      <c r="U57" s="75" t="s">
        <v>1078</v>
      </c>
      <c r="V57" s="75" t="s">
        <v>1079</v>
      </c>
      <c r="W57" s="200" t="s">
        <v>1080</v>
      </c>
      <c r="X57" s="200"/>
    </row>
    <row r="58" spans="1:24" ht="12.25" customHeight="1">
      <c r="A58" s="207" t="s">
        <v>1081</v>
      </c>
      <c r="B58" s="207"/>
      <c r="C58" s="207" t="s">
        <v>1082</v>
      </c>
      <c r="D58" s="207"/>
      <c r="E58" s="25" t="s">
        <v>1083</v>
      </c>
      <c r="F58" s="25" t="s">
        <v>1084</v>
      </c>
      <c r="G58" s="25" t="s">
        <v>127</v>
      </c>
      <c r="H58" s="25" t="s">
        <v>1085</v>
      </c>
      <c r="I58" s="25" t="s">
        <v>140</v>
      </c>
      <c r="J58" s="25" t="s">
        <v>1086</v>
      </c>
      <c r="K58" s="25" t="s">
        <v>1087</v>
      </c>
      <c r="L58" s="25" t="s">
        <v>1088</v>
      </c>
      <c r="M58" s="25" t="s">
        <v>945</v>
      </c>
      <c r="N58" s="25" t="s">
        <v>458</v>
      </c>
      <c r="O58" s="25" t="s">
        <v>1055</v>
      </c>
      <c r="P58" s="25">
        <v>6300</v>
      </c>
      <c r="Q58" s="25" t="s">
        <v>1089</v>
      </c>
      <c r="R58" s="25" t="s">
        <v>1090</v>
      </c>
      <c r="S58" s="25" t="s">
        <v>1090</v>
      </c>
      <c r="T58" s="25" t="s">
        <v>1091</v>
      </c>
      <c r="U58" s="25" t="s">
        <v>1092</v>
      </c>
      <c r="V58" s="25" t="s">
        <v>1093</v>
      </c>
      <c r="W58" s="241" t="s">
        <v>1025</v>
      </c>
      <c r="X58" s="241"/>
    </row>
    <row r="59" spans="1:24" ht="12.25" customHeight="1">
      <c r="A59" s="242">
        <v>44983.375231481499</v>
      </c>
      <c r="B59" s="207"/>
      <c r="C59" s="207" t="s">
        <v>1094</v>
      </c>
      <c r="D59" s="207"/>
      <c r="E59" s="25" t="s">
        <v>1095</v>
      </c>
      <c r="F59" s="25" t="s">
        <v>1084</v>
      </c>
      <c r="G59" s="25" t="s">
        <v>1096</v>
      </c>
      <c r="H59" s="25" t="s">
        <v>130</v>
      </c>
      <c r="I59" s="25" t="s">
        <v>1097</v>
      </c>
      <c r="J59" s="25" t="s">
        <v>1098</v>
      </c>
      <c r="K59" s="25" t="s">
        <v>1099</v>
      </c>
      <c r="L59" s="25" t="s">
        <v>1100</v>
      </c>
      <c r="M59" s="25" t="s">
        <v>1101</v>
      </c>
      <c r="N59" s="25" t="s">
        <v>458</v>
      </c>
      <c r="O59" s="25" t="s">
        <v>0</v>
      </c>
      <c r="P59" s="25">
        <v>25000</v>
      </c>
      <c r="Q59" s="25" t="s">
        <v>1102</v>
      </c>
      <c r="R59" s="25" t="s">
        <v>1090</v>
      </c>
      <c r="S59" s="25"/>
      <c r="T59" s="25"/>
      <c r="U59" s="25" t="s">
        <v>1103</v>
      </c>
      <c r="V59" s="25"/>
      <c r="W59" s="241" t="s">
        <v>1104</v>
      </c>
      <c r="X59" s="241"/>
    </row>
    <row r="60" spans="1:24" ht="12.25" customHeight="1">
      <c r="A60" s="200" t="s">
        <v>1105</v>
      </c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5"/>
      <c r="O60" s="25"/>
      <c r="P60" s="25"/>
      <c r="Q60" s="25"/>
      <c r="R60" s="25"/>
      <c r="S60" s="25"/>
      <c r="T60" s="25"/>
      <c r="U60" s="25"/>
      <c r="V60" s="25"/>
      <c r="W60" s="240"/>
      <c r="X60" s="240"/>
    </row>
    <row r="61" spans="1:24" ht="12.25" customHeight="1">
      <c r="A61" s="207" t="s">
        <v>1106</v>
      </c>
      <c r="B61" s="207"/>
      <c r="C61" s="25" t="s">
        <v>968</v>
      </c>
      <c r="D61" s="25" t="s">
        <v>966</v>
      </c>
      <c r="E61" s="25" t="s">
        <v>1038</v>
      </c>
      <c r="F61" s="25" t="s">
        <v>1047</v>
      </c>
      <c r="G61" s="25" t="s">
        <v>969</v>
      </c>
      <c r="H61" s="25" t="s">
        <v>1061</v>
      </c>
      <c r="I61" s="25" t="s">
        <v>1107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40"/>
      <c r="X61" s="240"/>
    </row>
    <row r="62" spans="1:24" ht="12.25" customHeight="1">
      <c r="A62" s="207" t="s">
        <v>1108</v>
      </c>
      <c r="B62" s="207"/>
      <c r="C62" s="76">
        <v>0.35965000000000003</v>
      </c>
      <c r="D62" s="76">
        <v>0.29281000000000001</v>
      </c>
      <c r="E62" s="76">
        <v>0.10927000000000001</v>
      </c>
      <c r="F62" s="76">
        <v>8.3979999999999999E-2</v>
      </c>
      <c r="G62" s="76">
        <v>6.8970000000000004E-2</v>
      </c>
      <c r="H62" s="76">
        <v>4.8189999999999997E-2</v>
      </c>
      <c r="I62" s="76">
        <v>3.7130000000000003E-2</v>
      </c>
      <c r="J62" s="76"/>
      <c r="K62" s="76"/>
      <c r="L62" s="76"/>
      <c r="M62" s="76"/>
      <c r="N62" s="25"/>
      <c r="O62" s="25"/>
      <c r="P62" s="25"/>
      <c r="Q62" s="25"/>
      <c r="R62" s="25"/>
      <c r="S62" s="25"/>
      <c r="T62" s="25"/>
      <c r="U62" s="25"/>
      <c r="V62" s="25"/>
      <c r="W62" s="240"/>
      <c r="X62" s="240"/>
    </row>
    <row r="63" spans="1:24" ht="12.25" customHeight="1">
      <c r="A63" s="207" t="s">
        <v>1109</v>
      </c>
      <c r="B63" s="207"/>
      <c r="C63" s="76">
        <v>0.36975999999999998</v>
      </c>
      <c r="D63" s="76">
        <v>0.26468000000000003</v>
      </c>
      <c r="E63" s="76">
        <v>0.11434999999999999</v>
      </c>
      <c r="F63" s="76"/>
      <c r="G63" s="76">
        <v>8.6580000000000004E-2</v>
      </c>
      <c r="H63" s="76">
        <v>5.3800000000000001E-2</v>
      </c>
      <c r="I63" s="76">
        <v>4.369E-2</v>
      </c>
      <c r="J63" s="76"/>
      <c r="K63" s="76"/>
      <c r="L63" s="76"/>
      <c r="M63" s="76"/>
      <c r="N63" s="25"/>
      <c r="O63" s="25"/>
      <c r="P63" s="25"/>
      <c r="Q63" s="25"/>
      <c r="R63" s="25"/>
      <c r="S63" s="25"/>
      <c r="T63" s="25"/>
      <c r="U63" s="25"/>
      <c r="V63" s="25"/>
      <c r="W63" s="240"/>
      <c r="X63" s="240"/>
    </row>
  </sheetData>
  <mergeCells count="96">
    <mergeCell ref="A25:A31"/>
    <mergeCell ref="A32:A34"/>
    <mergeCell ref="A35:A37"/>
    <mergeCell ref="A61:B61"/>
    <mergeCell ref="W61:X61"/>
    <mergeCell ref="A62:B62"/>
    <mergeCell ref="W62:X62"/>
    <mergeCell ref="A63:B63"/>
    <mergeCell ref="W63:X63"/>
    <mergeCell ref="A59:B59"/>
    <mergeCell ref="C59:D59"/>
    <mergeCell ref="W59:X59"/>
    <mergeCell ref="A60:M60"/>
    <mergeCell ref="W60:X60"/>
    <mergeCell ref="A57:B57"/>
    <mergeCell ref="C57:D57"/>
    <mergeCell ref="W57:X57"/>
    <mergeCell ref="A58:B58"/>
    <mergeCell ref="C58:D58"/>
    <mergeCell ref="W58:X58"/>
    <mergeCell ref="W53:X53"/>
    <mergeCell ref="W54:X54"/>
    <mergeCell ref="W55:X55"/>
    <mergeCell ref="A56:M56"/>
    <mergeCell ref="N56:X56"/>
    <mergeCell ref="W48:X48"/>
    <mergeCell ref="W49:X49"/>
    <mergeCell ref="W50:X50"/>
    <mergeCell ref="W51:X51"/>
    <mergeCell ref="W52:X52"/>
    <mergeCell ref="W43:X43"/>
    <mergeCell ref="W44:X44"/>
    <mergeCell ref="W45:X45"/>
    <mergeCell ref="W46:X46"/>
    <mergeCell ref="W47:X47"/>
    <mergeCell ref="A39:M39"/>
    <mergeCell ref="N39:X39"/>
    <mergeCell ref="W40:X40"/>
    <mergeCell ref="W41:X41"/>
    <mergeCell ref="W42:X42"/>
    <mergeCell ref="C35:D35"/>
    <mergeCell ref="C36:D36"/>
    <mergeCell ref="C37:D37"/>
    <mergeCell ref="A38:B38"/>
    <mergeCell ref="C38:D38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K8:L8"/>
    <mergeCell ref="K9:L9"/>
    <mergeCell ref="K10:L10"/>
    <mergeCell ref="A11:X11"/>
    <mergeCell ref="A12:B12"/>
    <mergeCell ref="C12:D12"/>
    <mergeCell ref="A5:B5"/>
    <mergeCell ref="K5:L5"/>
    <mergeCell ref="A6:I6"/>
    <mergeCell ref="K6:L6"/>
    <mergeCell ref="K7:L7"/>
    <mergeCell ref="A1:X1"/>
    <mergeCell ref="V2:W2"/>
    <mergeCell ref="A3:B3"/>
    <mergeCell ref="K3:X3"/>
    <mergeCell ref="A4:B4"/>
    <mergeCell ref="K4:L4"/>
  </mergeCells>
  <phoneticPr fontId="20" type="noConversion"/>
  <pageMargins left="0.19599999487400099" right="0.118000000715256" top="0.118000000715256" bottom="0.118000000715256" header="0" footer="0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workbookViewId="0">
      <selection sqref="A1:S1"/>
    </sheetView>
  </sheetViews>
  <sheetFormatPr defaultColWidth="10" defaultRowHeight="14"/>
  <cols>
    <col min="1" max="1" width="7.6328125" customWidth="1"/>
    <col min="2" max="2" width="12.6328125" customWidth="1"/>
    <col min="3" max="3" width="11" customWidth="1"/>
    <col min="4" max="4" width="11.26953125" customWidth="1"/>
    <col min="5" max="5" width="11" customWidth="1"/>
    <col min="6" max="6" width="8.81640625" customWidth="1"/>
    <col min="7" max="7" width="9.36328125" customWidth="1"/>
    <col min="8" max="11" width="6.54296875" customWidth="1"/>
    <col min="12" max="12" width="7.6328125" customWidth="1"/>
    <col min="13" max="13" width="8.90625" customWidth="1"/>
    <col min="14" max="14" width="12.6328125" customWidth="1"/>
    <col min="15" max="15" width="9.6328125" customWidth="1"/>
    <col min="16" max="16" width="10.26953125" customWidth="1"/>
    <col min="17" max="17" width="11" customWidth="1"/>
    <col min="18" max="18" width="8.81640625" customWidth="1"/>
    <col min="19" max="19" width="8.54296875" customWidth="1"/>
    <col min="20" max="23" width="6.54296875" customWidth="1"/>
    <col min="24" max="24" width="7.6328125" customWidth="1"/>
    <col min="25" max="27" width="9.7265625" customWidth="1"/>
  </cols>
  <sheetData>
    <row r="1" spans="1:24" ht="27.9" customHeight="1">
      <c r="A1" s="233" t="s">
        <v>1354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</row>
    <row r="2" spans="1:24" ht="17.25" customHeight="1">
      <c r="A2" s="50"/>
      <c r="B2" s="51"/>
      <c r="C2" s="50"/>
      <c r="D2" s="50"/>
      <c r="E2" s="50"/>
      <c r="F2" s="50"/>
      <c r="G2" s="50"/>
      <c r="M2" s="50"/>
      <c r="N2" s="50"/>
      <c r="O2" s="50"/>
      <c r="P2" s="50"/>
      <c r="Q2" s="243"/>
      <c r="R2" s="243"/>
      <c r="S2" s="64"/>
      <c r="T2" s="244" t="s">
        <v>0</v>
      </c>
      <c r="U2" s="244"/>
      <c r="V2" s="244"/>
      <c r="W2" s="244"/>
      <c r="X2" s="65" t="s">
        <v>1</v>
      </c>
    </row>
    <row r="3" spans="1:24" ht="28.5" customHeight="1">
      <c r="A3" s="245" t="s">
        <v>842</v>
      </c>
      <c r="B3" s="245" t="s">
        <v>64</v>
      </c>
      <c r="C3" s="245" t="s">
        <v>1110</v>
      </c>
      <c r="D3" s="245" t="s">
        <v>1111</v>
      </c>
      <c r="E3" s="245" t="s">
        <v>1112</v>
      </c>
      <c r="F3" s="245" t="s">
        <v>1113</v>
      </c>
      <c r="G3" s="255" t="s">
        <v>1114</v>
      </c>
      <c r="H3" s="245" t="s">
        <v>1115</v>
      </c>
      <c r="I3" s="245"/>
      <c r="J3" s="245"/>
      <c r="K3" s="245"/>
      <c r="L3" s="245"/>
      <c r="M3" s="245" t="s">
        <v>842</v>
      </c>
      <c r="N3" s="245" t="s">
        <v>64</v>
      </c>
      <c r="O3" s="245" t="s">
        <v>1110</v>
      </c>
      <c r="P3" s="245" t="s">
        <v>1111</v>
      </c>
      <c r="Q3" s="245" t="s">
        <v>1112</v>
      </c>
      <c r="R3" s="245" t="s">
        <v>1113</v>
      </c>
      <c r="S3" s="255" t="s">
        <v>1114</v>
      </c>
      <c r="T3" s="245" t="s">
        <v>1115</v>
      </c>
      <c r="U3" s="245"/>
      <c r="V3" s="245"/>
      <c r="W3" s="245"/>
      <c r="X3" s="245"/>
    </row>
    <row r="4" spans="1:24" ht="28.5" customHeight="1">
      <c r="A4" s="245"/>
      <c r="B4" s="245"/>
      <c r="C4" s="245"/>
      <c r="D4" s="245"/>
      <c r="E4" s="245"/>
      <c r="F4" s="245"/>
      <c r="G4" s="255"/>
      <c r="H4" s="52" t="s">
        <v>1116</v>
      </c>
      <c r="I4" s="52" t="s">
        <v>1117</v>
      </c>
      <c r="J4" s="52" t="s">
        <v>1118</v>
      </c>
      <c r="K4" s="52" t="s">
        <v>1119</v>
      </c>
      <c r="L4" s="52" t="s">
        <v>315</v>
      </c>
      <c r="M4" s="245"/>
      <c r="N4" s="245"/>
      <c r="O4" s="245"/>
      <c r="P4" s="245"/>
      <c r="Q4" s="245"/>
      <c r="R4" s="245"/>
      <c r="S4" s="255"/>
      <c r="T4" s="52" t="s">
        <v>1116</v>
      </c>
      <c r="U4" s="52" t="s">
        <v>1117</v>
      </c>
      <c r="V4" s="52" t="s">
        <v>1118</v>
      </c>
      <c r="W4" s="52" t="s">
        <v>1119</v>
      </c>
      <c r="X4" s="52" t="s">
        <v>315</v>
      </c>
    </row>
    <row r="5" spans="1:24" ht="14.25" customHeight="1">
      <c r="A5" s="254" t="s">
        <v>109</v>
      </c>
      <c r="B5" s="38" t="s">
        <v>77</v>
      </c>
      <c r="C5" s="53">
        <v>0.66559999999999997</v>
      </c>
      <c r="D5" s="53">
        <v>0.67789999999999995</v>
      </c>
      <c r="E5" s="54">
        <v>1</v>
      </c>
      <c r="F5" s="54">
        <v>1</v>
      </c>
      <c r="G5" s="38">
        <v>620</v>
      </c>
      <c r="H5" s="55"/>
      <c r="I5" s="55"/>
      <c r="J5" s="55"/>
      <c r="K5" s="55"/>
      <c r="L5" s="231">
        <v>3</v>
      </c>
      <c r="M5" s="254" t="s">
        <v>110</v>
      </c>
      <c r="N5" s="38" t="s">
        <v>95</v>
      </c>
      <c r="O5" s="57">
        <v>0.9325</v>
      </c>
      <c r="P5" s="57">
        <v>0.93600000000000005</v>
      </c>
      <c r="Q5" s="54">
        <v>1</v>
      </c>
      <c r="R5" s="54">
        <v>1</v>
      </c>
      <c r="S5" s="41">
        <v>3516</v>
      </c>
      <c r="T5" s="55"/>
      <c r="U5" s="55"/>
      <c r="V5" s="55"/>
      <c r="W5" s="55"/>
      <c r="X5" s="231">
        <v>0</v>
      </c>
    </row>
    <row r="6" spans="1:24" ht="14.25" customHeight="1">
      <c r="A6" s="254"/>
      <c r="B6" s="38" t="s">
        <v>79</v>
      </c>
      <c r="C6" s="56">
        <v>0.84719999999999995</v>
      </c>
      <c r="D6" s="56">
        <v>0.875</v>
      </c>
      <c r="E6" s="54">
        <v>1</v>
      </c>
      <c r="F6" s="54">
        <v>1</v>
      </c>
      <c r="G6" s="199">
        <v>239</v>
      </c>
      <c r="H6" s="55"/>
      <c r="I6" s="55"/>
      <c r="J6" s="55"/>
      <c r="K6" s="55"/>
      <c r="L6" s="231"/>
      <c r="M6" s="254"/>
      <c r="N6" s="38" t="s">
        <v>98</v>
      </c>
      <c r="O6" s="56">
        <v>0.8649</v>
      </c>
      <c r="P6" s="57">
        <v>0.91039999999999999</v>
      </c>
      <c r="Q6" s="54">
        <v>1</v>
      </c>
      <c r="R6" s="54">
        <v>1</v>
      </c>
      <c r="S6" s="41">
        <v>372</v>
      </c>
      <c r="T6" s="55"/>
      <c r="U6" s="55"/>
      <c r="V6" s="55"/>
      <c r="W6" s="55"/>
      <c r="X6" s="231"/>
    </row>
    <row r="7" spans="1:24" ht="14.25" customHeight="1">
      <c r="A7" s="254"/>
      <c r="B7" s="38" t="s">
        <v>81</v>
      </c>
      <c r="C7" s="56">
        <v>0.87860000000000005</v>
      </c>
      <c r="D7" s="56">
        <v>0.875</v>
      </c>
      <c r="E7" s="54">
        <v>1</v>
      </c>
      <c r="F7" s="54">
        <v>1</v>
      </c>
      <c r="G7" s="199"/>
      <c r="H7" s="55"/>
      <c r="I7" s="55"/>
      <c r="J7" s="55"/>
      <c r="K7" s="55"/>
      <c r="L7" s="231"/>
      <c r="M7" s="254"/>
      <c r="N7" s="38" t="s">
        <v>100</v>
      </c>
      <c r="O7" s="55" t="s">
        <v>83</v>
      </c>
      <c r="P7" s="55" t="s">
        <v>83</v>
      </c>
      <c r="Q7" s="54">
        <v>1</v>
      </c>
      <c r="R7" s="54">
        <v>1</v>
      </c>
      <c r="S7" s="55" t="s">
        <v>83</v>
      </c>
      <c r="T7" s="55"/>
      <c r="U7" s="55"/>
      <c r="V7" s="55"/>
      <c r="W7" s="55"/>
      <c r="X7" s="231"/>
    </row>
    <row r="8" spans="1:24" ht="14.25" customHeight="1">
      <c r="A8" s="254"/>
      <c r="B8" s="38" t="s">
        <v>84</v>
      </c>
      <c r="C8" s="54">
        <v>0.99960000000000004</v>
      </c>
      <c r="D8" s="54">
        <v>0.98709999999999998</v>
      </c>
      <c r="E8" s="54">
        <v>1</v>
      </c>
      <c r="F8" s="54">
        <v>1</v>
      </c>
      <c r="G8" s="38">
        <v>24</v>
      </c>
      <c r="H8" s="55"/>
      <c r="I8" s="55"/>
      <c r="J8" s="55"/>
      <c r="K8" s="55"/>
      <c r="L8" s="231"/>
      <c r="M8" s="254"/>
      <c r="N8" s="38" t="s">
        <v>102</v>
      </c>
      <c r="O8" s="54">
        <v>1</v>
      </c>
      <c r="P8" s="57">
        <v>0.94299999999999995</v>
      </c>
      <c r="Q8" s="54">
        <v>1</v>
      </c>
      <c r="R8" s="54">
        <v>1</v>
      </c>
      <c r="S8" s="41">
        <v>27</v>
      </c>
      <c r="T8" s="55"/>
      <c r="U8" s="55"/>
      <c r="V8" s="55"/>
      <c r="W8" s="55"/>
      <c r="X8" s="231"/>
    </row>
    <row r="9" spans="1:24" ht="14.25" customHeight="1">
      <c r="A9" s="254"/>
      <c r="B9" s="38" t="s">
        <v>99</v>
      </c>
      <c r="C9" s="54">
        <v>1</v>
      </c>
      <c r="D9" s="54">
        <v>1</v>
      </c>
      <c r="E9" s="54">
        <v>1</v>
      </c>
      <c r="F9" s="54">
        <v>1</v>
      </c>
      <c r="G9" s="38">
        <v>8</v>
      </c>
      <c r="H9" s="55"/>
      <c r="I9" s="55"/>
      <c r="J9" s="55"/>
      <c r="K9" s="55"/>
      <c r="L9" s="231"/>
      <c r="M9" s="254"/>
      <c r="N9" s="38" t="s">
        <v>789</v>
      </c>
      <c r="O9" s="54">
        <v>1</v>
      </c>
      <c r="P9" s="54">
        <v>1</v>
      </c>
      <c r="Q9" s="54">
        <v>1</v>
      </c>
      <c r="R9" s="54">
        <v>1</v>
      </c>
      <c r="S9" s="41">
        <v>0</v>
      </c>
      <c r="T9" s="55"/>
      <c r="U9" s="55"/>
      <c r="V9" s="55"/>
      <c r="W9" s="55"/>
      <c r="X9" s="231"/>
    </row>
    <row r="10" spans="1:24" ht="14.25" customHeight="1">
      <c r="A10" s="254"/>
      <c r="B10" s="38" t="s">
        <v>86</v>
      </c>
      <c r="C10" s="54">
        <v>1</v>
      </c>
      <c r="D10" s="57">
        <v>0.9667</v>
      </c>
      <c r="E10" s="54">
        <v>1</v>
      </c>
      <c r="F10" s="54">
        <v>1</v>
      </c>
      <c r="G10" s="38">
        <v>4</v>
      </c>
      <c r="H10" s="55"/>
      <c r="I10" s="55"/>
      <c r="J10" s="55"/>
      <c r="K10" s="55"/>
      <c r="L10" s="231"/>
      <c r="M10" s="254" t="s">
        <v>111</v>
      </c>
      <c r="N10" s="38" t="s">
        <v>104</v>
      </c>
      <c r="O10" s="54">
        <v>1</v>
      </c>
      <c r="P10" s="54">
        <v>0.97740000000000005</v>
      </c>
      <c r="Q10" s="54">
        <v>1</v>
      </c>
      <c r="R10" s="54">
        <v>1</v>
      </c>
      <c r="S10" s="41">
        <v>48</v>
      </c>
      <c r="T10" s="55"/>
      <c r="U10" s="55"/>
      <c r="V10" s="55"/>
      <c r="W10" s="55">
        <v>2</v>
      </c>
      <c r="X10" s="231">
        <v>5</v>
      </c>
    </row>
    <row r="11" spans="1:24" ht="14.25" customHeight="1">
      <c r="A11" s="254"/>
      <c r="B11" s="38" t="s">
        <v>94</v>
      </c>
      <c r="C11" s="54">
        <v>1</v>
      </c>
      <c r="D11" s="54">
        <v>1</v>
      </c>
      <c r="E11" s="54">
        <v>1</v>
      </c>
      <c r="F11" s="54">
        <v>1</v>
      </c>
      <c r="G11" s="38">
        <v>1</v>
      </c>
      <c r="H11" s="55"/>
      <c r="I11" s="55"/>
      <c r="J11" s="55"/>
      <c r="K11" s="55"/>
      <c r="L11" s="231"/>
      <c r="M11" s="254"/>
      <c r="N11" s="38" t="s">
        <v>106</v>
      </c>
      <c r="O11" s="54">
        <v>1</v>
      </c>
      <c r="P11" s="54">
        <v>1</v>
      </c>
      <c r="Q11" s="54">
        <v>1</v>
      </c>
      <c r="R11" s="54">
        <v>1</v>
      </c>
      <c r="S11" s="41">
        <v>2</v>
      </c>
      <c r="T11" s="55"/>
      <c r="U11" s="55"/>
      <c r="V11" s="55"/>
      <c r="W11" s="55">
        <v>3</v>
      </c>
      <c r="X11" s="231"/>
    </row>
    <row r="12" spans="1:24" ht="14.25" customHeight="1">
      <c r="A12" s="254"/>
      <c r="B12" s="38" t="s">
        <v>97</v>
      </c>
      <c r="C12" s="54">
        <v>1</v>
      </c>
      <c r="D12" s="54">
        <v>1</v>
      </c>
      <c r="E12" s="54">
        <v>1</v>
      </c>
      <c r="F12" s="54">
        <v>1</v>
      </c>
      <c r="G12" s="38">
        <v>118</v>
      </c>
      <c r="H12" s="55"/>
      <c r="I12" s="55"/>
      <c r="J12" s="55">
        <v>3</v>
      </c>
      <c r="K12" s="55"/>
      <c r="L12" s="231"/>
      <c r="M12" s="254" t="s">
        <v>192</v>
      </c>
      <c r="N12" s="38" t="s">
        <v>754</v>
      </c>
      <c r="O12" s="54">
        <v>1</v>
      </c>
      <c r="P12" s="54">
        <v>1</v>
      </c>
      <c r="Q12" s="54">
        <v>1</v>
      </c>
      <c r="R12" s="54">
        <v>1</v>
      </c>
      <c r="S12" s="41">
        <v>5</v>
      </c>
      <c r="T12" s="55"/>
      <c r="U12" s="55"/>
      <c r="V12" s="55"/>
      <c r="W12" s="55"/>
      <c r="X12" s="231">
        <v>0</v>
      </c>
    </row>
    <row r="13" spans="1:24" ht="14.25" customHeight="1">
      <c r="A13" s="254" t="s">
        <v>154</v>
      </c>
      <c r="B13" s="38" t="s">
        <v>101</v>
      </c>
      <c r="C13" s="57">
        <v>0.9859</v>
      </c>
      <c r="D13" s="54">
        <v>1</v>
      </c>
      <c r="E13" s="54">
        <v>1</v>
      </c>
      <c r="F13" s="54">
        <v>1</v>
      </c>
      <c r="G13" s="38">
        <v>18</v>
      </c>
      <c r="H13" s="55"/>
      <c r="I13" s="55"/>
      <c r="J13" s="55"/>
      <c r="K13" s="55"/>
      <c r="L13" s="231">
        <v>0</v>
      </c>
      <c r="M13" s="254"/>
      <c r="N13" s="38" t="s">
        <v>1120</v>
      </c>
      <c r="O13" s="54">
        <v>1</v>
      </c>
      <c r="P13" s="54">
        <v>1</v>
      </c>
      <c r="Q13" s="54">
        <v>1</v>
      </c>
      <c r="R13" s="54">
        <v>1</v>
      </c>
      <c r="S13" s="41">
        <v>5</v>
      </c>
      <c r="T13" s="55"/>
      <c r="U13" s="55"/>
      <c r="V13" s="55"/>
      <c r="W13" s="55"/>
      <c r="X13" s="231"/>
    </row>
    <row r="14" spans="1:24" ht="14.25" customHeight="1">
      <c r="A14" s="254"/>
      <c r="B14" s="38" t="s">
        <v>103</v>
      </c>
      <c r="C14" s="54">
        <v>1</v>
      </c>
      <c r="D14" s="54">
        <v>0.98899999999999999</v>
      </c>
      <c r="E14" s="54">
        <v>1</v>
      </c>
      <c r="F14" s="54">
        <v>1</v>
      </c>
      <c r="G14" s="38">
        <v>1</v>
      </c>
      <c r="H14" s="55"/>
      <c r="I14" s="55"/>
      <c r="J14" s="55"/>
      <c r="K14" s="55"/>
      <c r="L14" s="231"/>
      <c r="M14" s="254"/>
      <c r="N14" s="38" t="s">
        <v>460</v>
      </c>
      <c r="O14" s="54">
        <v>1</v>
      </c>
      <c r="P14" s="54">
        <v>1</v>
      </c>
      <c r="Q14" s="54">
        <v>1</v>
      </c>
      <c r="R14" s="54">
        <v>1</v>
      </c>
      <c r="S14" s="231">
        <v>2</v>
      </c>
      <c r="T14" s="55"/>
      <c r="U14" s="55"/>
      <c r="V14" s="55"/>
      <c r="W14" s="55"/>
      <c r="X14" s="231"/>
    </row>
    <row r="15" spans="1:24" ht="14.25" customHeight="1">
      <c r="A15" s="254"/>
      <c r="B15" s="38" t="s">
        <v>87</v>
      </c>
      <c r="C15" s="54">
        <v>1</v>
      </c>
      <c r="D15" s="54">
        <v>1</v>
      </c>
      <c r="E15" s="54">
        <v>1</v>
      </c>
      <c r="F15" s="54">
        <v>1</v>
      </c>
      <c r="G15" s="38">
        <v>0</v>
      </c>
      <c r="H15" s="55"/>
      <c r="I15" s="55"/>
      <c r="J15" s="55"/>
      <c r="K15" s="55"/>
      <c r="L15" s="231"/>
      <c r="M15" s="254"/>
      <c r="N15" s="38" t="s">
        <v>1121</v>
      </c>
      <c r="O15" s="54">
        <v>1</v>
      </c>
      <c r="P15" s="54">
        <v>1</v>
      </c>
      <c r="Q15" s="54">
        <v>1</v>
      </c>
      <c r="R15" s="54">
        <v>1</v>
      </c>
      <c r="S15" s="231"/>
      <c r="T15" s="55"/>
      <c r="U15" s="55"/>
      <c r="V15" s="55"/>
      <c r="W15" s="55"/>
      <c r="X15" s="231"/>
    </row>
    <row r="16" spans="1:24" ht="14.25" customHeight="1">
      <c r="A16" s="254"/>
      <c r="B16" s="38" t="s">
        <v>105</v>
      </c>
      <c r="C16" s="54">
        <v>1</v>
      </c>
      <c r="D16" s="54">
        <v>1</v>
      </c>
      <c r="E16" s="58">
        <v>1</v>
      </c>
      <c r="F16" s="58">
        <v>1</v>
      </c>
      <c r="G16" s="38">
        <v>4</v>
      </c>
      <c r="H16" s="55"/>
      <c r="I16" s="55"/>
      <c r="J16" s="55"/>
      <c r="K16" s="55"/>
      <c r="L16" s="231"/>
      <c r="M16" s="254"/>
      <c r="N16" s="38" t="s">
        <v>791</v>
      </c>
      <c r="O16" s="57">
        <v>0.99390000000000001</v>
      </c>
      <c r="P16" s="56">
        <v>0.81820000000000004</v>
      </c>
      <c r="Q16" s="58">
        <v>1</v>
      </c>
      <c r="R16" s="54">
        <v>1</v>
      </c>
      <c r="S16" s="41">
        <v>19</v>
      </c>
      <c r="T16" s="55"/>
      <c r="U16" s="55"/>
      <c r="V16" s="55"/>
      <c r="W16" s="55"/>
      <c r="X16" s="231"/>
    </row>
    <row r="17" spans="1:24" ht="14.25" customHeight="1">
      <c r="A17" s="254"/>
      <c r="B17" s="38" t="s">
        <v>80</v>
      </c>
      <c r="C17" s="54">
        <v>1</v>
      </c>
      <c r="D17" s="54">
        <v>1</v>
      </c>
      <c r="E17" s="58">
        <v>1</v>
      </c>
      <c r="F17" s="58">
        <v>1</v>
      </c>
      <c r="G17" s="38">
        <v>1</v>
      </c>
      <c r="H17" s="55"/>
      <c r="I17" s="55"/>
      <c r="J17" s="55"/>
      <c r="K17" s="55"/>
      <c r="L17" s="231"/>
      <c r="M17" s="254"/>
      <c r="N17" s="38" t="s">
        <v>824</v>
      </c>
      <c r="O17" s="57">
        <v>0.96020000000000005</v>
      </c>
      <c r="P17" s="54">
        <v>1</v>
      </c>
      <c r="Q17" s="58">
        <v>1</v>
      </c>
      <c r="R17" s="54">
        <v>1</v>
      </c>
      <c r="S17" s="41">
        <v>2</v>
      </c>
      <c r="T17" s="55"/>
      <c r="U17" s="55"/>
      <c r="V17" s="55"/>
      <c r="W17" s="55"/>
      <c r="X17" s="231"/>
    </row>
    <row r="18" spans="1:24" ht="14.25" customHeight="1">
      <c r="A18" s="254"/>
      <c r="B18" s="38" t="s">
        <v>78</v>
      </c>
      <c r="C18" s="54">
        <v>1</v>
      </c>
      <c r="D18" s="54">
        <v>1</v>
      </c>
      <c r="E18" s="58">
        <v>1</v>
      </c>
      <c r="F18" s="58">
        <v>1</v>
      </c>
      <c r="G18" s="38">
        <v>0</v>
      </c>
      <c r="H18" s="55"/>
      <c r="I18" s="55"/>
      <c r="J18" s="55"/>
      <c r="K18" s="55"/>
      <c r="L18" s="231"/>
      <c r="M18" s="38" t="s">
        <v>794</v>
      </c>
      <c r="N18" s="38" t="s">
        <v>794</v>
      </c>
      <c r="O18" s="54">
        <v>0.99939999999999996</v>
      </c>
      <c r="P18" s="54" t="s">
        <v>83</v>
      </c>
      <c r="Q18" s="58">
        <v>1</v>
      </c>
      <c r="R18" s="54">
        <v>1</v>
      </c>
      <c r="S18" s="41">
        <v>8</v>
      </c>
      <c r="T18" s="55"/>
      <c r="U18" s="55"/>
      <c r="V18" s="55"/>
      <c r="W18" s="55">
        <v>7</v>
      </c>
      <c r="X18" s="55">
        <v>7</v>
      </c>
    </row>
    <row r="19" spans="1:24" ht="14.25" customHeight="1">
      <c r="A19" s="254"/>
      <c r="B19" s="38" t="s">
        <v>82</v>
      </c>
      <c r="C19" s="48" t="s">
        <v>83</v>
      </c>
      <c r="D19" s="38" t="s">
        <v>83</v>
      </c>
      <c r="E19" s="58" t="s">
        <v>83</v>
      </c>
      <c r="F19" s="58">
        <v>1</v>
      </c>
      <c r="G19" s="38" t="s">
        <v>83</v>
      </c>
      <c r="H19" s="55"/>
      <c r="I19" s="55"/>
      <c r="J19" s="55"/>
      <c r="K19" s="55"/>
      <c r="L19" s="231"/>
      <c r="M19" s="38" t="s">
        <v>1122</v>
      </c>
      <c r="N19" s="38" t="s">
        <v>1122</v>
      </c>
      <c r="O19" s="57">
        <v>0.94810000000000005</v>
      </c>
      <c r="P19" s="54" t="s">
        <v>83</v>
      </c>
      <c r="Q19" s="58">
        <v>1</v>
      </c>
      <c r="R19" s="58">
        <v>1</v>
      </c>
      <c r="S19" s="41">
        <v>0</v>
      </c>
      <c r="T19" s="55"/>
      <c r="U19" s="55"/>
      <c r="V19" s="55">
        <v>1</v>
      </c>
      <c r="W19" s="55"/>
      <c r="X19" s="55">
        <v>1</v>
      </c>
    </row>
    <row r="20" spans="1:24" ht="14.25" customHeight="1">
      <c r="A20" s="254"/>
      <c r="B20" s="38" t="s">
        <v>85</v>
      </c>
      <c r="C20" s="54">
        <v>1</v>
      </c>
      <c r="D20" s="54">
        <v>1</v>
      </c>
      <c r="E20" s="58">
        <v>1</v>
      </c>
      <c r="F20" s="58">
        <v>1</v>
      </c>
      <c r="G20" s="38">
        <v>0</v>
      </c>
      <c r="H20" s="55"/>
      <c r="I20" s="55"/>
      <c r="J20" s="55"/>
      <c r="K20" s="55"/>
      <c r="L20" s="231"/>
      <c r="M20" s="51" t="s">
        <v>1123</v>
      </c>
      <c r="N20" s="51" t="s">
        <v>1123</v>
      </c>
      <c r="O20" s="54" t="s">
        <v>83</v>
      </c>
      <c r="P20" s="54" t="s">
        <v>83</v>
      </c>
      <c r="Q20" s="54" t="s">
        <v>83</v>
      </c>
      <c r="R20" s="54" t="s">
        <v>83</v>
      </c>
      <c r="S20" s="54" t="s">
        <v>83</v>
      </c>
      <c r="T20" s="55"/>
      <c r="U20" s="55"/>
      <c r="V20" s="55"/>
      <c r="W20" s="55"/>
      <c r="X20" s="55">
        <v>0</v>
      </c>
    </row>
    <row r="21" spans="1:24" ht="14.25" customHeight="1">
      <c r="A21" s="59" t="s">
        <v>785</v>
      </c>
      <c r="B21" s="59" t="s">
        <v>785</v>
      </c>
      <c r="C21" s="48" t="s">
        <v>83</v>
      </c>
      <c r="D21" s="38" t="s">
        <v>83</v>
      </c>
      <c r="E21" s="58" t="s">
        <v>83</v>
      </c>
      <c r="F21" s="58" t="s">
        <v>83</v>
      </c>
      <c r="G21" s="38" t="s">
        <v>83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246" t="s">
        <v>1124</v>
      </c>
      <c r="N21" s="246"/>
      <c r="O21" s="57">
        <v>0.96870000000000001</v>
      </c>
      <c r="P21" s="57">
        <v>0.94730000000000003</v>
      </c>
      <c r="Q21" s="54">
        <v>1</v>
      </c>
      <c r="R21" s="54">
        <v>1</v>
      </c>
      <c r="S21" s="38">
        <f>SUM(G5,G6,G8,G9,G10,G11,G12,G13,G14,G15,G16,G17,G18,G20,S5,S6,S8,S9,S10,S11,S12,S13,S14,S16,S17,S18,S19)</f>
        <v>5044</v>
      </c>
      <c r="T21" s="55">
        <v>0</v>
      </c>
      <c r="U21" s="55">
        <v>0</v>
      </c>
      <c r="V21" s="55">
        <v>4</v>
      </c>
      <c r="W21" s="55">
        <v>12</v>
      </c>
      <c r="X21" s="55">
        <v>16</v>
      </c>
    </row>
    <row r="22" spans="1:24" ht="36.15" customHeight="1">
      <c r="A22" s="247" t="s">
        <v>1125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</row>
    <row r="23" spans="1:24" ht="37.65" customHeight="1">
      <c r="A23" s="60" t="s">
        <v>1126</v>
      </c>
      <c r="B23" s="60" t="s">
        <v>842</v>
      </c>
      <c r="C23" s="60" t="s">
        <v>64</v>
      </c>
      <c r="D23" s="248" t="s">
        <v>1127</v>
      </c>
      <c r="E23" s="248"/>
      <c r="F23" s="248"/>
      <c r="G23" s="60" t="s">
        <v>1128</v>
      </c>
      <c r="H23" s="248" t="s">
        <v>1129</v>
      </c>
      <c r="I23" s="248"/>
      <c r="J23" s="248" t="s">
        <v>1130</v>
      </c>
      <c r="K23" s="248"/>
      <c r="L23" s="248" t="s">
        <v>1131</v>
      </c>
      <c r="M23" s="248"/>
      <c r="N23" s="248" t="s">
        <v>1132</v>
      </c>
      <c r="O23" s="248"/>
      <c r="P23" s="248"/>
      <c r="Q23" s="248" t="s">
        <v>1133</v>
      </c>
      <c r="R23" s="248"/>
      <c r="S23" s="248"/>
      <c r="T23" s="60" t="s">
        <v>1134</v>
      </c>
      <c r="U23" s="60" t="s">
        <v>1135</v>
      </c>
      <c r="V23" s="248" t="s">
        <v>1136</v>
      </c>
      <c r="W23" s="248"/>
      <c r="X23" s="60" t="s">
        <v>1137</v>
      </c>
    </row>
    <row r="24" spans="1:24" ht="46" customHeight="1">
      <c r="A24" s="55"/>
      <c r="B24" s="55"/>
      <c r="C24" s="55"/>
      <c r="D24" s="231"/>
      <c r="E24" s="231"/>
      <c r="F24" s="231"/>
      <c r="G24" s="55"/>
      <c r="H24" s="249"/>
      <c r="I24" s="249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55"/>
      <c r="U24" s="55"/>
      <c r="V24" s="231"/>
      <c r="W24" s="231"/>
      <c r="X24" s="55"/>
    </row>
    <row r="25" spans="1:24" ht="28.5" customHeight="1">
      <c r="A25" s="250" t="s">
        <v>1138</v>
      </c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</row>
    <row r="26" spans="1:24" ht="28.5" customHeight="1">
      <c r="A26" s="61" t="s">
        <v>1126</v>
      </c>
      <c r="B26" s="61" t="s">
        <v>842</v>
      </c>
      <c r="C26" s="61" t="s">
        <v>64</v>
      </c>
      <c r="D26" s="61" t="s">
        <v>1139</v>
      </c>
      <c r="E26" s="251" t="s">
        <v>1140</v>
      </c>
      <c r="F26" s="251"/>
      <c r="G26" s="251" t="s">
        <v>1141</v>
      </c>
      <c r="H26" s="251"/>
      <c r="I26" s="251"/>
      <c r="J26" s="252" t="s">
        <v>1142</v>
      </c>
      <c r="K26" s="252"/>
      <c r="L26" s="252"/>
      <c r="M26" s="252" t="s">
        <v>1143</v>
      </c>
      <c r="N26" s="252"/>
      <c r="O26" s="252"/>
      <c r="P26" s="251" t="s">
        <v>1144</v>
      </c>
      <c r="Q26" s="251"/>
      <c r="R26" s="251"/>
      <c r="S26" s="251" t="s">
        <v>1145</v>
      </c>
      <c r="T26" s="251"/>
      <c r="U26" s="63" t="s">
        <v>1146</v>
      </c>
      <c r="V26" s="252" t="s">
        <v>1147</v>
      </c>
      <c r="W26" s="252"/>
      <c r="X26" s="63" t="s">
        <v>1148</v>
      </c>
    </row>
    <row r="27" spans="1:24" ht="71.650000000000006" customHeight="1">
      <c r="A27" s="62"/>
      <c r="B27" s="62"/>
      <c r="C27" s="62"/>
      <c r="D27" s="62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62"/>
      <c r="V27" s="253"/>
      <c r="W27" s="253"/>
      <c r="X27" s="62"/>
    </row>
  </sheetData>
  <mergeCells count="62">
    <mergeCell ref="S14:S15"/>
    <mergeCell ref="X5:X9"/>
    <mergeCell ref="X10:X11"/>
    <mergeCell ref="X12:X17"/>
    <mergeCell ref="M10:M11"/>
    <mergeCell ref="M12:M17"/>
    <mergeCell ref="N3:N4"/>
    <mergeCell ref="O3:O4"/>
    <mergeCell ref="P3:P4"/>
    <mergeCell ref="S27:T27"/>
    <mergeCell ref="V27:W27"/>
    <mergeCell ref="A3:A4"/>
    <mergeCell ref="A5:A12"/>
    <mergeCell ref="A13:A20"/>
    <mergeCell ref="B3:B4"/>
    <mergeCell ref="C3:C4"/>
    <mergeCell ref="D3:D4"/>
    <mergeCell ref="E3:E4"/>
    <mergeCell ref="F3:F4"/>
    <mergeCell ref="G3:G4"/>
    <mergeCell ref="G6:G7"/>
    <mergeCell ref="L5:L12"/>
    <mergeCell ref="L13:L20"/>
    <mergeCell ref="M3:M4"/>
    <mergeCell ref="M5:M9"/>
    <mergeCell ref="E27:F27"/>
    <mergeCell ref="G27:I27"/>
    <mergeCell ref="J27:L27"/>
    <mergeCell ref="M27:O27"/>
    <mergeCell ref="P27:R27"/>
    <mergeCell ref="Q24:S24"/>
    <mergeCell ref="V24:W24"/>
    <mergeCell ref="A25:X25"/>
    <mergeCell ref="E26:F26"/>
    <mergeCell ref="G26:I26"/>
    <mergeCell ref="J26:L26"/>
    <mergeCell ref="M26:O26"/>
    <mergeCell ref="P26:R26"/>
    <mergeCell ref="S26:T26"/>
    <mergeCell ref="V26:W26"/>
    <mergeCell ref="D24:F24"/>
    <mergeCell ref="H24:I24"/>
    <mergeCell ref="J24:K24"/>
    <mergeCell ref="L24:M24"/>
    <mergeCell ref="N24:P24"/>
    <mergeCell ref="M21:N21"/>
    <mergeCell ref="A22:X22"/>
    <mergeCell ref="D23:F23"/>
    <mergeCell ref="H23:I23"/>
    <mergeCell ref="J23:K23"/>
    <mergeCell ref="L23:M23"/>
    <mergeCell ref="N23:P23"/>
    <mergeCell ref="Q23:S23"/>
    <mergeCell ref="V23:W23"/>
    <mergeCell ref="A1:S1"/>
    <mergeCell ref="Q2:R2"/>
    <mergeCell ref="T2:W2"/>
    <mergeCell ref="H3:L3"/>
    <mergeCell ref="T3:X3"/>
    <mergeCell ref="Q3:Q4"/>
    <mergeCell ref="R3:R4"/>
    <mergeCell ref="S3:S4"/>
  </mergeCells>
  <phoneticPr fontId="20" type="noConversion"/>
  <printOptions verticalCentered="1"/>
  <pageMargins left="0.19599999487400099" right="0.19599999487400099" top="0.19599999487400099" bottom="0.19599999487400099" header="0" footer="0"/>
  <pageSetup paperSize="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94"/>
  <sheetViews>
    <sheetView zoomScale="145" zoomScaleNormal="145" workbookViewId="0">
      <selection activeCell="G5" sqref="G5"/>
    </sheetView>
  </sheetViews>
  <sheetFormatPr defaultColWidth="10" defaultRowHeight="14"/>
  <cols>
    <col min="1" max="1" width="3.81640625" customWidth="1"/>
    <col min="2" max="2" width="4.453125" customWidth="1"/>
    <col min="3" max="3" width="4.90625" customWidth="1"/>
    <col min="4" max="4" width="5.7265625" customWidth="1"/>
    <col min="5" max="5" width="10.54296875" customWidth="1"/>
    <col min="6" max="6" width="6.81640625" customWidth="1"/>
    <col min="7" max="7" width="6.90625" customWidth="1"/>
    <col min="8" max="8" width="3.90625" customWidth="1"/>
    <col min="9" max="9" width="4.1796875" customWidth="1"/>
    <col min="10" max="10" width="5" customWidth="1"/>
    <col min="11" max="11" width="5.7265625" customWidth="1"/>
    <col min="12" max="12" width="10.7265625" customWidth="1"/>
    <col min="13" max="13" width="6.36328125" customWidth="1"/>
    <col min="14" max="14" width="6.90625" customWidth="1"/>
    <col min="15" max="15" width="4.36328125" customWidth="1"/>
    <col min="16" max="16" width="3.90625" customWidth="1"/>
    <col min="17" max="17" width="5.26953125" customWidth="1"/>
    <col min="18" max="18" width="5.7265625" customWidth="1"/>
    <col min="19" max="19" width="15.08984375" customWidth="1"/>
    <col min="20" max="20" width="6.36328125" customWidth="1"/>
    <col min="21" max="21" width="6.90625" customWidth="1"/>
    <col min="22" max="22" width="4.7265625" customWidth="1"/>
    <col min="23" max="23" width="6.26953125" customWidth="1"/>
    <col min="24" max="24" width="5.1796875" customWidth="1"/>
    <col min="25" max="25" width="5.7265625" customWidth="1"/>
    <col min="26" max="26" width="10.54296875" customWidth="1"/>
    <col min="27" max="27" width="6.36328125" customWidth="1"/>
    <col min="28" max="28" width="6.90625" customWidth="1"/>
    <col min="29" max="29" width="4.7265625" customWidth="1"/>
    <col min="30" max="30" width="4.36328125" customWidth="1"/>
    <col min="31" max="31" width="5.1796875" customWidth="1"/>
    <col min="32" max="32" width="5.453125" customWidth="1"/>
    <col min="33" max="33" width="10.54296875" customWidth="1"/>
    <col min="34" max="34" width="9.7265625" customWidth="1"/>
  </cols>
  <sheetData>
    <row r="1" spans="1:33" ht="29.4" customHeight="1">
      <c r="A1" s="193"/>
      <c r="B1" s="193"/>
      <c r="C1" s="193"/>
      <c r="D1" s="193"/>
      <c r="E1" s="224" t="s">
        <v>1355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56" t="s">
        <v>0</v>
      </c>
      <c r="Z1" s="256"/>
      <c r="AA1" s="256"/>
      <c r="AB1" s="47" t="s">
        <v>1</v>
      </c>
    </row>
    <row r="2" spans="1:33" ht="13.4" customHeight="1">
      <c r="A2" s="38" t="s">
        <v>1149</v>
      </c>
      <c r="B2" s="38" t="s">
        <v>927</v>
      </c>
      <c r="C2" s="38" t="s">
        <v>1150</v>
      </c>
      <c r="D2" s="37" t="s">
        <v>1151</v>
      </c>
      <c r="E2" s="24" t="s">
        <v>1152</v>
      </c>
      <c r="F2" s="38" t="s">
        <v>1153</v>
      </c>
      <c r="G2" s="38" t="s">
        <v>1154</v>
      </c>
      <c r="H2" s="38" t="s">
        <v>1149</v>
      </c>
      <c r="I2" s="38" t="s">
        <v>927</v>
      </c>
      <c r="J2" s="38" t="s">
        <v>1150</v>
      </c>
      <c r="K2" s="37" t="s">
        <v>1151</v>
      </c>
      <c r="L2" s="24" t="s">
        <v>1152</v>
      </c>
      <c r="M2" s="38" t="s">
        <v>1153</v>
      </c>
      <c r="N2" s="38" t="s">
        <v>1154</v>
      </c>
      <c r="O2" s="38" t="s">
        <v>1149</v>
      </c>
      <c r="P2" s="38" t="s">
        <v>927</v>
      </c>
      <c r="Q2" s="38" t="s">
        <v>1150</v>
      </c>
      <c r="R2" s="37" t="s">
        <v>1151</v>
      </c>
      <c r="S2" s="24" t="s">
        <v>1152</v>
      </c>
      <c r="T2" s="38" t="s">
        <v>1153</v>
      </c>
      <c r="U2" s="38" t="s">
        <v>1154</v>
      </c>
      <c r="V2" s="40" t="s">
        <v>1149</v>
      </c>
      <c r="W2" s="38" t="s">
        <v>927</v>
      </c>
      <c r="X2" s="38" t="s">
        <v>1150</v>
      </c>
      <c r="Y2" s="37" t="s">
        <v>1151</v>
      </c>
      <c r="Z2" s="24" t="s">
        <v>1152</v>
      </c>
      <c r="AA2" s="38" t="s">
        <v>1153</v>
      </c>
      <c r="AB2" s="38" t="s">
        <v>1154</v>
      </c>
      <c r="AC2" s="40" t="s">
        <v>1149</v>
      </c>
      <c r="AD2" s="38" t="s">
        <v>927</v>
      </c>
      <c r="AE2" s="38" t="s">
        <v>1150</v>
      </c>
      <c r="AF2" s="37" t="s">
        <v>1151</v>
      </c>
      <c r="AG2" s="24" t="s">
        <v>1152</v>
      </c>
    </row>
    <row r="3" spans="1:33" ht="13.4" customHeight="1">
      <c r="A3" s="222" t="s">
        <v>1155</v>
      </c>
      <c r="B3" s="39">
        <v>201</v>
      </c>
      <c r="C3" s="38">
        <v>4388</v>
      </c>
      <c r="D3" s="38">
        <v>-6</v>
      </c>
      <c r="E3" s="37" t="s">
        <v>1156</v>
      </c>
      <c r="F3" s="38" t="s">
        <v>1091</v>
      </c>
      <c r="G3" s="38" t="s">
        <v>1157</v>
      </c>
      <c r="H3" s="222" t="s">
        <v>1158</v>
      </c>
      <c r="I3" s="39">
        <v>301</v>
      </c>
      <c r="J3" s="38">
        <v>348</v>
      </c>
      <c r="K3" s="38">
        <v>-492</v>
      </c>
      <c r="L3" s="37" t="s">
        <v>610</v>
      </c>
      <c r="M3" s="38" t="s">
        <v>1091</v>
      </c>
      <c r="N3" s="38" t="s">
        <v>1157</v>
      </c>
      <c r="O3" s="222" t="s">
        <v>1159</v>
      </c>
      <c r="P3" s="39">
        <v>509</v>
      </c>
      <c r="Q3" s="38">
        <v>1942</v>
      </c>
      <c r="R3" s="38">
        <v>364</v>
      </c>
      <c r="S3" s="37" t="s">
        <v>1160</v>
      </c>
      <c r="T3" s="38" t="s">
        <v>1091</v>
      </c>
      <c r="U3" s="38" t="s">
        <v>1157</v>
      </c>
      <c r="V3" s="222" t="s">
        <v>1161</v>
      </c>
      <c r="W3" s="39">
        <v>901</v>
      </c>
      <c r="X3" s="38">
        <v>5158</v>
      </c>
      <c r="Y3" s="38">
        <v>-1</v>
      </c>
      <c r="Z3" s="24" t="s">
        <v>566</v>
      </c>
      <c r="AA3" s="48" t="s">
        <v>1091</v>
      </c>
      <c r="AB3" s="48" t="s">
        <v>1157</v>
      </c>
      <c r="AC3" s="257" t="s">
        <v>1162</v>
      </c>
      <c r="AD3" s="39">
        <v>302</v>
      </c>
      <c r="AE3" s="38">
        <v>5671</v>
      </c>
      <c r="AF3" s="38">
        <v>0</v>
      </c>
      <c r="AG3" s="37" t="s">
        <v>1163</v>
      </c>
    </row>
    <row r="4" spans="1:33" ht="13.4" customHeight="1">
      <c r="A4" s="222"/>
      <c r="B4" s="39">
        <v>202</v>
      </c>
      <c r="C4" s="38"/>
      <c r="D4" s="38"/>
      <c r="E4" s="37"/>
      <c r="F4" s="38"/>
      <c r="G4" s="38"/>
      <c r="H4" s="222"/>
      <c r="I4" s="39">
        <v>302</v>
      </c>
      <c r="J4" s="38">
        <v>784</v>
      </c>
      <c r="K4" s="38">
        <v>440</v>
      </c>
      <c r="L4" s="37" t="s">
        <v>1164</v>
      </c>
      <c r="M4" s="38" t="s">
        <v>1091</v>
      </c>
      <c r="N4" s="38" t="s">
        <v>1157</v>
      </c>
      <c r="O4" s="222"/>
      <c r="P4" s="39">
        <v>510</v>
      </c>
      <c r="Q4" s="38">
        <v>6657</v>
      </c>
      <c r="R4" s="38">
        <v>-161</v>
      </c>
      <c r="S4" s="37" t="s">
        <v>1165</v>
      </c>
      <c r="T4" s="38" t="s">
        <v>1091</v>
      </c>
      <c r="U4" s="38" t="s">
        <v>1157</v>
      </c>
      <c r="V4" s="222"/>
      <c r="W4" s="39">
        <v>902</v>
      </c>
      <c r="X4" s="38">
        <v>13472</v>
      </c>
      <c r="Y4" s="38">
        <v>-1</v>
      </c>
      <c r="Z4" s="24" t="s">
        <v>566</v>
      </c>
      <c r="AA4" s="38" t="s">
        <v>1091</v>
      </c>
      <c r="AB4" s="48" t="s">
        <v>1157</v>
      </c>
      <c r="AC4" s="257"/>
      <c r="AD4" s="39">
        <v>303</v>
      </c>
      <c r="AE4" s="38">
        <v>0</v>
      </c>
      <c r="AF4" s="38">
        <v>0</v>
      </c>
      <c r="AG4" s="24" t="s">
        <v>1165</v>
      </c>
    </row>
    <row r="5" spans="1:33" ht="13.4" customHeight="1">
      <c r="A5" s="222"/>
      <c r="B5" s="39">
        <v>203</v>
      </c>
      <c r="C5" s="38">
        <v>1889</v>
      </c>
      <c r="D5" s="38">
        <v>1</v>
      </c>
      <c r="E5" s="37" t="s">
        <v>1166</v>
      </c>
      <c r="F5" s="38" t="s">
        <v>1091</v>
      </c>
      <c r="G5" s="38" t="s">
        <v>1157</v>
      </c>
      <c r="H5" s="222"/>
      <c r="I5" s="39">
        <v>303</v>
      </c>
      <c r="J5" s="38">
        <v>321</v>
      </c>
      <c r="K5" s="38">
        <v>-46</v>
      </c>
      <c r="L5" s="37" t="s">
        <v>1164</v>
      </c>
      <c r="M5" s="38" t="s">
        <v>1091</v>
      </c>
      <c r="N5" s="38" t="s">
        <v>1167</v>
      </c>
      <c r="O5" s="222"/>
      <c r="P5" s="39">
        <v>511</v>
      </c>
      <c r="Q5" s="38">
        <v>6853</v>
      </c>
      <c r="R5" s="38">
        <v>789</v>
      </c>
      <c r="S5" s="37" t="s">
        <v>1160</v>
      </c>
      <c r="T5" s="38" t="s">
        <v>1091</v>
      </c>
      <c r="U5" s="38" t="s">
        <v>1157</v>
      </c>
      <c r="V5" s="222"/>
      <c r="W5" s="39">
        <v>903</v>
      </c>
      <c r="X5" s="38">
        <v>5743</v>
      </c>
      <c r="Y5" s="38">
        <v>0</v>
      </c>
      <c r="Z5" s="24" t="s">
        <v>566</v>
      </c>
      <c r="AA5" s="48" t="s">
        <v>1091</v>
      </c>
      <c r="AB5" s="48" t="s">
        <v>1157</v>
      </c>
      <c r="AC5" s="257"/>
      <c r="AD5" s="39">
        <v>304</v>
      </c>
      <c r="AE5" s="38">
        <v>0</v>
      </c>
      <c r="AF5" s="38">
        <v>0</v>
      </c>
      <c r="AG5" s="24" t="s">
        <v>1165</v>
      </c>
    </row>
    <row r="6" spans="1:33" ht="13.4" customHeight="1">
      <c r="A6" s="222"/>
      <c r="B6" s="39">
        <v>204</v>
      </c>
      <c r="C6" s="38">
        <v>1694</v>
      </c>
      <c r="D6" s="38">
        <v>-2916</v>
      </c>
      <c r="E6" s="37" t="s">
        <v>1156</v>
      </c>
      <c r="F6" s="38" t="s">
        <v>1091</v>
      </c>
      <c r="G6" s="38" t="s">
        <v>1168</v>
      </c>
      <c r="H6" s="222"/>
      <c r="I6" s="39">
        <v>304</v>
      </c>
      <c r="J6" s="38">
        <v>289</v>
      </c>
      <c r="K6" s="38">
        <v>42</v>
      </c>
      <c r="L6" s="37" t="s">
        <v>1164</v>
      </c>
      <c r="M6" s="38" t="s">
        <v>1091</v>
      </c>
      <c r="N6" s="38" t="s">
        <v>1169</v>
      </c>
      <c r="O6" s="222"/>
      <c r="P6" s="39">
        <v>512</v>
      </c>
      <c r="Q6" s="38">
        <v>1374</v>
      </c>
      <c r="R6" s="38">
        <v>4</v>
      </c>
      <c r="S6" s="37" t="s">
        <v>1170</v>
      </c>
      <c r="T6" s="38" t="s">
        <v>1091</v>
      </c>
      <c r="U6" s="38" t="s">
        <v>1157</v>
      </c>
      <c r="V6" s="222"/>
      <c r="W6" s="39">
        <v>904</v>
      </c>
      <c r="X6" s="38">
        <v>40022</v>
      </c>
      <c r="Y6" s="38">
        <v>0</v>
      </c>
      <c r="Z6" s="24" t="s">
        <v>566</v>
      </c>
      <c r="AA6" s="48" t="s">
        <v>1091</v>
      </c>
      <c r="AB6" s="48" t="s">
        <v>1157</v>
      </c>
      <c r="AC6" s="257"/>
      <c r="AD6" s="39">
        <v>305</v>
      </c>
      <c r="AE6" s="38">
        <v>988</v>
      </c>
      <c r="AF6" s="38">
        <v>0</v>
      </c>
      <c r="AG6" s="24" t="s">
        <v>1165</v>
      </c>
    </row>
    <row r="7" spans="1:33" ht="13.4" customHeight="1">
      <c r="A7" s="222"/>
      <c r="B7" s="39">
        <v>205</v>
      </c>
      <c r="C7" s="38">
        <v>2935</v>
      </c>
      <c r="D7" s="38">
        <v>-1093</v>
      </c>
      <c r="E7" s="37" t="s">
        <v>1171</v>
      </c>
      <c r="F7" s="38" t="s">
        <v>1091</v>
      </c>
      <c r="G7" s="38" t="s">
        <v>1168</v>
      </c>
      <c r="H7" s="222"/>
      <c r="I7" s="39">
        <v>305</v>
      </c>
      <c r="J7" s="38">
        <v>8</v>
      </c>
      <c r="K7" s="38">
        <v>0</v>
      </c>
      <c r="L7" s="37" t="s">
        <v>1164</v>
      </c>
      <c r="M7" s="38" t="s">
        <v>1091</v>
      </c>
      <c r="N7" s="38" t="s">
        <v>1157</v>
      </c>
      <c r="O7" s="222"/>
      <c r="P7" s="39">
        <v>513</v>
      </c>
      <c r="Q7" s="38">
        <v>1323</v>
      </c>
      <c r="R7" s="38">
        <v>1</v>
      </c>
      <c r="S7" s="37" t="s">
        <v>1170</v>
      </c>
      <c r="T7" s="38" t="s">
        <v>1091</v>
      </c>
      <c r="U7" s="38" t="s">
        <v>1157</v>
      </c>
      <c r="V7" s="222"/>
      <c r="W7" s="39">
        <v>905</v>
      </c>
      <c r="X7" s="38">
        <v>39975</v>
      </c>
      <c r="Y7" s="38">
        <v>11537</v>
      </c>
      <c r="Z7" s="24" t="s">
        <v>566</v>
      </c>
      <c r="AA7" s="48" t="s">
        <v>1091</v>
      </c>
      <c r="AB7" s="48" t="s">
        <v>1169</v>
      </c>
      <c r="AC7" s="257"/>
      <c r="AD7" s="39">
        <v>306</v>
      </c>
      <c r="AE7" s="38">
        <v>1027</v>
      </c>
      <c r="AF7" s="38">
        <v>0</v>
      </c>
      <c r="AG7" s="24" t="s">
        <v>1165</v>
      </c>
    </row>
    <row r="8" spans="1:33" ht="13.4" customHeight="1">
      <c r="A8" s="222"/>
      <c r="B8" s="39">
        <v>206</v>
      </c>
      <c r="C8" s="38">
        <v>3104</v>
      </c>
      <c r="D8" s="38">
        <v>2042</v>
      </c>
      <c r="E8" s="37" t="s">
        <v>1156</v>
      </c>
      <c r="F8" s="38" t="s">
        <v>1091</v>
      </c>
      <c r="G8" s="38" t="s">
        <v>1157</v>
      </c>
      <c r="H8" s="222"/>
      <c r="I8" s="39">
        <v>306</v>
      </c>
      <c r="J8" s="38">
        <v>847</v>
      </c>
      <c r="K8" s="38">
        <v>-114</v>
      </c>
      <c r="L8" s="37" t="s">
        <v>1172</v>
      </c>
      <c r="M8" s="38" t="s">
        <v>1091</v>
      </c>
      <c r="N8" s="38" t="s">
        <v>1167</v>
      </c>
      <c r="O8" s="222"/>
      <c r="P8" s="39">
        <v>514</v>
      </c>
      <c r="Q8" s="38">
        <v>1320</v>
      </c>
      <c r="R8" s="38">
        <v>5</v>
      </c>
      <c r="S8" s="37" t="s">
        <v>1160</v>
      </c>
      <c r="T8" s="38" t="s">
        <v>1091</v>
      </c>
      <c r="U8" s="38" t="s">
        <v>1157</v>
      </c>
      <c r="V8" s="222"/>
      <c r="W8" s="39">
        <v>906</v>
      </c>
      <c r="X8" s="38">
        <v>20692</v>
      </c>
      <c r="Y8" s="38">
        <v>1</v>
      </c>
      <c r="Z8" s="24" t="s">
        <v>566</v>
      </c>
      <c r="AA8" s="48" t="s">
        <v>1091</v>
      </c>
      <c r="AB8" s="48" t="s">
        <v>1157</v>
      </c>
      <c r="AC8" s="257"/>
      <c r="AD8" s="39">
        <v>307</v>
      </c>
      <c r="AE8" s="38">
        <v>955</v>
      </c>
      <c r="AF8" s="38">
        <v>0</v>
      </c>
      <c r="AG8" s="24" t="s">
        <v>1165</v>
      </c>
    </row>
    <row r="9" spans="1:33" ht="13.4" customHeight="1">
      <c r="A9" s="222"/>
      <c r="B9" s="39">
        <v>207</v>
      </c>
      <c r="C9" s="38">
        <v>1710</v>
      </c>
      <c r="D9" s="38">
        <v>504</v>
      </c>
      <c r="E9" s="37" t="s">
        <v>1171</v>
      </c>
      <c r="F9" s="38" t="s">
        <v>1091</v>
      </c>
      <c r="G9" s="38" t="s">
        <v>1157</v>
      </c>
      <c r="H9" s="222"/>
      <c r="I9" s="39">
        <v>307</v>
      </c>
      <c r="J9" s="38">
        <v>337</v>
      </c>
      <c r="K9" s="38">
        <v>7</v>
      </c>
      <c r="L9" s="37" t="s">
        <v>1173</v>
      </c>
      <c r="M9" s="38" t="s">
        <v>1091</v>
      </c>
      <c r="N9" s="38" t="s">
        <v>1157</v>
      </c>
      <c r="O9" s="222"/>
      <c r="P9" s="39">
        <v>515</v>
      </c>
      <c r="Q9" s="38">
        <v>1697</v>
      </c>
      <c r="R9" s="38">
        <v>-6</v>
      </c>
      <c r="S9" s="37" t="s">
        <v>1174</v>
      </c>
      <c r="T9" s="38" t="s">
        <v>1091</v>
      </c>
      <c r="U9" s="38" t="s">
        <v>1157</v>
      </c>
      <c r="V9" s="222" t="s">
        <v>1175</v>
      </c>
      <c r="W9" s="39">
        <v>101</v>
      </c>
      <c r="X9" s="38">
        <v>17739</v>
      </c>
      <c r="Y9" s="38">
        <v>-3</v>
      </c>
      <c r="Z9" s="24" t="s">
        <v>566</v>
      </c>
      <c r="AA9" s="48" t="s">
        <v>1091</v>
      </c>
      <c r="AB9" s="48" t="s">
        <v>1157</v>
      </c>
      <c r="AC9" s="257"/>
      <c r="AD9" s="39">
        <v>308</v>
      </c>
      <c r="AE9" s="38">
        <v>1541</v>
      </c>
      <c r="AF9" s="38">
        <v>0</v>
      </c>
      <c r="AG9" s="24" t="s">
        <v>1165</v>
      </c>
    </row>
    <row r="10" spans="1:33" ht="13.4" customHeight="1">
      <c r="A10" s="222"/>
      <c r="B10" s="39">
        <v>208</v>
      </c>
      <c r="C10" s="38">
        <v>1415</v>
      </c>
      <c r="D10" s="38">
        <v>297</v>
      </c>
      <c r="E10" s="37" t="s">
        <v>1176</v>
      </c>
      <c r="F10" s="38" t="s">
        <v>1091</v>
      </c>
      <c r="G10" s="38" t="s">
        <v>1157</v>
      </c>
      <c r="H10" s="222"/>
      <c r="I10" s="39">
        <v>308</v>
      </c>
      <c r="J10" s="38">
        <v>219</v>
      </c>
      <c r="K10" s="38">
        <v>4</v>
      </c>
      <c r="L10" s="37" t="s">
        <v>1173</v>
      </c>
      <c r="M10" s="38" t="s">
        <v>1091</v>
      </c>
      <c r="N10" s="38" t="s">
        <v>1167</v>
      </c>
      <c r="O10" s="222"/>
      <c r="P10" s="39">
        <v>516</v>
      </c>
      <c r="Q10" s="38">
        <v>1353</v>
      </c>
      <c r="R10" s="38">
        <v>9</v>
      </c>
      <c r="S10" s="37" t="s">
        <v>1160</v>
      </c>
      <c r="T10" s="38" t="s">
        <v>1091</v>
      </c>
      <c r="U10" s="38" t="s">
        <v>1157</v>
      </c>
      <c r="V10" s="222"/>
      <c r="W10" s="39">
        <v>102</v>
      </c>
      <c r="X10" s="38">
        <v>62580</v>
      </c>
      <c r="Y10" s="38">
        <v>826</v>
      </c>
      <c r="Z10" s="24" t="s">
        <v>566</v>
      </c>
      <c r="AA10" s="48" t="s">
        <v>1091</v>
      </c>
      <c r="AB10" s="48" t="s">
        <v>1169</v>
      </c>
      <c r="AC10" s="257"/>
      <c r="AD10" s="39">
        <v>401</v>
      </c>
      <c r="AE10" s="38">
        <v>962</v>
      </c>
      <c r="AF10" s="38">
        <v>0</v>
      </c>
      <c r="AG10" s="24" t="s">
        <v>1177</v>
      </c>
    </row>
    <row r="11" spans="1:33" ht="13.4" customHeight="1">
      <c r="A11" s="222"/>
      <c r="B11" s="39">
        <v>209</v>
      </c>
      <c r="C11" s="38">
        <v>1942</v>
      </c>
      <c r="D11" s="38">
        <v>-3409</v>
      </c>
      <c r="E11" s="37" t="s">
        <v>1176</v>
      </c>
      <c r="F11" s="38" t="s">
        <v>1091</v>
      </c>
      <c r="G11" s="38" t="s">
        <v>1168</v>
      </c>
      <c r="H11" s="222"/>
      <c r="I11" s="39">
        <v>309</v>
      </c>
      <c r="J11" s="38">
        <v>1263</v>
      </c>
      <c r="K11" s="41">
        <v>648</v>
      </c>
      <c r="L11" s="37" t="s">
        <v>1173</v>
      </c>
      <c r="M11" s="38" t="s">
        <v>1091</v>
      </c>
      <c r="N11" s="38" t="s">
        <v>1167</v>
      </c>
      <c r="O11" s="222" t="s">
        <v>1178</v>
      </c>
      <c r="P11" s="42">
        <v>531</v>
      </c>
      <c r="Q11" s="38">
        <v>981</v>
      </c>
      <c r="R11" s="38">
        <v>-1</v>
      </c>
      <c r="S11" s="37" t="s">
        <v>1179</v>
      </c>
      <c r="T11" s="38" t="s">
        <v>1091</v>
      </c>
      <c r="U11" s="38" t="s">
        <v>1157</v>
      </c>
      <c r="V11" s="222"/>
      <c r="W11" s="39">
        <v>103</v>
      </c>
      <c r="X11" s="38"/>
      <c r="Y11" s="38"/>
      <c r="Z11" s="24"/>
      <c r="AA11" s="48"/>
      <c r="AB11" s="48"/>
      <c r="AC11" s="257"/>
      <c r="AD11" s="39">
        <v>402</v>
      </c>
      <c r="AE11" s="38"/>
      <c r="AF11" s="38"/>
      <c r="AG11" s="24"/>
    </row>
    <row r="12" spans="1:33" ht="13.4" customHeight="1">
      <c r="A12" s="222"/>
      <c r="B12" s="39">
        <v>210</v>
      </c>
      <c r="C12" s="38">
        <v>5825</v>
      </c>
      <c r="D12" s="38">
        <v>3574</v>
      </c>
      <c r="E12" s="37" t="s">
        <v>1156</v>
      </c>
      <c r="F12" s="38" t="s">
        <v>1091</v>
      </c>
      <c r="G12" s="38" t="s">
        <v>1169</v>
      </c>
      <c r="H12" s="222" t="s">
        <v>1180</v>
      </c>
      <c r="I12" s="39">
        <v>310</v>
      </c>
      <c r="J12" s="38">
        <v>56</v>
      </c>
      <c r="K12" s="41">
        <v>0</v>
      </c>
      <c r="L12" s="43" t="s">
        <v>1181</v>
      </c>
      <c r="M12" s="38" t="s">
        <v>1091</v>
      </c>
      <c r="N12" s="38" t="s">
        <v>1157</v>
      </c>
      <c r="O12" s="222"/>
      <c r="P12" s="42">
        <v>532</v>
      </c>
      <c r="Q12" s="38">
        <v>924</v>
      </c>
      <c r="R12" s="38">
        <v>0</v>
      </c>
      <c r="S12" s="37" t="s">
        <v>1182</v>
      </c>
      <c r="T12" s="38" t="s">
        <v>1091</v>
      </c>
      <c r="U12" s="38" t="s">
        <v>1157</v>
      </c>
      <c r="V12" s="222"/>
      <c r="W12" s="39">
        <v>104</v>
      </c>
      <c r="X12" s="38">
        <v>80321</v>
      </c>
      <c r="Y12" s="38">
        <v>-28</v>
      </c>
      <c r="Z12" s="24" t="s">
        <v>566</v>
      </c>
      <c r="AA12" s="48" t="s">
        <v>1091</v>
      </c>
      <c r="AB12" s="48" t="s">
        <v>1157</v>
      </c>
      <c r="AC12" s="257"/>
      <c r="AD12" s="39">
        <v>403</v>
      </c>
      <c r="AE12" s="38">
        <v>2021</v>
      </c>
      <c r="AF12" s="38">
        <v>0</v>
      </c>
      <c r="AG12" s="24" t="s">
        <v>1177</v>
      </c>
    </row>
    <row r="13" spans="1:33" ht="13.4" customHeight="1">
      <c r="A13" s="222" t="s">
        <v>1183</v>
      </c>
      <c r="B13" s="39">
        <v>211</v>
      </c>
      <c r="C13" s="38">
        <v>2313</v>
      </c>
      <c r="D13" s="38">
        <v>0</v>
      </c>
      <c r="E13" s="37" t="s">
        <v>1166</v>
      </c>
      <c r="F13" s="38" t="s">
        <v>1091</v>
      </c>
      <c r="G13" s="38" t="s">
        <v>1157</v>
      </c>
      <c r="H13" s="222"/>
      <c r="I13" s="39">
        <v>311</v>
      </c>
      <c r="J13" s="38">
        <v>689</v>
      </c>
      <c r="K13" s="41">
        <v>1</v>
      </c>
      <c r="L13" s="43" t="s">
        <v>280</v>
      </c>
      <c r="M13" s="38" t="s">
        <v>1091</v>
      </c>
      <c r="N13" s="38" t="s">
        <v>1157</v>
      </c>
      <c r="O13" s="222"/>
      <c r="P13" s="42">
        <v>533</v>
      </c>
      <c r="Q13" s="38">
        <v>711</v>
      </c>
      <c r="R13" s="38">
        <v>0</v>
      </c>
      <c r="S13" s="37" t="s">
        <v>1179</v>
      </c>
      <c r="T13" s="38" t="s">
        <v>1091</v>
      </c>
      <c r="U13" s="38" t="s">
        <v>1157</v>
      </c>
      <c r="V13" s="222"/>
      <c r="W13" s="39">
        <v>105</v>
      </c>
      <c r="X13" s="38">
        <v>63261</v>
      </c>
      <c r="Y13" s="38">
        <v>-12812</v>
      </c>
      <c r="Z13" s="24" t="s">
        <v>566</v>
      </c>
      <c r="AA13" s="48" t="s">
        <v>1091</v>
      </c>
      <c r="AB13" s="48" t="s">
        <v>1157</v>
      </c>
      <c r="AC13" s="257"/>
      <c r="AD13" s="39">
        <v>404</v>
      </c>
      <c r="AE13" s="38">
        <v>333</v>
      </c>
      <c r="AF13" s="38">
        <v>0</v>
      </c>
      <c r="AG13" s="24" t="s">
        <v>1184</v>
      </c>
    </row>
    <row r="14" spans="1:33" ht="13.4" customHeight="1">
      <c r="A14" s="222"/>
      <c r="B14" s="39">
        <v>212</v>
      </c>
      <c r="C14" s="38">
        <v>1977</v>
      </c>
      <c r="D14" s="38">
        <v>-2</v>
      </c>
      <c r="E14" s="37" t="s">
        <v>1185</v>
      </c>
      <c r="F14" s="38" t="s">
        <v>1091</v>
      </c>
      <c r="G14" s="38" t="s">
        <v>1157</v>
      </c>
      <c r="H14" s="222"/>
      <c r="I14" s="39">
        <v>312</v>
      </c>
      <c r="J14" s="38">
        <v>929</v>
      </c>
      <c r="K14" s="41">
        <v>4</v>
      </c>
      <c r="L14" s="43" t="s">
        <v>280</v>
      </c>
      <c r="M14" s="38" t="s">
        <v>1091</v>
      </c>
      <c r="N14" s="38" t="s">
        <v>1157</v>
      </c>
      <c r="O14" s="222"/>
      <c r="P14" s="42">
        <v>534</v>
      </c>
      <c r="Q14" s="38">
        <v>1686</v>
      </c>
      <c r="R14" s="38">
        <v>-1</v>
      </c>
      <c r="S14" s="37" t="s">
        <v>658</v>
      </c>
      <c r="T14" s="38" t="s">
        <v>1091</v>
      </c>
      <c r="U14" s="38" t="s">
        <v>1157</v>
      </c>
      <c r="V14" s="222"/>
      <c r="W14" s="39">
        <v>106</v>
      </c>
      <c r="X14" s="38">
        <v>31416</v>
      </c>
      <c r="Y14" s="38">
        <v>-2</v>
      </c>
      <c r="Z14" s="24" t="s">
        <v>566</v>
      </c>
      <c r="AA14" s="48" t="s">
        <v>1091</v>
      </c>
      <c r="AB14" s="48" t="s">
        <v>1157</v>
      </c>
      <c r="AC14" s="257"/>
      <c r="AD14" s="39">
        <v>405</v>
      </c>
      <c r="AE14" s="38"/>
      <c r="AF14" s="38"/>
      <c r="AG14" s="24"/>
    </row>
    <row r="15" spans="1:33" ht="13.4" customHeight="1">
      <c r="A15" s="222"/>
      <c r="B15" s="39">
        <v>213</v>
      </c>
      <c r="C15" s="38">
        <v>4133</v>
      </c>
      <c r="D15" s="38">
        <v>-1</v>
      </c>
      <c r="E15" s="37" t="s">
        <v>1186</v>
      </c>
      <c r="F15" s="38" t="s">
        <v>1091</v>
      </c>
      <c r="G15" s="38" t="s">
        <v>1157</v>
      </c>
      <c r="H15" s="222"/>
      <c r="I15" s="39">
        <v>313</v>
      </c>
      <c r="J15" s="38">
        <v>1048</v>
      </c>
      <c r="K15" s="38">
        <v>2</v>
      </c>
      <c r="L15" s="43" t="s">
        <v>1187</v>
      </c>
      <c r="M15" s="38" t="s">
        <v>1091</v>
      </c>
      <c r="N15" s="38" t="s">
        <v>1157</v>
      </c>
      <c r="O15" s="222"/>
      <c r="P15" s="42">
        <v>535</v>
      </c>
      <c r="Q15" s="38">
        <v>3328</v>
      </c>
      <c r="R15" s="38">
        <v>2585</v>
      </c>
      <c r="S15" s="37" t="s">
        <v>1174</v>
      </c>
      <c r="T15" s="38" t="s">
        <v>1091</v>
      </c>
      <c r="U15" s="38" t="s">
        <v>1157</v>
      </c>
      <c r="V15" s="222"/>
      <c r="W15" s="39">
        <v>107</v>
      </c>
      <c r="X15" s="38"/>
      <c r="Y15" s="38"/>
      <c r="Z15" s="24"/>
      <c r="AA15" s="48"/>
      <c r="AB15" s="48"/>
      <c r="AC15" s="257"/>
      <c r="AD15" s="39">
        <v>406</v>
      </c>
      <c r="AE15" s="38">
        <v>864</v>
      </c>
      <c r="AF15" s="38">
        <v>0</v>
      </c>
      <c r="AG15" s="24" t="s">
        <v>1177</v>
      </c>
    </row>
    <row r="16" spans="1:33" ht="13.4" customHeight="1">
      <c r="A16" s="222"/>
      <c r="B16" s="39">
        <v>214</v>
      </c>
      <c r="C16" s="38">
        <v>599</v>
      </c>
      <c r="D16" s="38">
        <v>1</v>
      </c>
      <c r="E16" s="37" t="s">
        <v>395</v>
      </c>
      <c r="F16" s="38" t="s">
        <v>1091</v>
      </c>
      <c r="G16" s="38" t="s">
        <v>1157</v>
      </c>
      <c r="H16" s="222"/>
      <c r="I16" s="39">
        <v>314</v>
      </c>
      <c r="J16" s="38">
        <v>25</v>
      </c>
      <c r="K16" s="38">
        <v>0</v>
      </c>
      <c r="L16" s="37" t="s">
        <v>1188</v>
      </c>
      <c r="M16" s="38" t="s">
        <v>1091</v>
      </c>
      <c r="N16" s="38" t="s">
        <v>1157</v>
      </c>
      <c r="O16" s="222"/>
      <c r="P16" s="42">
        <v>536</v>
      </c>
      <c r="Q16" s="38">
        <v>2855</v>
      </c>
      <c r="R16" s="38">
        <v>-306</v>
      </c>
      <c r="S16" s="37" t="s">
        <v>1163</v>
      </c>
      <c r="T16" s="38" t="s">
        <v>1091</v>
      </c>
      <c r="U16" s="38" t="s">
        <v>1157</v>
      </c>
      <c r="V16" s="222"/>
      <c r="W16" s="39">
        <v>108</v>
      </c>
      <c r="X16" s="38">
        <v>11994</v>
      </c>
      <c r="Y16" s="38">
        <v>54</v>
      </c>
      <c r="Z16" s="24" t="s">
        <v>566</v>
      </c>
      <c r="AA16" s="48" t="s">
        <v>1091</v>
      </c>
      <c r="AB16" s="48" t="s">
        <v>1157</v>
      </c>
      <c r="AC16" s="257"/>
      <c r="AD16" s="39">
        <v>408</v>
      </c>
      <c r="AE16" s="38">
        <v>2044</v>
      </c>
      <c r="AF16" s="38">
        <v>0</v>
      </c>
      <c r="AG16" s="24" t="s">
        <v>1184</v>
      </c>
    </row>
    <row r="17" spans="1:33" ht="13.4" customHeight="1">
      <c r="A17" s="222"/>
      <c r="B17" s="39">
        <v>215</v>
      </c>
      <c r="C17" s="38">
        <v>4307</v>
      </c>
      <c r="D17" s="38">
        <v>-25</v>
      </c>
      <c r="E17" s="37" t="s">
        <v>1186</v>
      </c>
      <c r="F17" s="38" t="s">
        <v>1091</v>
      </c>
      <c r="G17" s="38" t="s">
        <v>1157</v>
      </c>
      <c r="H17" s="222"/>
      <c r="I17" s="39">
        <v>315</v>
      </c>
      <c r="J17" s="38">
        <v>367</v>
      </c>
      <c r="K17" s="38">
        <v>1</v>
      </c>
      <c r="L17" s="37" t="s">
        <v>648</v>
      </c>
      <c r="M17" s="38" t="s">
        <v>1091</v>
      </c>
      <c r="N17" s="38" t="s">
        <v>1157</v>
      </c>
      <c r="O17" s="222"/>
      <c r="P17" s="42">
        <v>537</v>
      </c>
      <c r="Q17" s="38">
        <v>3344</v>
      </c>
      <c r="R17" s="38">
        <v>-28</v>
      </c>
      <c r="S17" s="37" t="s">
        <v>1163</v>
      </c>
      <c r="T17" s="38" t="s">
        <v>1091</v>
      </c>
      <c r="U17" s="38" t="s">
        <v>1157</v>
      </c>
      <c r="V17" s="222" t="s">
        <v>1189</v>
      </c>
      <c r="W17" s="39" t="s">
        <v>1190</v>
      </c>
      <c r="X17" s="38">
        <v>105773</v>
      </c>
      <c r="Y17" s="38">
        <v>59843</v>
      </c>
      <c r="Z17" s="24" t="s">
        <v>566</v>
      </c>
      <c r="AA17" s="48" t="s">
        <v>1091</v>
      </c>
      <c r="AB17" s="48" t="s">
        <v>1169</v>
      </c>
      <c r="AC17" s="257"/>
      <c r="AD17" s="39">
        <v>502</v>
      </c>
      <c r="AE17" s="38">
        <v>0</v>
      </c>
      <c r="AF17" s="38">
        <v>0</v>
      </c>
      <c r="AG17" s="24" t="s">
        <v>1177</v>
      </c>
    </row>
    <row r="18" spans="1:33" ht="13.4" customHeight="1">
      <c r="A18" s="222"/>
      <c r="B18" s="39">
        <v>216</v>
      </c>
      <c r="C18" s="38">
        <v>816</v>
      </c>
      <c r="D18" s="38">
        <v>7</v>
      </c>
      <c r="E18" s="37" t="s">
        <v>395</v>
      </c>
      <c r="F18" s="38" t="s">
        <v>1091</v>
      </c>
      <c r="G18" s="38" t="s">
        <v>1157</v>
      </c>
      <c r="H18" s="222"/>
      <c r="I18" s="39">
        <v>316</v>
      </c>
      <c r="J18" s="38">
        <v>8</v>
      </c>
      <c r="K18" s="38">
        <v>0</v>
      </c>
      <c r="L18" s="37" t="s">
        <v>1187</v>
      </c>
      <c r="M18" s="38" t="s">
        <v>1091</v>
      </c>
      <c r="N18" s="38" t="s">
        <v>1157</v>
      </c>
      <c r="O18" s="222"/>
      <c r="P18" s="42">
        <v>538</v>
      </c>
      <c r="Q18" s="38">
        <v>3423</v>
      </c>
      <c r="R18" s="38">
        <v>2509</v>
      </c>
      <c r="S18" s="37" t="s">
        <v>1174</v>
      </c>
      <c r="T18" s="38" t="s">
        <v>1091</v>
      </c>
      <c r="U18" s="38" t="s">
        <v>1157</v>
      </c>
      <c r="V18" s="222"/>
      <c r="W18" s="39" t="s">
        <v>1191</v>
      </c>
      <c r="X18" s="38">
        <v>126924</v>
      </c>
      <c r="Y18" s="38">
        <v>3</v>
      </c>
      <c r="Z18" s="24" t="s">
        <v>566</v>
      </c>
      <c r="AA18" s="48" t="s">
        <v>1091</v>
      </c>
      <c r="AB18" s="48" t="s">
        <v>1157</v>
      </c>
      <c r="AC18" s="257"/>
      <c r="AD18" s="39">
        <v>504</v>
      </c>
      <c r="AE18" s="38">
        <v>0</v>
      </c>
      <c r="AF18" s="38">
        <v>0</v>
      </c>
      <c r="AG18" s="24" t="s">
        <v>1177</v>
      </c>
    </row>
    <row r="19" spans="1:33" ht="13.4" customHeight="1">
      <c r="A19" s="222"/>
      <c r="B19" s="39">
        <v>217</v>
      </c>
      <c r="C19" s="38">
        <v>3319</v>
      </c>
      <c r="D19" s="38">
        <v>-36</v>
      </c>
      <c r="E19" s="37" t="s">
        <v>304</v>
      </c>
      <c r="F19" s="38" t="s">
        <v>1091</v>
      </c>
      <c r="G19" s="38" t="s">
        <v>1157</v>
      </c>
      <c r="H19" s="222"/>
      <c r="I19" s="39">
        <v>317</v>
      </c>
      <c r="J19" s="38">
        <v>1393</v>
      </c>
      <c r="K19" s="38">
        <v>0</v>
      </c>
      <c r="L19" s="37" t="s">
        <v>1188</v>
      </c>
      <c r="M19" s="38" t="s">
        <v>1091</v>
      </c>
      <c r="N19" s="38" t="s">
        <v>1157</v>
      </c>
      <c r="O19" s="222"/>
      <c r="P19" s="42">
        <v>539</v>
      </c>
      <c r="Q19" s="38">
        <v>3407</v>
      </c>
      <c r="R19" s="38">
        <v>-6</v>
      </c>
      <c r="S19" s="37" t="s">
        <v>1192</v>
      </c>
      <c r="T19" s="38" t="s">
        <v>1091</v>
      </c>
      <c r="U19" s="38" t="s">
        <v>1157</v>
      </c>
      <c r="V19" s="222"/>
      <c r="W19" s="39" t="s">
        <v>1193</v>
      </c>
      <c r="X19" s="38">
        <v>44488</v>
      </c>
      <c r="Y19" s="38">
        <v>17</v>
      </c>
      <c r="Z19" s="24" t="s">
        <v>566</v>
      </c>
      <c r="AA19" s="48" t="s">
        <v>1091</v>
      </c>
      <c r="AB19" s="48" t="s">
        <v>1157</v>
      </c>
      <c r="AC19" s="257"/>
      <c r="AD19" s="39">
        <v>407</v>
      </c>
      <c r="AE19" s="38">
        <v>5605</v>
      </c>
      <c r="AF19" s="38">
        <v>0</v>
      </c>
      <c r="AG19" s="24" t="s">
        <v>1177</v>
      </c>
    </row>
    <row r="20" spans="1:33" ht="13.4" customHeight="1">
      <c r="A20" s="222"/>
      <c r="B20" s="39">
        <v>218</v>
      </c>
      <c r="C20" s="38">
        <v>2496</v>
      </c>
      <c r="D20" s="38">
        <v>1689</v>
      </c>
      <c r="E20" s="37" t="s">
        <v>304</v>
      </c>
      <c r="F20" s="38" t="s">
        <v>1091</v>
      </c>
      <c r="G20" s="38" t="s">
        <v>1167</v>
      </c>
      <c r="H20" s="222"/>
      <c r="I20" s="39">
        <v>318</v>
      </c>
      <c r="J20" s="38">
        <v>46</v>
      </c>
      <c r="K20" s="38">
        <v>0</v>
      </c>
      <c r="L20" s="37" t="s">
        <v>1194</v>
      </c>
      <c r="M20" s="38" t="s">
        <v>1091</v>
      </c>
      <c r="N20" s="38" t="s">
        <v>1157</v>
      </c>
      <c r="O20" s="222"/>
      <c r="P20" s="42">
        <v>540</v>
      </c>
      <c r="Q20" s="38">
        <v>1189</v>
      </c>
      <c r="R20" s="38">
        <v>-175</v>
      </c>
      <c r="S20" s="37" t="s">
        <v>1192</v>
      </c>
      <c r="T20" s="38" t="s">
        <v>1091</v>
      </c>
      <c r="U20" s="38" t="s">
        <v>1157</v>
      </c>
      <c r="V20" s="222"/>
      <c r="W20" s="39" t="s">
        <v>1195</v>
      </c>
      <c r="X20" s="38">
        <v>90384</v>
      </c>
      <c r="Y20" s="38">
        <v>-26</v>
      </c>
      <c r="Z20" s="24" t="s">
        <v>566</v>
      </c>
      <c r="AA20" s="48" t="s">
        <v>1091</v>
      </c>
      <c r="AB20" s="48" t="s">
        <v>1157</v>
      </c>
      <c r="AC20" s="258" t="s">
        <v>1196</v>
      </c>
      <c r="AD20" s="39">
        <v>502</v>
      </c>
      <c r="AE20" s="38"/>
      <c r="AF20" s="38"/>
      <c r="AG20" s="24"/>
    </row>
    <row r="21" spans="1:33" ht="13.4" customHeight="1">
      <c r="A21" s="222"/>
      <c r="B21" s="39">
        <v>219</v>
      </c>
      <c r="C21" s="38">
        <v>288</v>
      </c>
      <c r="D21" s="38">
        <v>4</v>
      </c>
      <c r="E21" s="37" t="s">
        <v>1156</v>
      </c>
      <c r="F21" s="38" t="s">
        <v>1091</v>
      </c>
      <c r="G21" s="38" t="s">
        <v>1157</v>
      </c>
      <c r="H21" s="222"/>
      <c r="I21" s="39">
        <v>319</v>
      </c>
      <c r="J21" s="38">
        <v>918</v>
      </c>
      <c r="K21" s="38">
        <v>-10</v>
      </c>
      <c r="L21" s="37" t="s">
        <v>1194</v>
      </c>
      <c r="M21" s="38" t="s">
        <v>1091</v>
      </c>
      <c r="N21" s="38" t="s">
        <v>1169</v>
      </c>
      <c r="O21" s="222" t="s">
        <v>1197</v>
      </c>
      <c r="P21" s="39">
        <v>907</v>
      </c>
      <c r="Q21" s="38">
        <v>3356</v>
      </c>
      <c r="R21" s="38">
        <v>-1</v>
      </c>
      <c r="S21" s="37" t="s">
        <v>1165</v>
      </c>
      <c r="T21" s="38" t="s">
        <v>1091</v>
      </c>
      <c r="U21" s="38" t="s">
        <v>1157</v>
      </c>
      <c r="V21" s="222"/>
      <c r="W21" s="39" t="s">
        <v>1198</v>
      </c>
      <c r="X21" s="38">
        <v>65195</v>
      </c>
      <c r="Y21" s="38">
        <v>6</v>
      </c>
      <c r="Z21" s="24" t="s">
        <v>566</v>
      </c>
      <c r="AA21" s="48" t="s">
        <v>1091</v>
      </c>
      <c r="AB21" s="48" t="s">
        <v>1157</v>
      </c>
      <c r="AC21" s="258"/>
      <c r="AD21" s="39">
        <v>503</v>
      </c>
      <c r="AE21" s="38"/>
      <c r="AF21" s="38"/>
      <c r="AG21" s="24"/>
    </row>
    <row r="22" spans="1:33" ht="13.4" customHeight="1">
      <c r="A22" s="222"/>
      <c r="B22" s="39">
        <v>220</v>
      </c>
      <c r="C22" s="38">
        <v>287</v>
      </c>
      <c r="D22" s="38">
        <v>0</v>
      </c>
      <c r="E22" s="37" t="s">
        <v>1156</v>
      </c>
      <c r="F22" s="38" t="s">
        <v>1091</v>
      </c>
      <c r="G22" s="38" t="s">
        <v>1157</v>
      </c>
      <c r="H22" s="222"/>
      <c r="I22" s="39">
        <v>320</v>
      </c>
      <c r="J22" s="41">
        <v>467</v>
      </c>
      <c r="K22" s="38">
        <v>-342</v>
      </c>
      <c r="L22" s="37" t="s">
        <v>1199</v>
      </c>
      <c r="M22" s="38" t="s">
        <v>1091</v>
      </c>
      <c r="N22" s="38" t="s">
        <v>1157</v>
      </c>
      <c r="O22" s="222"/>
      <c r="P22" s="39">
        <v>908</v>
      </c>
      <c r="Q22" s="38">
        <v>1783</v>
      </c>
      <c r="R22" s="38">
        <v>-1</v>
      </c>
      <c r="S22" s="37" t="s">
        <v>1200</v>
      </c>
      <c r="T22" s="38" t="s">
        <v>1091</v>
      </c>
      <c r="U22" s="38" t="s">
        <v>1157</v>
      </c>
      <c r="V22" s="222"/>
      <c r="W22" s="39" t="s">
        <v>1201</v>
      </c>
      <c r="X22" s="38">
        <v>48412</v>
      </c>
      <c r="Y22" s="38">
        <v>-1</v>
      </c>
      <c r="Z22" s="24" t="s">
        <v>566</v>
      </c>
      <c r="AA22" s="48" t="s">
        <v>1091</v>
      </c>
      <c r="AB22" s="48" t="s">
        <v>1157</v>
      </c>
      <c r="AC22" s="259" t="s">
        <v>1202</v>
      </c>
      <c r="AD22" s="49">
        <v>101</v>
      </c>
      <c r="AE22" s="38">
        <v>23448</v>
      </c>
      <c r="AF22" s="38">
        <v>7</v>
      </c>
      <c r="AG22" s="38" t="s">
        <v>1028</v>
      </c>
    </row>
    <row r="23" spans="1:33" ht="13.4" customHeight="1">
      <c r="A23" s="222"/>
      <c r="B23" s="39">
        <v>221</v>
      </c>
      <c r="C23" s="38">
        <v>643</v>
      </c>
      <c r="D23" s="38">
        <v>1</v>
      </c>
      <c r="E23" s="37" t="s">
        <v>1156</v>
      </c>
      <c r="F23" s="38" t="s">
        <v>1091</v>
      </c>
      <c r="G23" s="38" t="s">
        <v>1157</v>
      </c>
      <c r="H23" s="222"/>
      <c r="I23" s="39">
        <v>321</v>
      </c>
      <c r="J23" s="41">
        <v>614</v>
      </c>
      <c r="K23" s="41">
        <v>0</v>
      </c>
      <c r="L23" s="37" t="s">
        <v>1203</v>
      </c>
      <c r="M23" s="38" t="s">
        <v>1091</v>
      </c>
      <c r="N23" s="38" t="s">
        <v>1157</v>
      </c>
      <c r="O23" s="222"/>
      <c r="P23" s="39">
        <v>909</v>
      </c>
      <c r="Q23" s="38">
        <v>3808</v>
      </c>
      <c r="R23" s="38">
        <v>0</v>
      </c>
      <c r="S23" s="37" t="s">
        <v>1200</v>
      </c>
      <c r="T23" s="38" t="s">
        <v>1091</v>
      </c>
      <c r="U23" s="38" t="s">
        <v>1157</v>
      </c>
      <c r="V23" s="222"/>
      <c r="W23" s="39" t="s">
        <v>1204</v>
      </c>
      <c r="X23" s="38">
        <v>11538</v>
      </c>
      <c r="Y23" s="38">
        <v>0</v>
      </c>
      <c r="Z23" s="24" t="s">
        <v>566</v>
      </c>
      <c r="AA23" s="48" t="s">
        <v>1091</v>
      </c>
      <c r="AB23" s="48" t="s">
        <v>1157</v>
      </c>
      <c r="AC23" s="259"/>
      <c r="AD23" s="49">
        <v>102</v>
      </c>
      <c r="AE23" s="38">
        <v>27759</v>
      </c>
      <c r="AF23" s="38">
        <v>-3723</v>
      </c>
      <c r="AG23" s="38" t="s">
        <v>1038</v>
      </c>
    </row>
    <row r="24" spans="1:33" ht="13.4" customHeight="1">
      <c r="A24" s="222"/>
      <c r="B24" s="39">
        <v>222</v>
      </c>
      <c r="C24" s="38">
        <v>297</v>
      </c>
      <c r="D24" s="38">
        <v>0</v>
      </c>
      <c r="E24" s="37" t="s">
        <v>1156</v>
      </c>
      <c r="F24" s="38" t="s">
        <v>1091</v>
      </c>
      <c r="G24" s="38" t="s">
        <v>1157</v>
      </c>
      <c r="H24" s="222" t="s">
        <v>1205</v>
      </c>
      <c r="I24" s="42">
        <v>331</v>
      </c>
      <c r="J24" s="38">
        <v>12</v>
      </c>
      <c r="K24" s="41">
        <v>0</v>
      </c>
      <c r="L24" s="37" t="s">
        <v>1206</v>
      </c>
      <c r="M24" s="38" t="s">
        <v>1091</v>
      </c>
      <c r="N24" s="38" t="s">
        <v>1157</v>
      </c>
      <c r="O24" s="222"/>
      <c r="P24" s="39">
        <v>910</v>
      </c>
      <c r="Q24" s="38">
        <v>68</v>
      </c>
      <c r="R24" s="38">
        <v>0</v>
      </c>
      <c r="S24" s="37" t="s">
        <v>1200</v>
      </c>
      <c r="T24" s="38" t="s">
        <v>1091</v>
      </c>
      <c r="U24" s="38" t="s">
        <v>1157</v>
      </c>
      <c r="V24" s="222"/>
      <c r="W24" s="39" t="s">
        <v>1207</v>
      </c>
      <c r="X24" s="38"/>
      <c r="Y24" s="38"/>
      <c r="Z24" s="24"/>
      <c r="AA24" s="48"/>
      <c r="AB24" s="48"/>
      <c r="AC24" s="259"/>
      <c r="AD24" s="49">
        <v>103</v>
      </c>
      <c r="AE24" s="38">
        <v>9534</v>
      </c>
      <c r="AF24" s="38">
        <v>5</v>
      </c>
      <c r="AG24" s="38" t="s">
        <v>1028</v>
      </c>
    </row>
    <row r="25" spans="1:33" ht="13.4" customHeight="1">
      <c r="A25" s="222" t="s">
        <v>1208</v>
      </c>
      <c r="B25" s="39">
        <v>223</v>
      </c>
      <c r="C25" s="38">
        <v>543</v>
      </c>
      <c r="D25" s="38">
        <v>-360</v>
      </c>
      <c r="E25" s="37" t="s">
        <v>173</v>
      </c>
      <c r="F25" s="38" t="s">
        <v>1091</v>
      </c>
      <c r="G25" s="38" t="s">
        <v>1169</v>
      </c>
      <c r="H25" s="222"/>
      <c r="I25" s="42">
        <v>332</v>
      </c>
      <c r="J25" s="38">
        <v>269</v>
      </c>
      <c r="K25" s="41">
        <v>51</v>
      </c>
      <c r="L25" s="37" t="s">
        <v>1206</v>
      </c>
      <c r="M25" s="38" t="s">
        <v>1091</v>
      </c>
      <c r="N25" s="38" t="s">
        <v>1168</v>
      </c>
      <c r="O25" s="222"/>
      <c r="P25" s="39">
        <v>911</v>
      </c>
      <c r="Q25" s="38">
        <v>885</v>
      </c>
      <c r="R25" s="38">
        <v>0</v>
      </c>
      <c r="S25" s="37" t="s">
        <v>598</v>
      </c>
      <c r="T25" s="38" t="s">
        <v>1091</v>
      </c>
      <c r="U25" s="38" t="s">
        <v>1157</v>
      </c>
      <c r="V25" s="222" t="s">
        <v>1196</v>
      </c>
      <c r="W25" s="39">
        <v>101</v>
      </c>
      <c r="X25" s="38">
        <v>702</v>
      </c>
      <c r="Y25" s="38">
        <v>0</v>
      </c>
      <c r="Z25" s="24" t="s">
        <v>566</v>
      </c>
      <c r="AA25" s="48" t="s">
        <v>1091</v>
      </c>
      <c r="AB25" s="48" t="s">
        <v>1169</v>
      </c>
      <c r="AC25" s="259"/>
      <c r="AD25" s="49">
        <v>104</v>
      </c>
      <c r="AE25" s="38">
        <v>41180</v>
      </c>
      <c r="AF25" s="38">
        <v>32410</v>
      </c>
      <c r="AG25" s="38" t="s">
        <v>966</v>
      </c>
    </row>
    <row r="26" spans="1:33" ht="13.4" customHeight="1">
      <c r="A26" s="222"/>
      <c r="B26" s="39">
        <v>224</v>
      </c>
      <c r="C26" s="38">
        <v>534</v>
      </c>
      <c r="D26" s="38">
        <v>-1006</v>
      </c>
      <c r="E26" s="37" t="s">
        <v>173</v>
      </c>
      <c r="F26" s="38" t="s">
        <v>1091</v>
      </c>
      <c r="G26" s="38" t="s">
        <v>1167</v>
      </c>
      <c r="H26" s="222"/>
      <c r="I26" s="42">
        <v>333</v>
      </c>
      <c r="J26" s="38">
        <v>507</v>
      </c>
      <c r="K26" s="41">
        <v>125</v>
      </c>
      <c r="L26" s="37" t="s">
        <v>642</v>
      </c>
      <c r="M26" s="38" t="s">
        <v>1091</v>
      </c>
      <c r="N26" s="38" t="s">
        <v>1157</v>
      </c>
      <c r="O26" s="222"/>
      <c r="P26" s="39">
        <v>912</v>
      </c>
      <c r="Q26" s="38">
        <v>514</v>
      </c>
      <c r="R26" s="38">
        <v>0</v>
      </c>
      <c r="S26" s="37" t="s">
        <v>598</v>
      </c>
      <c r="T26" s="38" t="s">
        <v>1091</v>
      </c>
      <c r="U26" s="38" t="s">
        <v>1157</v>
      </c>
      <c r="V26" s="222"/>
      <c r="W26" s="39">
        <v>102</v>
      </c>
      <c r="X26" s="38">
        <v>0</v>
      </c>
      <c r="Y26" s="38">
        <v>0</v>
      </c>
      <c r="Z26" s="24" t="s">
        <v>566</v>
      </c>
      <c r="AA26" s="48" t="s">
        <v>1091</v>
      </c>
      <c r="AB26" s="48" t="s">
        <v>1167</v>
      </c>
      <c r="AC26" s="259"/>
      <c r="AD26" s="49">
        <v>105</v>
      </c>
      <c r="AE26" s="38">
        <v>8400</v>
      </c>
      <c r="AF26" s="38">
        <v>-56948</v>
      </c>
      <c r="AG26" s="38" t="s">
        <v>966</v>
      </c>
    </row>
    <row r="27" spans="1:33" ht="13.4" customHeight="1">
      <c r="A27" s="222"/>
      <c r="B27" s="39">
        <v>225</v>
      </c>
      <c r="C27" s="38">
        <v>534</v>
      </c>
      <c r="D27" s="38">
        <v>-666</v>
      </c>
      <c r="E27" s="37" t="s">
        <v>173</v>
      </c>
      <c r="F27" s="38" t="s">
        <v>1091</v>
      </c>
      <c r="G27" s="38" t="s">
        <v>1157</v>
      </c>
      <c r="H27" s="222"/>
      <c r="I27" s="42">
        <v>334</v>
      </c>
      <c r="J27" s="38">
        <v>697</v>
      </c>
      <c r="K27" s="41">
        <v>-35</v>
      </c>
      <c r="L27" s="37" t="s">
        <v>642</v>
      </c>
      <c r="M27" s="38" t="s">
        <v>1091</v>
      </c>
      <c r="N27" s="38" t="s">
        <v>1167</v>
      </c>
      <c r="O27" s="222"/>
      <c r="P27" s="39">
        <v>917</v>
      </c>
      <c r="Q27" s="38">
        <v>2579</v>
      </c>
      <c r="R27" s="38">
        <v>0</v>
      </c>
      <c r="S27" s="37" t="s">
        <v>1200</v>
      </c>
      <c r="T27" s="38" t="s">
        <v>1091</v>
      </c>
      <c r="U27" s="38" t="s">
        <v>1157</v>
      </c>
      <c r="V27" s="222"/>
      <c r="W27" s="39">
        <v>103</v>
      </c>
      <c r="X27" s="38">
        <v>0</v>
      </c>
      <c r="Y27" s="38">
        <v>0</v>
      </c>
      <c r="Z27" s="24" t="s">
        <v>566</v>
      </c>
      <c r="AA27" s="48" t="s">
        <v>1091</v>
      </c>
      <c r="AB27" s="48" t="s">
        <v>1167</v>
      </c>
    </row>
    <row r="28" spans="1:33" ht="13.4" customHeight="1">
      <c r="A28" s="222"/>
      <c r="B28" s="39">
        <v>226</v>
      </c>
      <c r="C28" s="38">
        <v>309</v>
      </c>
      <c r="D28" s="38">
        <v>0</v>
      </c>
      <c r="E28" s="37" t="s">
        <v>173</v>
      </c>
      <c r="F28" s="38" t="s">
        <v>1091</v>
      </c>
      <c r="G28" s="38" t="s">
        <v>1157</v>
      </c>
      <c r="H28" s="222"/>
      <c r="I28" s="42">
        <v>335</v>
      </c>
      <c r="J28" s="38">
        <v>1378</v>
      </c>
      <c r="K28" s="41">
        <v>-142</v>
      </c>
      <c r="L28" s="37" t="s">
        <v>665</v>
      </c>
      <c r="M28" s="38" t="s">
        <v>1091</v>
      </c>
      <c r="N28" s="38" t="s">
        <v>1169</v>
      </c>
      <c r="O28" s="222"/>
      <c r="P28" s="39">
        <v>918</v>
      </c>
      <c r="Q28" s="38">
        <v>1770</v>
      </c>
      <c r="R28" s="38">
        <v>0</v>
      </c>
      <c r="S28" s="37" t="s">
        <v>1200</v>
      </c>
      <c r="T28" s="38" t="s">
        <v>1091</v>
      </c>
      <c r="U28" s="38" t="s">
        <v>1157</v>
      </c>
      <c r="V28" s="222"/>
      <c r="W28" s="39">
        <v>104</v>
      </c>
      <c r="X28" s="38">
        <v>0</v>
      </c>
      <c r="Y28" s="38">
        <v>0</v>
      </c>
      <c r="Z28" s="24" t="s">
        <v>566</v>
      </c>
      <c r="AA28" s="48" t="s">
        <v>1091</v>
      </c>
      <c r="AB28" s="48" t="s">
        <v>1169</v>
      </c>
    </row>
    <row r="29" spans="1:33" ht="13.4" customHeight="1">
      <c r="A29" s="222"/>
      <c r="B29" s="39">
        <v>227</v>
      </c>
      <c r="C29" s="38">
        <v>27</v>
      </c>
      <c r="D29" s="38">
        <v>0</v>
      </c>
      <c r="E29" s="37" t="s">
        <v>1209</v>
      </c>
      <c r="F29" s="38" t="s">
        <v>1091</v>
      </c>
      <c r="G29" s="38" t="s">
        <v>1157</v>
      </c>
      <c r="H29" s="222"/>
      <c r="I29" s="42">
        <v>336</v>
      </c>
      <c r="J29" s="38">
        <v>206</v>
      </c>
      <c r="K29" s="41">
        <v>-654</v>
      </c>
      <c r="L29" s="37" t="s">
        <v>665</v>
      </c>
      <c r="M29" s="38" t="s">
        <v>1091</v>
      </c>
      <c r="N29" s="38" t="s">
        <v>1167</v>
      </c>
      <c r="O29" s="222" t="s">
        <v>1210</v>
      </c>
      <c r="P29" s="39">
        <v>601</v>
      </c>
      <c r="Q29" s="38">
        <v>1154</v>
      </c>
      <c r="R29" s="38">
        <v>0</v>
      </c>
      <c r="S29" s="37" t="s">
        <v>1211</v>
      </c>
      <c r="T29" s="38" t="s">
        <v>1091</v>
      </c>
      <c r="U29" s="38" t="s">
        <v>1157</v>
      </c>
      <c r="V29" s="222"/>
      <c r="W29" s="39">
        <v>201</v>
      </c>
      <c r="X29" s="38">
        <v>0</v>
      </c>
      <c r="Y29" s="38">
        <v>0</v>
      </c>
      <c r="Z29" s="24" t="s">
        <v>598</v>
      </c>
      <c r="AA29" s="48" t="s">
        <v>1091</v>
      </c>
      <c r="AB29" s="48" t="s">
        <v>1169</v>
      </c>
    </row>
    <row r="30" spans="1:33" ht="13.4" customHeight="1">
      <c r="A30" s="222"/>
      <c r="B30" s="39">
        <v>228</v>
      </c>
      <c r="C30" s="38">
        <v>538</v>
      </c>
      <c r="D30" s="38">
        <v>-263</v>
      </c>
      <c r="E30" s="37" t="s">
        <v>1182</v>
      </c>
      <c r="F30" s="38" t="s">
        <v>1091</v>
      </c>
      <c r="G30" s="38" t="s">
        <v>1167</v>
      </c>
      <c r="H30" s="222"/>
      <c r="I30" s="42">
        <v>337</v>
      </c>
      <c r="J30" s="38">
        <v>719</v>
      </c>
      <c r="K30" s="41">
        <v>430</v>
      </c>
      <c r="L30" s="37" t="s">
        <v>665</v>
      </c>
      <c r="M30" s="38" t="s">
        <v>1091</v>
      </c>
      <c r="N30" s="38" t="s">
        <v>1157</v>
      </c>
      <c r="O30" s="222"/>
      <c r="P30" s="39">
        <v>602</v>
      </c>
      <c r="Q30" s="38">
        <v>757</v>
      </c>
      <c r="R30" s="38">
        <v>0</v>
      </c>
      <c r="S30" s="37" t="s">
        <v>1212</v>
      </c>
      <c r="T30" s="38" t="s">
        <v>1091</v>
      </c>
      <c r="U30" s="38" t="s">
        <v>1157</v>
      </c>
      <c r="V30" s="222"/>
      <c r="W30" s="39">
        <v>202</v>
      </c>
      <c r="X30" s="38"/>
      <c r="Y30" s="38"/>
      <c r="Z30" s="24"/>
      <c r="AA30" s="48"/>
      <c r="AB30" s="48"/>
    </row>
    <row r="31" spans="1:33" ht="13.4" customHeight="1">
      <c r="A31" s="222"/>
      <c r="B31" s="39">
        <v>229</v>
      </c>
      <c r="C31" s="38">
        <v>527</v>
      </c>
      <c r="D31" s="38">
        <v>-89</v>
      </c>
      <c r="E31" s="37" t="s">
        <v>1182</v>
      </c>
      <c r="F31" s="38" t="s">
        <v>1091</v>
      </c>
      <c r="G31" s="38" t="s">
        <v>1157</v>
      </c>
      <c r="H31" s="222" t="s">
        <v>1213</v>
      </c>
      <c r="I31" s="39">
        <v>401</v>
      </c>
      <c r="J31" s="38">
        <v>2992</v>
      </c>
      <c r="K31" s="41">
        <v>177</v>
      </c>
      <c r="L31" s="37" t="s">
        <v>1214</v>
      </c>
      <c r="M31" s="38" t="s">
        <v>1091</v>
      </c>
      <c r="N31" s="38" t="s">
        <v>1169</v>
      </c>
      <c r="O31" s="222"/>
      <c r="P31" s="39">
        <v>603</v>
      </c>
      <c r="Q31" s="38">
        <v>787</v>
      </c>
      <c r="R31" s="38">
        <v>0</v>
      </c>
      <c r="S31" s="37" t="s">
        <v>1212</v>
      </c>
      <c r="T31" s="38" t="s">
        <v>1091</v>
      </c>
      <c r="U31" s="38" t="s">
        <v>1157</v>
      </c>
      <c r="V31" s="222"/>
      <c r="W31" s="39">
        <v>203</v>
      </c>
      <c r="X31" s="38">
        <v>0</v>
      </c>
      <c r="Y31" s="38">
        <v>0</v>
      </c>
      <c r="Z31" s="24" t="s">
        <v>598</v>
      </c>
      <c r="AA31" s="48" t="s">
        <v>1091</v>
      </c>
      <c r="AB31" s="48" t="s">
        <v>1167</v>
      </c>
    </row>
    <row r="32" spans="1:33" ht="13.4" customHeight="1">
      <c r="A32" s="222"/>
      <c r="B32" s="39">
        <v>230</v>
      </c>
      <c r="C32" s="38">
        <v>1547</v>
      </c>
      <c r="D32" s="38">
        <v>-345</v>
      </c>
      <c r="E32" s="37" t="s">
        <v>1182</v>
      </c>
      <c r="F32" s="38" t="s">
        <v>1091</v>
      </c>
      <c r="G32" s="38" t="s">
        <v>1157</v>
      </c>
      <c r="H32" s="222"/>
      <c r="I32" s="39">
        <v>402</v>
      </c>
      <c r="J32" s="38">
        <v>1042</v>
      </c>
      <c r="K32" s="41">
        <v>5</v>
      </c>
      <c r="L32" s="37" t="s">
        <v>405</v>
      </c>
      <c r="M32" s="38" t="s">
        <v>1091</v>
      </c>
      <c r="N32" s="38" t="s">
        <v>1157</v>
      </c>
      <c r="O32" s="222"/>
      <c r="P32" s="39">
        <v>604</v>
      </c>
      <c r="Q32" s="38">
        <v>799</v>
      </c>
      <c r="R32" s="38">
        <v>0</v>
      </c>
      <c r="S32" s="37" t="s">
        <v>1215</v>
      </c>
      <c r="T32" s="38" t="s">
        <v>1091</v>
      </c>
      <c r="U32" s="38" t="s">
        <v>1157</v>
      </c>
      <c r="V32" s="222"/>
      <c r="W32" s="39">
        <v>204</v>
      </c>
      <c r="X32" s="38"/>
      <c r="Y32" s="38"/>
      <c r="Z32" s="24"/>
      <c r="AA32" s="48"/>
      <c r="AB32" s="48"/>
    </row>
    <row r="33" spans="1:28" ht="13.4" customHeight="1">
      <c r="A33" s="222"/>
      <c r="B33" s="39">
        <v>231</v>
      </c>
      <c r="C33" s="38">
        <v>1637</v>
      </c>
      <c r="D33" s="38">
        <v>944</v>
      </c>
      <c r="E33" s="37" t="s">
        <v>1182</v>
      </c>
      <c r="F33" s="38" t="s">
        <v>1091</v>
      </c>
      <c r="G33" s="38" t="s">
        <v>1157</v>
      </c>
      <c r="H33" s="222"/>
      <c r="I33" s="39">
        <v>403</v>
      </c>
      <c r="J33" s="38">
        <v>733</v>
      </c>
      <c r="K33" s="38">
        <v>0</v>
      </c>
      <c r="L33" s="37" t="s">
        <v>1216</v>
      </c>
      <c r="M33" s="38" t="s">
        <v>1091</v>
      </c>
      <c r="N33" s="38" t="s">
        <v>1157</v>
      </c>
      <c r="O33" s="222"/>
      <c r="P33" s="39">
        <v>605</v>
      </c>
      <c r="Q33" s="38">
        <v>794</v>
      </c>
      <c r="R33" s="38">
        <v>-1252</v>
      </c>
      <c r="S33" s="37" t="s">
        <v>1217</v>
      </c>
      <c r="T33" s="38" t="s">
        <v>1091</v>
      </c>
      <c r="U33" s="38" t="s">
        <v>1157</v>
      </c>
      <c r="V33" s="222"/>
      <c r="W33" s="39">
        <v>301</v>
      </c>
      <c r="X33" s="38">
        <v>3189</v>
      </c>
      <c r="Y33" s="38">
        <v>0</v>
      </c>
      <c r="Z33" s="24" t="s">
        <v>566</v>
      </c>
      <c r="AA33" s="48" t="s">
        <v>1091</v>
      </c>
      <c r="AB33" s="48" t="s">
        <v>1167</v>
      </c>
    </row>
    <row r="34" spans="1:28" ht="13.4" customHeight="1">
      <c r="A34" s="222"/>
      <c r="B34" s="39">
        <v>232</v>
      </c>
      <c r="C34" s="38">
        <v>1433</v>
      </c>
      <c r="D34" s="38">
        <v>-335</v>
      </c>
      <c r="E34" s="37" t="s">
        <v>1218</v>
      </c>
      <c r="F34" s="38" t="s">
        <v>1091</v>
      </c>
      <c r="G34" s="38" t="s">
        <v>1157</v>
      </c>
      <c r="H34" s="222"/>
      <c r="I34" s="39">
        <v>404</v>
      </c>
      <c r="J34" s="38">
        <v>837</v>
      </c>
      <c r="K34" s="38">
        <v>0</v>
      </c>
      <c r="L34" s="37" t="s">
        <v>1219</v>
      </c>
      <c r="M34" s="38" t="s">
        <v>1091</v>
      </c>
      <c r="N34" s="38" t="s">
        <v>1157</v>
      </c>
      <c r="O34" s="222"/>
      <c r="P34" s="39">
        <v>606</v>
      </c>
      <c r="Q34" s="38">
        <v>128</v>
      </c>
      <c r="R34" s="38">
        <v>0</v>
      </c>
      <c r="S34" s="37" t="s">
        <v>1220</v>
      </c>
      <c r="T34" s="38" t="s">
        <v>1091</v>
      </c>
      <c r="U34" s="38" t="s">
        <v>1157</v>
      </c>
      <c r="V34" s="222"/>
      <c r="W34" s="39">
        <v>302</v>
      </c>
      <c r="X34" s="38">
        <v>9817</v>
      </c>
      <c r="Y34" s="38">
        <v>0</v>
      </c>
      <c r="Z34" s="24" t="s">
        <v>566</v>
      </c>
      <c r="AA34" s="48" t="s">
        <v>1091</v>
      </c>
      <c r="AB34" s="48" t="s">
        <v>1167</v>
      </c>
    </row>
    <row r="35" spans="1:28" ht="13.4" customHeight="1">
      <c r="A35" s="222"/>
      <c r="B35" s="39">
        <v>233</v>
      </c>
      <c r="C35" s="38">
        <v>23</v>
      </c>
      <c r="D35" s="38">
        <v>0</v>
      </c>
      <c r="E35" s="37" t="s">
        <v>1182</v>
      </c>
      <c r="F35" s="38" t="s">
        <v>1091</v>
      </c>
      <c r="G35" s="38" t="s">
        <v>1157</v>
      </c>
      <c r="H35" s="222"/>
      <c r="I35" s="39">
        <v>405</v>
      </c>
      <c r="J35" s="38">
        <v>1529</v>
      </c>
      <c r="K35" s="38">
        <v>-767</v>
      </c>
      <c r="L35" s="37" t="s">
        <v>408</v>
      </c>
      <c r="M35" s="38" t="s">
        <v>1091</v>
      </c>
      <c r="N35" s="38" t="s">
        <v>1157</v>
      </c>
      <c r="O35" s="222"/>
      <c r="P35" s="39">
        <v>607</v>
      </c>
      <c r="Q35" s="38">
        <v>3301</v>
      </c>
      <c r="R35" s="38">
        <v>-2099</v>
      </c>
      <c r="S35" s="37" t="s">
        <v>1221</v>
      </c>
      <c r="T35" s="38" t="s">
        <v>1091</v>
      </c>
      <c r="U35" s="38" t="s">
        <v>1157</v>
      </c>
      <c r="V35" s="222"/>
      <c r="W35" s="39">
        <v>303</v>
      </c>
      <c r="X35" s="38">
        <v>1313</v>
      </c>
      <c r="Y35" s="38">
        <v>-1854</v>
      </c>
      <c r="Z35" s="24" t="s">
        <v>566</v>
      </c>
      <c r="AA35" s="48" t="s">
        <v>1091</v>
      </c>
      <c r="AB35" s="48" t="s">
        <v>1167</v>
      </c>
    </row>
    <row r="36" spans="1:28" ht="13.4" customHeight="1">
      <c r="A36" s="222"/>
      <c r="B36" s="39">
        <v>234</v>
      </c>
      <c r="C36" s="38">
        <v>755</v>
      </c>
      <c r="D36" s="38">
        <v>0</v>
      </c>
      <c r="E36" s="37" t="s">
        <v>247</v>
      </c>
      <c r="F36" s="38" t="s">
        <v>1091</v>
      </c>
      <c r="G36" s="38" t="s">
        <v>1157</v>
      </c>
      <c r="H36" s="222"/>
      <c r="I36" s="39">
        <v>406</v>
      </c>
      <c r="J36" s="38">
        <v>1760</v>
      </c>
      <c r="K36" s="38">
        <v>71</v>
      </c>
      <c r="L36" s="37" t="s">
        <v>1219</v>
      </c>
      <c r="M36" s="38" t="s">
        <v>1091</v>
      </c>
      <c r="N36" s="38" t="s">
        <v>1157</v>
      </c>
      <c r="O36" s="222"/>
      <c r="P36" s="39">
        <v>608</v>
      </c>
      <c r="Q36" s="38">
        <v>7443</v>
      </c>
      <c r="R36" s="38">
        <v>-12</v>
      </c>
      <c r="S36" s="37" t="s">
        <v>1215</v>
      </c>
      <c r="T36" s="38" t="s">
        <v>1091</v>
      </c>
      <c r="U36" s="38" t="s">
        <v>1157</v>
      </c>
      <c r="V36" s="222"/>
      <c r="W36" s="39">
        <v>304</v>
      </c>
      <c r="X36" s="38">
        <v>5995</v>
      </c>
      <c r="Y36" s="38">
        <v>3212</v>
      </c>
      <c r="Z36" s="24" t="s">
        <v>566</v>
      </c>
      <c r="AA36" s="48" t="s">
        <v>1091</v>
      </c>
      <c r="AB36" s="48" t="s">
        <v>1167</v>
      </c>
    </row>
    <row r="37" spans="1:28" ht="13.4" customHeight="1">
      <c r="A37" s="222" t="s">
        <v>1222</v>
      </c>
      <c r="B37" s="39">
        <v>235</v>
      </c>
      <c r="C37" s="38">
        <v>3610</v>
      </c>
      <c r="D37" s="38">
        <v>-1</v>
      </c>
      <c r="E37" s="37" t="s">
        <v>292</v>
      </c>
      <c r="F37" s="38" t="s">
        <v>1091</v>
      </c>
      <c r="G37" s="38" t="s">
        <v>1157</v>
      </c>
      <c r="H37" s="222"/>
      <c r="I37" s="39">
        <v>407</v>
      </c>
      <c r="J37" s="38">
        <v>1722</v>
      </c>
      <c r="K37" s="38">
        <v>9</v>
      </c>
      <c r="L37" s="37" t="s">
        <v>1223</v>
      </c>
      <c r="M37" s="38" t="s">
        <v>1091</v>
      </c>
      <c r="N37" s="38" t="s">
        <v>1157</v>
      </c>
      <c r="O37" s="222"/>
      <c r="P37" s="39">
        <v>609</v>
      </c>
      <c r="Q37" s="38">
        <v>2618</v>
      </c>
      <c r="R37" s="38">
        <v>714</v>
      </c>
      <c r="S37" s="37" t="s">
        <v>1212</v>
      </c>
      <c r="T37" s="38" t="s">
        <v>1091</v>
      </c>
      <c r="U37" s="38" t="s">
        <v>1157</v>
      </c>
      <c r="V37" s="222"/>
      <c r="W37" s="39">
        <v>401</v>
      </c>
      <c r="X37" s="38">
        <v>290</v>
      </c>
      <c r="Y37" s="38">
        <v>0</v>
      </c>
      <c r="Z37" s="24" t="s">
        <v>1224</v>
      </c>
      <c r="AA37" s="48" t="s">
        <v>1091</v>
      </c>
      <c r="AB37" s="48" t="s">
        <v>1167</v>
      </c>
    </row>
    <row r="38" spans="1:28" ht="13.4" customHeight="1">
      <c r="A38" s="222"/>
      <c r="B38" s="39">
        <v>236</v>
      </c>
      <c r="C38" s="38">
        <v>2413</v>
      </c>
      <c r="D38" s="38">
        <v>1650</v>
      </c>
      <c r="E38" s="37" t="s">
        <v>292</v>
      </c>
      <c r="F38" s="38" t="s">
        <v>1091</v>
      </c>
      <c r="G38" s="38" t="s">
        <v>1169</v>
      </c>
      <c r="H38" s="222"/>
      <c r="I38" s="39">
        <v>408</v>
      </c>
      <c r="J38" s="38">
        <v>1860</v>
      </c>
      <c r="K38" s="38">
        <v>57</v>
      </c>
      <c r="L38" s="37" t="s">
        <v>1223</v>
      </c>
      <c r="M38" s="38" t="s">
        <v>1091</v>
      </c>
      <c r="N38" s="38" t="s">
        <v>1157</v>
      </c>
      <c r="O38" s="222"/>
      <c r="P38" s="39">
        <v>610</v>
      </c>
      <c r="Q38" s="38">
        <v>1360</v>
      </c>
      <c r="R38" s="38">
        <v>1</v>
      </c>
      <c r="S38" s="37" t="s">
        <v>1212</v>
      </c>
      <c r="T38" s="38" t="s">
        <v>1091</v>
      </c>
      <c r="U38" s="38" t="s">
        <v>1157</v>
      </c>
      <c r="V38" s="222"/>
      <c r="W38" s="39">
        <v>402</v>
      </c>
      <c r="X38" s="38">
        <v>401</v>
      </c>
      <c r="Y38" s="38">
        <v>0</v>
      </c>
      <c r="Z38" s="24" t="s">
        <v>1225</v>
      </c>
      <c r="AA38" s="48" t="s">
        <v>1091</v>
      </c>
      <c r="AB38" s="48" t="s">
        <v>1167</v>
      </c>
    </row>
    <row r="39" spans="1:28" ht="13.4" customHeight="1">
      <c r="A39" s="222"/>
      <c r="B39" s="39">
        <v>237</v>
      </c>
      <c r="C39" s="38">
        <v>2009</v>
      </c>
      <c r="D39" s="38">
        <v>-515</v>
      </c>
      <c r="E39" s="37" t="s">
        <v>992</v>
      </c>
      <c r="F39" s="38" t="s">
        <v>1091</v>
      </c>
      <c r="G39" s="38" t="s">
        <v>1167</v>
      </c>
      <c r="H39" s="222"/>
      <c r="I39" s="39">
        <v>409</v>
      </c>
      <c r="J39" s="38">
        <v>2164</v>
      </c>
      <c r="K39" s="38">
        <v>197</v>
      </c>
      <c r="L39" s="37" t="s">
        <v>417</v>
      </c>
      <c r="M39" s="38" t="s">
        <v>1091</v>
      </c>
      <c r="N39" s="38" t="s">
        <v>1157</v>
      </c>
      <c r="O39" s="222" t="s">
        <v>1226</v>
      </c>
      <c r="P39" s="39">
        <v>923</v>
      </c>
      <c r="Q39" s="38">
        <v>10562</v>
      </c>
      <c r="R39" s="38">
        <v>2127</v>
      </c>
      <c r="S39" s="37" t="s">
        <v>1221</v>
      </c>
      <c r="T39" s="38" t="s">
        <v>1091</v>
      </c>
      <c r="U39" s="38" t="s">
        <v>1157</v>
      </c>
      <c r="V39" s="222"/>
      <c r="W39" s="39">
        <v>403</v>
      </c>
      <c r="X39" s="38">
        <v>360</v>
      </c>
      <c r="Y39" s="38">
        <v>0</v>
      </c>
      <c r="Z39" s="24" t="s">
        <v>1224</v>
      </c>
      <c r="AA39" s="48" t="s">
        <v>1091</v>
      </c>
      <c r="AB39" s="48" t="s">
        <v>1167</v>
      </c>
    </row>
    <row r="40" spans="1:28" ht="13.4" customHeight="1">
      <c r="A40" s="222"/>
      <c r="B40" s="39">
        <v>238</v>
      </c>
      <c r="C40" s="38">
        <v>1601</v>
      </c>
      <c r="D40" s="38">
        <v>140</v>
      </c>
      <c r="E40" s="37" t="s">
        <v>1227</v>
      </c>
      <c r="F40" s="38" t="s">
        <v>1091</v>
      </c>
      <c r="G40" s="38" t="s">
        <v>1169</v>
      </c>
      <c r="H40" s="220" t="s">
        <v>1228</v>
      </c>
      <c r="I40" s="39">
        <v>913</v>
      </c>
      <c r="J40" s="38">
        <v>1099</v>
      </c>
      <c r="K40" s="38">
        <v>0</v>
      </c>
      <c r="L40" s="37" t="s">
        <v>417</v>
      </c>
      <c r="M40" s="38" t="s">
        <v>1091</v>
      </c>
      <c r="N40" s="38" t="s">
        <v>1157</v>
      </c>
      <c r="O40" s="222"/>
      <c r="P40" s="39">
        <v>924</v>
      </c>
      <c r="Q40" s="41">
        <v>14792</v>
      </c>
      <c r="R40" s="41">
        <v>-3</v>
      </c>
      <c r="S40" s="37" t="s">
        <v>1221</v>
      </c>
      <c r="T40" s="38" t="s">
        <v>1091</v>
      </c>
      <c r="U40" s="38" t="s">
        <v>1157</v>
      </c>
      <c r="V40" s="222"/>
      <c r="W40" s="39">
        <v>404</v>
      </c>
      <c r="X40" s="38">
        <v>4141</v>
      </c>
      <c r="Y40" s="38">
        <v>0</v>
      </c>
      <c r="Z40" s="24" t="s">
        <v>1224</v>
      </c>
      <c r="AA40" s="48" t="s">
        <v>1091</v>
      </c>
      <c r="AB40" s="48" t="s">
        <v>1169</v>
      </c>
    </row>
    <row r="41" spans="1:28" ht="13.4" customHeight="1">
      <c r="A41" s="222"/>
      <c r="B41" s="39">
        <v>239</v>
      </c>
      <c r="C41" s="38">
        <v>2821</v>
      </c>
      <c r="D41" s="38">
        <v>-1323</v>
      </c>
      <c r="E41" s="37" t="s">
        <v>182</v>
      </c>
      <c r="F41" s="38" t="s">
        <v>1091</v>
      </c>
      <c r="G41" s="38" t="s">
        <v>1169</v>
      </c>
      <c r="H41" s="220"/>
      <c r="I41" s="39">
        <v>914</v>
      </c>
      <c r="J41" s="38">
        <v>613</v>
      </c>
      <c r="K41" s="38">
        <v>0</v>
      </c>
      <c r="L41" s="37" t="s">
        <v>417</v>
      </c>
      <c r="M41" s="38" t="s">
        <v>1091</v>
      </c>
      <c r="N41" s="38" t="s">
        <v>1157</v>
      </c>
      <c r="O41" s="222" t="s">
        <v>1229</v>
      </c>
      <c r="P41" s="39">
        <v>701</v>
      </c>
      <c r="Q41" s="41">
        <v>6419</v>
      </c>
      <c r="R41" s="41">
        <v>2</v>
      </c>
      <c r="S41" s="37" t="s">
        <v>1230</v>
      </c>
      <c r="T41" s="38" t="s">
        <v>1091</v>
      </c>
      <c r="U41" s="38" t="s">
        <v>1157</v>
      </c>
      <c r="V41" s="222"/>
      <c r="W41" s="39">
        <v>405</v>
      </c>
      <c r="X41" s="38">
        <v>3792</v>
      </c>
      <c r="Y41" s="38">
        <v>0</v>
      </c>
      <c r="Z41" s="24" t="s">
        <v>1224</v>
      </c>
      <c r="AA41" s="48" t="s">
        <v>1091</v>
      </c>
      <c r="AB41" s="48" t="s">
        <v>1169</v>
      </c>
    </row>
    <row r="42" spans="1:28" ht="13.4" customHeight="1">
      <c r="A42" s="222"/>
      <c r="B42" s="39">
        <v>240</v>
      </c>
      <c r="C42" s="38">
        <v>3795</v>
      </c>
      <c r="D42" s="38">
        <v>2622</v>
      </c>
      <c r="E42" s="37" t="s">
        <v>182</v>
      </c>
      <c r="F42" s="38" t="s">
        <v>1091</v>
      </c>
      <c r="G42" s="38" t="s">
        <v>1157</v>
      </c>
      <c r="H42" s="220"/>
      <c r="I42" s="39">
        <v>915</v>
      </c>
      <c r="J42" s="38">
        <v>643</v>
      </c>
      <c r="K42" s="38">
        <v>0</v>
      </c>
      <c r="L42" s="37" t="s">
        <v>408</v>
      </c>
      <c r="M42" s="38" t="s">
        <v>1091</v>
      </c>
      <c r="N42" s="38" t="s">
        <v>1157</v>
      </c>
      <c r="O42" s="222"/>
      <c r="P42" s="39">
        <v>702</v>
      </c>
      <c r="Q42" s="38">
        <v>926</v>
      </c>
      <c r="R42" s="38">
        <v>0</v>
      </c>
      <c r="S42" s="37" t="s">
        <v>1231</v>
      </c>
      <c r="T42" s="38" t="s">
        <v>1091</v>
      </c>
      <c r="U42" s="38" t="s">
        <v>1157</v>
      </c>
      <c r="V42" s="222"/>
      <c r="W42" s="39">
        <v>406</v>
      </c>
      <c r="X42" s="38">
        <v>542</v>
      </c>
      <c r="Y42" s="38">
        <v>0</v>
      </c>
      <c r="Z42" s="24" t="s">
        <v>1224</v>
      </c>
      <c r="AA42" s="48" t="s">
        <v>1091</v>
      </c>
      <c r="AB42" s="48" t="s">
        <v>1169</v>
      </c>
    </row>
    <row r="43" spans="1:28" ht="13.4" customHeight="1">
      <c r="A43" s="222"/>
      <c r="B43" s="39">
        <v>241</v>
      </c>
      <c r="C43" s="38">
        <v>959</v>
      </c>
      <c r="D43" s="38">
        <v>-1</v>
      </c>
      <c r="E43" s="37" t="s">
        <v>182</v>
      </c>
      <c r="F43" s="38" t="s">
        <v>1091</v>
      </c>
      <c r="G43" s="38" t="s">
        <v>1169</v>
      </c>
      <c r="H43" s="220"/>
      <c r="I43" s="39">
        <v>916</v>
      </c>
      <c r="J43" s="38">
        <v>3645</v>
      </c>
      <c r="K43" s="38">
        <v>-4</v>
      </c>
      <c r="L43" s="37" t="s">
        <v>405</v>
      </c>
      <c r="M43" s="38" t="s">
        <v>1091</v>
      </c>
      <c r="N43" s="38" t="s">
        <v>1157</v>
      </c>
      <c r="O43" s="222"/>
      <c r="P43" s="39">
        <v>703</v>
      </c>
      <c r="Q43" s="38">
        <v>1719</v>
      </c>
      <c r="R43" s="38">
        <v>-1</v>
      </c>
      <c r="S43" s="37" t="s">
        <v>1232</v>
      </c>
      <c r="T43" s="38" t="s">
        <v>1091</v>
      </c>
      <c r="U43" s="38" t="s">
        <v>1157</v>
      </c>
      <c r="V43" s="222"/>
      <c r="W43" s="39">
        <v>501</v>
      </c>
      <c r="X43" s="38">
        <v>0</v>
      </c>
      <c r="Y43" s="38">
        <v>0</v>
      </c>
      <c r="Z43" s="24" t="s">
        <v>193</v>
      </c>
      <c r="AA43" s="48" t="s">
        <v>1091</v>
      </c>
      <c r="AB43" s="48" t="s">
        <v>1169</v>
      </c>
    </row>
    <row r="44" spans="1:28" ht="13.4" customHeight="1">
      <c r="A44" s="222"/>
      <c r="B44" s="39">
        <v>242</v>
      </c>
      <c r="C44" s="38">
        <v>1562</v>
      </c>
      <c r="D44" s="38">
        <v>187</v>
      </c>
      <c r="E44" s="37" t="s">
        <v>193</v>
      </c>
      <c r="F44" s="38" t="s">
        <v>1091</v>
      </c>
      <c r="G44" s="38" t="s">
        <v>1167</v>
      </c>
      <c r="H44" s="220" t="s">
        <v>1233</v>
      </c>
      <c r="I44" s="39">
        <v>501</v>
      </c>
      <c r="J44" s="38">
        <v>1068</v>
      </c>
      <c r="K44" s="38">
        <v>-152</v>
      </c>
      <c r="L44" s="37" t="s">
        <v>646</v>
      </c>
      <c r="M44" s="38" t="s">
        <v>1091</v>
      </c>
      <c r="N44" s="38" t="s">
        <v>1157</v>
      </c>
      <c r="O44" s="222"/>
      <c r="P44" s="39">
        <v>704</v>
      </c>
      <c r="Q44" s="38">
        <v>1825</v>
      </c>
      <c r="R44" s="38">
        <v>3</v>
      </c>
      <c r="S44" s="37" t="s">
        <v>1231</v>
      </c>
      <c r="T44" s="38" t="s">
        <v>1091</v>
      </c>
      <c r="U44" s="38" t="s">
        <v>1157</v>
      </c>
      <c r="V44" s="222"/>
      <c r="W44" s="39">
        <v>504</v>
      </c>
      <c r="X44" s="38">
        <v>0</v>
      </c>
      <c r="Y44" s="38">
        <v>0</v>
      </c>
      <c r="Z44" s="24" t="s">
        <v>193</v>
      </c>
      <c r="AA44" s="48" t="s">
        <v>1091</v>
      </c>
      <c r="AB44" s="48" t="s">
        <v>1167</v>
      </c>
    </row>
    <row r="45" spans="1:28" ht="13.4" customHeight="1">
      <c r="A45" s="222"/>
      <c r="B45" s="39">
        <v>243</v>
      </c>
      <c r="C45" s="38">
        <v>2751</v>
      </c>
      <c r="D45" s="38">
        <v>-1072</v>
      </c>
      <c r="E45" s="37" t="s">
        <v>193</v>
      </c>
      <c r="F45" s="38" t="s">
        <v>1091</v>
      </c>
      <c r="G45" s="38" t="s">
        <v>1169</v>
      </c>
      <c r="H45" s="220"/>
      <c r="I45" s="39">
        <v>502</v>
      </c>
      <c r="J45" s="38">
        <v>1819</v>
      </c>
      <c r="K45" s="38">
        <v>-1</v>
      </c>
      <c r="L45" s="37" t="s">
        <v>646</v>
      </c>
      <c r="M45" s="38" t="s">
        <v>1091</v>
      </c>
      <c r="N45" s="38" t="s">
        <v>1157</v>
      </c>
      <c r="O45" s="222"/>
      <c r="P45" s="39">
        <v>705</v>
      </c>
      <c r="Q45" s="38">
        <v>7727</v>
      </c>
      <c r="R45" s="38">
        <v>-1093</v>
      </c>
      <c r="S45" s="37" t="s">
        <v>1177</v>
      </c>
      <c r="T45" s="38" t="s">
        <v>1091</v>
      </c>
      <c r="U45" s="38" t="s">
        <v>1157</v>
      </c>
      <c r="V45" s="222"/>
      <c r="W45" s="39">
        <v>701</v>
      </c>
      <c r="X45" s="38">
        <v>296</v>
      </c>
      <c r="Y45" s="38">
        <v>0</v>
      </c>
      <c r="Z45" s="24" t="s">
        <v>580</v>
      </c>
      <c r="AA45" s="48" t="s">
        <v>1091</v>
      </c>
      <c r="AB45" s="48" t="s">
        <v>1167</v>
      </c>
    </row>
    <row r="46" spans="1:28" ht="13.4" customHeight="1">
      <c r="A46" s="222"/>
      <c r="B46" s="39">
        <v>244</v>
      </c>
      <c r="C46" s="38">
        <v>3890</v>
      </c>
      <c r="D46" s="38">
        <v>2411</v>
      </c>
      <c r="E46" s="37" t="s">
        <v>193</v>
      </c>
      <c r="F46" s="38" t="s">
        <v>1091</v>
      </c>
      <c r="G46" s="38" t="s">
        <v>1169</v>
      </c>
      <c r="H46" s="220"/>
      <c r="I46" s="39">
        <v>503</v>
      </c>
      <c r="J46" s="38">
        <v>2120</v>
      </c>
      <c r="K46" s="38">
        <v>373</v>
      </c>
      <c r="L46" s="37" t="s">
        <v>1234</v>
      </c>
      <c r="M46" s="38" t="s">
        <v>1091</v>
      </c>
      <c r="N46" s="38" t="s">
        <v>1168</v>
      </c>
      <c r="O46" s="222"/>
      <c r="P46" s="39">
        <v>706</v>
      </c>
      <c r="Q46" s="38">
        <v>13462</v>
      </c>
      <c r="R46" s="38">
        <v>-15</v>
      </c>
      <c r="S46" s="37" t="s">
        <v>1177</v>
      </c>
      <c r="T46" s="38" t="s">
        <v>1091</v>
      </c>
      <c r="U46" s="38" t="s">
        <v>1157</v>
      </c>
      <c r="V46" s="222"/>
      <c r="W46" s="39">
        <v>702</v>
      </c>
      <c r="X46" s="38">
        <v>279</v>
      </c>
      <c r="Y46" s="38">
        <v>0</v>
      </c>
      <c r="Z46" s="24" t="s">
        <v>580</v>
      </c>
      <c r="AA46" s="48" t="s">
        <v>1091</v>
      </c>
      <c r="AB46" s="48" t="s">
        <v>1169</v>
      </c>
    </row>
    <row r="47" spans="1:28" ht="13.4" customHeight="1">
      <c r="A47" s="222"/>
      <c r="B47" s="39">
        <v>245</v>
      </c>
      <c r="C47" s="38">
        <v>2092</v>
      </c>
      <c r="D47" s="38">
        <v>471</v>
      </c>
      <c r="E47" s="37" t="s">
        <v>202</v>
      </c>
      <c r="F47" s="38" t="s">
        <v>1091</v>
      </c>
      <c r="G47" s="38" t="s">
        <v>1157</v>
      </c>
      <c r="H47" s="220"/>
      <c r="I47" s="39">
        <v>504</v>
      </c>
      <c r="J47" s="38">
        <v>981</v>
      </c>
      <c r="K47" s="38">
        <v>250</v>
      </c>
      <c r="L47" s="37" t="s">
        <v>1234</v>
      </c>
      <c r="M47" s="38" t="s">
        <v>1091</v>
      </c>
      <c r="N47" s="38" t="s">
        <v>1157</v>
      </c>
      <c r="O47" s="222"/>
      <c r="P47" s="39">
        <v>707</v>
      </c>
      <c r="Q47" s="38">
        <v>1696</v>
      </c>
      <c r="R47" s="38">
        <v>8</v>
      </c>
      <c r="S47" s="37" t="s">
        <v>1230</v>
      </c>
      <c r="T47" s="38" t="s">
        <v>1091</v>
      </c>
      <c r="U47" s="38" t="s">
        <v>1157</v>
      </c>
      <c r="V47" s="222"/>
      <c r="W47" s="39">
        <v>703</v>
      </c>
      <c r="X47" s="38">
        <v>204</v>
      </c>
      <c r="Y47" s="38">
        <v>0</v>
      </c>
      <c r="Z47" s="24" t="s">
        <v>1235</v>
      </c>
      <c r="AA47" s="48" t="s">
        <v>1091</v>
      </c>
      <c r="AB47" s="48" t="s">
        <v>1167</v>
      </c>
    </row>
    <row r="48" spans="1:28" ht="13.4" customHeight="1">
      <c r="A48" s="222"/>
      <c r="B48" s="39">
        <v>246</v>
      </c>
      <c r="C48" s="38">
        <v>1035</v>
      </c>
      <c r="D48" s="38">
        <v>-736</v>
      </c>
      <c r="E48" s="37" t="s">
        <v>202</v>
      </c>
      <c r="F48" s="38" t="s">
        <v>1091</v>
      </c>
      <c r="G48" s="38" t="s">
        <v>1168</v>
      </c>
      <c r="H48" s="220"/>
      <c r="I48" s="39">
        <v>505</v>
      </c>
      <c r="J48" s="38">
        <v>1377</v>
      </c>
      <c r="K48" s="38">
        <v>-348</v>
      </c>
      <c r="L48" s="37" t="s">
        <v>1179</v>
      </c>
      <c r="M48" s="38" t="s">
        <v>1091</v>
      </c>
      <c r="N48" s="38" t="s">
        <v>1157</v>
      </c>
      <c r="O48" s="222"/>
      <c r="P48" s="39">
        <v>708</v>
      </c>
      <c r="Q48" s="38">
        <v>1714</v>
      </c>
      <c r="R48" s="38">
        <v>-2</v>
      </c>
      <c r="S48" s="37" t="s">
        <v>1231</v>
      </c>
      <c r="T48" s="38" t="s">
        <v>1091</v>
      </c>
      <c r="U48" s="38" t="s">
        <v>1157</v>
      </c>
      <c r="V48" s="222"/>
      <c r="W48" s="39">
        <v>704</v>
      </c>
      <c r="X48" s="38">
        <v>2128</v>
      </c>
      <c r="Y48" s="38">
        <v>0</v>
      </c>
      <c r="Z48" s="24" t="s">
        <v>1236</v>
      </c>
      <c r="AA48" s="48" t="s">
        <v>1091</v>
      </c>
      <c r="AB48" s="48" t="s">
        <v>1167</v>
      </c>
    </row>
    <row r="49" spans="1:28" ht="13.4" hidden="1" customHeight="1">
      <c r="A49" s="222" t="s">
        <v>1237</v>
      </c>
      <c r="B49" s="39">
        <v>251</v>
      </c>
      <c r="C49" s="38">
        <v>1240</v>
      </c>
      <c r="D49" s="38">
        <v>0</v>
      </c>
      <c r="E49" s="37" t="s">
        <v>1238</v>
      </c>
      <c r="F49" s="38" t="s">
        <v>1091</v>
      </c>
      <c r="G49" s="38" t="s">
        <v>1157</v>
      </c>
      <c r="H49" s="220"/>
      <c r="I49" s="39">
        <v>506</v>
      </c>
      <c r="J49" s="38">
        <v>3317</v>
      </c>
      <c r="K49" s="38">
        <v>-1</v>
      </c>
      <c r="L49" s="37" t="s">
        <v>1179</v>
      </c>
      <c r="M49" s="38" t="s">
        <v>1091</v>
      </c>
      <c r="N49" s="38" t="s">
        <v>1157</v>
      </c>
      <c r="O49" s="222"/>
      <c r="P49" s="39">
        <v>709</v>
      </c>
      <c r="Q49" s="38">
        <v>2535</v>
      </c>
      <c r="R49" s="38">
        <v>-5</v>
      </c>
      <c r="S49" s="37" t="s">
        <v>1239</v>
      </c>
      <c r="T49" s="38" t="s">
        <v>1091</v>
      </c>
      <c r="U49" s="38" t="s">
        <v>1157</v>
      </c>
      <c r="V49" s="222"/>
      <c r="W49" s="39">
        <v>705</v>
      </c>
      <c r="X49" s="38">
        <v>980</v>
      </c>
      <c r="Y49" s="38">
        <v>0</v>
      </c>
      <c r="Z49" s="24" t="s">
        <v>1235</v>
      </c>
      <c r="AA49" s="48" t="s">
        <v>1091</v>
      </c>
      <c r="AB49" s="48" t="s">
        <v>1169</v>
      </c>
    </row>
    <row r="50" spans="1:28" ht="13.4" hidden="1" customHeight="1">
      <c r="A50" s="222"/>
      <c r="B50" s="39">
        <v>252</v>
      </c>
      <c r="C50" s="38">
        <v>0</v>
      </c>
      <c r="D50" s="38">
        <v>0</v>
      </c>
      <c r="E50" s="37" t="s">
        <v>1238</v>
      </c>
      <c r="F50" s="38" t="s">
        <v>1091</v>
      </c>
      <c r="G50" s="38" t="s">
        <v>1157</v>
      </c>
      <c r="H50" s="220"/>
      <c r="I50" s="39">
        <v>507</v>
      </c>
      <c r="J50" s="38">
        <v>2046</v>
      </c>
      <c r="K50" s="38">
        <v>-194</v>
      </c>
      <c r="L50" s="37" t="s">
        <v>658</v>
      </c>
      <c r="M50" s="38" t="s">
        <v>1091</v>
      </c>
      <c r="N50" s="38" t="s">
        <v>1169</v>
      </c>
      <c r="O50" s="222"/>
      <c r="P50" s="39">
        <v>710</v>
      </c>
      <c r="Q50" s="38">
        <v>1921</v>
      </c>
      <c r="R50" s="38">
        <v>1</v>
      </c>
      <c r="S50" s="37" t="s">
        <v>1230</v>
      </c>
      <c r="T50" s="38" t="s">
        <v>1091</v>
      </c>
      <c r="U50" s="38" t="s">
        <v>1157</v>
      </c>
      <c r="V50" s="222"/>
      <c r="W50" s="39">
        <v>706</v>
      </c>
      <c r="X50" s="38">
        <v>3174</v>
      </c>
      <c r="Y50" s="38">
        <v>0</v>
      </c>
      <c r="Z50" s="24" t="s">
        <v>1240</v>
      </c>
      <c r="AA50" s="48" t="s">
        <v>1091</v>
      </c>
      <c r="AB50" s="48" t="s">
        <v>1167</v>
      </c>
    </row>
    <row r="51" spans="1:28" ht="13.4" hidden="1" customHeight="1">
      <c r="A51" s="222"/>
      <c r="B51" s="39">
        <v>253</v>
      </c>
      <c r="C51" s="38">
        <v>0</v>
      </c>
      <c r="D51" s="38">
        <v>0</v>
      </c>
      <c r="E51" s="37" t="s">
        <v>1238</v>
      </c>
      <c r="F51" s="38" t="s">
        <v>1091</v>
      </c>
      <c r="G51" s="38" t="s">
        <v>1157</v>
      </c>
      <c r="H51" s="220"/>
      <c r="I51" s="39">
        <v>508</v>
      </c>
      <c r="J51" s="38">
        <v>1073</v>
      </c>
      <c r="K51" s="38">
        <v>-517</v>
      </c>
      <c r="L51" s="37" t="s">
        <v>658</v>
      </c>
      <c r="M51" s="38" t="s">
        <v>1091</v>
      </c>
      <c r="N51" s="38" t="s">
        <v>1157</v>
      </c>
      <c r="O51" s="222"/>
      <c r="P51" s="39">
        <v>711</v>
      </c>
      <c r="Q51" s="38">
        <v>540</v>
      </c>
      <c r="R51" s="38">
        <v>0</v>
      </c>
      <c r="S51" s="37" t="s">
        <v>1241</v>
      </c>
      <c r="T51" s="38" t="s">
        <v>1091</v>
      </c>
      <c r="U51" s="38" t="s">
        <v>1157</v>
      </c>
      <c r="V51" s="222"/>
      <c r="W51" s="39">
        <v>707</v>
      </c>
      <c r="X51" s="38">
        <v>156</v>
      </c>
      <c r="Y51" s="38">
        <v>0</v>
      </c>
      <c r="Z51" s="24" t="s">
        <v>1240</v>
      </c>
      <c r="AA51" s="48" t="s">
        <v>1091</v>
      </c>
      <c r="AB51" s="48" t="s">
        <v>1167</v>
      </c>
    </row>
    <row r="52" spans="1:28" ht="13.4" hidden="1" customHeight="1">
      <c r="A52" s="222"/>
      <c r="B52" s="39">
        <v>254</v>
      </c>
      <c r="C52" s="38">
        <v>3239</v>
      </c>
      <c r="D52" s="38">
        <v>277</v>
      </c>
      <c r="E52" s="37" t="s">
        <v>1235</v>
      </c>
      <c r="F52" s="38" t="s">
        <v>1091</v>
      </c>
      <c r="G52" s="38" t="s">
        <v>1169</v>
      </c>
      <c r="H52" s="220"/>
      <c r="I52" s="42">
        <v>517</v>
      </c>
      <c r="J52" s="38">
        <v>958</v>
      </c>
      <c r="K52" s="38">
        <v>-199</v>
      </c>
      <c r="L52" s="37" t="s">
        <v>626</v>
      </c>
      <c r="M52" s="38" t="s">
        <v>1091</v>
      </c>
      <c r="N52" s="38" t="s">
        <v>1168</v>
      </c>
      <c r="O52" s="222"/>
      <c r="P52" s="39">
        <v>712</v>
      </c>
      <c r="Q52" s="38">
        <v>4163</v>
      </c>
      <c r="R52" s="38">
        <v>1321</v>
      </c>
      <c r="S52" s="37" t="s">
        <v>1242</v>
      </c>
      <c r="T52" s="38" t="s">
        <v>1091</v>
      </c>
      <c r="U52" s="38" t="s">
        <v>1157</v>
      </c>
      <c r="V52" s="222"/>
      <c r="W52" s="39">
        <v>708</v>
      </c>
      <c r="X52" s="38">
        <v>38</v>
      </c>
      <c r="Y52" s="38">
        <v>0</v>
      </c>
      <c r="Z52" s="24" t="s">
        <v>1240</v>
      </c>
      <c r="AA52" s="48" t="s">
        <v>1091</v>
      </c>
      <c r="AB52" s="48" t="s">
        <v>1167</v>
      </c>
    </row>
    <row r="53" spans="1:28" ht="13.4" hidden="1" customHeight="1">
      <c r="A53" s="222"/>
      <c r="B53" s="39">
        <v>255</v>
      </c>
      <c r="C53" s="38">
        <v>836</v>
      </c>
      <c r="D53" s="38">
        <v>7</v>
      </c>
      <c r="E53" s="37" t="s">
        <v>1235</v>
      </c>
      <c r="F53" s="38" t="s">
        <v>1091</v>
      </c>
      <c r="G53" s="38" t="s">
        <v>1157</v>
      </c>
      <c r="H53" s="220"/>
      <c r="I53" s="42">
        <v>518</v>
      </c>
      <c r="J53" s="38">
        <v>2513</v>
      </c>
      <c r="K53" s="38">
        <v>742</v>
      </c>
      <c r="L53" s="37" t="s">
        <v>626</v>
      </c>
      <c r="M53" s="38" t="s">
        <v>1091</v>
      </c>
      <c r="N53" s="38" t="s">
        <v>1157</v>
      </c>
      <c r="O53" s="222" t="s">
        <v>1243</v>
      </c>
      <c r="P53" s="39">
        <v>919</v>
      </c>
      <c r="Q53" s="38">
        <v>8490</v>
      </c>
      <c r="R53" s="38">
        <v>-997</v>
      </c>
      <c r="S53" s="37" t="s">
        <v>1184</v>
      </c>
      <c r="T53" s="38" t="s">
        <v>1091</v>
      </c>
      <c r="U53" s="38" t="s">
        <v>1157</v>
      </c>
      <c r="V53" s="222" t="s">
        <v>1162</v>
      </c>
      <c r="W53" s="39">
        <v>101</v>
      </c>
      <c r="X53" s="38">
        <v>0</v>
      </c>
      <c r="Y53" s="38">
        <v>0</v>
      </c>
      <c r="Z53" s="24" t="s">
        <v>566</v>
      </c>
      <c r="AA53" s="48" t="s">
        <v>1091</v>
      </c>
      <c r="AB53" s="48" t="s">
        <v>1157</v>
      </c>
    </row>
    <row r="54" spans="1:28" ht="13.4" hidden="1" customHeight="1">
      <c r="A54" s="222"/>
      <c r="B54" s="39">
        <v>256</v>
      </c>
      <c r="C54" s="38">
        <v>927</v>
      </c>
      <c r="D54" s="38">
        <v>1</v>
      </c>
      <c r="E54" s="37" t="s">
        <v>1235</v>
      </c>
      <c r="F54" s="38" t="s">
        <v>1091</v>
      </c>
      <c r="G54" s="38" t="s">
        <v>1157</v>
      </c>
      <c r="H54" s="220"/>
      <c r="I54" s="42">
        <v>519</v>
      </c>
      <c r="J54" s="38">
        <v>733</v>
      </c>
      <c r="K54" s="38">
        <v>1</v>
      </c>
      <c r="L54" s="37" t="s">
        <v>1244</v>
      </c>
      <c r="M54" s="38" t="s">
        <v>1091</v>
      </c>
      <c r="N54" s="38" t="s">
        <v>1157</v>
      </c>
      <c r="O54" s="222"/>
      <c r="P54" s="39">
        <v>920</v>
      </c>
      <c r="Q54" s="38">
        <v>1967</v>
      </c>
      <c r="R54" s="38">
        <v>-2</v>
      </c>
      <c r="S54" s="37" t="s">
        <v>1239</v>
      </c>
      <c r="T54" s="38" t="s">
        <v>1091</v>
      </c>
      <c r="U54" s="38" t="s">
        <v>1157</v>
      </c>
      <c r="V54" s="222"/>
      <c r="W54" s="39">
        <v>102</v>
      </c>
      <c r="X54" s="38">
        <v>29509</v>
      </c>
      <c r="Y54" s="38">
        <v>19907</v>
      </c>
      <c r="Z54" s="24" t="s">
        <v>566</v>
      </c>
      <c r="AA54" s="48" t="s">
        <v>1091</v>
      </c>
      <c r="AB54" s="48" t="s">
        <v>1167</v>
      </c>
    </row>
    <row r="55" spans="1:28" ht="13.4" hidden="1" customHeight="1">
      <c r="A55" s="222"/>
      <c r="B55" s="39">
        <v>257</v>
      </c>
      <c r="C55" s="38">
        <v>6161</v>
      </c>
      <c r="D55" s="38">
        <v>-8062</v>
      </c>
      <c r="E55" s="37" t="s">
        <v>1166</v>
      </c>
      <c r="F55" s="38" t="s">
        <v>1245</v>
      </c>
      <c r="G55" s="38" t="s">
        <v>1167</v>
      </c>
      <c r="H55" s="220"/>
      <c r="I55" s="42">
        <v>520</v>
      </c>
      <c r="J55" s="38">
        <v>1235</v>
      </c>
      <c r="K55" s="38">
        <v>-204</v>
      </c>
      <c r="L55" s="37" t="s">
        <v>1244</v>
      </c>
      <c r="M55" s="38" t="s">
        <v>1091</v>
      </c>
      <c r="N55" s="38" t="s">
        <v>1169</v>
      </c>
      <c r="O55" s="222"/>
      <c r="P55" s="39">
        <v>921</v>
      </c>
      <c r="Q55" s="38">
        <v>1990</v>
      </c>
      <c r="R55" s="38">
        <v>-62</v>
      </c>
      <c r="S55" s="37" t="s">
        <v>1239</v>
      </c>
      <c r="T55" s="38" t="s">
        <v>1091</v>
      </c>
      <c r="U55" s="38" t="s">
        <v>1157</v>
      </c>
      <c r="V55" s="222"/>
      <c r="W55" s="39">
        <v>103</v>
      </c>
      <c r="X55" s="38">
        <v>14228</v>
      </c>
      <c r="Y55" s="38">
        <v>0</v>
      </c>
      <c r="Z55" s="24" t="s">
        <v>566</v>
      </c>
      <c r="AA55" s="48" t="s">
        <v>1091</v>
      </c>
      <c r="AB55" s="48" t="s">
        <v>1157</v>
      </c>
    </row>
    <row r="56" spans="1:28" ht="13.4" hidden="1" customHeight="1">
      <c r="A56" s="222"/>
      <c r="B56" s="39">
        <v>258</v>
      </c>
      <c r="C56" s="38">
        <v>6663</v>
      </c>
      <c r="D56" s="38">
        <v>3757</v>
      </c>
      <c r="E56" s="37" t="s">
        <v>1166</v>
      </c>
      <c r="F56" s="38" t="s">
        <v>1245</v>
      </c>
      <c r="G56" s="38" t="s">
        <v>1157</v>
      </c>
      <c r="H56" s="220" t="s">
        <v>106</v>
      </c>
      <c r="I56" s="38" t="s">
        <v>1246</v>
      </c>
      <c r="J56" s="44">
        <v>383</v>
      </c>
      <c r="K56" s="45">
        <v>-37.075000000000003</v>
      </c>
      <c r="L56" s="37"/>
      <c r="M56" s="38"/>
      <c r="N56" s="38"/>
      <c r="O56" s="222"/>
      <c r="P56" s="39">
        <v>922</v>
      </c>
      <c r="Q56" s="38">
        <v>1944</v>
      </c>
      <c r="R56" s="38">
        <v>-65</v>
      </c>
      <c r="S56" s="37" t="s">
        <v>1239</v>
      </c>
      <c r="T56" s="38" t="s">
        <v>1091</v>
      </c>
      <c r="U56" s="38" t="s">
        <v>1157</v>
      </c>
      <c r="V56" s="222"/>
      <c r="W56" s="39">
        <v>201</v>
      </c>
      <c r="X56" s="38">
        <v>3784</v>
      </c>
      <c r="Y56" s="38">
        <v>0</v>
      </c>
      <c r="Z56" s="24" t="s">
        <v>395</v>
      </c>
      <c r="AA56" s="48" t="s">
        <v>1091</v>
      </c>
      <c r="AB56" s="48" t="s">
        <v>1157</v>
      </c>
    </row>
    <row r="57" spans="1:28" ht="13.4" hidden="1" customHeight="1">
      <c r="A57" s="222"/>
      <c r="B57" s="39">
        <v>259</v>
      </c>
      <c r="C57" s="38">
        <v>25909</v>
      </c>
      <c r="D57" s="38">
        <v>1787</v>
      </c>
      <c r="E57" s="37" t="s">
        <v>1166</v>
      </c>
      <c r="F57" s="38" t="s">
        <v>1245</v>
      </c>
      <c r="G57" s="38" t="s">
        <v>1169</v>
      </c>
      <c r="H57" s="220"/>
      <c r="I57" s="38" t="s">
        <v>1247</v>
      </c>
      <c r="J57" s="44">
        <v>0</v>
      </c>
      <c r="K57" s="45">
        <v>383</v>
      </c>
      <c r="L57" s="37"/>
      <c r="M57" s="38"/>
      <c r="N57" s="38"/>
      <c r="O57" s="222" t="s">
        <v>1248</v>
      </c>
      <c r="P57" s="42">
        <v>805</v>
      </c>
      <c r="Q57" s="38">
        <v>594</v>
      </c>
      <c r="R57" s="38">
        <v>0</v>
      </c>
      <c r="S57" s="37" t="s">
        <v>1249</v>
      </c>
      <c r="T57" s="38" t="s">
        <v>1091</v>
      </c>
      <c r="U57" s="38" t="s">
        <v>1157</v>
      </c>
      <c r="V57" s="222"/>
      <c r="W57" s="39">
        <v>202</v>
      </c>
      <c r="X57" s="38">
        <v>219</v>
      </c>
      <c r="Y57" s="38">
        <v>0</v>
      </c>
      <c r="Z57" s="24" t="s">
        <v>1235</v>
      </c>
      <c r="AA57" s="48" t="s">
        <v>1091</v>
      </c>
      <c r="AB57" s="48" t="s">
        <v>1157</v>
      </c>
    </row>
    <row r="58" spans="1:28" ht="13.4" hidden="1" customHeight="1">
      <c r="A58" s="222" t="s">
        <v>1250</v>
      </c>
      <c r="B58" s="39">
        <v>801</v>
      </c>
      <c r="C58" s="38">
        <v>84</v>
      </c>
      <c r="D58" s="38">
        <v>23</v>
      </c>
      <c r="E58" s="37" t="s">
        <v>712</v>
      </c>
      <c r="F58" s="38" t="s">
        <v>1091</v>
      </c>
      <c r="G58" s="38" t="s">
        <v>1157</v>
      </c>
      <c r="H58" s="220"/>
      <c r="I58" s="38" t="s">
        <v>1251</v>
      </c>
      <c r="J58" s="44">
        <v>1864.4749999999999</v>
      </c>
      <c r="K58" s="45">
        <v>-59.55</v>
      </c>
      <c r="L58" s="37"/>
      <c r="M58" s="38"/>
      <c r="N58" s="38"/>
      <c r="O58" s="222"/>
      <c r="P58" s="42">
        <v>806</v>
      </c>
      <c r="Q58" s="38">
        <v>465</v>
      </c>
      <c r="R58" s="38">
        <v>-25</v>
      </c>
      <c r="S58" s="37" t="s">
        <v>1249</v>
      </c>
      <c r="T58" s="38" t="s">
        <v>1091</v>
      </c>
      <c r="U58" s="38" t="s">
        <v>1157</v>
      </c>
      <c r="V58" s="222"/>
      <c r="W58" s="39">
        <v>203</v>
      </c>
      <c r="X58" s="38">
        <v>1703</v>
      </c>
      <c r="Y58" s="38">
        <v>-2173</v>
      </c>
      <c r="Z58" s="24" t="s">
        <v>395</v>
      </c>
      <c r="AA58" s="48" t="s">
        <v>1091</v>
      </c>
      <c r="AB58" s="48" t="s">
        <v>1167</v>
      </c>
    </row>
    <row r="59" spans="1:28" ht="13.4" hidden="1" customHeight="1">
      <c r="A59" s="222"/>
      <c r="B59" s="39">
        <v>802</v>
      </c>
      <c r="C59" s="38">
        <v>88</v>
      </c>
      <c r="D59" s="38">
        <v>0</v>
      </c>
      <c r="E59" s="37" t="s">
        <v>712</v>
      </c>
      <c r="F59" s="38" t="s">
        <v>1091</v>
      </c>
      <c r="G59" s="38" t="s">
        <v>1157</v>
      </c>
      <c r="H59" s="40" t="s">
        <v>817</v>
      </c>
      <c r="I59" s="38" t="s">
        <v>383</v>
      </c>
      <c r="J59" s="45">
        <v>202.5</v>
      </c>
      <c r="K59" s="45">
        <v>-530</v>
      </c>
      <c r="L59" s="37"/>
      <c r="M59" s="38"/>
      <c r="N59" s="38"/>
      <c r="O59" s="46"/>
      <c r="P59" s="46"/>
      <c r="Q59" s="38"/>
      <c r="R59" s="38"/>
      <c r="S59" s="37"/>
      <c r="T59" s="38"/>
      <c r="U59" s="38"/>
      <c r="V59" s="222"/>
      <c r="W59" s="39">
        <v>301</v>
      </c>
      <c r="X59" s="38">
        <v>1458</v>
      </c>
      <c r="Y59" s="38">
        <v>0</v>
      </c>
      <c r="Z59" s="37" t="s">
        <v>1163</v>
      </c>
      <c r="AA59" s="48" t="s">
        <v>1091</v>
      </c>
      <c r="AB59" s="48" t="s">
        <v>1157</v>
      </c>
    </row>
    <row r="60" spans="1:28" hidden="1"/>
    <row r="61" spans="1:28" hidden="1"/>
    <row r="62" spans="1:28" hidden="1"/>
    <row r="63" spans="1:28" hidden="1"/>
    <row r="64" spans="1:28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</sheetData>
  <mergeCells count="32">
    <mergeCell ref="V53:V59"/>
    <mergeCell ref="AC3:AC19"/>
    <mergeCell ref="AC20:AC21"/>
    <mergeCell ref="AC22:AC26"/>
    <mergeCell ref="O29:O38"/>
    <mergeCell ref="O39:O40"/>
    <mergeCell ref="O41:O52"/>
    <mergeCell ref="O53:O56"/>
    <mergeCell ref="O57:O58"/>
    <mergeCell ref="A25:A36"/>
    <mergeCell ref="A37:A48"/>
    <mergeCell ref="A49:A57"/>
    <mergeCell ref="A58:A59"/>
    <mergeCell ref="H3:H11"/>
    <mergeCell ref="H12:H23"/>
    <mergeCell ref="H24:H30"/>
    <mergeCell ref="H31:H39"/>
    <mergeCell ref="H40:H43"/>
    <mergeCell ref="H44:H55"/>
    <mergeCell ref="H56:H58"/>
    <mergeCell ref="A1:D1"/>
    <mergeCell ref="E1:X1"/>
    <mergeCell ref="Y1:AA1"/>
    <mergeCell ref="A3:A12"/>
    <mergeCell ref="A13:A24"/>
    <mergeCell ref="O3:O10"/>
    <mergeCell ref="O11:O20"/>
    <mergeCell ref="O21:O28"/>
    <mergeCell ref="V3:V8"/>
    <mergeCell ref="V9:V16"/>
    <mergeCell ref="V17:V24"/>
    <mergeCell ref="V25:V52"/>
  </mergeCells>
  <phoneticPr fontId="20" type="noConversion"/>
  <printOptions verticalCentered="1"/>
  <pageMargins left="0.19400000572204601" right="0.19400000572204601" top="0.19400000572204601" bottom="0.19400000572204601" header="0" footer="0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110"/>
  <sheetViews>
    <sheetView zoomScale="145" zoomScaleNormal="145" workbookViewId="0">
      <selection activeCell="AE27" sqref="AE27"/>
    </sheetView>
  </sheetViews>
  <sheetFormatPr defaultColWidth="10" defaultRowHeight="14"/>
  <cols>
    <col min="1" max="1" width="3.54296875" customWidth="1"/>
    <col min="2" max="2" width="4.7265625" customWidth="1"/>
    <col min="3" max="3" width="7.7265625" customWidth="1"/>
    <col min="4" max="4" width="5.08984375" customWidth="1"/>
    <col min="5" max="5" width="4.6328125" customWidth="1"/>
    <col min="6" max="6" width="5.08984375" customWidth="1"/>
    <col min="7" max="7" width="4.6328125" customWidth="1"/>
    <col min="8" max="8" width="5.08984375" customWidth="1"/>
    <col min="9" max="9" width="3.54296875" customWidth="1"/>
    <col min="10" max="10" width="5" customWidth="1"/>
    <col min="11" max="11" width="9.26953125" customWidth="1"/>
    <col min="12" max="12" width="5.08984375" customWidth="1"/>
    <col min="13" max="13" width="4.6328125" customWidth="1"/>
    <col min="14" max="14" width="5.08984375" customWidth="1"/>
    <col min="15" max="17" width="4.08984375" customWidth="1"/>
    <col min="18" max="18" width="4.90625" customWidth="1"/>
    <col min="19" max="19" width="10.26953125" customWidth="1"/>
    <col min="20" max="20" width="5.08984375" customWidth="1"/>
    <col min="21" max="21" width="4.08984375" customWidth="1"/>
    <col min="22" max="22" width="5.08984375" customWidth="1"/>
    <col min="23" max="25" width="4.08984375" customWidth="1"/>
    <col min="26" max="26" width="3.54296875" customWidth="1"/>
    <col min="27" max="27" width="12.1796875" customWidth="1"/>
    <col min="28" max="28" width="5.08984375" customWidth="1"/>
    <col min="29" max="29" width="4.08984375" customWidth="1"/>
    <col min="30" max="30" width="5.08984375" customWidth="1"/>
    <col min="31" max="31" width="4.08984375" customWidth="1"/>
    <col min="32" max="32" width="5.08984375" customWidth="1"/>
    <col min="33" max="34" width="3.54296875" customWidth="1"/>
    <col min="35" max="35" width="13.1796875" customWidth="1"/>
    <col min="36" max="36" width="5.6328125" customWidth="1"/>
    <col min="37" max="37" width="4.08984375" customWidth="1"/>
    <col min="38" max="38" width="5.08984375" customWidth="1"/>
    <col min="39" max="39" width="4.08984375" customWidth="1"/>
    <col min="40" max="40" width="5.08984375" customWidth="1"/>
    <col min="41" max="58" width="9.7265625" customWidth="1"/>
  </cols>
  <sheetData>
    <row r="1" spans="1:40" ht="29.4" customHeight="1">
      <c r="A1" s="224" t="s">
        <v>1356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60" t="s">
        <v>0</v>
      </c>
      <c r="AK1" s="260"/>
      <c r="AL1" s="260"/>
      <c r="AM1" s="261" t="s">
        <v>1252</v>
      </c>
      <c r="AN1" s="261"/>
    </row>
    <row r="2" spans="1:40" ht="17" customHeight="1">
      <c r="A2" s="21" t="s">
        <v>1149</v>
      </c>
      <c r="B2" s="22" t="s">
        <v>927</v>
      </c>
      <c r="C2" s="21" t="s">
        <v>326</v>
      </c>
      <c r="D2" s="23" t="s">
        <v>1253</v>
      </c>
      <c r="E2" s="22" t="s">
        <v>383</v>
      </c>
      <c r="F2" s="23" t="s">
        <v>119</v>
      </c>
      <c r="G2" s="21" t="s">
        <v>121</v>
      </c>
      <c r="H2" s="21" t="s">
        <v>431</v>
      </c>
      <c r="I2" s="21" t="s">
        <v>1149</v>
      </c>
      <c r="J2" s="22" t="s">
        <v>927</v>
      </c>
      <c r="K2" s="21" t="s">
        <v>326</v>
      </c>
      <c r="L2" s="23" t="s">
        <v>1253</v>
      </c>
      <c r="M2" s="22" t="s">
        <v>383</v>
      </c>
      <c r="N2" s="23" t="s">
        <v>119</v>
      </c>
      <c r="O2" s="21" t="s">
        <v>121</v>
      </c>
      <c r="P2" s="21" t="s">
        <v>431</v>
      </c>
      <c r="Q2" s="21" t="s">
        <v>1149</v>
      </c>
      <c r="R2" s="22" t="s">
        <v>927</v>
      </c>
      <c r="S2" s="21" t="s">
        <v>326</v>
      </c>
      <c r="T2" s="23" t="s">
        <v>1253</v>
      </c>
      <c r="U2" s="22" t="s">
        <v>383</v>
      </c>
      <c r="V2" s="23" t="s">
        <v>119</v>
      </c>
      <c r="W2" s="21" t="s">
        <v>121</v>
      </c>
      <c r="X2" s="21" t="s">
        <v>431</v>
      </c>
      <c r="Y2" s="21" t="s">
        <v>1149</v>
      </c>
      <c r="Z2" s="22" t="s">
        <v>927</v>
      </c>
      <c r="AA2" s="21" t="s">
        <v>326</v>
      </c>
      <c r="AB2" s="23" t="s">
        <v>1253</v>
      </c>
      <c r="AC2" s="22" t="s">
        <v>383</v>
      </c>
      <c r="AD2" s="23" t="s">
        <v>119</v>
      </c>
      <c r="AE2" s="21" t="s">
        <v>121</v>
      </c>
      <c r="AF2" s="21" t="s">
        <v>431</v>
      </c>
      <c r="AG2" s="21" t="s">
        <v>1149</v>
      </c>
      <c r="AH2" s="22" t="s">
        <v>927</v>
      </c>
      <c r="AI2" s="21" t="s">
        <v>326</v>
      </c>
      <c r="AJ2" s="23" t="s">
        <v>1253</v>
      </c>
      <c r="AK2" s="22" t="s">
        <v>383</v>
      </c>
      <c r="AL2" s="23" t="s">
        <v>119</v>
      </c>
      <c r="AM2" s="21" t="s">
        <v>121</v>
      </c>
      <c r="AN2" s="21" t="s">
        <v>431</v>
      </c>
    </row>
    <row r="3" spans="1:40" ht="11.65" customHeight="1">
      <c r="A3" s="265" t="s">
        <v>1254</v>
      </c>
      <c r="B3" s="24">
        <v>101</v>
      </c>
      <c r="C3" s="25" t="s">
        <v>966</v>
      </c>
      <c r="D3" s="24">
        <v>89900</v>
      </c>
      <c r="E3" s="9">
        <v>17739.46</v>
      </c>
      <c r="F3" s="11">
        <v>6419.46</v>
      </c>
      <c r="G3" s="11">
        <v>72160.539999999994</v>
      </c>
      <c r="H3" s="11">
        <v>-2.9740000000000002</v>
      </c>
      <c r="I3" s="266" t="s">
        <v>1183</v>
      </c>
      <c r="J3" s="24">
        <v>214</v>
      </c>
      <c r="K3" s="28" t="s">
        <v>395</v>
      </c>
      <c r="L3" s="11">
        <v>5300</v>
      </c>
      <c r="M3" s="9">
        <v>598.62699999999995</v>
      </c>
      <c r="N3" s="11">
        <v>78.626999999999995</v>
      </c>
      <c r="O3" s="11">
        <v>4701.3729999999996</v>
      </c>
      <c r="P3" s="11">
        <v>0.67300000000000004</v>
      </c>
      <c r="Q3" s="268" t="s">
        <v>1255</v>
      </c>
      <c r="R3" s="24">
        <v>501</v>
      </c>
      <c r="S3" s="24" t="s">
        <v>193</v>
      </c>
      <c r="T3" s="11">
        <v>3803</v>
      </c>
      <c r="U3" s="9">
        <v>0</v>
      </c>
      <c r="V3" s="11">
        <v>0</v>
      </c>
      <c r="W3" s="11">
        <v>3803</v>
      </c>
      <c r="X3" s="11">
        <v>0</v>
      </c>
      <c r="Y3" s="266" t="s">
        <v>1256</v>
      </c>
      <c r="Z3" s="29">
        <v>915</v>
      </c>
      <c r="AA3" s="30" t="s">
        <v>408</v>
      </c>
      <c r="AB3" s="31">
        <v>3926.9083019999998</v>
      </c>
      <c r="AC3" s="32">
        <v>642.72900000000004</v>
      </c>
      <c r="AD3" s="31">
        <v>2.7290000000000001</v>
      </c>
      <c r="AE3" s="31">
        <v>3284.179302</v>
      </c>
      <c r="AF3" s="11">
        <v>0</v>
      </c>
      <c r="AG3" s="272" t="s">
        <v>1162</v>
      </c>
      <c r="AH3" s="24">
        <v>306</v>
      </c>
      <c r="AI3" s="24" t="s">
        <v>1165</v>
      </c>
      <c r="AJ3" s="11">
        <v>6400</v>
      </c>
      <c r="AK3" s="9">
        <v>1026.751</v>
      </c>
      <c r="AL3" s="11">
        <v>76.751000000000005</v>
      </c>
      <c r="AM3" s="11">
        <v>5373.2489999999998</v>
      </c>
      <c r="AN3" s="11">
        <v>0</v>
      </c>
    </row>
    <row r="4" spans="1:40" ht="11.65" customHeight="1">
      <c r="A4" s="265"/>
      <c r="B4" s="24">
        <v>102</v>
      </c>
      <c r="C4" s="25" t="s">
        <v>967</v>
      </c>
      <c r="D4" s="24">
        <v>89900</v>
      </c>
      <c r="E4" s="9">
        <v>62579.919000000002</v>
      </c>
      <c r="F4" s="11">
        <v>51259.919000000002</v>
      </c>
      <c r="G4" s="11">
        <v>27320.080999999998</v>
      </c>
      <c r="H4" s="11">
        <v>826.00900000000001</v>
      </c>
      <c r="I4" s="266"/>
      <c r="J4" s="24">
        <v>215</v>
      </c>
      <c r="K4" s="25" t="s">
        <v>1257</v>
      </c>
      <c r="L4" s="11">
        <v>4790.9399999999996</v>
      </c>
      <c r="M4" s="9">
        <v>4306.7129999999997</v>
      </c>
      <c r="N4" s="11">
        <v>3786.7130000000002</v>
      </c>
      <c r="O4" s="11">
        <v>484.22699999999998</v>
      </c>
      <c r="P4" s="11">
        <v>-24.538</v>
      </c>
      <c r="Q4" s="268"/>
      <c r="R4" s="24">
        <v>504</v>
      </c>
      <c r="S4" s="24" t="s">
        <v>193</v>
      </c>
      <c r="T4" s="11">
        <v>3803</v>
      </c>
      <c r="U4" s="9">
        <v>0</v>
      </c>
      <c r="V4" s="11">
        <v>0</v>
      </c>
      <c r="W4" s="11">
        <v>3803</v>
      </c>
      <c r="X4" s="11">
        <v>0</v>
      </c>
      <c r="Y4" s="266"/>
      <c r="Z4" s="29">
        <v>916</v>
      </c>
      <c r="AA4" s="30" t="s">
        <v>405</v>
      </c>
      <c r="AB4" s="31">
        <v>3930.6017219999999</v>
      </c>
      <c r="AC4" s="32">
        <v>3645.2220000000002</v>
      </c>
      <c r="AD4" s="31">
        <v>3005.2220000000002</v>
      </c>
      <c r="AE4" s="31">
        <v>285.37972200000002</v>
      </c>
      <c r="AF4" s="11">
        <v>-3.8650000000000002</v>
      </c>
      <c r="AG4" s="272"/>
      <c r="AH4" s="24">
        <v>307</v>
      </c>
      <c r="AI4" s="24" t="s">
        <v>1165</v>
      </c>
      <c r="AJ4" s="11">
        <v>6400</v>
      </c>
      <c r="AK4" s="9">
        <v>955.26300000000003</v>
      </c>
      <c r="AL4" s="11">
        <v>5.2629999999999999</v>
      </c>
      <c r="AM4" s="11">
        <v>5444.7370000000001</v>
      </c>
      <c r="AN4" s="11">
        <v>0</v>
      </c>
    </row>
    <row r="5" spans="1:40" ht="11.65" customHeight="1">
      <c r="A5" s="265"/>
      <c r="B5" s="24">
        <v>103</v>
      </c>
      <c r="C5" s="25"/>
      <c r="D5" s="11"/>
      <c r="E5" s="9"/>
      <c r="F5" s="11"/>
      <c r="G5" s="11"/>
      <c r="H5" s="11"/>
      <c r="I5" s="266"/>
      <c r="J5" s="24">
        <v>216</v>
      </c>
      <c r="K5" s="28" t="s">
        <v>395</v>
      </c>
      <c r="L5" s="11">
        <v>4793.54</v>
      </c>
      <c r="M5" s="9">
        <v>815.55899999999997</v>
      </c>
      <c r="N5" s="11">
        <v>295.55900000000003</v>
      </c>
      <c r="O5" s="11">
        <v>3977.9810000000002</v>
      </c>
      <c r="P5" s="11">
        <v>6.6189999999999998</v>
      </c>
      <c r="Q5" s="268"/>
      <c r="R5" s="24">
        <v>701</v>
      </c>
      <c r="S5" s="24" t="s">
        <v>580</v>
      </c>
      <c r="T5" s="11">
        <v>4300</v>
      </c>
      <c r="U5" s="9">
        <v>296.39299999999997</v>
      </c>
      <c r="V5" s="11">
        <v>86.393000000000001</v>
      </c>
      <c r="W5" s="11">
        <v>4003.607</v>
      </c>
      <c r="X5" s="11">
        <v>0</v>
      </c>
      <c r="Y5" s="266" t="s">
        <v>1233</v>
      </c>
      <c r="Z5" s="24">
        <v>501</v>
      </c>
      <c r="AA5" s="25" t="s">
        <v>646</v>
      </c>
      <c r="AB5" s="11">
        <v>2100</v>
      </c>
      <c r="AC5" s="9">
        <v>1067.9680000000001</v>
      </c>
      <c r="AD5" s="11">
        <v>617.96799999999996</v>
      </c>
      <c r="AE5" s="11">
        <v>1032.0319999999999</v>
      </c>
      <c r="AF5" s="11">
        <v>-152</v>
      </c>
      <c r="AG5" s="272"/>
      <c r="AH5" s="24">
        <v>308</v>
      </c>
      <c r="AI5" s="24" t="s">
        <v>1165</v>
      </c>
      <c r="AJ5" s="11">
        <v>6400</v>
      </c>
      <c r="AK5" s="9">
        <v>1541.4770000000001</v>
      </c>
      <c r="AL5" s="11">
        <v>591.47699999999998</v>
      </c>
      <c r="AM5" s="11">
        <v>4858.5230000000001</v>
      </c>
      <c r="AN5" s="11">
        <v>0</v>
      </c>
    </row>
    <row r="6" spans="1:40" ht="11.65" customHeight="1">
      <c r="A6" s="265"/>
      <c r="B6" s="24">
        <v>104</v>
      </c>
      <c r="C6" s="25" t="s">
        <v>1258</v>
      </c>
      <c r="D6" s="24">
        <v>89900</v>
      </c>
      <c r="E6" s="9">
        <v>80320.688999999998</v>
      </c>
      <c r="F6" s="11">
        <v>69000.688999999998</v>
      </c>
      <c r="G6" s="11">
        <v>9579.3109999999997</v>
      </c>
      <c r="H6" s="11">
        <v>-27.951000000000001</v>
      </c>
      <c r="I6" s="266"/>
      <c r="J6" s="24">
        <v>217</v>
      </c>
      <c r="K6" s="25" t="s">
        <v>304</v>
      </c>
      <c r="L6" s="11">
        <v>4701.7052100000001</v>
      </c>
      <c r="M6" s="9">
        <v>3318.7460000000001</v>
      </c>
      <c r="N6" s="11">
        <v>2798.7460000000001</v>
      </c>
      <c r="O6" s="11">
        <v>1382.95921</v>
      </c>
      <c r="P6" s="11">
        <v>-35.771000000000001</v>
      </c>
      <c r="Q6" s="268"/>
      <c r="R6" s="24">
        <v>702</v>
      </c>
      <c r="S6" s="24" t="s">
        <v>580</v>
      </c>
      <c r="T6" s="11">
        <v>4300</v>
      </c>
      <c r="U6" s="9">
        <v>278.62599999999998</v>
      </c>
      <c r="V6" s="11">
        <v>68.626000000000005</v>
      </c>
      <c r="W6" s="11">
        <v>4021.3739999999998</v>
      </c>
      <c r="X6" s="11">
        <v>0</v>
      </c>
      <c r="Y6" s="266"/>
      <c r="Z6" s="24">
        <v>502</v>
      </c>
      <c r="AA6" s="25" t="s">
        <v>646</v>
      </c>
      <c r="AB6" s="11">
        <v>2100</v>
      </c>
      <c r="AC6" s="9">
        <v>1818.752</v>
      </c>
      <c r="AD6" s="11">
        <v>1368.752</v>
      </c>
      <c r="AE6" s="11">
        <v>281.24799999999999</v>
      </c>
      <c r="AF6" s="11">
        <v>-1.171</v>
      </c>
      <c r="AG6" s="272" t="s">
        <v>1210</v>
      </c>
      <c r="AH6" s="24">
        <v>601</v>
      </c>
      <c r="AI6" s="28" t="s">
        <v>1211</v>
      </c>
      <c r="AJ6" s="11">
        <v>3700</v>
      </c>
      <c r="AK6" s="9">
        <v>1153.9069999999999</v>
      </c>
      <c r="AL6" s="11">
        <v>403.90699999999998</v>
      </c>
      <c r="AM6" s="11">
        <v>2546.0929999999998</v>
      </c>
      <c r="AN6" s="11">
        <v>0.20799999999999999</v>
      </c>
    </row>
    <row r="7" spans="1:40" ht="11.65" customHeight="1">
      <c r="A7" s="265"/>
      <c r="B7" s="24">
        <v>105</v>
      </c>
      <c r="C7" s="25" t="s">
        <v>1258</v>
      </c>
      <c r="D7" s="24">
        <v>89900</v>
      </c>
      <c r="E7" s="9">
        <v>63260.540999999997</v>
      </c>
      <c r="F7" s="11">
        <v>51940.540999999997</v>
      </c>
      <c r="G7" s="11">
        <v>26639.458999999999</v>
      </c>
      <c r="H7" s="11">
        <v>-12812.257</v>
      </c>
      <c r="I7" s="266"/>
      <c r="J7" s="24">
        <v>218</v>
      </c>
      <c r="K7" s="25" t="s">
        <v>304</v>
      </c>
      <c r="L7" s="11">
        <v>4717.2241199999999</v>
      </c>
      <c r="M7" s="9">
        <v>2495.8429999999998</v>
      </c>
      <c r="N7" s="11">
        <v>1975.8430000000001</v>
      </c>
      <c r="O7" s="11">
        <v>2221.38112</v>
      </c>
      <c r="P7" s="11">
        <v>1689.1320000000001</v>
      </c>
      <c r="Q7" s="268"/>
      <c r="R7" s="24">
        <v>703</v>
      </c>
      <c r="S7" s="24" t="s">
        <v>1235</v>
      </c>
      <c r="T7" s="11">
        <v>4300</v>
      </c>
      <c r="U7" s="9">
        <v>203.50399999999999</v>
      </c>
      <c r="V7" s="11">
        <v>0</v>
      </c>
      <c r="W7" s="11">
        <v>4096.4960000000001</v>
      </c>
      <c r="X7" s="11">
        <v>0</v>
      </c>
      <c r="Y7" s="266"/>
      <c r="Z7" s="24">
        <v>503</v>
      </c>
      <c r="AA7" s="25" t="s">
        <v>1234</v>
      </c>
      <c r="AB7" s="11">
        <v>4200</v>
      </c>
      <c r="AC7" s="9">
        <v>2120.212</v>
      </c>
      <c r="AD7" s="11">
        <v>1520.212</v>
      </c>
      <c r="AE7" s="11">
        <v>2079.788</v>
      </c>
      <c r="AF7" s="11">
        <v>372.60300000000001</v>
      </c>
      <c r="AG7" s="272"/>
      <c r="AH7" s="24">
        <v>602</v>
      </c>
      <c r="AI7" s="28" t="s">
        <v>1212</v>
      </c>
      <c r="AJ7" s="11">
        <v>3700</v>
      </c>
      <c r="AK7" s="9">
        <v>757.202</v>
      </c>
      <c r="AL7" s="11">
        <v>7.202</v>
      </c>
      <c r="AM7" s="11">
        <v>2942.7979999999998</v>
      </c>
      <c r="AN7" s="11">
        <v>-0.13100000000000001</v>
      </c>
    </row>
    <row r="8" spans="1:40" ht="11.65" customHeight="1">
      <c r="A8" s="265"/>
      <c r="B8" s="24">
        <v>106</v>
      </c>
      <c r="C8" s="25" t="s">
        <v>969</v>
      </c>
      <c r="D8" s="24">
        <v>89900</v>
      </c>
      <c r="E8" s="9">
        <v>31416.343000000001</v>
      </c>
      <c r="F8" s="11">
        <v>20096.343000000001</v>
      </c>
      <c r="G8" s="11">
        <v>58483.656999999999</v>
      </c>
      <c r="H8" s="11">
        <v>-1.746</v>
      </c>
      <c r="I8" s="266"/>
      <c r="J8" s="24">
        <v>219</v>
      </c>
      <c r="K8" s="25" t="s">
        <v>1156</v>
      </c>
      <c r="L8" s="11">
        <v>4712.6420099999996</v>
      </c>
      <c r="M8" s="9">
        <v>288.19799999999998</v>
      </c>
      <c r="N8" s="11">
        <v>0</v>
      </c>
      <c r="O8" s="11">
        <v>4424.4440100000002</v>
      </c>
      <c r="P8" s="11">
        <v>4.2160000000000002</v>
      </c>
      <c r="Q8" s="268"/>
      <c r="R8" s="24">
        <v>704</v>
      </c>
      <c r="S8" s="24" t="s">
        <v>1236</v>
      </c>
      <c r="T8" s="11">
        <v>4300</v>
      </c>
      <c r="U8" s="9">
        <v>2128.2060000000001</v>
      </c>
      <c r="V8" s="11">
        <v>1918.2059999999999</v>
      </c>
      <c r="W8" s="11">
        <v>2171.7939999999999</v>
      </c>
      <c r="X8" s="11">
        <v>0</v>
      </c>
      <c r="Y8" s="266"/>
      <c r="Z8" s="24">
        <v>504</v>
      </c>
      <c r="AA8" s="25" t="s">
        <v>1234</v>
      </c>
      <c r="AB8" s="11">
        <v>4200</v>
      </c>
      <c r="AC8" s="9">
        <v>980.91899999999998</v>
      </c>
      <c r="AD8" s="11">
        <v>380.91899999999998</v>
      </c>
      <c r="AE8" s="11">
        <v>3219.0810000000001</v>
      </c>
      <c r="AF8" s="11">
        <v>249.571</v>
      </c>
      <c r="AG8" s="272"/>
      <c r="AH8" s="24">
        <v>603</v>
      </c>
      <c r="AI8" s="28" t="s">
        <v>1212</v>
      </c>
      <c r="AJ8" s="11">
        <v>3700</v>
      </c>
      <c r="AK8" s="9">
        <v>787.34100000000001</v>
      </c>
      <c r="AL8" s="11">
        <v>37.341000000000001</v>
      </c>
      <c r="AM8" s="11">
        <v>2912.6590000000001</v>
      </c>
      <c r="AN8" s="11">
        <v>0.30199999999999999</v>
      </c>
    </row>
    <row r="9" spans="1:40" ht="11.65" customHeight="1">
      <c r="A9" s="265"/>
      <c r="B9" s="26">
        <v>107</v>
      </c>
      <c r="C9" s="25"/>
      <c r="D9" s="11"/>
      <c r="E9" s="9"/>
      <c r="F9" s="11"/>
      <c r="G9" s="11"/>
      <c r="H9" s="11"/>
      <c r="I9" s="266"/>
      <c r="J9" s="24">
        <v>220</v>
      </c>
      <c r="K9" s="25" t="s">
        <v>1156</v>
      </c>
      <c r="L9" s="11">
        <v>4800</v>
      </c>
      <c r="M9" s="9">
        <v>287.36</v>
      </c>
      <c r="N9" s="11">
        <v>0</v>
      </c>
      <c r="O9" s="11">
        <v>4512.6400000000003</v>
      </c>
      <c r="P9" s="11">
        <v>3.7999999999999999E-2</v>
      </c>
      <c r="Q9" s="268"/>
      <c r="R9" s="24">
        <v>705</v>
      </c>
      <c r="S9" s="24" t="s">
        <v>1235</v>
      </c>
      <c r="T9" s="11">
        <v>4300</v>
      </c>
      <c r="U9" s="9">
        <v>980.22199999999998</v>
      </c>
      <c r="V9" s="11">
        <v>770.22199999999998</v>
      </c>
      <c r="W9" s="11">
        <v>3319.7779999999998</v>
      </c>
      <c r="X9" s="11">
        <v>0</v>
      </c>
      <c r="Y9" s="266"/>
      <c r="Z9" s="24">
        <v>505</v>
      </c>
      <c r="AA9" s="25" t="s">
        <v>1179</v>
      </c>
      <c r="AB9" s="11">
        <v>3600</v>
      </c>
      <c r="AC9" s="9">
        <v>1376.5350000000001</v>
      </c>
      <c r="AD9" s="11">
        <v>876.53499999999997</v>
      </c>
      <c r="AE9" s="11">
        <v>2223.4650000000001</v>
      </c>
      <c r="AF9" s="11">
        <v>-348.13600000000002</v>
      </c>
      <c r="AG9" s="272"/>
      <c r="AH9" s="24">
        <v>604</v>
      </c>
      <c r="AI9" s="28" t="s">
        <v>1215</v>
      </c>
      <c r="AJ9" s="11">
        <v>3700</v>
      </c>
      <c r="AK9" s="9">
        <v>799.20399999999995</v>
      </c>
      <c r="AL9" s="11">
        <v>49.204000000000001</v>
      </c>
      <c r="AM9" s="11">
        <v>2900.7959999999998</v>
      </c>
      <c r="AN9" s="11">
        <v>0.19500000000000001</v>
      </c>
    </row>
    <row r="10" spans="1:40" ht="11.65" customHeight="1">
      <c r="A10" s="265"/>
      <c r="B10" s="24">
        <v>108</v>
      </c>
      <c r="C10" s="25" t="s">
        <v>1258</v>
      </c>
      <c r="D10" s="24">
        <v>89900</v>
      </c>
      <c r="E10" s="9">
        <v>11994.352000000001</v>
      </c>
      <c r="F10" s="11">
        <v>674.35199999999998</v>
      </c>
      <c r="G10" s="11">
        <v>77905.648000000001</v>
      </c>
      <c r="H10" s="11">
        <v>53.679000000000002</v>
      </c>
      <c r="I10" s="266"/>
      <c r="J10" s="24">
        <v>221</v>
      </c>
      <c r="K10" s="25" t="s">
        <v>1156</v>
      </c>
      <c r="L10" s="11">
        <v>4800</v>
      </c>
      <c r="M10" s="9">
        <v>643.46600000000001</v>
      </c>
      <c r="N10" s="11">
        <v>93.465999999999994</v>
      </c>
      <c r="O10" s="11">
        <v>4156.5339999999997</v>
      </c>
      <c r="P10" s="11">
        <v>0.70499999999999996</v>
      </c>
      <c r="Q10" s="266" t="s">
        <v>1158</v>
      </c>
      <c r="R10" s="24">
        <v>301</v>
      </c>
      <c r="S10" s="25" t="s">
        <v>610</v>
      </c>
      <c r="T10" s="11">
        <v>1350</v>
      </c>
      <c r="U10" s="9">
        <v>347.99299999999999</v>
      </c>
      <c r="V10" s="11">
        <v>197.99299999999999</v>
      </c>
      <c r="W10" s="11">
        <v>1002.0069999999999</v>
      </c>
      <c r="X10" s="11">
        <v>-492.178</v>
      </c>
      <c r="Y10" s="266"/>
      <c r="Z10" s="24">
        <v>506</v>
      </c>
      <c r="AA10" s="25" t="s">
        <v>1179</v>
      </c>
      <c r="AB10" s="11">
        <v>3600</v>
      </c>
      <c r="AC10" s="9">
        <v>3316.9070000000002</v>
      </c>
      <c r="AD10" s="11">
        <v>2816.9070000000002</v>
      </c>
      <c r="AE10" s="11">
        <v>283.09300000000002</v>
      </c>
      <c r="AF10" s="11">
        <v>-0.56399999999999995</v>
      </c>
      <c r="AG10" s="272"/>
      <c r="AH10" s="24">
        <v>605</v>
      </c>
      <c r="AI10" s="28" t="s">
        <v>1217</v>
      </c>
      <c r="AJ10" s="11">
        <v>3700</v>
      </c>
      <c r="AK10" s="9">
        <v>794.39300000000003</v>
      </c>
      <c r="AL10" s="11">
        <v>44.393000000000001</v>
      </c>
      <c r="AM10" s="11">
        <v>2905.607</v>
      </c>
      <c r="AN10" s="11">
        <v>-1252.1030000000001</v>
      </c>
    </row>
    <row r="11" spans="1:40" ht="11.65" customHeight="1">
      <c r="A11" s="265" t="s">
        <v>1259</v>
      </c>
      <c r="B11" s="24">
        <v>901</v>
      </c>
      <c r="C11" s="25" t="s">
        <v>969</v>
      </c>
      <c r="D11" s="24">
        <v>41000</v>
      </c>
      <c r="E11" s="9">
        <v>5157.585</v>
      </c>
      <c r="F11" s="11">
        <v>157.58500000000001</v>
      </c>
      <c r="G11" s="11">
        <v>35842.415000000001</v>
      </c>
      <c r="H11" s="11">
        <v>-1.1000000000000001</v>
      </c>
      <c r="I11" s="266"/>
      <c r="J11" s="24">
        <v>222</v>
      </c>
      <c r="K11" s="25" t="s">
        <v>1156</v>
      </c>
      <c r="L11" s="11">
        <v>4800</v>
      </c>
      <c r="M11" s="9">
        <v>296.94200000000001</v>
      </c>
      <c r="N11" s="11">
        <v>0</v>
      </c>
      <c r="O11" s="11">
        <v>4503.058</v>
      </c>
      <c r="P11" s="11">
        <v>4.2000000000000003E-2</v>
      </c>
      <c r="Q11" s="266"/>
      <c r="R11" s="24">
        <v>302</v>
      </c>
      <c r="S11" s="25" t="s">
        <v>1164</v>
      </c>
      <c r="T11" s="11">
        <v>1350</v>
      </c>
      <c r="U11" s="9">
        <v>783.73800000000006</v>
      </c>
      <c r="V11" s="11">
        <v>633.73800000000006</v>
      </c>
      <c r="W11" s="11">
        <v>566.26199999999994</v>
      </c>
      <c r="X11" s="11">
        <v>439.64499999999998</v>
      </c>
      <c r="Y11" s="266"/>
      <c r="Z11" s="24">
        <v>507</v>
      </c>
      <c r="AA11" s="25" t="s">
        <v>658</v>
      </c>
      <c r="AB11" s="11">
        <v>3800</v>
      </c>
      <c r="AC11" s="9">
        <v>2045.6669999999999</v>
      </c>
      <c r="AD11" s="11">
        <v>1445.6669999999999</v>
      </c>
      <c r="AE11" s="11">
        <v>1754.3330000000001</v>
      </c>
      <c r="AF11" s="11">
        <v>-194.173</v>
      </c>
      <c r="AG11" s="272"/>
      <c r="AH11" s="24">
        <v>606</v>
      </c>
      <c r="AI11" s="28" t="s">
        <v>1220</v>
      </c>
      <c r="AJ11" s="11">
        <v>3700</v>
      </c>
      <c r="AK11" s="9">
        <v>127.931</v>
      </c>
      <c r="AL11" s="11">
        <v>0</v>
      </c>
      <c r="AM11" s="11">
        <v>3572.069</v>
      </c>
      <c r="AN11" s="11">
        <v>0</v>
      </c>
    </row>
    <row r="12" spans="1:40" ht="11.65" customHeight="1">
      <c r="A12" s="265"/>
      <c r="B12" s="24">
        <v>902</v>
      </c>
      <c r="C12" s="25" t="s">
        <v>1053</v>
      </c>
      <c r="D12" s="24">
        <v>41000</v>
      </c>
      <c r="E12" s="9">
        <v>13472.058999999999</v>
      </c>
      <c r="F12" s="11">
        <v>8472.0589999999993</v>
      </c>
      <c r="G12" s="11">
        <v>27527.940999999999</v>
      </c>
      <c r="H12" s="11">
        <v>-0.98899999999999999</v>
      </c>
      <c r="I12" s="266" t="s">
        <v>1208</v>
      </c>
      <c r="J12" s="24">
        <v>223</v>
      </c>
      <c r="K12" s="25" t="s">
        <v>173</v>
      </c>
      <c r="L12" s="11">
        <v>3521.6704249999998</v>
      </c>
      <c r="M12" s="9">
        <v>542.91499999999996</v>
      </c>
      <c r="N12" s="11">
        <v>2.915</v>
      </c>
      <c r="O12" s="11">
        <v>2978.7554249999998</v>
      </c>
      <c r="P12" s="11">
        <v>-360.49599999999998</v>
      </c>
      <c r="Q12" s="266"/>
      <c r="R12" s="24">
        <v>303</v>
      </c>
      <c r="S12" s="25" t="s">
        <v>1164</v>
      </c>
      <c r="T12" s="11">
        <v>1350</v>
      </c>
      <c r="U12" s="9">
        <v>321.45999999999998</v>
      </c>
      <c r="V12" s="11">
        <v>171.46</v>
      </c>
      <c r="W12" s="11">
        <v>1028.54</v>
      </c>
      <c r="X12" s="11">
        <v>-46.018000000000001</v>
      </c>
      <c r="Y12" s="266"/>
      <c r="Z12" s="24">
        <v>508</v>
      </c>
      <c r="AA12" s="25" t="s">
        <v>658</v>
      </c>
      <c r="AB12" s="11">
        <v>3800</v>
      </c>
      <c r="AC12" s="9">
        <v>1073.048</v>
      </c>
      <c r="AD12" s="11">
        <v>473.048</v>
      </c>
      <c r="AE12" s="11">
        <v>2726.9520000000002</v>
      </c>
      <c r="AF12" s="11">
        <v>-517.26300000000003</v>
      </c>
      <c r="AG12" s="272"/>
      <c r="AH12" s="24">
        <v>607</v>
      </c>
      <c r="AI12" s="28" t="s">
        <v>1221</v>
      </c>
      <c r="AJ12" s="11">
        <v>7400</v>
      </c>
      <c r="AK12" s="9">
        <v>3301.2510000000002</v>
      </c>
      <c r="AL12" s="11">
        <v>2001.251</v>
      </c>
      <c r="AM12" s="11">
        <v>4098.7489999999998</v>
      </c>
      <c r="AN12" s="11">
        <v>-2098.8739999999998</v>
      </c>
    </row>
    <row r="13" spans="1:40" ht="11.65" customHeight="1">
      <c r="A13" s="265"/>
      <c r="B13" s="24">
        <v>903</v>
      </c>
      <c r="C13" s="25" t="s">
        <v>969</v>
      </c>
      <c r="D13" s="24">
        <v>41000</v>
      </c>
      <c r="E13" s="9">
        <v>5742.5339999999997</v>
      </c>
      <c r="F13" s="11">
        <v>742.53399999999999</v>
      </c>
      <c r="G13" s="11">
        <v>35257.466</v>
      </c>
      <c r="H13" s="11">
        <v>0.45900000000000002</v>
      </c>
      <c r="I13" s="266"/>
      <c r="J13" s="24">
        <v>224</v>
      </c>
      <c r="K13" s="25" t="s">
        <v>173</v>
      </c>
      <c r="L13" s="11">
        <v>3511.301003</v>
      </c>
      <c r="M13" s="9">
        <v>533.79499999999996</v>
      </c>
      <c r="N13" s="11">
        <v>0</v>
      </c>
      <c r="O13" s="11">
        <v>2977.506003</v>
      </c>
      <c r="P13" s="11">
        <v>-1005.826</v>
      </c>
      <c r="Q13" s="266"/>
      <c r="R13" s="24">
        <v>304</v>
      </c>
      <c r="S13" s="25" t="s">
        <v>1164</v>
      </c>
      <c r="T13" s="11">
        <v>1350</v>
      </c>
      <c r="U13" s="9">
        <v>289.08999999999997</v>
      </c>
      <c r="V13" s="11">
        <v>139.09</v>
      </c>
      <c r="W13" s="11">
        <v>1060.9100000000001</v>
      </c>
      <c r="X13" s="11">
        <v>42.329000000000001</v>
      </c>
      <c r="Y13" s="266"/>
      <c r="Z13" s="24">
        <v>517</v>
      </c>
      <c r="AA13" s="25" t="s">
        <v>626</v>
      </c>
      <c r="AB13" s="11">
        <v>3600</v>
      </c>
      <c r="AC13" s="9">
        <v>957.70500000000004</v>
      </c>
      <c r="AD13" s="11">
        <v>507.70499999999998</v>
      </c>
      <c r="AE13" s="11">
        <v>2642.2950000000001</v>
      </c>
      <c r="AF13" s="11">
        <v>-199.43700000000001</v>
      </c>
      <c r="AG13" s="272"/>
      <c r="AH13" s="24">
        <v>608</v>
      </c>
      <c r="AI13" s="28" t="s">
        <v>1215</v>
      </c>
      <c r="AJ13" s="11">
        <v>7400</v>
      </c>
      <c r="AK13" s="9">
        <v>7442.8639999999996</v>
      </c>
      <c r="AL13" s="11">
        <v>6142.8639999999996</v>
      </c>
      <c r="AM13" s="11">
        <v>-42.863999999999997</v>
      </c>
      <c r="AN13" s="11">
        <v>-11.651999999999999</v>
      </c>
    </row>
    <row r="14" spans="1:40" ht="11.65" customHeight="1">
      <c r="A14" s="265"/>
      <c r="B14" s="24">
        <v>904</v>
      </c>
      <c r="C14" s="25" t="s">
        <v>1033</v>
      </c>
      <c r="D14" s="24">
        <v>41000</v>
      </c>
      <c r="E14" s="9">
        <v>40022.163</v>
      </c>
      <c r="F14" s="11">
        <v>35022.163</v>
      </c>
      <c r="G14" s="11">
        <v>977.83699999999999</v>
      </c>
      <c r="H14" s="11">
        <v>0.106</v>
      </c>
      <c r="I14" s="266"/>
      <c r="J14" s="24">
        <v>225</v>
      </c>
      <c r="K14" s="25" t="s">
        <v>173</v>
      </c>
      <c r="L14" s="11">
        <v>3512.4416249999999</v>
      </c>
      <c r="M14" s="9">
        <v>533.66300000000001</v>
      </c>
      <c r="N14" s="11">
        <v>0</v>
      </c>
      <c r="O14" s="11">
        <v>2978.7786249999999</v>
      </c>
      <c r="P14" s="11">
        <v>-666.471</v>
      </c>
      <c r="Q14" s="266"/>
      <c r="R14" s="24">
        <v>305</v>
      </c>
      <c r="S14" s="25" t="s">
        <v>1164</v>
      </c>
      <c r="T14" s="11">
        <v>1350</v>
      </c>
      <c r="U14" s="9">
        <v>8.32</v>
      </c>
      <c r="V14" s="11">
        <v>0</v>
      </c>
      <c r="W14" s="11">
        <v>1341.68</v>
      </c>
      <c r="X14" s="11">
        <v>0</v>
      </c>
      <c r="Y14" s="266"/>
      <c r="Z14" s="24">
        <v>518</v>
      </c>
      <c r="AA14" s="25" t="s">
        <v>626</v>
      </c>
      <c r="AB14" s="11">
        <v>3600</v>
      </c>
      <c r="AC14" s="9">
        <v>2512.8609999999999</v>
      </c>
      <c r="AD14" s="11">
        <v>2062.8609999999999</v>
      </c>
      <c r="AE14" s="11">
        <v>1087.1389999999999</v>
      </c>
      <c r="AF14" s="11">
        <v>742.48800000000006</v>
      </c>
      <c r="AG14" s="272"/>
      <c r="AH14" s="24">
        <v>609</v>
      </c>
      <c r="AI14" s="28" t="s">
        <v>1212</v>
      </c>
      <c r="AJ14" s="11">
        <v>7400</v>
      </c>
      <c r="AK14" s="9">
        <v>2617.8209999999999</v>
      </c>
      <c r="AL14" s="11">
        <v>1317.8209999999999</v>
      </c>
      <c r="AM14" s="11">
        <v>4782.1790000000001</v>
      </c>
      <c r="AN14" s="11">
        <v>714.11800000000005</v>
      </c>
    </row>
    <row r="15" spans="1:40" ht="11.65" customHeight="1">
      <c r="A15" s="265"/>
      <c r="B15" s="24">
        <v>905</v>
      </c>
      <c r="C15" s="25" t="s">
        <v>1033</v>
      </c>
      <c r="D15" s="24">
        <v>41000</v>
      </c>
      <c r="E15" s="9">
        <v>39974.701000000001</v>
      </c>
      <c r="F15" s="11">
        <v>34974.701000000001</v>
      </c>
      <c r="G15" s="11">
        <v>1025.299</v>
      </c>
      <c r="H15" s="11">
        <v>11537.343999999999</v>
      </c>
      <c r="I15" s="266"/>
      <c r="J15" s="24">
        <v>226</v>
      </c>
      <c r="K15" s="28" t="s">
        <v>173</v>
      </c>
      <c r="L15" s="11">
        <v>3518.596802</v>
      </c>
      <c r="M15" s="9">
        <v>309.346</v>
      </c>
      <c r="N15" s="11">
        <v>0</v>
      </c>
      <c r="O15" s="11">
        <v>3209.250802</v>
      </c>
      <c r="P15" s="11">
        <v>0</v>
      </c>
      <c r="Q15" s="266"/>
      <c r="R15" s="24">
        <v>306</v>
      </c>
      <c r="S15" s="28" t="s">
        <v>1172</v>
      </c>
      <c r="T15" s="11">
        <v>1400</v>
      </c>
      <c r="U15" s="9">
        <v>846.81799999999998</v>
      </c>
      <c r="V15" s="11">
        <v>696.81799999999998</v>
      </c>
      <c r="W15" s="11">
        <v>553.18200000000002</v>
      </c>
      <c r="X15" s="11">
        <v>-114.06399999999999</v>
      </c>
      <c r="Y15" s="266"/>
      <c r="Z15" s="24">
        <v>519</v>
      </c>
      <c r="AA15" s="25" t="s">
        <v>1244</v>
      </c>
      <c r="AB15" s="11">
        <v>3500</v>
      </c>
      <c r="AC15" s="9">
        <v>733.08799999999997</v>
      </c>
      <c r="AD15" s="11">
        <v>53.088000000000001</v>
      </c>
      <c r="AE15" s="11">
        <v>2766.9119999999998</v>
      </c>
      <c r="AF15" s="11">
        <v>0.50600000000000001</v>
      </c>
      <c r="AG15" s="272"/>
      <c r="AH15" s="24">
        <v>610</v>
      </c>
      <c r="AI15" s="28" t="s">
        <v>1212</v>
      </c>
      <c r="AJ15" s="11">
        <v>7400</v>
      </c>
      <c r="AK15" s="9">
        <v>1360.2159999999999</v>
      </c>
      <c r="AL15" s="11">
        <v>60.216000000000001</v>
      </c>
      <c r="AM15" s="11">
        <v>6039.7839999999997</v>
      </c>
      <c r="AN15" s="11">
        <v>0.76500000000000001</v>
      </c>
    </row>
    <row r="16" spans="1:40" ht="12.4" customHeight="1">
      <c r="A16" s="265"/>
      <c r="B16" s="24">
        <v>906</v>
      </c>
      <c r="C16" s="25" t="s">
        <v>968</v>
      </c>
      <c r="D16" s="24">
        <v>41000</v>
      </c>
      <c r="E16" s="9">
        <v>20691.835999999999</v>
      </c>
      <c r="F16" s="11">
        <v>15691.835999999999</v>
      </c>
      <c r="G16" s="11">
        <v>20308.164000000001</v>
      </c>
      <c r="H16" s="11">
        <v>0.72299999999999998</v>
      </c>
      <c r="I16" s="266"/>
      <c r="J16" s="24">
        <v>227</v>
      </c>
      <c r="K16" s="28" t="s">
        <v>1209</v>
      </c>
      <c r="L16" s="11">
        <v>3368.6477759999998</v>
      </c>
      <c r="M16" s="9">
        <v>27.312999999999999</v>
      </c>
      <c r="N16" s="11">
        <v>0</v>
      </c>
      <c r="O16" s="11">
        <v>3341.3347760000001</v>
      </c>
      <c r="P16" s="11">
        <v>0</v>
      </c>
      <c r="Q16" s="266"/>
      <c r="R16" s="24">
        <v>307</v>
      </c>
      <c r="S16" s="28" t="s">
        <v>1173</v>
      </c>
      <c r="T16" s="11">
        <v>1400</v>
      </c>
      <c r="U16" s="9">
        <v>336.68200000000002</v>
      </c>
      <c r="V16" s="11">
        <v>186.68199999999999</v>
      </c>
      <c r="W16" s="11">
        <v>1063.318</v>
      </c>
      <c r="X16" s="11">
        <v>6.5350000000000001</v>
      </c>
      <c r="Y16" s="266"/>
      <c r="Z16" s="24">
        <v>520</v>
      </c>
      <c r="AA16" s="25" t="s">
        <v>1244</v>
      </c>
      <c r="AB16" s="11">
        <v>3500</v>
      </c>
      <c r="AC16" s="9">
        <v>1235.2249999999999</v>
      </c>
      <c r="AD16" s="11">
        <v>555.22500000000002</v>
      </c>
      <c r="AE16" s="11">
        <v>2264.7750000000001</v>
      </c>
      <c r="AF16" s="11">
        <v>-204.376</v>
      </c>
      <c r="AG16" s="272" t="s">
        <v>1260</v>
      </c>
      <c r="AH16" s="29">
        <v>923</v>
      </c>
      <c r="AI16" s="34" t="s">
        <v>1221</v>
      </c>
      <c r="AJ16" s="31">
        <v>15000</v>
      </c>
      <c r="AK16" s="32">
        <v>10562.216</v>
      </c>
      <c r="AL16" s="31">
        <v>8562.2160000000003</v>
      </c>
      <c r="AM16" s="31">
        <v>4437.7839999999997</v>
      </c>
      <c r="AN16" s="11">
        <v>2126.623</v>
      </c>
    </row>
    <row r="17" spans="1:40" ht="12.4" customHeight="1">
      <c r="A17" s="265" t="s">
        <v>825</v>
      </c>
      <c r="B17" s="24" t="s">
        <v>1190</v>
      </c>
      <c r="C17" s="25" t="s">
        <v>966</v>
      </c>
      <c r="D17" s="24">
        <v>129230</v>
      </c>
      <c r="E17" s="9">
        <v>105772.53</v>
      </c>
      <c r="F17" s="11">
        <v>88194.53</v>
      </c>
      <c r="G17" s="11">
        <v>23457.47</v>
      </c>
      <c r="H17" s="11">
        <v>59843.411</v>
      </c>
      <c r="I17" s="266"/>
      <c r="J17" s="24">
        <v>228</v>
      </c>
      <c r="K17" s="28" t="s">
        <v>1182</v>
      </c>
      <c r="L17" s="11">
        <v>3355.472718</v>
      </c>
      <c r="M17" s="9">
        <v>537.81100000000004</v>
      </c>
      <c r="N17" s="11">
        <v>0</v>
      </c>
      <c r="O17" s="11">
        <v>2817.6617179999998</v>
      </c>
      <c r="P17" s="11">
        <v>-263.488</v>
      </c>
      <c r="Q17" s="266"/>
      <c r="R17" s="24">
        <v>308</v>
      </c>
      <c r="S17" s="28" t="s">
        <v>1173</v>
      </c>
      <c r="T17" s="11">
        <v>1400</v>
      </c>
      <c r="U17" s="9">
        <v>218.791</v>
      </c>
      <c r="V17" s="11">
        <v>68.790999999999997</v>
      </c>
      <c r="W17" s="11">
        <v>1181.2090000000001</v>
      </c>
      <c r="X17" s="11">
        <v>3.976</v>
      </c>
      <c r="Y17" s="266" t="s">
        <v>1159</v>
      </c>
      <c r="Z17" s="24">
        <v>509</v>
      </c>
      <c r="AA17" s="28" t="s">
        <v>1160</v>
      </c>
      <c r="AB17" s="11">
        <v>6900</v>
      </c>
      <c r="AC17" s="9">
        <v>1942.2280000000001</v>
      </c>
      <c r="AD17" s="11">
        <v>542.22799999999995</v>
      </c>
      <c r="AE17" s="11">
        <v>4957.7719999999999</v>
      </c>
      <c r="AF17" s="11">
        <v>364.22</v>
      </c>
      <c r="AG17" s="272"/>
      <c r="AH17" s="29">
        <v>924</v>
      </c>
      <c r="AI17" s="34" t="s">
        <v>1221</v>
      </c>
      <c r="AJ17" s="31">
        <v>15000</v>
      </c>
      <c r="AK17" s="32">
        <v>14791.665999999999</v>
      </c>
      <c r="AL17" s="31">
        <v>12791.665999999999</v>
      </c>
      <c r="AM17" s="31">
        <v>208.334</v>
      </c>
      <c r="AN17" s="11">
        <v>-3.278</v>
      </c>
    </row>
    <row r="18" spans="1:40" ht="11.65" customHeight="1">
      <c r="A18" s="265"/>
      <c r="B18" s="24" t="s">
        <v>1191</v>
      </c>
      <c r="C18" s="25" t="s">
        <v>1028</v>
      </c>
      <c r="D18" s="24">
        <v>129230</v>
      </c>
      <c r="E18" s="9">
        <v>126923.80499999999</v>
      </c>
      <c r="F18" s="11">
        <v>109345.80499999999</v>
      </c>
      <c r="G18" s="11">
        <v>2306.1950000000002</v>
      </c>
      <c r="H18" s="11">
        <v>3.1339999999999999</v>
      </c>
      <c r="I18" s="266"/>
      <c r="J18" s="24">
        <v>229</v>
      </c>
      <c r="K18" s="28" t="s">
        <v>1182</v>
      </c>
      <c r="L18" s="11">
        <v>3360.621615</v>
      </c>
      <c r="M18" s="9">
        <v>527.14200000000005</v>
      </c>
      <c r="N18" s="11">
        <v>0</v>
      </c>
      <c r="O18" s="11">
        <v>2833.4796150000002</v>
      </c>
      <c r="P18" s="11">
        <v>-89.135000000000005</v>
      </c>
      <c r="Q18" s="266"/>
      <c r="R18" s="24">
        <v>309</v>
      </c>
      <c r="S18" s="28" t="s">
        <v>1173</v>
      </c>
      <c r="T18" s="11">
        <v>1400</v>
      </c>
      <c r="U18" s="9">
        <v>1263.079</v>
      </c>
      <c r="V18" s="11">
        <v>1113.079</v>
      </c>
      <c r="W18" s="11">
        <v>136.92099999999999</v>
      </c>
      <c r="X18" s="11">
        <v>648.22799999999995</v>
      </c>
      <c r="Y18" s="266"/>
      <c r="Z18" s="24">
        <v>510</v>
      </c>
      <c r="AA18" s="28" t="s">
        <v>1165</v>
      </c>
      <c r="AB18" s="11">
        <v>6900</v>
      </c>
      <c r="AC18" s="9">
        <v>6657.1019999999999</v>
      </c>
      <c r="AD18" s="11">
        <v>5257.1019999999999</v>
      </c>
      <c r="AE18" s="11">
        <v>242.898</v>
      </c>
      <c r="AF18" s="11">
        <v>-160.58000000000001</v>
      </c>
      <c r="AG18" s="272" t="s">
        <v>1261</v>
      </c>
      <c r="AH18" s="24">
        <v>701</v>
      </c>
      <c r="AI18" s="28" t="s">
        <v>1230</v>
      </c>
      <c r="AJ18" s="11">
        <v>15500</v>
      </c>
      <c r="AK18" s="9">
        <v>6418.9560000000001</v>
      </c>
      <c r="AL18" s="11">
        <v>4918.9560000000001</v>
      </c>
      <c r="AM18" s="11">
        <v>9081.0439999999999</v>
      </c>
      <c r="AN18" s="11">
        <v>2.3149999999999999</v>
      </c>
    </row>
    <row r="19" spans="1:40" ht="11.65" customHeight="1">
      <c r="A19" s="265"/>
      <c r="B19" s="24" t="s">
        <v>1193</v>
      </c>
      <c r="C19" s="25" t="s">
        <v>1047</v>
      </c>
      <c r="D19" s="24">
        <v>129230</v>
      </c>
      <c r="E19" s="9">
        <v>44488.347999999998</v>
      </c>
      <c r="F19" s="11">
        <v>26910.348000000002</v>
      </c>
      <c r="G19" s="11">
        <v>84741.652000000002</v>
      </c>
      <c r="H19" s="11">
        <v>16.626999999999999</v>
      </c>
      <c r="I19" s="266"/>
      <c r="J19" s="24">
        <v>230</v>
      </c>
      <c r="K19" s="28" t="s">
        <v>1182</v>
      </c>
      <c r="L19" s="11">
        <v>3358.546347</v>
      </c>
      <c r="M19" s="9">
        <v>1547.135</v>
      </c>
      <c r="N19" s="11">
        <v>1007.135</v>
      </c>
      <c r="O19" s="11">
        <v>1811.411347</v>
      </c>
      <c r="P19" s="11">
        <v>-344.86399999999998</v>
      </c>
      <c r="Q19" s="266" t="s">
        <v>1180</v>
      </c>
      <c r="R19" s="24">
        <v>310</v>
      </c>
      <c r="S19" s="25" t="s">
        <v>1181</v>
      </c>
      <c r="T19" s="11">
        <v>1352.157166</v>
      </c>
      <c r="U19" s="9">
        <v>55.555</v>
      </c>
      <c r="V19" s="11">
        <v>0</v>
      </c>
      <c r="W19" s="11">
        <v>1296.6021659999999</v>
      </c>
      <c r="X19" s="11">
        <v>0.04</v>
      </c>
      <c r="Y19" s="266"/>
      <c r="Z19" s="24">
        <v>511</v>
      </c>
      <c r="AA19" s="28" t="s">
        <v>1160</v>
      </c>
      <c r="AB19" s="11">
        <v>6900</v>
      </c>
      <c r="AC19" s="9">
        <v>6852.8770000000004</v>
      </c>
      <c r="AD19" s="11">
        <v>5452.8770000000004</v>
      </c>
      <c r="AE19" s="11">
        <v>47.122999999999998</v>
      </c>
      <c r="AF19" s="11">
        <v>788.83399999999995</v>
      </c>
      <c r="AG19" s="272"/>
      <c r="AH19" s="24">
        <v>702</v>
      </c>
      <c r="AI19" s="28" t="s">
        <v>1231</v>
      </c>
      <c r="AJ19" s="11">
        <v>15500</v>
      </c>
      <c r="AK19" s="9">
        <v>926.19899999999996</v>
      </c>
      <c r="AL19" s="11">
        <v>0</v>
      </c>
      <c r="AM19" s="11">
        <v>14573.800999999999</v>
      </c>
      <c r="AN19" s="11">
        <v>0</v>
      </c>
    </row>
    <row r="20" spans="1:40" ht="11.65" customHeight="1">
      <c r="A20" s="265"/>
      <c r="B20" s="24" t="s">
        <v>1195</v>
      </c>
      <c r="C20" s="25" t="s">
        <v>968</v>
      </c>
      <c r="D20" s="24">
        <v>129230</v>
      </c>
      <c r="E20" s="9">
        <v>90383.535000000003</v>
      </c>
      <c r="F20" s="11">
        <v>72805.535000000003</v>
      </c>
      <c r="G20" s="11">
        <v>38846.464999999997</v>
      </c>
      <c r="H20" s="11">
        <v>-25.963999999999999</v>
      </c>
      <c r="I20" s="266"/>
      <c r="J20" s="24">
        <v>231</v>
      </c>
      <c r="K20" s="28" t="s">
        <v>1182</v>
      </c>
      <c r="L20" s="11">
        <v>3419.3368999999998</v>
      </c>
      <c r="M20" s="9">
        <v>1636.53</v>
      </c>
      <c r="N20" s="11">
        <v>1096.53</v>
      </c>
      <c r="O20" s="11">
        <v>1782.8069</v>
      </c>
      <c r="P20" s="11">
        <v>944.274</v>
      </c>
      <c r="Q20" s="266"/>
      <c r="R20" s="24">
        <v>311</v>
      </c>
      <c r="S20" s="25" t="s">
        <v>280</v>
      </c>
      <c r="T20" s="11">
        <v>1353.815118</v>
      </c>
      <c r="U20" s="9">
        <v>688.70799999999997</v>
      </c>
      <c r="V20" s="11">
        <v>538.70799999999997</v>
      </c>
      <c r="W20" s="11">
        <v>665.10711800000001</v>
      </c>
      <c r="X20" s="11">
        <v>0.873</v>
      </c>
      <c r="Y20" s="266"/>
      <c r="Z20" s="24">
        <v>512</v>
      </c>
      <c r="AA20" s="28" t="s">
        <v>1170</v>
      </c>
      <c r="AB20" s="11">
        <v>6900</v>
      </c>
      <c r="AC20" s="9">
        <v>1374.095</v>
      </c>
      <c r="AD20" s="11">
        <v>0</v>
      </c>
      <c r="AE20" s="11">
        <v>5525.9049999999997</v>
      </c>
      <c r="AF20" s="11">
        <v>3.6110000000000002</v>
      </c>
      <c r="AG20" s="272"/>
      <c r="AH20" s="24">
        <v>703</v>
      </c>
      <c r="AI20" s="28" t="s">
        <v>1232</v>
      </c>
      <c r="AJ20" s="11">
        <v>15500</v>
      </c>
      <c r="AK20" s="9">
        <v>1719.3489999999999</v>
      </c>
      <c r="AL20" s="11">
        <v>219.34899999999999</v>
      </c>
      <c r="AM20" s="11">
        <v>13780.651</v>
      </c>
      <c r="AN20" s="11">
        <v>-0.95899999999999996</v>
      </c>
    </row>
    <row r="21" spans="1:40" ht="11.65" customHeight="1">
      <c r="A21" s="265"/>
      <c r="B21" s="24" t="s">
        <v>1198</v>
      </c>
      <c r="C21" s="25" t="s">
        <v>968</v>
      </c>
      <c r="D21" s="24">
        <v>82700</v>
      </c>
      <c r="E21" s="9">
        <v>65194.502</v>
      </c>
      <c r="F21" s="11">
        <v>53874.502</v>
      </c>
      <c r="G21" s="11">
        <v>17505.498</v>
      </c>
      <c r="H21" s="11">
        <v>5.8079999999999998</v>
      </c>
      <c r="I21" s="266"/>
      <c r="J21" s="24">
        <v>232</v>
      </c>
      <c r="K21" s="28" t="s">
        <v>1218</v>
      </c>
      <c r="L21" s="11">
        <v>3416.2638999999999</v>
      </c>
      <c r="M21" s="9">
        <v>1432.66</v>
      </c>
      <c r="N21" s="11">
        <v>892.66</v>
      </c>
      <c r="O21" s="11">
        <v>1983.6039000000001</v>
      </c>
      <c r="P21" s="11">
        <v>-335.46899999999999</v>
      </c>
      <c r="Q21" s="266"/>
      <c r="R21" s="24">
        <v>312</v>
      </c>
      <c r="S21" s="25" t="s">
        <v>280</v>
      </c>
      <c r="T21" s="11">
        <v>1351.256654</v>
      </c>
      <c r="U21" s="9">
        <v>929.21600000000001</v>
      </c>
      <c r="V21" s="11">
        <v>779.21600000000001</v>
      </c>
      <c r="W21" s="11">
        <v>422.04065400000002</v>
      </c>
      <c r="X21" s="11">
        <v>4.1710000000000003</v>
      </c>
      <c r="Y21" s="266"/>
      <c r="Z21" s="24">
        <v>513</v>
      </c>
      <c r="AA21" s="28" t="s">
        <v>1170</v>
      </c>
      <c r="AB21" s="11">
        <v>6900</v>
      </c>
      <c r="AC21" s="9">
        <v>1322.6579999999999</v>
      </c>
      <c r="AD21" s="11">
        <v>0</v>
      </c>
      <c r="AE21" s="11">
        <v>5577.3419999999996</v>
      </c>
      <c r="AF21" s="11">
        <v>1.383</v>
      </c>
      <c r="AG21" s="272"/>
      <c r="AH21" s="24">
        <v>704</v>
      </c>
      <c r="AI21" s="28" t="s">
        <v>1231</v>
      </c>
      <c r="AJ21" s="11">
        <v>15500</v>
      </c>
      <c r="AK21" s="9">
        <v>1824.827</v>
      </c>
      <c r="AL21" s="11">
        <v>324.827</v>
      </c>
      <c r="AM21" s="11">
        <v>13675.173000000001</v>
      </c>
      <c r="AN21" s="11">
        <v>3.4119999999999999</v>
      </c>
    </row>
    <row r="22" spans="1:40" ht="11.65" customHeight="1">
      <c r="A22" s="265"/>
      <c r="B22" s="24" t="s">
        <v>1201</v>
      </c>
      <c r="C22" s="25" t="s">
        <v>1038</v>
      </c>
      <c r="D22" s="24">
        <v>82700</v>
      </c>
      <c r="E22" s="9">
        <v>48412.197999999997</v>
      </c>
      <c r="F22" s="11">
        <v>37092.197999999997</v>
      </c>
      <c r="G22" s="11">
        <v>34287.802000000003</v>
      </c>
      <c r="H22" s="11">
        <v>-0.5</v>
      </c>
      <c r="I22" s="266"/>
      <c r="J22" s="24">
        <v>233</v>
      </c>
      <c r="K22" s="28" t="s">
        <v>1182</v>
      </c>
      <c r="L22" s="11">
        <v>3417.596</v>
      </c>
      <c r="M22" s="9">
        <v>22.678999999999998</v>
      </c>
      <c r="N22" s="11">
        <v>0</v>
      </c>
      <c r="O22" s="11">
        <v>3394.9169999999999</v>
      </c>
      <c r="P22" s="11">
        <v>0</v>
      </c>
      <c r="Q22" s="266"/>
      <c r="R22" s="24">
        <v>313</v>
      </c>
      <c r="S22" s="28" t="s">
        <v>1187</v>
      </c>
      <c r="T22" s="11">
        <v>1443.578166</v>
      </c>
      <c r="U22" s="9">
        <v>1047.751</v>
      </c>
      <c r="V22" s="11">
        <v>897.75099999999998</v>
      </c>
      <c r="W22" s="11">
        <v>395.82716599999998</v>
      </c>
      <c r="X22" s="11">
        <v>1.8049999999999999</v>
      </c>
      <c r="Y22" s="266"/>
      <c r="Z22" s="24">
        <v>514</v>
      </c>
      <c r="AA22" s="28" t="s">
        <v>1160</v>
      </c>
      <c r="AB22" s="11">
        <v>6900</v>
      </c>
      <c r="AC22" s="9">
        <v>1319.9590000000001</v>
      </c>
      <c r="AD22" s="11">
        <v>0</v>
      </c>
      <c r="AE22" s="11">
        <v>5580.0410000000002</v>
      </c>
      <c r="AF22" s="11">
        <v>4.7069999999999999</v>
      </c>
      <c r="AG22" s="272"/>
      <c r="AH22" s="24">
        <v>705</v>
      </c>
      <c r="AI22" s="28" t="s">
        <v>1177</v>
      </c>
      <c r="AJ22" s="11">
        <v>15500</v>
      </c>
      <c r="AK22" s="9">
        <v>7726.5450000000001</v>
      </c>
      <c r="AL22" s="11">
        <v>6226.5450000000001</v>
      </c>
      <c r="AM22" s="11">
        <v>7773.4549999999999</v>
      </c>
      <c r="AN22" s="11">
        <v>-1093.383</v>
      </c>
    </row>
    <row r="23" spans="1:40" ht="11.65" customHeight="1">
      <c r="A23" s="265"/>
      <c r="B23" s="24" t="s">
        <v>1204</v>
      </c>
      <c r="C23" s="25" t="s">
        <v>1061</v>
      </c>
      <c r="D23" s="24">
        <v>82700</v>
      </c>
      <c r="E23" s="9">
        <v>11538.401</v>
      </c>
      <c r="F23" s="11">
        <v>218.40100000000001</v>
      </c>
      <c r="G23" s="11">
        <v>71161.599000000002</v>
      </c>
      <c r="H23" s="11">
        <v>0</v>
      </c>
      <c r="I23" s="266"/>
      <c r="J23" s="24">
        <v>234</v>
      </c>
      <c r="K23" s="25" t="s">
        <v>247</v>
      </c>
      <c r="L23" s="11">
        <v>4000</v>
      </c>
      <c r="M23" s="9">
        <v>755.327</v>
      </c>
      <c r="N23" s="11">
        <v>185.327</v>
      </c>
      <c r="O23" s="11">
        <v>3244.6729999999998</v>
      </c>
      <c r="P23" s="11">
        <v>-0.154</v>
      </c>
      <c r="Q23" s="266"/>
      <c r="R23" s="24">
        <v>314</v>
      </c>
      <c r="S23" s="28" t="s">
        <v>1188</v>
      </c>
      <c r="T23" s="11">
        <v>1600</v>
      </c>
      <c r="U23" s="9">
        <v>25.456</v>
      </c>
      <c r="V23" s="11">
        <v>0</v>
      </c>
      <c r="W23" s="11">
        <v>1574.5440000000001</v>
      </c>
      <c r="X23" s="11">
        <v>0</v>
      </c>
      <c r="Y23" s="266"/>
      <c r="Z23" s="24">
        <v>515</v>
      </c>
      <c r="AA23" s="28" t="s">
        <v>1174</v>
      </c>
      <c r="AB23" s="11">
        <v>6900</v>
      </c>
      <c r="AC23" s="9">
        <v>1697.085</v>
      </c>
      <c r="AD23" s="11">
        <v>297.08499999999998</v>
      </c>
      <c r="AE23" s="11">
        <v>5202.915</v>
      </c>
      <c r="AF23" s="11">
        <v>-6.0069999999999997</v>
      </c>
      <c r="AG23" s="272"/>
      <c r="AH23" s="24">
        <v>706</v>
      </c>
      <c r="AI23" s="28" t="s">
        <v>1177</v>
      </c>
      <c r="AJ23" s="11">
        <v>15500</v>
      </c>
      <c r="AK23" s="9">
        <v>13462.412</v>
      </c>
      <c r="AL23" s="11">
        <v>11962.412</v>
      </c>
      <c r="AM23" s="11">
        <v>2037.588</v>
      </c>
      <c r="AN23" s="11">
        <v>-15.221</v>
      </c>
    </row>
    <row r="24" spans="1:40" ht="11.65" customHeight="1">
      <c r="A24" s="265"/>
      <c r="B24" s="27" t="s">
        <v>1207</v>
      </c>
      <c r="C24" s="25"/>
      <c r="D24" s="24"/>
      <c r="E24" s="9"/>
      <c r="F24" s="11"/>
      <c r="G24" s="11"/>
      <c r="H24" s="11"/>
      <c r="I24" s="266" t="s">
        <v>1222</v>
      </c>
      <c r="J24" s="24">
        <v>235</v>
      </c>
      <c r="K24" s="25" t="s">
        <v>292</v>
      </c>
      <c r="L24" s="11">
        <v>4200</v>
      </c>
      <c r="M24" s="9">
        <v>3609.8609999999999</v>
      </c>
      <c r="N24" s="11">
        <v>3009.8609999999999</v>
      </c>
      <c r="O24" s="11">
        <v>590.13900000000001</v>
      </c>
      <c r="P24" s="11">
        <v>-0.57599999999999996</v>
      </c>
      <c r="Q24" s="266"/>
      <c r="R24" s="24">
        <v>315</v>
      </c>
      <c r="S24" s="28" t="s">
        <v>648</v>
      </c>
      <c r="T24" s="11">
        <v>1437.142513</v>
      </c>
      <c r="U24" s="9">
        <v>367.10300000000001</v>
      </c>
      <c r="V24" s="11">
        <v>217.10300000000001</v>
      </c>
      <c r="W24" s="11">
        <v>1070.0395129999999</v>
      </c>
      <c r="X24" s="11">
        <v>0.67100000000000004</v>
      </c>
      <c r="Y24" s="266"/>
      <c r="Z24" s="24">
        <v>516</v>
      </c>
      <c r="AA24" s="28" t="s">
        <v>1160</v>
      </c>
      <c r="AB24" s="11">
        <v>6900</v>
      </c>
      <c r="AC24" s="9">
        <v>1352.9690000000001</v>
      </c>
      <c r="AD24" s="11">
        <v>0</v>
      </c>
      <c r="AE24" s="11">
        <v>5547.0309999999999</v>
      </c>
      <c r="AF24" s="11">
        <v>9.1300000000000008</v>
      </c>
      <c r="AG24" s="272"/>
      <c r="AH24" s="24">
        <v>707</v>
      </c>
      <c r="AI24" s="28" t="s">
        <v>1230</v>
      </c>
      <c r="AJ24" s="11">
        <v>15500</v>
      </c>
      <c r="AK24" s="9">
        <v>1695.9469999999999</v>
      </c>
      <c r="AL24" s="11">
        <v>195.947</v>
      </c>
      <c r="AM24" s="11">
        <v>13804.053</v>
      </c>
      <c r="AN24" s="11">
        <v>7.7839999999999998</v>
      </c>
    </row>
    <row r="25" spans="1:40" ht="11.65" customHeight="1">
      <c r="A25" s="265" t="s">
        <v>1262</v>
      </c>
      <c r="B25" s="24">
        <v>101</v>
      </c>
      <c r="C25" s="24" t="s">
        <v>1056</v>
      </c>
      <c r="D25" s="24">
        <v>15000</v>
      </c>
      <c r="E25" s="9">
        <v>701.94</v>
      </c>
      <c r="F25" s="11">
        <v>0</v>
      </c>
      <c r="G25" s="11">
        <v>14298.06</v>
      </c>
      <c r="H25" s="11">
        <v>0</v>
      </c>
      <c r="I25" s="266"/>
      <c r="J25" s="24">
        <v>236</v>
      </c>
      <c r="K25" s="25" t="s">
        <v>292</v>
      </c>
      <c r="L25" s="11">
        <v>4200</v>
      </c>
      <c r="M25" s="9">
        <v>2413.3389999999999</v>
      </c>
      <c r="N25" s="11">
        <v>1813.3389999999999</v>
      </c>
      <c r="O25" s="11">
        <v>1786.6610000000001</v>
      </c>
      <c r="P25" s="11">
        <v>1649.9949999999999</v>
      </c>
      <c r="Q25" s="266"/>
      <c r="R25" s="24">
        <v>316</v>
      </c>
      <c r="S25" s="28" t="s">
        <v>1187</v>
      </c>
      <c r="T25" s="11">
        <v>1444.0555899999999</v>
      </c>
      <c r="U25" s="9">
        <v>7.6029999999999998</v>
      </c>
      <c r="V25" s="11">
        <v>0</v>
      </c>
      <c r="W25" s="11">
        <v>1436.4525900000001</v>
      </c>
      <c r="X25" s="11">
        <v>-3.5000000000000003E-2</v>
      </c>
      <c r="Y25" s="266" t="s">
        <v>1178</v>
      </c>
      <c r="Z25" s="24">
        <v>531</v>
      </c>
      <c r="AA25" s="25" t="s">
        <v>1179</v>
      </c>
      <c r="AB25" s="11">
        <v>3600</v>
      </c>
      <c r="AC25" s="9">
        <v>980.89300000000003</v>
      </c>
      <c r="AD25" s="11">
        <v>330.89299999999997</v>
      </c>
      <c r="AE25" s="11">
        <v>2619.107</v>
      </c>
      <c r="AF25" s="11">
        <v>-0.69699999999999995</v>
      </c>
      <c r="AG25" s="272"/>
      <c r="AH25" s="24">
        <v>708</v>
      </c>
      <c r="AI25" s="28" t="s">
        <v>1231</v>
      </c>
      <c r="AJ25" s="11">
        <v>15500</v>
      </c>
      <c r="AK25" s="9">
        <v>1714.2139999999999</v>
      </c>
      <c r="AL25" s="11">
        <v>214.214</v>
      </c>
      <c r="AM25" s="11">
        <v>13785.786</v>
      </c>
      <c r="AN25" s="11">
        <v>-1.7829999999999999</v>
      </c>
    </row>
    <row r="26" spans="1:40" ht="11.65" customHeight="1">
      <c r="A26" s="265"/>
      <c r="B26" s="24">
        <v>102</v>
      </c>
      <c r="C26" s="24"/>
      <c r="D26" s="24">
        <v>15000</v>
      </c>
      <c r="E26" s="9">
        <v>0</v>
      </c>
      <c r="F26" s="11">
        <v>0</v>
      </c>
      <c r="G26" s="11">
        <v>15000</v>
      </c>
      <c r="H26" s="11">
        <v>0</v>
      </c>
      <c r="I26" s="266"/>
      <c r="J26" s="24">
        <v>237</v>
      </c>
      <c r="K26" s="28" t="s">
        <v>992</v>
      </c>
      <c r="L26" s="11">
        <v>4500</v>
      </c>
      <c r="M26" s="9">
        <v>2008.789</v>
      </c>
      <c r="N26" s="11">
        <v>1328.789</v>
      </c>
      <c r="O26" s="11">
        <v>2491.2109999999998</v>
      </c>
      <c r="P26" s="11">
        <v>-514.56299999999999</v>
      </c>
      <c r="Q26" s="266"/>
      <c r="R26" s="24">
        <v>317</v>
      </c>
      <c r="S26" s="28" t="s">
        <v>1188</v>
      </c>
      <c r="T26" s="11">
        <v>1444.380441</v>
      </c>
      <c r="U26" s="9">
        <v>1392.559</v>
      </c>
      <c r="V26" s="11">
        <v>1242.559</v>
      </c>
      <c r="W26" s="11">
        <v>51.821441</v>
      </c>
      <c r="X26" s="11">
        <v>0</v>
      </c>
      <c r="Y26" s="266"/>
      <c r="Z26" s="24">
        <v>532</v>
      </c>
      <c r="AA26" s="25" t="s">
        <v>1182</v>
      </c>
      <c r="AB26" s="11">
        <v>3600</v>
      </c>
      <c r="AC26" s="9">
        <v>924.197</v>
      </c>
      <c r="AD26" s="11">
        <v>274.197</v>
      </c>
      <c r="AE26" s="11">
        <v>2675.8029999999999</v>
      </c>
      <c r="AF26" s="11">
        <v>-0.497</v>
      </c>
      <c r="AG26" s="272"/>
      <c r="AH26" s="24">
        <v>709</v>
      </c>
      <c r="AI26" s="28" t="s">
        <v>1239</v>
      </c>
      <c r="AJ26" s="11">
        <v>15500</v>
      </c>
      <c r="AK26" s="9">
        <v>2534.7249999999999</v>
      </c>
      <c r="AL26" s="11">
        <v>1034.7249999999999</v>
      </c>
      <c r="AM26" s="11">
        <v>12965.275</v>
      </c>
      <c r="AN26" s="11">
        <v>-5.1710000000000003</v>
      </c>
    </row>
    <row r="27" spans="1:40" ht="11.65" customHeight="1">
      <c r="A27" s="265"/>
      <c r="B27" s="24">
        <v>103</v>
      </c>
      <c r="C27" s="24"/>
      <c r="D27" s="24">
        <v>15000</v>
      </c>
      <c r="E27" s="9">
        <v>0</v>
      </c>
      <c r="F27" s="11">
        <v>0</v>
      </c>
      <c r="G27" s="11">
        <v>15000</v>
      </c>
      <c r="H27" s="11">
        <v>0</v>
      </c>
      <c r="I27" s="266"/>
      <c r="J27" s="24">
        <v>238</v>
      </c>
      <c r="K27" s="28" t="s">
        <v>1263</v>
      </c>
      <c r="L27" s="11">
        <v>4500</v>
      </c>
      <c r="M27" s="9">
        <v>1600.5619999999999</v>
      </c>
      <c r="N27" s="11">
        <v>930.56200000000001</v>
      </c>
      <c r="O27" s="11">
        <v>2899.4380000000001</v>
      </c>
      <c r="P27" s="11">
        <v>139.983</v>
      </c>
      <c r="Q27" s="266"/>
      <c r="R27" s="24">
        <v>318</v>
      </c>
      <c r="S27" s="25" t="s">
        <v>1194</v>
      </c>
      <c r="T27" s="11">
        <v>1350</v>
      </c>
      <c r="U27" s="9">
        <v>45.725000000000001</v>
      </c>
      <c r="V27" s="11">
        <v>0</v>
      </c>
      <c r="W27" s="11">
        <v>1304.2750000000001</v>
      </c>
      <c r="X27" s="11">
        <v>5.7000000000000002E-2</v>
      </c>
      <c r="Y27" s="266"/>
      <c r="Z27" s="24">
        <v>533</v>
      </c>
      <c r="AA27" s="25" t="s">
        <v>1179</v>
      </c>
      <c r="AB27" s="11">
        <v>3600</v>
      </c>
      <c r="AC27" s="9">
        <v>710.70799999999997</v>
      </c>
      <c r="AD27" s="11">
        <v>60.707999999999998</v>
      </c>
      <c r="AE27" s="11">
        <v>2889.2919999999999</v>
      </c>
      <c r="AF27" s="11">
        <v>0</v>
      </c>
      <c r="AG27" s="272"/>
      <c r="AH27" s="24">
        <v>710</v>
      </c>
      <c r="AI27" s="28" t="s">
        <v>1230</v>
      </c>
      <c r="AJ27" s="11">
        <v>15500</v>
      </c>
      <c r="AK27" s="9">
        <v>1921.2249999999999</v>
      </c>
      <c r="AL27" s="11">
        <v>421.22500000000002</v>
      </c>
      <c r="AM27" s="11">
        <v>13578.775</v>
      </c>
      <c r="AN27" s="11">
        <v>1.252</v>
      </c>
    </row>
    <row r="28" spans="1:40" ht="11.65" customHeight="1">
      <c r="A28" s="265"/>
      <c r="B28" s="24">
        <v>104</v>
      </c>
      <c r="C28" s="24"/>
      <c r="D28" s="24">
        <v>15000</v>
      </c>
      <c r="E28" s="9">
        <v>0</v>
      </c>
      <c r="F28" s="11">
        <v>0</v>
      </c>
      <c r="G28" s="11">
        <v>15000</v>
      </c>
      <c r="H28" s="11">
        <v>0</v>
      </c>
      <c r="I28" s="266"/>
      <c r="J28" s="24">
        <v>239</v>
      </c>
      <c r="K28" s="25" t="s">
        <v>182</v>
      </c>
      <c r="L28" s="11">
        <v>4500</v>
      </c>
      <c r="M28" s="9">
        <v>2821.107</v>
      </c>
      <c r="N28" s="11">
        <v>2141.107</v>
      </c>
      <c r="O28" s="11">
        <v>1678.893</v>
      </c>
      <c r="P28" s="11">
        <v>-1323.4</v>
      </c>
      <c r="Q28" s="266"/>
      <c r="R28" s="24">
        <v>319</v>
      </c>
      <c r="S28" s="25" t="s">
        <v>1194</v>
      </c>
      <c r="T28" s="11">
        <v>1350</v>
      </c>
      <c r="U28" s="9">
        <v>917.73699999999997</v>
      </c>
      <c r="V28" s="11">
        <v>767.73699999999997</v>
      </c>
      <c r="W28" s="11">
        <v>432.26299999999998</v>
      </c>
      <c r="X28" s="11">
        <v>-9.86</v>
      </c>
      <c r="Y28" s="266"/>
      <c r="Z28" s="24">
        <v>534</v>
      </c>
      <c r="AA28" s="25" t="s">
        <v>658</v>
      </c>
      <c r="AB28" s="11">
        <v>3600</v>
      </c>
      <c r="AC28" s="9">
        <v>1686.306</v>
      </c>
      <c r="AD28" s="11">
        <v>1036.306</v>
      </c>
      <c r="AE28" s="11">
        <v>1913.694</v>
      </c>
      <c r="AF28" s="11">
        <v>-0.78200000000000003</v>
      </c>
      <c r="AG28" s="272"/>
      <c r="AH28" s="24">
        <v>711</v>
      </c>
      <c r="AI28" s="28" t="s">
        <v>1241</v>
      </c>
      <c r="AJ28" s="11">
        <v>15000</v>
      </c>
      <c r="AK28" s="9">
        <v>540.31299999999999</v>
      </c>
      <c r="AL28" s="11">
        <v>0</v>
      </c>
      <c r="AM28" s="11">
        <v>14459.687</v>
      </c>
      <c r="AN28" s="11">
        <v>-4.3999999999999997E-2</v>
      </c>
    </row>
    <row r="29" spans="1:40" ht="11.65" customHeight="1">
      <c r="A29" s="265"/>
      <c r="B29" s="24">
        <v>301</v>
      </c>
      <c r="C29" s="24" t="s">
        <v>1053</v>
      </c>
      <c r="D29" s="24">
        <v>15000</v>
      </c>
      <c r="E29" s="9">
        <v>3189.181</v>
      </c>
      <c r="F29" s="11">
        <v>789.18100000000004</v>
      </c>
      <c r="G29" s="11">
        <v>11810.819</v>
      </c>
      <c r="H29" s="11">
        <v>0</v>
      </c>
      <c r="I29" s="266"/>
      <c r="J29" s="24">
        <v>240</v>
      </c>
      <c r="K29" s="25" t="s">
        <v>182</v>
      </c>
      <c r="L29" s="11">
        <v>4500</v>
      </c>
      <c r="M29" s="9">
        <v>3794.5</v>
      </c>
      <c r="N29" s="11">
        <v>3114.5</v>
      </c>
      <c r="O29" s="11">
        <v>705.5</v>
      </c>
      <c r="P29" s="11">
        <v>2622.22</v>
      </c>
      <c r="Q29" s="266"/>
      <c r="R29" s="24">
        <v>320</v>
      </c>
      <c r="S29" s="25" t="s">
        <v>1199</v>
      </c>
      <c r="T29" s="11">
        <v>1400</v>
      </c>
      <c r="U29" s="9">
        <v>466.61399999999998</v>
      </c>
      <c r="V29" s="11">
        <v>316.61399999999998</v>
      </c>
      <c r="W29" s="11">
        <v>933.38599999999997</v>
      </c>
      <c r="X29" s="11">
        <v>-342.33300000000003</v>
      </c>
      <c r="Y29" s="266"/>
      <c r="Z29" s="24">
        <v>535</v>
      </c>
      <c r="AA29" s="28" t="s">
        <v>1174</v>
      </c>
      <c r="AB29" s="11">
        <v>3400</v>
      </c>
      <c r="AC29" s="9">
        <v>3327.5120000000002</v>
      </c>
      <c r="AD29" s="11">
        <v>2527.5120000000002</v>
      </c>
      <c r="AE29" s="11">
        <v>72.488</v>
      </c>
      <c r="AF29" s="11">
        <v>2585.37</v>
      </c>
      <c r="AG29" s="272"/>
      <c r="AH29" s="24">
        <v>712</v>
      </c>
      <c r="AI29" s="28" t="s">
        <v>1242</v>
      </c>
      <c r="AJ29" s="11">
        <v>15000</v>
      </c>
      <c r="AK29" s="9">
        <v>4162.5820000000003</v>
      </c>
      <c r="AL29" s="11">
        <v>2862.5819999999999</v>
      </c>
      <c r="AM29" s="11">
        <v>10837.418</v>
      </c>
      <c r="AN29" s="11">
        <v>1320.982</v>
      </c>
    </row>
    <row r="30" spans="1:40" ht="11.65" customHeight="1">
      <c r="A30" s="265"/>
      <c r="B30" s="24">
        <v>302</v>
      </c>
      <c r="C30" s="24" t="s">
        <v>969</v>
      </c>
      <c r="D30" s="24">
        <v>15000</v>
      </c>
      <c r="E30" s="9">
        <v>9817.1360000000004</v>
      </c>
      <c r="F30" s="11">
        <v>7417.1360000000004</v>
      </c>
      <c r="G30" s="11">
        <v>5182.8639999999996</v>
      </c>
      <c r="H30" s="11">
        <v>0</v>
      </c>
      <c r="I30" s="266"/>
      <c r="J30" s="24">
        <v>241</v>
      </c>
      <c r="K30" s="25" t="s">
        <v>182</v>
      </c>
      <c r="L30" s="11">
        <v>4500</v>
      </c>
      <c r="M30" s="9">
        <v>959.24800000000005</v>
      </c>
      <c r="N30" s="11">
        <v>289.24799999999999</v>
      </c>
      <c r="O30" s="11">
        <v>3540.752</v>
      </c>
      <c r="P30" s="11">
        <v>-0.94099999999999995</v>
      </c>
      <c r="Q30" s="266"/>
      <c r="R30" s="24">
        <v>321</v>
      </c>
      <c r="S30" s="25" t="s">
        <v>1203</v>
      </c>
      <c r="T30" s="11">
        <v>1400</v>
      </c>
      <c r="U30" s="9">
        <v>613.95699999999999</v>
      </c>
      <c r="V30" s="11">
        <v>463.95699999999999</v>
      </c>
      <c r="W30" s="11">
        <v>786.04300000000001</v>
      </c>
      <c r="X30" s="11">
        <v>-7.2999999999999995E-2</v>
      </c>
      <c r="Y30" s="266"/>
      <c r="Z30" s="24">
        <v>536</v>
      </c>
      <c r="AA30" s="28" t="s">
        <v>1163</v>
      </c>
      <c r="AB30" s="11">
        <v>3400</v>
      </c>
      <c r="AC30" s="9">
        <v>2855.212</v>
      </c>
      <c r="AD30" s="11">
        <v>2055.212</v>
      </c>
      <c r="AE30" s="11">
        <v>544.78800000000001</v>
      </c>
      <c r="AF30" s="11">
        <v>-306.49700000000001</v>
      </c>
      <c r="AG30" s="272" t="s">
        <v>1264</v>
      </c>
      <c r="AH30" s="29">
        <v>919</v>
      </c>
      <c r="AI30" s="34" t="s">
        <v>1184</v>
      </c>
      <c r="AJ30" s="31">
        <v>15500</v>
      </c>
      <c r="AK30" s="32">
        <v>8489.8320000000003</v>
      </c>
      <c r="AL30" s="31">
        <v>6489.8320000000003</v>
      </c>
      <c r="AM30" s="31">
        <v>7010.1679999999997</v>
      </c>
      <c r="AN30" s="11">
        <v>-997.03</v>
      </c>
    </row>
    <row r="31" spans="1:40" ht="11.65" customHeight="1">
      <c r="A31" s="265"/>
      <c r="B31" s="24">
        <v>303</v>
      </c>
      <c r="C31" s="24" t="s">
        <v>1033</v>
      </c>
      <c r="D31" s="24">
        <v>15000</v>
      </c>
      <c r="E31" s="9">
        <v>1313.0540000000001</v>
      </c>
      <c r="F31" s="11">
        <v>0</v>
      </c>
      <c r="G31" s="11">
        <v>13686.946</v>
      </c>
      <c r="H31" s="11">
        <v>-1853.577</v>
      </c>
      <c r="I31" s="266"/>
      <c r="J31" s="24">
        <v>242</v>
      </c>
      <c r="K31" s="25" t="s">
        <v>193</v>
      </c>
      <c r="L31" s="11">
        <v>4100</v>
      </c>
      <c r="M31" s="9">
        <v>1562.463</v>
      </c>
      <c r="N31" s="11">
        <v>892.46299999999997</v>
      </c>
      <c r="O31" s="11">
        <v>2537.5369999999998</v>
      </c>
      <c r="P31" s="11">
        <v>186.77</v>
      </c>
      <c r="Q31" s="266" t="s">
        <v>1205</v>
      </c>
      <c r="R31" s="24">
        <v>331</v>
      </c>
      <c r="S31" s="25" t="s">
        <v>1206</v>
      </c>
      <c r="T31" s="11">
        <v>1900</v>
      </c>
      <c r="U31" s="9">
        <v>12.314</v>
      </c>
      <c r="V31" s="11">
        <v>0</v>
      </c>
      <c r="W31" s="11">
        <v>1887.6859999999999</v>
      </c>
      <c r="X31" s="11">
        <v>0</v>
      </c>
      <c r="Y31" s="266"/>
      <c r="Z31" s="24">
        <v>537</v>
      </c>
      <c r="AA31" s="28" t="s">
        <v>1163</v>
      </c>
      <c r="AB31" s="11">
        <v>3400</v>
      </c>
      <c r="AC31" s="9">
        <v>3344.2379999999998</v>
      </c>
      <c r="AD31" s="11">
        <v>2544.2379999999998</v>
      </c>
      <c r="AE31" s="11">
        <v>55.762</v>
      </c>
      <c r="AF31" s="11">
        <v>-27.663</v>
      </c>
      <c r="AG31" s="272"/>
      <c r="AH31" s="29">
        <v>920</v>
      </c>
      <c r="AI31" s="34" t="s">
        <v>1239</v>
      </c>
      <c r="AJ31" s="31">
        <v>15500</v>
      </c>
      <c r="AK31" s="32">
        <v>1966.848</v>
      </c>
      <c r="AL31" s="31">
        <v>0</v>
      </c>
      <c r="AM31" s="31">
        <v>13533.152</v>
      </c>
      <c r="AN31" s="11">
        <v>-1.782</v>
      </c>
    </row>
    <row r="32" spans="1:40" ht="11.65" customHeight="1">
      <c r="A32" s="265"/>
      <c r="B32" s="24">
        <v>304</v>
      </c>
      <c r="C32" s="24" t="s">
        <v>1053</v>
      </c>
      <c r="D32" s="24">
        <v>15000</v>
      </c>
      <c r="E32" s="9">
        <v>5994.8010000000004</v>
      </c>
      <c r="F32" s="11">
        <v>3594.8009999999999</v>
      </c>
      <c r="G32" s="11">
        <v>9005.1990000000005</v>
      </c>
      <c r="H32" s="11">
        <v>3211.9839999999999</v>
      </c>
      <c r="I32" s="266"/>
      <c r="J32" s="24">
        <v>243</v>
      </c>
      <c r="K32" s="25" t="s">
        <v>193</v>
      </c>
      <c r="L32" s="11">
        <v>4100</v>
      </c>
      <c r="M32" s="9">
        <v>2750.9110000000001</v>
      </c>
      <c r="N32" s="11">
        <v>2080.9110000000001</v>
      </c>
      <c r="O32" s="11">
        <v>1349.0889999999999</v>
      </c>
      <c r="P32" s="11">
        <v>-1072.04</v>
      </c>
      <c r="Q32" s="266"/>
      <c r="R32" s="24">
        <v>332</v>
      </c>
      <c r="S32" s="25" t="s">
        <v>1206</v>
      </c>
      <c r="T32" s="11">
        <v>1900</v>
      </c>
      <c r="U32" s="9">
        <v>269.35599999999999</v>
      </c>
      <c r="V32" s="11">
        <v>119.35599999999999</v>
      </c>
      <c r="W32" s="11">
        <v>1630.644</v>
      </c>
      <c r="X32" s="11">
        <v>50.789000000000001</v>
      </c>
      <c r="Y32" s="266"/>
      <c r="Z32" s="24">
        <v>538</v>
      </c>
      <c r="AA32" s="28" t="s">
        <v>1174</v>
      </c>
      <c r="AB32" s="11">
        <v>3400</v>
      </c>
      <c r="AC32" s="9">
        <v>3423.3879999999999</v>
      </c>
      <c r="AD32" s="11">
        <v>2623.3879999999999</v>
      </c>
      <c r="AE32" s="11">
        <v>-23.388000000000002</v>
      </c>
      <c r="AF32" s="11">
        <v>2509.2420000000002</v>
      </c>
      <c r="AG32" s="272"/>
      <c r="AH32" s="29">
        <v>921</v>
      </c>
      <c r="AI32" s="34" t="s">
        <v>1239</v>
      </c>
      <c r="AJ32" s="31">
        <v>15500</v>
      </c>
      <c r="AK32" s="32">
        <v>1989.78</v>
      </c>
      <c r="AL32" s="31">
        <v>0</v>
      </c>
      <c r="AM32" s="31">
        <v>13510.22</v>
      </c>
      <c r="AN32" s="11">
        <v>-62.338999999999999</v>
      </c>
    </row>
    <row r="33" spans="1:40" ht="11.65" customHeight="1">
      <c r="A33" s="265" t="s">
        <v>1265</v>
      </c>
      <c r="B33" s="24">
        <v>101</v>
      </c>
      <c r="C33" s="24"/>
      <c r="D33" s="24">
        <v>32000</v>
      </c>
      <c r="E33" s="9">
        <v>0</v>
      </c>
      <c r="F33" s="11">
        <v>0</v>
      </c>
      <c r="G33" s="11">
        <v>32000</v>
      </c>
      <c r="H33" s="11">
        <v>0</v>
      </c>
      <c r="I33" s="266"/>
      <c r="J33" s="24">
        <v>244</v>
      </c>
      <c r="K33" s="25" t="s">
        <v>193</v>
      </c>
      <c r="L33" s="11">
        <v>4100</v>
      </c>
      <c r="M33" s="9">
        <v>3890.4969999999998</v>
      </c>
      <c r="N33" s="11">
        <v>3220.4969999999998</v>
      </c>
      <c r="O33" s="11">
        <v>209.50299999999999</v>
      </c>
      <c r="P33" s="11">
        <v>2410.723</v>
      </c>
      <c r="Q33" s="266"/>
      <c r="R33" s="24">
        <v>333</v>
      </c>
      <c r="S33" s="25" t="s">
        <v>642</v>
      </c>
      <c r="T33" s="11">
        <v>1900</v>
      </c>
      <c r="U33" s="9">
        <v>507.33800000000002</v>
      </c>
      <c r="V33" s="11">
        <v>357.33800000000002</v>
      </c>
      <c r="W33" s="11">
        <v>1392.662</v>
      </c>
      <c r="X33" s="11">
        <v>125.124</v>
      </c>
      <c r="Y33" s="266"/>
      <c r="Z33" s="24">
        <v>539</v>
      </c>
      <c r="AA33" s="28" t="s">
        <v>1192</v>
      </c>
      <c r="AB33" s="11">
        <v>3400</v>
      </c>
      <c r="AC33" s="9">
        <v>3407.4189999999999</v>
      </c>
      <c r="AD33" s="11">
        <v>2607.4189999999999</v>
      </c>
      <c r="AE33" s="11">
        <v>-7.4189999999999996</v>
      </c>
      <c r="AF33" s="11">
        <v>-5.7649999999999997</v>
      </c>
      <c r="AG33" s="272"/>
      <c r="AH33" s="29">
        <v>922</v>
      </c>
      <c r="AI33" s="34" t="s">
        <v>1239</v>
      </c>
      <c r="AJ33" s="31">
        <v>15500</v>
      </c>
      <c r="AK33" s="32">
        <v>1944.412</v>
      </c>
      <c r="AL33" s="31">
        <v>0</v>
      </c>
      <c r="AM33" s="31">
        <v>13555.588</v>
      </c>
      <c r="AN33" s="11">
        <v>-65.061999999999998</v>
      </c>
    </row>
    <row r="34" spans="1:40" ht="11.65" customHeight="1">
      <c r="A34" s="265"/>
      <c r="B34" s="24">
        <v>102</v>
      </c>
      <c r="C34" s="24" t="s">
        <v>899</v>
      </c>
      <c r="D34" s="24">
        <v>32000</v>
      </c>
      <c r="E34" s="9">
        <v>29509.388999999999</v>
      </c>
      <c r="F34" s="11">
        <v>25509.388999999999</v>
      </c>
      <c r="G34" s="11">
        <v>2490.6109999999999</v>
      </c>
      <c r="H34" s="11">
        <v>19906.543000000001</v>
      </c>
      <c r="I34" s="266"/>
      <c r="J34" s="24">
        <v>245</v>
      </c>
      <c r="K34" s="25" t="s">
        <v>202</v>
      </c>
      <c r="L34" s="11">
        <v>4000</v>
      </c>
      <c r="M34" s="9">
        <v>2092.1709999999998</v>
      </c>
      <c r="N34" s="11">
        <v>1502.171</v>
      </c>
      <c r="O34" s="11">
        <v>1907.829</v>
      </c>
      <c r="P34" s="11">
        <v>470.55799999999999</v>
      </c>
      <c r="Q34" s="266"/>
      <c r="R34" s="24">
        <v>334</v>
      </c>
      <c r="S34" s="25" t="s">
        <v>642</v>
      </c>
      <c r="T34" s="11">
        <v>1900</v>
      </c>
      <c r="U34" s="9">
        <v>697.01499999999999</v>
      </c>
      <c r="V34" s="11">
        <v>547.01499999999999</v>
      </c>
      <c r="W34" s="11">
        <v>1202.9849999999999</v>
      </c>
      <c r="X34" s="11">
        <v>-34.856999999999999</v>
      </c>
      <c r="Y34" s="266"/>
      <c r="Z34" s="24">
        <v>540</v>
      </c>
      <c r="AA34" s="28" t="s">
        <v>1192</v>
      </c>
      <c r="AB34" s="11">
        <v>3400</v>
      </c>
      <c r="AC34" s="9">
        <v>1189.1300000000001</v>
      </c>
      <c r="AD34" s="11">
        <v>389.13</v>
      </c>
      <c r="AE34" s="11">
        <v>2210.87</v>
      </c>
      <c r="AF34" s="11">
        <v>-175.018</v>
      </c>
      <c r="AG34" s="272" t="s">
        <v>1162</v>
      </c>
      <c r="AH34" s="24">
        <v>401</v>
      </c>
      <c r="AI34" s="24" t="s">
        <v>1177</v>
      </c>
      <c r="AJ34" s="11">
        <v>7400</v>
      </c>
      <c r="AK34" s="9">
        <v>962.29100000000005</v>
      </c>
      <c r="AL34" s="11">
        <v>342.291</v>
      </c>
      <c r="AM34" s="11">
        <v>6437.7089999999998</v>
      </c>
      <c r="AN34" s="11">
        <v>0</v>
      </c>
    </row>
    <row r="35" spans="1:40" ht="11.65" customHeight="1">
      <c r="A35" s="265"/>
      <c r="B35" s="24">
        <v>103</v>
      </c>
      <c r="C35" s="24" t="s">
        <v>1056</v>
      </c>
      <c r="D35" s="24">
        <v>32000</v>
      </c>
      <c r="E35" s="9">
        <v>14227.679</v>
      </c>
      <c r="F35" s="11">
        <v>10227.679</v>
      </c>
      <c r="G35" s="11">
        <v>17772.321</v>
      </c>
      <c r="H35" s="11">
        <v>0</v>
      </c>
      <c r="I35" s="266"/>
      <c r="J35" s="24">
        <v>246</v>
      </c>
      <c r="K35" s="25" t="s">
        <v>202</v>
      </c>
      <c r="L35" s="11">
        <v>4000</v>
      </c>
      <c r="M35" s="9">
        <v>1035.393</v>
      </c>
      <c r="N35" s="11">
        <v>445.39299999999997</v>
      </c>
      <c r="O35" s="11">
        <v>2964.607</v>
      </c>
      <c r="P35" s="11">
        <v>-736.15300000000002</v>
      </c>
      <c r="Q35" s="266"/>
      <c r="R35" s="24">
        <v>335</v>
      </c>
      <c r="S35" s="25" t="s">
        <v>665</v>
      </c>
      <c r="T35" s="11">
        <v>1900</v>
      </c>
      <c r="U35" s="9">
        <v>1378.326</v>
      </c>
      <c r="V35" s="11">
        <v>1228.326</v>
      </c>
      <c r="W35" s="11">
        <v>521.67399999999998</v>
      </c>
      <c r="X35" s="11">
        <v>-142.31200000000001</v>
      </c>
      <c r="Y35" s="266" t="s">
        <v>1266</v>
      </c>
      <c r="Z35" s="29">
        <v>907</v>
      </c>
      <c r="AA35" s="30" t="s">
        <v>1165</v>
      </c>
      <c r="AB35" s="31">
        <v>13400</v>
      </c>
      <c r="AC35" s="32">
        <v>3355.6210000000001</v>
      </c>
      <c r="AD35" s="31">
        <v>1555.6210000000001</v>
      </c>
      <c r="AE35" s="31">
        <v>10044.379000000001</v>
      </c>
      <c r="AF35" s="11">
        <v>-0.77800000000000002</v>
      </c>
      <c r="AG35" s="272"/>
      <c r="AH35" s="24">
        <v>406</v>
      </c>
      <c r="AI35" s="24" t="s">
        <v>1177</v>
      </c>
      <c r="AJ35" s="11">
        <v>7400</v>
      </c>
      <c r="AK35" s="9">
        <v>864.18200000000002</v>
      </c>
      <c r="AL35" s="11">
        <v>244.18199999999999</v>
      </c>
      <c r="AM35" s="11">
        <v>6535.8180000000002</v>
      </c>
      <c r="AN35" s="11">
        <v>0</v>
      </c>
    </row>
    <row r="36" spans="1:40" ht="11.65" customHeight="1">
      <c r="A36" s="266" t="s">
        <v>1155</v>
      </c>
      <c r="B36" s="24">
        <v>201</v>
      </c>
      <c r="C36" s="25" t="s">
        <v>1156</v>
      </c>
      <c r="D36" s="11">
        <v>9500</v>
      </c>
      <c r="E36" s="9">
        <v>4388.357</v>
      </c>
      <c r="F36" s="11">
        <v>3188.357</v>
      </c>
      <c r="G36" s="11">
        <v>5111.643</v>
      </c>
      <c r="H36" s="11">
        <v>-5.6289999999999996</v>
      </c>
      <c r="I36" s="266" t="s">
        <v>1237</v>
      </c>
      <c r="J36" s="24">
        <v>251</v>
      </c>
      <c r="K36" s="25" t="s">
        <v>1238</v>
      </c>
      <c r="L36" s="11">
        <v>3500</v>
      </c>
      <c r="M36" s="9">
        <v>1239.662</v>
      </c>
      <c r="N36" s="11">
        <v>859.66200000000003</v>
      </c>
      <c r="O36" s="11">
        <v>2260.3380000000002</v>
      </c>
      <c r="P36" s="11">
        <v>0.184</v>
      </c>
      <c r="Q36" s="266"/>
      <c r="R36" s="24">
        <v>336</v>
      </c>
      <c r="S36" s="25" t="s">
        <v>665</v>
      </c>
      <c r="T36" s="11">
        <v>1900</v>
      </c>
      <c r="U36" s="9">
        <v>205.815</v>
      </c>
      <c r="V36" s="11">
        <v>55.814999999999998</v>
      </c>
      <c r="W36" s="11">
        <v>1694.1849999999999</v>
      </c>
      <c r="X36" s="11">
        <v>-654.40300000000002</v>
      </c>
      <c r="Y36" s="266"/>
      <c r="Z36" s="29">
        <v>908</v>
      </c>
      <c r="AA36" s="30" t="s">
        <v>1200</v>
      </c>
      <c r="AB36" s="31">
        <v>13400</v>
      </c>
      <c r="AC36" s="32">
        <v>1782.633</v>
      </c>
      <c r="AD36" s="31">
        <v>0</v>
      </c>
      <c r="AE36" s="31">
        <v>11617.367</v>
      </c>
      <c r="AF36" s="11">
        <v>-0.77800000000000002</v>
      </c>
      <c r="AG36" s="272"/>
      <c r="AH36" s="24">
        <v>407</v>
      </c>
      <c r="AI36" s="24" t="s">
        <v>1177</v>
      </c>
      <c r="AJ36" s="11">
        <v>7400</v>
      </c>
      <c r="AK36" s="9">
        <v>5604.6270000000004</v>
      </c>
      <c r="AL36" s="11">
        <v>4984.6270000000004</v>
      </c>
      <c r="AM36" s="11">
        <v>1795.373</v>
      </c>
      <c r="AN36" s="11">
        <v>0</v>
      </c>
    </row>
    <row r="37" spans="1:40" ht="11.65" customHeight="1">
      <c r="A37" s="266"/>
      <c r="B37" s="26">
        <v>202</v>
      </c>
      <c r="C37" s="25"/>
      <c r="D37" s="11"/>
      <c r="E37" s="9"/>
      <c r="F37" s="11"/>
      <c r="G37" s="11"/>
      <c r="H37" s="11"/>
      <c r="I37" s="266"/>
      <c r="J37" s="24">
        <v>252</v>
      </c>
      <c r="K37" s="25" t="s">
        <v>1238</v>
      </c>
      <c r="L37" s="11">
        <v>3500</v>
      </c>
      <c r="M37" s="9">
        <v>0</v>
      </c>
      <c r="N37" s="11">
        <v>0</v>
      </c>
      <c r="O37" s="11">
        <v>3500</v>
      </c>
      <c r="P37" s="11">
        <v>0</v>
      </c>
      <c r="Q37" s="266"/>
      <c r="R37" s="24">
        <v>337</v>
      </c>
      <c r="S37" s="25" t="s">
        <v>665</v>
      </c>
      <c r="T37" s="11">
        <v>1900</v>
      </c>
      <c r="U37" s="9">
        <v>718.68100000000004</v>
      </c>
      <c r="V37" s="11">
        <v>568.68100000000004</v>
      </c>
      <c r="W37" s="11">
        <v>1181.319</v>
      </c>
      <c r="X37" s="11">
        <v>430.00599999999997</v>
      </c>
      <c r="Y37" s="266"/>
      <c r="Z37" s="29">
        <v>909</v>
      </c>
      <c r="AA37" s="30" t="s">
        <v>1200</v>
      </c>
      <c r="AB37" s="31">
        <v>13400</v>
      </c>
      <c r="AC37" s="32">
        <v>3808.0639999999999</v>
      </c>
      <c r="AD37" s="31">
        <v>2008.0640000000001</v>
      </c>
      <c r="AE37" s="31">
        <v>9591.9359999999997</v>
      </c>
      <c r="AF37" s="11">
        <v>0</v>
      </c>
      <c r="AG37" s="207" t="s">
        <v>1267</v>
      </c>
      <c r="AH37" s="207"/>
      <c r="AI37" s="207"/>
      <c r="AJ37" s="207"/>
      <c r="AK37" s="207"/>
      <c r="AL37" s="207"/>
      <c r="AM37" s="207"/>
      <c r="AN37" s="207"/>
    </row>
    <row r="38" spans="1:40" ht="11.65" customHeight="1">
      <c r="A38" s="266"/>
      <c r="B38" s="24">
        <v>203</v>
      </c>
      <c r="C38" s="25" t="s">
        <v>1166</v>
      </c>
      <c r="D38" s="11">
        <v>9500</v>
      </c>
      <c r="E38" s="9">
        <v>1888.587</v>
      </c>
      <c r="F38" s="11">
        <v>888.58699999999999</v>
      </c>
      <c r="G38" s="11">
        <v>7611.4129999999996</v>
      </c>
      <c r="H38" s="11">
        <v>0.55100000000000005</v>
      </c>
      <c r="I38" s="266"/>
      <c r="J38" s="24">
        <v>253</v>
      </c>
      <c r="K38" s="25" t="s">
        <v>1238</v>
      </c>
      <c r="L38" s="11">
        <v>3500</v>
      </c>
      <c r="M38" s="9">
        <v>0</v>
      </c>
      <c r="N38" s="11">
        <v>0</v>
      </c>
      <c r="O38" s="11">
        <v>3500</v>
      </c>
      <c r="P38" s="11">
        <v>0</v>
      </c>
      <c r="Q38" s="269" t="s">
        <v>1268</v>
      </c>
      <c r="R38" s="24">
        <v>401</v>
      </c>
      <c r="S38" s="25" t="s">
        <v>1214</v>
      </c>
      <c r="T38" s="11">
        <v>4240.5871200000001</v>
      </c>
      <c r="U38" s="9">
        <v>2992.125</v>
      </c>
      <c r="V38" s="11">
        <v>2192.125</v>
      </c>
      <c r="W38" s="11">
        <v>1248.4621199999999</v>
      </c>
      <c r="X38" s="11">
        <v>177.256</v>
      </c>
      <c r="Y38" s="266"/>
      <c r="Z38" s="29">
        <v>910</v>
      </c>
      <c r="AA38" s="30" t="s">
        <v>1200</v>
      </c>
      <c r="AB38" s="31">
        <v>13400</v>
      </c>
      <c r="AC38" s="32">
        <v>68.356999999999999</v>
      </c>
      <c r="AD38" s="31">
        <v>0</v>
      </c>
      <c r="AE38" s="31">
        <v>13331.643</v>
      </c>
      <c r="AF38" s="11">
        <v>0</v>
      </c>
      <c r="AG38" s="207" t="s">
        <v>6</v>
      </c>
      <c r="AH38" s="207"/>
      <c r="AI38" s="25" t="s">
        <v>1269</v>
      </c>
      <c r="AJ38" s="207" t="s">
        <v>1270</v>
      </c>
      <c r="AK38" s="207"/>
      <c r="AL38" s="207" t="s">
        <v>1271</v>
      </c>
      <c r="AM38" s="207"/>
      <c r="AN38" s="207"/>
    </row>
    <row r="39" spans="1:40" ht="11.65" customHeight="1">
      <c r="A39" s="266"/>
      <c r="B39" s="24">
        <v>204</v>
      </c>
      <c r="C39" s="25" t="s">
        <v>1156</v>
      </c>
      <c r="D39" s="11">
        <v>9500</v>
      </c>
      <c r="E39" s="9">
        <v>1693.703</v>
      </c>
      <c r="F39" s="11">
        <v>493.70299999999997</v>
      </c>
      <c r="G39" s="11">
        <v>7806.2969999999996</v>
      </c>
      <c r="H39" s="11">
        <v>-2915.8679999999999</v>
      </c>
      <c r="I39" s="266"/>
      <c r="J39" s="24">
        <v>254</v>
      </c>
      <c r="K39" s="25" t="s">
        <v>1235</v>
      </c>
      <c r="L39" s="11">
        <v>3750</v>
      </c>
      <c r="M39" s="9">
        <v>3239.2240000000002</v>
      </c>
      <c r="N39" s="11">
        <v>2859.2240000000002</v>
      </c>
      <c r="O39" s="11">
        <v>510.77600000000001</v>
      </c>
      <c r="P39" s="11">
        <v>277.25299999999999</v>
      </c>
      <c r="Q39" s="269"/>
      <c r="R39" s="24">
        <v>402</v>
      </c>
      <c r="S39" s="25" t="s">
        <v>405</v>
      </c>
      <c r="T39" s="11">
        <v>4244.8938399999997</v>
      </c>
      <c r="U39" s="9">
        <v>1042.03</v>
      </c>
      <c r="V39" s="11">
        <v>242.03</v>
      </c>
      <c r="W39" s="11">
        <v>3202.86384</v>
      </c>
      <c r="X39" s="11">
        <v>4.8339999999999996</v>
      </c>
      <c r="Y39" s="266"/>
      <c r="Z39" s="29">
        <v>917</v>
      </c>
      <c r="AA39" s="30" t="s">
        <v>1200</v>
      </c>
      <c r="AB39" s="31">
        <v>13400</v>
      </c>
      <c r="AC39" s="32">
        <v>2579.2449999999999</v>
      </c>
      <c r="AD39" s="31">
        <v>579.245</v>
      </c>
      <c r="AE39" s="31">
        <v>10820.754999999999</v>
      </c>
      <c r="AF39" s="11">
        <v>-0.157</v>
      </c>
      <c r="AG39" s="207" t="s">
        <v>419</v>
      </c>
      <c r="AH39" s="207"/>
      <c r="AI39" s="11">
        <v>933132.02899999998</v>
      </c>
      <c r="AJ39" s="239">
        <v>-22867.971000000001</v>
      </c>
      <c r="AK39" s="239"/>
      <c r="AL39" s="262">
        <v>290665.28700000001</v>
      </c>
      <c r="AM39" s="262"/>
      <c r="AN39" s="262"/>
    </row>
    <row r="40" spans="1:40" ht="11.65" customHeight="1">
      <c r="A40" s="266"/>
      <c r="B40" s="24">
        <v>205</v>
      </c>
      <c r="C40" s="28" t="s">
        <v>1171</v>
      </c>
      <c r="D40" s="11">
        <v>9500</v>
      </c>
      <c r="E40" s="9">
        <v>2935.0140000000001</v>
      </c>
      <c r="F40" s="11">
        <v>1935.0139999999999</v>
      </c>
      <c r="G40" s="11">
        <v>6564.9859999999999</v>
      </c>
      <c r="H40" s="11">
        <v>-1093.0650000000001</v>
      </c>
      <c r="I40" s="266"/>
      <c r="J40" s="24">
        <v>255</v>
      </c>
      <c r="K40" s="25" t="s">
        <v>1235</v>
      </c>
      <c r="L40" s="11">
        <v>3750</v>
      </c>
      <c r="M40" s="9">
        <v>836.34699999999998</v>
      </c>
      <c r="N40" s="11">
        <v>456.34699999999998</v>
      </c>
      <c r="O40" s="11">
        <v>2913.6529999999998</v>
      </c>
      <c r="P40" s="11">
        <v>6.8070000000000004</v>
      </c>
      <c r="Q40" s="269"/>
      <c r="R40" s="24">
        <v>403</v>
      </c>
      <c r="S40" s="25" t="s">
        <v>1216</v>
      </c>
      <c r="T40" s="11">
        <v>4163.1111810000002</v>
      </c>
      <c r="U40" s="9">
        <v>733.43899999999996</v>
      </c>
      <c r="V40" s="11">
        <v>53.439</v>
      </c>
      <c r="W40" s="11">
        <v>3429.6721809999999</v>
      </c>
      <c r="X40" s="11">
        <v>-0.30399999999999999</v>
      </c>
      <c r="Y40" s="266"/>
      <c r="Z40" s="29">
        <v>918</v>
      </c>
      <c r="AA40" s="30" t="s">
        <v>1200</v>
      </c>
      <c r="AB40" s="31">
        <v>13400</v>
      </c>
      <c r="AC40" s="32">
        <v>1770.479</v>
      </c>
      <c r="AD40" s="31">
        <v>0</v>
      </c>
      <c r="AE40" s="31">
        <v>11629.521000000001</v>
      </c>
      <c r="AF40" s="11">
        <v>-0.16200000000000001</v>
      </c>
      <c r="AG40" s="207" t="s">
        <v>425</v>
      </c>
      <c r="AH40" s="207"/>
      <c r="AI40" s="11">
        <v>1060159.7290000001</v>
      </c>
      <c r="AJ40" s="239">
        <v>104159.72900000001</v>
      </c>
      <c r="AK40" s="239"/>
      <c r="AL40" s="262">
        <v>267311.304</v>
      </c>
      <c r="AM40" s="262"/>
      <c r="AN40" s="262"/>
    </row>
    <row r="41" spans="1:40" ht="11.65" customHeight="1">
      <c r="A41" s="266"/>
      <c r="B41" s="24">
        <v>206</v>
      </c>
      <c r="C41" s="28" t="s">
        <v>1156</v>
      </c>
      <c r="D41" s="11">
        <v>9500</v>
      </c>
      <c r="E41" s="9">
        <v>3104.2959999999998</v>
      </c>
      <c r="F41" s="11">
        <v>1904.296</v>
      </c>
      <c r="G41" s="11">
        <v>6395.7039999999997</v>
      </c>
      <c r="H41" s="11">
        <v>2042.2080000000001</v>
      </c>
      <c r="I41" s="266"/>
      <c r="J41" s="24">
        <v>256</v>
      </c>
      <c r="K41" s="25" t="s">
        <v>1235</v>
      </c>
      <c r="L41" s="11">
        <v>3750</v>
      </c>
      <c r="M41" s="9">
        <v>927.22299999999996</v>
      </c>
      <c r="N41" s="11">
        <v>547.22299999999996</v>
      </c>
      <c r="O41" s="11">
        <v>2822.777</v>
      </c>
      <c r="P41" s="11">
        <v>0.90100000000000002</v>
      </c>
      <c r="Q41" s="269"/>
      <c r="R41" s="24">
        <v>404</v>
      </c>
      <c r="S41" s="25" t="s">
        <v>1219</v>
      </c>
      <c r="T41" s="11">
        <v>4168.0062630000002</v>
      </c>
      <c r="U41" s="9">
        <v>837.274</v>
      </c>
      <c r="V41" s="11">
        <v>37.274000000000001</v>
      </c>
      <c r="W41" s="11">
        <v>3330.7322629999999</v>
      </c>
      <c r="X41" s="11">
        <v>1E-3</v>
      </c>
      <c r="Y41" s="271" t="s">
        <v>1272</v>
      </c>
      <c r="Z41" s="24">
        <v>201</v>
      </c>
      <c r="AA41" s="24" t="s">
        <v>395</v>
      </c>
      <c r="AB41" s="11">
        <v>4400</v>
      </c>
      <c r="AC41" s="9">
        <v>3783.6680000000001</v>
      </c>
      <c r="AD41" s="11">
        <v>3623.6680000000001</v>
      </c>
      <c r="AE41" s="11">
        <v>616.33199999999999</v>
      </c>
      <c r="AF41" s="11">
        <v>0</v>
      </c>
      <c r="AG41" s="207" t="s">
        <v>118</v>
      </c>
      <c r="AH41" s="207"/>
      <c r="AI41" s="11">
        <v>127027.7</v>
      </c>
      <c r="AJ41" s="239">
        <v>127027.7</v>
      </c>
      <c r="AK41" s="239"/>
      <c r="AL41" s="239">
        <v>-23353.983</v>
      </c>
      <c r="AM41" s="239"/>
      <c r="AN41" s="239"/>
    </row>
    <row r="42" spans="1:40" ht="11.65" customHeight="1">
      <c r="A42" s="266"/>
      <c r="B42" s="24">
        <v>207</v>
      </c>
      <c r="C42" s="28" t="s">
        <v>1171</v>
      </c>
      <c r="D42" s="11">
        <v>9500</v>
      </c>
      <c r="E42" s="9">
        <v>1710.155</v>
      </c>
      <c r="F42" s="11">
        <v>710.15499999999997</v>
      </c>
      <c r="G42" s="11">
        <v>7789.8450000000003</v>
      </c>
      <c r="H42" s="11">
        <v>503.61200000000002</v>
      </c>
      <c r="I42" s="266"/>
      <c r="J42" s="24">
        <v>257</v>
      </c>
      <c r="K42" s="25" t="s">
        <v>1166</v>
      </c>
      <c r="L42" s="11">
        <v>31400</v>
      </c>
      <c r="M42" s="9">
        <v>6160.8959999999997</v>
      </c>
      <c r="N42" s="11">
        <v>3890.8960000000002</v>
      </c>
      <c r="O42" s="11">
        <v>25239.103999999999</v>
      </c>
      <c r="P42" s="11">
        <v>-8061.9070000000002</v>
      </c>
      <c r="Q42" s="269"/>
      <c r="R42" s="24">
        <v>405</v>
      </c>
      <c r="S42" s="25" t="s">
        <v>408</v>
      </c>
      <c r="T42" s="11">
        <v>4187.9897460000002</v>
      </c>
      <c r="U42" s="9">
        <v>1529.0039999999999</v>
      </c>
      <c r="V42" s="11">
        <v>729.00400000000002</v>
      </c>
      <c r="W42" s="11">
        <v>2658.9857459999998</v>
      </c>
      <c r="X42" s="11">
        <v>-767.13800000000003</v>
      </c>
      <c r="Y42" s="271"/>
      <c r="Z42" s="24">
        <v>202</v>
      </c>
      <c r="AA42" s="24" t="s">
        <v>1235</v>
      </c>
      <c r="AB42" s="11">
        <v>4400</v>
      </c>
      <c r="AC42" s="9">
        <v>219.25</v>
      </c>
      <c r="AD42" s="11">
        <v>59.25</v>
      </c>
      <c r="AE42" s="11">
        <v>4180.75</v>
      </c>
      <c r="AF42" s="11">
        <v>0</v>
      </c>
      <c r="AG42" s="207" t="s">
        <v>439</v>
      </c>
      <c r="AH42" s="207"/>
      <c r="AI42" s="11">
        <v>950864.71799999999</v>
      </c>
      <c r="AJ42" s="239">
        <v>15000</v>
      </c>
      <c r="AK42" s="239"/>
      <c r="AL42" s="239" t="s">
        <v>1273</v>
      </c>
      <c r="AM42" s="239"/>
      <c r="AN42" s="35">
        <v>34947.741999999998</v>
      </c>
    </row>
    <row r="43" spans="1:40" ht="11.65" customHeight="1">
      <c r="A43" s="266"/>
      <c r="B43" s="24">
        <v>208</v>
      </c>
      <c r="C43" s="25" t="s">
        <v>1176</v>
      </c>
      <c r="D43" s="11">
        <v>9500</v>
      </c>
      <c r="E43" s="9">
        <v>1415.2909999999999</v>
      </c>
      <c r="F43" s="11">
        <v>415.291</v>
      </c>
      <c r="G43" s="11">
        <v>8084.7089999999998</v>
      </c>
      <c r="H43" s="11">
        <v>296.64299999999997</v>
      </c>
      <c r="I43" s="266"/>
      <c r="J43" s="24">
        <v>258</v>
      </c>
      <c r="K43" s="25" t="s">
        <v>1166</v>
      </c>
      <c r="L43" s="11">
        <v>31400</v>
      </c>
      <c r="M43" s="9">
        <v>6662.9380000000001</v>
      </c>
      <c r="N43" s="11">
        <v>4392.9380000000001</v>
      </c>
      <c r="O43" s="11">
        <v>24737.062000000002</v>
      </c>
      <c r="P43" s="11">
        <v>3756.9</v>
      </c>
      <c r="Q43" s="269"/>
      <c r="R43" s="24">
        <v>406</v>
      </c>
      <c r="S43" s="25" t="s">
        <v>1219</v>
      </c>
      <c r="T43" s="11">
        <v>8338.9239120000002</v>
      </c>
      <c r="U43" s="9">
        <v>1759.8979999999999</v>
      </c>
      <c r="V43" s="11">
        <v>359.89800000000002</v>
      </c>
      <c r="W43" s="11">
        <v>6579.0259120000001</v>
      </c>
      <c r="X43" s="11">
        <v>71.299000000000007</v>
      </c>
      <c r="Y43" s="271"/>
      <c r="Z43" s="24">
        <v>203</v>
      </c>
      <c r="AA43" s="24" t="s">
        <v>395</v>
      </c>
      <c r="AB43" s="11">
        <v>4400</v>
      </c>
      <c r="AC43" s="9">
        <v>1703.39</v>
      </c>
      <c r="AD43" s="11">
        <v>1543.39</v>
      </c>
      <c r="AE43" s="11">
        <v>2696.61</v>
      </c>
      <c r="AF43" s="11">
        <v>-2172.759</v>
      </c>
      <c r="AG43" s="207" t="s">
        <v>6</v>
      </c>
      <c r="AH43" s="207"/>
      <c r="AI43" s="25" t="s">
        <v>1122</v>
      </c>
      <c r="AJ43" s="207" t="s">
        <v>1274</v>
      </c>
      <c r="AK43" s="207"/>
      <c r="AL43" s="207" t="s">
        <v>1189</v>
      </c>
      <c r="AM43" s="207"/>
      <c r="AN43" s="25">
        <v>420</v>
      </c>
    </row>
    <row r="44" spans="1:40" ht="11.65" customHeight="1">
      <c r="A44" s="266"/>
      <c r="B44" s="24">
        <v>209</v>
      </c>
      <c r="C44" s="25" t="s">
        <v>1176</v>
      </c>
      <c r="D44" s="11">
        <v>9500</v>
      </c>
      <c r="E44" s="9">
        <v>1941.588</v>
      </c>
      <c r="F44" s="11">
        <v>941.58799999999997</v>
      </c>
      <c r="G44" s="11">
        <v>7558.4120000000003</v>
      </c>
      <c r="H44" s="11">
        <v>-3408.8049999999998</v>
      </c>
      <c r="I44" s="266"/>
      <c r="J44" s="24">
        <v>259</v>
      </c>
      <c r="K44" s="25" t="s">
        <v>1166</v>
      </c>
      <c r="L44" s="11">
        <v>31400</v>
      </c>
      <c r="M44" s="9">
        <v>25909.456999999999</v>
      </c>
      <c r="N44" s="11">
        <v>23639.456999999999</v>
      </c>
      <c r="O44" s="11">
        <v>5490.5429999999997</v>
      </c>
      <c r="P44" s="11">
        <v>1786.8040000000001</v>
      </c>
      <c r="Q44" s="269"/>
      <c r="R44" s="24">
        <v>407</v>
      </c>
      <c r="S44" s="28" t="s">
        <v>1223</v>
      </c>
      <c r="T44" s="11">
        <v>8459.9310399999995</v>
      </c>
      <c r="U44" s="9">
        <v>1721.6310000000001</v>
      </c>
      <c r="V44" s="11">
        <v>321.63099999999997</v>
      </c>
      <c r="W44" s="11">
        <v>6738.3000400000001</v>
      </c>
      <c r="X44" s="11">
        <v>9.016</v>
      </c>
      <c r="Y44" s="271"/>
      <c r="Z44" s="25">
        <v>301</v>
      </c>
      <c r="AA44" s="24" t="s">
        <v>1163</v>
      </c>
      <c r="AB44" s="11">
        <v>1266</v>
      </c>
      <c r="AC44" s="9">
        <v>1458.298</v>
      </c>
      <c r="AD44" s="11">
        <v>508.298</v>
      </c>
      <c r="AE44" s="11">
        <v>-192.298</v>
      </c>
      <c r="AF44" s="11">
        <v>0</v>
      </c>
      <c r="AG44" s="207" t="s">
        <v>419</v>
      </c>
      <c r="AH44" s="207"/>
      <c r="AI44" s="35">
        <v>39335.398000000001</v>
      </c>
      <c r="AJ44" s="262">
        <v>33447.391000000003</v>
      </c>
      <c r="AK44" s="262"/>
      <c r="AL44" s="262">
        <v>310999.15000000002</v>
      </c>
      <c r="AM44" s="262"/>
      <c r="AN44" s="11">
        <v>258684.80300000001</v>
      </c>
    </row>
    <row r="45" spans="1:40" ht="11.65" customHeight="1">
      <c r="A45" s="266"/>
      <c r="B45" s="24">
        <v>210</v>
      </c>
      <c r="C45" s="25" t="s">
        <v>1156</v>
      </c>
      <c r="D45" s="11">
        <v>9500</v>
      </c>
      <c r="E45" s="9">
        <v>5825.2709999999997</v>
      </c>
      <c r="F45" s="11">
        <v>4625.2709999999997</v>
      </c>
      <c r="G45" s="11">
        <v>3674.7289999999998</v>
      </c>
      <c r="H45" s="11">
        <v>3574.1570000000002</v>
      </c>
      <c r="I45" s="265" t="s">
        <v>1255</v>
      </c>
      <c r="J45" s="24">
        <v>201</v>
      </c>
      <c r="K45" s="24" t="s">
        <v>598</v>
      </c>
      <c r="L45" s="11">
        <v>3353</v>
      </c>
      <c r="M45" s="9">
        <v>0</v>
      </c>
      <c r="N45" s="11">
        <v>0</v>
      </c>
      <c r="O45" s="11">
        <v>3353</v>
      </c>
      <c r="P45" s="11">
        <v>0</v>
      </c>
      <c r="Q45" s="269"/>
      <c r="R45" s="24">
        <v>408</v>
      </c>
      <c r="S45" s="28" t="s">
        <v>1223</v>
      </c>
      <c r="T45" s="11">
        <v>8482.5699199999999</v>
      </c>
      <c r="U45" s="9">
        <v>1860.1220000000001</v>
      </c>
      <c r="V45" s="11">
        <v>460.12200000000001</v>
      </c>
      <c r="W45" s="11">
        <v>6622.4479199999996</v>
      </c>
      <c r="X45" s="11">
        <v>56.99</v>
      </c>
      <c r="Y45" s="271"/>
      <c r="Z45" s="25">
        <v>302</v>
      </c>
      <c r="AA45" s="24" t="s">
        <v>1163</v>
      </c>
      <c r="AB45" s="11">
        <v>6400</v>
      </c>
      <c r="AC45" s="9">
        <v>5671.116</v>
      </c>
      <c r="AD45" s="11">
        <v>4721.116</v>
      </c>
      <c r="AE45" s="11">
        <v>728.88400000000001</v>
      </c>
      <c r="AF45" s="11">
        <v>0</v>
      </c>
      <c r="AG45" s="207" t="s">
        <v>425</v>
      </c>
      <c r="AH45" s="207"/>
      <c r="AI45" s="35">
        <v>125060.878</v>
      </c>
      <c r="AJ45" s="262">
        <v>64753.18</v>
      </c>
      <c r="AK45" s="262"/>
      <c r="AL45" s="262">
        <v>492713.31900000002</v>
      </c>
      <c r="AM45" s="262"/>
      <c r="AN45" s="11">
        <v>110321.048</v>
      </c>
    </row>
    <row r="46" spans="1:40" ht="16.5" customHeight="1">
      <c r="A46" s="267" t="s">
        <v>1183</v>
      </c>
      <c r="B46" s="24">
        <v>211</v>
      </c>
      <c r="C46" s="25" t="s">
        <v>1166</v>
      </c>
      <c r="D46" s="11">
        <v>4800.1449540000003</v>
      </c>
      <c r="E46" s="9">
        <v>2313.337</v>
      </c>
      <c r="F46" s="11">
        <v>1793.337</v>
      </c>
      <c r="G46" s="11">
        <v>2486.8079539999999</v>
      </c>
      <c r="H46" s="11">
        <v>-0.14799999999999999</v>
      </c>
      <c r="I46" s="265"/>
      <c r="J46" s="24">
        <v>202</v>
      </c>
      <c r="K46" s="24"/>
      <c r="L46" s="11"/>
      <c r="M46" s="9"/>
      <c r="N46" s="11"/>
      <c r="O46" s="11"/>
      <c r="P46" s="11"/>
      <c r="Q46" s="269"/>
      <c r="R46" s="24">
        <v>409</v>
      </c>
      <c r="S46" s="28" t="s">
        <v>417</v>
      </c>
      <c r="T46" s="11">
        <v>8457.9500000000007</v>
      </c>
      <c r="U46" s="9">
        <v>2163.701</v>
      </c>
      <c r="V46" s="11">
        <v>763.70100000000002</v>
      </c>
      <c r="W46" s="11">
        <v>6294.2489999999998</v>
      </c>
      <c r="X46" s="11">
        <v>196.72900000000001</v>
      </c>
      <c r="Y46" s="271"/>
      <c r="Z46" s="25">
        <v>303</v>
      </c>
      <c r="AA46" s="24" t="s">
        <v>1165</v>
      </c>
      <c r="AB46" s="11">
        <v>6400</v>
      </c>
      <c r="AC46" s="9">
        <v>0</v>
      </c>
      <c r="AD46" s="11">
        <v>0</v>
      </c>
      <c r="AE46" s="11">
        <v>6400</v>
      </c>
      <c r="AF46" s="11">
        <v>0</v>
      </c>
      <c r="AG46" s="207" t="s">
        <v>118</v>
      </c>
      <c r="AH46" s="207"/>
      <c r="AI46" s="11">
        <v>85725.48</v>
      </c>
      <c r="AJ46" s="239">
        <v>31305.789000000001</v>
      </c>
      <c r="AK46" s="239"/>
      <c r="AL46" s="239">
        <v>181714.16899999999</v>
      </c>
      <c r="AM46" s="239"/>
      <c r="AN46" s="11">
        <v>-148363.755</v>
      </c>
    </row>
    <row r="47" spans="1:40" ht="11.65" customHeight="1">
      <c r="A47" s="267"/>
      <c r="B47" s="24">
        <v>212</v>
      </c>
      <c r="C47" s="28" t="s">
        <v>1185</v>
      </c>
      <c r="D47" s="11">
        <v>4780.9771019999998</v>
      </c>
      <c r="E47" s="9">
        <v>1977.357</v>
      </c>
      <c r="F47" s="11">
        <v>1457.357</v>
      </c>
      <c r="G47" s="11">
        <v>2803.6201019999999</v>
      </c>
      <c r="H47" s="11">
        <v>-1.871</v>
      </c>
      <c r="I47" s="265"/>
      <c r="J47" s="24">
        <v>203</v>
      </c>
      <c r="K47" s="24" t="s">
        <v>598</v>
      </c>
      <c r="L47" s="11">
        <v>3353</v>
      </c>
      <c r="M47" s="9">
        <v>0</v>
      </c>
      <c r="N47" s="11">
        <v>0</v>
      </c>
      <c r="O47" s="11">
        <v>3353</v>
      </c>
      <c r="P47" s="11">
        <v>0</v>
      </c>
      <c r="Q47" s="270" t="s">
        <v>1256</v>
      </c>
      <c r="R47" s="29">
        <v>913</v>
      </c>
      <c r="S47" s="30" t="s">
        <v>417</v>
      </c>
      <c r="T47" s="31">
        <v>3980.1035999999999</v>
      </c>
      <c r="U47" s="32">
        <v>1098.5129999999999</v>
      </c>
      <c r="V47" s="31">
        <v>458.51299999999998</v>
      </c>
      <c r="W47" s="31">
        <v>2881.5906</v>
      </c>
      <c r="X47" s="11">
        <v>0</v>
      </c>
      <c r="Y47" s="271"/>
      <c r="Z47" s="25">
        <v>304</v>
      </c>
      <c r="AA47" s="24" t="s">
        <v>1165</v>
      </c>
      <c r="AB47" s="11">
        <v>6400</v>
      </c>
      <c r="AC47" s="9">
        <v>0</v>
      </c>
      <c r="AD47" s="11">
        <v>0</v>
      </c>
      <c r="AE47" s="11">
        <v>6400</v>
      </c>
      <c r="AF47" s="11">
        <v>0</v>
      </c>
      <c r="AG47" s="207" t="s">
        <v>1275</v>
      </c>
      <c r="AH47" s="207"/>
      <c r="AI47" s="207" t="s">
        <v>1276</v>
      </c>
      <c r="AJ47" s="207"/>
      <c r="AK47" s="263" t="s">
        <v>1277</v>
      </c>
      <c r="AL47" s="263"/>
      <c r="AM47" s="241" t="s">
        <v>1278</v>
      </c>
      <c r="AN47" s="241"/>
    </row>
    <row r="48" spans="1:40" ht="11.65" customHeight="1">
      <c r="A48" s="267"/>
      <c r="B48" s="24">
        <v>213</v>
      </c>
      <c r="C48" s="25" t="s">
        <v>1257</v>
      </c>
      <c r="D48" s="11">
        <v>5300</v>
      </c>
      <c r="E48" s="9">
        <v>4132.6139999999996</v>
      </c>
      <c r="F48" s="11">
        <v>3582.614</v>
      </c>
      <c r="G48" s="11">
        <v>1167.386</v>
      </c>
      <c r="H48" s="11">
        <v>-0.52600000000000002</v>
      </c>
      <c r="I48" s="265"/>
      <c r="J48" s="24">
        <v>204</v>
      </c>
      <c r="K48" s="24"/>
      <c r="L48" s="11"/>
      <c r="M48" s="9"/>
      <c r="N48" s="11"/>
      <c r="O48" s="11"/>
      <c r="P48" s="11"/>
      <c r="Q48" s="270"/>
      <c r="R48" s="29">
        <v>914</v>
      </c>
      <c r="S48" s="30" t="s">
        <v>417</v>
      </c>
      <c r="T48" s="31">
        <v>3982.76208</v>
      </c>
      <c r="U48" s="32">
        <v>613.245</v>
      </c>
      <c r="V48" s="31">
        <v>0</v>
      </c>
      <c r="W48" s="31">
        <v>3369.5170800000001</v>
      </c>
      <c r="X48" s="11">
        <v>-0.27200000000000002</v>
      </c>
      <c r="Y48" s="271"/>
      <c r="Z48" s="25">
        <v>305</v>
      </c>
      <c r="AA48" s="24" t="s">
        <v>1165</v>
      </c>
      <c r="AB48" s="11">
        <v>6400</v>
      </c>
      <c r="AC48" s="9">
        <v>987.50800000000004</v>
      </c>
      <c r="AD48" s="11">
        <v>37.508000000000003</v>
      </c>
      <c r="AE48" s="11">
        <v>5412.4920000000002</v>
      </c>
      <c r="AF48" s="11">
        <v>0</v>
      </c>
      <c r="AG48" s="239">
        <v>2305820</v>
      </c>
      <c r="AH48" s="239"/>
      <c r="AI48" s="262">
        <v>34617.885000000002</v>
      </c>
      <c r="AJ48" s="262"/>
      <c r="AK48" s="262">
        <v>35564.934999999998</v>
      </c>
      <c r="AL48" s="262"/>
      <c r="AM48" s="262">
        <v>67035.600999999995</v>
      </c>
      <c r="AN48" s="262"/>
    </row>
    <row r="49" spans="2:40" ht="11.65" hidden="1" customHeight="1">
      <c r="B49" s="24"/>
      <c r="C49" s="25"/>
      <c r="D49" s="24"/>
      <c r="E49" s="9"/>
      <c r="F49" s="11"/>
      <c r="G49" s="11"/>
      <c r="H49" s="11"/>
      <c r="I49" s="266"/>
      <c r="J49" s="24"/>
      <c r="K49" s="28"/>
      <c r="L49" s="11"/>
      <c r="M49" s="9"/>
      <c r="N49" s="11"/>
      <c r="O49" s="11"/>
      <c r="P49" s="11"/>
      <c r="Q49" s="268"/>
      <c r="R49" s="24"/>
      <c r="S49" s="24"/>
      <c r="T49" s="11"/>
      <c r="U49" s="9"/>
      <c r="V49" s="11"/>
      <c r="W49" s="11"/>
      <c r="X49" s="11"/>
      <c r="Y49" s="266"/>
      <c r="Z49" s="24"/>
      <c r="AA49" s="25"/>
      <c r="AB49" s="11"/>
      <c r="AC49" s="9"/>
      <c r="AD49" s="11"/>
      <c r="AE49" s="11"/>
      <c r="AF49" s="11"/>
      <c r="AG49" s="272"/>
      <c r="AH49" s="24"/>
      <c r="AI49" s="24"/>
      <c r="AJ49" s="11"/>
      <c r="AK49" s="9"/>
      <c r="AL49" s="11"/>
      <c r="AM49" s="11"/>
      <c r="AN49" s="11"/>
    </row>
    <row r="50" spans="2:40" ht="11.65" hidden="1" customHeight="1">
      <c r="B50" s="24"/>
      <c r="C50" s="25"/>
      <c r="D50" s="24"/>
      <c r="E50" s="9"/>
      <c r="F50" s="11"/>
      <c r="G50" s="11"/>
      <c r="H50" s="11"/>
      <c r="I50" s="266"/>
      <c r="J50" s="24"/>
      <c r="K50" s="25"/>
      <c r="L50" s="11"/>
      <c r="M50" s="9"/>
      <c r="N50" s="11"/>
      <c r="O50" s="11"/>
      <c r="P50" s="11"/>
      <c r="Q50" s="268"/>
      <c r="R50" s="24"/>
      <c r="S50" s="24"/>
      <c r="T50" s="11"/>
      <c r="U50" s="9"/>
      <c r="V50" s="11"/>
      <c r="W50" s="11"/>
      <c r="X50" s="11"/>
      <c r="Y50" s="266"/>
      <c r="Z50" s="24"/>
      <c r="AA50" s="25"/>
      <c r="AB50" s="11"/>
      <c r="AC50" s="9"/>
      <c r="AD50" s="11"/>
      <c r="AE50" s="11"/>
      <c r="AF50" s="11"/>
      <c r="AG50" s="272"/>
      <c r="AH50" s="24"/>
      <c r="AI50" s="24"/>
      <c r="AJ50" s="11"/>
      <c r="AK50" s="9"/>
      <c r="AL50" s="11"/>
      <c r="AM50" s="11"/>
      <c r="AN50" s="11"/>
    </row>
    <row r="51" spans="2:40" ht="11.65" hidden="1" customHeight="1">
      <c r="B51" s="24"/>
      <c r="C51" s="25"/>
      <c r="D51" s="11"/>
      <c r="E51" s="9"/>
      <c r="F51" s="11"/>
      <c r="G51" s="11"/>
      <c r="H51" s="11"/>
      <c r="I51" s="266"/>
      <c r="J51" s="24"/>
      <c r="K51" s="28"/>
      <c r="L51" s="11"/>
      <c r="M51" s="9"/>
      <c r="N51" s="11"/>
      <c r="O51" s="11"/>
      <c r="P51" s="11"/>
      <c r="Q51" s="268"/>
      <c r="R51" s="24"/>
      <c r="S51" s="24"/>
      <c r="T51" s="11"/>
      <c r="U51" s="9"/>
      <c r="V51" s="11"/>
      <c r="W51" s="11"/>
      <c r="X51" s="11"/>
      <c r="Y51" s="266"/>
      <c r="Z51" s="24"/>
      <c r="AA51" s="25"/>
      <c r="AB51" s="11"/>
      <c r="AC51" s="9"/>
      <c r="AD51" s="11"/>
      <c r="AE51" s="11"/>
      <c r="AF51" s="11"/>
      <c r="AG51" s="272"/>
      <c r="AH51" s="24"/>
      <c r="AI51" s="24"/>
      <c r="AJ51" s="11"/>
      <c r="AK51" s="9"/>
      <c r="AL51" s="11"/>
      <c r="AM51" s="11"/>
      <c r="AN51" s="11"/>
    </row>
    <row r="52" spans="2:40" ht="11.65" hidden="1" customHeight="1">
      <c r="B52" s="24"/>
      <c r="C52" s="25"/>
      <c r="D52" s="24"/>
      <c r="E52" s="9"/>
      <c r="F52" s="11"/>
      <c r="G52" s="11"/>
      <c r="H52" s="11"/>
      <c r="I52" s="266"/>
      <c r="J52" s="24"/>
      <c r="K52" s="25"/>
      <c r="L52" s="11"/>
      <c r="M52" s="9"/>
      <c r="N52" s="11"/>
      <c r="O52" s="11"/>
      <c r="P52" s="11"/>
      <c r="Q52" s="268"/>
      <c r="R52" s="24"/>
      <c r="S52" s="24"/>
      <c r="T52" s="11"/>
      <c r="U52" s="9"/>
      <c r="V52" s="11"/>
      <c r="W52" s="11"/>
      <c r="X52" s="11"/>
      <c r="Y52" s="266"/>
      <c r="Z52" s="24"/>
      <c r="AA52" s="25"/>
      <c r="AB52" s="11"/>
      <c r="AC52" s="9"/>
      <c r="AD52" s="11"/>
      <c r="AE52" s="11"/>
      <c r="AF52" s="11"/>
      <c r="AG52" s="272"/>
      <c r="AH52" s="24"/>
      <c r="AI52" s="28"/>
      <c r="AJ52" s="11"/>
      <c r="AK52" s="9"/>
      <c r="AL52" s="11"/>
      <c r="AM52" s="11"/>
      <c r="AN52" s="11"/>
    </row>
    <row r="53" spans="2:40" ht="11.65" hidden="1" customHeight="1">
      <c r="B53" s="24"/>
      <c r="C53" s="25"/>
      <c r="D53" s="24"/>
      <c r="E53" s="9"/>
      <c r="F53" s="11"/>
      <c r="G53" s="11"/>
      <c r="H53" s="11"/>
      <c r="I53" s="266"/>
      <c r="J53" s="24"/>
      <c r="K53" s="25"/>
      <c r="L53" s="11"/>
      <c r="M53" s="9"/>
      <c r="N53" s="11"/>
      <c r="O53" s="11"/>
      <c r="P53" s="11"/>
      <c r="Q53" s="268"/>
      <c r="R53" s="24"/>
      <c r="S53" s="24"/>
      <c r="T53" s="11"/>
      <c r="U53" s="9"/>
      <c r="V53" s="11"/>
      <c r="W53" s="11"/>
      <c r="X53" s="11"/>
      <c r="Y53" s="266"/>
      <c r="Z53" s="24"/>
      <c r="AA53" s="25"/>
      <c r="AB53" s="11"/>
      <c r="AC53" s="9"/>
      <c r="AD53" s="11"/>
      <c r="AE53" s="11"/>
      <c r="AF53" s="11"/>
      <c r="AG53" s="272"/>
      <c r="AH53" s="24"/>
      <c r="AI53" s="28"/>
      <c r="AJ53" s="11"/>
      <c r="AK53" s="9"/>
      <c r="AL53" s="11"/>
      <c r="AM53" s="11"/>
      <c r="AN53" s="11"/>
    </row>
    <row r="54" spans="2:40" ht="11.65" hidden="1" customHeight="1">
      <c r="B54" s="24"/>
      <c r="C54" s="25"/>
      <c r="D54" s="24"/>
      <c r="E54" s="9"/>
      <c r="F54" s="11"/>
      <c r="G54" s="11"/>
      <c r="H54" s="11"/>
      <c r="I54" s="266"/>
      <c r="J54" s="24"/>
      <c r="K54" s="25"/>
      <c r="L54" s="11"/>
      <c r="M54" s="9"/>
      <c r="N54" s="11"/>
      <c r="O54" s="11"/>
      <c r="P54" s="11"/>
      <c r="Q54" s="268"/>
      <c r="R54" s="24"/>
      <c r="S54" s="24"/>
      <c r="T54" s="11"/>
      <c r="U54" s="9"/>
      <c r="V54" s="11"/>
      <c r="W54" s="11"/>
      <c r="X54" s="11"/>
      <c r="Y54" s="266"/>
      <c r="Z54" s="24"/>
      <c r="AA54" s="25"/>
      <c r="AB54" s="11"/>
      <c r="AC54" s="9"/>
      <c r="AD54" s="11"/>
      <c r="AE54" s="11"/>
      <c r="AF54" s="11"/>
      <c r="AG54" s="272"/>
      <c r="AH54" s="24"/>
      <c r="AI54" s="28"/>
      <c r="AJ54" s="11"/>
      <c r="AK54" s="9"/>
      <c r="AL54" s="11"/>
      <c r="AM54" s="11"/>
      <c r="AN54" s="11"/>
    </row>
    <row r="55" spans="2:40" ht="11.65" hidden="1" customHeight="1">
      <c r="C55" s="25"/>
      <c r="D55" s="11"/>
      <c r="E55" s="9"/>
      <c r="F55" s="11"/>
      <c r="G55" s="11"/>
      <c r="H55" s="11"/>
      <c r="I55" s="266"/>
      <c r="J55" s="24"/>
      <c r="K55" s="25"/>
      <c r="L55" s="11"/>
      <c r="M55" s="9"/>
      <c r="N55" s="11"/>
      <c r="O55" s="11"/>
      <c r="P55" s="11"/>
      <c r="Q55" s="268"/>
      <c r="R55" s="24"/>
      <c r="S55" s="24"/>
      <c r="T55" s="11"/>
      <c r="U55" s="9"/>
      <c r="V55" s="11"/>
      <c r="W55" s="11"/>
      <c r="X55" s="11"/>
      <c r="Y55" s="266"/>
      <c r="Z55" s="24"/>
      <c r="AA55" s="25"/>
      <c r="AB55" s="11"/>
      <c r="AC55" s="9"/>
      <c r="AD55" s="11"/>
      <c r="AE55" s="11"/>
      <c r="AF55" s="11"/>
      <c r="AG55" s="272"/>
      <c r="AH55" s="24"/>
      <c r="AI55" s="28"/>
      <c r="AJ55" s="11"/>
      <c r="AK55" s="9"/>
      <c r="AL55" s="11"/>
      <c r="AM55" s="11"/>
      <c r="AN55" s="11"/>
    </row>
    <row r="56" spans="2:40" ht="11.65" hidden="1" customHeight="1">
      <c r="B56" s="24"/>
      <c r="C56" s="25"/>
      <c r="D56" s="24"/>
      <c r="E56" s="9"/>
      <c r="F56" s="11"/>
      <c r="G56" s="11"/>
      <c r="H56" s="11"/>
      <c r="I56" s="266"/>
      <c r="J56" s="24"/>
      <c r="K56" s="25"/>
      <c r="L56" s="11"/>
      <c r="M56" s="9"/>
      <c r="N56" s="11"/>
      <c r="O56" s="11"/>
      <c r="P56" s="11"/>
      <c r="Q56" s="266"/>
      <c r="R56" s="24"/>
      <c r="S56" s="25"/>
      <c r="T56" s="11"/>
      <c r="U56" s="9"/>
      <c r="V56" s="11"/>
      <c r="W56" s="11"/>
      <c r="X56" s="11"/>
      <c r="Y56" s="266"/>
      <c r="Z56" s="24"/>
      <c r="AA56" s="25"/>
      <c r="AB56" s="11"/>
      <c r="AC56" s="9"/>
      <c r="AD56" s="11"/>
      <c r="AE56" s="11"/>
      <c r="AF56" s="11"/>
      <c r="AG56" s="272"/>
      <c r="AH56" s="24"/>
      <c r="AI56" s="28"/>
      <c r="AJ56" s="11"/>
      <c r="AK56" s="9"/>
      <c r="AL56" s="11"/>
      <c r="AM56" s="11"/>
      <c r="AN56" s="11"/>
    </row>
    <row r="57" spans="2:40" ht="11.65" hidden="1" customHeight="1">
      <c r="B57" s="24"/>
      <c r="C57" s="25"/>
      <c r="D57" s="24"/>
      <c r="E57" s="9"/>
      <c r="F57" s="11"/>
      <c r="G57" s="11"/>
      <c r="H57" s="11"/>
      <c r="I57" s="266"/>
      <c r="J57" s="24"/>
      <c r="K57" s="25"/>
      <c r="L57" s="11"/>
      <c r="M57" s="9"/>
      <c r="N57" s="11"/>
      <c r="O57" s="11"/>
      <c r="P57" s="11"/>
      <c r="Q57" s="266"/>
      <c r="R57" s="24"/>
      <c r="S57" s="25"/>
      <c r="T57" s="11"/>
      <c r="U57" s="9"/>
      <c r="V57" s="11"/>
      <c r="W57" s="11"/>
      <c r="X57" s="11"/>
      <c r="Y57" s="266"/>
      <c r="Z57" s="24"/>
      <c r="AA57" s="25"/>
      <c r="AB57" s="11"/>
      <c r="AC57" s="9"/>
      <c r="AD57" s="11"/>
      <c r="AE57" s="11"/>
      <c r="AF57" s="11"/>
      <c r="AG57" s="272"/>
      <c r="AH57" s="24"/>
      <c r="AI57" s="28"/>
      <c r="AJ57" s="11"/>
      <c r="AK57" s="9"/>
      <c r="AL57" s="11"/>
      <c r="AM57" s="11"/>
      <c r="AN57" s="11"/>
    </row>
    <row r="58" spans="2:40" ht="11.65" hidden="1" customHeight="1">
      <c r="B58" s="24"/>
      <c r="C58" s="25"/>
      <c r="D58" s="24"/>
      <c r="E58" s="9"/>
      <c r="F58" s="11"/>
      <c r="G58" s="11"/>
      <c r="H58" s="11"/>
      <c r="I58" s="266"/>
      <c r="J58" s="24"/>
      <c r="K58" s="25"/>
      <c r="L58" s="11"/>
      <c r="M58" s="9"/>
      <c r="N58" s="11"/>
      <c r="O58" s="11"/>
      <c r="P58" s="11"/>
      <c r="Q58" s="266"/>
      <c r="R58" s="24"/>
      <c r="S58" s="25"/>
      <c r="T58" s="11"/>
      <c r="U58" s="9"/>
      <c r="V58" s="11"/>
      <c r="W58" s="11"/>
      <c r="X58" s="11"/>
      <c r="Y58" s="266"/>
      <c r="Z58" s="24"/>
      <c r="AA58" s="25"/>
      <c r="AB58" s="11"/>
      <c r="AC58" s="9"/>
      <c r="AD58" s="11"/>
      <c r="AE58" s="11"/>
      <c r="AF58" s="11"/>
      <c r="AG58" s="272"/>
      <c r="AH58" s="24"/>
      <c r="AI58" s="28"/>
      <c r="AJ58" s="11"/>
      <c r="AK58" s="9"/>
      <c r="AL58" s="11"/>
      <c r="AM58" s="11"/>
      <c r="AN58" s="11"/>
    </row>
    <row r="59" spans="2:40" ht="11.65" hidden="1" customHeight="1">
      <c r="B59" s="24"/>
      <c r="C59" s="25"/>
      <c r="D59" s="24"/>
      <c r="E59" s="9"/>
      <c r="F59" s="11"/>
      <c r="G59" s="11"/>
      <c r="H59" s="11"/>
      <c r="I59" s="266"/>
      <c r="J59" s="24"/>
      <c r="K59" s="25"/>
      <c r="L59" s="11"/>
      <c r="M59" s="9"/>
      <c r="N59" s="11"/>
      <c r="O59" s="11"/>
      <c r="P59" s="11"/>
      <c r="Q59" s="266"/>
      <c r="R59" s="24"/>
      <c r="S59" s="25"/>
      <c r="T59" s="11"/>
      <c r="U59" s="9"/>
      <c r="V59" s="11"/>
      <c r="W59" s="11"/>
      <c r="X59" s="11"/>
      <c r="Y59" s="266"/>
      <c r="Z59" s="24"/>
      <c r="AA59" s="25"/>
      <c r="AB59" s="11"/>
      <c r="AC59" s="9"/>
      <c r="AD59" s="11"/>
      <c r="AE59" s="11"/>
      <c r="AF59" s="11"/>
      <c r="AG59" s="272"/>
      <c r="AH59" s="24"/>
      <c r="AI59" s="28"/>
      <c r="AJ59" s="11"/>
      <c r="AK59" s="9"/>
      <c r="AL59" s="11"/>
      <c r="AM59" s="11"/>
      <c r="AN59" s="11"/>
    </row>
    <row r="60" spans="2:40" ht="11.65" hidden="1" customHeight="1">
      <c r="B60" s="24"/>
      <c r="C60" s="25"/>
      <c r="D60" s="24"/>
      <c r="E60" s="9"/>
      <c r="F60" s="11"/>
      <c r="G60" s="11"/>
      <c r="H60" s="11"/>
      <c r="I60" s="266"/>
      <c r="J60" s="24"/>
      <c r="K60" s="25"/>
      <c r="L60" s="11"/>
      <c r="M60" s="9"/>
      <c r="N60" s="11"/>
      <c r="O60" s="11"/>
      <c r="P60" s="11"/>
      <c r="Q60" s="266"/>
      <c r="R60" s="24"/>
      <c r="S60" s="25"/>
      <c r="T60" s="11"/>
      <c r="U60" s="9"/>
      <c r="V60" s="11"/>
      <c r="W60" s="11"/>
      <c r="X60" s="11"/>
      <c r="Y60" s="266"/>
      <c r="Z60" s="24"/>
      <c r="AA60" s="25"/>
      <c r="AB60" s="11"/>
      <c r="AC60" s="9"/>
      <c r="AD60" s="11"/>
      <c r="AE60" s="11"/>
      <c r="AF60" s="11"/>
      <c r="AG60" s="272"/>
      <c r="AH60" s="24"/>
      <c r="AI60" s="28"/>
      <c r="AJ60" s="11"/>
      <c r="AK60" s="9"/>
      <c r="AL60" s="11"/>
      <c r="AM60" s="11"/>
      <c r="AN60" s="11"/>
    </row>
    <row r="61" spans="2:40" ht="11.65" hidden="1" customHeight="1">
      <c r="B61" s="24"/>
      <c r="C61" s="25"/>
      <c r="D61" s="24"/>
      <c r="E61" s="9"/>
      <c r="F61" s="11"/>
      <c r="G61" s="11"/>
      <c r="H61" s="11"/>
      <c r="I61" s="266"/>
      <c r="J61" s="24"/>
      <c r="K61" s="28"/>
      <c r="L61" s="11"/>
      <c r="M61" s="9"/>
      <c r="N61" s="11"/>
      <c r="O61" s="11"/>
      <c r="P61" s="11"/>
      <c r="Q61" s="266"/>
      <c r="R61" s="24"/>
      <c r="S61" s="28"/>
      <c r="T61" s="11"/>
      <c r="U61" s="9"/>
      <c r="V61" s="11"/>
      <c r="W61" s="11"/>
      <c r="X61" s="11"/>
      <c r="Y61" s="266"/>
      <c r="Z61" s="24"/>
      <c r="AA61" s="25"/>
      <c r="AB61" s="11"/>
      <c r="AC61" s="9"/>
      <c r="AD61" s="11"/>
      <c r="AE61" s="11"/>
      <c r="AF61" s="11"/>
      <c r="AG61" s="272"/>
      <c r="AH61" s="24"/>
      <c r="AI61" s="28"/>
      <c r="AJ61" s="11"/>
      <c r="AK61" s="9"/>
      <c r="AL61" s="11"/>
      <c r="AM61" s="11"/>
      <c r="AN61" s="11"/>
    </row>
    <row r="62" spans="2:40" ht="11.65" hidden="1" customHeight="1">
      <c r="B62" s="24"/>
      <c r="C62" s="25"/>
      <c r="D62" s="24"/>
      <c r="E62" s="9"/>
      <c r="F62" s="11"/>
      <c r="G62" s="11"/>
      <c r="H62" s="11"/>
      <c r="I62" s="266"/>
      <c r="J62" s="24"/>
      <c r="K62" s="28"/>
      <c r="L62" s="11"/>
      <c r="M62" s="9"/>
      <c r="N62" s="11"/>
      <c r="O62" s="11"/>
      <c r="P62" s="11"/>
      <c r="Q62" s="266"/>
      <c r="R62" s="24"/>
      <c r="S62" s="28"/>
      <c r="T62" s="11"/>
      <c r="U62" s="9"/>
      <c r="V62" s="11"/>
      <c r="W62" s="11"/>
      <c r="X62" s="11"/>
      <c r="Y62" s="266"/>
      <c r="Z62" s="24"/>
      <c r="AA62" s="25"/>
      <c r="AB62" s="11"/>
      <c r="AC62" s="9"/>
      <c r="AD62" s="11"/>
      <c r="AE62" s="11"/>
      <c r="AF62" s="11"/>
      <c r="AG62" s="272"/>
      <c r="AH62" s="24"/>
      <c r="AI62" s="28"/>
      <c r="AJ62" s="11"/>
      <c r="AK62" s="9"/>
      <c r="AL62" s="11"/>
      <c r="AM62" s="11"/>
      <c r="AN62" s="11"/>
    </row>
    <row r="63" spans="2:40" ht="11.65" hidden="1" customHeight="1">
      <c r="B63" s="24"/>
      <c r="C63" s="25"/>
      <c r="D63" s="24"/>
      <c r="E63" s="9"/>
      <c r="F63" s="11"/>
      <c r="G63" s="11"/>
      <c r="H63" s="11"/>
      <c r="I63" s="266"/>
      <c r="J63" s="24"/>
      <c r="K63" s="28"/>
      <c r="L63" s="11"/>
      <c r="M63" s="9"/>
      <c r="N63" s="11"/>
      <c r="O63" s="11"/>
      <c r="P63" s="11"/>
      <c r="Q63" s="266"/>
      <c r="R63" s="24"/>
      <c r="S63" s="28"/>
      <c r="T63" s="11"/>
      <c r="U63" s="9"/>
      <c r="V63" s="11"/>
      <c r="W63" s="11"/>
      <c r="X63" s="11"/>
      <c r="Y63" s="266"/>
      <c r="Z63" s="24"/>
      <c r="AA63" s="28"/>
      <c r="AB63" s="11"/>
      <c r="AC63" s="9"/>
      <c r="AD63" s="11"/>
      <c r="AE63" s="11"/>
      <c r="AF63" s="11"/>
      <c r="AG63" s="272"/>
      <c r="AH63" s="24"/>
      <c r="AI63" s="28"/>
      <c r="AJ63" s="11"/>
      <c r="AK63" s="9"/>
      <c r="AL63" s="11"/>
      <c r="AM63" s="11"/>
      <c r="AN63" s="11"/>
    </row>
    <row r="64" spans="2:40" ht="11.65" hidden="1" customHeight="1">
      <c r="B64" s="24"/>
      <c r="C64" s="25"/>
      <c r="D64" s="24"/>
      <c r="E64" s="9"/>
      <c r="F64" s="11"/>
      <c r="G64" s="11"/>
      <c r="H64" s="11"/>
      <c r="I64" s="266"/>
      <c r="J64" s="24"/>
      <c r="K64" s="28"/>
      <c r="L64" s="11"/>
      <c r="M64" s="9"/>
      <c r="N64" s="11"/>
      <c r="O64" s="11"/>
      <c r="P64" s="11"/>
      <c r="Q64" s="266"/>
      <c r="R64" s="24"/>
      <c r="S64" s="28"/>
      <c r="T64" s="11"/>
      <c r="U64" s="9"/>
      <c r="V64" s="11"/>
      <c r="W64" s="11"/>
      <c r="X64" s="11"/>
      <c r="Y64" s="266"/>
      <c r="Z64" s="24"/>
      <c r="AA64" s="28"/>
      <c r="AB64" s="11"/>
      <c r="AC64" s="9"/>
      <c r="AD64" s="11"/>
      <c r="AE64" s="11"/>
      <c r="AF64" s="11"/>
      <c r="AG64" s="272"/>
      <c r="AH64" s="24"/>
      <c r="AI64" s="28"/>
      <c r="AJ64" s="11"/>
      <c r="AK64" s="9"/>
      <c r="AL64" s="11"/>
      <c r="AM64" s="11"/>
      <c r="AN64" s="11"/>
    </row>
    <row r="65" spans="2:40" ht="11.65" hidden="1" customHeight="1">
      <c r="B65" s="24"/>
      <c r="C65" s="25"/>
      <c r="D65" s="24"/>
      <c r="E65" s="9"/>
      <c r="F65" s="11"/>
      <c r="G65" s="11"/>
      <c r="H65" s="11"/>
      <c r="I65" s="266"/>
      <c r="J65" s="24"/>
      <c r="K65" s="28"/>
      <c r="L65" s="11"/>
      <c r="M65" s="9"/>
      <c r="N65" s="11"/>
      <c r="O65" s="11"/>
      <c r="P65" s="11"/>
      <c r="Q65" s="266"/>
      <c r="R65" s="24"/>
      <c r="S65" s="25"/>
      <c r="T65" s="11"/>
      <c r="U65" s="9"/>
      <c r="V65" s="11"/>
      <c r="W65" s="11"/>
      <c r="X65" s="11"/>
      <c r="Y65" s="266"/>
      <c r="Z65" s="24"/>
      <c r="AA65" s="28"/>
      <c r="AB65" s="11"/>
      <c r="AC65" s="9"/>
      <c r="AD65" s="11"/>
      <c r="AE65" s="11"/>
      <c r="AF65" s="11"/>
      <c r="AG65" s="272"/>
      <c r="AH65" s="24"/>
      <c r="AI65" s="28"/>
      <c r="AJ65" s="11"/>
      <c r="AK65" s="9"/>
      <c r="AL65" s="11"/>
      <c r="AM65" s="11"/>
      <c r="AN65" s="11"/>
    </row>
    <row r="66" spans="2:40" ht="11.65" hidden="1" customHeight="1">
      <c r="B66" s="24"/>
      <c r="C66" s="25"/>
      <c r="D66" s="24"/>
      <c r="E66" s="9"/>
      <c r="F66" s="11"/>
      <c r="G66" s="11"/>
      <c r="H66" s="11"/>
      <c r="I66" s="266"/>
      <c r="J66" s="24"/>
      <c r="K66" s="28"/>
      <c r="L66" s="11"/>
      <c r="M66" s="9"/>
      <c r="N66" s="11"/>
      <c r="O66" s="11"/>
      <c r="P66" s="11"/>
      <c r="Q66" s="266"/>
      <c r="R66" s="24"/>
      <c r="S66" s="25"/>
      <c r="T66" s="11"/>
      <c r="U66" s="9"/>
      <c r="V66" s="11"/>
      <c r="W66" s="11"/>
      <c r="X66" s="11"/>
      <c r="Y66" s="266"/>
      <c r="Z66" s="24"/>
      <c r="AA66" s="28"/>
      <c r="AB66" s="11"/>
      <c r="AC66" s="9"/>
      <c r="AD66" s="11"/>
      <c r="AE66" s="11"/>
      <c r="AF66" s="11"/>
      <c r="AG66" s="272"/>
      <c r="AH66" s="24"/>
      <c r="AI66" s="28"/>
      <c r="AJ66" s="11"/>
      <c r="AK66" s="9"/>
      <c r="AL66" s="11"/>
      <c r="AM66" s="11"/>
      <c r="AN66" s="11"/>
    </row>
    <row r="67" spans="2:40" ht="11.65" hidden="1" customHeight="1">
      <c r="B67" s="24"/>
      <c r="C67" s="25"/>
      <c r="D67" s="24"/>
      <c r="E67" s="9"/>
      <c r="F67" s="11"/>
      <c r="G67" s="11"/>
      <c r="H67" s="11"/>
      <c r="I67" s="266"/>
      <c r="J67" s="24"/>
      <c r="K67" s="28"/>
      <c r="L67" s="11"/>
      <c r="M67" s="9"/>
      <c r="N67" s="11"/>
      <c r="O67" s="11"/>
      <c r="P67" s="11"/>
      <c r="Q67" s="266"/>
      <c r="R67" s="24"/>
      <c r="S67" s="25"/>
      <c r="T67" s="11"/>
      <c r="U67" s="9"/>
      <c r="V67" s="11"/>
      <c r="W67" s="11"/>
      <c r="X67" s="11"/>
      <c r="Y67" s="266"/>
      <c r="Z67" s="24"/>
      <c r="AA67" s="28"/>
      <c r="AB67" s="11"/>
      <c r="AC67" s="9"/>
      <c r="AD67" s="11"/>
      <c r="AE67" s="11"/>
      <c r="AF67" s="11"/>
      <c r="AG67" s="272"/>
      <c r="AH67" s="24"/>
      <c r="AI67" s="28"/>
      <c r="AJ67" s="11"/>
      <c r="AK67" s="9"/>
      <c r="AL67" s="11"/>
      <c r="AM67" s="11"/>
      <c r="AN67" s="11"/>
    </row>
    <row r="68" spans="2:40" ht="11.65" hidden="1" customHeight="1">
      <c r="B68" s="24"/>
      <c r="C68" s="25"/>
      <c r="D68" s="24"/>
      <c r="E68" s="9"/>
      <c r="F68" s="11"/>
      <c r="G68" s="11"/>
      <c r="H68" s="11"/>
      <c r="I68" s="266"/>
      <c r="J68" s="24"/>
      <c r="K68" s="28"/>
      <c r="L68" s="11"/>
      <c r="M68" s="9"/>
      <c r="N68" s="11"/>
      <c r="O68" s="11"/>
      <c r="P68" s="11"/>
      <c r="Q68" s="266"/>
      <c r="R68" s="24"/>
      <c r="S68" s="28"/>
      <c r="T68" s="11"/>
      <c r="U68" s="9"/>
      <c r="V68" s="11"/>
      <c r="W68" s="11"/>
      <c r="X68" s="11"/>
      <c r="Y68" s="266"/>
      <c r="Z68" s="24"/>
      <c r="AA68" s="28"/>
      <c r="AB68" s="11"/>
      <c r="AC68" s="9"/>
      <c r="AD68" s="11"/>
      <c r="AE68" s="11"/>
      <c r="AF68" s="11"/>
      <c r="AG68" s="272"/>
      <c r="AH68" s="24"/>
      <c r="AI68" s="28"/>
      <c r="AJ68" s="11"/>
      <c r="AK68" s="9"/>
      <c r="AL68" s="11"/>
      <c r="AM68" s="11"/>
      <c r="AN68" s="11"/>
    </row>
    <row r="69" spans="2:40" ht="11.65" hidden="1" customHeight="1">
      <c r="B69" s="24"/>
      <c r="C69" s="25"/>
      <c r="D69" s="24"/>
      <c r="E69" s="9"/>
      <c r="F69" s="11"/>
      <c r="G69" s="11"/>
      <c r="H69" s="11"/>
      <c r="I69" s="266"/>
      <c r="J69" s="24"/>
      <c r="K69" s="25"/>
      <c r="L69" s="11"/>
      <c r="M69" s="9"/>
      <c r="N69" s="11"/>
      <c r="O69" s="11"/>
      <c r="P69" s="11"/>
      <c r="Q69" s="266"/>
      <c r="R69" s="24"/>
      <c r="S69" s="28"/>
      <c r="T69" s="11"/>
      <c r="U69" s="9"/>
      <c r="V69" s="11"/>
      <c r="W69" s="11"/>
      <c r="X69" s="11"/>
      <c r="Y69" s="266"/>
      <c r="Z69" s="24"/>
      <c r="AA69" s="28"/>
      <c r="AB69" s="11"/>
      <c r="AC69" s="9"/>
      <c r="AD69" s="11"/>
      <c r="AE69" s="11"/>
      <c r="AF69" s="11"/>
      <c r="AG69" s="272"/>
      <c r="AH69" s="24"/>
      <c r="AI69" s="28"/>
      <c r="AJ69" s="11"/>
      <c r="AK69" s="9"/>
      <c r="AL69" s="11"/>
      <c r="AM69" s="11"/>
      <c r="AN69" s="11"/>
    </row>
    <row r="70" spans="2:40" ht="11.65" hidden="1" customHeight="1">
      <c r="C70" s="25"/>
      <c r="D70" s="24"/>
      <c r="E70" s="9"/>
      <c r="F70" s="11"/>
      <c r="G70" s="11"/>
      <c r="H70" s="11"/>
      <c r="I70" s="266"/>
      <c r="J70" s="24"/>
      <c r="K70" s="25"/>
      <c r="L70" s="11"/>
      <c r="M70" s="9"/>
      <c r="N70" s="11"/>
      <c r="O70" s="11"/>
      <c r="P70" s="11"/>
      <c r="Q70" s="266"/>
      <c r="R70" s="24"/>
      <c r="S70" s="28"/>
      <c r="T70" s="11"/>
      <c r="U70" s="9"/>
      <c r="V70" s="11"/>
      <c r="W70" s="11"/>
      <c r="X70" s="11"/>
      <c r="Y70" s="266"/>
      <c r="Z70" s="24"/>
      <c r="AA70" s="28"/>
      <c r="AB70" s="11"/>
      <c r="AC70" s="9"/>
      <c r="AD70" s="11"/>
      <c r="AE70" s="11"/>
      <c r="AF70" s="11"/>
      <c r="AG70" s="272"/>
      <c r="AH70" s="24"/>
      <c r="AI70" s="28"/>
      <c r="AJ70" s="11"/>
      <c r="AK70" s="9"/>
      <c r="AL70" s="11"/>
      <c r="AM70" s="11"/>
      <c r="AN70" s="11"/>
    </row>
    <row r="71" spans="2:40" ht="11.65" hidden="1" customHeight="1">
      <c r="B71" s="24"/>
      <c r="C71" s="24"/>
      <c r="D71" s="24"/>
      <c r="E71" s="9"/>
      <c r="F71" s="11"/>
      <c r="G71" s="11"/>
      <c r="H71" s="11"/>
      <c r="I71" s="266"/>
      <c r="J71" s="24"/>
      <c r="K71" s="25"/>
      <c r="L71" s="11"/>
      <c r="M71" s="9"/>
      <c r="N71" s="11"/>
      <c r="O71" s="11"/>
      <c r="P71" s="11"/>
      <c r="Q71" s="266"/>
      <c r="R71" s="24"/>
      <c r="S71" s="28"/>
      <c r="T71" s="11"/>
      <c r="U71" s="9"/>
      <c r="V71" s="11"/>
      <c r="W71" s="11"/>
      <c r="X71" s="11"/>
      <c r="Y71" s="266"/>
      <c r="Z71" s="24"/>
      <c r="AA71" s="25"/>
      <c r="AB71" s="11"/>
      <c r="AC71" s="9"/>
      <c r="AD71" s="11"/>
      <c r="AE71" s="11"/>
      <c r="AF71" s="11"/>
      <c r="AG71" s="272"/>
      <c r="AH71" s="24"/>
      <c r="AI71" s="28"/>
      <c r="AJ71" s="11"/>
      <c r="AK71" s="9"/>
      <c r="AL71" s="11"/>
      <c r="AM71" s="11"/>
      <c r="AN71" s="11"/>
    </row>
    <row r="72" spans="2:40" ht="11.65" hidden="1" customHeight="1">
      <c r="B72" s="24"/>
      <c r="C72" s="24"/>
      <c r="D72" s="24"/>
      <c r="E72" s="9"/>
      <c r="F72" s="11"/>
      <c r="G72" s="11"/>
      <c r="H72" s="11"/>
      <c r="I72" s="266"/>
      <c r="J72" s="24"/>
      <c r="K72" s="28"/>
      <c r="L72" s="11"/>
      <c r="M72" s="9"/>
      <c r="N72" s="11"/>
      <c r="O72" s="11"/>
      <c r="P72" s="11"/>
      <c r="Q72" s="266"/>
      <c r="R72" s="24"/>
      <c r="S72" s="28"/>
      <c r="T72" s="11"/>
      <c r="U72" s="9"/>
      <c r="V72" s="11"/>
      <c r="W72" s="11"/>
      <c r="X72" s="11"/>
      <c r="Y72" s="266"/>
      <c r="Z72" s="24"/>
      <c r="AA72" s="25"/>
      <c r="AB72" s="11"/>
      <c r="AC72" s="9"/>
      <c r="AD72" s="11"/>
      <c r="AE72" s="11"/>
      <c r="AF72" s="11"/>
      <c r="AG72" s="272"/>
      <c r="AH72" s="24"/>
      <c r="AI72" s="28"/>
      <c r="AJ72" s="11"/>
      <c r="AK72" s="9"/>
      <c r="AL72" s="11"/>
      <c r="AM72" s="11"/>
      <c r="AN72" s="11"/>
    </row>
    <row r="73" spans="2:40" ht="11.65" hidden="1" customHeight="1">
      <c r="B73" s="24"/>
      <c r="C73" s="24"/>
      <c r="D73" s="24"/>
      <c r="E73" s="9"/>
      <c r="F73" s="11"/>
      <c r="G73" s="11"/>
      <c r="H73" s="11"/>
      <c r="I73" s="266"/>
      <c r="J73" s="24"/>
      <c r="K73" s="28"/>
      <c r="L73" s="11"/>
      <c r="M73" s="9"/>
      <c r="N73" s="11"/>
      <c r="O73" s="11"/>
      <c r="P73" s="11"/>
      <c r="Q73" s="266"/>
      <c r="R73" s="24"/>
      <c r="S73" s="25"/>
      <c r="T73" s="11"/>
      <c r="U73" s="9"/>
      <c r="V73" s="11"/>
      <c r="W73" s="11"/>
      <c r="X73" s="11"/>
      <c r="Y73" s="266"/>
      <c r="Z73" s="24"/>
      <c r="AA73" s="25"/>
      <c r="AB73" s="11"/>
      <c r="AC73" s="9"/>
      <c r="AD73" s="11"/>
      <c r="AE73" s="11"/>
      <c r="AF73" s="11"/>
      <c r="AG73" s="272"/>
      <c r="AH73" s="24"/>
      <c r="AI73" s="28"/>
      <c r="AJ73" s="11"/>
      <c r="AK73" s="9"/>
      <c r="AL73" s="11"/>
      <c r="AM73" s="11"/>
      <c r="AN73" s="11"/>
    </row>
    <row r="74" spans="2:40" ht="11.65" hidden="1" customHeight="1">
      <c r="B74" s="24"/>
      <c r="C74" s="24"/>
      <c r="D74" s="24"/>
      <c r="E74" s="9"/>
      <c r="F74" s="11"/>
      <c r="G74" s="11"/>
      <c r="H74" s="11"/>
      <c r="I74" s="266"/>
      <c r="J74" s="24"/>
      <c r="K74" s="25"/>
      <c r="L74" s="11"/>
      <c r="M74" s="9"/>
      <c r="N74" s="11"/>
      <c r="O74" s="11"/>
      <c r="P74" s="11"/>
      <c r="Q74" s="266"/>
      <c r="R74" s="24"/>
      <c r="S74" s="25"/>
      <c r="T74" s="11"/>
      <c r="U74" s="9"/>
      <c r="V74" s="11"/>
      <c r="W74" s="11"/>
      <c r="X74" s="11"/>
      <c r="Y74" s="266"/>
      <c r="Z74" s="24"/>
      <c r="AA74" s="25"/>
      <c r="AB74" s="11"/>
      <c r="AC74" s="9"/>
      <c r="AD74" s="11"/>
      <c r="AE74" s="11"/>
      <c r="AF74" s="11"/>
      <c r="AG74" s="272"/>
      <c r="AH74" s="24"/>
      <c r="AI74" s="28"/>
      <c r="AJ74" s="11"/>
      <c r="AK74" s="9"/>
      <c r="AL74" s="11"/>
      <c r="AM74" s="11"/>
      <c r="AN74" s="11"/>
    </row>
    <row r="75" spans="2:40" ht="11.65" hidden="1" customHeight="1">
      <c r="B75" s="24"/>
      <c r="C75" s="24"/>
      <c r="D75" s="24"/>
      <c r="E75" s="9"/>
      <c r="F75" s="11"/>
      <c r="G75" s="11"/>
      <c r="H75" s="11"/>
      <c r="I75" s="266"/>
      <c r="J75" s="24"/>
      <c r="K75" s="25"/>
      <c r="L75" s="11"/>
      <c r="M75" s="9"/>
      <c r="N75" s="11"/>
      <c r="O75" s="11"/>
      <c r="P75" s="11"/>
      <c r="Q75" s="266"/>
      <c r="R75" s="24"/>
      <c r="S75" s="25"/>
      <c r="T75" s="11"/>
      <c r="U75" s="9"/>
      <c r="V75" s="11"/>
      <c r="W75" s="11"/>
      <c r="X75" s="11"/>
      <c r="Y75" s="266"/>
      <c r="Z75" s="24"/>
      <c r="AA75" s="28"/>
      <c r="AB75" s="11"/>
      <c r="AC75" s="9"/>
      <c r="AD75" s="11"/>
      <c r="AE75" s="11"/>
      <c r="AF75" s="11"/>
      <c r="AG75" s="272"/>
      <c r="AH75" s="24"/>
      <c r="AI75" s="28"/>
      <c r="AJ75" s="11"/>
      <c r="AK75" s="9"/>
      <c r="AL75" s="11"/>
      <c r="AM75" s="11"/>
      <c r="AN75" s="11"/>
    </row>
    <row r="76" spans="2:40" ht="11.65" hidden="1" customHeight="1">
      <c r="B76" s="24"/>
      <c r="C76" s="24"/>
      <c r="D76" s="24"/>
      <c r="E76" s="9"/>
      <c r="F76" s="11"/>
      <c r="G76" s="11"/>
      <c r="H76" s="11"/>
      <c r="I76" s="266"/>
      <c r="J76" s="24"/>
      <c r="K76" s="25"/>
      <c r="L76" s="11"/>
      <c r="M76" s="9"/>
      <c r="N76" s="11"/>
      <c r="O76" s="11"/>
      <c r="P76" s="11"/>
      <c r="Q76" s="266"/>
      <c r="R76" s="24"/>
      <c r="S76" s="25"/>
      <c r="T76" s="11"/>
      <c r="U76" s="9"/>
      <c r="V76" s="11"/>
      <c r="W76" s="11"/>
      <c r="X76" s="11"/>
      <c r="Y76" s="266"/>
      <c r="Z76" s="24"/>
      <c r="AA76" s="28"/>
      <c r="AB76" s="11"/>
      <c r="AC76" s="9"/>
      <c r="AD76" s="11"/>
      <c r="AE76" s="11"/>
      <c r="AF76" s="11"/>
      <c r="AG76" s="272"/>
      <c r="AH76" s="24"/>
      <c r="AI76" s="28"/>
      <c r="AJ76" s="11"/>
      <c r="AK76" s="9"/>
      <c r="AL76" s="11"/>
      <c r="AM76" s="11"/>
      <c r="AN76" s="11"/>
    </row>
    <row r="77" spans="2:40" ht="11.65" hidden="1" customHeight="1">
      <c r="B77" s="24"/>
      <c r="C77" s="24" t="s">
        <v>899</v>
      </c>
      <c r="D77" s="24"/>
      <c r="E77" s="9"/>
      <c r="F77" s="11"/>
      <c r="G77" s="11"/>
      <c r="H77" s="11"/>
      <c r="I77" s="266"/>
      <c r="J77" s="24"/>
      <c r="K77" s="25"/>
      <c r="L77" s="11"/>
      <c r="M77" s="9"/>
      <c r="N77" s="11"/>
      <c r="O77" s="11"/>
      <c r="P77" s="11"/>
      <c r="Q77" s="266"/>
      <c r="R77" s="24"/>
      <c r="S77" s="25"/>
      <c r="T77" s="11"/>
      <c r="U77" s="9"/>
      <c r="V77" s="11"/>
      <c r="W77" s="11"/>
      <c r="X77" s="11"/>
      <c r="Y77" s="266"/>
      <c r="Z77" s="24"/>
      <c r="AA77" s="28"/>
      <c r="AB77" s="11"/>
      <c r="AC77" s="9"/>
      <c r="AD77" s="11"/>
      <c r="AE77" s="11"/>
      <c r="AF77" s="11"/>
      <c r="AG77" s="272"/>
      <c r="AH77" s="24"/>
      <c r="AI77" s="28"/>
      <c r="AJ77" s="11"/>
      <c r="AK77" s="9"/>
      <c r="AL77" s="11"/>
      <c r="AM77" s="11"/>
      <c r="AN77" s="11"/>
    </row>
    <row r="78" spans="2:40" ht="11.65" hidden="1" customHeight="1">
      <c r="B78" s="24"/>
      <c r="C78" s="24"/>
      <c r="D78" s="24"/>
      <c r="E78" s="9"/>
      <c r="F78" s="11"/>
      <c r="G78" s="11"/>
      <c r="H78" s="11"/>
      <c r="I78" s="266"/>
      <c r="J78" s="24"/>
      <c r="K78" s="25"/>
      <c r="L78" s="11"/>
      <c r="M78" s="9"/>
      <c r="N78" s="11"/>
      <c r="O78" s="11"/>
      <c r="P78" s="11"/>
      <c r="Q78" s="266"/>
      <c r="R78" s="24"/>
      <c r="S78" s="25"/>
      <c r="T78" s="11"/>
      <c r="U78" s="9"/>
      <c r="V78" s="11"/>
      <c r="W78" s="11"/>
      <c r="X78" s="11"/>
      <c r="Y78" s="266"/>
      <c r="Z78" s="24"/>
      <c r="AA78" s="28"/>
      <c r="AB78" s="11"/>
      <c r="AC78" s="9"/>
      <c r="AD78" s="11"/>
      <c r="AE78" s="11"/>
      <c r="AF78" s="11"/>
      <c r="AG78" s="272"/>
      <c r="AH78" s="24"/>
      <c r="AI78" s="28"/>
      <c r="AJ78" s="11"/>
      <c r="AK78" s="9"/>
      <c r="AL78" s="11"/>
      <c r="AM78" s="11"/>
      <c r="AN78" s="11"/>
    </row>
    <row r="79" spans="2:40" ht="11.65" hidden="1" customHeight="1">
      <c r="B79" s="24"/>
      <c r="C79" s="24"/>
      <c r="D79" s="24"/>
      <c r="E79" s="9"/>
      <c r="F79" s="11"/>
      <c r="G79" s="11"/>
      <c r="H79" s="11"/>
      <c r="I79" s="266"/>
      <c r="J79" s="24"/>
      <c r="K79" s="25"/>
      <c r="L79" s="11"/>
      <c r="M79" s="9"/>
      <c r="N79" s="11"/>
      <c r="O79" s="11"/>
      <c r="P79" s="11"/>
      <c r="Q79" s="266"/>
      <c r="R79" s="24"/>
      <c r="S79" s="25"/>
      <c r="T79" s="11"/>
      <c r="U79" s="9"/>
      <c r="V79" s="11"/>
      <c r="W79" s="11"/>
      <c r="X79" s="11"/>
      <c r="Y79" s="266"/>
      <c r="Z79" s="24"/>
      <c r="AA79" s="28"/>
      <c r="AB79" s="11"/>
      <c r="AC79" s="9"/>
      <c r="AD79" s="11"/>
      <c r="AE79" s="11"/>
      <c r="AF79" s="11"/>
      <c r="AG79" s="272"/>
      <c r="AH79" s="24"/>
      <c r="AI79" s="28"/>
      <c r="AJ79" s="11"/>
      <c r="AK79" s="9"/>
      <c r="AL79" s="11"/>
      <c r="AM79" s="11"/>
      <c r="AN79" s="11"/>
    </row>
    <row r="80" spans="2:40" ht="11.65" hidden="1" customHeight="1">
      <c r="B80" s="24"/>
      <c r="C80" s="24"/>
      <c r="D80" s="24"/>
      <c r="E80" s="9"/>
      <c r="F80" s="11"/>
      <c r="G80" s="11"/>
      <c r="H80" s="11"/>
      <c r="I80" s="266"/>
      <c r="J80" s="24"/>
      <c r="K80" s="25"/>
      <c r="L80" s="11"/>
      <c r="M80" s="9"/>
      <c r="N80" s="11"/>
      <c r="O80" s="11"/>
      <c r="P80" s="11"/>
      <c r="Q80" s="266"/>
      <c r="R80" s="24"/>
      <c r="S80" s="25"/>
      <c r="T80" s="11"/>
      <c r="U80" s="9"/>
      <c r="V80" s="11"/>
      <c r="W80" s="11"/>
      <c r="X80" s="11"/>
      <c r="Y80" s="266"/>
      <c r="Z80" s="24"/>
      <c r="AA80" s="28"/>
      <c r="AB80" s="11"/>
      <c r="AC80" s="9"/>
      <c r="AD80" s="11"/>
      <c r="AE80" s="11"/>
      <c r="AF80" s="11"/>
      <c r="AG80" s="272"/>
      <c r="AH80" s="24"/>
      <c r="AI80" s="24"/>
      <c r="AJ80" s="11"/>
      <c r="AK80" s="9"/>
      <c r="AL80" s="11"/>
      <c r="AM80" s="11"/>
      <c r="AN80" s="11"/>
    </row>
    <row r="81" spans="1:40" ht="11.65" hidden="1" customHeight="1">
      <c r="B81" s="24"/>
      <c r="C81" s="24"/>
      <c r="D81" s="24"/>
      <c r="E81" s="9"/>
      <c r="F81" s="11"/>
      <c r="G81" s="11"/>
      <c r="H81" s="11"/>
      <c r="I81" s="266"/>
      <c r="J81" s="24"/>
      <c r="K81" s="25"/>
      <c r="L81" s="11"/>
      <c r="M81" s="9"/>
      <c r="N81" s="11"/>
      <c r="O81" s="11"/>
      <c r="P81" s="11"/>
      <c r="Q81" s="266"/>
      <c r="R81" s="24"/>
      <c r="S81" s="25"/>
      <c r="T81" s="11"/>
      <c r="U81" s="9"/>
      <c r="V81" s="11"/>
      <c r="W81" s="11"/>
      <c r="X81" s="11"/>
      <c r="Y81" s="266"/>
      <c r="Z81" s="24"/>
      <c r="AA81" s="25"/>
      <c r="AB81" s="11"/>
      <c r="AC81" s="9"/>
      <c r="AD81" s="11"/>
      <c r="AE81" s="11"/>
      <c r="AF81" s="11"/>
      <c r="AG81" s="272"/>
      <c r="AH81" s="24"/>
      <c r="AI81" s="24"/>
      <c r="AJ81" s="11"/>
      <c r="AK81" s="9"/>
      <c r="AL81" s="11"/>
      <c r="AM81" s="11"/>
      <c r="AN81" s="11"/>
    </row>
    <row r="82" spans="1:40" ht="11.65" hidden="1" customHeight="1">
      <c r="B82" s="24"/>
      <c r="C82" s="25"/>
      <c r="D82" s="11"/>
      <c r="E82" s="9"/>
      <c r="F82" s="11"/>
      <c r="G82" s="11"/>
      <c r="H82" s="11"/>
      <c r="I82" s="266"/>
      <c r="J82" s="24"/>
      <c r="K82" s="25"/>
      <c r="L82" s="11"/>
      <c r="M82" s="9"/>
      <c r="N82" s="11"/>
      <c r="O82" s="11"/>
      <c r="P82" s="11"/>
      <c r="Q82" s="266"/>
      <c r="R82" s="24"/>
      <c r="S82" s="25"/>
      <c r="T82" s="11"/>
      <c r="U82" s="9"/>
      <c r="V82" s="11"/>
      <c r="W82" s="11"/>
      <c r="X82" s="11"/>
      <c r="Y82" s="266"/>
      <c r="Z82" s="24"/>
      <c r="AA82" s="25"/>
      <c r="AB82" s="11"/>
      <c r="AC82" s="9"/>
      <c r="AD82" s="11"/>
      <c r="AE82" s="11"/>
      <c r="AF82" s="11"/>
      <c r="AG82" s="272"/>
      <c r="AH82" s="24"/>
      <c r="AI82" s="24"/>
      <c r="AJ82" s="11"/>
      <c r="AK82" s="9"/>
      <c r="AL82" s="11"/>
      <c r="AM82" s="11"/>
      <c r="AN82" s="11"/>
    </row>
    <row r="83" spans="1:40" ht="11.65" hidden="1" customHeight="1">
      <c r="C83" s="25"/>
      <c r="D83" s="11"/>
      <c r="E83" s="9"/>
      <c r="F83" s="11"/>
      <c r="G83" s="11"/>
      <c r="H83" s="11"/>
      <c r="I83" s="266"/>
      <c r="J83" s="24"/>
      <c r="K83" s="25"/>
      <c r="L83" s="11"/>
      <c r="M83" s="9"/>
      <c r="N83" s="11"/>
      <c r="O83" s="11"/>
      <c r="P83" s="11"/>
      <c r="Q83" s="266"/>
      <c r="R83" s="24"/>
      <c r="S83" s="25"/>
      <c r="T83" s="11"/>
      <c r="U83" s="9"/>
      <c r="V83" s="11"/>
      <c r="W83" s="11"/>
      <c r="X83" s="11"/>
      <c r="Y83" s="266"/>
      <c r="Z83" s="24"/>
      <c r="AA83" s="25"/>
      <c r="AB83" s="11"/>
      <c r="AC83" s="9"/>
      <c r="AD83" s="11"/>
      <c r="AE83" s="11"/>
      <c r="AF83" s="11"/>
      <c r="AG83" s="207"/>
      <c r="AH83" s="207"/>
      <c r="AI83" s="207"/>
      <c r="AJ83" s="207"/>
      <c r="AK83" s="207"/>
      <c r="AL83" s="207"/>
      <c r="AM83" s="207"/>
      <c r="AN83" s="207"/>
    </row>
    <row r="84" spans="1:40" ht="11.65" hidden="1" customHeight="1">
      <c r="B84" s="24"/>
      <c r="C84" s="25"/>
      <c r="D84" s="11"/>
      <c r="E84" s="9"/>
      <c r="F84" s="11"/>
      <c r="G84" s="11"/>
      <c r="H84" s="11"/>
      <c r="I84" s="266"/>
      <c r="J84" s="24"/>
      <c r="K84" s="25"/>
      <c r="L84" s="11"/>
      <c r="M84" s="9"/>
      <c r="N84" s="11"/>
      <c r="O84" s="11"/>
      <c r="P84" s="11"/>
      <c r="Q84" s="269"/>
      <c r="R84" s="24"/>
      <c r="S84" s="25"/>
      <c r="T84" s="11"/>
      <c r="U84" s="9"/>
      <c r="V84" s="11"/>
      <c r="W84" s="11"/>
      <c r="X84" s="11"/>
      <c r="Y84" s="266"/>
      <c r="Z84" s="24"/>
      <c r="AA84" s="25"/>
      <c r="AB84" s="11"/>
      <c r="AC84" s="9"/>
      <c r="AD84" s="11"/>
      <c r="AE84" s="11"/>
      <c r="AF84" s="11"/>
      <c r="AG84" s="207"/>
      <c r="AH84" s="207"/>
      <c r="AI84" s="25"/>
      <c r="AJ84" s="207"/>
      <c r="AK84" s="207"/>
      <c r="AL84" s="207"/>
      <c r="AM84" s="207"/>
      <c r="AN84" s="207"/>
    </row>
    <row r="85" spans="1:40" ht="11.65" hidden="1" customHeight="1">
      <c r="B85" s="24"/>
      <c r="C85" s="25"/>
      <c r="D85" s="11"/>
      <c r="E85" s="9"/>
      <c r="F85" s="11"/>
      <c r="G85" s="11"/>
      <c r="H85" s="11"/>
      <c r="I85" s="266"/>
      <c r="J85" s="24"/>
      <c r="K85" s="25"/>
      <c r="L85" s="11"/>
      <c r="M85" s="9"/>
      <c r="N85" s="11"/>
      <c r="O85" s="11"/>
      <c r="P85" s="11"/>
      <c r="Q85" s="269"/>
      <c r="R85" s="24"/>
      <c r="S85" s="25"/>
      <c r="T85" s="11"/>
      <c r="U85" s="9"/>
      <c r="V85" s="11"/>
      <c r="W85" s="11"/>
      <c r="X85" s="11"/>
      <c r="Y85" s="266"/>
      <c r="Z85" s="24"/>
      <c r="AA85" s="25"/>
      <c r="AB85" s="11"/>
      <c r="AC85" s="9"/>
      <c r="AD85" s="11"/>
      <c r="AE85" s="11"/>
      <c r="AF85" s="11"/>
      <c r="AG85" s="207"/>
      <c r="AH85" s="207"/>
      <c r="AI85" s="11"/>
      <c r="AJ85" s="239"/>
      <c r="AK85" s="239"/>
      <c r="AL85" s="262"/>
      <c r="AM85" s="262"/>
      <c r="AN85" s="262"/>
    </row>
    <row r="86" spans="1:40" ht="11.65" hidden="1" customHeight="1">
      <c r="B86" s="24"/>
      <c r="C86" s="28"/>
      <c r="D86" s="11"/>
      <c r="E86" s="9"/>
      <c r="F86" s="11"/>
      <c r="G86" s="11"/>
      <c r="H86" s="11"/>
      <c r="I86" s="266"/>
      <c r="J86" s="24"/>
      <c r="K86" s="25"/>
      <c r="L86" s="11"/>
      <c r="M86" s="9"/>
      <c r="N86" s="11"/>
      <c r="O86" s="11"/>
      <c r="P86" s="11"/>
      <c r="Q86" s="269"/>
      <c r="R86" s="24"/>
      <c r="S86" s="25"/>
      <c r="T86" s="11"/>
      <c r="U86" s="9"/>
      <c r="V86" s="11"/>
      <c r="W86" s="11"/>
      <c r="X86" s="11"/>
      <c r="Y86" s="266"/>
      <c r="Z86" s="24"/>
      <c r="AA86" s="25"/>
      <c r="AB86" s="11"/>
      <c r="AC86" s="9"/>
      <c r="AD86" s="11"/>
      <c r="AE86" s="11"/>
      <c r="AF86" s="11"/>
      <c r="AG86" s="207"/>
      <c r="AH86" s="207"/>
      <c r="AI86" s="11"/>
      <c r="AJ86" s="239"/>
      <c r="AK86" s="239"/>
      <c r="AL86" s="262"/>
      <c r="AM86" s="262"/>
      <c r="AN86" s="262"/>
    </row>
    <row r="87" spans="1:40" ht="11.65" hidden="1" customHeight="1">
      <c r="B87" s="24"/>
      <c r="C87" s="28"/>
      <c r="D87" s="11"/>
      <c r="E87" s="9"/>
      <c r="F87" s="11"/>
      <c r="G87" s="11"/>
      <c r="H87" s="11"/>
      <c r="I87" s="266"/>
      <c r="J87" s="24"/>
      <c r="K87" s="25"/>
      <c r="L87" s="11"/>
      <c r="M87" s="9"/>
      <c r="N87" s="11"/>
      <c r="O87" s="11"/>
      <c r="P87" s="11"/>
      <c r="Q87" s="269"/>
      <c r="R87" s="24"/>
      <c r="S87" s="25"/>
      <c r="T87" s="11"/>
      <c r="U87" s="9"/>
      <c r="V87" s="11"/>
      <c r="W87" s="11"/>
      <c r="X87" s="11"/>
      <c r="Y87" s="271"/>
      <c r="Z87" s="24"/>
      <c r="AA87" s="24"/>
      <c r="AB87" s="11"/>
      <c r="AC87" s="9"/>
      <c r="AD87" s="11"/>
      <c r="AE87" s="11"/>
      <c r="AF87" s="11"/>
      <c r="AG87" s="207"/>
      <c r="AH87" s="207"/>
      <c r="AI87" s="11"/>
      <c r="AJ87" s="239"/>
      <c r="AK87" s="239"/>
      <c r="AL87" s="239"/>
      <c r="AM87" s="239"/>
      <c r="AN87" s="239"/>
    </row>
    <row r="88" spans="1:40" ht="11.65" hidden="1" customHeight="1">
      <c r="B88" s="24"/>
      <c r="C88" s="28"/>
      <c r="D88" s="11"/>
      <c r="E88" s="9"/>
      <c r="F88" s="11"/>
      <c r="G88" s="11"/>
      <c r="H88" s="11"/>
      <c r="I88" s="266"/>
      <c r="J88" s="24"/>
      <c r="K88" s="25"/>
      <c r="L88" s="11"/>
      <c r="M88" s="9"/>
      <c r="N88" s="11"/>
      <c r="O88" s="11"/>
      <c r="P88" s="11"/>
      <c r="Q88" s="269"/>
      <c r="R88" s="24"/>
      <c r="S88" s="25"/>
      <c r="T88" s="11"/>
      <c r="U88" s="9"/>
      <c r="V88" s="11"/>
      <c r="W88" s="11"/>
      <c r="X88" s="11"/>
      <c r="Y88" s="271"/>
      <c r="Z88" s="24"/>
      <c r="AA88" s="24"/>
      <c r="AB88" s="11"/>
      <c r="AC88" s="9"/>
      <c r="AD88" s="11"/>
      <c r="AE88" s="11"/>
      <c r="AF88" s="11"/>
      <c r="AG88" s="207"/>
      <c r="AH88" s="207"/>
      <c r="AI88" s="11"/>
      <c r="AJ88" s="239"/>
      <c r="AK88" s="239"/>
      <c r="AL88" s="239"/>
      <c r="AM88" s="239"/>
    </row>
    <row r="89" spans="1:40" ht="11.65" hidden="1" customHeight="1">
      <c r="B89" s="24"/>
      <c r="C89" s="25"/>
      <c r="D89" s="11"/>
      <c r="E89" s="9"/>
      <c r="F89" s="11"/>
      <c r="G89" s="11"/>
      <c r="H89" s="11"/>
      <c r="I89" s="266"/>
      <c r="J89" s="24"/>
      <c r="K89" s="25"/>
      <c r="L89" s="11"/>
      <c r="M89" s="9"/>
      <c r="N89" s="11"/>
      <c r="O89" s="11"/>
      <c r="P89" s="11"/>
      <c r="Q89" s="269"/>
      <c r="R89" s="24"/>
      <c r="S89" s="25"/>
      <c r="T89" s="11"/>
      <c r="U89" s="9"/>
      <c r="V89" s="11"/>
      <c r="W89" s="11"/>
      <c r="X89" s="11"/>
      <c r="Y89" s="271"/>
      <c r="Z89" s="24"/>
      <c r="AA89" s="24"/>
      <c r="AB89" s="11"/>
      <c r="AC89" s="9"/>
      <c r="AD89" s="11"/>
      <c r="AE89" s="11"/>
      <c r="AF89" s="11"/>
      <c r="AG89" s="207"/>
      <c r="AH89" s="207"/>
      <c r="AI89" s="25"/>
      <c r="AJ89" s="207"/>
      <c r="AK89" s="207"/>
      <c r="AL89" s="207"/>
      <c r="AM89" s="207"/>
      <c r="AN89" s="25"/>
    </row>
    <row r="90" spans="1:40" ht="11.65" hidden="1" customHeight="1">
      <c r="B90" s="24"/>
      <c r="C90" s="25"/>
      <c r="D90" s="11"/>
      <c r="E90" s="9"/>
      <c r="F90" s="11"/>
      <c r="G90" s="11"/>
      <c r="H90" s="11"/>
      <c r="I90" s="266"/>
      <c r="J90" s="24"/>
      <c r="K90" s="25"/>
      <c r="L90" s="11"/>
      <c r="M90" s="9"/>
      <c r="N90" s="11"/>
      <c r="O90" s="11"/>
      <c r="P90" s="11"/>
      <c r="Q90" s="269"/>
      <c r="R90" s="24"/>
      <c r="S90" s="28"/>
      <c r="T90" s="11"/>
      <c r="U90" s="9"/>
      <c r="V90" s="11"/>
      <c r="W90" s="11"/>
      <c r="X90" s="11"/>
      <c r="Y90" s="271"/>
      <c r="Z90" s="25"/>
      <c r="AA90" s="24"/>
      <c r="AB90" s="11"/>
      <c r="AC90" s="9"/>
      <c r="AD90" s="11"/>
      <c r="AE90" s="11"/>
      <c r="AF90" s="11"/>
      <c r="AG90" s="207"/>
      <c r="AH90" s="207"/>
      <c r="AI90" s="35"/>
      <c r="AJ90" s="262"/>
      <c r="AK90" s="262"/>
      <c r="AL90" s="262"/>
      <c r="AM90" s="262"/>
    </row>
    <row r="91" spans="1:40" ht="11.65" hidden="1" customHeight="1">
      <c r="B91" s="24"/>
      <c r="C91" s="25"/>
      <c r="D91" s="11"/>
      <c r="E91" s="9"/>
      <c r="F91" s="11"/>
      <c r="G91" s="11"/>
      <c r="H91" s="11"/>
      <c r="I91" s="265"/>
      <c r="J91" s="24"/>
      <c r="K91" s="24"/>
      <c r="L91" s="11"/>
      <c r="M91" s="9"/>
      <c r="N91" s="11"/>
      <c r="O91" s="11"/>
      <c r="P91" s="11"/>
      <c r="Q91" s="269"/>
      <c r="R91" s="24"/>
      <c r="S91" s="28"/>
      <c r="T91" s="11"/>
      <c r="U91" s="9"/>
      <c r="V91" s="11"/>
      <c r="W91" s="11"/>
      <c r="X91" s="11"/>
      <c r="Y91" s="271"/>
      <c r="Z91" s="25"/>
      <c r="AA91" s="24"/>
      <c r="AB91" s="11"/>
      <c r="AC91" s="9"/>
      <c r="AD91" s="11"/>
      <c r="AE91" s="11"/>
      <c r="AF91" s="11"/>
      <c r="AG91" s="207"/>
      <c r="AH91" s="207"/>
      <c r="AI91" s="35"/>
      <c r="AJ91" s="262"/>
      <c r="AK91" s="262"/>
      <c r="AL91" s="262"/>
      <c r="AM91" s="262"/>
    </row>
    <row r="92" spans="1:40" ht="11.65" hidden="1" customHeight="1">
      <c r="B92" s="24"/>
      <c r="C92" s="25"/>
      <c r="D92" s="11"/>
      <c r="E92" s="9"/>
      <c r="F92" s="11"/>
      <c r="G92" s="11"/>
      <c r="H92" s="11"/>
      <c r="I92" s="265"/>
      <c r="J92" s="24"/>
      <c r="K92" s="24"/>
      <c r="L92" s="11"/>
      <c r="M92" s="9"/>
      <c r="N92" s="11"/>
      <c r="O92" s="11"/>
      <c r="P92" s="11"/>
      <c r="Q92" s="269"/>
      <c r="R92" s="24"/>
      <c r="S92" s="28"/>
      <c r="T92" s="11"/>
      <c r="U92" s="9"/>
      <c r="V92" s="11"/>
      <c r="W92" s="11"/>
      <c r="X92" s="11"/>
      <c r="Y92" s="271"/>
      <c r="Z92" s="25"/>
      <c r="AA92" s="24"/>
      <c r="AB92" s="11"/>
      <c r="AC92" s="9"/>
      <c r="AD92" s="11"/>
      <c r="AE92" s="11"/>
      <c r="AF92" s="11"/>
      <c r="AG92" s="207"/>
      <c r="AH92" s="207"/>
      <c r="AI92" s="11"/>
      <c r="AJ92" s="239"/>
      <c r="AK92" s="239"/>
      <c r="AL92" s="239"/>
      <c r="AM92" s="239"/>
      <c r="AN92" s="11"/>
    </row>
    <row r="93" spans="1:40" ht="11.65" hidden="1" customHeight="1">
      <c r="B93" s="24"/>
      <c r="C93" s="28"/>
      <c r="D93" s="11"/>
      <c r="E93" s="9"/>
      <c r="F93" s="11"/>
      <c r="G93" s="11"/>
      <c r="H93" s="11"/>
      <c r="I93" s="265"/>
      <c r="J93" s="24"/>
      <c r="K93" s="24"/>
      <c r="L93" s="11"/>
      <c r="M93" s="9"/>
      <c r="N93" s="11"/>
      <c r="O93" s="11"/>
      <c r="P93" s="11"/>
      <c r="Q93" s="270"/>
      <c r="R93" s="24"/>
      <c r="S93" s="25"/>
      <c r="T93" s="11"/>
      <c r="U93" s="9"/>
      <c r="V93" s="11"/>
      <c r="W93" s="11"/>
      <c r="X93" s="11"/>
      <c r="Y93" s="271"/>
      <c r="Z93" s="25"/>
      <c r="AA93" s="24"/>
      <c r="AB93" s="11"/>
      <c r="AC93" s="9"/>
      <c r="AD93" s="11"/>
      <c r="AE93" s="11"/>
      <c r="AF93" s="11"/>
      <c r="AG93" s="207"/>
      <c r="AH93" s="207"/>
      <c r="AI93" s="207"/>
      <c r="AJ93" s="207"/>
      <c r="AK93" s="263"/>
      <c r="AL93" s="263"/>
      <c r="AM93" s="241"/>
      <c r="AN93" s="241"/>
    </row>
    <row r="94" spans="1:40" ht="11.65" hidden="1" customHeight="1">
      <c r="B94" s="24"/>
      <c r="C94" s="25"/>
      <c r="D94" s="11"/>
      <c r="E94" s="9"/>
      <c r="F94" s="11"/>
      <c r="G94" s="11"/>
      <c r="H94" s="11"/>
      <c r="I94" s="265"/>
      <c r="J94" s="24"/>
      <c r="K94" s="24"/>
      <c r="L94" s="11"/>
      <c r="M94" s="9"/>
      <c r="N94" s="11"/>
      <c r="O94" s="11"/>
      <c r="P94" s="11"/>
      <c r="Q94" s="270"/>
      <c r="R94" s="24"/>
      <c r="S94" s="25"/>
      <c r="T94" s="11"/>
      <c r="U94" s="9"/>
      <c r="V94" s="11"/>
      <c r="W94" s="11"/>
      <c r="X94" s="11"/>
      <c r="Y94" s="271"/>
      <c r="Z94" s="25"/>
      <c r="AA94" s="24"/>
      <c r="AB94" s="11"/>
      <c r="AC94" s="9"/>
      <c r="AD94" s="11"/>
      <c r="AE94" s="11"/>
      <c r="AF94" s="11"/>
      <c r="AG94" s="239"/>
      <c r="AH94" s="239"/>
    </row>
    <row r="95" spans="1:40" ht="12.25" customHeight="1">
      <c r="A95" s="221" t="s">
        <v>413</v>
      </c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</row>
    <row r="96" spans="1:40" ht="24.15" customHeight="1">
      <c r="A96" s="207" t="s">
        <v>6</v>
      </c>
      <c r="B96" s="207"/>
      <c r="C96" s="25" t="s">
        <v>1279</v>
      </c>
      <c r="D96" s="25" t="s">
        <v>683</v>
      </c>
      <c r="E96" s="25" t="s">
        <v>628</v>
      </c>
      <c r="F96" s="25" t="s">
        <v>105</v>
      </c>
      <c r="G96" s="25" t="s">
        <v>658</v>
      </c>
      <c r="H96" s="25" t="s">
        <v>626</v>
      </c>
      <c r="I96" s="207" t="s">
        <v>1280</v>
      </c>
      <c r="J96" s="207"/>
      <c r="K96" s="25" t="s">
        <v>1281</v>
      </c>
      <c r="L96" s="36" t="s">
        <v>364</v>
      </c>
      <c r="M96" s="25" t="s">
        <v>656</v>
      </c>
      <c r="N96" s="207" t="s">
        <v>1166</v>
      </c>
      <c r="O96" s="207"/>
      <c r="P96" s="207" t="s">
        <v>161</v>
      </c>
      <c r="Q96" s="207"/>
      <c r="R96" s="24" t="s">
        <v>137</v>
      </c>
      <c r="S96" s="25" t="s">
        <v>665</v>
      </c>
      <c r="T96" s="36" t="s">
        <v>670</v>
      </c>
      <c r="U96" s="25" t="s">
        <v>598</v>
      </c>
      <c r="V96" s="25" t="s">
        <v>237</v>
      </c>
      <c r="W96" s="25" t="s">
        <v>247</v>
      </c>
      <c r="X96" s="25" t="s">
        <v>182</v>
      </c>
      <c r="Y96" s="207" t="s">
        <v>193</v>
      </c>
      <c r="Z96" s="207"/>
      <c r="AA96" s="25" t="s">
        <v>280</v>
      </c>
      <c r="AB96" s="207" t="s">
        <v>1199</v>
      </c>
      <c r="AC96" s="207"/>
      <c r="AD96" s="207" t="s">
        <v>543</v>
      </c>
      <c r="AE96" s="207"/>
      <c r="AF96" s="28" t="s">
        <v>202</v>
      </c>
      <c r="AG96" s="207" t="s">
        <v>1282</v>
      </c>
      <c r="AH96" s="207"/>
      <c r="AI96" s="25" t="s">
        <v>408</v>
      </c>
      <c r="AJ96" s="26" t="s">
        <v>610</v>
      </c>
      <c r="AK96" s="25" t="s">
        <v>424</v>
      </c>
      <c r="AL96" s="25" t="s">
        <v>1203</v>
      </c>
      <c r="AM96" s="207" t="s">
        <v>797</v>
      </c>
      <c r="AN96" s="207"/>
    </row>
    <row r="97" spans="1:40" ht="12.25" customHeight="1">
      <c r="A97" s="207" t="s">
        <v>419</v>
      </c>
      <c r="B97" s="207"/>
      <c r="C97" s="11">
        <v>2516.9430000000002</v>
      </c>
      <c r="D97" s="11">
        <v>3224.9569999999999</v>
      </c>
      <c r="E97" s="11">
        <v>1278.5409999999999</v>
      </c>
      <c r="F97" s="11">
        <v>4422.192</v>
      </c>
      <c r="G97" s="11">
        <v>6975.2269999999999</v>
      </c>
      <c r="H97" s="11">
        <v>2233.5129999999999</v>
      </c>
      <c r="I97" s="239">
        <v>20651.373</v>
      </c>
      <c r="J97" s="239"/>
      <c r="K97" s="11">
        <v>0</v>
      </c>
      <c r="L97" s="11">
        <v>1135.8620000000001</v>
      </c>
      <c r="M97" s="11">
        <v>12532.296</v>
      </c>
      <c r="N97" s="239">
        <v>32890.625</v>
      </c>
      <c r="O97" s="239"/>
      <c r="P97" s="239">
        <v>8676.5789999999997</v>
      </c>
      <c r="Q97" s="239"/>
      <c r="R97" s="11">
        <v>6468.2740000000003</v>
      </c>
      <c r="S97" s="11">
        <v>2951.8530000000001</v>
      </c>
      <c r="T97" s="11">
        <v>7335.1229999999996</v>
      </c>
      <c r="U97" s="11">
        <v>7556.8760000000002</v>
      </c>
      <c r="V97" s="11">
        <v>1755.204</v>
      </c>
      <c r="W97" s="11">
        <v>755.07799999999997</v>
      </c>
      <c r="X97" s="11">
        <v>8398.4719999999998</v>
      </c>
      <c r="Y97" s="239">
        <v>13749.95</v>
      </c>
      <c r="Z97" s="239"/>
      <c r="AA97" s="11">
        <v>1599.723</v>
      </c>
      <c r="AB97" s="239">
        <v>548.82799999999997</v>
      </c>
      <c r="AC97" s="239"/>
      <c r="AD97" s="239">
        <v>13269.929</v>
      </c>
      <c r="AE97" s="239"/>
      <c r="AF97" s="11">
        <v>2261.5619999999999</v>
      </c>
      <c r="AG97" s="239">
        <v>4183.9489999999996</v>
      </c>
      <c r="AH97" s="239"/>
      <c r="AI97" s="11">
        <v>1022.6319999999999</v>
      </c>
      <c r="AJ97" s="11">
        <v>2085.2649999999999</v>
      </c>
      <c r="AK97" s="11">
        <v>670.91399999999999</v>
      </c>
      <c r="AL97" s="11">
        <v>593.56500000000005</v>
      </c>
      <c r="AM97" s="239">
        <v>151093.932</v>
      </c>
      <c r="AN97" s="239"/>
    </row>
    <row r="98" spans="1:40" ht="12.25" customHeight="1">
      <c r="A98" s="207" t="s">
        <v>425</v>
      </c>
      <c r="B98" s="207"/>
      <c r="C98" s="11">
        <v>3101.1309999999999</v>
      </c>
      <c r="D98" s="11">
        <v>6385.0429999999997</v>
      </c>
      <c r="E98" s="11">
        <v>281.67</v>
      </c>
      <c r="F98" s="11">
        <v>1968.3130000000001</v>
      </c>
      <c r="G98" s="11">
        <v>4805.0209999999997</v>
      </c>
      <c r="H98" s="11">
        <v>3470.5659999999998</v>
      </c>
      <c r="I98" s="239">
        <v>20011.743999999999</v>
      </c>
      <c r="J98" s="239"/>
      <c r="K98" s="11">
        <v>0</v>
      </c>
      <c r="L98" s="11">
        <v>1153.9069999999999</v>
      </c>
      <c r="M98" s="11">
        <v>16527.593000000001</v>
      </c>
      <c r="N98" s="239">
        <v>42935.214999999997</v>
      </c>
      <c r="O98" s="239"/>
      <c r="P98" s="239">
        <v>4645.1689999999999</v>
      </c>
      <c r="Q98" s="239"/>
      <c r="R98" s="11">
        <v>3931.8980000000001</v>
      </c>
      <c r="S98" s="11">
        <v>2302.8220000000001</v>
      </c>
      <c r="T98" s="11">
        <v>1919.7190000000001</v>
      </c>
      <c r="U98" s="11">
        <v>5195.4939999999997</v>
      </c>
      <c r="V98" s="11">
        <v>1432.66</v>
      </c>
      <c r="W98" s="11">
        <v>755.327</v>
      </c>
      <c r="X98" s="11">
        <v>7574.8549999999996</v>
      </c>
      <c r="Y98" s="239">
        <v>12366.453</v>
      </c>
      <c r="Z98" s="239"/>
      <c r="AA98" s="11">
        <v>1617.924</v>
      </c>
      <c r="AB98" s="239">
        <v>466.61399999999998</v>
      </c>
      <c r="AC98" s="239"/>
      <c r="AD98" s="239">
        <v>13042.142</v>
      </c>
      <c r="AE98" s="239"/>
      <c r="AF98" s="11">
        <v>3127.5639999999999</v>
      </c>
      <c r="AG98" s="239">
        <v>4183.9489999999996</v>
      </c>
      <c r="AH98" s="239"/>
      <c r="AI98" s="11">
        <v>733.43899999999996</v>
      </c>
      <c r="AJ98" s="11">
        <v>1750.6010000000001</v>
      </c>
      <c r="AK98" s="11">
        <v>963.46199999999999</v>
      </c>
      <c r="AL98" s="11">
        <v>613.95699999999999</v>
      </c>
      <c r="AM98" s="239">
        <v>147252.508</v>
      </c>
      <c r="AN98" s="239"/>
    </row>
    <row r="99" spans="1:40" ht="12.25" customHeight="1">
      <c r="A99" s="207" t="s">
        <v>118</v>
      </c>
      <c r="B99" s="207"/>
      <c r="C99" s="11">
        <v>584.18799999999999</v>
      </c>
      <c r="D99" s="11">
        <v>3160.0859999999998</v>
      </c>
      <c r="E99" s="11">
        <v>-996.87099999999998</v>
      </c>
      <c r="F99" s="11">
        <v>-2453.8789999999999</v>
      </c>
      <c r="G99" s="11">
        <v>-2170.2060000000001</v>
      </c>
      <c r="H99" s="11">
        <v>1237.0530000000001</v>
      </c>
      <c r="I99" s="239">
        <v>-639.62900000000002</v>
      </c>
      <c r="J99" s="239"/>
      <c r="K99" s="11">
        <v>0</v>
      </c>
      <c r="L99" s="11">
        <v>18.045000000000002</v>
      </c>
      <c r="M99" s="11">
        <v>3995.297</v>
      </c>
      <c r="N99" s="239">
        <v>10044.59</v>
      </c>
      <c r="O99" s="239"/>
      <c r="P99" s="239">
        <v>-4031.41</v>
      </c>
      <c r="Q99" s="239"/>
      <c r="R99" s="11">
        <v>-2536.3760000000002</v>
      </c>
      <c r="S99" s="11">
        <v>-649.03099999999995</v>
      </c>
      <c r="T99" s="11">
        <v>-5415.4040000000005</v>
      </c>
      <c r="U99" s="11">
        <v>-2361.3820000000001</v>
      </c>
      <c r="V99" s="11">
        <v>-322.54399999999998</v>
      </c>
      <c r="W99" s="11">
        <v>0.249</v>
      </c>
      <c r="X99" s="11">
        <v>-823.61699999999996</v>
      </c>
      <c r="Y99" s="239">
        <v>-1383.4970000000001</v>
      </c>
      <c r="Z99" s="239"/>
      <c r="AA99" s="11">
        <v>18.201000000000001</v>
      </c>
      <c r="AB99" s="239">
        <v>-82.213999999999999</v>
      </c>
      <c r="AC99" s="239"/>
      <c r="AD99" s="239">
        <v>-227.78700000000001</v>
      </c>
      <c r="AE99" s="239"/>
      <c r="AF99" s="11">
        <v>866.00199999999995</v>
      </c>
      <c r="AG99" s="239">
        <v>0</v>
      </c>
      <c r="AH99" s="239"/>
      <c r="AI99" s="11">
        <v>-289.19299999999998</v>
      </c>
      <c r="AJ99" s="11">
        <v>-334.66399999999999</v>
      </c>
      <c r="AK99" s="11">
        <v>292.548</v>
      </c>
      <c r="AL99" s="11">
        <v>20.391999999999999</v>
      </c>
      <c r="AM99" s="239">
        <v>-3841.424</v>
      </c>
      <c r="AN99" s="239"/>
    </row>
    <row r="100" spans="1:40" ht="12.25" customHeight="1">
      <c r="A100" s="264" t="s">
        <v>1283</v>
      </c>
      <c r="B100" s="264"/>
      <c r="C100" s="11">
        <v>3723.3049999999998</v>
      </c>
      <c r="D100" s="11">
        <v>6035.6459999999997</v>
      </c>
      <c r="E100" s="11">
        <v>332.459</v>
      </c>
      <c r="F100" s="11">
        <v>1764.443</v>
      </c>
      <c r="G100" s="11">
        <v>4092.8029999999999</v>
      </c>
      <c r="H100" s="11">
        <v>4013.6170000000002</v>
      </c>
      <c r="I100" s="239">
        <v>19962.273000000001</v>
      </c>
      <c r="J100" s="239"/>
      <c r="K100" s="11">
        <v>0</v>
      </c>
      <c r="L100" s="11">
        <v>1154.115</v>
      </c>
      <c r="M100" s="11">
        <v>19227.462</v>
      </c>
      <c r="N100" s="239">
        <v>40417.415000000001</v>
      </c>
      <c r="O100" s="239"/>
      <c r="P100" s="239">
        <v>4055.7159999999999</v>
      </c>
      <c r="Q100" s="239"/>
      <c r="R100" s="11">
        <v>819.73599999999999</v>
      </c>
      <c r="S100" s="11">
        <v>1936.1130000000001</v>
      </c>
      <c r="T100" s="11">
        <v>-113.074</v>
      </c>
      <c r="U100" s="11">
        <v>5441.7839999999997</v>
      </c>
      <c r="V100" s="11">
        <v>1097.191</v>
      </c>
      <c r="W100" s="11">
        <v>755.173</v>
      </c>
      <c r="X100" s="11">
        <v>8872.7340000000004</v>
      </c>
      <c r="Y100" s="239">
        <v>15212.888000000001</v>
      </c>
      <c r="Z100" s="239"/>
      <c r="AA100" s="11">
        <v>1622.9680000000001</v>
      </c>
      <c r="AB100" s="239">
        <v>124.28100000000001</v>
      </c>
      <c r="AC100" s="239"/>
      <c r="AD100" s="239">
        <v>16435.188999999998</v>
      </c>
      <c r="AE100" s="239"/>
      <c r="AF100" s="11">
        <v>2861.9690000000001</v>
      </c>
      <c r="AG100" s="239">
        <v>4183.9489999999996</v>
      </c>
      <c r="AH100" s="239"/>
      <c r="AI100" s="11">
        <v>733.13499999999999</v>
      </c>
      <c r="AJ100" s="11">
        <v>1694.3789999999999</v>
      </c>
      <c r="AK100" s="11">
        <v>953.65899999999999</v>
      </c>
      <c r="AL100" s="11">
        <v>613.88400000000001</v>
      </c>
      <c r="AM100" s="239">
        <v>166093.932</v>
      </c>
      <c r="AN100" s="239"/>
    </row>
    <row r="101" spans="1:40" ht="12.25" customHeight="1">
      <c r="A101" s="207" t="s">
        <v>1284</v>
      </c>
      <c r="B101" s="207"/>
      <c r="C101" s="11">
        <v>1200</v>
      </c>
      <c r="D101" s="11">
        <v>2300</v>
      </c>
      <c r="E101" s="11">
        <v>300</v>
      </c>
      <c r="F101" s="11">
        <v>1360</v>
      </c>
      <c r="G101" s="11">
        <v>1850</v>
      </c>
      <c r="H101" s="11">
        <v>900</v>
      </c>
      <c r="I101" s="239">
        <v>7910</v>
      </c>
      <c r="J101" s="239"/>
      <c r="K101" s="11">
        <v>0</v>
      </c>
      <c r="L101" s="11">
        <v>750</v>
      </c>
      <c r="M101" s="11">
        <v>7000</v>
      </c>
      <c r="N101" s="239">
        <v>8330</v>
      </c>
      <c r="O101" s="239"/>
      <c r="P101" s="239">
        <v>2000</v>
      </c>
      <c r="Q101" s="239"/>
      <c r="R101" s="11">
        <v>2420</v>
      </c>
      <c r="S101" s="11">
        <v>450</v>
      </c>
      <c r="T101" s="11">
        <v>2160</v>
      </c>
      <c r="U101" s="11">
        <v>4538</v>
      </c>
      <c r="V101" s="11">
        <v>540</v>
      </c>
      <c r="W101" s="11">
        <v>570</v>
      </c>
      <c r="X101" s="11">
        <v>2030</v>
      </c>
      <c r="Y101" s="239">
        <v>3310</v>
      </c>
      <c r="Z101" s="239"/>
      <c r="AA101" s="11">
        <v>300</v>
      </c>
      <c r="AB101" s="239">
        <v>150</v>
      </c>
      <c r="AC101" s="239"/>
      <c r="AD101" s="239">
        <v>2540</v>
      </c>
      <c r="AE101" s="239"/>
      <c r="AF101" s="11">
        <v>1180</v>
      </c>
      <c r="AG101" s="239">
        <v>0</v>
      </c>
      <c r="AH101" s="239"/>
      <c r="AI101" s="11">
        <v>680</v>
      </c>
      <c r="AJ101" s="11">
        <v>750</v>
      </c>
      <c r="AK101" s="11">
        <v>300</v>
      </c>
      <c r="AL101" s="11">
        <v>150</v>
      </c>
      <c r="AM101" s="239">
        <v>48058</v>
      </c>
      <c r="AN101" s="239"/>
    </row>
    <row r="102" spans="1:40" ht="12.25" customHeight="1">
      <c r="A102" s="207" t="s">
        <v>1285</v>
      </c>
      <c r="B102" s="207"/>
      <c r="C102" s="11">
        <v>8400</v>
      </c>
      <c r="D102" s="11">
        <v>14400</v>
      </c>
      <c r="E102" s="11">
        <v>3800</v>
      </c>
      <c r="F102" s="11">
        <v>7000</v>
      </c>
      <c r="G102" s="11">
        <v>11200</v>
      </c>
      <c r="H102" s="11">
        <v>7200</v>
      </c>
      <c r="I102" s="239">
        <v>52000</v>
      </c>
      <c r="J102" s="239"/>
      <c r="K102" s="11">
        <v>0</v>
      </c>
      <c r="L102" s="11">
        <v>3700</v>
      </c>
      <c r="M102" s="11">
        <v>57112.642010000003</v>
      </c>
      <c r="N102" s="239">
        <v>108500.144954</v>
      </c>
      <c r="O102" s="239"/>
      <c r="P102" s="239">
        <v>19000</v>
      </c>
      <c r="Q102" s="239"/>
      <c r="R102" s="11">
        <v>27600</v>
      </c>
      <c r="S102" s="11">
        <v>5700</v>
      </c>
      <c r="T102" s="11">
        <v>14064.009855</v>
      </c>
      <c r="U102" s="11">
        <v>27217.57358</v>
      </c>
      <c r="V102" s="11">
        <v>3416.2638999999999</v>
      </c>
      <c r="W102" s="11">
        <v>4000</v>
      </c>
      <c r="X102" s="11">
        <v>13500</v>
      </c>
      <c r="Y102" s="239">
        <v>27300</v>
      </c>
      <c r="Z102" s="239"/>
      <c r="AA102" s="11">
        <v>2705.0717719999998</v>
      </c>
      <c r="AB102" s="239">
        <v>1400</v>
      </c>
      <c r="AC102" s="239"/>
      <c r="AD102" s="239">
        <v>21618.929329999999</v>
      </c>
      <c r="AE102" s="239"/>
      <c r="AF102" s="11">
        <v>8000</v>
      </c>
      <c r="AG102" s="239">
        <v>0</v>
      </c>
      <c r="AH102" s="239"/>
      <c r="AI102" s="11">
        <v>4163.1111810000002</v>
      </c>
      <c r="AJ102" s="11">
        <v>6750</v>
      </c>
      <c r="AK102" s="11">
        <v>2700</v>
      </c>
      <c r="AL102" s="11">
        <v>1400</v>
      </c>
      <c r="AM102" s="239">
        <v>411847.74658199999</v>
      </c>
      <c r="AN102" s="239"/>
    </row>
    <row r="103" spans="1:40" ht="12.25" customHeight="1">
      <c r="A103" s="221" t="s">
        <v>1286</v>
      </c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</row>
    <row r="104" spans="1:40" ht="24.9" customHeight="1">
      <c r="A104" s="207" t="s">
        <v>6</v>
      </c>
      <c r="B104" s="207"/>
      <c r="C104" s="25" t="s">
        <v>1287</v>
      </c>
      <c r="D104" s="25" t="s">
        <v>454</v>
      </c>
      <c r="E104" s="25" t="s">
        <v>457</v>
      </c>
      <c r="F104" s="25" t="s">
        <v>466</v>
      </c>
      <c r="G104" s="207" t="s">
        <v>1288</v>
      </c>
      <c r="H104" s="207"/>
      <c r="I104" s="25" t="s">
        <v>445</v>
      </c>
      <c r="J104" s="25" t="s">
        <v>448</v>
      </c>
      <c r="K104" s="25" t="s">
        <v>1289</v>
      </c>
      <c r="L104" s="207" t="s">
        <v>458</v>
      </c>
      <c r="M104" s="207"/>
      <c r="N104" s="207" t="s">
        <v>463</v>
      </c>
      <c r="O104" s="207"/>
      <c r="P104" s="207" t="s">
        <v>1290</v>
      </c>
      <c r="Q104" s="207"/>
      <c r="R104" s="37" t="s">
        <v>405</v>
      </c>
      <c r="S104" s="37" t="s">
        <v>408</v>
      </c>
      <c r="T104" s="37" t="s">
        <v>991</v>
      </c>
      <c r="U104" s="207" t="s">
        <v>1291</v>
      </c>
      <c r="V104" s="207"/>
      <c r="W104" s="207" t="s">
        <v>430</v>
      </c>
      <c r="X104" s="207"/>
      <c r="Y104" s="207" t="s">
        <v>1184</v>
      </c>
      <c r="Z104" s="207"/>
      <c r="AA104" s="207" t="s">
        <v>817</v>
      </c>
      <c r="AB104" s="207"/>
      <c r="AC104" s="207" t="s">
        <v>106</v>
      </c>
      <c r="AD104" s="207"/>
      <c r="AE104" s="207" t="s">
        <v>530</v>
      </c>
      <c r="AF104" s="207"/>
      <c r="AG104" s="207" t="s">
        <v>418</v>
      </c>
      <c r="AH104" s="207"/>
      <c r="AI104" s="25" t="s">
        <v>1292</v>
      </c>
      <c r="AJ104" s="25" t="s">
        <v>712</v>
      </c>
      <c r="AK104" s="207" t="s">
        <v>409</v>
      </c>
      <c r="AL104" s="207"/>
      <c r="AM104" s="207" t="s">
        <v>797</v>
      </c>
      <c r="AN104" s="207"/>
    </row>
    <row r="105" spans="1:40" ht="16.5" customHeight="1">
      <c r="A105" s="207" t="s">
        <v>419</v>
      </c>
      <c r="B105" s="207"/>
      <c r="C105" s="11">
        <v>44502.311999999998</v>
      </c>
      <c r="D105" s="11">
        <v>18580.508000000002</v>
      </c>
      <c r="E105" s="11">
        <v>8825.9619999999995</v>
      </c>
      <c r="F105" s="11">
        <v>2319.085</v>
      </c>
      <c r="G105" s="239">
        <v>74227.866999999998</v>
      </c>
      <c r="H105" s="239"/>
      <c r="I105" s="11">
        <v>26720.256000000001</v>
      </c>
      <c r="J105" s="11">
        <v>44753.08</v>
      </c>
      <c r="K105" s="11">
        <v>71473.335999999996</v>
      </c>
      <c r="L105" s="239">
        <v>41602.928999999996</v>
      </c>
      <c r="M105" s="239"/>
      <c r="N105" s="239">
        <v>13452.172</v>
      </c>
      <c r="O105" s="239"/>
      <c r="P105" s="239">
        <v>55055.101000000002</v>
      </c>
      <c r="Q105" s="239"/>
      <c r="R105" s="11">
        <v>6560.7160000000003</v>
      </c>
      <c r="S105" s="11">
        <v>10157.425999999999</v>
      </c>
      <c r="T105" s="11">
        <v>8519.491</v>
      </c>
      <c r="U105" s="239">
        <v>25237.633000000002</v>
      </c>
      <c r="V105" s="239"/>
      <c r="W105" s="239">
        <v>2490.0369999999998</v>
      </c>
      <c r="X105" s="239"/>
      <c r="Y105" s="239">
        <v>23073.484</v>
      </c>
      <c r="Z105" s="239"/>
      <c r="AA105" s="239">
        <v>587</v>
      </c>
      <c r="AB105" s="239"/>
      <c r="AC105" s="239">
        <v>2323.85</v>
      </c>
      <c r="AD105" s="239"/>
      <c r="AE105" s="239">
        <v>12846.95</v>
      </c>
      <c r="AF105" s="239"/>
      <c r="AG105" s="239">
        <v>12712.553</v>
      </c>
      <c r="AH105" s="239"/>
      <c r="AI105" s="11">
        <v>6205.6620000000003</v>
      </c>
      <c r="AJ105" s="11">
        <v>350.97800000000001</v>
      </c>
      <c r="AK105" s="239">
        <v>2495.6640000000002</v>
      </c>
      <c r="AL105" s="239"/>
      <c r="AM105" s="239">
        <v>289080.11499999999</v>
      </c>
      <c r="AN105" s="239"/>
    </row>
    <row r="106" spans="1:40" ht="16.5" customHeight="1">
      <c r="A106" s="207" t="s">
        <v>425</v>
      </c>
      <c r="B106" s="207"/>
      <c r="C106" s="11">
        <v>12705.531000000001</v>
      </c>
      <c r="D106" s="11">
        <v>25991.755000000001</v>
      </c>
      <c r="E106" s="11">
        <v>21776.848999999998</v>
      </c>
      <c r="F106" s="11">
        <v>4596.549</v>
      </c>
      <c r="G106" s="239">
        <v>65070.684000000001</v>
      </c>
      <c r="H106" s="239"/>
      <c r="I106" s="11">
        <v>10155.114</v>
      </c>
      <c r="J106" s="11">
        <v>35106.455000000002</v>
      </c>
      <c r="K106" s="11">
        <v>45261.569000000003</v>
      </c>
      <c r="L106" s="239">
        <v>34177.713000000003</v>
      </c>
      <c r="M106" s="239"/>
      <c r="N106" s="239">
        <v>9036.4609999999993</v>
      </c>
      <c r="O106" s="239"/>
      <c r="P106" s="239">
        <v>43214.173999999999</v>
      </c>
      <c r="Q106" s="239"/>
      <c r="R106" s="11">
        <v>7679.3770000000004</v>
      </c>
      <c r="S106" s="11">
        <v>4768.9049999999997</v>
      </c>
      <c r="T106" s="11">
        <v>7457.2120000000004</v>
      </c>
      <c r="U106" s="239">
        <v>19905.493999999999</v>
      </c>
      <c r="V106" s="239"/>
      <c r="W106" s="239">
        <v>4087.8270000000002</v>
      </c>
      <c r="X106" s="239"/>
      <c r="Y106" s="239">
        <v>20902.88</v>
      </c>
      <c r="Z106" s="239"/>
      <c r="AA106" s="239">
        <v>202.5</v>
      </c>
      <c r="AB106" s="239"/>
      <c r="AC106" s="239">
        <v>2247.4749999999999</v>
      </c>
      <c r="AD106" s="239"/>
      <c r="AE106" s="239">
        <v>8533.9760000000006</v>
      </c>
      <c r="AF106" s="239"/>
      <c r="AG106" s="239">
        <v>12894.351000000001</v>
      </c>
      <c r="AH106" s="239"/>
      <c r="AI106" s="11">
        <v>9853.5130000000008</v>
      </c>
      <c r="AJ106" s="11">
        <v>172.273</v>
      </c>
      <c r="AK106" s="239">
        <v>3609.3510000000001</v>
      </c>
      <c r="AL106" s="239"/>
      <c r="AM106" s="239">
        <v>235956.06700000001</v>
      </c>
      <c r="AN106" s="239"/>
    </row>
    <row r="107" spans="1:40" ht="24.9" customHeight="1">
      <c r="A107" s="207" t="s">
        <v>118</v>
      </c>
      <c r="B107" s="207"/>
      <c r="C107" s="11">
        <v>-31796.780999999999</v>
      </c>
      <c r="D107" s="11">
        <v>7411.2470000000003</v>
      </c>
      <c r="E107" s="11">
        <v>12950.887000000001</v>
      </c>
      <c r="F107" s="11">
        <v>2277.4639999999999</v>
      </c>
      <c r="G107" s="239">
        <v>-9157.1830000000009</v>
      </c>
      <c r="H107" s="239"/>
      <c r="I107" s="11">
        <v>-16565.142</v>
      </c>
      <c r="J107" s="11">
        <v>-9646.625</v>
      </c>
      <c r="K107" s="11">
        <v>-26211.767</v>
      </c>
      <c r="L107" s="239">
        <v>-7425.2160000000003</v>
      </c>
      <c r="M107" s="239"/>
      <c r="N107" s="239">
        <v>-4415.7110000000002</v>
      </c>
      <c r="O107" s="239"/>
      <c r="P107" s="239">
        <v>-11840.927</v>
      </c>
      <c r="Q107" s="239"/>
      <c r="R107" s="11">
        <v>1118.6610000000001</v>
      </c>
      <c r="S107" s="11">
        <v>-5388.5209999999997</v>
      </c>
      <c r="T107" s="11">
        <v>-1062.279</v>
      </c>
      <c r="U107" s="239">
        <v>-5332.1390000000001</v>
      </c>
      <c r="V107" s="239"/>
      <c r="W107" s="239">
        <v>1597.79</v>
      </c>
      <c r="X107" s="239"/>
      <c r="Y107" s="239">
        <v>-2170.6039999999998</v>
      </c>
      <c r="Z107" s="239"/>
      <c r="AA107" s="239">
        <v>-384.5</v>
      </c>
      <c r="AB107" s="239"/>
      <c r="AC107" s="239">
        <v>-76.375</v>
      </c>
      <c r="AD107" s="239"/>
      <c r="AE107" s="239">
        <v>-4312.9740000000002</v>
      </c>
      <c r="AF107" s="239"/>
      <c r="AG107" s="239">
        <v>181.798</v>
      </c>
      <c r="AH107" s="239"/>
      <c r="AI107" s="11">
        <v>3647.8510000000001</v>
      </c>
      <c r="AJ107" s="11">
        <v>-178.70500000000001</v>
      </c>
      <c r="AK107" s="239">
        <v>1113.6869999999999</v>
      </c>
      <c r="AL107" s="239"/>
      <c r="AM107" s="239">
        <v>-53124.048000000003</v>
      </c>
      <c r="AN107" s="239"/>
    </row>
    <row r="108" spans="1:40" ht="24.9" customHeight="1">
      <c r="A108" s="264" t="s">
        <v>1283</v>
      </c>
      <c r="B108" s="264"/>
      <c r="C108" s="11">
        <v>44502.311999999998</v>
      </c>
      <c r="D108" s="11">
        <v>-1419.492</v>
      </c>
      <c r="E108" s="11">
        <v>8825.9619999999995</v>
      </c>
      <c r="F108" s="11">
        <v>2319.085</v>
      </c>
      <c r="G108" s="239">
        <v>54227.866999999998</v>
      </c>
      <c r="H108" s="239"/>
      <c r="I108" s="11">
        <v>-24279.743999999999</v>
      </c>
      <c r="J108" s="11">
        <v>95753.08</v>
      </c>
      <c r="K108" s="11">
        <v>71473.335999999996</v>
      </c>
      <c r="L108" s="239">
        <v>41602.928999999996</v>
      </c>
      <c r="M108" s="239"/>
      <c r="N108" s="239">
        <v>15952.172</v>
      </c>
      <c r="O108" s="239"/>
      <c r="P108" s="239">
        <v>57555.101000000002</v>
      </c>
      <c r="Q108" s="239"/>
      <c r="R108" s="11">
        <v>6560.7160000000003</v>
      </c>
      <c r="S108" s="11">
        <v>9157.4259999999995</v>
      </c>
      <c r="T108" s="11">
        <v>8519.491</v>
      </c>
      <c r="U108" s="239">
        <v>24237.633000000002</v>
      </c>
      <c r="V108" s="239"/>
      <c r="W108" s="239">
        <v>2490.0369999999998</v>
      </c>
      <c r="X108" s="239"/>
      <c r="Y108" s="239">
        <v>23073.484</v>
      </c>
      <c r="Z108" s="239"/>
      <c r="AA108" s="239">
        <v>587</v>
      </c>
      <c r="AB108" s="239"/>
      <c r="AC108" s="239">
        <v>2323.85</v>
      </c>
      <c r="AD108" s="239"/>
      <c r="AE108" s="239">
        <v>12846.95</v>
      </c>
      <c r="AF108" s="239"/>
      <c r="AG108" s="239">
        <v>12712.553</v>
      </c>
      <c r="AH108" s="239"/>
      <c r="AI108" s="11">
        <v>6205.6620000000003</v>
      </c>
      <c r="AJ108" s="11">
        <v>350.97800000000001</v>
      </c>
      <c r="AK108" s="239">
        <v>2495.6640000000002</v>
      </c>
      <c r="AL108" s="239"/>
      <c r="AM108" s="239">
        <v>270580.11499999999</v>
      </c>
      <c r="AN108" s="239"/>
    </row>
    <row r="109" spans="1:40" ht="11.4" customHeight="1">
      <c r="A109" s="207" t="s">
        <v>1284</v>
      </c>
      <c r="B109" s="207"/>
      <c r="C109" s="11">
        <v>12200</v>
      </c>
      <c r="D109" s="11">
        <v>8800</v>
      </c>
      <c r="E109" s="11">
        <v>4600</v>
      </c>
      <c r="F109" s="11">
        <v>1600</v>
      </c>
      <c r="G109" s="239">
        <v>27200</v>
      </c>
      <c r="H109" s="239"/>
      <c r="I109" s="11">
        <v>9000</v>
      </c>
      <c r="J109" s="11">
        <v>7500</v>
      </c>
      <c r="K109" s="11">
        <v>16500</v>
      </c>
      <c r="L109" s="239">
        <v>9400</v>
      </c>
      <c r="M109" s="239"/>
      <c r="N109" s="239">
        <v>2800</v>
      </c>
      <c r="O109" s="239"/>
      <c r="P109" s="239">
        <v>12200</v>
      </c>
      <c r="Q109" s="239"/>
      <c r="R109" s="11">
        <v>2240</v>
      </c>
      <c r="S109" s="11">
        <v>3640</v>
      </c>
      <c r="T109" s="11">
        <v>5480</v>
      </c>
      <c r="U109" s="239">
        <v>11360</v>
      </c>
      <c r="V109" s="239"/>
      <c r="W109" s="239">
        <v>1050</v>
      </c>
      <c r="X109" s="239"/>
      <c r="Y109" s="239">
        <v>7740</v>
      </c>
      <c r="Z109" s="239"/>
      <c r="AA109" s="239">
        <v>0</v>
      </c>
      <c r="AB109" s="239"/>
      <c r="AC109" s="239">
        <v>0</v>
      </c>
      <c r="AD109" s="239"/>
      <c r="AE109" s="239">
        <v>1930</v>
      </c>
      <c r="AF109" s="239"/>
      <c r="AG109" s="239">
        <v>1830</v>
      </c>
      <c r="AH109" s="239"/>
      <c r="AI109" s="11">
        <v>2110</v>
      </c>
      <c r="AJ109" s="11">
        <v>0</v>
      </c>
      <c r="AK109" s="239">
        <v>1350</v>
      </c>
      <c r="AL109" s="239"/>
      <c r="AM109" s="239">
        <v>83270</v>
      </c>
      <c r="AN109" s="239"/>
    </row>
    <row r="110" spans="1:40" ht="16.5" customHeight="1">
      <c r="A110" s="207" t="s">
        <v>1285</v>
      </c>
      <c r="B110" s="207"/>
      <c r="C110" s="11">
        <v>80800</v>
      </c>
      <c r="D110" s="11">
        <v>47900</v>
      </c>
      <c r="E110" s="11">
        <v>20500</v>
      </c>
      <c r="F110" s="11">
        <v>6800</v>
      </c>
      <c r="G110" s="239">
        <v>156000</v>
      </c>
      <c r="H110" s="239"/>
      <c r="I110" s="11">
        <v>77500</v>
      </c>
      <c r="J110" s="11">
        <v>77500</v>
      </c>
      <c r="K110" s="11">
        <v>155000</v>
      </c>
      <c r="L110" s="239">
        <v>59600</v>
      </c>
      <c r="M110" s="239"/>
      <c r="N110" s="239">
        <v>14800</v>
      </c>
      <c r="O110" s="239"/>
      <c r="P110" s="239">
        <v>74400</v>
      </c>
      <c r="Q110" s="239"/>
      <c r="R110" s="11">
        <v>12416.082682</v>
      </c>
      <c r="S110" s="11">
        <v>20621.828223</v>
      </c>
      <c r="T110" s="11">
        <v>33363.316639999997</v>
      </c>
      <c r="U110" s="239">
        <v>66401.227545000002</v>
      </c>
      <c r="V110" s="239"/>
      <c r="W110" s="239">
        <v>9924.776269</v>
      </c>
      <c r="X110" s="239"/>
      <c r="Y110" s="239">
        <v>76800</v>
      </c>
      <c r="Z110" s="239"/>
      <c r="AA110" s="239">
        <v>5000</v>
      </c>
      <c r="AB110" s="239"/>
      <c r="AC110" s="239">
        <v>6000</v>
      </c>
      <c r="AD110" s="239"/>
      <c r="AE110" s="239">
        <v>28550</v>
      </c>
      <c r="AF110" s="239"/>
      <c r="AG110" s="239">
        <v>31252</v>
      </c>
      <c r="AH110" s="239"/>
      <c r="AI110" s="11">
        <v>20184.48</v>
      </c>
      <c r="AJ110" s="11">
        <v>770</v>
      </c>
      <c r="AK110" s="239">
        <v>9000</v>
      </c>
      <c r="AL110" s="239"/>
      <c r="AM110" s="239">
        <v>639282.48381400004</v>
      </c>
      <c r="AN110" s="239"/>
    </row>
  </sheetData>
  <mergeCells count="288">
    <mergeCell ref="Y49:Y50"/>
    <mergeCell ref="Y51:Y62"/>
    <mergeCell ref="Y63:Y70"/>
    <mergeCell ref="Y71:Y80"/>
    <mergeCell ref="Y81:Y86"/>
    <mergeCell ref="Y87:Y94"/>
    <mergeCell ref="AG3:AG5"/>
    <mergeCell ref="AG6:AG15"/>
    <mergeCell ref="AG16:AG17"/>
    <mergeCell ref="AG18:AG29"/>
    <mergeCell ref="AG30:AG33"/>
    <mergeCell ref="AG34:AG36"/>
    <mergeCell ref="AG49:AG51"/>
    <mergeCell ref="AG52:AG61"/>
    <mergeCell ref="AG62:AG63"/>
    <mergeCell ref="AG64:AG75"/>
    <mergeCell ref="AG76:AG79"/>
    <mergeCell ref="AG80:AG82"/>
    <mergeCell ref="I82:I90"/>
    <mergeCell ref="I91:I94"/>
    <mergeCell ref="Q3:Q9"/>
    <mergeCell ref="Q10:Q18"/>
    <mergeCell ref="Q19:Q30"/>
    <mergeCell ref="Q31:Q37"/>
    <mergeCell ref="Q38:Q46"/>
    <mergeCell ref="Q47:Q48"/>
    <mergeCell ref="Q49:Q55"/>
    <mergeCell ref="Q56:Q64"/>
    <mergeCell ref="Q65:Q76"/>
    <mergeCell ref="Q77:Q83"/>
    <mergeCell ref="Q84:Q92"/>
    <mergeCell ref="Q93:Q94"/>
    <mergeCell ref="A46:A48"/>
    <mergeCell ref="I3:I11"/>
    <mergeCell ref="I12:I23"/>
    <mergeCell ref="I24:I35"/>
    <mergeCell ref="I36:I44"/>
    <mergeCell ref="I45:I48"/>
    <mergeCell ref="I49:I57"/>
    <mergeCell ref="I58:I69"/>
    <mergeCell ref="I70:I81"/>
    <mergeCell ref="AC109:AD109"/>
    <mergeCell ref="AE109:AF109"/>
    <mergeCell ref="AG109:AH109"/>
    <mergeCell ref="AK109:AL109"/>
    <mergeCell ref="AM109:AN109"/>
    <mergeCell ref="A110:B110"/>
    <mergeCell ref="G110:H110"/>
    <mergeCell ref="L110:M110"/>
    <mergeCell ref="N110:O110"/>
    <mergeCell ref="P110:Q110"/>
    <mergeCell ref="U110:V110"/>
    <mergeCell ref="W110:X110"/>
    <mergeCell ref="Y110:Z110"/>
    <mergeCell ref="AA110:AB110"/>
    <mergeCell ref="AC110:AD110"/>
    <mergeCell ref="AE110:AF110"/>
    <mergeCell ref="AG110:AH110"/>
    <mergeCell ref="AK110:AL110"/>
    <mergeCell ref="AM110:AN110"/>
    <mergeCell ref="A109:B109"/>
    <mergeCell ref="G109:H109"/>
    <mergeCell ref="L109:M109"/>
    <mergeCell ref="N109:O109"/>
    <mergeCell ref="P109:Q109"/>
    <mergeCell ref="U109:V109"/>
    <mergeCell ref="W109:X109"/>
    <mergeCell ref="Y109:Z109"/>
    <mergeCell ref="AA109:AB109"/>
    <mergeCell ref="AC107:AD107"/>
    <mergeCell ref="AE107:AF107"/>
    <mergeCell ref="AG107:AH107"/>
    <mergeCell ref="AK107:AL107"/>
    <mergeCell ref="AM107:AN107"/>
    <mergeCell ref="A108:B108"/>
    <mergeCell ref="G108:H108"/>
    <mergeCell ref="L108:M108"/>
    <mergeCell ref="N108:O108"/>
    <mergeCell ref="P108:Q108"/>
    <mergeCell ref="U108:V108"/>
    <mergeCell ref="W108:X108"/>
    <mergeCell ref="Y108:Z108"/>
    <mergeCell ref="AA108:AB108"/>
    <mergeCell ref="AC108:AD108"/>
    <mergeCell ref="AE108:AF108"/>
    <mergeCell ref="AG108:AH108"/>
    <mergeCell ref="AK108:AL108"/>
    <mergeCell ref="AM108:AN108"/>
    <mergeCell ref="A107:B107"/>
    <mergeCell ref="G107:H107"/>
    <mergeCell ref="L107:M107"/>
    <mergeCell ref="N107:O107"/>
    <mergeCell ref="P107:Q107"/>
    <mergeCell ref="U107:V107"/>
    <mergeCell ref="W107:X107"/>
    <mergeCell ref="Y107:Z107"/>
    <mergeCell ref="AA107:AB107"/>
    <mergeCell ref="AC105:AD105"/>
    <mergeCell ref="AE105:AF105"/>
    <mergeCell ref="AG105:AH105"/>
    <mergeCell ref="AK105:AL105"/>
    <mergeCell ref="AM105:AN105"/>
    <mergeCell ref="A106:B106"/>
    <mergeCell ref="G106:H106"/>
    <mergeCell ref="L106:M106"/>
    <mergeCell ref="N106:O106"/>
    <mergeCell ref="P106:Q106"/>
    <mergeCell ref="U106:V106"/>
    <mergeCell ref="W106:X106"/>
    <mergeCell ref="Y106:Z106"/>
    <mergeCell ref="AA106:AB106"/>
    <mergeCell ref="AC106:AD106"/>
    <mergeCell ref="AE106:AF106"/>
    <mergeCell ref="AG106:AH106"/>
    <mergeCell ref="AK106:AL106"/>
    <mergeCell ref="AM106:AN106"/>
    <mergeCell ref="A105:B105"/>
    <mergeCell ref="G105:H105"/>
    <mergeCell ref="L105:M105"/>
    <mergeCell ref="N105:O105"/>
    <mergeCell ref="P105:Q105"/>
    <mergeCell ref="U105:V105"/>
    <mergeCell ref="W105:X105"/>
    <mergeCell ref="Y105:Z105"/>
    <mergeCell ref="AA105:AB105"/>
    <mergeCell ref="A103:AN103"/>
    <mergeCell ref="A104:B104"/>
    <mergeCell ref="G104:H104"/>
    <mergeCell ref="L104:M104"/>
    <mergeCell ref="N104:O104"/>
    <mergeCell ref="P104:Q104"/>
    <mergeCell ref="U104:V104"/>
    <mergeCell ref="W104:X104"/>
    <mergeCell ref="Y104:Z104"/>
    <mergeCell ref="AA104:AB104"/>
    <mergeCell ref="AC104:AD104"/>
    <mergeCell ref="AE104:AF104"/>
    <mergeCell ref="AG104:AH104"/>
    <mergeCell ref="AK104:AL104"/>
    <mergeCell ref="AM104:AN104"/>
    <mergeCell ref="A102:B102"/>
    <mergeCell ref="I102:J102"/>
    <mergeCell ref="N102:O102"/>
    <mergeCell ref="P102:Q102"/>
    <mergeCell ref="Y102:Z102"/>
    <mergeCell ref="AB102:AC102"/>
    <mergeCell ref="AD102:AE102"/>
    <mergeCell ref="AG102:AH102"/>
    <mergeCell ref="AM102:AN102"/>
    <mergeCell ref="A101:B101"/>
    <mergeCell ref="I101:J101"/>
    <mergeCell ref="N101:O101"/>
    <mergeCell ref="P101:Q101"/>
    <mergeCell ref="Y101:Z101"/>
    <mergeCell ref="AB101:AC101"/>
    <mergeCell ref="AD101:AE101"/>
    <mergeCell ref="AG101:AH101"/>
    <mergeCell ref="AM101:AN101"/>
    <mergeCell ref="A100:B100"/>
    <mergeCell ref="I100:J100"/>
    <mergeCell ref="N100:O100"/>
    <mergeCell ref="P100:Q100"/>
    <mergeCell ref="Y100:Z100"/>
    <mergeCell ref="AB100:AC100"/>
    <mergeCell ref="AD100:AE100"/>
    <mergeCell ref="AG100:AH100"/>
    <mergeCell ref="AM100:AN100"/>
    <mergeCell ref="A99:B99"/>
    <mergeCell ref="I99:J99"/>
    <mergeCell ref="N99:O99"/>
    <mergeCell ref="P99:Q99"/>
    <mergeCell ref="Y99:Z99"/>
    <mergeCell ref="AB99:AC99"/>
    <mergeCell ref="AD99:AE99"/>
    <mergeCell ref="AG99:AH99"/>
    <mergeCell ref="AM99:AN99"/>
    <mergeCell ref="A98:B98"/>
    <mergeCell ref="I98:J98"/>
    <mergeCell ref="N98:O98"/>
    <mergeCell ref="P98:Q98"/>
    <mergeCell ref="Y98:Z98"/>
    <mergeCell ref="AB98:AC98"/>
    <mergeCell ref="AD98:AE98"/>
    <mergeCell ref="AG98:AH98"/>
    <mergeCell ref="AM98:AN98"/>
    <mergeCell ref="A97:B97"/>
    <mergeCell ref="I97:J97"/>
    <mergeCell ref="N97:O97"/>
    <mergeCell ref="P97:Q97"/>
    <mergeCell ref="Y97:Z97"/>
    <mergeCell ref="AB97:AC97"/>
    <mergeCell ref="AD97:AE97"/>
    <mergeCell ref="AG97:AH97"/>
    <mergeCell ref="AM97:AN97"/>
    <mergeCell ref="AG93:AH93"/>
    <mergeCell ref="AI93:AJ93"/>
    <mergeCell ref="AK93:AL93"/>
    <mergeCell ref="AM93:AN93"/>
    <mergeCell ref="AG94:AH94"/>
    <mergeCell ref="A95:AN95"/>
    <mergeCell ref="A96:B96"/>
    <mergeCell ref="I96:J96"/>
    <mergeCell ref="N96:O96"/>
    <mergeCell ref="P96:Q96"/>
    <mergeCell ref="Y96:Z96"/>
    <mergeCell ref="AB96:AC96"/>
    <mergeCell ref="AD96:AE96"/>
    <mergeCell ref="AG96:AH96"/>
    <mergeCell ref="AM96:AN96"/>
    <mergeCell ref="AG90:AH90"/>
    <mergeCell ref="AJ90:AK90"/>
    <mergeCell ref="AL90:AM90"/>
    <mergeCell ref="AG91:AH91"/>
    <mergeCell ref="AJ91:AK91"/>
    <mergeCell ref="AL91:AM91"/>
    <mergeCell ref="AG92:AH92"/>
    <mergeCell ref="AJ92:AK92"/>
    <mergeCell ref="AL92:AM92"/>
    <mergeCell ref="AG87:AH87"/>
    <mergeCell ref="AJ87:AK87"/>
    <mergeCell ref="AL87:AN87"/>
    <mergeCell ref="AG88:AH88"/>
    <mergeCell ref="AJ88:AK88"/>
    <mergeCell ref="AL88:AM88"/>
    <mergeCell ref="AG89:AH89"/>
    <mergeCell ref="AJ89:AK89"/>
    <mergeCell ref="AL89:AM89"/>
    <mergeCell ref="AG83:AN83"/>
    <mergeCell ref="AG84:AH84"/>
    <mergeCell ref="AJ84:AK84"/>
    <mergeCell ref="AL84:AN84"/>
    <mergeCell ref="AG85:AH85"/>
    <mergeCell ref="AJ85:AK85"/>
    <mergeCell ref="AL85:AN85"/>
    <mergeCell ref="AG86:AH86"/>
    <mergeCell ref="AJ86:AK86"/>
    <mergeCell ref="AL86:AN86"/>
    <mergeCell ref="AG46:AH46"/>
    <mergeCell ref="AJ46:AK46"/>
    <mergeCell ref="AL46:AM46"/>
    <mergeCell ref="AG47:AH47"/>
    <mergeCell ref="AI47:AJ47"/>
    <mergeCell ref="AK47:AL47"/>
    <mergeCell ref="AM47:AN47"/>
    <mergeCell ref="AG48:AH48"/>
    <mergeCell ref="AI48:AJ48"/>
    <mergeCell ref="AK48:AL48"/>
    <mergeCell ref="AM48:AN48"/>
    <mergeCell ref="AG43:AH43"/>
    <mergeCell ref="AJ43:AK43"/>
    <mergeCell ref="AL43:AM43"/>
    <mergeCell ref="AG44:AH44"/>
    <mergeCell ref="AJ44:AK44"/>
    <mergeCell ref="AL44:AM44"/>
    <mergeCell ref="AG45:AH45"/>
    <mergeCell ref="AJ45:AK45"/>
    <mergeCell ref="AL45:AM45"/>
    <mergeCell ref="AG40:AH40"/>
    <mergeCell ref="AJ40:AK40"/>
    <mergeCell ref="AL40:AN40"/>
    <mergeCell ref="AG41:AH41"/>
    <mergeCell ref="AJ41:AK41"/>
    <mergeCell ref="AL41:AN41"/>
    <mergeCell ref="AG42:AH42"/>
    <mergeCell ref="AJ42:AK42"/>
    <mergeCell ref="AL42:AM42"/>
    <mergeCell ref="A1:AI1"/>
    <mergeCell ref="AJ1:AL1"/>
    <mergeCell ref="AM1:AN1"/>
    <mergeCell ref="AG37:AN37"/>
    <mergeCell ref="AG38:AH38"/>
    <mergeCell ref="AJ38:AK38"/>
    <mergeCell ref="AL38:AN38"/>
    <mergeCell ref="AG39:AH39"/>
    <mergeCell ref="AJ39:AK39"/>
    <mergeCell ref="AL39:AN39"/>
    <mergeCell ref="A3:A10"/>
    <mergeCell ref="A11:A16"/>
    <mergeCell ref="A17:A24"/>
    <mergeCell ref="A25:A32"/>
    <mergeCell ref="A33:A35"/>
    <mergeCell ref="A36:A45"/>
    <mergeCell ref="Y3:Y4"/>
    <mergeCell ref="Y5:Y16"/>
    <mergeCell ref="Y17:Y24"/>
    <mergeCell ref="Y25:Y34"/>
    <mergeCell ref="Y35:Y40"/>
    <mergeCell ref="Y41:Y48"/>
  </mergeCells>
  <phoneticPr fontId="20" type="noConversion"/>
  <pageMargins left="0.118000000715256" right="0.118000000715256" top="0.19599999487400099" bottom="0.118000000715256" header="0" footer="0"/>
  <pageSetup paperSize="8" scale="9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59"/>
  <sheetViews>
    <sheetView workbookViewId="0">
      <selection sqref="A1:AD1"/>
    </sheetView>
  </sheetViews>
  <sheetFormatPr defaultColWidth="10" defaultRowHeight="14"/>
  <cols>
    <col min="1" max="1" width="14" customWidth="1"/>
    <col min="2" max="2" width="4.6328125" customWidth="1"/>
    <col min="3" max="4" width="5.36328125" customWidth="1"/>
    <col min="5" max="5" width="7.1796875" customWidth="1"/>
    <col min="6" max="6" width="4.6328125" customWidth="1"/>
    <col min="7" max="7" width="5.36328125" customWidth="1"/>
    <col min="8" max="8" width="4.6328125" customWidth="1"/>
    <col min="9" max="9" width="5.36328125" customWidth="1"/>
    <col min="10" max="10" width="4.6328125" customWidth="1"/>
    <col min="11" max="13" width="5.36328125" customWidth="1"/>
    <col min="14" max="14" width="5.54296875" customWidth="1"/>
    <col min="15" max="15" width="7.7265625" customWidth="1"/>
    <col min="16" max="20" width="5.36328125" customWidth="1"/>
    <col min="21" max="21" width="5.26953125" customWidth="1"/>
    <col min="22" max="22" width="4.7265625" customWidth="1"/>
    <col min="23" max="23" width="5.54296875" customWidth="1"/>
    <col min="24" max="24" width="4.6328125" customWidth="1"/>
    <col min="25" max="25" width="5.54296875" customWidth="1"/>
    <col min="26" max="26" width="3.90625" customWidth="1"/>
    <col min="27" max="27" width="4.90625" customWidth="1"/>
    <col min="28" max="29" width="5.36328125" customWidth="1"/>
    <col min="30" max="30" width="6.54296875" customWidth="1"/>
    <col min="31" max="31" width="7.08984375" customWidth="1"/>
    <col min="32" max="33" width="5.36328125" customWidth="1"/>
    <col min="34" max="34" width="7.08984375" customWidth="1"/>
    <col min="35" max="35" width="6" customWidth="1"/>
    <col min="36" max="36" width="4.6328125" customWidth="1"/>
    <col min="37" max="37" width="5.36328125" customWidth="1"/>
    <col min="38" max="55" width="9.7265625" customWidth="1"/>
  </cols>
  <sheetData>
    <row r="1" spans="1:37" ht="30.9" customHeight="1">
      <c r="A1" s="224" t="s">
        <v>1357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F1" s="273" t="s">
        <v>0</v>
      </c>
      <c r="AG1" s="273"/>
      <c r="AH1" s="273"/>
      <c r="AJ1" s="15" t="s">
        <v>1252</v>
      </c>
    </row>
    <row r="2" spans="1:37" ht="29.4" customHeight="1">
      <c r="A2" s="202"/>
      <c r="B2" s="274" t="s">
        <v>1293</v>
      </c>
      <c r="C2" s="274"/>
      <c r="D2" s="274" t="s">
        <v>1294</v>
      </c>
      <c r="E2" s="274"/>
      <c r="F2" s="274" t="s">
        <v>1295</v>
      </c>
      <c r="G2" s="274"/>
      <c r="H2" s="274" t="s">
        <v>1296</v>
      </c>
      <c r="I2" s="274"/>
      <c r="J2" s="274" t="s">
        <v>1297</v>
      </c>
      <c r="K2" s="274"/>
      <c r="L2" s="274" t="s">
        <v>1298</v>
      </c>
      <c r="M2" s="274"/>
      <c r="N2" s="274" t="s">
        <v>1299</v>
      </c>
      <c r="O2" s="274"/>
      <c r="P2" s="274" t="s">
        <v>1300</v>
      </c>
      <c r="Q2" s="274"/>
      <c r="R2" s="274" t="s">
        <v>1301</v>
      </c>
      <c r="S2" s="274"/>
      <c r="T2" s="274" t="s">
        <v>1302</v>
      </c>
      <c r="U2" s="274"/>
      <c r="V2" s="274" t="s">
        <v>1303</v>
      </c>
      <c r="W2" s="274"/>
      <c r="X2" s="274" t="s">
        <v>1304</v>
      </c>
      <c r="Y2" s="274"/>
      <c r="Z2" s="274" t="s">
        <v>1305</v>
      </c>
      <c r="AA2" s="274"/>
      <c r="AB2" s="274" t="s">
        <v>1306</v>
      </c>
      <c r="AC2" s="274"/>
      <c r="AD2" s="275" t="s">
        <v>1307</v>
      </c>
      <c r="AE2" s="275"/>
      <c r="AF2" s="274" t="s">
        <v>1308</v>
      </c>
      <c r="AG2" s="274"/>
      <c r="AH2" s="276" t="s">
        <v>1309</v>
      </c>
      <c r="AI2" s="276"/>
      <c r="AJ2" s="276" t="s">
        <v>1310</v>
      </c>
      <c r="AK2" s="276"/>
    </row>
    <row r="3" spans="1:37" ht="20.149999999999999" customHeight="1">
      <c r="A3" s="202"/>
      <c r="B3" s="2" t="s">
        <v>4</v>
      </c>
      <c r="C3" s="3" t="s">
        <v>5</v>
      </c>
      <c r="D3" s="2" t="s">
        <v>4</v>
      </c>
      <c r="E3" s="4" t="s">
        <v>5</v>
      </c>
      <c r="F3" s="2" t="s">
        <v>4</v>
      </c>
      <c r="G3" s="5" t="s">
        <v>5</v>
      </c>
      <c r="H3" s="2" t="s">
        <v>4</v>
      </c>
      <c r="I3" s="5" t="s">
        <v>5</v>
      </c>
      <c r="J3" s="2" t="s">
        <v>4</v>
      </c>
      <c r="K3" s="5" t="s">
        <v>5</v>
      </c>
      <c r="L3" s="2" t="s">
        <v>4</v>
      </c>
      <c r="M3" s="5" t="s">
        <v>5</v>
      </c>
      <c r="N3" s="2" t="s">
        <v>4</v>
      </c>
      <c r="O3" s="4" t="s">
        <v>5</v>
      </c>
      <c r="P3" s="2" t="s">
        <v>4</v>
      </c>
      <c r="Q3" s="5" t="s">
        <v>5</v>
      </c>
      <c r="R3" s="2" t="s">
        <v>4</v>
      </c>
      <c r="S3" s="5" t="s">
        <v>5</v>
      </c>
      <c r="T3" s="2" t="s">
        <v>4</v>
      </c>
      <c r="U3" s="5" t="s">
        <v>5</v>
      </c>
      <c r="V3" s="2" t="s">
        <v>4</v>
      </c>
      <c r="W3" s="5" t="s">
        <v>5</v>
      </c>
      <c r="X3" s="2" t="s">
        <v>4</v>
      </c>
      <c r="Y3" s="5" t="s">
        <v>5</v>
      </c>
      <c r="Z3" s="2" t="s">
        <v>4</v>
      </c>
      <c r="AA3" s="5" t="s">
        <v>5</v>
      </c>
      <c r="AB3" s="2" t="s">
        <v>4</v>
      </c>
      <c r="AC3" s="5" t="s">
        <v>5</v>
      </c>
      <c r="AD3" s="2" t="s">
        <v>4</v>
      </c>
      <c r="AE3" s="5" t="s">
        <v>5</v>
      </c>
      <c r="AF3" s="2" t="s">
        <v>4</v>
      </c>
      <c r="AG3" s="5" t="s">
        <v>5</v>
      </c>
      <c r="AH3" s="2" t="s">
        <v>4</v>
      </c>
      <c r="AI3" s="5" t="s">
        <v>5</v>
      </c>
      <c r="AJ3" s="2" t="s">
        <v>4</v>
      </c>
      <c r="AK3" s="5" t="s">
        <v>5</v>
      </c>
    </row>
    <row r="4" spans="1:37" ht="12.75" customHeight="1">
      <c r="A4" s="6" t="s">
        <v>1311</v>
      </c>
      <c r="B4" s="7">
        <v>18770.29</v>
      </c>
      <c r="C4" s="7">
        <v>460957.28</v>
      </c>
      <c r="D4" s="7">
        <v>1233967.1599999999</v>
      </c>
      <c r="E4" s="7">
        <v>32890187.989999998</v>
      </c>
      <c r="F4" s="7">
        <v>17426.05</v>
      </c>
      <c r="G4" s="7">
        <v>480818.77</v>
      </c>
      <c r="H4" s="7">
        <v>1316.08</v>
      </c>
      <c r="I4" s="7">
        <v>68506.429999999993</v>
      </c>
      <c r="J4" s="7">
        <v>-1791.39</v>
      </c>
      <c r="K4" s="7">
        <v>-52285.35</v>
      </c>
      <c r="L4" s="7">
        <v>-9327.7099999999991</v>
      </c>
      <c r="M4" s="7">
        <v>-311719.89</v>
      </c>
      <c r="N4" s="7">
        <v>2794560</v>
      </c>
      <c r="O4" s="7">
        <v>81353600</v>
      </c>
      <c r="P4" s="7">
        <v>1894.37</v>
      </c>
      <c r="Q4" s="7">
        <v>1721.4</v>
      </c>
      <c r="R4" s="7">
        <v>703.74</v>
      </c>
      <c r="S4" s="7">
        <v>4434.4399999999996</v>
      </c>
      <c r="T4" s="7"/>
      <c r="U4" s="7"/>
      <c r="V4" s="7">
        <v>12.84</v>
      </c>
      <c r="W4" s="7">
        <v>26.51</v>
      </c>
      <c r="X4" s="7">
        <v>1219.8788622</v>
      </c>
      <c r="Y4" s="7">
        <v>40429.573690999998</v>
      </c>
      <c r="Z4" s="7">
        <v>735.5</v>
      </c>
      <c r="AA4" s="7">
        <v>20492.060000000001</v>
      </c>
      <c r="AB4" s="7"/>
      <c r="AC4" s="7"/>
      <c r="AD4" s="7">
        <v>-36385</v>
      </c>
      <c r="AE4" s="7">
        <v>-982395</v>
      </c>
      <c r="AF4" s="7"/>
      <c r="AG4" s="7"/>
      <c r="AH4" s="7">
        <f>(B4-B15)*0.17+(D4-D15)*0.1+(N4-N15-N52-N53)*0.228+(P4-P15)*88+(R4-R15)*76+(V4-V15)*1000+(X4-X15)*950+Z4*950+AD4</f>
        <v>2463624.0784900002</v>
      </c>
      <c r="AI4" s="7">
        <f>(C4-C15)*0.17+(E4-E15)*0.1+(O4-O15-O52-O53)*0.228+(Q4-Q15)*88+(S4-S15)*76+(W4-W15)*1000+(Y4-Y15)*950+AA4*950+AE4</f>
        <v>71661122.389750004</v>
      </c>
      <c r="AJ4" s="16">
        <f>AH4/AF55-15</f>
        <v>166.56188258361303</v>
      </c>
      <c r="AK4" s="16">
        <f>AI4/AG55-15</f>
        <v>89.410084669846967</v>
      </c>
    </row>
    <row r="5" spans="1:37" ht="12.75" customHeight="1">
      <c r="A5" s="8" t="s">
        <v>1312</v>
      </c>
      <c r="B5" s="9">
        <v>18770.29</v>
      </c>
      <c r="C5" s="9">
        <v>460957.28</v>
      </c>
      <c r="D5" s="7"/>
      <c r="E5" s="7"/>
      <c r="F5" s="7"/>
      <c r="G5" s="7"/>
      <c r="H5" s="7"/>
      <c r="I5" s="7"/>
      <c r="J5" s="7"/>
      <c r="K5" s="7"/>
      <c r="L5" s="7"/>
      <c r="M5" s="7"/>
      <c r="N5" s="9">
        <v>2569600</v>
      </c>
      <c r="O5" s="9">
        <v>76577600</v>
      </c>
      <c r="P5" s="10">
        <v>0</v>
      </c>
      <c r="Q5" s="10">
        <v>0</v>
      </c>
      <c r="R5" s="9">
        <v>0.11</v>
      </c>
      <c r="S5" s="9">
        <v>33.840000000000003</v>
      </c>
      <c r="T5" s="10"/>
      <c r="U5" s="10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11"/>
      <c r="AJ5" s="16"/>
      <c r="AK5" s="16"/>
    </row>
    <row r="6" spans="1:37" ht="12.75" customHeight="1">
      <c r="A6" s="8" t="s">
        <v>1313</v>
      </c>
      <c r="B6" s="10"/>
      <c r="C6" s="10"/>
      <c r="D6" s="9">
        <v>1233967.1599999999</v>
      </c>
      <c r="E6" s="9">
        <v>32890187.989999998</v>
      </c>
      <c r="F6" s="9">
        <v>17426.05</v>
      </c>
      <c r="G6" s="9">
        <v>480818.77</v>
      </c>
      <c r="H6" s="9">
        <v>1316.08</v>
      </c>
      <c r="I6" s="9">
        <v>68506.429999999993</v>
      </c>
      <c r="J6" s="10">
        <v>-1791.39</v>
      </c>
      <c r="K6" s="10">
        <v>-52285.35</v>
      </c>
      <c r="L6" s="9">
        <v>-9327.7099999999991</v>
      </c>
      <c r="M6" s="9">
        <v>-311719.89</v>
      </c>
      <c r="N6" s="10">
        <v>224960</v>
      </c>
      <c r="O6" s="10">
        <v>4776000</v>
      </c>
      <c r="P6" s="10">
        <v>2598</v>
      </c>
      <c r="Q6" s="10">
        <v>6122</v>
      </c>
      <c r="R6" s="10"/>
      <c r="S6" s="10"/>
      <c r="T6" s="10"/>
      <c r="U6" s="10"/>
      <c r="V6" s="10">
        <v>12.84</v>
      </c>
      <c r="W6" s="10">
        <v>26.51</v>
      </c>
      <c r="X6" s="9">
        <v>1219.8788622</v>
      </c>
      <c r="Y6" s="9">
        <v>40429.573690999998</v>
      </c>
      <c r="Z6" s="10">
        <v>735.5</v>
      </c>
      <c r="AA6" s="10">
        <v>20492.060000000001</v>
      </c>
      <c r="AB6" s="10"/>
      <c r="AC6" s="10"/>
      <c r="AD6" s="10"/>
      <c r="AE6" s="10"/>
      <c r="AF6" s="10"/>
      <c r="AG6" s="10"/>
      <c r="AH6" s="7"/>
      <c r="AI6" s="11"/>
      <c r="AJ6" s="16"/>
      <c r="AK6" s="16"/>
    </row>
    <row r="7" spans="1:37" ht="11.65" customHeight="1">
      <c r="A7" s="8" t="s">
        <v>1314</v>
      </c>
      <c r="B7" s="7"/>
      <c r="C7" s="7"/>
      <c r="D7" s="7"/>
      <c r="E7" s="7"/>
      <c r="F7" s="7"/>
      <c r="G7" s="7"/>
      <c r="H7" s="10"/>
      <c r="I7" s="10"/>
      <c r="J7" s="7"/>
      <c r="K7" s="7"/>
      <c r="L7" s="7"/>
      <c r="M7" s="7"/>
      <c r="N7" s="7"/>
      <c r="O7" s="7"/>
      <c r="P7" s="9">
        <v>2598</v>
      </c>
      <c r="Q7" s="9">
        <v>6122</v>
      </c>
      <c r="R7" s="10"/>
      <c r="S7" s="10"/>
      <c r="T7" s="10"/>
      <c r="U7" s="10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11"/>
      <c r="AJ7" s="16"/>
      <c r="AK7" s="16"/>
    </row>
    <row r="8" spans="1:37" ht="12.75" customHeight="1">
      <c r="A8" s="8" t="s">
        <v>1315</v>
      </c>
      <c r="B8" s="7"/>
      <c r="C8" s="7"/>
      <c r="D8" s="7"/>
      <c r="E8" s="7"/>
      <c r="F8" s="7"/>
      <c r="G8" s="7"/>
      <c r="H8" s="7"/>
      <c r="I8" s="7"/>
      <c r="J8" s="7"/>
      <c r="K8" s="7"/>
      <c r="L8" s="11"/>
      <c r="M8" s="11"/>
      <c r="N8" s="9">
        <v>224960</v>
      </c>
      <c r="O8" s="9">
        <v>4776000</v>
      </c>
      <c r="P8" s="7"/>
      <c r="Q8" s="7"/>
      <c r="R8" s="10"/>
      <c r="S8" s="10"/>
      <c r="T8" s="10"/>
      <c r="U8" s="10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11"/>
      <c r="AJ8" s="16"/>
      <c r="AK8" s="16"/>
    </row>
    <row r="9" spans="1:37" ht="12.75" customHeight="1">
      <c r="A9" s="8" t="s">
        <v>1316</v>
      </c>
      <c r="B9" s="7"/>
      <c r="C9" s="7"/>
      <c r="D9" s="7"/>
      <c r="E9" s="7"/>
      <c r="F9" s="7"/>
      <c r="G9" s="7"/>
      <c r="H9" s="11"/>
      <c r="I9" s="11"/>
      <c r="J9" s="7"/>
      <c r="K9" s="7"/>
      <c r="L9" s="7"/>
      <c r="M9" s="7"/>
      <c r="N9" s="7"/>
      <c r="O9" s="7"/>
      <c r="P9" s="9">
        <v>-703.63</v>
      </c>
      <c r="Q9" s="9">
        <v>-4400.6000000000004</v>
      </c>
      <c r="R9" s="10">
        <v>703.63</v>
      </c>
      <c r="S9" s="10">
        <v>4400.6000000000004</v>
      </c>
      <c r="T9" s="10"/>
      <c r="U9" s="10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16"/>
      <c r="AK9" s="16"/>
    </row>
    <row r="10" spans="1:37" ht="12.75" customHeight="1">
      <c r="A10" s="8" t="s">
        <v>1317</v>
      </c>
      <c r="B10" s="7"/>
      <c r="C10" s="7"/>
      <c r="D10" s="7"/>
      <c r="E10" s="7"/>
      <c r="F10" s="7"/>
      <c r="G10" s="7"/>
      <c r="H10" s="11"/>
      <c r="I10" s="11"/>
      <c r="J10" s="7"/>
      <c r="K10" s="7"/>
      <c r="L10" s="7"/>
      <c r="M10" s="7"/>
      <c r="N10" s="7"/>
      <c r="O10" s="7"/>
      <c r="P10" s="10"/>
      <c r="Q10" s="10"/>
      <c r="R10" s="10"/>
      <c r="S10" s="10"/>
      <c r="T10" s="10"/>
      <c r="U10" s="10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1"/>
      <c r="AJ10" s="16"/>
      <c r="AK10" s="16"/>
    </row>
    <row r="11" spans="1:37" ht="12.75" customHeight="1">
      <c r="A11" s="8" t="s">
        <v>1318</v>
      </c>
      <c r="B11" s="7"/>
      <c r="C11" s="7"/>
      <c r="D11" s="7"/>
      <c r="E11" s="7"/>
      <c r="F11" s="7"/>
      <c r="G11" s="7"/>
      <c r="H11" s="11"/>
      <c r="I11" s="11"/>
      <c r="J11" s="7"/>
      <c r="K11" s="7"/>
      <c r="L11" s="7"/>
      <c r="M11" s="7"/>
      <c r="N11" s="7"/>
      <c r="O11" s="7"/>
      <c r="P11" s="7"/>
      <c r="Q11" s="7"/>
      <c r="R11" s="10"/>
      <c r="S11" s="10"/>
      <c r="T11" s="10"/>
      <c r="U11" s="10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1"/>
      <c r="AJ11" s="16"/>
      <c r="AK11" s="16"/>
    </row>
    <row r="12" spans="1:37" ht="12.75" customHeight="1">
      <c r="A12" s="8" t="s">
        <v>1319</v>
      </c>
      <c r="B12" s="7"/>
      <c r="C12" s="7"/>
      <c r="D12" s="7"/>
      <c r="E12" s="7"/>
      <c r="F12" s="7"/>
      <c r="G12" s="7"/>
      <c r="H12" s="11"/>
      <c r="I12" s="1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1"/>
      <c r="AJ12" s="16"/>
      <c r="AK12" s="16"/>
    </row>
    <row r="13" spans="1:37" ht="12.75" customHeight="1">
      <c r="A13" s="8" t="s">
        <v>1320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1"/>
      <c r="AJ13" s="16"/>
      <c r="AK13" s="16"/>
    </row>
    <row r="14" spans="1:37" ht="12.75" customHeight="1">
      <c r="A14" s="12" t="s">
        <v>1321</v>
      </c>
      <c r="B14" s="13">
        <v>18938.13</v>
      </c>
      <c r="C14" s="13">
        <v>461757.22</v>
      </c>
      <c r="D14" s="13">
        <v>1136112.54</v>
      </c>
      <c r="E14" s="13">
        <v>30486913.859999999</v>
      </c>
      <c r="F14" s="13">
        <v>17833.22</v>
      </c>
      <c r="G14" s="13">
        <v>501554.91</v>
      </c>
      <c r="H14" s="13">
        <v>998.08</v>
      </c>
      <c r="I14" s="13">
        <v>57679.23</v>
      </c>
      <c r="J14" s="13">
        <v>-1791.39</v>
      </c>
      <c r="K14" s="13">
        <v>-52285.35</v>
      </c>
      <c r="L14" s="13">
        <v>-6516.2085399999996</v>
      </c>
      <c r="M14" s="13">
        <v>-183643.68028</v>
      </c>
      <c r="N14" s="13">
        <v>2795733.23</v>
      </c>
      <c r="O14" s="13">
        <v>81239909.219999999</v>
      </c>
      <c r="P14" s="13">
        <v>9.1300000000000008</v>
      </c>
      <c r="Q14" s="13">
        <v>-21756.04</v>
      </c>
      <c r="R14" s="13">
        <v>835.24</v>
      </c>
      <c r="S14" s="13">
        <v>-8653.34</v>
      </c>
      <c r="T14" s="13"/>
      <c r="U14" s="13"/>
      <c r="V14" s="13">
        <v>12.84</v>
      </c>
      <c r="W14" s="13">
        <v>26.51</v>
      </c>
      <c r="X14" s="13">
        <v>967.64902219999999</v>
      </c>
      <c r="Y14" s="13">
        <v>30267.146100999998</v>
      </c>
      <c r="Z14" s="13">
        <v>735.5</v>
      </c>
      <c r="AA14" s="13">
        <v>20492.060000000001</v>
      </c>
      <c r="AB14" s="13"/>
      <c r="AC14" s="13"/>
      <c r="AD14" s="13"/>
      <c r="AE14" s="13"/>
      <c r="AF14" s="13"/>
      <c r="AG14" s="13"/>
      <c r="AH14" s="13"/>
      <c r="AI14" s="17"/>
      <c r="AJ14" s="18"/>
      <c r="AK14" s="18"/>
    </row>
    <row r="15" spans="1:37" ht="12.75" customHeight="1">
      <c r="A15" s="12" t="s">
        <v>1322</v>
      </c>
      <c r="B15" s="13">
        <v>18346.57</v>
      </c>
      <c r="C15" s="13">
        <v>442652.39</v>
      </c>
      <c r="D15" s="13">
        <v>313415.21000000002</v>
      </c>
      <c r="E15" s="13">
        <v>8591589.3900000006</v>
      </c>
      <c r="F15" s="13">
        <v>2758.22</v>
      </c>
      <c r="G15" s="13">
        <v>45134.05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562520</v>
      </c>
      <c r="O15" s="13">
        <v>13855494</v>
      </c>
      <c r="P15" s="13">
        <v>1128.08</v>
      </c>
      <c r="Q15" s="13">
        <v>25447.83</v>
      </c>
      <c r="R15" s="13">
        <v>114.79</v>
      </c>
      <c r="S15" s="13">
        <v>3036.52</v>
      </c>
      <c r="T15" s="13"/>
      <c r="U15" s="13"/>
      <c r="V15" s="13">
        <v>12.84</v>
      </c>
      <c r="W15" s="13">
        <v>26.51</v>
      </c>
      <c r="X15" s="13">
        <v>34.31</v>
      </c>
      <c r="Y15" s="13">
        <v>90.77</v>
      </c>
      <c r="Z15" s="13">
        <v>0</v>
      </c>
      <c r="AA15" s="13">
        <v>0</v>
      </c>
      <c r="AB15" s="13"/>
      <c r="AC15" s="13"/>
      <c r="AD15" s="13"/>
      <c r="AE15" s="13"/>
      <c r="AF15" s="13"/>
      <c r="AG15" s="13"/>
      <c r="AH15" s="13"/>
      <c r="AI15" s="17"/>
      <c r="AJ15" s="18"/>
      <c r="AK15" s="18"/>
    </row>
    <row r="16" spans="1:37" ht="12.75" customHeight="1">
      <c r="A16" s="8" t="s">
        <v>1323</v>
      </c>
      <c r="B16" s="9">
        <v>10179.23</v>
      </c>
      <c r="C16" s="9">
        <v>252408.46</v>
      </c>
      <c r="D16" s="9">
        <v>313415.21000000002</v>
      </c>
      <c r="E16" s="9">
        <v>8591589.3900000006</v>
      </c>
      <c r="F16" s="9">
        <v>2758.22</v>
      </c>
      <c r="G16" s="9">
        <v>45134.05</v>
      </c>
      <c r="H16" s="10"/>
      <c r="I16" s="10"/>
      <c r="J16" s="10"/>
      <c r="K16" s="10"/>
      <c r="L16" s="10"/>
      <c r="M16" s="10"/>
      <c r="N16" s="9">
        <v>290752</v>
      </c>
      <c r="O16" s="9">
        <v>6409854</v>
      </c>
      <c r="P16" s="9">
        <v>1128.08</v>
      </c>
      <c r="Q16" s="9">
        <v>25447.83</v>
      </c>
      <c r="R16" s="9">
        <v>114.79</v>
      </c>
      <c r="S16" s="9">
        <v>3036.52</v>
      </c>
      <c r="T16" s="9">
        <v>606.42999999999995</v>
      </c>
      <c r="U16" s="9">
        <v>10009.040000000001</v>
      </c>
      <c r="V16" s="9">
        <v>12.84</v>
      </c>
      <c r="W16" s="9">
        <v>26.51</v>
      </c>
      <c r="X16" s="9">
        <v>34.31</v>
      </c>
      <c r="Y16" s="9">
        <v>90.77</v>
      </c>
      <c r="Z16" s="7"/>
      <c r="AA16" s="7"/>
      <c r="AB16" s="7"/>
      <c r="AC16" s="7"/>
      <c r="AD16" s="7"/>
      <c r="AE16" s="7"/>
      <c r="AF16" s="7"/>
      <c r="AG16" s="7"/>
      <c r="AH16" s="7"/>
      <c r="AI16" s="11"/>
      <c r="AJ16" s="16"/>
      <c r="AK16" s="16"/>
    </row>
    <row r="17" spans="1:37" ht="12.75" customHeight="1">
      <c r="A17" s="8" t="s">
        <v>1324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9">
        <v>9752</v>
      </c>
      <c r="O17" s="9">
        <v>261000</v>
      </c>
      <c r="P17" s="10"/>
      <c r="Q17" s="10"/>
      <c r="R17" s="10"/>
      <c r="S17" s="10"/>
      <c r="T17" s="10"/>
      <c r="U17" s="10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1"/>
      <c r="AJ17" s="16"/>
      <c r="AK17" s="16"/>
    </row>
    <row r="18" spans="1:37" ht="12.75" customHeight="1">
      <c r="A18" s="8" t="s">
        <v>759</v>
      </c>
      <c r="B18" s="9">
        <v>8167.34</v>
      </c>
      <c r="C18" s="9">
        <v>190243.93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9">
        <v>262016</v>
      </c>
      <c r="O18" s="9">
        <v>7184640</v>
      </c>
      <c r="P18" s="10"/>
      <c r="Q18" s="10"/>
      <c r="R18" s="10"/>
      <c r="S18" s="10"/>
      <c r="T18" s="10"/>
      <c r="U18" s="10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11"/>
      <c r="AJ18" s="16"/>
      <c r="AK18" s="16"/>
    </row>
    <row r="19" spans="1:37" ht="12.75" customHeight="1">
      <c r="A19" s="14" t="s">
        <v>1325</v>
      </c>
      <c r="B19" s="13">
        <v>22.99</v>
      </c>
      <c r="C19" s="13">
        <v>3207.18</v>
      </c>
      <c r="D19" s="13">
        <v>473908.79</v>
      </c>
      <c r="E19" s="13">
        <v>12534997.210000001</v>
      </c>
      <c r="F19" s="13">
        <v>10895.52</v>
      </c>
      <c r="G19" s="13">
        <v>330800.26</v>
      </c>
      <c r="H19" s="13">
        <v>1884.06</v>
      </c>
      <c r="I19" s="13">
        <v>70732.41</v>
      </c>
      <c r="J19" s="13">
        <v>-222.27</v>
      </c>
      <c r="K19" s="13">
        <v>-6648.79</v>
      </c>
      <c r="L19" s="13">
        <v>-5362.6885400000001</v>
      </c>
      <c r="M19" s="13">
        <v>-147893.79027999999</v>
      </c>
      <c r="N19" s="13">
        <v>1562857.23</v>
      </c>
      <c r="O19" s="13">
        <v>48681502.219999999</v>
      </c>
      <c r="P19" s="13">
        <v>-2320.5</v>
      </c>
      <c r="Q19" s="13">
        <v>-72889.69</v>
      </c>
      <c r="R19" s="13">
        <v>-766.97</v>
      </c>
      <c r="S19" s="13">
        <v>-45433.19</v>
      </c>
      <c r="T19" s="13"/>
      <c r="U19" s="13"/>
      <c r="V19" s="13">
        <v>0</v>
      </c>
      <c r="W19" s="13">
        <v>0</v>
      </c>
      <c r="X19" s="13">
        <v>425.66886219999998</v>
      </c>
      <c r="Y19" s="13">
        <v>12456.703691000001</v>
      </c>
      <c r="Z19" s="13">
        <v>735.5</v>
      </c>
      <c r="AA19" s="13">
        <v>20492.060000000001</v>
      </c>
      <c r="AB19" s="13"/>
      <c r="AC19" s="13"/>
      <c r="AD19" s="13"/>
      <c r="AE19" s="13"/>
      <c r="AF19" s="13"/>
      <c r="AG19" s="13"/>
      <c r="AH19" s="13"/>
      <c r="AI19" s="17"/>
      <c r="AJ19" s="18"/>
      <c r="AK19" s="18"/>
    </row>
    <row r="20" spans="1:37" ht="12.75" customHeight="1">
      <c r="A20" s="8" t="s">
        <v>845</v>
      </c>
      <c r="B20" s="9">
        <v>3.35</v>
      </c>
      <c r="C20" s="9">
        <v>388.16</v>
      </c>
      <c r="D20" s="9">
        <v>133962.34</v>
      </c>
      <c r="E20" s="9">
        <v>3266163</v>
      </c>
      <c r="F20" s="10"/>
      <c r="G20" s="10"/>
      <c r="H20" s="9">
        <v>152.72</v>
      </c>
      <c r="I20" s="9">
        <v>5047.87</v>
      </c>
      <c r="J20" s="7"/>
      <c r="K20" s="7"/>
      <c r="L20" s="9">
        <v>-103.46</v>
      </c>
      <c r="M20" s="9">
        <v>-2733.03</v>
      </c>
      <c r="N20" s="9">
        <v>193848</v>
      </c>
      <c r="O20" s="9">
        <v>6726248</v>
      </c>
      <c r="P20" s="9">
        <v>0</v>
      </c>
      <c r="Q20" s="9">
        <v>0</v>
      </c>
      <c r="R20" s="9">
        <v>194.05</v>
      </c>
      <c r="S20" s="9">
        <v>4266.75</v>
      </c>
      <c r="T20" s="10"/>
      <c r="U20" s="10"/>
      <c r="V20" s="9">
        <v>0</v>
      </c>
      <c r="W20" s="9">
        <v>0</v>
      </c>
      <c r="X20" s="9">
        <v>153.22999999999999</v>
      </c>
      <c r="Y20" s="9">
        <v>5746.8</v>
      </c>
      <c r="Z20" s="10"/>
      <c r="AA20" s="10"/>
      <c r="AB20" s="9">
        <v>11709.8</v>
      </c>
      <c r="AC20" s="9">
        <v>315932.52</v>
      </c>
      <c r="AD20" s="10">
        <v>-59368</v>
      </c>
      <c r="AE20" s="10">
        <v>-1602936</v>
      </c>
      <c r="AF20" s="9">
        <v>13027.16</v>
      </c>
      <c r="AG20" s="9">
        <v>667914.21</v>
      </c>
      <c r="AH20" s="7">
        <v>159156.0025</v>
      </c>
      <c r="AI20" s="7">
        <v>6066596.5557000004</v>
      </c>
      <c r="AJ20" s="16">
        <v>12.217244779368601</v>
      </c>
      <c r="AK20" s="16">
        <v>9.0828978705214194</v>
      </c>
    </row>
    <row r="21" spans="1:37" ht="12.75" customHeight="1">
      <c r="A21" s="8" t="s">
        <v>1326</v>
      </c>
      <c r="B21" s="10"/>
      <c r="C21" s="10"/>
      <c r="D21" s="10"/>
      <c r="E21" s="10"/>
      <c r="F21" s="10"/>
      <c r="G21" s="10"/>
      <c r="H21" s="10"/>
      <c r="I21" s="10"/>
      <c r="J21" s="7"/>
      <c r="K21" s="7"/>
      <c r="L21" s="10"/>
      <c r="M21" s="10"/>
      <c r="N21" s="10">
        <v>13000</v>
      </c>
      <c r="O21" s="10">
        <v>351000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0</v>
      </c>
      <c r="AE21" s="10">
        <v>0</v>
      </c>
      <c r="AF21" s="10">
        <v>13027.16</v>
      </c>
      <c r="AG21" s="10">
        <v>667914.21</v>
      </c>
      <c r="AH21" s="7">
        <v>2964</v>
      </c>
      <c r="AI21" s="7">
        <v>80028</v>
      </c>
      <c r="AJ21" s="16">
        <v>0.227524648503588</v>
      </c>
      <c r="AK21" s="16">
        <v>0.11981778318505901</v>
      </c>
    </row>
    <row r="22" spans="1:37" ht="12.75" customHeight="1">
      <c r="A22" s="8" t="s">
        <v>86</v>
      </c>
      <c r="B22" s="9">
        <v>0</v>
      </c>
      <c r="C22" s="9">
        <v>0</v>
      </c>
      <c r="D22" s="9">
        <v>6208.96</v>
      </c>
      <c r="E22" s="9">
        <v>165127.23000000001</v>
      </c>
      <c r="F22" s="10"/>
      <c r="G22" s="10"/>
      <c r="H22" s="9">
        <v>0</v>
      </c>
      <c r="I22" s="9">
        <v>0.51</v>
      </c>
      <c r="J22" s="7"/>
      <c r="K22" s="7"/>
      <c r="L22" s="9">
        <v>-648.86</v>
      </c>
      <c r="M22" s="9">
        <v>-16320.21</v>
      </c>
      <c r="N22" s="9">
        <v>21688</v>
      </c>
      <c r="O22" s="9">
        <v>593592</v>
      </c>
      <c r="P22" s="9">
        <v>743.08</v>
      </c>
      <c r="Q22" s="9">
        <v>18397.740000000002</v>
      </c>
      <c r="R22" s="9">
        <v>-47.24</v>
      </c>
      <c r="S22" s="9">
        <v>-883.36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-8901</v>
      </c>
      <c r="AE22" s="10">
        <v>-240327</v>
      </c>
      <c r="AF22" s="9">
        <v>3438.14</v>
      </c>
      <c r="AG22" s="9">
        <v>84330.21</v>
      </c>
      <c r="AH22" s="7">
        <v>53501.781000000003</v>
      </c>
      <c r="AI22" s="7">
        <v>1338545.5445000001</v>
      </c>
      <c r="AJ22" s="16">
        <v>15.5612572495594</v>
      </c>
      <c r="AK22" s="16">
        <v>15.8726694087445</v>
      </c>
    </row>
    <row r="23" spans="1:37" ht="12.75" customHeight="1">
      <c r="A23" s="8" t="s">
        <v>779</v>
      </c>
      <c r="B23" s="9">
        <v>17.190000000000001</v>
      </c>
      <c r="C23" s="9">
        <v>475.61</v>
      </c>
      <c r="D23" s="9">
        <v>61681.18</v>
      </c>
      <c r="E23" s="9">
        <v>1661822.93</v>
      </c>
      <c r="F23" s="9">
        <v>9778.25</v>
      </c>
      <c r="G23" s="9">
        <v>275275.19</v>
      </c>
      <c r="H23" s="10"/>
      <c r="I23" s="10"/>
      <c r="J23" s="7"/>
      <c r="K23" s="7"/>
      <c r="L23" s="9">
        <v>-1497.07</v>
      </c>
      <c r="M23" s="9">
        <v>-39000.25</v>
      </c>
      <c r="N23" s="9">
        <v>420224</v>
      </c>
      <c r="O23" s="9">
        <v>11124992</v>
      </c>
      <c r="P23" s="9">
        <v>-5396.88</v>
      </c>
      <c r="Q23" s="9">
        <v>-152223.67000000001</v>
      </c>
      <c r="R23" s="9">
        <v>-1421.32</v>
      </c>
      <c r="S23" s="9">
        <v>-41055.480000000003</v>
      </c>
      <c r="T23" s="9">
        <v>-8961.2099999999991</v>
      </c>
      <c r="U23" s="9">
        <v>-249514.05</v>
      </c>
      <c r="V23" s="10"/>
      <c r="W23" s="10"/>
      <c r="X23" s="9">
        <v>101.39</v>
      </c>
      <c r="Y23" s="9">
        <v>2711.63</v>
      </c>
      <c r="Z23" s="9">
        <v>735.5</v>
      </c>
      <c r="AA23" s="9">
        <v>20492.060000000001</v>
      </c>
      <c r="AB23" s="9">
        <v>3917.75</v>
      </c>
      <c r="AC23" s="9">
        <v>103169.38</v>
      </c>
      <c r="AD23" s="10">
        <v>33424</v>
      </c>
      <c r="AE23" s="10">
        <v>902448</v>
      </c>
      <c r="AF23" s="9">
        <v>8828.35</v>
      </c>
      <c r="AG23" s="9">
        <v>254380.28</v>
      </c>
      <c r="AH23" s="7">
        <v>358543.24180000002</v>
      </c>
      <c r="AI23" s="7">
        <v>9467596.4071999993</v>
      </c>
      <c r="AJ23" s="16">
        <v>40.6127126586508</v>
      </c>
      <c r="AK23" s="16">
        <v>37.218279684258498</v>
      </c>
    </row>
    <row r="24" spans="1:37" ht="12.75" customHeight="1">
      <c r="A24" s="8" t="s">
        <v>1327</v>
      </c>
      <c r="B24" s="10"/>
      <c r="C24" s="10"/>
      <c r="D24" s="10"/>
      <c r="E24" s="10"/>
      <c r="F24" s="10"/>
      <c r="G24" s="10"/>
      <c r="H24" s="10"/>
      <c r="I24" s="10"/>
      <c r="J24" s="7"/>
      <c r="K24" s="7"/>
      <c r="L24" s="10"/>
      <c r="M24" s="10"/>
      <c r="N24" s="9">
        <v>13256</v>
      </c>
      <c r="O24" s="9">
        <v>351184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>
        <v>0</v>
      </c>
      <c r="AE24" s="10">
        <v>0</v>
      </c>
      <c r="AF24" s="10">
        <v>1340.12</v>
      </c>
      <c r="AG24" s="10">
        <v>37707.21</v>
      </c>
      <c r="AH24" s="7">
        <v>3022.3679999999999</v>
      </c>
      <c r="AI24" s="7">
        <v>80069.952000000005</v>
      </c>
      <c r="AJ24" s="16">
        <v>2.2552965406082999</v>
      </c>
      <c r="AK24" s="16">
        <v>2.1234653001375601</v>
      </c>
    </row>
    <row r="25" spans="1:37" ht="12.75" customHeight="1">
      <c r="A25" s="8" t="s">
        <v>1328</v>
      </c>
      <c r="B25" s="9">
        <v>0</v>
      </c>
      <c r="C25" s="9">
        <v>0</v>
      </c>
      <c r="D25" s="9">
        <v>61839.53</v>
      </c>
      <c r="E25" s="9">
        <v>1811928.97</v>
      </c>
      <c r="F25" s="10"/>
      <c r="G25" s="10"/>
      <c r="H25" s="10"/>
      <c r="I25" s="10"/>
      <c r="J25" s="7"/>
      <c r="K25" s="7"/>
      <c r="L25" s="9">
        <v>0</v>
      </c>
      <c r="M25" s="9">
        <v>0</v>
      </c>
      <c r="N25" s="9">
        <v>8860</v>
      </c>
      <c r="O25" s="9">
        <v>242456</v>
      </c>
      <c r="P25" s="10"/>
      <c r="Q25" s="10"/>
      <c r="R25" s="9">
        <v>0.18</v>
      </c>
      <c r="S25" s="9">
        <v>4.7</v>
      </c>
      <c r="T25" s="9">
        <v>382.9</v>
      </c>
      <c r="U25" s="9">
        <v>9924.89</v>
      </c>
      <c r="V25" s="10"/>
      <c r="W25" s="10"/>
      <c r="X25" s="10"/>
      <c r="Y25" s="10"/>
      <c r="Z25" s="10"/>
      <c r="AA25" s="10"/>
      <c r="AB25" s="9">
        <v>25320.58</v>
      </c>
      <c r="AC25" s="9">
        <v>665347.66</v>
      </c>
      <c r="AD25" s="10">
        <v>72686</v>
      </c>
      <c r="AE25" s="10">
        <v>1962522</v>
      </c>
      <c r="AF25" s="9">
        <v>1340.12</v>
      </c>
      <c r="AG25" s="9">
        <v>37707.21</v>
      </c>
      <c r="AH25" s="7">
        <v>80903.713000000003</v>
      </c>
      <c r="AI25" s="7">
        <v>2199352.0649999999</v>
      </c>
      <c r="AJ25" s="16">
        <v>60.370498910545301</v>
      </c>
      <c r="AK25" s="16">
        <v>58.327096197252501</v>
      </c>
    </row>
    <row r="26" spans="1:37" ht="12.75" customHeight="1">
      <c r="A26" s="8" t="s">
        <v>94</v>
      </c>
      <c r="B26" s="9">
        <v>0.16</v>
      </c>
      <c r="C26" s="9">
        <v>5.14</v>
      </c>
      <c r="D26" s="9">
        <v>7454.95</v>
      </c>
      <c r="E26" s="9">
        <v>199780.2</v>
      </c>
      <c r="F26" s="9">
        <v>0</v>
      </c>
      <c r="G26" s="9">
        <v>0</v>
      </c>
      <c r="H26" s="9">
        <v>168.16</v>
      </c>
      <c r="I26" s="9">
        <v>4292.2</v>
      </c>
      <c r="J26" s="7"/>
      <c r="K26" s="7"/>
      <c r="L26" s="10"/>
      <c r="M26" s="10"/>
      <c r="N26" s="9">
        <v>32384</v>
      </c>
      <c r="O26" s="9">
        <v>883688</v>
      </c>
      <c r="P26" s="10"/>
      <c r="Q26" s="10"/>
      <c r="R26" s="9">
        <v>-219.07</v>
      </c>
      <c r="S26" s="9">
        <v>-5618.63</v>
      </c>
      <c r="T26" s="10"/>
      <c r="U26" s="10"/>
      <c r="V26" s="10"/>
      <c r="W26" s="10"/>
      <c r="X26" s="9">
        <v>41.1</v>
      </c>
      <c r="Y26" s="9">
        <v>1017.13</v>
      </c>
      <c r="Z26" s="10"/>
      <c r="AA26" s="10"/>
      <c r="AB26" s="9">
        <v>3917.75</v>
      </c>
      <c r="AC26" s="9">
        <v>103169.38</v>
      </c>
      <c r="AD26" s="10">
        <v>-3930</v>
      </c>
      <c r="AE26" s="10">
        <v>-106110</v>
      </c>
      <c r="AF26" s="9">
        <v>1724.42</v>
      </c>
      <c r="AG26" s="9">
        <v>38634.639999999999</v>
      </c>
      <c r="AH26" s="7">
        <v>28141.8262</v>
      </c>
      <c r="AI26" s="7">
        <v>694095.61780000001</v>
      </c>
      <c r="AJ26" s="16">
        <v>16.3195893111887</v>
      </c>
      <c r="AK26" s="16">
        <v>17.9656292332477</v>
      </c>
    </row>
    <row r="27" spans="1:37" ht="12.75" customHeight="1">
      <c r="A27" s="8" t="s">
        <v>1329</v>
      </c>
      <c r="B27" s="9">
        <v>0.01</v>
      </c>
      <c r="C27" s="9">
        <v>2.34</v>
      </c>
      <c r="D27" s="9">
        <v>12116.57</v>
      </c>
      <c r="E27" s="9">
        <v>322171.03000000003</v>
      </c>
      <c r="F27" s="9">
        <v>0</v>
      </c>
      <c r="G27" s="9">
        <v>0</v>
      </c>
      <c r="H27" s="10"/>
      <c r="I27" s="10"/>
      <c r="J27" s="7"/>
      <c r="K27" s="7"/>
      <c r="L27" s="10"/>
      <c r="M27" s="10"/>
      <c r="N27" s="9">
        <v>60128</v>
      </c>
      <c r="O27" s="9">
        <v>1711072</v>
      </c>
      <c r="P27" s="10"/>
      <c r="Q27" s="10"/>
      <c r="R27" s="9">
        <v>0.08</v>
      </c>
      <c r="S27" s="9">
        <v>2.11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>
        <v>0</v>
      </c>
      <c r="AE27" s="10">
        <v>0</v>
      </c>
      <c r="AF27" s="9">
        <v>188.51</v>
      </c>
      <c r="AG27" s="9">
        <v>6765.64</v>
      </c>
      <c r="AH27" s="7">
        <v>14926.922699999999</v>
      </c>
      <c r="AI27" s="7">
        <v>422502.27679999999</v>
      </c>
      <c r="AJ27" s="16">
        <v>79.183718105140301</v>
      </c>
      <c r="AK27" s="16">
        <v>62.448235022850803</v>
      </c>
    </row>
    <row r="28" spans="1:37" ht="12.75" customHeight="1">
      <c r="A28" s="8" t="s">
        <v>801</v>
      </c>
      <c r="B28" s="9">
        <v>0.05</v>
      </c>
      <c r="C28" s="9">
        <v>1.3</v>
      </c>
      <c r="D28" s="9">
        <v>735.98</v>
      </c>
      <c r="E28" s="9">
        <v>23187.96</v>
      </c>
      <c r="F28" s="10"/>
      <c r="G28" s="10"/>
      <c r="H28" s="9">
        <v>0.1</v>
      </c>
      <c r="I28" s="9">
        <v>3.22</v>
      </c>
      <c r="J28" s="7"/>
      <c r="K28" s="7"/>
      <c r="L28" s="9">
        <v>-288.08</v>
      </c>
      <c r="M28" s="9">
        <v>-8448.44</v>
      </c>
      <c r="N28" s="9">
        <v>8852</v>
      </c>
      <c r="O28" s="9">
        <v>261152</v>
      </c>
      <c r="P28" s="9">
        <v>24.68</v>
      </c>
      <c r="Q28" s="9">
        <v>621.63</v>
      </c>
      <c r="R28" s="9">
        <v>137.37</v>
      </c>
      <c r="S28" s="9">
        <v>3819.95</v>
      </c>
      <c r="T28" s="9">
        <v>121.21</v>
      </c>
      <c r="U28" s="9">
        <v>3687.01</v>
      </c>
      <c r="V28" s="10"/>
      <c r="W28" s="10"/>
      <c r="X28" s="10"/>
      <c r="Y28" s="10"/>
      <c r="Z28" s="10"/>
      <c r="AA28" s="10"/>
      <c r="AB28" s="9">
        <v>0</v>
      </c>
      <c r="AC28" s="9">
        <v>0</v>
      </c>
      <c r="AD28" s="10">
        <v>9028</v>
      </c>
      <c r="AE28" s="10">
        <v>243756</v>
      </c>
      <c r="AF28" s="9">
        <v>820.06</v>
      </c>
      <c r="AG28" s="9">
        <v>28447.48</v>
      </c>
      <c r="AH28" s="7">
        <v>21528.930499999999</v>
      </c>
      <c r="AI28" s="7">
        <v>586036.37100000004</v>
      </c>
      <c r="AJ28" s="16">
        <v>26.252872350803599</v>
      </c>
      <c r="AK28" s="16">
        <v>20.600642693131299</v>
      </c>
    </row>
    <row r="29" spans="1:37" ht="12.75" customHeight="1">
      <c r="A29" s="8" t="s">
        <v>1330</v>
      </c>
      <c r="B29" s="9">
        <v>0</v>
      </c>
      <c r="C29" s="9">
        <v>0</v>
      </c>
      <c r="D29" s="9">
        <v>3426.05</v>
      </c>
      <c r="E29" s="9">
        <v>95043.81</v>
      </c>
      <c r="F29" s="10"/>
      <c r="G29" s="10"/>
      <c r="H29" s="9">
        <v>0</v>
      </c>
      <c r="I29" s="9">
        <v>0</v>
      </c>
      <c r="J29" s="7"/>
      <c r="K29" s="7"/>
      <c r="L29" s="10"/>
      <c r="M29" s="10"/>
      <c r="N29" s="9">
        <v>28080</v>
      </c>
      <c r="O29" s="9">
        <v>767952</v>
      </c>
      <c r="P29" s="10"/>
      <c r="Q29" s="10"/>
      <c r="R29" s="9">
        <v>0</v>
      </c>
      <c r="S29" s="9">
        <v>0.84</v>
      </c>
      <c r="T29" s="10"/>
      <c r="U29" s="10"/>
      <c r="V29" s="10"/>
      <c r="W29" s="10"/>
      <c r="X29" s="9">
        <v>8.5500000000000007</v>
      </c>
      <c r="Y29" s="9">
        <v>225.13800000000001</v>
      </c>
      <c r="Z29" s="10"/>
      <c r="AA29" s="10"/>
      <c r="AB29" s="10"/>
      <c r="AC29" s="10"/>
      <c r="AD29" s="10">
        <v>0</v>
      </c>
      <c r="AE29" s="10">
        <v>0</v>
      </c>
      <c r="AF29" s="9">
        <v>2190.06</v>
      </c>
      <c r="AG29" s="9">
        <v>61723.49</v>
      </c>
      <c r="AH29" s="7">
        <v>14867.344999999999</v>
      </c>
      <c r="AI29" s="7">
        <v>398542.37699999998</v>
      </c>
      <c r="AJ29" s="16">
        <v>6.7885560212962197</v>
      </c>
      <c r="AK29" s="16">
        <v>6.4568995855548703</v>
      </c>
    </row>
    <row r="30" spans="1:37" ht="12.75" customHeight="1">
      <c r="A30" s="8" t="s">
        <v>95</v>
      </c>
      <c r="B30" s="9"/>
      <c r="C30" s="9"/>
      <c r="D30" s="9">
        <v>16450.810000000001</v>
      </c>
      <c r="E30" s="9">
        <v>437425.1</v>
      </c>
      <c r="F30" s="9">
        <v>335.26</v>
      </c>
      <c r="G30" s="9">
        <v>8998.75</v>
      </c>
      <c r="H30" s="9">
        <v>447.28</v>
      </c>
      <c r="I30" s="9">
        <v>21364.77</v>
      </c>
      <c r="J30" s="7"/>
      <c r="K30" s="7"/>
      <c r="L30" s="9">
        <v>-89.26</v>
      </c>
      <c r="M30" s="9">
        <v>-2410.25</v>
      </c>
      <c r="N30" s="9">
        <v>175360</v>
      </c>
      <c r="O30" s="9">
        <v>7817472</v>
      </c>
      <c r="P30" s="9">
        <v>821.25</v>
      </c>
      <c r="Q30" s="9">
        <v>26712.59</v>
      </c>
      <c r="R30" s="9">
        <v>-710.78</v>
      </c>
      <c r="S30" s="9">
        <v>-32302.18</v>
      </c>
      <c r="T30" s="9">
        <v>-397.26</v>
      </c>
      <c r="U30" s="9">
        <v>-10708.53</v>
      </c>
      <c r="V30" s="10"/>
      <c r="W30" s="10"/>
      <c r="X30" s="9">
        <v>46.78</v>
      </c>
      <c r="Y30" s="9">
        <v>1049.8800000000001</v>
      </c>
      <c r="Z30" s="10"/>
      <c r="AA30" s="10"/>
      <c r="AB30" s="9">
        <v>7375.2</v>
      </c>
      <c r="AC30" s="9">
        <v>193402.25</v>
      </c>
      <c r="AD30" s="10">
        <v>-38065</v>
      </c>
      <c r="AE30" s="10">
        <v>-1027755</v>
      </c>
      <c r="AF30" s="9">
        <v>1669.78</v>
      </c>
      <c r="AG30" s="9">
        <v>130014.69</v>
      </c>
      <c r="AH30" s="7">
        <v>70457.115999999995</v>
      </c>
      <c r="AI30" s="7">
        <v>1890313.9624999999</v>
      </c>
      <c r="AJ30" s="16">
        <v>42.195448502197898</v>
      </c>
      <c r="AK30" s="16">
        <v>14.539233701207101</v>
      </c>
    </row>
    <row r="31" spans="1:37" ht="12.75" customHeight="1">
      <c r="A31" s="8" t="s">
        <v>98</v>
      </c>
      <c r="B31" s="9">
        <v>0.02</v>
      </c>
      <c r="C31" s="9">
        <v>80.59</v>
      </c>
      <c r="D31" s="9">
        <v>44320.04</v>
      </c>
      <c r="E31" s="9">
        <v>1184219.97</v>
      </c>
      <c r="F31" s="9">
        <v>127.19</v>
      </c>
      <c r="G31" s="9">
        <v>4034.93</v>
      </c>
      <c r="H31" s="9">
        <v>16.03</v>
      </c>
      <c r="I31" s="9">
        <v>3931.46</v>
      </c>
      <c r="J31" s="9">
        <v>-222.27</v>
      </c>
      <c r="K31" s="9">
        <v>-6648.79</v>
      </c>
      <c r="L31" s="10"/>
      <c r="M31" s="10"/>
      <c r="N31" s="9">
        <v>70816</v>
      </c>
      <c r="O31" s="9">
        <v>2683648</v>
      </c>
      <c r="P31" s="9">
        <v>261.49</v>
      </c>
      <c r="Q31" s="9">
        <v>10507.16</v>
      </c>
      <c r="R31" s="9">
        <v>-10.1</v>
      </c>
      <c r="S31" s="9">
        <v>-3229.75</v>
      </c>
      <c r="T31" s="9"/>
      <c r="U31" s="9"/>
      <c r="V31" s="10"/>
      <c r="W31" s="10"/>
      <c r="X31" s="9">
        <v>16.059999999999999</v>
      </c>
      <c r="Y31" s="9">
        <v>213.8</v>
      </c>
      <c r="Z31" s="10"/>
      <c r="AA31" s="10"/>
      <c r="AB31" s="11"/>
      <c r="AC31" s="11"/>
      <c r="AD31" s="10">
        <v>8158</v>
      </c>
      <c r="AE31" s="10">
        <v>220266</v>
      </c>
      <c r="AF31" s="9">
        <v>1501.97</v>
      </c>
      <c r="AG31" s="9">
        <v>173104.69</v>
      </c>
      <c r="AH31" s="7">
        <v>65865.302899999995</v>
      </c>
      <c r="AI31" s="7">
        <v>1854034.2087999999</v>
      </c>
      <c r="AJ31" s="16">
        <v>43.8526088403896</v>
      </c>
      <c r="AK31" s="16">
        <v>10.7104793567407</v>
      </c>
    </row>
    <row r="32" spans="1:37" ht="12.75" customHeight="1">
      <c r="A32" s="8" t="s">
        <v>100</v>
      </c>
      <c r="B32" s="9">
        <v>0</v>
      </c>
      <c r="C32" s="9">
        <v>0</v>
      </c>
      <c r="D32" s="9">
        <v>8921.0499999999993</v>
      </c>
      <c r="E32" s="9">
        <v>237425.02</v>
      </c>
      <c r="F32" s="9">
        <v>0</v>
      </c>
      <c r="G32" s="9">
        <v>0</v>
      </c>
      <c r="H32" s="9">
        <v>0</v>
      </c>
      <c r="I32" s="9">
        <v>0</v>
      </c>
      <c r="J32" s="7"/>
      <c r="K32" s="7"/>
      <c r="L32" s="9">
        <v>0</v>
      </c>
      <c r="M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-0.01</v>
      </c>
      <c r="V32" s="10"/>
      <c r="W32" s="10"/>
      <c r="X32" s="9">
        <v>0</v>
      </c>
      <c r="Y32" s="9">
        <v>0</v>
      </c>
      <c r="Z32" s="10"/>
      <c r="AA32" s="10"/>
      <c r="AB32" s="9">
        <v>1085.44</v>
      </c>
      <c r="AC32" s="9">
        <v>28886.39</v>
      </c>
      <c r="AD32" s="10">
        <v>-2</v>
      </c>
      <c r="AE32" s="10">
        <v>-54</v>
      </c>
      <c r="AF32" s="9">
        <v>0</v>
      </c>
      <c r="AG32" s="9">
        <v>0</v>
      </c>
      <c r="AH32" s="7">
        <v>890.10500000000002</v>
      </c>
      <c r="AI32" s="7">
        <v>23688.502</v>
      </c>
      <c r="AJ32" s="16"/>
      <c r="AK32" s="16"/>
    </row>
    <row r="33" spans="1:37" ht="12.75" customHeight="1">
      <c r="A33" s="8" t="s">
        <v>102</v>
      </c>
      <c r="B33" s="9">
        <v>0</v>
      </c>
      <c r="C33" s="9">
        <v>1.28</v>
      </c>
      <c r="D33" s="9">
        <v>60040.21</v>
      </c>
      <c r="E33" s="9">
        <v>1620088.15</v>
      </c>
      <c r="F33" s="9">
        <v>1.06</v>
      </c>
      <c r="G33" s="9">
        <v>5.88</v>
      </c>
      <c r="H33" s="9">
        <v>1099.77</v>
      </c>
      <c r="I33" s="9">
        <v>36092.379999999997</v>
      </c>
      <c r="J33" s="7"/>
      <c r="K33" s="7"/>
      <c r="L33" s="9">
        <v>-14.73</v>
      </c>
      <c r="M33" s="9">
        <v>-83.95</v>
      </c>
      <c r="N33" s="9">
        <v>413056</v>
      </c>
      <c r="O33" s="9">
        <v>12431360</v>
      </c>
      <c r="P33" s="9">
        <v>1612.23</v>
      </c>
      <c r="Q33" s="9">
        <v>45733.19</v>
      </c>
      <c r="R33" s="9">
        <v>0</v>
      </c>
      <c r="S33" s="9">
        <v>50.95</v>
      </c>
      <c r="T33" s="9">
        <v>-1978.03</v>
      </c>
      <c r="U33" s="9">
        <v>-62506.21</v>
      </c>
      <c r="V33" s="10"/>
      <c r="W33" s="10"/>
      <c r="X33" s="9">
        <v>48.96</v>
      </c>
      <c r="Y33" s="9">
        <v>1103.56</v>
      </c>
      <c r="Z33" s="10"/>
      <c r="AA33" s="10"/>
      <c r="AB33" s="9">
        <v>8990.01</v>
      </c>
      <c r="AC33" s="9">
        <v>242290.13</v>
      </c>
      <c r="AD33" s="10">
        <v>-152708</v>
      </c>
      <c r="AE33" s="10">
        <v>-4123116</v>
      </c>
      <c r="AF33" s="9">
        <v>8043.95</v>
      </c>
      <c r="AG33" s="9">
        <v>295455.95</v>
      </c>
      <c r="AH33" s="7">
        <v>145868.66649999999</v>
      </c>
      <c r="AI33" s="7">
        <v>4281439.2351000002</v>
      </c>
      <c r="AJ33" s="16">
        <v>18.133959870461702</v>
      </c>
      <c r="AK33" s="16">
        <v>14.490956215638899</v>
      </c>
    </row>
    <row r="34" spans="1:37" ht="12.75" customHeight="1">
      <c r="A34" s="8" t="s">
        <v>1331</v>
      </c>
      <c r="B34" s="238">
        <v>0</v>
      </c>
      <c r="C34" s="238">
        <v>0.12</v>
      </c>
      <c r="D34" s="238">
        <v>17956.14</v>
      </c>
      <c r="E34" s="238">
        <v>469036.26</v>
      </c>
      <c r="F34" s="238">
        <v>0.53</v>
      </c>
      <c r="G34" s="238">
        <v>11.47</v>
      </c>
      <c r="H34" s="238">
        <v>1149.8800000000001</v>
      </c>
      <c r="I34" s="238">
        <v>57650.52</v>
      </c>
      <c r="J34" s="277"/>
      <c r="K34" s="277"/>
      <c r="L34" s="238">
        <v>-33.351840000000003</v>
      </c>
      <c r="M34" s="238">
        <v>-1028.72208</v>
      </c>
      <c r="N34" s="238">
        <v>25440</v>
      </c>
      <c r="O34" s="238">
        <v>656900</v>
      </c>
      <c r="P34" s="238">
        <v>-386.35</v>
      </c>
      <c r="Q34" s="238">
        <v>-22638.33</v>
      </c>
      <c r="R34" s="238">
        <v>87.8</v>
      </c>
      <c r="S34" s="238">
        <v>2359.37</v>
      </c>
      <c r="T34" s="238">
        <v>1743.19</v>
      </c>
      <c r="U34" s="238">
        <v>36441.949999999997</v>
      </c>
      <c r="V34" s="277"/>
      <c r="W34" s="277"/>
      <c r="X34" s="238">
        <v>9.5988621999999992</v>
      </c>
      <c r="Y34" s="238">
        <v>388.765691</v>
      </c>
      <c r="Z34" s="278">
        <v>0</v>
      </c>
      <c r="AA34" s="278"/>
      <c r="AB34" s="277"/>
      <c r="AC34" s="277"/>
      <c r="AD34" s="277">
        <v>-53618</v>
      </c>
      <c r="AE34" s="277">
        <v>-1447686</v>
      </c>
      <c r="AF34" s="238">
        <v>199.23</v>
      </c>
      <c r="AG34" s="238">
        <v>18200.91</v>
      </c>
      <c r="AH34" s="278">
        <v>-53904.173486</v>
      </c>
      <c r="AI34" s="278">
        <v>-2172001.2260619998</v>
      </c>
      <c r="AJ34" s="279">
        <v>-270.56253318275401</v>
      </c>
      <c r="AK34" s="280">
        <v>-119.334759968705</v>
      </c>
    </row>
    <row r="35" spans="1:37" ht="12.75" customHeight="1">
      <c r="A35" s="8" t="s">
        <v>1332</v>
      </c>
      <c r="B35" s="238"/>
      <c r="C35" s="238"/>
      <c r="D35" s="238"/>
      <c r="E35" s="238"/>
      <c r="F35" s="238"/>
      <c r="G35" s="238"/>
      <c r="H35" s="238"/>
      <c r="I35" s="238"/>
      <c r="J35" s="277"/>
      <c r="K35" s="277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77"/>
      <c r="W35" s="277"/>
      <c r="X35" s="238"/>
      <c r="Y35" s="238"/>
      <c r="Z35" s="278"/>
      <c r="AA35" s="278"/>
      <c r="AB35" s="277"/>
      <c r="AC35" s="277"/>
      <c r="AD35" s="277"/>
      <c r="AE35" s="277"/>
      <c r="AF35" s="238"/>
      <c r="AG35" s="238"/>
      <c r="AH35" s="278"/>
      <c r="AI35" s="278"/>
      <c r="AJ35" s="279"/>
      <c r="AK35" s="280"/>
    </row>
    <row r="36" spans="1:37" ht="12.75" customHeight="1">
      <c r="A36" s="8" t="s">
        <v>1333</v>
      </c>
      <c r="B36" s="238"/>
      <c r="C36" s="238"/>
      <c r="D36" s="238"/>
      <c r="E36" s="238"/>
      <c r="F36" s="238"/>
      <c r="G36" s="238"/>
      <c r="H36" s="238"/>
      <c r="I36" s="238"/>
      <c r="J36" s="277"/>
      <c r="K36" s="277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77"/>
      <c r="W36" s="277"/>
      <c r="X36" s="238"/>
      <c r="Y36" s="238"/>
      <c r="Z36" s="278"/>
      <c r="AA36" s="278"/>
      <c r="AB36" s="277"/>
      <c r="AC36" s="277"/>
      <c r="AD36" s="277"/>
      <c r="AE36" s="277"/>
      <c r="AF36" s="238"/>
      <c r="AG36" s="238"/>
      <c r="AH36" s="278"/>
      <c r="AI36" s="278"/>
      <c r="AJ36" s="279"/>
      <c r="AK36" s="280"/>
    </row>
    <row r="37" spans="1:37" ht="12.75" customHeight="1">
      <c r="A37" s="8" t="s">
        <v>1334</v>
      </c>
      <c r="B37" s="9">
        <v>0</v>
      </c>
      <c r="C37" s="9">
        <v>5</v>
      </c>
      <c r="D37" s="9">
        <v>7334.72</v>
      </c>
      <c r="E37" s="9">
        <v>199121.05</v>
      </c>
      <c r="F37" s="9">
        <v>0</v>
      </c>
      <c r="G37" s="9">
        <v>0.77</v>
      </c>
      <c r="H37" s="10"/>
      <c r="I37" s="10"/>
      <c r="J37" s="7"/>
      <c r="K37" s="7"/>
      <c r="L37" s="9">
        <v>-531.33000000000004</v>
      </c>
      <c r="M37" s="9">
        <v>-15161.17</v>
      </c>
      <c r="N37" s="9">
        <v>9640</v>
      </c>
      <c r="O37" s="9">
        <v>271914</v>
      </c>
      <c r="P37" s="10"/>
      <c r="Q37" s="10"/>
      <c r="R37" s="9">
        <v>929.94</v>
      </c>
      <c r="S37" s="9">
        <v>26160.17</v>
      </c>
      <c r="T37" s="10"/>
      <c r="U37" s="10"/>
      <c r="V37" s="10"/>
      <c r="W37" s="10"/>
      <c r="X37" s="7"/>
      <c r="Y37" s="7"/>
      <c r="Z37" s="10"/>
      <c r="AA37" s="10"/>
      <c r="AB37" s="10"/>
      <c r="AC37" s="10"/>
      <c r="AD37" s="10"/>
      <c r="AE37" s="10"/>
      <c r="AF37" s="9">
        <v>5488.51</v>
      </c>
      <c r="AG37" s="9">
        <v>162580.19</v>
      </c>
      <c r="AH37" s="7">
        <v>69542.157500000001</v>
      </c>
      <c r="AI37" s="7">
        <v>1954101.0874999999</v>
      </c>
      <c r="AJ37" s="16">
        <v>12.670498459509</v>
      </c>
      <c r="AK37" s="16">
        <v>12.0193062112918</v>
      </c>
    </row>
    <row r="38" spans="1:37" ht="12.75" customHeight="1">
      <c r="A38" s="8" t="s">
        <v>1335</v>
      </c>
      <c r="B38" s="238">
        <v>2.21</v>
      </c>
      <c r="C38" s="238">
        <v>45.27</v>
      </c>
      <c r="D38" s="238">
        <v>31460.26</v>
      </c>
      <c r="E38" s="238">
        <v>842456.53</v>
      </c>
      <c r="F38" s="238">
        <v>653.23</v>
      </c>
      <c r="G38" s="238">
        <v>42473.27</v>
      </c>
      <c r="H38" s="238">
        <v>-1149.8800000000001</v>
      </c>
      <c r="I38" s="238">
        <v>-57650.52</v>
      </c>
      <c r="J38" s="277"/>
      <c r="K38" s="277"/>
      <c r="L38" s="238">
        <v>-2156.5466999999999</v>
      </c>
      <c r="M38" s="238">
        <v>-62707.768199999999</v>
      </c>
      <c r="N38" s="238">
        <v>68225.23</v>
      </c>
      <c r="O38" s="238">
        <v>1806872.22</v>
      </c>
      <c r="P38" s="277"/>
      <c r="Q38" s="277"/>
      <c r="R38" s="238">
        <v>292.12</v>
      </c>
      <c r="S38" s="238">
        <v>991.16</v>
      </c>
      <c r="T38" s="238">
        <v>1567.51</v>
      </c>
      <c r="U38" s="238">
        <v>43854.65</v>
      </c>
      <c r="V38" s="277"/>
      <c r="W38" s="277"/>
      <c r="X38" s="277"/>
      <c r="Y38" s="277"/>
      <c r="Z38" s="277">
        <v>0</v>
      </c>
      <c r="AA38" s="277"/>
      <c r="AB38" s="277"/>
      <c r="AC38" s="277"/>
      <c r="AD38" s="277">
        <v>168113</v>
      </c>
      <c r="AE38" s="277">
        <v>4539051</v>
      </c>
      <c r="AF38" s="238">
        <v>27090.06</v>
      </c>
      <c r="AG38" s="238">
        <v>753690.15</v>
      </c>
      <c r="AH38" s="278">
        <v>183441.82488500001</v>
      </c>
      <c r="AI38" s="278">
        <v>4198188.6853299998</v>
      </c>
      <c r="AJ38" s="280">
        <v>6.7715547652902899</v>
      </c>
      <c r="AK38" s="280">
        <v>5.5701785214122799</v>
      </c>
    </row>
    <row r="39" spans="1:37" ht="12.75" customHeight="1">
      <c r="A39" s="8" t="s">
        <v>1336</v>
      </c>
      <c r="B39" s="238"/>
      <c r="C39" s="238"/>
      <c r="D39" s="238"/>
      <c r="E39" s="238"/>
      <c r="F39" s="238"/>
      <c r="G39" s="238"/>
      <c r="H39" s="238"/>
      <c r="I39" s="238"/>
      <c r="J39" s="277"/>
      <c r="K39" s="277"/>
      <c r="L39" s="238"/>
      <c r="M39" s="238"/>
      <c r="N39" s="238"/>
      <c r="O39" s="238"/>
      <c r="P39" s="277"/>
      <c r="Q39" s="277"/>
      <c r="R39" s="238"/>
      <c r="S39" s="238"/>
      <c r="T39" s="238"/>
      <c r="U39" s="238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38"/>
      <c r="AG39" s="238"/>
      <c r="AH39" s="278"/>
      <c r="AI39" s="278"/>
      <c r="AJ39" s="280"/>
      <c r="AK39" s="280"/>
    </row>
    <row r="40" spans="1:37" ht="12.75" customHeight="1">
      <c r="A40" s="8" t="s">
        <v>1337</v>
      </c>
      <c r="B40" s="238"/>
      <c r="C40" s="238"/>
      <c r="D40" s="238"/>
      <c r="E40" s="238"/>
      <c r="F40" s="238"/>
      <c r="G40" s="238"/>
      <c r="H40" s="238"/>
      <c r="I40" s="238"/>
      <c r="J40" s="277"/>
      <c r="K40" s="277"/>
      <c r="L40" s="238"/>
      <c r="M40" s="238"/>
      <c r="N40" s="238"/>
      <c r="O40" s="238"/>
      <c r="P40" s="277"/>
      <c r="Q40" s="277"/>
      <c r="R40" s="238"/>
      <c r="S40" s="238"/>
      <c r="T40" s="238"/>
      <c r="U40" s="238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38"/>
      <c r="AG40" s="238"/>
      <c r="AH40" s="278"/>
      <c r="AI40" s="278"/>
      <c r="AJ40" s="280"/>
      <c r="AK40" s="280"/>
    </row>
    <row r="41" spans="1:37" ht="12.75" customHeight="1">
      <c r="A41" s="8" t="s">
        <v>1338</v>
      </c>
      <c r="B41" s="9">
        <v>0</v>
      </c>
      <c r="C41" s="9">
        <v>2202.37</v>
      </c>
      <c r="D41" s="10"/>
      <c r="E41" s="10"/>
      <c r="F41" s="10"/>
      <c r="G41" s="10"/>
      <c r="H41" s="10"/>
      <c r="I41" s="10"/>
      <c r="J41" s="7"/>
      <c r="K41" s="7"/>
      <c r="L41" s="10"/>
      <c r="M41" s="10"/>
      <c r="N41" s="9"/>
      <c r="O41" s="9"/>
      <c r="P41" s="10"/>
      <c r="Q41" s="10"/>
      <c r="R41" s="9">
        <v>0</v>
      </c>
      <c r="S41" s="9">
        <v>0.21</v>
      </c>
      <c r="T41" s="10"/>
      <c r="U41" s="10"/>
      <c r="V41" s="10"/>
      <c r="W41" s="10"/>
      <c r="X41" s="7"/>
      <c r="Y41" s="7"/>
      <c r="Z41" s="10"/>
      <c r="AA41" s="10"/>
      <c r="AB41" s="10"/>
      <c r="AC41" s="10"/>
      <c r="AD41" s="10"/>
      <c r="AE41" s="10"/>
      <c r="AF41" s="10">
        <v>8828.35</v>
      </c>
      <c r="AG41" s="10">
        <v>254380.28</v>
      </c>
      <c r="AH41" s="7">
        <v>0</v>
      </c>
      <c r="AI41" s="7">
        <v>390.36290000000002</v>
      </c>
      <c r="AJ41" s="16">
        <v>0</v>
      </c>
      <c r="AK41" s="16">
        <v>1.53456431449796E-3</v>
      </c>
    </row>
    <row r="42" spans="1:37" ht="12.75" customHeight="1">
      <c r="A42" s="12" t="s">
        <v>1339</v>
      </c>
      <c r="B42" s="13">
        <v>52.47</v>
      </c>
      <c r="C42" s="13">
        <v>1985.37</v>
      </c>
      <c r="D42" s="13">
        <v>342899.12</v>
      </c>
      <c r="E42" s="13">
        <v>9198379.6899999995</v>
      </c>
      <c r="F42" s="13">
        <v>4179.4799999999996</v>
      </c>
      <c r="G42" s="13">
        <v>125620.6</v>
      </c>
      <c r="H42" s="13">
        <v>-885.98</v>
      </c>
      <c r="I42" s="13">
        <v>-13053.18</v>
      </c>
      <c r="J42" s="13">
        <v>-1569.12</v>
      </c>
      <c r="K42" s="13">
        <v>-45636.56</v>
      </c>
      <c r="L42" s="13">
        <v>-903.52</v>
      </c>
      <c r="M42" s="13">
        <v>-28999.89</v>
      </c>
      <c r="N42" s="13">
        <v>582112</v>
      </c>
      <c r="O42" s="13">
        <v>16235107</v>
      </c>
      <c r="P42" s="13">
        <v>1201.55</v>
      </c>
      <c r="Q42" s="13">
        <v>25685.82</v>
      </c>
      <c r="R42" s="13">
        <v>611.79999999999995</v>
      </c>
      <c r="S42" s="13">
        <v>15447.46</v>
      </c>
      <c r="T42" s="13"/>
      <c r="U42" s="13"/>
      <c r="V42" s="13">
        <v>0</v>
      </c>
      <c r="W42" s="13">
        <v>0</v>
      </c>
      <c r="X42" s="13">
        <v>507.48016000000001</v>
      </c>
      <c r="Y42" s="13">
        <v>17714.722409999998</v>
      </c>
      <c r="Z42" s="13">
        <v>0</v>
      </c>
      <c r="AA42" s="13">
        <v>0</v>
      </c>
      <c r="AB42" s="13"/>
      <c r="AC42" s="13"/>
      <c r="AD42" s="13"/>
      <c r="AE42" s="13"/>
      <c r="AF42" s="13"/>
      <c r="AG42" s="13"/>
      <c r="AH42" s="13"/>
      <c r="AI42" s="13"/>
      <c r="AJ42" s="18"/>
      <c r="AK42" s="18"/>
    </row>
    <row r="43" spans="1:37" ht="12.75" customHeight="1">
      <c r="A43" s="8" t="s">
        <v>81</v>
      </c>
      <c r="B43" s="9">
        <v>0.08</v>
      </c>
      <c r="C43" s="9">
        <v>1.89</v>
      </c>
      <c r="D43" s="9">
        <v>10035.89</v>
      </c>
      <c r="E43" s="9">
        <v>270953.48</v>
      </c>
      <c r="F43" s="9">
        <v>236.15</v>
      </c>
      <c r="G43" s="9">
        <v>6157.55</v>
      </c>
      <c r="H43" s="10"/>
      <c r="I43" s="10"/>
      <c r="J43" s="7"/>
      <c r="K43" s="7"/>
      <c r="L43" s="9">
        <v>-0.32</v>
      </c>
      <c r="M43" s="9">
        <v>-1324.13</v>
      </c>
      <c r="N43" s="9">
        <v>42880</v>
      </c>
      <c r="O43" s="9">
        <v>1182160</v>
      </c>
      <c r="P43" s="7">
        <v>0</v>
      </c>
      <c r="Q43" s="7">
        <v>0</v>
      </c>
      <c r="R43" s="9">
        <v>-3.11</v>
      </c>
      <c r="S43" s="9">
        <v>-84.46</v>
      </c>
      <c r="T43" s="9">
        <v>79.17</v>
      </c>
      <c r="U43" s="9">
        <v>2342</v>
      </c>
      <c r="V43" s="10"/>
      <c r="W43" s="10"/>
      <c r="X43" s="9">
        <v>66.11</v>
      </c>
      <c r="Y43" s="9">
        <v>2098.86</v>
      </c>
      <c r="Z43" s="7"/>
      <c r="AA43" s="7"/>
      <c r="AB43" s="7"/>
      <c r="AC43" s="7"/>
      <c r="AD43" s="10">
        <v>-547</v>
      </c>
      <c r="AE43" s="10">
        <v>-14769</v>
      </c>
      <c r="AF43" s="9">
        <v>5398.34</v>
      </c>
      <c r="AG43" s="9">
        <v>179696.01</v>
      </c>
      <c r="AH43" s="7">
        <v>73342.079599999997</v>
      </c>
      <c r="AI43" s="7">
        <v>2273389.9597999998</v>
      </c>
      <c r="AJ43" s="16">
        <v>13.5860430428613</v>
      </c>
      <c r="AK43" s="16">
        <v>12.651310175445699</v>
      </c>
    </row>
    <row r="44" spans="1:37" ht="12.75" customHeight="1">
      <c r="A44" s="8" t="s">
        <v>79</v>
      </c>
      <c r="B44" s="9">
        <v>0</v>
      </c>
      <c r="C44" s="9">
        <v>0</v>
      </c>
      <c r="D44" s="9">
        <v>2002.06</v>
      </c>
      <c r="E44" s="9">
        <v>52895.43</v>
      </c>
      <c r="F44" s="9">
        <v>232.17</v>
      </c>
      <c r="G44" s="9">
        <v>6042.2</v>
      </c>
      <c r="H44" s="10"/>
      <c r="I44" s="10"/>
      <c r="J44" s="7"/>
      <c r="K44" s="7"/>
      <c r="L44" s="9">
        <v>-19.2</v>
      </c>
      <c r="M44" s="9">
        <v>-518.39</v>
      </c>
      <c r="N44" s="9">
        <v>28448</v>
      </c>
      <c r="O44" s="9">
        <v>820448</v>
      </c>
      <c r="P44" s="9">
        <v>397.05</v>
      </c>
      <c r="Q44" s="9">
        <v>12515.86</v>
      </c>
      <c r="R44" s="9">
        <v>-370.24</v>
      </c>
      <c r="S44" s="9">
        <v>-12484.28</v>
      </c>
      <c r="T44" s="10"/>
      <c r="U44" s="10"/>
      <c r="V44" s="10"/>
      <c r="W44" s="10"/>
      <c r="X44" s="9">
        <v>9.98</v>
      </c>
      <c r="Y44" s="9">
        <v>363.42</v>
      </c>
      <c r="Z44" s="7"/>
      <c r="AA44" s="7"/>
      <c r="AB44" s="7"/>
      <c r="AC44" s="7"/>
      <c r="AD44" s="10">
        <v>0</v>
      </c>
      <c r="AE44" s="10">
        <v>0</v>
      </c>
      <c r="AF44" s="9">
        <v>4798.54</v>
      </c>
      <c r="AG44" s="9">
        <v>149181.07999999999</v>
      </c>
      <c r="AH44" s="7">
        <v>23356.620999999999</v>
      </c>
      <c r="AI44" s="7">
        <v>700122.46349999995</v>
      </c>
      <c r="AJ44" s="16">
        <v>4.8674432223134501</v>
      </c>
      <c r="AK44" s="16">
        <v>4.6931049399830096</v>
      </c>
    </row>
    <row r="45" spans="1:37" ht="12.75" customHeight="1">
      <c r="A45" s="8" t="s">
        <v>101</v>
      </c>
      <c r="B45" s="9">
        <v>51.39</v>
      </c>
      <c r="C45" s="9">
        <v>1938.43</v>
      </c>
      <c r="D45" s="9">
        <v>173590.03</v>
      </c>
      <c r="E45" s="9">
        <v>4617167.0999999996</v>
      </c>
      <c r="F45" s="9">
        <v>897.36</v>
      </c>
      <c r="G45" s="9">
        <v>28105.02</v>
      </c>
      <c r="H45" s="9">
        <v>-376.97</v>
      </c>
      <c r="I45" s="9">
        <v>-7676.99</v>
      </c>
      <c r="J45" s="9">
        <v>-1569.12</v>
      </c>
      <c r="K45" s="9">
        <v>-45636.56</v>
      </c>
      <c r="L45" s="9">
        <v>-14.85</v>
      </c>
      <c r="M45" s="9">
        <v>-1300.69</v>
      </c>
      <c r="N45" s="9">
        <v>87392</v>
      </c>
      <c r="O45" s="9">
        <v>2522208</v>
      </c>
      <c r="P45" s="9">
        <v>556</v>
      </c>
      <c r="Q45" s="9">
        <v>12396.06</v>
      </c>
      <c r="R45" s="9">
        <v>129.18</v>
      </c>
      <c r="S45" s="9">
        <v>3470.83</v>
      </c>
      <c r="T45" s="9">
        <v>0</v>
      </c>
      <c r="U45" s="9">
        <v>0</v>
      </c>
      <c r="V45" s="10"/>
      <c r="W45" s="10"/>
      <c r="X45" s="9">
        <v>152.11000000000001</v>
      </c>
      <c r="Y45" s="9">
        <v>5554.89</v>
      </c>
      <c r="Z45" s="7"/>
      <c r="AA45" s="7"/>
      <c r="AB45" s="7"/>
      <c r="AC45" s="7"/>
      <c r="AD45" s="10">
        <v>-11424</v>
      </c>
      <c r="AE45" s="10">
        <v>-308448</v>
      </c>
      <c r="AF45" s="9">
        <v>3621.2</v>
      </c>
      <c r="AG45" s="9">
        <v>128990.01</v>
      </c>
      <c r="AH45" s="7">
        <v>221874.20879999999</v>
      </c>
      <c r="AI45" s="7">
        <v>7177933.0426000003</v>
      </c>
      <c r="AJ45" s="16">
        <v>61.270907102617898</v>
      </c>
      <c r="AK45" s="16">
        <v>55.647201225893397</v>
      </c>
    </row>
    <row r="46" spans="1:37" ht="12.75" customHeight="1">
      <c r="A46" s="8" t="s">
        <v>1340</v>
      </c>
      <c r="B46" s="238">
        <v>0</v>
      </c>
      <c r="C46" s="238">
        <v>2.39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7"/>
      <c r="AA46" s="7"/>
      <c r="AB46" s="7"/>
      <c r="AC46" s="7"/>
      <c r="AD46" s="10"/>
      <c r="AE46" s="10"/>
      <c r="AF46" s="10"/>
      <c r="AG46" s="10"/>
      <c r="AH46" s="7"/>
      <c r="AI46" s="7"/>
      <c r="AJ46" s="16"/>
      <c r="AK46" s="16"/>
    </row>
    <row r="47" spans="1:37" ht="12.75" customHeight="1">
      <c r="A47" s="8" t="s">
        <v>1341</v>
      </c>
      <c r="B47" s="238"/>
      <c r="C47" s="238"/>
      <c r="D47" s="9">
        <v>9653.58</v>
      </c>
      <c r="E47" s="9">
        <v>256939.14</v>
      </c>
      <c r="F47" s="9">
        <v>2601.11</v>
      </c>
      <c r="G47" s="9">
        <v>79205.399999999994</v>
      </c>
      <c r="H47" s="9">
        <v>-809.46</v>
      </c>
      <c r="I47" s="9">
        <v>-12323.93</v>
      </c>
      <c r="J47" s="7"/>
      <c r="K47" s="7"/>
      <c r="L47" s="10"/>
      <c r="M47" s="10"/>
      <c r="N47" s="9">
        <v>45600</v>
      </c>
      <c r="O47" s="9">
        <v>1576800</v>
      </c>
      <c r="P47" s="9">
        <v>-778.87</v>
      </c>
      <c r="Q47" s="9">
        <v>-29388.560000000001</v>
      </c>
      <c r="R47" s="9">
        <v>0</v>
      </c>
      <c r="S47" s="9">
        <v>0</v>
      </c>
      <c r="T47" s="9">
        <v>-322</v>
      </c>
      <c r="U47" s="9">
        <v>-10319.35</v>
      </c>
      <c r="V47" s="10"/>
      <c r="W47" s="10"/>
      <c r="X47" s="9">
        <v>200.70295999999999</v>
      </c>
      <c r="Y47" s="9">
        <v>7419.8857600000001</v>
      </c>
      <c r="Z47" s="7">
        <v>0</v>
      </c>
      <c r="AA47" s="7"/>
      <c r="AB47" s="9">
        <v>364.57</v>
      </c>
      <c r="AC47" s="9">
        <v>9848.86</v>
      </c>
      <c r="AD47" s="7">
        <v>150</v>
      </c>
      <c r="AE47" s="10">
        <v>4050</v>
      </c>
      <c r="AF47" s="9">
        <v>135.88999999999999</v>
      </c>
      <c r="AG47" s="9">
        <v>5568.01</v>
      </c>
      <c r="AH47" s="7">
        <v>132174.93100000001</v>
      </c>
      <c r="AI47" s="7">
        <v>4920745.1763000004</v>
      </c>
      <c r="AJ47" s="16">
        <v>972.66120391493098</v>
      </c>
      <c r="AK47" s="16">
        <v>883.75293440564894</v>
      </c>
    </row>
    <row r="48" spans="1:37" ht="12.75" customHeight="1">
      <c r="A48" s="8" t="s">
        <v>1342</v>
      </c>
      <c r="B48" s="9">
        <v>0.28000000000000003</v>
      </c>
      <c r="C48" s="9">
        <v>7.6</v>
      </c>
      <c r="D48" s="9">
        <v>24979.82</v>
      </c>
      <c r="E48" s="9">
        <v>673519.73</v>
      </c>
      <c r="F48" s="9">
        <v>1.35</v>
      </c>
      <c r="G48" s="9">
        <v>3.73</v>
      </c>
      <c r="H48" s="10"/>
      <c r="I48" s="10"/>
      <c r="J48" s="7"/>
      <c r="K48" s="7"/>
      <c r="L48" s="9">
        <v>-215.75</v>
      </c>
      <c r="M48" s="9">
        <v>-5963.4</v>
      </c>
      <c r="N48" s="9">
        <v>3726</v>
      </c>
      <c r="O48" s="9">
        <v>101371</v>
      </c>
      <c r="P48" s="7">
        <v>0</v>
      </c>
      <c r="Q48" s="7">
        <v>0</v>
      </c>
      <c r="R48" s="9">
        <v>136.4</v>
      </c>
      <c r="S48" s="9">
        <v>3784.62</v>
      </c>
      <c r="T48" s="10"/>
      <c r="U48" s="10"/>
      <c r="V48" s="7"/>
      <c r="W48" s="7"/>
      <c r="X48" s="10"/>
      <c r="Y48" s="10"/>
      <c r="Z48" s="7"/>
      <c r="AA48" s="7"/>
      <c r="AB48" s="7"/>
      <c r="AC48" s="7"/>
      <c r="AD48" s="10">
        <v>0</v>
      </c>
      <c r="AE48" s="10">
        <v>0</v>
      </c>
      <c r="AF48" s="9">
        <v>208.02</v>
      </c>
      <c r="AG48" s="9">
        <v>5728.99</v>
      </c>
      <c r="AH48" s="7">
        <v>12066.5751</v>
      </c>
      <c r="AI48" s="7">
        <v>332485.54200000002</v>
      </c>
      <c r="AJ48" s="16">
        <v>58.0068027112778</v>
      </c>
      <c r="AK48" s="16">
        <v>58.035629665962098</v>
      </c>
    </row>
    <row r="49" spans="1:37" ht="12.75" customHeight="1">
      <c r="A49" s="8" t="s">
        <v>103</v>
      </c>
      <c r="B49" s="9">
        <v>0</v>
      </c>
      <c r="C49" s="9">
        <v>0</v>
      </c>
      <c r="D49" s="9">
        <v>23438.66</v>
      </c>
      <c r="E49" s="9">
        <v>623066.39</v>
      </c>
      <c r="F49" s="10"/>
      <c r="G49" s="10"/>
      <c r="H49" s="9">
        <v>300.45</v>
      </c>
      <c r="I49" s="9">
        <v>6947.74</v>
      </c>
      <c r="J49" s="7"/>
      <c r="K49" s="7"/>
      <c r="L49" s="9">
        <v>0</v>
      </c>
      <c r="M49" s="9">
        <v>0</v>
      </c>
      <c r="N49" s="9">
        <v>57248</v>
      </c>
      <c r="O49" s="9">
        <v>1597680</v>
      </c>
      <c r="P49" s="9">
        <v>1027.3699999999999</v>
      </c>
      <c r="Q49" s="9">
        <v>30162.46</v>
      </c>
      <c r="R49" s="9">
        <v>-44.88</v>
      </c>
      <c r="S49" s="9">
        <v>-1196.05</v>
      </c>
      <c r="T49" s="9">
        <v>0</v>
      </c>
      <c r="U49" s="9">
        <v>0</v>
      </c>
      <c r="V49" s="7"/>
      <c r="W49" s="7"/>
      <c r="X49" s="9">
        <v>75.33</v>
      </c>
      <c r="Y49" s="9">
        <v>2180.37</v>
      </c>
      <c r="Z49" s="7"/>
      <c r="AA49" s="7"/>
      <c r="AB49" s="9">
        <v>1657.23</v>
      </c>
      <c r="AC49" s="9">
        <v>43362.04</v>
      </c>
      <c r="AD49" s="10">
        <v>494</v>
      </c>
      <c r="AE49" s="10">
        <v>13338</v>
      </c>
      <c r="AF49" s="9">
        <v>2996.55</v>
      </c>
      <c r="AG49" s="9">
        <v>106914.88</v>
      </c>
      <c r="AH49" s="7">
        <v>177215.73</v>
      </c>
      <c r="AI49" s="7">
        <v>5138583.0669999998</v>
      </c>
      <c r="AJ49" s="16">
        <v>59.139920909045401</v>
      </c>
      <c r="AK49" s="16">
        <v>48.062375106252802</v>
      </c>
    </row>
    <row r="50" spans="1:37" ht="12.75" customHeight="1">
      <c r="A50" s="8" t="s">
        <v>106</v>
      </c>
      <c r="B50" s="9">
        <v>0.16</v>
      </c>
      <c r="C50" s="9">
        <v>14.99</v>
      </c>
      <c r="D50" s="9">
        <v>59162.04</v>
      </c>
      <c r="E50" s="9">
        <v>1627143</v>
      </c>
      <c r="F50" s="9">
        <v>106.29</v>
      </c>
      <c r="G50" s="9">
        <v>3306.73</v>
      </c>
      <c r="H50" s="10"/>
      <c r="I50" s="10"/>
      <c r="J50" s="7"/>
      <c r="K50" s="7"/>
      <c r="L50" s="9">
        <v>-92.25</v>
      </c>
      <c r="M50" s="9">
        <v>-3689.95</v>
      </c>
      <c r="N50" s="9">
        <v>140736</v>
      </c>
      <c r="O50" s="9">
        <v>3876608</v>
      </c>
      <c r="P50" s="10"/>
      <c r="Q50" s="10"/>
      <c r="R50" s="9">
        <v>137.49</v>
      </c>
      <c r="S50" s="9">
        <v>3713.59</v>
      </c>
      <c r="T50" s="10"/>
      <c r="U50" s="10"/>
      <c r="V50" s="7"/>
      <c r="W50" s="7"/>
      <c r="X50" s="9">
        <v>0</v>
      </c>
      <c r="Y50" s="9">
        <v>0</v>
      </c>
      <c r="Z50" s="7"/>
      <c r="AA50" s="7"/>
      <c r="AB50" s="7"/>
      <c r="AC50" s="7"/>
      <c r="AD50" s="10">
        <v>0</v>
      </c>
      <c r="AE50" s="10">
        <v>0</v>
      </c>
      <c r="AF50" s="9">
        <v>504.03</v>
      </c>
      <c r="AG50" s="9">
        <v>13483.47</v>
      </c>
      <c r="AH50" s="7">
        <v>47992.0337</v>
      </c>
      <c r="AI50" s="7">
        <v>1308193.6738</v>
      </c>
      <c r="AJ50" s="16">
        <v>95.216621431264002</v>
      </c>
      <c r="AK50" s="16">
        <v>97.022033185819396</v>
      </c>
    </row>
    <row r="51" spans="1:37" ht="12.75" customHeight="1">
      <c r="A51" s="8" t="s">
        <v>1343</v>
      </c>
      <c r="B51" s="9">
        <v>0</v>
      </c>
      <c r="C51" s="9">
        <v>0</v>
      </c>
      <c r="D51" s="9">
        <v>12472.04</v>
      </c>
      <c r="E51" s="9">
        <v>333773.92</v>
      </c>
      <c r="F51" s="9">
        <v>95.46</v>
      </c>
      <c r="G51" s="9">
        <v>2439.04</v>
      </c>
      <c r="H51" s="10"/>
      <c r="I51" s="10"/>
      <c r="J51" s="7"/>
      <c r="K51" s="7"/>
      <c r="L51" s="9">
        <v>-393.35</v>
      </c>
      <c r="M51" s="9">
        <v>-10970.18</v>
      </c>
      <c r="N51" s="9">
        <v>8396</v>
      </c>
      <c r="O51" s="9">
        <v>230380</v>
      </c>
      <c r="P51" s="10"/>
      <c r="Q51" s="10"/>
      <c r="R51" s="9">
        <v>419.61</v>
      </c>
      <c r="S51" s="9">
        <v>11907.98</v>
      </c>
      <c r="T51" s="9">
        <v>0</v>
      </c>
      <c r="U51" s="9">
        <v>0</v>
      </c>
      <c r="V51" s="7"/>
      <c r="W51" s="7"/>
      <c r="X51" s="10"/>
      <c r="Y51" s="10"/>
      <c r="Z51" s="7"/>
      <c r="AA51" s="7"/>
      <c r="AB51" s="9">
        <v>427.91</v>
      </c>
      <c r="AC51" s="9">
        <v>9750.4</v>
      </c>
      <c r="AD51" s="10">
        <v>125</v>
      </c>
      <c r="AE51" s="10">
        <v>3375</v>
      </c>
      <c r="AF51" s="9">
        <v>1158.83</v>
      </c>
      <c r="AG51" s="9">
        <v>30462.52</v>
      </c>
      <c r="AH51" s="7">
        <v>32387.282500000001</v>
      </c>
      <c r="AI51" s="7">
        <v>915973.42700000003</v>
      </c>
      <c r="AJ51" s="16">
        <v>27.9482603142825</v>
      </c>
      <c r="AK51" s="16">
        <v>30.068865839070401</v>
      </c>
    </row>
    <row r="52" spans="1:37" ht="12.75" customHeight="1">
      <c r="A52" s="8" t="s">
        <v>789</v>
      </c>
      <c r="B52" s="10"/>
      <c r="C52" s="10"/>
      <c r="D52" s="9">
        <v>8509</v>
      </c>
      <c r="E52" s="9">
        <v>229748</v>
      </c>
      <c r="F52" s="9">
        <v>0</v>
      </c>
      <c r="G52" s="9">
        <v>0</v>
      </c>
      <c r="H52" s="10"/>
      <c r="I52" s="10"/>
      <c r="J52" s="7"/>
      <c r="K52" s="7"/>
      <c r="L52" s="10"/>
      <c r="M52" s="10"/>
      <c r="N52" s="9">
        <v>148352</v>
      </c>
      <c r="O52" s="9">
        <v>3785712</v>
      </c>
      <c r="P52" s="10"/>
      <c r="Q52" s="10"/>
      <c r="R52" s="9">
        <v>26.29</v>
      </c>
      <c r="S52" s="9">
        <v>850.87</v>
      </c>
      <c r="T52" s="10"/>
      <c r="U52" s="10"/>
      <c r="V52" s="7"/>
      <c r="W52" s="7"/>
      <c r="X52" s="10"/>
      <c r="Y52" s="10"/>
      <c r="Z52" s="7"/>
      <c r="AA52" s="7"/>
      <c r="AB52" s="7"/>
      <c r="AC52" s="7"/>
      <c r="AD52" s="10"/>
      <c r="AE52" s="10"/>
      <c r="AF52" s="7">
        <v>100.98</v>
      </c>
      <c r="AG52" s="7">
        <v>3117.61</v>
      </c>
      <c r="AH52" s="7">
        <v>36673.196000000004</v>
      </c>
      <c r="AI52" s="7">
        <v>950783.25600000005</v>
      </c>
      <c r="AJ52" s="16">
        <v>363.17286591404201</v>
      </c>
      <c r="AK52" s="16">
        <v>304.97183932563701</v>
      </c>
    </row>
    <row r="53" spans="1:37" ht="12.75" customHeight="1">
      <c r="A53" s="8" t="s">
        <v>674</v>
      </c>
      <c r="B53" s="9">
        <v>0.56000000000000005</v>
      </c>
      <c r="C53" s="9">
        <v>20.07</v>
      </c>
      <c r="D53" s="9">
        <v>19056</v>
      </c>
      <c r="E53" s="9">
        <v>513173.5</v>
      </c>
      <c r="F53" s="9">
        <v>9.59</v>
      </c>
      <c r="G53" s="9">
        <v>360.93</v>
      </c>
      <c r="H53" s="9">
        <v>0</v>
      </c>
      <c r="I53" s="9">
        <v>0</v>
      </c>
      <c r="J53" s="7"/>
      <c r="K53" s="7"/>
      <c r="L53" s="9">
        <v>-167.8</v>
      </c>
      <c r="M53" s="9">
        <v>-5233.1499999999996</v>
      </c>
      <c r="N53" s="9">
        <v>19334</v>
      </c>
      <c r="O53" s="9">
        <v>541740</v>
      </c>
      <c r="P53" s="10"/>
      <c r="Q53" s="10"/>
      <c r="R53" s="9">
        <v>181.06</v>
      </c>
      <c r="S53" s="9">
        <v>5484.36</v>
      </c>
      <c r="T53" s="10"/>
      <c r="U53" s="10"/>
      <c r="V53" s="7"/>
      <c r="W53" s="7"/>
      <c r="X53" s="9">
        <v>3.2471999999999999</v>
      </c>
      <c r="Y53" s="9">
        <v>97.29665</v>
      </c>
      <c r="Z53" s="7"/>
      <c r="AA53" s="7"/>
      <c r="AB53" s="7"/>
      <c r="AC53" s="7"/>
      <c r="AD53" s="10"/>
      <c r="AE53" s="10"/>
      <c r="AF53" s="9">
        <v>971.85</v>
      </c>
      <c r="AG53" s="9">
        <v>30688.79</v>
      </c>
      <c r="AH53" s="7">
        <v>21897.6342</v>
      </c>
      <c r="AI53" s="7">
        <v>644877.20090000005</v>
      </c>
      <c r="AJ53" s="16">
        <v>22.5319073931162</v>
      </c>
      <c r="AK53" s="16">
        <v>21.013445003859701</v>
      </c>
    </row>
    <row r="54" spans="1:37" ht="12.75" customHeight="1">
      <c r="A54" s="12" t="s">
        <v>1344</v>
      </c>
      <c r="B54" s="13">
        <v>516.1</v>
      </c>
      <c r="C54" s="13">
        <v>13912.28</v>
      </c>
      <c r="D54" s="13">
        <v>5889.42</v>
      </c>
      <c r="E54" s="13">
        <v>161947.57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-250</v>
      </c>
      <c r="M54" s="13">
        <v>-6750</v>
      </c>
      <c r="N54" s="13">
        <v>88244</v>
      </c>
      <c r="O54" s="13">
        <v>2467806</v>
      </c>
      <c r="P54" s="13">
        <v>0</v>
      </c>
      <c r="Q54" s="13">
        <v>0</v>
      </c>
      <c r="R54" s="13">
        <v>875.62</v>
      </c>
      <c r="S54" s="13">
        <v>18295.87</v>
      </c>
      <c r="T54" s="13"/>
      <c r="U54" s="13"/>
      <c r="V54" s="13">
        <v>0</v>
      </c>
      <c r="W54" s="13">
        <v>0</v>
      </c>
      <c r="X54" s="13">
        <v>0.19</v>
      </c>
      <c r="Y54" s="13">
        <v>4.95</v>
      </c>
      <c r="Z54" s="13">
        <v>0</v>
      </c>
      <c r="AA54" s="13">
        <v>0</v>
      </c>
      <c r="AB54" s="13"/>
      <c r="AC54" s="13"/>
      <c r="AD54" s="13"/>
      <c r="AE54" s="13"/>
      <c r="AF54" s="13"/>
      <c r="AG54" s="13"/>
      <c r="AH54" s="17"/>
      <c r="AI54" s="17"/>
      <c r="AJ54" s="19"/>
      <c r="AK54" s="19"/>
    </row>
    <row r="55" spans="1:37" ht="12.75" customHeight="1">
      <c r="A55" s="8" t="s">
        <v>1345</v>
      </c>
      <c r="B55" s="7"/>
      <c r="C55" s="7"/>
      <c r="D55" s="9">
        <v>4749.8900000000003</v>
      </c>
      <c r="E55" s="9">
        <v>131188.63</v>
      </c>
      <c r="F55" s="7"/>
      <c r="G55" s="7"/>
      <c r="H55" s="7"/>
      <c r="I55" s="7"/>
      <c r="J55" s="7"/>
      <c r="K55" s="7"/>
      <c r="L55" s="7">
        <v>-250</v>
      </c>
      <c r="M55" s="7">
        <v>-6750</v>
      </c>
      <c r="N55" s="9">
        <v>45860</v>
      </c>
      <c r="O55" s="9">
        <v>1333214</v>
      </c>
      <c r="P55" s="10"/>
      <c r="Q55" s="10"/>
      <c r="R55" s="9">
        <v>803.57</v>
      </c>
      <c r="S55" s="9">
        <v>16350.5</v>
      </c>
      <c r="T55" s="10"/>
      <c r="U55" s="10"/>
      <c r="V55" s="7"/>
      <c r="W55" s="7"/>
      <c r="X55" s="9">
        <v>0.19</v>
      </c>
      <c r="Y55" s="9">
        <v>4.95</v>
      </c>
      <c r="Z55" s="7"/>
      <c r="AA55" s="7"/>
      <c r="AB55" s="7"/>
      <c r="AC55" s="7"/>
      <c r="AD55" s="7"/>
      <c r="AE55" s="7"/>
      <c r="AF55" s="10">
        <v>13569.06</v>
      </c>
      <c r="AG55" s="10">
        <v>686342.92</v>
      </c>
      <c r="AH55" s="11"/>
      <c r="AI55" s="11"/>
      <c r="AJ55" s="20"/>
      <c r="AK55" s="20"/>
    </row>
    <row r="56" spans="1:37" ht="12.75" customHeight="1">
      <c r="A56" s="8" t="s">
        <v>1346</v>
      </c>
      <c r="B56" s="9">
        <v>121.1</v>
      </c>
      <c r="C56" s="9">
        <v>3247.28</v>
      </c>
      <c r="D56" s="9">
        <v>1139.53</v>
      </c>
      <c r="E56" s="9">
        <v>30758.94</v>
      </c>
      <c r="F56" s="7"/>
      <c r="G56" s="7"/>
      <c r="H56" s="7"/>
      <c r="I56" s="7"/>
      <c r="J56" s="7"/>
      <c r="K56" s="7"/>
      <c r="L56" s="7"/>
      <c r="M56" s="7"/>
      <c r="N56" s="9">
        <v>32384</v>
      </c>
      <c r="O56" s="9">
        <v>864592</v>
      </c>
      <c r="P56" s="10"/>
      <c r="Q56" s="10"/>
      <c r="R56" s="9">
        <v>72.05</v>
      </c>
      <c r="S56" s="9">
        <v>1945.37</v>
      </c>
      <c r="T56" s="10"/>
      <c r="U56" s="10"/>
      <c r="V56" s="7"/>
      <c r="W56" s="7"/>
      <c r="X56" s="10"/>
      <c r="Y56" s="10"/>
      <c r="Z56" s="7"/>
      <c r="AA56" s="7"/>
      <c r="AB56" s="7"/>
      <c r="AC56" s="7"/>
      <c r="AD56" s="7"/>
      <c r="AE56" s="7"/>
      <c r="AF56" s="10">
        <v>13569.06</v>
      </c>
      <c r="AG56" s="10">
        <v>686342.92</v>
      </c>
      <c r="AH56" s="11"/>
      <c r="AI56" s="11"/>
      <c r="AJ56" s="20"/>
      <c r="AK56" s="20"/>
    </row>
    <row r="57" spans="1:37" ht="12.75" customHeight="1">
      <c r="A57" s="8" t="s">
        <v>1347</v>
      </c>
      <c r="B57" s="10">
        <v>395</v>
      </c>
      <c r="C57" s="10">
        <v>10665</v>
      </c>
      <c r="D57" s="10"/>
      <c r="E57" s="10"/>
      <c r="F57" s="7"/>
      <c r="G57" s="7"/>
      <c r="H57" s="7"/>
      <c r="I57" s="7"/>
      <c r="J57" s="7"/>
      <c r="K57" s="7"/>
      <c r="L57" s="7"/>
      <c r="M57" s="7"/>
      <c r="N57" s="10">
        <v>10000</v>
      </c>
      <c r="O57" s="10">
        <v>270000</v>
      </c>
      <c r="P57" s="10"/>
      <c r="Q57" s="10"/>
      <c r="R57" s="10"/>
      <c r="S57" s="10"/>
      <c r="T57" s="10"/>
      <c r="U57" s="10"/>
      <c r="V57" s="7"/>
      <c r="W57" s="7"/>
      <c r="X57" s="10"/>
      <c r="Y57" s="10"/>
      <c r="Z57" s="7"/>
      <c r="AA57" s="7"/>
      <c r="AB57" s="7"/>
      <c r="AC57" s="7"/>
      <c r="AD57" s="7"/>
      <c r="AE57" s="7"/>
      <c r="AF57" s="10">
        <v>13569.06</v>
      </c>
      <c r="AG57" s="10">
        <v>686342.92</v>
      </c>
      <c r="AH57" s="11"/>
      <c r="AI57" s="11"/>
      <c r="AJ57" s="20"/>
      <c r="AK57" s="20"/>
    </row>
    <row r="58" spans="1:37" ht="12.75" customHeight="1">
      <c r="A58" s="12" t="s">
        <v>1348</v>
      </c>
      <c r="B58" s="13">
        <v>-167.84</v>
      </c>
      <c r="C58" s="13">
        <v>-799.94</v>
      </c>
      <c r="D58" s="13">
        <v>97854.62</v>
      </c>
      <c r="E58" s="13">
        <v>2403274.13</v>
      </c>
      <c r="F58" s="13">
        <v>-407.17</v>
      </c>
      <c r="G58" s="13">
        <v>-20736.14</v>
      </c>
      <c r="H58" s="13">
        <v>318</v>
      </c>
      <c r="I58" s="13">
        <v>10827.2</v>
      </c>
      <c r="J58" s="13">
        <v>0</v>
      </c>
      <c r="K58" s="13">
        <v>0</v>
      </c>
      <c r="L58" s="13">
        <v>-2811.50146</v>
      </c>
      <c r="M58" s="13">
        <v>-128076.20972</v>
      </c>
      <c r="N58" s="13">
        <v>-1173.23</v>
      </c>
      <c r="O58" s="13">
        <v>113690.78</v>
      </c>
      <c r="P58" s="13">
        <v>1885.24</v>
      </c>
      <c r="Q58" s="13">
        <v>23477.439999999999</v>
      </c>
      <c r="R58" s="13">
        <v>-131.5</v>
      </c>
      <c r="S58" s="13">
        <v>13087.78</v>
      </c>
      <c r="T58" s="13"/>
      <c r="U58" s="13"/>
      <c r="V58" s="13">
        <v>0</v>
      </c>
      <c r="W58" s="13">
        <v>0</v>
      </c>
      <c r="X58" s="13">
        <v>252.22984</v>
      </c>
      <c r="Y58" s="13">
        <v>10162.427589999999</v>
      </c>
      <c r="Z58" s="13">
        <v>0</v>
      </c>
      <c r="AA58" s="13">
        <v>0</v>
      </c>
      <c r="AB58" s="13"/>
      <c r="AC58" s="13"/>
      <c r="AD58" s="13"/>
      <c r="AE58" s="13"/>
      <c r="AF58" s="13"/>
      <c r="AG58" s="17"/>
      <c r="AH58" s="17"/>
      <c r="AI58" s="17"/>
      <c r="AJ58" s="19"/>
      <c r="AK58" s="19"/>
    </row>
    <row r="59" spans="1:37" ht="14.25" customHeight="1"/>
  </sheetData>
  <mergeCells count="95">
    <mergeCell ref="AK34:AK36"/>
    <mergeCell ref="AK38:AK40"/>
    <mergeCell ref="AH34:AH36"/>
    <mergeCell ref="AH38:AH40"/>
    <mergeCell ref="AI34:AI36"/>
    <mergeCell ref="AI38:AI40"/>
    <mergeCell ref="AJ34:AJ36"/>
    <mergeCell ref="AJ38:AJ40"/>
    <mergeCell ref="AE34:AE36"/>
    <mergeCell ref="AE38:AE40"/>
    <mergeCell ref="AF34:AF36"/>
    <mergeCell ref="AF38:AF40"/>
    <mergeCell ref="AG34:AG36"/>
    <mergeCell ref="AG38:AG40"/>
    <mergeCell ref="AB34:AB36"/>
    <mergeCell ref="AB38:AB40"/>
    <mergeCell ref="AC34:AC36"/>
    <mergeCell ref="AC38:AC40"/>
    <mergeCell ref="AD34:AD36"/>
    <mergeCell ref="AD38:AD40"/>
    <mergeCell ref="Y34:Y36"/>
    <mergeCell ref="Y38:Y40"/>
    <mergeCell ref="Z34:Z36"/>
    <mergeCell ref="Z38:Z40"/>
    <mergeCell ref="AA34:AA36"/>
    <mergeCell ref="AA38:AA40"/>
    <mergeCell ref="V34:V36"/>
    <mergeCell ref="V38:V40"/>
    <mergeCell ref="W34:W36"/>
    <mergeCell ref="W38:W40"/>
    <mergeCell ref="X34:X36"/>
    <mergeCell ref="X38:X40"/>
    <mergeCell ref="S34:S36"/>
    <mergeCell ref="S38:S40"/>
    <mergeCell ref="T34:T36"/>
    <mergeCell ref="T38:T40"/>
    <mergeCell ref="U34:U36"/>
    <mergeCell ref="U38:U40"/>
    <mergeCell ref="P34:P36"/>
    <mergeCell ref="P38:P40"/>
    <mergeCell ref="Q34:Q36"/>
    <mergeCell ref="Q38:Q40"/>
    <mergeCell ref="R34:R36"/>
    <mergeCell ref="R38:R40"/>
    <mergeCell ref="M34:M36"/>
    <mergeCell ref="M38:M40"/>
    <mergeCell ref="N34:N36"/>
    <mergeCell ref="N38:N40"/>
    <mergeCell ref="O34:O36"/>
    <mergeCell ref="O38:O40"/>
    <mergeCell ref="J34:J36"/>
    <mergeCell ref="J38:J40"/>
    <mergeCell ref="K34:K36"/>
    <mergeCell ref="K38:K40"/>
    <mergeCell ref="L34:L36"/>
    <mergeCell ref="L38:L40"/>
    <mergeCell ref="G34:G36"/>
    <mergeCell ref="G38:G40"/>
    <mergeCell ref="H34:H36"/>
    <mergeCell ref="H38:H40"/>
    <mergeCell ref="I34:I36"/>
    <mergeCell ref="I38:I40"/>
    <mergeCell ref="D34:D36"/>
    <mergeCell ref="D38:D40"/>
    <mergeCell ref="E34:E36"/>
    <mergeCell ref="E38:E40"/>
    <mergeCell ref="F34:F36"/>
    <mergeCell ref="F38:F40"/>
    <mergeCell ref="B34:B36"/>
    <mergeCell ref="B38:B40"/>
    <mergeCell ref="B46:B47"/>
    <mergeCell ref="C34:C36"/>
    <mergeCell ref="C38:C40"/>
    <mergeCell ref="C46:C47"/>
    <mergeCell ref="AD2:AE2"/>
    <mergeCell ref="AF2:AG2"/>
    <mergeCell ref="AH2:AI2"/>
    <mergeCell ref="AJ2:AK2"/>
    <mergeCell ref="A2:A3"/>
    <mergeCell ref="A1:AD1"/>
    <mergeCell ref="AF1:AH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honeticPr fontId="20" type="noConversion"/>
  <pageMargins left="0.15700000524520899" right="0.15700000524520899" top="0.19599999487400099" bottom="0.19599999487400099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生产综合报表</vt:lpstr>
      <vt:lpstr>生产装置物料平衡表</vt:lpstr>
      <vt:lpstr>动力能耗报表</vt:lpstr>
      <vt:lpstr>动力能耗及操作参数报表</vt:lpstr>
      <vt:lpstr>油品进出厂及船期</vt:lpstr>
      <vt:lpstr>生产受控管理</vt:lpstr>
      <vt:lpstr>产品中间原料库存</vt:lpstr>
      <vt:lpstr>库存情况</vt:lpstr>
      <vt:lpstr>能耗情况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周洁</cp:lastModifiedBy>
  <dcterms:created xsi:type="dcterms:W3CDTF">2023-02-26T23:17:00Z</dcterms:created>
  <dcterms:modified xsi:type="dcterms:W3CDTF">2025-12-31T01:55:32Z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2052-10.8.2.6990</vt:lpwstr>
  </property>
</Properties>
</file>