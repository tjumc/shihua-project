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装置工艺流程图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G5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#Input("延安石油化工厂_生产_工艺流程图统计月报_重整装置_液化气",":key{{dw}}")</t>
        </r>
      </text>
    </comment>
    <comment ref="P5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#Input("延安石油化工厂_生产_工艺流程图统计月报_140柴油加氢装置_柴油",":key{{dw}}")</t>
        </r>
      </text>
    </comment>
    <comment ref="Y5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#Input("延安石油化工厂_生产_工艺流程图统计月报_20；苯抽提装置_苯",":key{{dw}}")</t>
        </r>
      </text>
    </comment>
    <comment ref="G6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#Input("延安石油化工厂_生产_工艺流程图统计月报_重整装置_重整汽油",":key{{dw}}")</t>
        </r>
      </text>
    </comment>
    <comment ref="P6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#Input("延安石油化工厂_生产_工艺流程图统计月报_140柴油加氢装置_粗汽油",":key{{dw}}")</t>
        </r>
      </text>
    </comment>
    <comment ref="Y6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#Input("延安石油化工厂_生产_工艺流程图统计月报_20；苯抽提装置_非芳烃",":key{{dw}}")</t>
        </r>
      </text>
    </comment>
    <comment ref="G7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#Input("延安石油化工厂_生产_工艺流程图统计月报_重整装置_重整轻汽油",":key{{dw}}")</t>
        </r>
      </text>
    </comment>
    <comment ref="P7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#Input("延安石油化工厂_生产_工艺流程图统计月报_140柴油加氢装置_液化气",":key{{dw}}")</t>
        </r>
      </text>
    </comment>
    <comment ref="U7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#Input("延安石油化工厂_生产_工艺流程图统计月报_20；苯抽提装置_原料处理量",":key{{dw}}")</t>
        </r>
      </text>
    </comment>
    <comment ref="Y7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#Input("延安石油化工厂_生产_工艺流程图统计月报_20；苯抽提装置_重组分",":key{{dw}}")</t>
        </r>
      </text>
    </comment>
    <comment ref="G8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#Input("延安石油化工厂_生产_工艺流程图统计月报_重整装置_精制油",":key{{dw}}")</t>
        </r>
      </text>
    </comment>
    <comment ref="L8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#Input("延安石油化工厂_生产_工艺流程图统计月报_140柴油加氢装置_原料处理量",":key{{dw}}")</t>
        </r>
      </text>
    </comment>
    <comment ref="P8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#Input("延安石油化工厂_生产_工艺流程图统计月报_140柴油加氢装置_高、低气分",":key{{dw}}")</t>
        </r>
      </text>
    </comment>
    <comment ref="Y8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#Input("延安石油化工厂_生产_工艺流程图统计月报_20；苯抽提装置_不合格苯",":key{{dw}}")</t>
        </r>
      </text>
    </comment>
    <comment ref="G9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#Input("延安石油化工厂_生产_工艺流程图统计月报_重整装置_C6馏分",":key{{dw}}")</t>
        </r>
      </text>
    </comment>
    <comment ref="L9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#Input("延安石油化工厂_生产_工艺流程图统计月报_140柴油加氢装置_氢气",":key{{dw}}")</t>
        </r>
      </text>
    </comment>
    <comment ref="P9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#Input("延安石油化工厂_生产_工艺流程图统计月报_140柴油加氢装置_干气",":key{{dw}}")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#Input("延安石油化工厂_生产_生产装置工艺流程图_重整装置_原料处理量",":key{{dw}}")</t>
        </r>
      </text>
    </comment>
    <comment ref="G10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#Input("延安石油化工厂_生产_工艺流程图统计月报_重整装置_含氢气体",":key{{dw}}")</t>
        </r>
      </text>
    </comment>
    <comment ref="P10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#Input("延安石油化工厂_生产_工艺流程图统计月报_140柴油加氢装置_不合格柴油",":key{{dw}}")</t>
        </r>
      </text>
    </comment>
    <comment ref="G11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#Input("延安石油化工厂_生产_工艺流程图统计月报_重整装置_含硫燃料气",":key{{dw}}")</t>
        </r>
      </text>
    </comment>
    <comment ref="P11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#Input("延安石油化工厂_生产_工艺流程图统计月报_140柴油加氢装置_反冲洗污油",":key{{dw}}")</t>
        </r>
      </text>
    </comment>
    <comment ref="Y1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#Input("延安石油化工厂_生产_工艺流程图统计月报_20聚丙烯装置_聚丙烯粒料(T30S)",":key{{dw}}")</t>
        </r>
      </text>
    </comment>
    <comment ref="G12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#Input("延安石油化工厂_生产_工艺流程图统计月报_重整装置_燃料气",":key{{dw}}")</t>
        </r>
      </text>
    </comment>
    <comment ref="Y1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#Input("延安石油化工厂_生产_工艺流程图统计月报_20聚丙烯装置_聚丙烯粒料(C30S)",":key{{dw}}")</t>
        </r>
      </text>
    </comment>
    <comment ref="G13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#Input("延安石油化工厂_生产_工艺流程图统计月报_重整装置_不合格汽油",":key{{dw}}")</t>
        </r>
      </text>
    </comment>
    <comment ref="Y1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#Input("延安石油化工厂_生产_工艺流程图统计月报_20聚丙烯装置_聚丙烯粉料",":key{{dw}}")</t>
        </r>
      </text>
    </comment>
    <comment ref="G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#Input("延安石油化工厂_生产_工艺流程图统计月报_重整装置_污油",":key{{dw}}")</t>
        </r>
      </text>
    </comment>
    <comment ref="P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#Input("延安石油化工厂_生产_工艺流程图统计月报_12MTBE装置_MTBE",":key{{dw}}")</t>
        </r>
      </text>
    </comment>
    <comment ref="Y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#Input("延安石油化工厂_生产_工艺流程图统计月报_20聚丙烯装置_大块料",":key{{dw}}")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#Input("延安石油化工厂_生产_工艺流程图统计月报_12MTBE装置_原料处理量",":key{{dw}}")</t>
        </r>
      </text>
    </comment>
    <comment ref="P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#Input("延安石油化工厂_生产_工艺流程图统计月报_12MTBE装置_醚后C4",":key{{dw}}")</t>
        </r>
      </text>
    </comment>
    <comment ref="Y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#Input("延安石油化工厂_生产_工艺流程图统计月报_20聚丙烯装置_落地料",":key{{dw}}")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#Input("延安石油化工厂_生产_工艺流程图统计月报_12MTBE装置_甲醇",":key{{dw}}")</t>
        </r>
      </text>
    </comment>
    <comment ref="P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#Input("延安石油化工厂_生产_工艺流程图统计月报_12MTBE装置_不合格MTBE",":key{{dw}}")</t>
        </r>
      </text>
    </comment>
    <comment ref="U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#Input("延安石油化工厂_生产_工艺流程图统计月报_20聚丙烯装置_丙烯原料",":key{{dw}}")</t>
        </r>
      </text>
    </comment>
    <comment ref="Y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#Input("延安石油化工厂_生产_工艺流程图统计月报_20聚丙烯装置_粉尘料",":key{{dw}}")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#Input("延安石油化工厂_生产_工艺流程图统计月报_60气分装置_燃料气",":key{{dw}}")</t>
        </r>
      </text>
    </comment>
    <comment ref="Y1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#Input("延安石油化工厂_生产_工艺流程图统计月报_20聚丙烯装置_不合格料",":key{{dw}}")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#Input("延安石油化工厂_生产_工艺流程图统计月报_60气分装置_丙烯",":key{{dw}}")</t>
        </r>
      </text>
    </comment>
    <comment ref="Y1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#Input("延安石油化工厂_生产_工艺流程图统计月报_20聚丙烯装置_回收气OG",":key{{dw}}")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#Input("延安石油化工厂_生产_工艺流程图统计月报_60气分装置_戊烷馏分",":key{{dw}}")</t>
        </r>
      </text>
    </comment>
    <comment ref="P1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#Input("延安石油化工厂_生产_工艺流程图统计月报_0.4硫磺回收装置_粗硫磺",":key{{dw}}")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#Input("延安石油化工厂_生产_工艺流程图统计月报_60气分装置_丙烷",":key{{dw}}")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#Input("延安石油化工厂_生产_工艺流程图统计月报_0.4硫磺回收装置_酸性气原料",":key{{dw}}")</t>
        </r>
      </text>
    </comment>
    <comment ref="P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#Input("延安石油化工厂_生产_工艺流程图统计月报_0.4硫磺回收装置_烟道气",":key{{dw}}")</t>
        </r>
      </text>
    </comment>
    <comment ref="C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#Input("延安石油化工厂_生产_工艺流程图统计月报_60气分装置_原料处理量",":key{{dw}}")</t>
        </r>
      </text>
    </comment>
    <comment ref="G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#Input("延安石油化工厂_生产_工艺流程图统计月报_60气分装置_气分碳四",":key{{dw}}")</t>
        </r>
      </text>
    </comment>
    <comment ref="Y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#Input("延安石油化工厂_生产_工艺流程图统计月报_60精制装置_精制液化气",":key{{dw}}")</t>
        </r>
      </text>
    </comment>
    <comment ref="G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#Input("延安石油化工厂_生产_工艺流程图统计月报_60气分装置_不合格丙烯",":key{{dw}}")</t>
        </r>
      </text>
    </comment>
    <comment ref="P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#Input("延安石油化工厂_生产_工艺流程图统计月报_0.4硫磺回收装置_精制硫磺",":key{{dw}}")</t>
        </r>
      </text>
    </comment>
    <comment ref="U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#Input("延安石油化工厂_生产_工艺流程图统计月报_60精制装置_原料处理量",":key{{dw}}")</t>
        </r>
      </text>
    </comment>
    <comment ref="Y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#Input("延安石油化工厂_生产_工艺流程图统计月报_60精制装置_酸性气",":key{{dw}}")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#Input("延安石油化工厂_生产_工艺流程图统计月报_2硫磺精制装置_粗硫磺",":key{{dw}}")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#Input("延安石油化工厂_生产_工艺流程图统计月报_0.4硫磺回收装置_污水",":key{{dw}}")</t>
        </r>
      </text>
    </comment>
    <comment ref="Y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#Input("延安石油化工厂_生产_工艺流程图统计月报_60精制装置_不合格液化气",":key{{dw}}")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#Input("延安石油化工厂_生产_工艺流程图统计月报_180汽油精制装置_精制汽油",":key{{dw}}")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#Input("延安石油化工厂_生产_工艺流程图统计月报_180汽油精制装置_燃料气",":key{{dw}}")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#Input("延安石油化工厂_生产_工艺流程图统计月报_240柴油加氢装置_精制柴油",":key{{dw}}")</t>
        </r>
      </text>
    </comment>
    <comment ref="Y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#Input("延安石油化工厂_生产_工艺流程图统计月报_2制氢装置_工业氢",":key{{dw}}")</t>
        </r>
      </text>
    </comment>
    <comment ref="C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#Input("延安石油化工厂_生产_工艺流程图统计月报_180汽油精制装置_原料处理量",":key{{dw}}")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#Input("延安石油化工厂_生产_工艺流程图统计月报_180汽油精制装置_不合格汽油",":key{{dw}}")</t>
        </r>
      </text>
    </comment>
    <comment ref="P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#Input("延安石油化工厂_生产_工艺流程图统计月报_240柴油加氢装置_石脑油",":key{{dw}}")</t>
        </r>
      </text>
    </comment>
    <comment ref="U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#Input("延安石油化工厂_生产_工艺流程图统计月报_2制氢装置_原料加工量",":key{{dw}}")</t>
        </r>
      </text>
    </comment>
    <comment ref="Y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#Input("延安石油化工厂_生产_工艺流程图统计月报_2制氢装置_燃料气",":key{{dw}}")</t>
        </r>
      </text>
    </comment>
    <comment ref="C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#Input("延安石油化工厂_生产_工艺流程图统计月报_180汽油精制装置_氢气",":key{{dw}}")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#Input("延安石油化工厂_生产_工艺流程图统计月报_180汽油精制装置_污油",":key{{dw}}")</t>
        </r>
      </text>
    </comment>
    <comment ref="P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#Input("延安石油化工厂_生产_工艺流程图统计月报_240柴油加氢装置_轻烃",":key{{dw}}")</t>
        </r>
      </text>
    </comment>
    <comment ref="U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#Input("延安石油化工厂_生产_工艺流程图统计月报_2制氢装置_重整氢",":key{{dw}}")</t>
        </r>
      </text>
    </comment>
    <comment ref="L2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#Input("延安石油化工厂_生产_工艺流程图统计月报_240柴油加氢装置_原料处理量",":key{{dw}}")</t>
        </r>
      </text>
    </comment>
    <comment ref="P2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#Input("延安石油化工厂_生产_工艺流程图统计月报_240柴油加氢装置_富气",":key{{dw}}")</t>
        </r>
      </text>
    </comment>
    <comment ref="L3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#Input("延安石油化工厂_生产_工艺流程图统计月报_240柴油加氢装置_氢气",":key{{dw}}")</t>
        </r>
      </text>
    </comment>
    <comment ref="P3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#Input("延安石油化工厂_生产_工艺流程图统计月报_240柴油加氢装置_高、低气分",":key{{dw}}")</t>
        </r>
      </text>
    </comment>
    <comment ref="P3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#Input("延安石油化工厂_生产_工艺流程图统计月报_240柴油加氢装置_不合格柴油",":key{{dw}}")</t>
        </r>
      </text>
    </comment>
    <comment ref="Y3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#Input("延安石油化工厂_生产_工艺流程图统计月报_30混合脱氢装置_丙烯",":key{{dw}}")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#Input("延安石油化工厂_生产_工艺流程图统计月报_20烷基化装置_异辛烷组分",":key{{dw}}")</t>
        </r>
      </text>
    </comment>
    <comment ref="P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#Input("延安石油化工厂_生产_工艺流程图统计月报_240柴油加氢装置_污油",":key{{dw}}")</t>
        </r>
      </text>
    </comment>
    <comment ref="Y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#Input("延安石油化工厂_生产_工艺流程图统计月报_30混合脱氢装置_富异丁烯碳四",":key{{dw}}")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#Input("延安石油化工厂_生产_工艺流程图统计月报_20烷基化装置_烷基化碳四",":key{{dw}}")</t>
        </r>
      </text>
    </comment>
    <comment ref="Y3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#Input("延安石油化工厂_生产_工艺流程图统计月报_30混合脱氢装置_再生碳四",":key{{dw}}")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#Input("延安石油化工厂_生产_工艺流程图统计月报_20烷基化装置_预处理碳四",":key{{dw}}")</t>
        </r>
      </text>
    </comment>
    <comment ref="Y3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#Input("延安石油化工厂_生产_工艺流程图统计月报_30混合脱氢装置_正丁烷",":key{{dw}}")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#Input("延安石油化工厂_生产_工艺流程图统计月报_20烷基化装置_正丁烷",":key{{dw}}")</t>
        </r>
      </text>
    </comment>
    <comment ref="U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#Input("延安石油化工厂_生产_工艺流程图统计月报_30混合脱氢装置_原料处理量",":key{{dw}}")</t>
        </r>
      </text>
    </comment>
    <comment ref="Y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#Input("延安石油化工厂_生产_工艺流程图统计月报_30混合脱氢装置_轻污油",":key{{dw}}")</t>
        </r>
      </text>
    </comment>
    <comment ref="C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#Input("延安石油化工厂_生产_工艺流程图统计月报_20烷基化装置_原料处理量",":key{{dw}}")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#Input("延安石油化工厂_生产_工艺流程图统计月报_20烷基化装置_干气",":key{{dw}}")</t>
        </r>
      </text>
    </comment>
    <comment ref="P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#Input("延安石油化工厂_生产_工艺流程图统计月报_25MTBE装置_MTBE",":key{{dw}}")</t>
        </r>
      </text>
    </comment>
    <comment ref="Y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#Input("延安石油化工厂_生产_工艺流程图统计月报_30混合脱氢装置_燃料气",":key{{dw}}")</t>
        </r>
      </text>
    </comment>
    <comment ref="C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#Input("延安石油化工厂_生产_工艺流程图统计月报_20烷基化装置_氢气",":key{{dw}}")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#Input("延安石油化工厂_生产_工艺流程图统计月报_20烷基化装置_不合格产品",":key{{dw}}")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#Input("延安石油化工厂_生产_工艺流程图统计月报_25MTBE装置_原料处理量",":key{{dw}}")</t>
        </r>
      </text>
    </comment>
    <comment ref="P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#Input("延安石油化工厂_生产_工艺流程图统计月报_25MTBE装置_醚后碳四",":key{{dw}}")</t>
        </r>
      </text>
    </comment>
    <comment ref="Y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#Input("延安石油化工厂_生产_工艺流程图统计月报_30混合脱氢装置_氢气",":key{{dw}}")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#Input("延安石油化工厂_生产_工艺流程图统计月报_25MTBE装置_甲醇",":key{{dw}}")</t>
        </r>
      </text>
    </comment>
    <comment ref="P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#Input("延安石油化工厂_生产_工艺流程图统计月报_25MTBE装置_不合格产品",":key{{dw}}")</t>
        </r>
      </text>
    </comment>
    <comment ref="Y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#Input("延安石油化工厂_生产_工艺流程图统计月报_30混合脱氢装置_不合格产品",":key{{dw}}")</t>
        </r>
      </text>
    </comment>
    <comment ref="D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#Input("延安石油化工厂_生产_工艺流程图统计月报_主管领导",":key{{dw}}")</t>
        </r>
      </text>
    </comment>
    <comment ref="H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#Input("延安石油化工厂_生产_工艺流程图统计月报_单位负责人",":key{{dw}}")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#Input("延安石油化工厂_生产_工艺流程图统计月报_填表人",":key{{dw}}")</t>
        </r>
      </text>
    </comment>
  </commentList>
</comments>
</file>

<file path=xl/sharedStrings.xml><?xml version="1.0" encoding="utf-8"?>
<sst xmlns="http://schemas.openxmlformats.org/spreadsheetml/2006/main" count="544" uniqueCount="98">
  <si>
    <t>延安石油化工厂生产装置工艺流程图</t>
  </si>
  <si>
    <t>生产装置工艺流程图</t>
  </si>
  <si>
    <t>填报单位：延安石油化工厂</t>
  </si>
  <si>
    <t>编制单位：延安炼油厂</t>
  </si>
  <si>
    <t>日期:</t>
  </si>
  <si>
    <t>2025-02</t>
  </si>
  <si>
    <t/>
  </si>
  <si>
    <t>单位：吨</t>
  </si>
  <si>
    <t>陕延油炼化计统B202表</t>
  </si>
  <si>
    <t>陕油炼计统B202表</t>
  </si>
  <si>
    <t>液化气</t>
  </si>
  <si>
    <t>%</t>
  </si>
  <si>
    <t>柴油</t>
  </si>
  <si>
    <t>苯</t>
  </si>
  <si>
    <t>重整汽油</t>
  </si>
  <si>
    <t>粗汽油</t>
  </si>
  <si>
    <t>20万吨/年苯抽提装置</t>
  </si>
  <si>
    <t>非芳烃</t>
  </si>
  <si>
    <t>重整轻汽油</t>
  </si>
  <si>
    <t>140万吨/年加氢装置</t>
  </si>
  <si>
    <t>加工量</t>
  </si>
  <si>
    <t>重组分</t>
  </si>
  <si>
    <t>精制油</t>
  </si>
  <si>
    <t>高、低分气</t>
  </si>
  <si>
    <t>不合格</t>
  </si>
  <si>
    <t>120万吨/年重整装置</t>
  </si>
  <si>
    <t>C6馏分</t>
  </si>
  <si>
    <t>氢原料</t>
  </si>
  <si>
    <t>干气</t>
  </si>
  <si>
    <t>加工损失</t>
  </si>
  <si>
    <t>含氢气体</t>
  </si>
  <si>
    <t>不合格柴油</t>
  </si>
  <si>
    <t>含硫燃料气</t>
  </si>
  <si>
    <t>反冲洗污油</t>
  </si>
  <si>
    <t>聚丙烯粒料(T30S)</t>
  </si>
  <si>
    <t>燃料气</t>
  </si>
  <si>
    <t>聚丙烯粒料(C30S)</t>
  </si>
  <si>
    <t>不合格汽油</t>
  </si>
  <si>
    <t>聚丙烯粉料</t>
  </si>
  <si>
    <t>污油</t>
  </si>
  <si>
    <t>12万吨/年MTBE装置</t>
  </si>
  <si>
    <t>MTBE</t>
  </si>
  <si>
    <t>大块料</t>
  </si>
  <si>
    <t>醚后碳四</t>
  </si>
  <si>
    <t>20万吨/年聚丙烯装置</t>
  </si>
  <si>
    <t>落地料</t>
  </si>
  <si>
    <t>甲醇</t>
  </si>
  <si>
    <t>不合格MTBE</t>
  </si>
  <si>
    <t>粉尘料</t>
  </si>
  <si>
    <t>不合格料</t>
  </si>
  <si>
    <t>丙烯</t>
  </si>
  <si>
    <t>回收气OG</t>
  </si>
  <si>
    <t>戊烷馏分</t>
  </si>
  <si>
    <t>0.40万吨/年硫磺回收</t>
  </si>
  <si>
    <t>粗硫磺</t>
  </si>
  <si>
    <t>60万吨/年气分装置</t>
  </si>
  <si>
    <t>丙烷</t>
  </si>
  <si>
    <t>烟道气</t>
  </si>
  <si>
    <t>气分碳四</t>
  </si>
  <si>
    <t>60万吨/年液化气精制装置</t>
  </si>
  <si>
    <t>精制液化气</t>
  </si>
  <si>
    <t>不合格丙烯</t>
  </si>
  <si>
    <t>2万吨/年硫磺精制装置</t>
  </si>
  <si>
    <t>精制硫磺</t>
  </si>
  <si>
    <t>酸性气</t>
  </si>
  <si>
    <t>水</t>
  </si>
  <si>
    <t>不合格液化气</t>
  </si>
  <si>
    <t>精制汽油</t>
  </si>
  <si>
    <t>180万吨/年汽油精制装置</t>
  </si>
  <si>
    <t>精制柴油</t>
  </si>
  <si>
    <t>2万标立方米/年制氢装置</t>
  </si>
  <si>
    <t>工业氢</t>
  </si>
  <si>
    <t>精制石脑油</t>
  </si>
  <si>
    <t>240万吨/年柴油精制装置</t>
  </si>
  <si>
    <t>轻烃</t>
  </si>
  <si>
    <t>其中：重整氢</t>
  </si>
  <si>
    <t>富气</t>
  </si>
  <si>
    <t>异辛烷组分</t>
  </si>
  <si>
    <t>富异丁烯碳四</t>
  </si>
  <si>
    <t>烷基化碳四</t>
  </si>
  <si>
    <t>再生碳四</t>
  </si>
  <si>
    <t>预处理碳四</t>
  </si>
  <si>
    <t>30万吨/年混合脱氢装置</t>
  </si>
  <si>
    <t>正丁烷</t>
  </si>
  <si>
    <t>20万吨/年烷基化装置</t>
  </si>
  <si>
    <t>25万吨/年MTBE装置</t>
  </si>
  <si>
    <t>氢气</t>
  </si>
  <si>
    <t>不合格产品</t>
  </si>
  <si>
    <t>轻污油</t>
  </si>
  <si>
    <t>主管领导：</t>
  </si>
  <si>
    <t>陈张友</t>
  </si>
  <si>
    <t>单位负责人：</t>
  </si>
  <si>
    <t>温铜川</t>
  </si>
  <si>
    <t>填表人：</t>
  </si>
  <si>
    <t>李洛娟</t>
  </si>
  <si>
    <t>报表生成时间：</t>
  </si>
  <si>
    <t>2025-03-01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</si>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</sst>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6" formatCode="#"/>
    <numFmt numFmtId="177" formatCode="#0.00"/>
    <numFmt numFmtId="178" formatCode="0.00_ "/>
    <numFmt numFmtId="179" formatCode="0_ "/>
    <numFmt numFmtId="180" formatCode="0.00;\-0.00"/>
  </numFmts>
  <fonts count="24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8"/>
      <color rgb="FF000000"/>
      <name val="宋体"/>
    </font>
    <font>
      <sz val="8"/>
      <color auto="1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auto="1"/>
      <name val="Calibri"/>
      <scheme val="minor"/>
    </font>
    <font>
      <b/>
      <sz val="18"/>
      <color auto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35"/>
      </patternFill>
    </fill>
  </fills>
  <borders count="24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33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2" fontId="18" fillId="0" borderId="0" xfId="0" applyFont="1" applyNumberFormat="1">
      <alignment horizontal="left" vertical="center"/>
    </xf>
    <xf numFmtId="0" fontId="19" fillId="0" borderId="0" xfId="0" applyFont="1"/>
    <xf numFmtId="2" fontId="20" fillId="0" borderId="10" xfId="0" applyFont="1" applyBorder="1" applyNumberFormat="1">
      <alignment horizontal="center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center" vertical="center"/>
    </xf>
    <xf numFmtId="1" fontId="21" fillId="0" borderId="0" xfId="0" applyFont="1" applyNumberFormat="1">
      <alignment horizontal="left" vertical="center"/>
    </xf>
    <xf numFmtId="1" fontId="21" fillId="0" borderId="0" xfId="0" applyFont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6" fontId="21" fillId="7" borderId="11" xfId="0" applyFont="1" applyFill="1" applyBorder="1" applyNumberFormat="1">
      <alignment horizontal="right" vertical="center"/>
    </xf>
    <xf numFmtId="177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right" vertical="center"/>
    </xf>
    <xf numFmtId="2" fontId="21" fillId="0" borderId="12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8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center" vertical="center"/>
    </xf>
    <xf numFmtId="1" fontId="21" fillId="0" borderId="11" xfId="0" applyFont="1" applyBorder="1" applyNumberFormat="1">
      <alignment horizontal="right" vertical="center"/>
    </xf>
    <xf numFmtId="2" fontId="21" fillId="0" borderId="13" xfId="0" applyFont="1" applyBorder="1" applyNumberFormat="1">
      <alignment horizontal="center" vertical="center"/>
    </xf>
    <xf numFmtId="176" fontId="21" fillId="0" borderId="11" xfId="0" applyFont="1" applyBorder="1" applyNumberFormat="1">
      <alignment horizontal="right" vertical="center"/>
    </xf>
    <xf numFmtId="176" fontId="21" fillId="0" borderId="0" xfId="0" applyFont="1" applyNumberFormat="1">
      <alignment vertical="center"/>
    </xf>
    <xf numFmtId="2" fontId="21" fillId="0" borderId="12" xfId="0" applyFont="1" applyBorder="1" applyNumberFormat="1">
      <alignment horizontal="center" vertical="center"/>
    </xf>
    <xf numFmtId="176" fontId="21" fillId="0" borderId="11" xfId="0" applyFont="1" applyBorder="1" applyNumberFormat="1">
      <alignment vertical="center"/>
    </xf>
    <xf numFmtId="1" fontId="21" fillId="0" borderId="0" xfId="0" applyFont="1" applyNumberFormat="1">
      <alignment horizontal="right" vertical="center"/>
    </xf>
    <xf numFmtId="178" fontId="21" fillId="0" borderId="0" xfId="0" applyFont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178" fontId="21" fillId="0" borderId="11" xfId="0" applyFont="1" applyBorder="1" applyNumberFormat="1">
      <alignment horizontal="right" vertical="center"/>
    </xf>
    <xf numFmtId="2" fontId="21" fillId="0" borderId="0" xfId="0" applyFont="1" applyNumberFormat="1">
      <alignment horizontal="right" vertical="center"/>
    </xf>
    <xf numFmtId="2" fontId="21" fillId="0" borderId="11" xfId="0" applyFont="1" applyBorder="1" applyNumberFormat="1">
      <alignment horizontal="right" vertical="center"/>
    </xf>
    <xf numFmtId="2" fontId="21" fillId="0" borderId="14" xfId="0" applyFont="1" applyBorder="1" applyNumberFormat="1">
      <alignment horizontal="center" vertical="center"/>
    </xf>
    <xf numFmtId="1" fontId="21" fillId="0" borderId="14" xfId="0" applyFont="1" applyBorder="1" applyNumberFormat="1">
      <alignment horizontal="right" vertical="center"/>
    </xf>
    <xf numFmtId="1" fontId="21" fillId="0" borderId="11" xfId="0" applyFont="1" applyBorder="1" applyNumberFormat="1">
      <alignment horizontal="right" vertical="center"/>
    </xf>
    <xf numFmtId="0" fontId="22" fillId="0" borderId="0" xfId="0" applyFont="1"/>
    <xf numFmtId="0" fontId="22" fillId="0" borderId="0" xfId="0" applyFont="1">
      <alignment horizontal="right"/>
    </xf>
    <xf numFmtId="178" fontId="22" fillId="0" borderId="0" xfId="0" applyFont="1" applyNumberFormat="1">
      <alignment horizontal="right"/>
    </xf>
    <xf numFmtId="2" fontId="21" fillId="0" borderId="11" xfId="0" applyFont="1" applyBorder="1" applyNumberFormat="1">
      <alignment horizontal="left" vertical="center"/>
    </xf>
    <xf numFmtId="178" fontId="21" fillId="0" borderId="11" xfId="0" applyFont="1" applyBorder="1" applyNumberFormat="1">
      <alignment horizontal="right" vertical="center"/>
    </xf>
    <xf numFmtId="1" fontId="21" fillId="0" borderId="11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9" fontId="21" fillId="0" borderId="11" xfId="0" applyFont="1" applyBorder="1" applyNumberFormat="1">
      <alignment horizontal="right" vertical="center"/>
    </xf>
    <xf numFmtId="1" fontId="21" fillId="0" borderId="11" xfId="0" applyFont="1" applyBorder="1" applyNumberFormat="1">
      <alignment horizontal="right" vertical="center"/>
    </xf>
    <xf numFmtId="178" fontId="0" fillId="0" borderId="11" xfId="0" applyFont="1" applyBorder="1" applyNumberFormat="1">
      <alignment horizontal="right" vertical="center"/>
    </xf>
    <xf numFmtId="49" fontId="21" fillId="0" borderId="10" xfId="0" applyFont="1" applyBorder="1" applyNumberFormat="1">
      <alignment vertical="center"/>
    </xf>
    <xf numFmtId="49" fontId="21" fillId="0" borderId="10" xfId="0" applyFont="1" applyBorder="1" applyNumberFormat="1">
      <alignment horizontal="left" vertical="center"/>
    </xf>
    <xf numFmtId="49" fontId="21" fillId="0" borderId="10" xfId="0" applyFont="1" applyBorder="1" applyNumberFormat="1">
      <alignment vertical="center"/>
    </xf>
    <xf numFmtId="49" fontId="21" fillId="0" borderId="10" xfId="0" applyFont="1" applyBorder="1" applyNumberFormat="1">
      <alignment horizontal="right" vertical="center"/>
    </xf>
    <xf numFmtId="1" fontId="21" fillId="0" borderId="0" xfId="0" applyFont="1" applyNumberFormat="1">
      <alignment horizontal="center" vertical="center"/>
    </xf>
    <xf numFmtId="2" fontId="21" fillId="0" borderId="0" xfId="0" applyFont="1" applyNumberFormat="1">
      <alignment horizontal="center" vertical="center"/>
    </xf>
    <xf numFmtId="2" fontId="21" fillId="0" borderId="12" xfId="0" applyFont="1" applyBorder="1" applyNumberFormat="1">
      <alignment horizontal="center" vertical="center"/>
    </xf>
    <xf numFmtId="1" fontId="21" fillId="0" borderId="0" xfId="0" applyFont="1" applyNumberFormat="1">
      <alignment horizontal="right" vertical="center"/>
    </xf>
    <xf numFmtId="178" fontId="21" fillId="0" borderId="0" xfId="0" applyFont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right" vertical="center"/>
    </xf>
    <xf numFmtId="2" fontId="21" fillId="0" borderId="15" xfId="0" applyFont="1" applyBorder="1" applyNumberFormat="1">
      <alignment horizontal="left" vertical="center"/>
    </xf>
    <xf numFmtId="178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left" vertical="center"/>
    </xf>
    <xf numFmtId="1" fontId="21" fillId="0" borderId="11" xfId="0" applyFont="1" applyBorder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1" fontId="21" fillId="0" borderId="0" xfId="0" applyFont="1" applyNumberFormat="1">
      <alignment horizontal="right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right" vertical="center"/>
    </xf>
    <xf numFmtId="1" fontId="21" fillId="0" borderId="0" xfId="0" applyFont="1" applyNumberFormat="1">
      <alignment horizontal="right" vertical="center"/>
    </xf>
    <xf numFmtId="2" fontId="21" fillId="0" borderId="16" xfId="0" applyFont="1" applyBorder="1" applyNumberFormat="1">
      <alignment horizontal="center" vertical="center"/>
    </xf>
    <xf numFmtId="1" fontId="21" fillId="7" borderId="16" xfId="0" applyFont="1" applyFill="1" applyBorder="1" applyNumberFormat="1">
      <alignment horizontal="right" vertical="center"/>
    </xf>
    <xf numFmtId="178" fontId="21" fillId="0" borderId="16" xfId="0" applyFont="1" applyBorder="1" applyNumberFormat="1">
      <alignment horizontal="right" vertical="center"/>
    </xf>
    <xf numFmtId="2" fontId="21" fillId="0" borderId="16" xfId="0" applyFont="1" applyBorder="1" applyNumberFormat="1">
      <alignment horizontal="left" vertical="center"/>
    </xf>
    <xf numFmtId="2" fontId="21" fillId="0" borderId="11" xfId="0" applyFont="1" applyBorder="1" applyNumberFormat="1">
      <alignment horizontal="right" vertical="center"/>
    </xf>
    <xf numFmtId="1" fontId="21" fillId="7" borderId="16" xfId="0" applyFont="1" applyFill="1" applyBorder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178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left" vertical="center"/>
    </xf>
    <xf numFmtId="2" fontId="21" fillId="0" borderId="11" xfId="0" applyFont="1" applyBorder="1" applyNumberFormat="1">
      <alignment horizontal="left" vertical="center"/>
    </xf>
    <xf numFmtId="2" fontId="21" fillId="0" borderId="0" xfId="0" applyFont="1" applyNumberFormat="1">
      <alignment horizontal="center" vertical="center"/>
    </xf>
    <xf numFmtId="180" fontId="21" fillId="0" borderId="17" xfId="0" applyFont="1" applyBorder="1" applyNumberFormat="1">
      <alignment horizontal="left" vertical="center"/>
    </xf>
    <xf numFmtId="180" fontId="21" fillId="0" borderId="17" xfId="0" applyFont="1" applyBorder="1" applyNumberFormat="1">
      <alignment horizontal="left" vertical="center"/>
    </xf>
    <xf numFmtId="180" fontId="21" fillId="0" borderId="0" xfId="0" applyFont="1" applyNumberFormat="1">
      <alignment horizontal="center" vertical="center"/>
    </xf>
    <xf numFmtId="180" fontId="21" fillId="0" borderId="17" xfId="0" applyFont="1" applyBorder="1" applyNumberFormat="1">
      <alignment horizontal="center" vertical="center"/>
    </xf>
    <xf numFmtId="180" fontId="21" fillId="0" borderId="18" xfId="0" applyFont="1" applyBorder="1" applyNumberFormat="1">
      <alignment horizontal="left" vertical="center"/>
    </xf>
    <xf numFmtId="180" fontId="21" fillId="0" borderId="18" xfId="0" applyFont="1" applyBorder="1" applyNumberFormat="1">
      <alignment horizontal="left" vertical="center"/>
    </xf>
    <xf numFmtId="180" fontId="21" fillId="0" borderId="15" xfId="0" applyFont="1" applyBorder="1" applyNumberFormat="1">
      <alignment horizontal="left" vertical="center"/>
    </xf>
    <xf numFmtId="180" fontId="21" fillId="0" borderId="15" xfId="0" applyFont="1" applyBorder="1" applyNumberFormat="1">
      <alignment horizontal="left" vertical="center"/>
    </xf>
    <xf numFmtId="0" fontId="21" fillId="0" borderId="18" xfId="0" applyFont="1" applyBorder="1">
      <alignment vertical="center"/>
    </xf>
    <xf numFmtId="0" fontId="21" fillId="0" borderId="18" xfId="0" applyFont="1" applyBorder="1">
      <alignment vertical="center"/>
    </xf>
    <xf numFmtId="180" fontId="21" fillId="0" borderId="0" xfId="0" applyFont="1" applyNumberFormat="1">
      <alignment horizontal="left" vertical="center"/>
    </xf>
    <xf numFmtId="180" fontId="21" fillId="0" borderId="19" xfId="0" applyFont="1" applyBorder="1" applyNumberFormat="1">
      <alignment horizontal="left" vertical="center"/>
    </xf>
    <xf numFmtId="180" fontId="21" fillId="0" borderId="20" xfId="0" applyFont="1" applyBorder="1" applyNumberFormat="1">
      <alignment horizontal="left" vertical="center"/>
    </xf>
    <xf numFmtId="0" fontId="21" fillId="0" borderId="15" xfId="0" applyFont="1" applyBorder="1">
      <alignment vertical="center"/>
    </xf>
    <xf numFmtId="0" fontId="21" fillId="0" borderId="15" xfId="0" applyFont="1" applyBorder="1">
      <alignment vertical="center"/>
    </xf>
    <xf numFmtId="180" fontId="21" fillId="0" borderId="17" xfId="0" applyFont="1" applyBorder="1" applyNumberFormat="1">
      <alignment horizontal="left" vertical="center"/>
    </xf>
    <xf numFmtId="180" fontId="21" fillId="0" borderId="13" xfId="0" applyFont="1" applyBorder="1" applyNumberFormat="1">
      <alignment vertical="center"/>
    </xf>
    <xf numFmtId="180" fontId="21" fillId="0" borderId="21" xfId="0" applyFont="1" applyBorder="1" applyNumberFormat="1">
      <alignment vertical="center"/>
    </xf>
    <xf numFmtId="0" fontId="21" fillId="0" borderId="17" xfId="0" applyFont="1" applyBorder="1">
      <alignment vertical="center"/>
    </xf>
    <xf numFmtId="0" fontId="21" fillId="0" borderId="17" xfId="0" applyFont="1" applyBorder="1">
      <alignment horizontal="left" vertical="center"/>
    </xf>
    <xf numFmtId="0" fontId="21" fillId="0" borderId="17" xfId="0" applyFont="1" applyBorder="1">
      <alignment horizontal="left" vertical="center"/>
    </xf>
    <xf numFmtId="0" fontId="21" fillId="0" borderId="17" xfId="0" applyFont="1" applyBorder="1">
      <alignment horizontal="left" vertical="center"/>
    </xf>
    <xf numFmtId="180" fontId="21" fillId="0" borderId="18" xfId="0" applyFont="1" applyBorder="1" applyNumberFormat="1">
      <alignment horizontal="left" vertical="center"/>
    </xf>
    <xf numFmtId="180" fontId="21" fillId="0" borderId="17" xfId="0" applyFont="1" applyBorder="1" applyNumberFormat="1">
      <alignment horizontal="left" vertical="center"/>
    </xf>
    <xf numFmtId="180" fontId="21" fillId="0" borderId="15" xfId="0" applyFont="1" applyBorder="1" applyNumberFormat="1">
      <alignment horizontal="left" vertical="center"/>
    </xf>
    <xf numFmtId="180" fontId="21" fillId="0" borderId="15" xfId="0" applyFont="1" applyBorder="1" applyNumberFormat="1">
      <alignment horizontal="left" vertical="center"/>
    </xf>
    <xf numFmtId="180" fontId="21" fillId="0" borderId="15" xfId="0" applyFont="1" applyBorder="1" applyNumberFormat="1">
      <alignment horizontal="left" vertical="center"/>
    </xf>
    <xf numFmtId="180" fontId="21" fillId="0" borderId="17" xfId="0" applyFont="1" applyBorder="1" applyNumberFormat="1">
      <alignment horizontal="left" vertical="center"/>
    </xf>
    <xf numFmtId="180" fontId="21" fillId="0" borderId="19" xfId="0" applyFont="1" applyBorder="1" applyNumberFormat="1">
      <alignment horizontal="center" vertical="center"/>
    </xf>
    <xf numFmtId="180" fontId="21" fillId="0" borderId="20" xfId="0" applyFont="1" applyBorder="1" applyNumberFormat="1">
      <alignment horizontal="center" vertical="center"/>
    </xf>
    <xf numFmtId="180" fontId="21" fillId="0" borderId="17" xfId="0" applyFont="1" applyBorder="1" applyNumberFormat="1">
      <alignment horizontal="left" vertical="center"/>
    </xf>
    <xf numFmtId="180" fontId="21" fillId="0" borderId="13" xfId="0" applyFont="1" applyBorder="1" applyNumberFormat="1">
      <alignment horizontal="left" vertical="center"/>
    </xf>
    <xf numFmtId="180" fontId="21" fillId="0" borderId="21" xfId="0" applyFont="1" applyBorder="1" applyNumberFormat="1">
      <alignment horizontal="left" vertical="center"/>
    </xf>
    <xf numFmtId="180" fontId="21" fillId="0" borderId="19" xfId="0" applyFont="1" applyBorder="1" applyNumberFormat="1">
      <alignment horizontal="center" vertical="center"/>
    </xf>
    <xf numFmtId="180" fontId="21" fillId="0" borderId="20" xfId="0" applyFont="1" applyBorder="1" applyNumberFormat="1">
      <alignment horizontal="center" vertical="center"/>
    </xf>
    <xf numFmtId="180" fontId="21" fillId="0" borderId="18" xfId="0" applyFont="1" applyBorder="1" applyNumberFormat="1">
      <alignment horizontal="left" vertical="center"/>
    </xf>
    <xf numFmtId="180" fontId="21" fillId="0" borderId="13" xfId="0" applyFont="1" applyBorder="1" applyNumberFormat="1">
      <alignment horizontal="left" vertical="center"/>
    </xf>
    <xf numFmtId="180" fontId="21" fillId="0" borderId="21" xfId="0" applyFont="1" applyBorder="1" applyNumberFormat="1">
      <alignment horizontal="left" vertical="center"/>
    </xf>
    <xf numFmtId="180" fontId="21" fillId="0" borderId="17" xfId="0" applyFont="1" applyBorder="1" applyNumberFormat="1">
      <alignment horizontal="left" vertical="center"/>
    </xf>
    <xf numFmtId="180" fontId="21" fillId="0" borderId="18" xfId="0" applyFont="1" applyBorder="1" applyNumberFormat="1">
      <alignment horizontal="left" vertical="center"/>
    </xf>
    <xf numFmtId="180" fontId="21" fillId="0" borderId="17" xfId="0" applyFont="1" applyBorder="1" applyNumberFormat="1">
      <alignment horizontal="center" vertical="center"/>
    </xf>
    <xf numFmtId="180" fontId="21" fillId="0" borderId="18" xfId="0" applyFont="1" applyBorder="1" applyNumberFormat="1">
      <alignment horizontal="left" vertical="center"/>
    </xf>
    <xf numFmtId="180" fontId="21" fillId="0" borderId="18" xfId="0" applyFont="1" applyBorder="1" applyNumberFormat="1">
      <alignment horizontal="left" vertical="center"/>
    </xf>
    <xf numFmtId="180" fontId="21" fillId="0" borderId="0" xfId="0" applyFont="1" applyNumberFormat="1">
      <alignment horizontal="left" vertical="center"/>
    </xf>
    <xf numFmtId="180" fontId="21" fillId="0" borderId="18" xfId="0" applyFont="1" applyBorder="1" applyNumberFormat="1">
      <alignment horizontal="left" vertical="center"/>
    </xf>
    <xf numFmtId="180" fontId="21" fillId="0" borderId="15" xfId="0" applyFont="1" applyBorder="1" applyNumberFormat="1">
      <alignment horizontal="left" vertical="center"/>
    </xf>
    <xf numFmtId="180" fontId="21" fillId="0" borderId="15" xfId="0" applyFont="1" applyBorder="1" applyNumberFormat="1">
      <alignment horizontal="left" vertical="center"/>
    </xf>
    <xf numFmtId="180" fontId="21" fillId="0" borderId="17" xfId="0" applyFont="1" applyBorder="1" applyNumberFormat="1">
      <alignment horizontal="left" vertical="center"/>
    </xf>
    <xf numFmtId="180" fontId="21" fillId="0" borderId="17" xfId="0" applyFont="1" applyBorder="1" applyNumberFormat="1">
      <alignment horizontal="left" vertical="center"/>
    </xf>
    <xf numFmtId="180" fontId="19" fillId="0" borderId="0" xfId="0" applyFont="1" applyNumberFormat="1"/>
    <xf numFmtId="2" fontId="21" fillId="0" borderId="22" xfId="0" applyFont="1" applyBorder="1" applyNumberFormat="1">
      <alignment horizontal="left" vertical="center"/>
    </xf>
    <xf numFmtId="2" fontId="21" fillId="33" borderId="12" xfId="0" applyFont="1" applyFill="1" applyBorder="1" applyNumberFormat="1">
      <alignment horizontal="center" vertical="center"/>
    </xf>
    <xf numFmtId="2" fontId="21" fillId="33" borderId="23" xfId="0" applyFont="1" applyFill="1" applyBorder="1" applyNumberFormat="1">
      <alignment horizontal="center" vertical="center"/>
    </xf>
    <xf numFmtId="2" fontId="21" fillId="33" borderId="11" xfId="0" applyFont="1" applyFill="1" applyBorder="1" applyNumberFormat="1">
      <alignment horizontal="center" vertical="center"/>
    </xf>
    <xf numFmtId="2" fontId="21" fillId="33" borderId="14" xfId="0" applyFont="1" applyFill="1" applyBorder="1" applyNumberFormat="1">
      <alignment horizontal="center" vertical="center"/>
    </xf>
    <xf numFmtId="2" fontId="23" fillId="0" borderId="13" xfId="0" applyFont="1" applyBorder="1" applyNumberFormat="1">
      <alignment horizontal="center" vertical="center"/>
    </xf>
    <xf numFmtId="2" fontId="23" fillId="0" borderId="15" xfId="0" applyFont="1" applyBorder="1" applyNumberFormat="1">
      <alignment horizontal="center" vertical="center"/>
    </xf>
    <xf numFmtId="2" fontId="23" fillId="0" borderId="21" xfId="0" applyFont="1" applyBorder="1" applyNumberFormat="1">
      <alignment horizontal="center" vertical="center"/>
    </xf>
    <xf numFmtId="2" fontId="21" fillId="0" borderId="12" xfId="0" applyFont="1" applyBorder="1" applyNumberFormat="1">
      <alignment horizontal="left" vertical="center"/>
    </xf>
    <xf numFmtId="2" fontId="21" fillId="0" borderId="10" xfId="0" applyFont="1" applyBorder="1" applyNumberFormat="1">
      <alignment horizontal="left" vertical="center"/>
    </xf>
    <xf numFmtId="2" fontId="21" fillId="0" borderId="10" xfId="0" applyFont="1" applyBorder="1" applyNumberFormat="1">
      <alignment horizontal="right" vertical="center"/>
    </xf>
    <xf numFmtId="2" fontId="21" fillId="0" borderId="23" xfId="0" applyFont="1" applyBorder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49" fontId="21" fillId="0" borderId="10" xfId="0" applyFont="1" applyBorder="1" applyNumberFormat="1">
      <alignment horizontal="left" vertical="center"/>
    </xf>
    <xf numFmtId="0" fontId="16" fillId="0" borderId="0" xfId="0" applyFont="1">
      <alignment horizontal="right" vertical="center"/>
    </xf>
    <xf numFmtId="0" fontId="16" fillId="7" borderId="0" xfId="0" applyFont="1" applyFill="1">
      <alignment horizontal="left" vertical="center"/>
    </xf>
    <xf numFmtId="0" fontId="0" fillId="0" borderId="0" xfId="0" applyFont="1">
      <alignment wrapText="1"/>
    </xf>
    <xf numFmtId="2" fontId="23" fillId="0" borderId="13" xfId="0" applyFont="1" applyBorder="1" applyNumberFormat="1">
      <alignment horizontal="center" vertical="center" wrapText="1"/>
    </xf>
    <xf numFmtId="2" fontId="23" fillId="0" borderId="15" xfId="0" applyFont="1" applyBorder="1" applyNumberFormat="1">
      <alignment horizontal="center" vertical="center" wrapText="1"/>
    </xf>
    <xf numFmtId="2" fontId="23" fillId="0" borderId="21" xfId="0" applyFont="1" applyBorder="1" applyNumberFormat="1">
      <alignment horizontal="center" vertical="center" wrapText="1"/>
    </xf>
    <xf numFmtId="2" fontId="21" fillId="0" borderId="12" xfId="0" applyFont="1" applyBorder="1" applyNumberFormat="1">
      <alignment horizontal="left" vertical="center" wrapText="1"/>
    </xf>
    <xf numFmtId="2" fontId="21" fillId="0" borderId="10" xfId="0" applyFont="1" applyBorder="1" applyNumberFormat="1">
      <alignment horizontal="left" vertical="center" wrapText="1"/>
    </xf>
    <xf numFmtId="49" fontId="21" fillId="0" borderId="10" xfId="0" applyFont="1" applyBorder="1" applyNumberFormat="1">
      <alignment horizontal="right" vertical="center" wrapText="1"/>
    </xf>
    <xf numFmtId="49" fontId="21" fillId="0" borderId="10" xfId="0" applyFont="1" applyBorder="1" applyNumberFormat="1">
      <alignment horizontal="left" vertical="center" wrapText="1"/>
    </xf>
    <xf numFmtId="2" fontId="20" fillId="0" borderId="10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vertical="center" wrapText="1"/>
    </xf>
    <xf numFmtId="49" fontId="21" fillId="0" borderId="10" xfId="0" applyFont="1" applyBorder="1" applyNumberFormat="1">
      <alignment vertical="center" wrapText="1"/>
    </xf>
    <xf numFmtId="49" fontId="21" fillId="0" borderId="10" xfId="0" applyFont="1" applyBorder="1" applyNumberFormat="1">
      <alignment horizontal="left" vertical="center" wrapText="1"/>
    </xf>
    <xf numFmtId="2" fontId="21" fillId="0" borderId="10" xfId="0" applyFont="1" applyBorder="1" applyNumberFormat="1">
      <alignment horizontal="right" vertical="center" wrapText="1"/>
    </xf>
    <xf numFmtId="2" fontId="21" fillId="0" borderId="23" xfId="0" applyFont="1" applyBorder="1" applyNumberFormat="1">
      <alignment horizontal="right" vertical="center" wrapText="1"/>
    </xf>
    <xf numFmtId="2" fontId="21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1" fontId="21" fillId="0" borderId="0" xfId="0" applyFont="1" applyNumberFormat="1">
      <alignment horizontal="left" vertical="center" wrapText="1"/>
    </xf>
    <xf numFmtId="1" fontId="21" fillId="0" borderId="0" xfId="0" applyFont="1" applyNumberFormat="1">
      <alignment horizontal="center" vertical="center" wrapText="1"/>
    </xf>
    <xf numFmtId="180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176" fontId="21" fillId="7" borderId="11" xfId="0" applyFont="1" applyFill="1" applyBorder="1" applyNumberFormat="1">
      <alignment horizontal="right" vertical="center" wrapText="1"/>
      <protection locked="0"/>
    </xf>
    <xf numFmtId="177" fontId="21" fillId="0" borderId="11" xfId="0" applyFont="1" applyBorder="1" applyNumberFormat="1">
      <alignment horizontal="right" vertical="center" wrapText="1"/>
    </xf>
    <xf numFmtId="180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right" vertical="center" wrapText="1"/>
    </xf>
    <xf numFmtId="180" fontId="21" fillId="0" borderId="0" xfId="0" applyFont="1" applyNumberFormat="1">
      <alignment horizontal="center" vertical="center" wrapText="1"/>
    </xf>
    <xf numFmtId="180" fontId="21" fillId="0" borderId="17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left" vertical="center" wrapText="1"/>
    </xf>
    <xf numFmtId="178" fontId="21" fillId="0" borderId="11" xfId="0" applyFont="1" applyBorder="1" applyNumberFormat="1">
      <alignment horizontal="right" vertical="center" wrapText="1"/>
    </xf>
    <xf numFmtId="2" fontId="21" fillId="33" borderId="11" xfId="0" applyFont="1" applyFill="1" applyBorder="1" applyNumberFormat="1">
      <alignment horizontal="center" vertical="center" wrapText="1"/>
    </xf>
    <xf numFmtId="2" fontId="21" fillId="33" borderId="14" xfId="0" applyFont="1" applyFill="1" applyBorder="1" applyNumberFormat="1">
      <alignment horizontal="center" vertical="center" wrapText="1"/>
    </xf>
    <xf numFmtId="180" fontId="21" fillId="0" borderId="18" xfId="0" applyFont="1" applyBorder="1" applyNumberFormat="1">
      <alignment horizontal="left" vertical="center" wrapText="1"/>
    </xf>
    <xf numFmtId="180" fontId="21" fillId="0" borderId="18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center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80" fontId="21" fillId="0" borderId="15" xfId="0" applyFont="1" applyBorder="1" applyNumberFormat="1">
      <alignment horizontal="left" vertical="center" wrapText="1"/>
    </xf>
    <xf numFmtId="180" fontId="21" fillId="0" borderId="15" xfId="0" applyFont="1" applyBorder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176" fontId="21" fillId="0" borderId="11" xfId="0" applyFont="1" applyBorder="1" applyNumberFormat="1">
      <alignment horizontal="right" vertical="center" wrapText="1"/>
      <protection locked="0"/>
    </xf>
    <xf numFmtId="0" fontId="21" fillId="0" borderId="18" xfId="0" applyFont="1" applyBorder="1">
      <alignment vertical="center" wrapText="1"/>
    </xf>
    <xf numFmtId="0" fontId="21" fillId="0" borderId="18" xfId="0" applyFont="1" applyBorder="1">
      <alignment vertical="center" wrapText="1"/>
    </xf>
    <xf numFmtId="180" fontId="21" fillId="0" borderId="0" xfId="0" applyFont="1" applyNumberFormat="1">
      <alignment horizontal="left" vertical="center" wrapText="1"/>
    </xf>
    <xf numFmtId="180" fontId="21" fillId="0" borderId="19" xfId="0" applyFont="1" applyBorder="1" applyNumberFormat="1">
      <alignment horizontal="left" vertical="center" wrapText="1"/>
    </xf>
    <xf numFmtId="180" fontId="21" fillId="0" borderId="20" xfId="0" applyFont="1" applyBorder="1" applyNumberFormat="1">
      <alignment horizontal="left" vertical="center" wrapText="1"/>
    </xf>
    <xf numFmtId="2" fontId="21" fillId="0" borderId="12" xfId="0" applyFont="1" applyBorder="1" applyNumberFormat="1">
      <alignment horizontal="center" vertical="center" wrapText="1"/>
    </xf>
    <xf numFmtId="0" fontId="21" fillId="0" borderId="15" xfId="0" applyFont="1" applyBorder="1">
      <alignment vertical="center" wrapText="1"/>
    </xf>
    <xf numFmtId="0" fontId="21" fillId="0" borderId="15" xfId="0" applyFont="1" applyBorder="1">
      <alignment vertical="center" wrapText="1"/>
    </xf>
    <xf numFmtId="176" fontId="21" fillId="0" borderId="11" xfId="0" applyFont="1" applyBorder="1" applyNumberFormat="1">
      <alignment vertical="center" wrapText="1"/>
    </xf>
    <xf numFmtId="180" fontId="21" fillId="0" borderId="17" xfId="0" applyFont="1" applyBorder="1" applyNumberFormat="1">
      <alignment horizontal="left" vertical="center" wrapText="1"/>
    </xf>
    <xf numFmtId="176" fontId="21" fillId="7" borderId="11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vertical="center" wrapText="1"/>
    </xf>
    <xf numFmtId="180" fontId="21" fillId="0" borderId="13" xfId="0" applyFont="1" applyBorder="1" applyNumberFormat="1">
      <alignment vertical="center" wrapText="1"/>
    </xf>
    <xf numFmtId="180" fontId="21" fillId="0" borderId="21" xfId="0" applyFont="1" applyBorder="1" applyNumberFormat="1">
      <alignment vertical="center" wrapText="1"/>
    </xf>
    <xf numFmtId="1" fontId="21" fillId="0" borderId="0" xfId="0" applyFont="1" applyNumberFormat="1">
      <alignment horizontal="right" vertical="center" wrapText="1"/>
    </xf>
    <xf numFmtId="178" fontId="21" fillId="0" borderId="0" xfId="0" applyFont="1" applyNumberFormat="1">
      <alignment horizontal="right" vertical="center" wrapText="1"/>
    </xf>
    <xf numFmtId="176" fontId="21" fillId="0" borderId="0" xfId="0" applyFont="1" applyNumberFormat="1">
      <alignment vertical="center" wrapText="1"/>
    </xf>
    <xf numFmtId="0" fontId="21" fillId="0" borderId="17" xfId="0" applyFont="1" applyBorder="1">
      <alignment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178" fontId="21" fillId="0" borderId="11" xfId="0" applyFont="1" applyBorder="1" applyNumberFormat="1">
      <alignment horizontal="right" vertical="center" wrapText="1"/>
    </xf>
    <xf numFmtId="0" fontId="21" fillId="0" borderId="17" xfId="0" applyFont="1" applyBorder="1">
      <alignment horizontal="left" vertical="center" wrapText="1"/>
    </xf>
    <xf numFmtId="0" fontId="21" fillId="0" borderId="17" xfId="0" applyFont="1" applyBorder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0" fontId="21" fillId="0" borderId="17" xfId="0" applyFont="1" applyBorder="1">
      <alignment horizontal="left" vertical="center" wrapText="1"/>
    </xf>
    <xf numFmtId="2" fontId="21" fillId="0" borderId="22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right" vertical="center" wrapText="1"/>
    </xf>
    <xf numFmtId="2" fontId="21" fillId="0" borderId="14" xfId="0" applyFont="1" applyBorder="1" applyNumberFormat="1">
      <alignment horizontal="center" vertical="center" wrapText="1"/>
    </xf>
    <xf numFmtId="1" fontId="21" fillId="0" borderId="14" xfId="0" applyFont="1" applyBorder="1" applyNumberFormat="1">
      <alignment horizontal="right" vertical="center" wrapText="1"/>
      <protection locked="0"/>
    </xf>
    <xf numFmtId="180" fontId="21" fillId="0" borderId="18" xfId="0" applyFont="1" applyBorder="1" applyNumberFormat="1">
      <alignment horizontal="left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80" fontId="21" fillId="0" borderId="15" xfId="0" applyFont="1" applyBorder="1" applyNumberFormat="1">
      <alignment horizontal="left" vertical="center" wrapText="1"/>
    </xf>
    <xf numFmtId="180" fontId="21" fillId="0" borderId="15" xfId="0" applyFont="1" applyBorder="1" applyNumberFormat="1">
      <alignment horizontal="left" vertical="center" wrapText="1"/>
    </xf>
    <xf numFmtId="180" fontId="21" fillId="0" borderId="15" xfId="0" applyFont="1" applyBorder="1" applyNumberFormat="1">
      <alignment horizontal="left" vertical="center" wrapText="1"/>
    </xf>
    <xf numFmtId="180" fontId="21" fillId="0" borderId="17" xfId="0" applyFont="1" applyBorder="1" applyNumberFormat="1">
      <alignment horizontal="left" vertical="center" wrapText="1"/>
    </xf>
    <xf numFmtId="180" fontId="21" fillId="0" borderId="17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</xf>
    <xf numFmtId="2" fontId="21" fillId="0" borderId="0" xfId="0" applyFont="1" applyNumberFormat="1">
      <alignment horizontal="center" vertical="center" wrapText="1"/>
    </xf>
    <xf numFmtId="2" fontId="21" fillId="0" borderId="0" xfId="0" applyFont="1" applyNumberFormat="1">
      <alignment horizontal="left" vertical="center" wrapText="1"/>
    </xf>
    <xf numFmtId="180" fontId="21" fillId="0" borderId="17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2" fontId="21" fillId="0" borderId="11" xfId="0" applyFont="1" applyBorder="1" applyNumberFormat="1">
      <alignment horizontal="right" vertical="center" wrapText="1"/>
    </xf>
    <xf numFmtId="0" fontId="22" fillId="0" borderId="0" xfId="0" applyFont="1">
      <alignment wrapText="1"/>
    </xf>
    <xf numFmtId="0" fontId="22" fillId="0" borderId="0" xfId="0" applyFont="1">
      <alignment horizontal="right" wrapText="1"/>
    </xf>
    <xf numFmtId="180" fontId="21" fillId="0" borderId="19" xfId="0" applyFont="1" applyBorder="1" applyNumberFormat="1">
      <alignment horizontal="center" vertical="center" wrapText="1"/>
    </xf>
    <xf numFmtId="180" fontId="21" fillId="0" borderId="20" xfId="0" applyFont="1" applyBorder="1" applyNumberFormat="1">
      <alignment horizontal="center" vertical="center" wrapText="1"/>
    </xf>
    <xf numFmtId="180" fontId="21" fillId="0" borderId="17" xfId="0" applyFont="1" applyBorder="1" applyNumberFormat="1">
      <alignment horizontal="left" vertical="center" wrapText="1"/>
    </xf>
    <xf numFmtId="2" fontId="21" fillId="33" borderId="12" xfId="0" applyFont="1" applyFill="1" applyBorder="1" applyNumberFormat="1">
      <alignment horizontal="center" vertical="center" wrapText="1"/>
    </xf>
    <xf numFmtId="2" fontId="21" fillId="33" borderId="23" xfId="0" applyFont="1" applyFill="1" applyBorder="1" applyNumberFormat="1">
      <alignment horizontal="center" vertical="center" wrapText="1"/>
    </xf>
    <xf numFmtId="180" fontId="21" fillId="0" borderId="18" xfId="0" applyFont="1" applyBorder="1" applyNumberFormat="1">
      <alignment horizontal="left" vertical="center" wrapText="1"/>
    </xf>
    <xf numFmtId="180" fontId="21" fillId="0" borderId="13" xfId="0" applyFont="1" applyBorder="1" applyNumberFormat="1">
      <alignment horizontal="left" vertical="center" wrapText="1"/>
    </xf>
    <xf numFmtId="180" fontId="21" fillId="0" borderId="21" xfId="0" applyFont="1" applyBorder="1" applyNumberFormat="1">
      <alignment horizontal="left" vertical="center" wrapText="1"/>
    </xf>
    <xf numFmtId="178" fontId="22" fillId="0" borderId="0" xfId="0" applyFont="1" applyNumberFormat="1">
      <alignment horizontal="right" wrapText="1"/>
    </xf>
    <xf numFmtId="1" fontId="21" fillId="0" borderId="11" xfId="0" applyFont="1" applyBorder="1" applyNumberFormat="1">
      <alignment horizontal="center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80" fontId="21" fillId="0" borderId="15" xfId="0" applyFont="1" applyBorder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1" fontId="21" fillId="0" borderId="0" xfId="0" applyFont="1" applyNumberFormat="1">
      <alignment horizontal="right" vertical="center" wrapText="1"/>
    </xf>
    <xf numFmtId="1" fontId="21" fillId="0" borderId="0" xfId="0" applyFont="1" applyNumberFormat="1">
      <alignment horizontal="right" vertical="center" wrapText="1"/>
    </xf>
    <xf numFmtId="2" fontId="21" fillId="0" borderId="0" xfId="0" applyFont="1" applyNumberFormat="1">
      <alignment horizontal="right" vertical="center" wrapText="1"/>
    </xf>
    <xf numFmtId="2" fontId="21" fillId="0" borderId="11" xfId="0" applyFont="1" applyBorder="1" applyNumberFormat="1">
      <alignment horizontal="left" vertical="center" wrapText="1"/>
    </xf>
    <xf numFmtId="178" fontId="21" fillId="0" borderId="11" xfId="0" applyFont="1" applyBorder="1" applyNumberFormat="1">
      <alignment horizontal="right" vertical="center" wrapText="1"/>
    </xf>
    <xf numFmtId="1" fontId="21" fillId="0" borderId="0" xfId="0" applyFont="1" applyNumberFormat="1">
      <alignment horizontal="center" vertical="center" wrapText="1"/>
    </xf>
    <xf numFmtId="180" fontId="21" fillId="0" borderId="19" xfId="0" applyFont="1" applyBorder="1" applyNumberFormat="1">
      <alignment horizontal="center" vertical="center" wrapText="1"/>
    </xf>
    <xf numFmtId="180" fontId="21" fillId="0" borderId="20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178" fontId="21" fillId="0" borderId="11" xfId="0" applyFont="1" applyBorder="1" applyNumberFormat="1">
      <alignment horizontal="right" vertical="center" wrapText="1"/>
    </xf>
    <xf numFmtId="180" fontId="21" fillId="0" borderId="18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vertical="center" wrapText="1"/>
    </xf>
    <xf numFmtId="180" fontId="21" fillId="0" borderId="13" xfId="0" applyFont="1" applyBorder="1" applyNumberFormat="1">
      <alignment horizontal="left" vertical="center" wrapText="1"/>
    </xf>
    <xf numFmtId="180" fontId="21" fillId="0" borderId="21" xfId="0" applyFont="1" applyBorder="1" applyNumberFormat="1">
      <alignment horizontal="left" vertical="center" wrapText="1"/>
    </xf>
    <xf numFmtId="180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178" fontId="0" fillId="0" borderId="11" xfId="0" applyFont="1" applyBorder="1" applyNumberFormat="1">
      <alignment horizontal="right" vertical="center" wrapText="1"/>
    </xf>
    <xf numFmtId="2" fontId="21" fillId="0" borderId="11" xfId="0" applyFont="1" applyBorder="1" applyNumberFormat="1">
      <alignment horizontal="center" vertical="center" wrapText="1"/>
    </xf>
    <xf numFmtId="180" fontId="21" fillId="0" borderId="17" xfId="0" applyFont="1" applyBorder="1" applyNumberFormat="1">
      <alignment horizontal="center" vertical="center" wrapText="1"/>
    </xf>
    <xf numFmtId="1" fontId="21" fillId="7" borderId="16" xfId="0" applyFont="1" applyFill="1" applyBorder="1" applyNumberFormat="1">
      <alignment horizontal="right" vertical="center" wrapText="1"/>
      <protection locked="0"/>
    </xf>
    <xf numFmtId="178" fontId="21" fillId="0" borderId="16" xfId="0" applyFont="1" applyBorder="1" applyNumberFormat="1">
      <alignment horizontal="right" vertical="center" wrapText="1"/>
    </xf>
    <xf numFmtId="2" fontId="21" fillId="0" borderId="16" xfId="0" applyFont="1" applyBorder="1" applyNumberFormat="1">
      <alignment horizontal="left" vertical="center" wrapText="1"/>
    </xf>
    <xf numFmtId="180" fontId="21" fillId="0" borderId="18" xfId="0" applyFont="1" applyBorder="1" applyNumberFormat="1">
      <alignment horizontal="left" vertical="center" wrapText="1"/>
    </xf>
    <xf numFmtId="180" fontId="21" fillId="0" borderId="18" xfId="0" applyFont="1" applyBorder="1" applyNumberFormat="1">
      <alignment horizontal="left" vertical="center" wrapText="1"/>
    </xf>
    <xf numFmtId="179" fontId="21" fillId="0" borderId="11" xfId="0" applyFont="1" applyBorder="1" applyNumberFormat="1">
      <alignment horizontal="right" vertical="center" wrapText="1"/>
      <protection locked="0"/>
    </xf>
    <xf numFmtId="180" fontId="21" fillId="0" borderId="15" xfId="0" applyFont="1" applyBorder="1" applyNumberFormat="1">
      <alignment horizontal="left" vertical="center" wrapText="1"/>
    </xf>
    <xf numFmtId="1" fontId="21" fillId="7" borderId="16" xfId="0" applyFont="1" applyFill="1" applyBorder="1" applyNumberFormat="1">
      <alignment horizontal="right" vertical="center" wrapText="1"/>
    </xf>
    <xf numFmtId="180" fontId="21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2" fontId="21" fillId="0" borderId="0" xfId="0" applyFont="1" applyNumberFormat="1">
      <alignment horizontal="left" vertical="center" wrapText="1"/>
    </xf>
    <xf numFmtId="1" fontId="21" fillId="0" borderId="0" xfId="0" applyFont="1" applyNumberFormat="1">
      <alignment horizontal="right" vertical="center" wrapText="1"/>
    </xf>
    <xf numFmtId="178" fontId="21" fillId="0" borderId="0" xfId="0" applyFont="1" applyNumberFormat="1">
      <alignment horizontal="right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80" fontId="21" fillId="0" borderId="18" xfId="0" applyFont="1" applyBorder="1" applyNumberFormat="1">
      <alignment horizontal="left" vertical="center" wrapText="1"/>
    </xf>
    <xf numFmtId="180" fontId="21" fillId="0" borderId="17" xfId="0" applyFont="1" applyBorder="1" applyNumberFormat="1">
      <alignment horizontal="left" vertical="center" wrapText="1"/>
    </xf>
    <xf numFmtId="178" fontId="21" fillId="0" borderId="11" xfId="0" applyFont="1" applyBorder="1" applyNumberFormat="1">
      <alignment horizontal="right" vertical="center" wrapText="1"/>
    </xf>
    <xf numFmtId="2" fontId="21" fillId="0" borderId="11" xfId="0" applyFont="1" applyBorder="1" applyNumberFormat="1">
      <alignment horizontal="left" vertical="center" wrapText="1"/>
    </xf>
    <xf numFmtId="2" fontId="18" fillId="0" borderId="0" xfId="0" applyFont="1" applyNumberFormat="1">
      <alignment horizontal="left" vertical="center" wrapText="1"/>
    </xf>
    <xf numFmtId="0" fontId="19" fillId="0" borderId="0" xfId="0" applyFont="1">
      <alignment wrapText="1"/>
    </xf>
    <xf numFmtId="180" fontId="19" fillId="0" borderId="0" xfId="0" applyFont="1" applyNumberFormat="1">
      <alignment wrapText="1"/>
    </xf>
    <xf numFmtId="0" fontId="0" fillId="0" borderId="0" xfId="0" applyFont="1">
      <alignment horizontal="right" vertical="center" wrapText="1"/>
    </xf>
    <xf numFmtId="0" fontId="16" fillId="0" borderId="0" xfId="0" applyFont="1">
      <alignment horizontal="right" vertical="center" wrapText="1"/>
    </xf>
    <xf numFmtId="0" fontId="16" fillId="7" borderId="0" xfId="0" applyFont="1" applyFill="1">
      <alignment horizontal="left" vertical="center" wrapText="1"/>
      <protection locked="0"/>
    </xf>
    <xf numFmtId="0" fontId="16" fillId="7" borderId="0" xfId="0" applyFont="1" applyFill="1">
      <alignment horizontal="left" vertical="center"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2" fontId="21" fillId="0" borderId="0" xfId="0" applyFont="1" applyNumberFormat="1">
      <alignment horizontal="center" vertical="center" wrapText="1"/>
    </xf>
    <xf numFmtId="2" fontId="21" fillId="0" borderId="16" xfId="0" applyFont="1" applyBorder="1" applyNumberFormat="1">
      <alignment horizontal="center" vertical="center" wrapText="1"/>
    </xf>
    <xf numFmtId="2" fontId="21" fillId="0" borderId="15" xfId="0" applyFont="1" applyBorder="1" applyNumberFormat="1">
      <alignment horizontal="left" vertical="center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758B898-749F-BE42-DE2E-4DD5AAD88CB5}" mc:Ignorable="x14ac xr xr2 xr3">
  <dimension ref="A1:AA40"/>
  <sheetViews>
    <sheetView defaultGridColor="0" colorId="31" topLeftCell="A1" showGridLines="0" zoomScale="110" workbookViewId="0" tabSelected="1">
      <selection activeCell="A1" sqref="A1"/>
    </sheetView>
  </sheetViews>
  <sheetFormatPr customHeight="1" defaultRowHeight="14.100000000000001"/>
  <cols>
    <col min="1" max="1" width="2.57421875" customWidth="1"/>
    <col min="2" max="3" width="13.421875" customWidth="1"/>
    <col min="4" max="4" width="3.57421875" customWidth="1"/>
    <col min="5" max="5" width="5.421875" customWidth="1"/>
    <col min="6" max="6" width="14.28125" customWidth="1"/>
    <col min="9" max="9" width="3.57421875" customWidth="1"/>
    <col min="10" max="10" width="2.57421875" customWidth="1"/>
    <col min="11" max="12" width="13.8515625" customWidth="1"/>
    <col min="13" max="13" width="3.57421875" customWidth="1"/>
    <col min="14" max="14" width="6.421875" customWidth="1"/>
    <col min="15" max="15" width="12.57421875" customWidth="1"/>
    <col min="18" max="18" width="3.57421875" customWidth="1"/>
    <col min="19" max="19" width="2.57421875" customWidth="1"/>
    <col min="20" max="20" width="18.7109375" customWidth="1"/>
    <col min="21" max="21" width="12.57421875" customWidth="1"/>
    <col min="22" max="22" width="3.57421875" customWidth="1"/>
    <col min="23" max="23" width="5.140625" customWidth="1"/>
    <col min="24" max="24" width="16.57421875" customWidth="1"/>
    <col min="27" max="27" width="3.57421875" customWidth="1"/>
  </cols>
  <sheetData>
    <row customHeight="1" ht="2.25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</row>
    <row customHeight="1" ht="22.5">
      <c r="A2" s="186"/>
      <c r="B2" s="187" t="s">
        <v>0</v>
      </c>
      <c r="C2" s="188"/>
      <c r="D2" s="188" t="s">
        <v>1</v>
      </c>
      <c r="E2" s="188" t="s">
        <v>1</v>
      </c>
      <c r="F2" s="188" t="s">
        <v>1</v>
      </c>
      <c r="G2" s="188" t="s">
        <v>1</v>
      </c>
      <c r="H2" s="188" t="s">
        <v>1</v>
      </c>
      <c r="I2" s="188" t="s">
        <v>1</v>
      </c>
      <c r="J2" s="188" t="s">
        <v>1</v>
      </c>
      <c r="K2" s="188" t="s">
        <v>1</v>
      </c>
      <c r="L2" s="188" t="s">
        <v>1</v>
      </c>
      <c r="M2" s="188" t="s">
        <v>1</v>
      </c>
      <c r="N2" s="188" t="s">
        <v>1</v>
      </c>
      <c r="O2" s="188" t="s">
        <v>1</v>
      </c>
      <c r="P2" s="188" t="s">
        <v>1</v>
      </c>
      <c r="Q2" s="188" t="s">
        <v>1</v>
      </c>
      <c r="R2" s="188" t="s">
        <v>1</v>
      </c>
      <c r="S2" s="188" t="s">
        <v>1</v>
      </c>
      <c r="T2" s="188" t="s">
        <v>1</v>
      </c>
      <c r="U2" s="188" t="s">
        <v>1</v>
      </c>
      <c r="V2" s="188" t="s">
        <v>1</v>
      </c>
      <c r="W2" s="188" t="s">
        <v>1</v>
      </c>
      <c r="X2" s="188" t="s">
        <v>1</v>
      </c>
      <c r="Y2" s="188" t="s">
        <v>1</v>
      </c>
      <c r="Z2" s="188" t="s">
        <v>1</v>
      </c>
      <c r="AA2" s="189" t="s">
        <v>1</v>
      </c>
    </row>
    <row customHeight="1" ht="14.25">
      <c r="A3" s="186"/>
      <c r="B3" s="190" t="s">
        <v>2</v>
      </c>
      <c r="C3" s="191"/>
      <c r="D3" s="191" t="s">
        <v>3</v>
      </c>
      <c r="E3" s="191" t="s">
        <v>3</v>
      </c>
      <c r="F3" s="191" t="s">
        <v>3</v>
      </c>
      <c r="G3" s="192" t="s">
        <v>4</v>
      </c>
      <c r="H3" s="193" t="s">
        <v>5</v>
      </c>
      <c r="I3" s="191"/>
      <c r="J3" s="191"/>
      <c r="K3" s="194" t="s">
        <v>6</v>
      </c>
      <c r="L3" s="195" t="s">
        <v>7</v>
      </c>
      <c r="M3" s="196"/>
      <c r="N3" s="197"/>
      <c r="O3" s="198" t="str">
        <f>取值!A2&amp;取值!B2&amp;取值!C2</f>
        <v>报表生成时间：2025-03-01 8:00:00</v>
      </c>
      <c r="P3" s="198"/>
      <c r="Q3" s="198"/>
      <c r="R3" s="198"/>
      <c r="S3" s="198"/>
      <c r="T3" s="198"/>
      <c r="U3" s="198"/>
      <c r="V3" s="198"/>
      <c r="W3" s="198"/>
      <c r="X3" s="198" t="s">
        <v>8</v>
      </c>
      <c r="Y3" s="198"/>
      <c r="Z3" s="198" t="s">
        <v>9</v>
      </c>
      <c r="AA3" s="199" t="s">
        <v>9</v>
      </c>
    </row>
    <row customHeight="1" ht="14.25">
      <c r="A4" s="186"/>
      <c r="B4" s="200" t="s">
        <v>6</v>
      </c>
      <c r="C4" s="201" t="s">
        <v>6</v>
      </c>
      <c r="D4" s="201" t="s">
        <v>6</v>
      </c>
      <c r="E4" s="201" t="s">
        <v>6</v>
      </c>
      <c r="F4" s="201" t="s">
        <v>6</v>
      </c>
      <c r="G4" s="201" t="s">
        <v>6</v>
      </c>
      <c r="H4" s="201" t="s">
        <v>6</v>
      </c>
      <c r="I4" s="201" t="s">
        <v>6</v>
      </c>
      <c r="J4" s="201" t="s">
        <v>6</v>
      </c>
      <c r="K4" s="200" t="s">
        <v>6</v>
      </c>
      <c r="L4" s="200" t="s">
        <v>6</v>
      </c>
      <c r="M4" s="200" t="s">
        <v>6</v>
      </c>
      <c r="N4" s="200" t="s">
        <v>6</v>
      </c>
      <c r="O4" s="200" t="s">
        <v>6</v>
      </c>
      <c r="P4" s="202"/>
      <c r="Q4" s="200" t="s">
        <v>6</v>
      </c>
      <c r="R4" s="200" t="s">
        <v>6</v>
      </c>
      <c r="S4" s="200" t="s">
        <v>6</v>
      </c>
      <c r="T4" s="200" t="s">
        <v>6</v>
      </c>
      <c r="U4" s="201" t="s">
        <v>6</v>
      </c>
      <c r="V4" s="201" t="s">
        <v>6</v>
      </c>
      <c r="W4" s="201" t="s">
        <v>6</v>
      </c>
      <c r="X4" s="201" t="s">
        <v>6</v>
      </c>
      <c r="Y4" s="203"/>
      <c r="Z4" s="201" t="s">
        <v>6</v>
      </c>
      <c r="AA4" s="201" t="s">
        <v>6</v>
      </c>
    </row>
    <row customHeight="1" ht="14.25">
      <c r="A5" s="186"/>
      <c r="B5" s="201" t="s">
        <v>6</v>
      </c>
      <c r="C5" s="200" t="s">
        <v>6</v>
      </c>
      <c r="D5" s="200" t="s">
        <v>6</v>
      </c>
      <c r="E5" s="204" t="s">
        <v>6</v>
      </c>
      <c r="F5" s="205" t="s">
        <v>10</v>
      </c>
      <c r="G5" s="206">
        <v>5629</v>
      </c>
      <c r="H5" s="207">
        <f>_xlfn.IFERROR(G5/C10*100,"")</f>
        <v>4.71408950824065</v>
      </c>
      <c r="I5" s="205" t="s">
        <v>11</v>
      </c>
      <c r="J5" s="201" t="s">
        <v>6</v>
      </c>
      <c r="K5" s="200" t="s">
        <v>6</v>
      </c>
      <c r="L5" s="201" t="s">
        <v>6</v>
      </c>
      <c r="M5" s="200" t="s">
        <v>6</v>
      </c>
      <c r="N5" s="208" t="s">
        <v>6</v>
      </c>
      <c r="O5" s="205" t="s">
        <v>12</v>
      </c>
      <c r="P5" s="206">
        <v>70650</v>
      </c>
      <c r="Q5" s="209">
        <f>_xlfn.IFERROR(P5/L8*100,"")</f>
        <v>85.4881841172271</v>
      </c>
      <c r="R5" s="205" t="s">
        <v>11</v>
      </c>
      <c r="S5" s="201" t="s">
        <v>6</v>
      </c>
      <c r="T5" s="200" t="s">
        <v>6</v>
      </c>
      <c r="U5" s="201" t="s">
        <v>6</v>
      </c>
      <c r="V5" s="210" t="s">
        <v>6</v>
      </c>
      <c r="W5" s="211" t="s">
        <v>6</v>
      </c>
      <c r="X5" s="212" t="s">
        <v>13</v>
      </c>
      <c r="Y5" s="206">
        <v>4500</v>
      </c>
      <c r="Z5" s="213">
        <f>_xlfn.IFERROR(Y5/U7*100,"")</f>
        <v>30.35413153457</v>
      </c>
      <c r="AA5" s="205" t="s">
        <v>11</v>
      </c>
    </row>
    <row customHeight="1" ht="14.25">
      <c r="A6" s="186"/>
      <c r="B6" s="201" t="s">
        <v>6</v>
      </c>
      <c r="C6" s="200" t="s">
        <v>6</v>
      </c>
      <c r="D6" s="200" t="s">
        <v>6</v>
      </c>
      <c r="E6" s="204" t="s">
        <v>6</v>
      </c>
      <c r="F6" s="212" t="s">
        <v>14</v>
      </c>
      <c r="G6" s="206">
        <v>70597</v>
      </c>
      <c r="H6" s="207">
        <f>_xlfn.IFERROR(G6/C10*100,"")</f>
        <v>59.1225043548171</v>
      </c>
      <c r="I6" s="205" t="s">
        <v>11</v>
      </c>
      <c r="J6" s="200" t="s">
        <v>6</v>
      </c>
      <c r="K6" s="200" t="s">
        <v>6</v>
      </c>
      <c r="L6" s="201" t="s">
        <v>6</v>
      </c>
      <c r="M6" s="200" t="s">
        <v>6</v>
      </c>
      <c r="N6" s="204" t="s">
        <v>6</v>
      </c>
      <c r="O6" s="205" t="s">
        <v>15</v>
      </c>
      <c r="P6" s="206">
        <v>9041</v>
      </c>
      <c r="Q6" s="209">
        <f>_xlfn.IFERROR(P6/L8*100,"")</f>
        <v>10.9398255145626</v>
      </c>
      <c r="R6" s="205" t="s">
        <v>11</v>
      </c>
      <c r="S6" s="200" t="s">
        <v>6</v>
      </c>
      <c r="T6" s="214" t="s">
        <v>16</v>
      </c>
      <c r="U6" s="215"/>
      <c r="V6" s="216" t="s">
        <v>6</v>
      </c>
      <c r="W6" s="217" t="s">
        <v>6</v>
      </c>
      <c r="X6" s="212" t="s">
        <v>17</v>
      </c>
      <c r="Y6" s="206">
        <v>10247</v>
      </c>
      <c r="Z6" s="213">
        <f>_xlfn.IFERROR(Y6/U7*100,"")</f>
        <v>69.1197301854975</v>
      </c>
      <c r="AA6" s="205" t="s">
        <v>11</v>
      </c>
    </row>
    <row customHeight="1" ht="14.25">
      <c r="A7" s="186"/>
      <c r="B7" s="201" t="s">
        <v>6</v>
      </c>
      <c r="C7" s="201" t="s">
        <v>6</v>
      </c>
      <c r="D7" s="200" t="s">
        <v>6</v>
      </c>
      <c r="E7" s="204" t="s">
        <v>6</v>
      </c>
      <c r="F7" s="212" t="s">
        <v>18</v>
      </c>
      <c r="G7" s="206">
        <v>20006</v>
      </c>
      <c r="H7" s="207">
        <f>_xlfn.IFERROR(G7/C10*100,"")</f>
        <v>16.7543213185046</v>
      </c>
      <c r="I7" s="205" t="s">
        <v>11</v>
      </c>
      <c r="J7" s="200" t="s">
        <v>6</v>
      </c>
      <c r="K7" s="214" t="s">
        <v>19</v>
      </c>
      <c r="L7" s="215"/>
      <c r="M7" s="200" t="s">
        <v>6</v>
      </c>
      <c r="N7" s="204" t="s">
        <v>6</v>
      </c>
      <c r="O7" s="205" t="s">
        <v>10</v>
      </c>
      <c r="P7" s="206">
        <v>2701</v>
      </c>
      <c r="Q7" s="209">
        <f>_xlfn.IFERROR(P7/L8*100,"")</f>
        <v>3.26827438500538</v>
      </c>
      <c r="R7" s="205" t="s">
        <v>11</v>
      </c>
      <c r="S7" s="200" t="s">
        <v>6</v>
      </c>
      <c r="T7" s="218" t="s">
        <v>20</v>
      </c>
      <c r="U7" s="219">
        <v>14825</v>
      </c>
      <c r="V7" s="220" t="s">
        <v>6</v>
      </c>
      <c r="W7" s="221" t="s">
        <v>6</v>
      </c>
      <c r="X7" s="212" t="s">
        <v>21</v>
      </c>
      <c r="Y7" s="206">
        <v>0</v>
      </c>
      <c r="Z7" s="213">
        <f>_xlfn.IFERROR(Y7/U7*100,"")</f>
        <v>0</v>
      </c>
      <c r="AA7" s="205" t="s">
        <v>11</v>
      </c>
    </row>
    <row customHeight="1" ht="14.25">
      <c r="A8" s="186"/>
      <c r="B8" s="222" t="s">
        <v>6</v>
      </c>
      <c r="C8" s="222"/>
      <c r="D8" s="200" t="s">
        <v>6</v>
      </c>
      <c r="E8" s="204" t="s">
        <v>6</v>
      </c>
      <c r="F8" s="212" t="s">
        <v>22</v>
      </c>
      <c r="G8" s="206">
        <v>0</v>
      </c>
      <c r="H8" s="207">
        <f>_xlfn.IFERROR(G8/C10*100,"")</f>
        <v>0</v>
      </c>
      <c r="I8" s="205" t="s">
        <v>11</v>
      </c>
      <c r="J8" s="200" t="s">
        <v>6</v>
      </c>
      <c r="K8" s="223" t="s">
        <v>20</v>
      </c>
      <c r="L8" s="224">
        <v>82643</v>
      </c>
      <c r="M8" s="225"/>
      <c r="N8" s="226"/>
      <c r="O8" s="205" t="s">
        <v>23</v>
      </c>
      <c r="P8" s="206">
        <v>100</v>
      </c>
      <c r="Q8" s="209">
        <f>_xlfn.IFERROR(P8/L8*100,"")</f>
        <v>0.12100238374696</v>
      </c>
      <c r="R8" s="205" t="s">
        <v>11</v>
      </c>
      <c r="S8" s="200" t="s">
        <v>6</v>
      </c>
      <c r="T8" s="201" t="s">
        <v>6</v>
      </c>
      <c r="U8" s="200" t="s">
        <v>6</v>
      </c>
      <c r="V8" s="227" t="s">
        <v>6</v>
      </c>
      <c r="W8" s="204" t="s">
        <v>6</v>
      </c>
      <c r="X8" s="205" t="s">
        <v>24</v>
      </c>
      <c r="Y8" s="206">
        <v>0</v>
      </c>
      <c r="Z8" s="213">
        <f>_xlfn.IFERROR(Y8/U7*100,"")</f>
        <v>0</v>
      </c>
      <c r="AA8" s="205" t="s">
        <v>11</v>
      </c>
    </row>
    <row customHeight="1" ht="14.25">
      <c r="A9" s="186"/>
      <c r="B9" s="214" t="s">
        <v>25</v>
      </c>
      <c r="C9" s="215"/>
      <c r="D9" s="228" t="s">
        <v>6</v>
      </c>
      <c r="E9" s="229" t="s">
        <v>6</v>
      </c>
      <c r="F9" s="212" t="s">
        <v>26</v>
      </c>
      <c r="G9" s="206">
        <v>14825</v>
      </c>
      <c r="H9" s="207">
        <f>_xlfn.IFERROR(G9/C10*100,"")</f>
        <v>12.4154160525258</v>
      </c>
      <c r="I9" s="205" t="s">
        <v>11</v>
      </c>
      <c r="J9" s="200"/>
      <c r="K9" s="230" t="s">
        <v>27</v>
      </c>
      <c r="L9" s="224">
        <v>428</v>
      </c>
      <c r="M9" s="231"/>
      <c r="N9" s="232"/>
      <c r="O9" s="233" t="s">
        <v>28</v>
      </c>
      <c r="P9" s="206">
        <v>103</v>
      </c>
      <c r="Q9" s="209">
        <f>_xlfn.IFERROR(P9/L8*100,"")</f>
        <v>0.124632455259369</v>
      </c>
      <c r="R9" s="205" t="s">
        <v>11</v>
      </c>
      <c r="S9" s="200"/>
      <c r="T9" s="201"/>
      <c r="U9" s="200"/>
      <c r="V9" s="227"/>
      <c r="W9" s="234"/>
      <c r="X9" s="212" t="s">
        <v>29</v>
      </c>
      <c r="Y9" s="235">
        <f>_xlfn.IFERROR(U7-SUM(Y5,Y6,Y7,Y8),"")</f>
        <v>78</v>
      </c>
      <c r="Z9" s="213">
        <f>_xlfn.IFERROR(Y9/U7*100,"")</f>
        <v>0.526138279932546</v>
      </c>
      <c r="AA9" s="205" t="s">
        <v>11</v>
      </c>
    </row>
    <row customHeight="1" ht="14.25">
      <c r="A10" s="186"/>
      <c r="B10" s="236" t="s">
        <v>20</v>
      </c>
      <c r="C10" s="224">
        <v>119408</v>
      </c>
      <c r="D10" s="237"/>
      <c r="E10" s="238"/>
      <c r="F10" s="233" t="s">
        <v>30</v>
      </c>
      <c r="G10" s="206">
        <v>3935</v>
      </c>
      <c r="H10" s="207">
        <f>_xlfn.IFERROR(G10/C10*100,"")</f>
        <v>3.29542409218813</v>
      </c>
      <c r="I10" s="205" t="s">
        <v>11</v>
      </c>
      <c r="J10" s="200"/>
      <c r="K10" s="201"/>
      <c r="L10" s="203"/>
      <c r="M10" s="200"/>
      <c r="N10" s="204"/>
      <c r="O10" s="205" t="s">
        <v>31</v>
      </c>
      <c r="P10" s="206">
        <v>0</v>
      </c>
      <c r="Q10" s="209">
        <f>_xlfn.IFERROR(P10/L8*100,"")</f>
        <v>0</v>
      </c>
      <c r="R10" s="205" t="s">
        <v>11</v>
      </c>
      <c r="S10" s="200"/>
      <c r="T10" s="201"/>
      <c r="U10" s="200"/>
      <c r="V10" s="200"/>
      <c r="W10" s="200"/>
      <c r="X10" s="200"/>
      <c r="Y10" s="239"/>
      <c r="Z10" s="240"/>
      <c r="AA10" s="200"/>
    </row>
    <row customHeight="1" ht="14.25">
      <c r="A11" s="186"/>
      <c r="B11" s="201" t="s">
        <v>6</v>
      </c>
      <c r="C11" s="241"/>
      <c r="D11" s="241"/>
      <c r="E11" s="242"/>
      <c r="F11" s="233" t="s">
        <v>32</v>
      </c>
      <c r="G11" s="206">
        <v>424</v>
      </c>
      <c r="H11" s="207">
        <f>_xlfn.IFERROR(G11/C10*100,"")</f>
        <v>0.35508508642637</v>
      </c>
      <c r="I11" s="205" t="s">
        <v>11</v>
      </c>
      <c r="J11" s="200"/>
      <c r="K11" s="201"/>
      <c r="L11" s="203"/>
      <c r="M11" s="200"/>
      <c r="N11" s="204"/>
      <c r="O11" s="205" t="s">
        <v>33</v>
      </c>
      <c r="P11" s="206">
        <v>20</v>
      </c>
      <c r="Q11" s="209">
        <f>_xlfn.IFERROR(P11/L8*100,"")</f>
        <v>0.024200476749392</v>
      </c>
      <c r="R11" s="205" t="s">
        <v>11</v>
      </c>
      <c r="S11" s="200"/>
      <c r="T11" s="201" t="s">
        <v>6</v>
      </c>
      <c r="U11" s="200" t="s">
        <v>6</v>
      </c>
      <c r="V11" s="227" t="s">
        <v>6</v>
      </c>
      <c r="W11" s="204" t="s">
        <v>6</v>
      </c>
      <c r="X11" s="212" t="s">
        <v>34</v>
      </c>
      <c r="Y11" s="243">
        <v>16661</v>
      </c>
      <c r="Z11" s="244">
        <f>_xlfn.IFERROR(Y11/U16*100,"")</f>
        <v>94.9777676433702</v>
      </c>
      <c r="AA11" s="205" t="s">
        <v>11</v>
      </c>
    </row>
    <row customHeight="1" ht="14.25">
      <c r="A12" s="186"/>
      <c r="B12" s="201" t="s">
        <v>6</v>
      </c>
      <c r="C12" s="200" t="s">
        <v>6</v>
      </c>
      <c r="D12" s="200" t="s">
        <v>6</v>
      </c>
      <c r="E12" s="245" t="s">
        <v>6</v>
      </c>
      <c r="F12" s="212" t="s">
        <v>35</v>
      </c>
      <c r="G12" s="206">
        <v>3607</v>
      </c>
      <c r="H12" s="207">
        <f>_xlfn.IFERROR(G12/C10*100,"")</f>
        <v>3.02073562910358</v>
      </c>
      <c r="I12" s="205" t="s">
        <v>11</v>
      </c>
      <c r="J12" s="200"/>
      <c r="K12" s="201"/>
      <c r="L12" s="203"/>
      <c r="M12" s="200"/>
      <c r="N12" s="234"/>
      <c r="O12" s="212" t="s">
        <v>29</v>
      </c>
      <c r="P12" s="235">
        <f>_xlfn.IFERROR(L8-SUM(P5,P6,P7,P8,P9,P10,P11),"")</f>
        <v>28</v>
      </c>
      <c r="Q12" s="209">
        <f>_xlfn.IFERROR(P12/L8*100,"")</f>
        <v>0.0338806674491487</v>
      </c>
      <c r="R12" s="205" t="s">
        <v>11</v>
      </c>
      <c r="S12" s="200"/>
      <c r="T12" s="201" t="s">
        <v>6</v>
      </c>
      <c r="U12" s="200" t="s">
        <v>6</v>
      </c>
      <c r="V12" s="227" t="s">
        <v>6</v>
      </c>
      <c r="W12" s="204" t="s">
        <v>6</v>
      </c>
      <c r="X12" s="212" t="s">
        <v>36</v>
      </c>
      <c r="Y12" s="243">
        <v>0</v>
      </c>
      <c r="Z12" s="244">
        <f>_xlfn.IFERROR(Y12/U16*100,"")</f>
        <v>0</v>
      </c>
      <c r="AA12" s="205" t="s">
        <v>11</v>
      </c>
    </row>
    <row customHeight="1" ht="14.25">
      <c r="A13" s="186"/>
      <c r="B13" s="200" t="s">
        <v>6</v>
      </c>
      <c r="C13" s="200" t="s">
        <v>6</v>
      </c>
      <c r="D13" s="200" t="s">
        <v>6</v>
      </c>
      <c r="E13" s="246" t="s">
        <v>6</v>
      </c>
      <c r="F13" s="212" t="s">
        <v>37</v>
      </c>
      <c r="G13" s="206">
        <v>0</v>
      </c>
      <c r="H13" s="207">
        <f>_xlfn.IFERROR(G13/C10*100,"")</f>
        <v>0</v>
      </c>
      <c r="I13" s="205" t="s">
        <v>11</v>
      </c>
      <c r="J13" s="200"/>
      <c r="K13" s="201"/>
      <c r="L13" s="203"/>
      <c r="M13" s="200"/>
      <c r="N13" s="200"/>
      <c r="O13" s="200"/>
      <c r="P13" s="239"/>
      <c r="Q13" s="247"/>
      <c r="R13" s="200"/>
      <c r="S13" s="200"/>
      <c r="T13" s="201" t="s">
        <v>6</v>
      </c>
      <c r="U13" s="201" t="s">
        <v>6</v>
      </c>
      <c r="V13" s="227" t="s">
        <v>6</v>
      </c>
      <c r="W13" s="204" t="s">
        <v>6</v>
      </c>
      <c r="X13" s="212" t="s">
        <v>38</v>
      </c>
      <c r="Y13" s="243">
        <v>300</v>
      </c>
      <c r="Z13" s="244">
        <f>_xlfn.IFERROR(Y13/U16*100,"")</f>
        <v>1.7101812792156</v>
      </c>
      <c r="AA13" s="205" t="s">
        <v>11</v>
      </c>
    </row>
    <row customHeight="1" ht="14.25">
      <c r="A14" s="186"/>
      <c r="B14" s="200" t="s">
        <v>6</v>
      </c>
      <c r="C14" s="200" t="s">
        <v>6</v>
      </c>
      <c r="D14" s="200" t="s">
        <v>6</v>
      </c>
      <c r="E14" s="248" t="s">
        <v>6</v>
      </c>
      <c r="F14" s="249" t="s">
        <v>39</v>
      </c>
      <c r="G14" s="206">
        <v>2</v>
      </c>
      <c r="H14" s="207">
        <f>_xlfn.IFERROR(G14/C10*100,"")</f>
        <v>0.00167492965295458</v>
      </c>
      <c r="I14" s="250" t="s">
        <v>11</v>
      </c>
      <c r="J14" s="200" t="s">
        <v>6</v>
      </c>
      <c r="K14" s="214" t="s">
        <v>40</v>
      </c>
      <c r="L14" s="215"/>
      <c r="M14" s="200" t="s">
        <v>6</v>
      </c>
      <c r="N14" s="204" t="s">
        <v>6</v>
      </c>
      <c r="O14" s="205" t="s">
        <v>41</v>
      </c>
      <c r="P14" s="243">
        <v>6044</v>
      </c>
      <c r="Q14" s="251">
        <f>_xlfn.IFERROR(P14/L15*100,"")</f>
        <v>18.4397595875156</v>
      </c>
      <c r="R14" s="205" t="s">
        <v>11</v>
      </c>
      <c r="S14" s="200" t="s">
        <v>6</v>
      </c>
      <c r="T14" s="222" t="s">
        <v>6</v>
      </c>
      <c r="U14" s="222"/>
      <c r="V14" s="227" t="s">
        <v>6</v>
      </c>
      <c r="W14" s="204" t="s">
        <v>6</v>
      </c>
      <c r="X14" s="205" t="s">
        <v>42</v>
      </c>
      <c r="Y14" s="243">
        <v>0</v>
      </c>
      <c r="Z14" s="244">
        <f>_xlfn.IFERROR(Y14/U16*100,"")</f>
        <v>0</v>
      </c>
      <c r="AA14" s="205" t="s">
        <v>11</v>
      </c>
    </row>
    <row customHeight="1" ht="14.25">
      <c r="A15" s="186"/>
      <c r="B15" s="200"/>
      <c r="C15" s="200"/>
      <c r="D15" s="200"/>
      <c r="E15" s="200"/>
      <c r="F15" s="212" t="s">
        <v>29</v>
      </c>
      <c r="G15" s="235">
        <f>_xlfn.IFERROR(C10-SUM(G5:G14),"")</f>
        <v>383</v>
      </c>
      <c r="H15" s="207">
        <f>_xlfn.IFERROR(G15/C10*100,"")</f>
        <v>0.320749028540801</v>
      </c>
      <c r="I15" s="205" t="s">
        <v>11</v>
      </c>
      <c r="J15" s="200"/>
      <c r="K15" s="252" t="s">
        <v>20</v>
      </c>
      <c r="L15" s="253">
        <v>32777</v>
      </c>
      <c r="M15" s="216" t="s">
        <v>6</v>
      </c>
      <c r="N15" s="217" t="s">
        <v>6</v>
      </c>
      <c r="O15" s="205" t="s">
        <v>43</v>
      </c>
      <c r="P15" s="243">
        <v>26643</v>
      </c>
      <c r="Q15" s="251">
        <f>_xlfn.IFERROR(P15/L15*100,"")</f>
        <v>81.2856576257742</v>
      </c>
      <c r="R15" s="205" t="s">
        <v>11</v>
      </c>
      <c r="S15" s="200"/>
      <c r="T15" s="214" t="s">
        <v>44</v>
      </c>
      <c r="U15" s="215"/>
      <c r="V15" s="254" t="s">
        <v>6</v>
      </c>
      <c r="W15" s="217" t="s">
        <v>6</v>
      </c>
      <c r="X15" s="212" t="s">
        <v>45</v>
      </c>
      <c r="Y15" s="243">
        <v>0</v>
      </c>
      <c r="Z15" s="244">
        <f>_xlfn.IFERROR(Y15/U16*100,"")</f>
        <v>0</v>
      </c>
      <c r="AA15" s="205" t="s">
        <v>11</v>
      </c>
    </row>
    <row customHeight="1" ht="14.25">
      <c r="A16" s="186"/>
      <c r="B16" s="186"/>
      <c r="C16" s="186"/>
      <c r="D16" s="186"/>
      <c r="E16" s="186"/>
      <c r="F16" s="186"/>
      <c r="G16" s="186"/>
      <c r="H16" s="186"/>
      <c r="I16" s="186"/>
      <c r="J16" s="200" t="s">
        <v>6</v>
      </c>
      <c r="K16" s="230" t="s">
        <v>46</v>
      </c>
      <c r="L16" s="255">
        <v>2159</v>
      </c>
      <c r="M16" s="256" t="s">
        <v>6</v>
      </c>
      <c r="N16" s="257" t="s">
        <v>6</v>
      </c>
      <c r="O16" s="205" t="s">
        <v>47</v>
      </c>
      <c r="P16" s="243">
        <v>0</v>
      </c>
      <c r="Q16" s="251">
        <f>_xlfn.IFERROR(P16/L15*100,"")</f>
        <v>0</v>
      </c>
      <c r="R16" s="205" t="s">
        <v>11</v>
      </c>
      <c r="S16" s="200" t="s">
        <v>6</v>
      </c>
      <c r="T16" s="218" t="s">
        <v>20</v>
      </c>
      <c r="U16" s="219">
        <v>17542</v>
      </c>
      <c r="V16" s="258" t="s">
        <v>6</v>
      </c>
      <c r="W16" s="221" t="s">
        <v>6</v>
      </c>
      <c r="X16" s="212" t="s">
        <v>48</v>
      </c>
      <c r="Y16" s="243">
        <v>0</v>
      </c>
      <c r="Z16" s="244">
        <f>_xlfn.IFERROR(Y16/U16*100,"")</f>
        <v>0</v>
      </c>
      <c r="AA16" s="205" t="s">
        <v>11</v>
      </c>
    </row>
    <row customHeight="1" ht="14.25">
      <c r="A17" s="186"/>
      <c r="B17" s="201" t="s">
        <v>6</v>
      </c>
      <c r="C17" s="200" t="s">
        <v>6</v>
      </c>
      <c r="D17" s="200" t="s">
        <v>6</v>
      </c>
      <c r="E17" s="259"/>
      <c r="F17" s="205" t="s">
        <v>35</v>
      </c>
      <c r="G17" s="243">
        <v>869</v>
      </c>
      <c r="H17" s="209">
        <f>_xlfn.IFERROR(G17/C21*100,"")</f>
        <v>1.63106723225346</v>
      </c>
      <c r="I17" s="205" t="s">
        <v>11</v>
      </c>
      <c r="J17" s="200" t="s">
        <v>6</v>
      </c>
      <c r="K17" s="247"/>
      <c r="L17" s="203"/>
      <c r="M17" s="200" t="s">
        <v>6</v>
      </c>
      <c r="N17" s="260" t="s">
        <v>6</v>
      </c>
      <c r="O17" s="205" t="s">
        <v>29</v>
      </c>
      <c r="P17" s="261">
        <f>_xlfn.IFERROR(L15-SUM(IF(P14="",0,P14),IF(P15="",0,P15),IF(P16="",0,P16)),"")</f>
        <v>90</v>
      </c>
      <c r="Q17" s="251">
        <f>_xlfn.IFERROR(P17/L15*100,"")</f>
        <v>0.274582786710193</v>
      </c>
      <c r="R17" s="205" t="s">
        <v>11</v>
      </c>
      <c r="S17" s="200" t="s">
        <v>6</v>
      </c>
      <c r="T17" s="201" t="s">
        <v>6</v>
      </c>
      <c r="U17" s="200" t="s">
        <v>6</v>
      </c>
      <c r="V17" s="227" t="s">
        <v>6</v>
      </c>
      <c r="W17" s="204" t="s">
        <v>6</v>
      </c>
      <c r="X17" s="212" t="s">
        <v>49</v>
      </c>
      <c r="Y17" s="243">
        <v>0</v>
      </c>
      <c r="Z17" s="244">
        <f>_xlfn.IFERROR(Y17/U16*100,"")</f>
        <v>0</v>
      </c>
      <c r="AA17" s="205" t="s">
        <v>11</v>
      </c>
    </row>
    <row customHeight="1" ht="14.25">
      <c r="A18" s="186"/>
      <c r="B18" s="262" t="s">
        <v>6</v>
      </c>
      <c r="C18" s="263" t="s">
        <v>6</v>
      </c>
      <c r="D18" s="263" t="s">
        <v>6</v>
      </c>
      <c r="E18" s="264" t="s">
        <v>6</v>
      </c>
      <c r="F18" s="250" t="s">
        <v>50</v>
      </c>
      <c r="G18" s="265">
        <v>14420</v>
      </c>
      <c r="H18" s="266">
        <f>_xlfn.IFERROR(G18/C21*100,"")</f>
        <v>27.0655805398101</v>
      </c>
      <c r="I18" s="250" t="s">
        <v>11</v>
      </c>
      <c r="J18" s="200" t="s">
        <v>6</v>
      </c>
      <c r="K18" s="267"/>
      <c r="L18" s="267"/>
      <c r="M18" s="267"/>
      <c r="N18" s="267"/>
      <c r="O18" s="267"/>
      <c r="P18" s="239"/>
      <c r="Q18" s="268"/>
      <c r="R18" s="267"/>
      <c r="S18" s="200" t="s">
        <v>6</v>
      </c>
      <c r="T18" s="201" t="s">
        <v>6</v>
      </c>
      <c r="U18" s="200" t="s">
        <v>6</v>
      </c>
      <c r="V18" s="227" t="s">
        <v>6</v>
      </c>
      <c r="W18" s="208" t="s">
        <v>6</v>
      </c>
      <c r="X18" s="212" t="s">
        <v>51</v>
      </c>
      <c r="Y18" s="243">
        <v>398</v>
      </c>
      <c r="Z18" s="244">
        <f>_xlfn.IFERROR(Y18/U16*100,"")</f>
        <v>2.26884049709269</v>
      </c>
      <c r="AA18" s="205" t="s">
        <v>11</v>
      </c>
    </row>
    <row customHeight="1" ht="14.25">
      <c r="A19" s="186"/>
      <c r="B19" s="262" t="s">
        <v>6</v>
      </c>
      <c r="C19" s="262" t="s">
        <v>6</v>
      </c>
      <c r="D19" s="263" t="s">
        <v>6</v>
      </c>
      <c r="E19" s="264" t="s">
        <v>6</v>
      </c>
      <c r="F19" s="250" t="s">
        <v>52</v>
      </c>
      <c r="G19" s="265">
        <v>709</v>
      </c>
      <c r="H19" s="266">
        <f>_xlfn.IFERROR(G19/C21*100,"")</f>
        <v>1.33075565899621</v>
      </c>
      <c r="I19" s="250" t="s">
        <v>11</v>
      </c>
      <c r="J19" s="200" t="s">
        <v>6</v>
      </c>
      <c r="K19" s="214" t="s">
        <v>53</v>
      </c>
      <c r="L19" s="215"/>
      <c r="M19" s="269" t="s">
        <v>6</v>
      </c>
      <c r="N19" s="270" t="s">
        <v>6</v>
      </c>
      <c r="O19" s="212" t="s">
        <v>54</v>
      </c>
      <c r="P19" s="243">
        <v>349</v>
      </c>
      <c r="Q19" s="251">
        <f>_xlfn.IFERROR(P19/L20*100,"")</f>
        <v>25</v>
      </c>
      <c r="R19" s="205" t="s">
        <v>11</v>
      </c>
      <c r="S19" s="200" t="s">
        <v>6</v>
      </c>
      <c r="T19" s="201"/>
      <c r="U19" s="200"/>
      <c r="V19" s="227"/>
      <c r="W19" s="271"/>
      <c r="X19" s="205" t="s">
        <v>29</v>
      </c>
      <c r="Y19" s="261">
        <f>_xlfn.IFERROR(U16-SUM(Y11,Y12,Y13,Y14,Y15,Y16,Y18),"")</f>
        <v>183</v>
      </c>
      <c r="Z19" s="244">
        <f>_xlfn.IFERROR(Y19/U16*100,"")</f>
        <v>1.04321058032151</v>
      </c>
      <c r="AA19" s="205" t="s">
        <v>11</v>
      </c>
    </row>
    <row customHeight="1" ht="14.25">
      <c r="A20" s="186"/>
      <c r="B20" s="272" t="s">
        <v>55</v>
      </c>
      <c r="C20" s="273"/>
      <c r="D20" s="274"/>
      <c r="E20" s="274" t="s">
        <v>6</v>
      </c>
      <c r="F20" s="250" t="s">
        <v>56</v>
      </c>
      <c r="G20" s="265">
        <v>6645</v>
      </c>
      <c r="H20" s="266">
        <f>_xlfn.IFERROR(G20/C21*100,"")</f>
        <v>12.4723150268403</v>
      </c>
      <c r="I20" s="250" t="s">
        <v>11</v>
      </c>
      <c r="J20" s="200" t="s">
        <v>6</v>
      </c>
      <c r="K20" s="236" t="s">
        <v>20</v>
      </c>
      <c r="L20" s="255">
        <v>1396</v>
      </c>
      <c r="M20" s="275" t="s">
        <v>6</v>
      </c>
      <c r="N20" s="276" t="s">
        <v>6</v>
      </c>
      <c r="O20" s="212" t="s">
        <v>57</v>
      </c>
      <c r="P20" s="243">
        <v>1047</v>
      </c>
      <c r="Q20" s="251">
        <f>_xlfn.IFERROR(P20/L20*100,"")</f>
        <v>75</v>
      </c>
      <c r="R20" s="205" t="s">
        <v>11</v>
      </c>
      <c r="S20" s="200" t="s">
        <v>6</v>
      </c>
      <c r="T20" s="267"/>
      <c r="U20" s="267"/>
      <c r="V20" s="267"/>
      <c r="W20" s="267"/>
      <c r="X20" s="267"/>
      <c r="Y20" s="268"/>
      <c r="Z20" s="277"/>
      <c r="AA20" s="267"/>
    </row>
    <row customHeight="1" ht="14.25">
      <c r="A21" s="186"/>
      <c r="B21" s="278" t="s">
        <v>20</v>
      </c>
      <c r="C21" s="279">
        <v>53278</v>
      </c>
      <c r="D21" s="280" t="s">
        <v>6</v>
      </c>
      <c r="E21" s="280" t="s">
        <v>6</v>
      </c>
      <c r="F21" s="250" t="s">
        <v>58</v>
      </c>
      <c r="G21" s="265">
        <v>30471</v>
      </c>
      <c r="H21" s="266">
        <f>_xlfn.IFERROR(G21/C21*100,"")</f>
        <v>57.1924621795112</v>
      </c>
      <c r="I21" s="250" t="s">
        <v>11</v>
      </c>
      <c r="J21" s="200" t="s">
        <v>6</v>
      </c>
      <c r="K21" s="281"/>
      <c r="L21" s="282"/>
      <c r="M21" s="263"/>
      <c r="N21" s="263"/>
      <c r="O21" s="263"/>
      <c r="P21" s="283"/>
      <c r="Q21" s="284"/>
      <c r="R21" s="263"/>
      <c r="S21" s="200" t="s">
        <v>6</v>
      </c>
      <c r="T21" s="214" t="s">
        <v>59</v>
      </c>
      <c r="U21" s="215"/>
      <c r="V21" s="227" t="s">
        <v>6</v>
      </c>
      <c r="W21" s="204" t="s">
        <v>6</v>
      </c>
      <c r="X21" s="285" t="s">
        <v>60</v>
      </c>
      <c r="Y21" s="243">
        <v>53692</v>
      </c>
      <c r="Z21" s="286">
        <f>_xlfn.IFERROR(Y21/U22*100,"")</f>
        <v>99.9739321491081</v>
      </c>
      <c r="AA21" s="285" t="s">
        <v>11</v>
      </c>
    </row>
    <row customHeight="1" ht="14.25">
      <c r="A22" s="186"/>
      <c r="B22" s="287"/>
      <c r="C22" s="283"/>
      <c r="D22" s="263" t="s">
        <v>6</v>
      </c>
      <c r="E22" s="264" t="s">
        <v>6</v>
      </c>
      <c r="F22" s="250" t="s">
        <v>61</v>
      </c>
      <c r="G22" s="265">
        <v>0</v>
      </c>
      <c r="H22" s="266">
        <f>_xlfn.IFERROR(G22/C21*100,"")</f>
        <v>0</v>
      </c>
      <c r="I22" s="250" t="s">
        <v>11</v>
      </c>
      <c r="J22" s="200" t="s">
        <v>6</v>
      </c>
      <c r="K22" s="214" t="s">
        <v>62</v>
      </c>
      <c r="L22" s="215"/>
      <c r="M22" s="288" t="s">
        <v>6</v>
      </c>
      <c r="N22" s="289" t="s">
        <v>6</v>
      </c>
      <c r="O22" s="290" t="s">
        <v>63</v>
      </c>
      <c r="P22" s="291">
        <v>127</v>
      </c>
      <c r="Q22" s="292">
        <f>_xlfn.IFERROR(P22/L23*100,"")</f>
        <v>57.7272727272727</v>
      </c>
      <c r="R22" s="290" t="s">
        <v>11</v>
      </c>
      <c r="S22" s="200" t="s">
        <v>6</v>
      </c>
      <c r="T22" s="278" t="s">
        <v>20</v>
      </c>
      <c r="U22" s="219">
        <v>53706</v>
      </c>
      <c r="V22" s="293" t="s">
        <v>6</v>
      </c>
      <c r="W22" s="217" t="s">
        <v>6</v>
      </c>
      <c r="X22" s="285" t="s">
        <v>64</v>
      </c>
      <c r="Y22" s="243">
        <v>0</v>
      </c>
      <c r="Z22" s="286">
        <f>_xlfn.IFERROR(Y22/U22*100,"")</f>
        <v>0</v>
      </c>
      <c r="AA22" s="285" t="s">
        <v>11</v>
      </c>
    </row>
    <row customHeight="1" ht="14.25">
      <c r="A23" s="186"/>
      <c r="B23" s="262" t="s">
        <v>6</v>
      </c>
      <c r="C23" s="263" t="s">
        <v>6</v>
      </c>
      <c r="D23" s="263" t="s">
        <v>6</v>
      </c>
      <c r="E23" s="264" t="s">
        <v>6</v>
      </c>
      <c r="F23" s="250" t="s">
        <v>29</v>
      </c>
      <c r="G23" s="294">
        <f>_xlfn.IFERROR((100-SUM(H17:H22))*C21/100,"")</f>
        <v>164.000000000024</v>
      </c>
      <c r="H23" s="266">
        <f>_xlfn.IFERROR(G23/C21*100,"")</f>
        <v>0.307819362588731</v>
      </c>
      <c r="I23" s="250" t="s">
        <v>11</v>
      </c>
      <c r="J23" s="200" t="s">
        <v>6</v>
      </c>
      <c r="K23" s="295" t="s">
        <v>20</v>
      </c>
      <c r="L23" s="279">
        <v>220</v>
      </c>
      <c r="M23" s="296" t="s">
        <v>6</v>
      </c>
      <c r="N23" s="297" t="s">
        <v>6</v>
      </c>
      <c r="O23" s="290" t="s">
        <v>65</v>
      </c>
      <c r="P23" s="291">
        <v>93</v>
      </c>
      <c r="Q23" s="292">
        <f>_xlfn.IFERROR(P23/L23*100,"")</f>
        <v>42.2727272727273</v>
      </c>
      <c r="R23" s="290" t="s">
        <v>11</v>
      </c>
      <c r="S23" s="200" t="s">
        <v>6</v>
      </c>
      <c r="T23" s="200" t="s">
        <v>6</v>
      </c>
      <c r="U23" s="200" t="s">
        <v>6</v>
      </c>
      <c r="V23" s="258" t="s">
        <v>6</v>
      </c>
      <c r="W23" s="221" t="s">
        <v>6</v>
      </c>
      <c r="X23" s="285" t="s">
        <v>66</v>
      </c>
      <c r="Y23" s="243">
        <v>0</v>
      </c>
      <c r="Z23" s="286">
        <f>_xlfn.IFERROR(Y23/U22*100,"")</f>
        <v>0</v>
      </c>
      <c r="AA23" s="285" t="s">
        <v>11</v>
      </c>
    </row>
    <row customHeight="1" ht="14.25">
      <c r="A24" s="186"/>
      <c r="B24" s="263" t="s">
        <v>6</v>
      </c>
      <c r="C24" s="263" t="s">
        <v>6</v>
      </c>
      <c r="D24" s="263" t="s">
        <v>6</v>
      </c>
      <c r="E24" s="263" t="s">
        <v>6</v>
      </c>
      <c r="F24" s="263"/>
      <c r="G24" s="283"/>
      <c r="H24" s="284"/>
      <c r="I24" s="263"/>
      <c r="J24" s="200"/>
      <c r="K24" s="267"/>
      <c r="L24" s="267"/>
      <c r="M24" s="267"/>
      <c r="N24" s="267"/>
      <c r="O24" s="267"/>
      <c r="P24" s="268"/>
      <c r="Q24" s="268"/>
      <c r="R24" s="267"/>
      <c r="S24" s="200"/>
      <c r="T24" s="200"/>
      <c r="U24" s="200"/>
      <c r="V24" s="227"/>
      <c r="W24" s="298"/>
      <c r="X24" s="299" t="s">
        <v>29</v>
      </c>
      <c r="Y24" s="261">
        <f>_xlfn.IFERROR(U22-SUM(IF(Y21="",0,Y21),IF(Y22="",0,Y22),IF(Y23="",0,Y23)),"")</f>
        <v>14</v>
      </c>
      <c r="Z24" s="286">
        <f>_xlfn.IFERROR(Y24/U22*100,"")</f>
        <v>0.0260678508918929</v>
      </c>
      <c r="AA24" s="285" t="s">
        <v>11</v>
      </c>
    </row>
    <row customHeight="1" ht="14.25">
      <c r="A25" s="186"/>
      <c r="B25" s="262" t="s">
        <v>6</v>
      </c>
      <c r="C25" s="263" t="s">
        <v>6</v>
      </c>
      <c r="D25" s="263" t="s">
        <v>6</v>
      </c>
      <c r="E25" s="264"/>
      <c r="F25" s="250" t="s">
        <v>67</v>
      </c>
      <c r="G25" s="265">
        <v>119646</v>
      </c>
      <c r="H25" s="300">
        <f>_xlfn.IFERROR(G25/C27*100,"")</f>
        <v>98.3922829581994</v>
      </c>
      <c r="I25" s="301" t="s">
        <v>11</v>
      </c>
      <c r="J25" s="200"/>
      <c r="K25" s="267"/>
      <c r="L25" s="267"/>
      <c r="M25" s="267"/>
      <c r="N25" s="267"/>
      <c r="O25" s="267"/>
      <c r="P25" s="268"/>
      <c r="Q25" s="268"/>
      <c r="R25" s="267"/>
      <c r="S25" s="200"/>
      <c r="T25" s="267"/>
      <c r="U25" s="267"/>
      <c r="V25" s="267"/>
      <c r="W25" s="267"/>
      <c r="X25" s="267"/>
      <c r="Y25" s="268"/>
      <c r="Z25" s="277"/>
      <c r="AA25" s="267"/>
    </row>
    <row customHeight="1" ht="14.25">
      <c r="A26" s="186"/>
      <c r="B26" s="272" t="s">
        <v>68</v>
      </c>
      <c r="C26" s="273"/>
      <c r="D26" s="263" t="s">
        <v>6</v>
      </c>
      <c r="E26" s="264" t="s">
        <v>6</v>
      </c>
      <c r="F26" s="250" t="s">
        <v>35</v>
      </c>
      <c r="G26" s="265">
        <v>1723</v>
      </c>
      <c r="H26" s="300">
        <f>_xlfn.IFERROR(G26/C27*100,"")</f>
        <v>1.41692913709591</v>
      </c>
      <c r="I26" s="301" t="s">
        <v>11</v>
      </c>
      <c r="J26" s="200" t="s">
        <v>6</v>
      </c>
      <c r="K26" s="200" t="s">
        <v>6</v>
      </c>
      <c r="L26" s="201" t="s">
        <v>6</v>
      </c>
      <c r="M26" s="200" t="s">
        <v>6</v>
      </c>
      <c r="N26" s="208" t="s">
        <v>6</v>
      </c>
      <c r="O26" s="205" t="s">
        <v>69</v>
      </c>
      <c r="P26" s="243">
        <v>146710</v>
      </c>
      <c r="Q26" s="209">
        <f>_xlfn.IFERROR(P26/L29*100,"")</f>
        <v>92.8797077685699</v>
      </c>
      <c r="R26" s="205" t="s">
        <v>11</v>
      </c>
      <c r="S26" s="200" t="s">
        <v>6</v>
      </c>
      <c r="T26" s="214" t="s">
        <v>70</v>
      </c>
      <c r="U26" s="215"/>
      <c r="V26" s="210" t="s">
        <v>6</v>
      </c>
      <c r="W26" s="302" t="s">
        <v>6</v>
      </c>
      <c r="X26" s="290" t="s">
        <v>71</v>
      </c>
      <c r="Y26" s="303">
        <v>0</v>
      </c>
      <c r="Z26" s="304" t="str">
        <f>_xlfn.IFERROR(Y26/U27*100,"")</f>
        <v/>
      </c>
      <c r="AA26" s="305" t="s">
        <v>11</v>
      </c>
    </row>
    <row customHeight="1" ht="14.25">
      <c r="A27" s="186"/>
      <c r="B27" s="252" t="s">
        <v>20</v>
      </c>
      <c r="C27" s="253">
        <v>121601</v>
      </c>
      <c r="D27" s="274" t="s">
        <v>6</v>
      </c>
      <c r="E27" s="274" t="s">
        <v>6</v>
      </c>
      <c r="F27" s="250" t="s">
        <v>37</v>
      </c>
      <c r="G27" s="265">
        <v>0</v>
      </c>
      <c r="H27" s="300">
        <f>_xlfn.IFERROR(G27/C27*100,"")</f>
        <v>0</v>
      </c>
      <c r="I27" s="301" t="s">
        <v>11</v>
      </c>
      <c r="J27" s="200" t="s">
        <v>6</v>
      </c>
      <c r="K27" s="200" t="s">
        <v>6</v>
      </c>
      <c r="L27" s="201" t="s">
        <v>6</v>
      </c>
      <c r="M27" s="200" t="s">
        <v>6</v>
      </c>
      <c r="N27" s="204" t="s">
        <v>6</v>
      </c>
      <c r="O27" s="205" t="s">
        <v>72</v>
      </c>
      <c r="P27" s="243">
        <v>7620</v>
      </c>
      <c r="Q27" s="209">
        <f>_xlfn.IFERROR(P27/L29*100,"")</f>
        <v>4.82409769747463</v>
      </c>
      <c r="R27" s="205" t="s">
        <v>11</v>
      </c>
      <c r="S27" s="200" t="s">
        <v>6</v>
      </c>
      <c r="T27" s="236" t="s">
        <v>20</v>
      </c>
      <c r="U27" s="255">
        <v>0</v>
      </c>
      <c r="V27" s="306" t="s">
        <v>6</v>
      </c>
      <c r="W27" s="307" t="s">
        <v>6</v>
      </c>
      <c r="X27" s="290" t="s">
        <v>64</v>
      </c>
      <c r="Y27" s="303">
        <v>0</v>
      </c>
      <c r="Z27" s="304" t="str">
        <f>_xlfn.IFERROR(Y27/U27*100,"")</f>
        <v/>
      </c>
      <c r="AA27" s="305" t="s">
        <v>11</v>
      </c>
    </row>
    <row customHeight="1" ht="14.25">
      <c r="A28" s="186"/>
      <c r="B28" s="301" t="s">
        <v>27</v>
      </c>
      <c r="C28" s="308">
        <v>461</v>
      </c>
      <c r="D28" s="280" t="s">
        <v>6</v>
      </c>
      <c r="E28" s="280" t="s">
        <v>6</v>
      </c>
      <c r="F28" s="250" t="s">
        <v>39</v>
      </c>
      <c r="G28" s="265">
        <v>11</v>
      </c>
      <c r="H28" s="300">
        <f>_xlfn.IFERROR(G28/C27*100,"")</f>
        <v>0.00904597824031052</v>
      </c>
      <c r="I28" s="301" t="s">
        <v>11</v>
      </c>
      <c r="J28" s="200" t="s">
        <v>6</v>
      </c>
      <c r="K28" s="214" t="s">
        <v>73</v>
      </c>
      <c r="L28" s="215"/>
      <c r="M28" s="274" t="s">
        <v>6</v>
      </c>
      <c r="N28" s="217" t="s">
        <v>6</v>
      </c>
      <c r="O28" s="205" t="s">
        <v>74</v>
      </c>
      <c r="P28" s="243">
        <v>1623</v>
      </c>
      <c r="Q28" s="209">
        <f>_xlfn.IFERROR(P28/L29*100,"")</f>
        <v>1.02749482454086</v>
      </c>
      <c r="R28" s="205" t="s">
        <v>11</v>
      </c>
      <c r="S28" s="200" t="s">
        <v>6</v>
      </c>
      <c r="T28" s="266" t="s">
        <v>75</v>
      </c>
      <c r="U28" s="279">
        <v>0</v>
      </c>
      <c r="V28" s="258"/>
      <c r="W28" s="309"/>
      <c r="X28" s="290" t="s">
        <v>29</v>
      </c>
      <c r="Y28" s="310"/>
      <c r="Z28" s="304">
        <f>U27-SUM(Z26,Z27)</f>
        <v>0</v>
      </c>
      <c r="AA28" s="305" t="s">
        <v>11</v>
      </c>
    </row>
    <row customHeight="1" ht="14.25">
      <c r="A29" s="186"/>
      <c r="B29" s="267"/>
      <c r="C29" s="267"/>
      <c r="D29" s="311" t="s">
        <v>6</v>
      </c>
      <c r="E29" s="264" t="s">
        <v>6</v>
      </c>
      <c r="F29" s="250" t="s">
        <v>29</v>
      </c>
      <c r="G29" s="294">
        <f>_xlfn.IFERROR(C27-SUM(IF(G25="",0,G25),IF(G26="",0,G26),IF(G27="",0,G27),IF(G28="",0,G28)),"")</f>
        <v>221</v>
      </c>
      <c r="H29" s="300">
        <f>_xlfn.IFERROR(G29/C27*100,"")</f>
        <v>0.181741926464421</v>
      </c>
      <c r="I29" s="301" t="s">
        <v>11</v>
      </c>
      <c r="J29" s="200"/>
      <c r="K29" s="252" t="s">
        <v>20</v>
      </c>
      <c r="L29" s="253">
        <v>157957</v>
      </c>
      <c r="M29" s="258" t="s">
        <v>6</v>
      </c>
      <c r="N29" s="221" t="s">
        <v>6</v>
      </c>
      <c r="O29" s="205" t="s">
        <v>76</v>
      </c>
      <c r="P29" s="243">
        <v>995</v>
      </c>
      <c r="Q29" s="209">
        <f>_xlfn.IFERROR(P29/L29*100,"")</f>
        <v>0.629918268895965</v>
      </c>
      <c r="R29" s="205" t="s">
        <v>11</v>
      </c>
      <c r="S29" s="200"/>
      <c r="T29" s="312"/>
      <c r="U29" s="287"/>
      <c r="V29" s="313"/>
      <c r="W29" s="313"/>
      <c r="X29" s="313"/>
      <c r="Y29" s="314"/>
      <c r="Z29" s="315"/>
      <c r="AA29" s="313"/>
    </row>
    <row customHeight="1" ht="14.25">
      <c r="A30" s="186"/>
      <c r="B30" s="267"/>
      <c r="C30" s="267"/>
      <c r="D30" s="267"/>
      <c r="E30" s="267"/>
      <c r="F30" s="267"/>
      <c r="G30" s="268"/>
      <c r="H30" s="268"/>
      <c r="I30" s="267"/>
      <c r="J30" s="200"/>
      <c r="K30" s="301" t="s">
        <v>27</v>
      </c>
      <c r="L30" s="316">
        <v>363</v>
      </c>
      <c r="M30" s="200"/>
      <c r="N30" s="204"/>
      <c r="O30" s="205" t="s">
        <v>23</v>
      </c>
      <c r="P30" s="243">
        <v>324</v>
      </c>
      <c r="Q30" s="209">
        <f>_xlfn.IFERROR(P30/L29*100,"")</f>
        <v>0.205119114695772</v>
      </c>
      <c r="R30" s="205" t="s">
        <v>11</v>
      </c>
      <c r="S30" s="200"/>
      <c r="T30" s="247"/>
      <c r="U30" s="203"/>
      <c r="V30" s="200"/>
      <c r="W30" s="200"/>
      <c r="X30" s="200"/>
      <c r="Y30" s="239"/>
      <c r="Z30" s="240"/>
      <c r="AA30" s="200"/>
    </row>
    <row customHeight="1" ht="14.25">
      <c r="A31" s="186"/>
      <c r="B31" s="267"/>
      <c r="C31" s="267"/>
      <c r="D31" s="267"/>
      <c r="E31" s="267"/>
      <c r="F31" s="267"/>
      <c r="G31" s="268"/>
      <c r="H31" s="268"/>
      <c r="I31" s="267"/>
      <c r="J31" s="201" t="s">
        <v>6</v>
      </c>
      <c r="K31" s="201"/>
      <c r="L31" s="203"/>
      <c r="M31" s="200"/>
      <c r="N31" s="204"/>
      <c r="O31" s="205" t="s">
        <v>31</v>
      </c>
      <c r="P31" s="243">
        <v>0</v>
      </c>
      <c r="Q31" s="209">
        <f>_xlfn.IFERROR(P31/L29*100,"")</f>
        <v>0</v>
      </c>
      <c r="R31" s="205" t="s">
        <v>11</v>
      </c>
      <c r="S31" s="201" t="s">
        <v>6</v>
      </c>
      <c r="T31" s="201" t="s">
        <v>6</v>
      </c>
      <c r="U31" s="200" t="s">
        <v>6</v>
      </c>
      <c r="V31" s="227" t="s">
        <v>6</v>
      </c>
      <c r="W31" s="204" t="s">
        <v>6</v>
      </c>
      <c r="X31" s="299" t="s">
        <v>50</v>
      </c>
      <c r="Y31" s="243">
        <v>7879</v>
      </c>
      <c r="Z31" s="286">
        <f>_xlfn.IFERROR(Y31/U35*100,"")</f>
        <v>19.6513193994114</v>
      </c>
      <c r="AA31" s="285" t="s">
        <v>11</v>
      </c>
    </row>
    <row customHeight="1" ht="14.25">
      <c r="A32" s="186"/>
      <c r="B32" s="262" t="s">
        <v>6</v>
      </c>
      <c r="C32" s="263" t="s">
        <v>6</v>
      </c>
      <c r="D32" s="263" t="s">
        <v>6</v>
      </c>
      <c r="E32" s="264" t="s">
        <v>6</v>
      </c>
      <c r="F32" s="250" t="s">
        <v>77</v>
      </c>
      <c r="G32" s="265">
        <v>17610</v>
      </c>
      <c r="H32" s="266">
        <f>_xlfn.IFERROR(G32/C36*100,"")</f>
        <v>62.7324413286026</v>
      </c>
      <c r="I32" s="250" t="s">
        <v>11</v>
      </c>
      <c r="J32" s="200" t="s">
        <v>6</v>
      </c>
      <c r="K32" s="201"/>
      <c r="L32" s="203"/>
      <c r="M32" s="200"/>
      <c r="N32" s="204"/>
      <c r="O32" s="205" t="s">
        <v>39</v>
      </c>
      <c r="P32" s="243">
        <v>607</v>
      </c>
      <c r="Q32" s="209">
        <f>_xlfn.IFERROR(P32/L29*100,"")</f>
        <v>0.384281798210905</v>
      </c>
      <c r="R32" s="205" t="s">
        <v>11</v>
      </c>
      <c r="S32" s="200" t="s">
        <v>6</v>
      </c>
      <c r="T32" s="201" t="s">
        <v>6</v>
      </c>
      <c r="U32" s="200" t="s">
        <v>6</v>
      </c>
      <c r="V32" s="227" t="s">
        <v>6</v>
      </c>
      <c r="W32" s="204" t="s">
        <v>6</v>
      </c>
      <c r="X32" s="299" t="s">
        <v>78</v>
      </c>
      <c r="Y32" s="243">
        <v>20189</v>
      </c>
      <c r="Z32" s="286">
        <f>_xlfn.IFERROR(Y32/U35*100,"")</f>
        <v>50.3541677058912</v>
      </c>
      <c r="AA32" s="285" t="s">
        <v>11</v>
      </c>
    </row>
    <row customHeight="1" ht="14.25">
      <c r="A33" s="186"/>
      <c r="B33" s="262" t="s">
        <v>6</v>
      </c>
      <c r="C33" s="263" t="s">
        <v>6</v>
      </c>
      <c r="D33" s="263" t="s">
        <v>6</v>
      </c>
      <c r="E33" s="264" t="s">
        <v>6</v>
      </c>
      <c r="F33" s="250" t="s">
        <v>79</v>
      </c>
      <c r="G33" s="265">
        <v>5808</v>
      </c>
      <c r="H33" s="266">
        <f>_xlfn.IFERROR(G33/C36*100,"")</f>
        <v>20.6899499850383</v>
      </c>
      <c r="I33" s="250" t="s">
        <v>11</v>
      </c>
      <c r="J33" s="200" t="s">
        <v>6</v>
      </c>
      <c r="K33" s="201"/>
      <c r="L33" s="203"/>
      <c r="M33" s="200"/>
      <c r="N33" s="234"/>
      <c r="O33" s="212" t="s">
        <v>29</v>
      </c>
      <c r="P33" s="261">
        <f>_xlfn.IFERROR(L29-SUM(P26,P27,P28,P29,P30,P31,P32),"")</f>
        <v>78</v>
      </c>
      <c r="Q33" s="209">
        <f>_xlfn.IFERROR(P33/L29*100,"")</f>
        <v>0.049380527611945</v>
      </c>
      <c r="R33" s="205" t="s">
        <v>11</v>
      </c>
      <c r="S33" s="200" t="s">
        <v>6</v>
      </c>
      <c r="T33" s="201" t="s">
        <v>6</v>
      </c>
      <c r="U33" s="201" t="s">
        <v>6</v>
      </c>
      <c r="V33" s="227" t="s">
        <v>6</v>
      </c>
      <c r="W33" s="204" t="s">
        <v>6</v>
      </c>
      <c r="X33" s="299" t="s">
        <v>80</v>
      </c>
      <c r="Y33" s="243">
        <v>6038</v>
      </c>
      <c r="Z33" s="286">
        <f>_xlfn.IFERROR(Y33/U35*100,"")</f>
        <v>15.0596099166958</v>
      </c>
      <c r="AA33" s="285" t="s">
        <v>11</v>
      </c>
    </row>
    <row customHeight="1" ht="14.25">
      <c r="A34" s="186"/>
      <c r="B34" s="262" t="s">
        <v>6</v>
      </c>
      <c r="C34" s="262" t="s">
        <v>6</v>
      </c>
      <c r="D34" s="263" t="s">
        <v>6</v>
      </c>
      <c r="E34" s="264" t="s">
        <v>6</v>
      </c>
      <c r="F34" s="250" t="s">
        <v>81</v>
      </c>
      <c r="G34" s="265">
        <v>0</v>
      </c>
      <c r="H34" s="266">
        <f>_xlfn.IFERROR(G34/C36*100,"")</f>
        <v>0</v>
      </c>
      <c r="I34" s="250" t="s">
        <v>11</v>
      </c>
      <c r="J34" s="200" t="s">
        <v>6</v>
      </c>
      <c r="K34" s="267"/>
      <c r="L34" s="267"/>
      <c r="M34" s="267"/>
      <c r="N34" s="267"/>
      <c r="O34" s="267"/>
      <c r="P34" s="268"/>
      <c r="Q34" s="268"/>
      <c r="R34" s="267"/>
      <c r="S34" s="200" t="s">
        <v>6</v>
      </c>
      <c r="T34" s="214" t="s">
        <v>82</v>
      </c>
      <c r="U34" s="215"/>
      <c r="V34" s="317" t="s">
        <v>6</v>
      </c>
      <c r="W34" s="217" t="s">
        <v>6</v>
      </c>
      <c r="X34" s="299" t="s">
        <v>83</v>
      </c>
      <c r="Y34" s="243">
        <v>3891</v>
      </c>
      <c r="Z34" s="286">
        <f>_xlfn.IFERROR(Y34/U35*100,"")</f>
        <v>9.70469396917245</v>
      </c>
      <c r="AA34" s="285" t="s">
        <v>11</v>
      </c>
    </row>
    <row customHeight="1" ht="14.25">
      <c r="A35" s="186"/>
      <c r="B35" s="272" t="s">
        <v>84</v>
      </c>
      <c r="C35" s="273"/>
      <c r="D35" s="274"/>
      <c r="E35" s="274" t="s">
        <v>6</v>
      </c>
      <c r="F35" s="250" t="s">
        <v>83</v>
      </c>
      <c r="G35" s="265">
        <v>3764</v>
      </c>
      <c r="H35" s="266">
        <f>_xlfn.IFERROR(G35/C36*100,"")</f>
        <v>13.4085695150971</v>
      </c>
      <c r="I35" s="250" t="s">
        <v>11</v>
      </c>
      <c r="J35" s="200"/>
      <c r="K35" s="267"/>
      <c r="L35" s="267"/>
      <c r="M35" s="267"/>
      <c r="N35" s="267"/>
      <c r="O35" s="267"/>
      <c r="P35" s="268"/>
      <c r="Q35" s="268"/>
      <c r="R35" s="267"/>
      <c r="S35" s="200"/>
      <c r="T35" s="218" t="s">
        <v>20</v>
      </c>
      <c r="U35" s="219">
        <v>40094</v>
      </c>
      <c r="V35" s="280" t="s">
        <v>6</v>
      </c>
      <c r="W35" s="221" t="s">
        <v>6</v>
      </c>
      <c r="X35" s="299" t="s">
        <v>35</v>
      </c>
      <c r="Y35" s="243">
        <v>1546</v>
      </c>
      <c r="Z35" s="286">
        <f>_xlfn.IFERROR(Y35/U35*100,"")</f>
        <v>3.85593854442061</v>
      </c>
      <c r="AA35" s="285" t="s">
        <v>11</v>
      </c>
    </row>
    <row customHeight="1" ht="14.25">
      <c r="A36" s="186"/>
      <c r="B36" s="278" t="s">
        <v>20</v>
      </c>
      <c r="C36" s="279">
        <v>28071.6</v>
      </c>
      <c r="D36" s="280" t="s">
        <v>6</v>
      </c>
      <c r="E36" s="280" t="s">
        <v>6</v>
      </c>
      <c r="F36" s="250" t="s">
        <v>28</v>
      </c>
      <c r="G36" s="265">
        <v>610</v>
      </c>
      <c r="H36" s="266">
        <f>_xlfn.IFERROR(G36/C36*100,"")</f>
        <v>2.17301471950298</v>
      </c>
      <c r="I36" s="250" t="s">
        <v>11</v>
      </c>
      <c r="J36" s="200"/>
      <c r="K36" s="214" t="s">
        <v>85</v>
      </c>
      <c r="L36" s="215"/>
      <c r="M36" s="227" t="s">
        <v>6</v>
      </c>
      <c r="N36" s="204" t="s">
        <v>6</v>
      </c>
      <c r="O36" s="205" t="s">
        <v>41</v>
      </c>
      <c r="P36" s="243">
        <v>12978</v>
      </c>
      <c r="Q36" s="251">
        <f>_xlfn.IFERROR(P36/L37*100,"")</f>
        <v>42.1049216494176</v>
      </c>
      <c r="R36" s="205" t="s">
        <v>11</v>
      </c>
      <c r="S36" s="200"/>
      <c r="T36" s="267"/>
      <c r="U36" s="267"/>
      <c r="V36" s="227" t="s">
        <v>6</v>
      </c>
      <c r="W36" s="318" t="s">
        <v>6</v>
      </c>
      <c r="X36" s="299" t="s">
        <v>86</v>
      </c>
      <c r="Y36" s="243">
        <v>5.6</v>
      </c>
      <c r="Z36" s="286">
        <f>_xlfn.IFERROR(Y36/U35*100,"")</f>
        <v>0.0139671771337357</v>
      </c>
      <c r="AA36" s="285" t="s">
        <v>11</v>
      </c>
    </row>
    <row customHeight="1" ht="14.25">
      <c r="A37" s="186"/>
      <c r="B37" s="301" t="s">
        <v>27</v>
      </c>
      <c r="C37" s="308">
        <v>5.6</v>
      </c>
      <c r="D37" s="263" t="s">
        <v>6</v>
      </c>
      <c r="E37" s="264" t="s">
        <v>6</v>
      </c>
      <c r="F37" s="250" t="s">
        <v>87</v>
      </c>
      <c r="G37" s="265">
        <v>0</v>
      </c>
      <c r="H37" s="266">
        <f>_xlfn.IFERROR(G37/C36*100,"")</f>
        <v>0</v>
      </c>
      <c r="I37" s="250" t="s">
        <v>11</v>
      </c>
      <c r="J37" s="200"/>
      <c r="K37" s="252" t="s">
        <v>20</v>
      </c>
      <c r="L37" s="253">
        <v>30823</v>
      </c>
      <c r="M37" s="216" t="s">
        <v>6</v>
      </c>
      <c r="N37" s="217" t="s">
        <v>6</v>
      </c>
      <c r="O37" s="205" t="s">
        <v>43</v>
      </c>
      <c r="P37" s="243">
        <v>17630</v>
      </c>
      <c r="Q37" s="251">
        <f>_xlfn.IFERROR(P37/L37*100,"")</f>
        <v>57.1975472861175</v>
      </c>
      <c r="R37" s="205" t="s">
        <v>11</v>
      </c>
      <c r="S37" s="200"/>
      <c r="T37" s="201" t="s">
        <v>6</v>
      </c>
      <c r="U37" s="200" t="s">
        <v>6</v>
      </c>
      <c r="V37" s="227" t="s">
        <v>6</v>
      </c>
      <c r="W37" s="264"/>
      <c r="X37" s="250" t="s">
        <v>88</v>
      </c>
      <c r="Y37" s="265">
        <v>98</v>
      </c>
      <c r="Z37" s="319">
        <f>_xlfn.IFERROR(Y37/U35*100,"")</f>
        <v>0.244425599840375</v>
      </c>
      <c r="AA37" s="320" t="s">
        <v>11</v>
      </c>
    </row>
    <row customHeight="1" ht="14.25">
      <c r="A38" s="186"/>
      <c r="B38" s="262" t="s">
        <v>6</v>
      </c>
      <c r="C38" s="263" t="s">
        <v>6</v>
      </c>
      <c r="D38" s="263" t="s">
        <v>6</v>
      </c>
      <c r="E38" s="264" t="s">
        <v>6</v>
      </c>
      <c r="F38" s="250" t="s">
        <v>29</v>
      </c>
      <c r="G38" s="294">
        <f>_xlfn.IFERROR(C36-SUM(G32,G33,G34,G35,G36,G37),"")</f>
        <v>279.599999999999</v>
      </c>
      <c r="H38" s="266">
        <f>_xlfn.IFERROR(G38/C36*100,"")</f>
        <v>0.99602445175907</v>
      </c>
      <c r="I38" s="250" t="s">
        <v>11</v>
      </c>
      <c r="J38" s="321"/>
      <c r="K38" s="230" t="s">
        <v>46</v>
      </c>
      <c r="L38" s="255">
        <v>4273</v>
      </c>
      <c r="M38" s="256" t="s">
        <v>6</v>
      </c>
      <c r="N38" s="257" t="s">
        <v>6</v>
      </c>
      <c r="O38" s="205" t="s">
        <v>47</v>
      </c>
      <c r="P38" s="243">
        <v>0</v>
      </c>
      <c r="Q38" s="251">
        <f>_xlfn.IFERROR(P38/L37*100,"")</f>
        <v>0</v>
      </c>
      <c r="R38" s="205" t="s">
        <v>11</v>
      </c>
      <c r="S38" s="321"/>
      <c r="T38" s="201" t="s">
        <v>6</v>
      </c>
      <c r="U38" s="200" t="s">
        <v>6</v>
      </c>
      <c r="V38" s="227" t="s">
        <v>6</v>
      </c>
      <c r="W38" s="204" t="s">
        <v>6</v>
      </c>
      <c r="X38" s="299" t="s">
        <v>87</v>
      </c>
      <c r="Y38" s="243">
        <v>0</v>
      </c>
      <c r="Z38" s="286">
        <f>_xlfn.IFERROR(Y38/U35*100,"")</f>
        <v>0</v>
      </c>
      <c r="AA38" s="285" t="s">
        <v>11</v>
      </c>
    </row>
    <row customHeight="1" ht="14.25">
      <c r="A39" s="186"/>
      <c r="B39" s="322"/>
      <c r="C39" s="322"/>
      <c r="D39" s="322"/>
      <c r="E39" s="322"/>
      <c r="F39" s="322"/>
      <c r="G39" s="322"/>
      <c r="H39" s="322"/>
      <c r="I39" s="322"/>
      <c r="J39" s="186"/>
      <c r="K39" s="247"/>
      <c r="L39" s="203"/>
      <c r="M39" s="227" t="s">
        <v>6</v>
      </c>
      <c r="N39" s="260" t="s">
        <v>6</v>
      </c>
      <c r="O39" s="205" t="s">
        <v>29</v>
      </c>
      <c r="P39" s="261">
        <f>_xlfn.IFERROR(L37-SUM(IF(P36="",0,P36),IF(P37="",0,P37),IF(P38="",0,P38)),"")</f>
        <v>215</v>
      </c>
      <c r="Q39" s="251">
        <f>_xlfn.IFERROR(P39/L37*100,"")</f>
        <v>0.697531064464848</v>
      </c>
      <c r="R39" s="205" t="s">
        <v>11</v>
      </c>
      <c r="S39" s="186"/>
      <c r="T39" s="322"/>
      <c r="U39" s="322"/>
      <c r="V39" s="323"/>
      <c r="W39" s="234" t="s">
        <v>6</v>
      </c>
      <c r="X39" s="299" t="s">
        <v>29</v>
      </c>
      <c r="Y39" s="261">
        <f>_xlfn.IFERROR(U35-SUM(Y31,Y32,Y33,Y34,Y35,Y36,Y37,Y38),"")</f>
        <v>447.400000000001</v>
      </c>
      <c r="Z39" s="286">
        <f>_xlfn.IFERROR(Y39/U35*100,"")</f>
        <v>1.11587768743453</v>
      </c>
      <c r="AA39" s="285" t="s">
        <v>11</v>
      </c>
    </row>
    <row customHeight="1" ht="14.25">
      <c r="A40" s="186"/>
      <c r="B40" s="324" t="s">
        <v>89</v>
      </c>
      <c r="C40" s="325"/>
      <c r="D40" s="326" t="s">
        <v>90</v>
      </c>
      <c r="E40" s="327"/>
      <c r="F40" s="324" t="s">
        <v>91</v>
      </c>
      <c r="G40" s="325"/>
      <c r="H40" s="326" t="s">
        <v>92</v>
      </c>
      <c r="I40" s="327"/>
      <c r="J40" s="186"/>
      <c r="K40" s="324" t="s">
        <v>93</v>
      </c>
      <c r="L40" s="325"/>
      <c r="M40" s="326" t="s">
        <v>94</v>
      </c>
      <c r="N40" s="327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</row>
  </sheetData>
  <mergeCells count="28">
    <mergeCell ref="D40:E40"/>
    <mergeCell ref="H40:I40"/>
    <mergeCell ref="M40:N40"/>
    <mergeCell ref="K36:L36"/>
    <mergeCell ref="K19:L19"/>
    <mergeCell ref="T21:U21"/>
    <mergeCell ref="K28:L28"/>
    <mergeCell ref="T26:U26"/>
    <mergeCell ref="K22:L22"/>
    <mergeCell ref="B20:C20"/>
    <mergeCell ref="B26:C26"/>
    <mergeCell ref="B35:C35"/>
    <mergeCell ref="T15:U15"/>
    <mergeCell ref="B2:AA2"/>
    <mergeCell ref="B3:F3"/>
    <mergeCell ref="X3:AA3"/>
    <mergeCell ref="T6:U6"/>
    <mergeCell ref="K7:L7"/>
    <mergeCell ref="B8:C8"/>
    <mergeCell ref="B9:C9"/>
    <mergeCell ref="K14:L14"/>
    <mergeCell ref="T14:U14"/>
    <mergeCell ref="O3:W3"/>
    <mergeCell ref="H3:J3"/>
    <mergeCell ref="T34:U34"/>
    <mergeCell ref="F40:G40"/>
    <mergeCell ref="B40:C40"/>
    <mergeCell ref="K40:L40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C4D108-D4F8-BD18-34BC-53FC904C66B8}" mc:Ignorable="x14ac xr xr2 xr3">
  <dimension ref="A1:Y55"/>
  <sheetViews>
    <sheetView defaultGridColor="0" colorId="31" topLeftCell="A22" workbookViewId="0">
      <selection activeCell="L55" sqref="L55"/>
    </sheetView>
  </sheetViews>
  <sheetFormatPr customHeight="1" defaultRowHeight="14.100000000000001"/>
  <sheetData>
    <row customHeight="1" ht="14.100000000000001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</row>
    <row customHeight="1" ht="14.25">
      <c r="A2" s="328" t="s">
        <v>95</v>
      </c>
      <c r="B2" s="328" t="s">
        <v>96</v>
      </c>
      <c r="C2" s="328" t="s">
        <v>97</v>
      </c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</row>
    <row customHeight="1" ht="14.10000000000000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customHeight="1" ht="14.10000000000000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</row>
    <row customHeight="1" ht="14.25">
      <c r="A5" s="186"/>
      <c r="B5" s="186"/>
      <c r="C5" s="186"/>
      <c r="D5" s="186"/>
      <c r="E5" s="186"/>
      <c r="F5" s="186"/>
      <c r="G5" s="186">
        <v>5629</v>
      </c>
      <c r="H5" s="186"/>
      <c r="I5" s="186"/>
      <c r="J5" s="186"/>
      <c r="K5" s="186"/>
      <c r="L5" s="186"/>
      <c r="M5" s="186"/>
      <c r="N5" s="186"/>
      <c r="O5" s="186"/>
      <c r="P5" s="186">
        <v>70650</v>
      </c>
      <c r="Q5" s="186"/>
      <c r="R5" s="186"/>
      <c r="S5" s="186"/>
      <c r="T5" s="186"/>
      <c r="U5" s="186"/>
      <c r="V5" s="186"/>
      <c r="W5" s="186"/>
      <c r="X5" s="186"/>
      <c r="Y5" s="186">
        <v>4500</v>
      </c>
    </row>
    <row customHeight="1" ht="14.25">
      <c r="A6" s="186"/>
      <c r="B6" s="186"/>
      <c r="C6" s="186"/>
      <c r="D6" s="186"/>
      <c r="E6" s="186"/>
      <c r="F6" s="186"/>
      <c r="G6" s="186">
        <v>70597</v>
      </c>
      <c r="H6" s="186"/>
      <c r="I6" s="186"/>
      <c r="J6" s="186"/>
      <c r="K6" s="186"/>
      <c r="L6" s="186"/>
      <c r="M6" s="186"/>
      <c r="N6" s="186"/>
      <c r="O6" s="186"/>
      <c r="P6" s="186">
        <v>9041</v>
      </c>
      <c r="Q6" s="186"/>
      <c r="R6" s="186"/>
      <c r="S6" s="186"/>
      <c r="T6" s="186"/>
      <c r="U6" s="186"/>
      <c r="V6" s="186"/>
      <c r="W6" s="186"/>
      <c r="X6" s="186"/>
      <c r="Y6" s="186">
        <v>10247</v>
      </c>
    </row>
    <row customHeight="1" ht="14.25">
      <c r="A7" s="186"/>
      <c r="B7" s="186"/>
      <c r="C7" s="186"/>
      <c r="D7" s="186"/>
      <c r="E7" s="186"/>
      <c r="F7" s="186"/>
      <c r="G7" s="186">
        <v>20006</v>
      </c>
      <c r="H7" s="186"/>
      <c r="I7" s="186"/>
      <c r="J7" s="186"/>
      <c r="K7" s="186"/>
      <c r="L7" s="186"/>
      <c r="M7" s="186"/>
      <c r="N7" s="186"/>
      <c r="O7" s="186"/>
      <c r="P7" s="186">
        <v>2701</v>
      </c>
      <c r="Q7" s="186"/>
      <c r="R7" s="186"/>
      <c r="S7" s="186"/>
      <c r="T7" s="186"/>
      <c r="U7" s="186">
        <v>14825</v>
      </c>
      <c r="V7" s="186"/>
      <c r="W7" s="186"/>
      <c r="X7" s="186"/>
      <c r="Y7" s="186">
        <v>0</v>
      </c>
    </row>
    <row customHeight="1" ht="14.25">
      <c r="A8" s="186"/>
      <c r="B8" s="186"/>
      <c r="C8" s="186"/>
      <c r="D8" s="186"/>
      <c r="E8" s="186"/>
      <c r="F8" s="186"/>
      <c r="G8" s="186">
        <v>0</v>
      </c>
      <c r="H8" s="186"/>
      <c r="I8" s="186"/>
      <c r="J8" s="186"/>
      <c r="K8" s="186">
        <v>80592</v>
      </c>
      <c r="L8" s="186"/>
      <c r="M8" s="186"/>
      <c r="N8" s="186"/>
      <c r="O8" s="186"/>
      <c r="P8" s="186">
        <v>100</v>
      </c>
      <c r="Q8" s="186"/>
      <c r="R8" s="186"/>
      <c r="S8" s="186"/>
      <c r="T8" s="186"/>
      <c r="U8" s="186"/>
      <c r="V8" s="186"/>
      <c r="W8" s="186"/>
      <c r="X8" s="186"/>
      <c r="Y8" s="186">
        <v>0</v>
      </c>
    </row>
    <row customHeight="1" ht="14.25">
      <c r="A9" s="186"/>
      <c r="B9" s="186"/>
      <c r="C9" s="186"/>
      <c r="D9" s="186"/>
      <c r="E9" s="186"/>
      <c r="F9" s="186"/>
      <c r="G9" s="186">
        <v>14825</v>
      </c>
      <c r="H9" s="186"/>
      <c r="I9" s="186"/>
      <c r="J9" s="186"/>
      <c r="K9" s="186">
        <v>428</v>
      </c>
      <c r="L9" s="186">
        <f>_xlfn.IFERROR(K10,"")</f>
        <v>1623</v>
      </c>
      <c r="M9" s="186"/>
      <c r="N9" s="186"/>
      <c r="O9" s="186"/>
      <c r="P9" s="186">
        <v>103</v>
      </c>
      <c r="Q9" s="186"/>
      <c r="R9" s="186"/>
      <c r="S9" s="186"/>
      <c r="T9" s="186"/>
      <c r="U9" s="186"/>
      <c r="V9" s="186"/>
      <c r="W9" s="186"/>
      <c r="X9" s="186"/>
      <c r="Y9" s="186"/>
    </row>
    <row customHeight="1" ht="14.25">
      <c r="A10" s="186"/>
      <c r="B10" s="186">
        <v>119408</v>
      </c>
      <c r="C10" s="186"/>
      <c r="D10" s="186"/>
      <c r="E10" s="186"/>
      <c r="F10" s="186"/>
      <c r="G10" s="186">
        <v>3935</v>
      </c>
      <c r="H10" s="186"/>
      <c r="I10" s="186"/>
      <c r="J10" s="186"/>
      <c r="K10" s="186">
        <v>1623</v>
      </c>
      <c r="L10" s="186"/>
      <c r="M10" s="186"/>
      <c r="N10" s="186"/>
      <c r="O10" s="186"/>
      <c r="P10" s="186">
        <v>0</v>
      </c>
      <c r="Q10" s="186"/>
      <c r="R10" s="186"/>
      <c r="S10" s="186"/>
      <c r="T10" s="186"/>
      <c r="U10" s="186"/>
      <c r="V10" s="186"/>
      <c r="W10" s="186"/>
      <c r="X10" s="186"/>
      <c r="Y10" s="186"/>
    </row>
    <row customHeight="1" ht="14.25">
      <c r="A11" s="186"/>
      <c r="B11" s="186"/>
      <c r="C11" s="186"/>
      <c r="D11" s="186"/>
      <c r="E11" s="186"/>
      <c r="F11" s="186"/>
      <c r="G11" s="186">
        <v>424</v>
      </c>
      <c r="H11" s="186"/>
      <c r="I11" s="186"/>
      <c r="J11" s="186"/>
      <c r="K11" s="186"/>
      <c r="L11" s="186"/>
      <c r="M11" s="186"/>
      <c r="N11" s="186"/>
      <c r="O11" s="186"/>
      <c r="P11" s="186">
        <v>20</v>
      </c>
      <c r="Q11" s="186"/>
      <c r="R11" s="186"/>
      <c r="S11" s="186"/>
      <c r="T11" s="186"/>
      <c r="U11" s="186"/>
      <c r="V11" s="186"/>
      <c r="W11" s="186"/>
      <c r="X11" s="186"/>
      <c r="Y11" s="186">
        <v>16661</v>
      </c>
    </row>
    <row customHeight="1" ht="14.25">
      <c r="A12" s="186"/>
      <c r="B12" s="186"/>
      <c r="C12" s="186"/>
      <c r="D12" s="186"/>
      <c r="E12" s="186"/>
      <c r="F12" s="186"/>
      <c r="G12" s="186">
        <v>3607</v>
      </c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>
        <v>0</v>
      </c>
    </row>
    <row customHeight="1" ht="14.25">
      <c r="A13" s="186"/>
      <c r="B13" s="186"/>
      <c r="C13" s="186"/>
      <c r="D13" s="186"/>
      <c r="E13" s="186"/>
      <c r="F13" s="186"/>
      <c r="G13" s="186">
        <v>0</v>
      </c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>
        <v>300</v>
      </c>
    </row>
    <row s="329" customFormat="1" customHeight="1" ht="14.25">
      <c r="A14" s="330"/>
      <c r="B14" s="330"/>
      <c r="C14" s="330"/>
      <c r="D14" s="330"/>
      <c r="E14" s="330"/>
      <c r="F14" s="330"/>
      <c r="G14" s="331">
        <v>2</v>
      </c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1">
        <v>300</v>
      </c>
    </row>
    <row customHeight="1" ht="14.25">
      <c r="A15" s="186"/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>
        <v>6044</v>
      </c>
      <c r="Q15" s="186"/>
      <c r="R15" s="186"/>
      <c r="S15" s="186"/>
      <c r="T15" s="186"/>
      <c r="U15" s="186"/>
      <c r="V15" s="186"/>
      <c r="W15" s="186"/>
      <c r="X15" s="186"/>
      <c r="Y15" s="186">
        <v>0</v>
      </c>
    </row>
    <row customHeight="1" ht="14.25">
      <c r="A16" s="186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>
        <v>30618</v>
      </c>
      <c r="M16" s="186"/>
      <c r="N16" s="186"/>
      <c r="O16" s="186"/>
      <c r="P16" s="186">
        <v>26643</v>
      </c>
      <c r="Q16" s="186"/>
      <c r="R16" s="186"/>
      <c r="S16" s="186"/>
      <c r="T16" s="186"/>
      <c r="U16" s="186"/>
      <c r="V16" s="186"/>
      <c r="W16" s="186"/>
      <c r="X16" s="186"/>
      <c r="Y16" s="186">
        <v>0</v>
      </c>
    </row>
    <row customHeight="1" ht="14.25">
      <c r="A17" s="186"/>
      <c r="B17" s="186"/>
      <c r="C17" s="186"/>
      <c r="D17" s="186"/>
      <c r="E17" s="186"/>
      <c r="F17" s="186"/>
      <c r="G17" s="186">
        <v>869</v>
      </c>
      <c r="H17" s="186"/>
      <c r="I17" s="186"/>
      <c r="J17" s="186"/>
      <c r="K17" s="186"/>
      <c r="L17" s="186">
        <v>2159</v>
      </c>
      <c r="M17" s="186"/>
      <c r="N17" s="186"/>
      <c r="O17" s="186"/>
      <c r="P17" s="186">
        <v>0</v>
      </c>
      <c r="Q17" s="186"/>
      <c r="R17" s="186"/>
      <c r="S17" s="186"/>
      <c r="T17" s="186"/>
      <c r="U17" s="186">
        <v>17542</v>
      </c>
      <c r="V17" s="186"/>
      <c r="W17" s="186"/>
      <c r="X17" s="186"/>
      <c r="Y17" s="186">
        <v>0</v>
      </c>
    </row>
    <row customHeight="1" ht="14.25">
      <c r="A18" s="186"/>
      <c r="B18" s="186"/>
      <c r="C18" s="186"/>
      <c r="D18" s="186"/>
      <c r="E18" s="186"/>
      <c r="F18" s="186"/>
      <c r="G18" s="186">
        <v>14420</v>
      </c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>
        <v>0</v>
      </c>
    </row>
    <row customHeight="1" ht="14.25">
      <c r="A19" s="186"/>
      <c r="B19" s="186"/>
      <c r="C19" s="186"/>
      <c r="D19" s="186"/>
      <c r="E19" s="186"/>
      <c r="F19" s="186"/>
      <c r="G19" s="186">
        <v>709</v>
      </c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>
        <v>398</v>
      </c>
    </row>
    <row customHeight="1" ht="14.25">
      <c r="A20" s="186"/>
      <c r="B20" s="186"/>
      <c r="C20" s="186"/>
      <c r="D20" s="186"/>
      <c r="E20" s="186"/>
      <c r="F20" s="186"/>
      <c r="G20" s="186">
        <v>6645</v>
      </c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</row>
    <row customHeight="1" ht="14.25">
      <c r="A21" s="186"/>
      <c r="B21" s="186">
        <v>53278</v>
      </c>
      <c r="C21" s="186"/>
      <c r="D21" s="186"/>
      <c r="E21" s="186"/>
      <c r="F21" s="186"/>
      <c r="G21" s="186">
        <v>30471</v>
      </c>
      <c r="H21" s="186"/>
      <c r="I21" s="186"/>
      <c r="J21" s="186"/>
      <c r="K21" s="186"/>
      <c r="L21" s="186"/>
      <c r="M21" s="186"/>
      <c r="N21" s="186"/>
      <c r="O21" s="186"/>
      <c r="P21" s="186">
        <v>349</v>
      </c>
      <c r="Q21" s="186"/>
      <c r="R21" s="186"/>
      <c r="S21" s="186"/>
      <c r="T21" s="186"/>
      <c r="U21" s="186"/>
      <c r="V21" s="186"/>
      <c r="W21" s="186"/>
      <c r="X21" s="186"/>
      <c r="Y21" s="186"/>
    </row>
    <row customHeight="1" ht="14.25">
      <c r="A22" s="186"/>
      <c r="B22" s="186">
        <v>0</v>
      </c>
      <c r="C22" s="186"/>
      <c r="D22" s="186"/>
      <c r="E22" s="186"/>
      <c r="F22" s="186"/>
      <c r="G22" s="186">
        <v>0</v>
      </c>
      <c r="H22" s="186"/>
      <c r="I22" s="186"/>
      <c r="J22" s="186"/>
      <c r="K22" s="186"/>
      <c r="L22" s="186">
        <v>1396</v>
      </c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>
        <v>53692</v>
      </c>
    </row>
    <row customHeight="1" ht="14.25">
      <c r="A23" s="186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>
        <v>51005</v>
      </c>
      <c r="V23" s="186"/>
      <c r="W23" s="186"/>
      <c r="X23" s="186"/>
      <c r="Y23" s="186">
        <v>0</v>
      </c>
    </row>
    <row customHeight="1" ht="14.25">
      <c r="A24" s="186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>
        <v>2701</v>
      </c>
      <c r="V24" s="186"/>
      <c r="W24" s="186"/>
      <c r="X24" s="186"/>
      <c r="Y24" s="186">
        <v>0</v>
      </c>
    </row>
    <row customHeight="1" ht="14.25">
      <c r="A25" s="186"/>
      <c r="B25" s="186"/>
      <c r="C25" s="186"/>
      <c r="D25" s="186"/>
      <c r="E25" s="186"/>
      <c r="F25" s="186"/>
      <c r="G25" s="186">
        <v>119646</v>
      </c>
      <c r="H25" s="186"/>
      <c r="I25" s="186"/>
      <c r="J25" s="186"/>
      <c r="K25" s="186"/>
      <c r="L25" s="186"/>
      <c r="M25" s="186"/>
      <c r="N25" s="186"/>
      <c r="O25" s="186"/>
      <c r="P25" s="186">
        <v>146710</v>
      </c>
      <c r="Q25" s="186"/>
      <c r="R25" s="186"/>
      <c r="S25" s="186"/>
      <c r="T25" s="186"/>
      <c r="U25" s="186"/>
      <c r="V25" s="186"/>
      <c r="W25" s="186"/>
      <c r="X25" s="186"/>
      <c r="Y25" s="186"/>
    </row>
    <row customHeight="1" ht="14.25">
      <c r="A26" s="186"/>
      <c r="B26" s="186"/>
      <c r="C26" s="186"/>
      <c r="D26" s="186"/>
      <c r="E26" s="186"/>
      <c r="F26" s="186"/>
      <c r="G26" s="186">
        <v>1723</v>
      </c>
      <c r="H26" s="186"/>
      <c r="I26" s="186"/>
      <c r="J26" s="186"/>
      <c r="K26" s="186"/>
      <c r="L26" s="186"/>
      <c r="M26" s="186"/>
      <c r="N26" s="186"/>
      <c r="O26" s="186"/>
      <c r="P26" s="186">
        <v>7620</v>
      </c>
      <c r="Q26" s="186"/>
      <c r="R26" s="186"/>
      <c r="S26" s="186"/>
      <c r="T26" s="186"/>
      <c r="U26" s="186"/>
      <c r="V26" s="186"/>
      <c r="W26" s="186"/>
      <c r="X26" s="186"/>
      <c r="Y26" s="186"/>
    </row>
    <row customHeight="1" ht="14.25">
      <c r="A27" s="186"/>
      <c r="B27" s="186"/>
      <c r="C27" s="186">
        <v>120938</v>
      </c>
      <c r="D27" s="186"/>
      <c r="E27" s="186"/>
      <c r="F27" s="186"/>
      <c r="G27" s="186">
        <v>0</v>
      </c>
      <c r="H27" s="186"/>
      <c r="I27" s="186"/>
      <c r="J27" s="186"/>
      <c r="K27" s="186"/>
      <c r="L27" s="186"/>
      <c r="M27" s="186"/>
      <c r="N27" s="186"/>
      <c r="O27" s="186"/>
      <c r="P27" s="186">
        <v>1623</v>
      </c>
      <c r="Q27" s="186"/>
      <c r="R27" s="186"/>
      <c r="S27" s="186"/>
      <c r="T27" s="186"/>
      <c r="U27" s="186"/>
      <c r="V27" s="186"/>
      <c r="W27" s="186"/>
      <c r="X27" s="186"/>
      <c r="Y27" s="186">
        <v>127</v>
      </c>
    </row>
    <row customHeight="1" ht="14.25">
      <c r="A28" s="186"/>
      <c r="B28" s="186"/>
      <c r="C28" s="186">
        <v>461</v>
      </c>
      <c r="D28" s="186"/>
      <c r="E28" s="186"/>
      <c r="F28" s="186"/>
      <c r="G28" s="186">
        <v>11</v>
      </c>
      <c r="H28" s="186"/>
      <c r="I28" s="186"/>
      <c r="J28" s="186"/>
      <c r="K28" s="186"/>
      <c r="L28" s="186">
        <v>157594</v>
      </c>
      <c r="M28" s="186"/>
      <c r="N28" s="186"/>
      <c r="O28" s="186"/>
      <c r="P28" s="186">
        <v>995</v>
      </c>
      <c r="Q28" s="186"/>
      <c r="R28" s="186"/>
      <c r="S28" s="186"/>
      <c r="T28" s="186"/>
      <c r="U28" s="186">
        <v>220</v>
      </c>
      <c r="V28" s="186"/>
      <c r="W28" s="186"/>
      <c r="X28" s="186"/>
      <c r="Y28" s="186"/>
    </row>
    <row customHeight="1" ht="14.25">
      <c r="A29" s="186"/>
      <c r="B29" s="186"/>
      <c r="C29" s="186">
        <v>202</v>
      </c>
      <c r="D29" s="186"/>
      <c r="E29" s="186"/>
      <c r="F29" s="186"/>
      <c r="G29" s="186"/>
      <c r="H29" s="186"/>
      <c r="I29" s="186"/>
      <c r="J29" s="186"/>
      <c r="K29" s="186"/>
      <c r="L29" s="186">
        <v>363</v>
      </c>
      <c r="M29" s="186"/>
      <c r="N29" s="186"/>
      <c r="O29" s="186"/>
      <c r="P29" s="186">
        <v>324</v>
      </c>
      <c r="Q29" s="186"/>
      <c r="R29" s="186"/>
      <c r="S29" s="186"/>
      <c r="T29" s="186"/>
      <c r="U29" s="186"/>
      <c r="V29" s="186"/>
      <c r="W29" s="186"/>
      <c r="X29" s="186"/>
      <c r="Y29" s="186"/>
    </row>
    <row customHeight="1" ht="14.25">
      <c r="A30" s="186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>
        <v>0</v>
      </c>
      <c r="Q30" s="186"/>
      <c r="R30" s="186"/>
      <c r="S30" s="186"/>
      <c r="T30" s="186"/>
      <c r="U30" s="186"/>
      <c r="V30" s="186"/>
      <c r="W30" s="186"/>
      <c r="X30" s="186"/>
      <c r="Y30" s="186"/>
    </row>
    <row customHeight="1" ht="14.25">
      <c r="A31" s="186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>
        <v>607</v>
      </c>
      <c r="Q31" s="186"/>
      <c r="R31" s="186"/>
      <c r="S31" s="186"/>
      <c r="T31" s="186"/>
      <c r="U31" s="186"/>
      <c r="V31" s="186"/>
      <c r="W31" s="186"/>
      <c r="X31" s="186"/>
      <c r="Y31" s="186">
        <v>7879</v>
      </c>
    </row>
    <row customHeight="1" ht="14.25">
      <c r="A32" s="186"/>
      <c r="B32" s="186"/>
      <c r="C32" s="186"/>
      <c r="D32" s="186"/>
      <c r="E32" s="186"/>
      <c r="F32" s="186"/>
      <c r="G32" s="186">
        <v>17610</v>
      </c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>
        <v>20189</v>
      </c>
    </row>
    <row customHeight="1" ht="14.25">
      <c r="A33" s="186"/>
      <c r="B33" s="186"/>
      <c r="C33" s="186"/>
      <c r="D33" s="186"/>
      <c r="E33" s="186"/>
      <c r="F33" s="186"/>
      <c r="G33" s="186">
        <v>5808</v>
      </c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>
        <v>6038</v>
      </c>
    </row>
    <row customHeight="1" ht="14.25">
      <c r="A34" s="186"/>
      <c r="B34" s="186"/>
      <c r="C34" s="186">
        <v>0</v>
      </c>
      <c r="D34" s="186"/>
      <c r="E34" s="186"/>
      <c r="F34" s="186"/>
      <c r="G34" s="186">
        <v>0</v>
      </c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>
        <v>3891</v>
      </c>
    </row>
    <row customHeight="1" ht="14.25">
      <c r="A35" s="186"/>
      <c r="B35" s="186"/>
      <c r="C35" s="186">
        <v>0</v>
      </c>
      <c r="D35" s="186"/>
      <c r="E35" s="186"/>
      <c r="F35" s="186"/>
      <c r="G35" s="186">
        <v>3764</v>
      </c>
      <c r="H35" s="186"/>
      <c r="I35" s="186"/>
      <c r="J35" s="186"/>
      <c r="K35" s="186"/>
      <c r="L35" s="186"/>
      <c r="M35" s="186"/>
      <c r="N35" s="186"/>
      <c r="O35" s="186"/>
      <c r="P35" s="186">
        <v>12978</v>
      </c>
      <c r="Q35" s="186"/>
      <c r="R35" s="186"/>
      <c r="S35" s="186"/>
      <c r="T35" s="186"/>
      <c r="U35" s="186">
        <v>7159</v>
      </c>
      <c r="V35" s="186"/>
      <c r="W35" s="186"/>
      <c r="X35" s="186"/>
      <c r="Y35" s="186">
        <v>1546</v>
      </c>
    </row>
    <row customHeight="1" ht="14.25">
      <c r="A36" s="186"/>
      <c r="B36" s="186"/>
      <c r="C36" s="186">
        <v>28066</v>
      </c>
      <c r="D36" s="186"/>
      <c r="E36" s="186"/>
      <c r="F36" s="186"/>
      <c r="G36" s="186">
        <v>610</v>
      </c>
      <c r="H36" s="186"/>
      <c r="I36" s="186"/>
      <c r="J36" s="186"/>
      <c r="K36" s="186"/>
      <c r="L36" s="186">
        <v>20512</v>
      </c>
      <c r="M36" s="186"/>
      <c r="N36" s="186"/>
      <c r="O36" s="186"/>
      <c r="P36" s="186">
        <v>17630</v>
      </c>
      <c r="Q36" s="186"/>
      <c r="R36" s="186"/>
      <c r="S36" s="186"/>
      <c r="T36" s="186"/>
      <c r="U36" s="186">
        <v>6354</v>
      </c>
      <c r="V36" s="186"/>
      <c r="W36" s="186"/>
      <c r="X36" s="186"/>
      <c r="Y36" s="186">
        <v>5.6</v>
      </c>
    </row>
    <row customHeight="1" ht="14.25">
      <c r="A37" s="186"/>
      <c r="B37" s="186"/>
      <c r="C37" s="186">
        <v>5.6</v>
      </c>
      <c r="D37" s="186"/>
      <c r="E37" s="186"/>
      <c r="F37" s="186"/>
      <c r="G37" s="186">
        <v>0</v>
      </c>
      <c r="H37" s="186"/>
      <c r="I37" s="186"/>
      <c r="J37" s="186"/>
      <c r="K37" s="186"/>
      <c r="L37" s="186">
        <v>0</v>
      </c>
      <c r="M37" s="186"/>
      <c r="N37" s="186"/>
      <c r="O37" s="186"/>
      <c r="P37" s="186">
        <v>0</v>
      </c>
      <c r="Q37" s="186"/>
      <c r="R37" s="186"/>
      <c r="S37" s="186"/>
      <c r="T37" s="186"/>
      <c r="U37" s="186">
        <v>8951</v>
      </c>
      <c r="V37" s="186"/>
      <c r="W37" s="186"/>
      <c r="X37" s="186"/>
      <c r="Y37" s="186">
        <v>0</v>
      </c>
    </row>
    <row customHeight="1" ht="14.25">
      <c r="A38" s="186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>
        <v>4273</v>
      </c>
      <c r="M38" s="186"/>
      <c r="N38" s="186"/>
      <c r="O38" s="186"/>
      <c r="P38" s="186"/>
      <c r="Q38" s="186"/>
      <c r="R38" s="186"/>
      <c r="S38" s="186"/>
      <c r="T38" s="186"/>
      <c r="U38" s="186">
        <v>17630</v>
      </c>
      <c r="V38" s="186"/>
      <c r="W38" s="186"/>
      <c r="X38" s="186"/>
      <c r="Y38" s="186">
        <v>98</v>
      </c>
    </row>
    <row customHeight="1" ht="14.25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>
        <v>6038</v>
      </c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</row>
    <row customHeight="1" ht="14.100000000000001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</row>
    <row customHeight="1" ht="14.100000000000001">
      <c r="A41" s="186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</row>
    <row customHeight="1" ht="14.100000000000001">
      <c r="A42" s="186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</row>
    <row customHeight="1" ht="14.25">
      <c r="A43" s="186"/>
      <c r="B43" s="186"/>
      <c r="C43" s="214" t="s">
        <v>70</v>
      </c>
      <c r="D43" s="215"/>
      <c r="E43" s="332" t="s">
        <v>6</v>
      </c>
      <c r="F43" s="333" t="s">
        <v>6</v>
      </c>
      <c r="G43" s="290" t="s">
        <v>71</v>
      </c>
      <c r="H43" s="186"/>
      <c r="I43" s="304" t="str">
        <f>_xlfn.IFERROR(H43/D44*100,"")</f>
        <v/>
      </c>
      <c r="J43" s="305" t="s">
        <v>11</v>
      </c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</row>
    <row customHeight="1" ht="14.25">
      <c r="A44" s="186"/>
      <c r="B44" s="186"/>
      <c r="C44" s="295" t="s">
        <v>20</v>
      </c>
      <c r="D44" s="186"/>
      <c r="E44" s="334" t="s">
        <v>6</v>
      </c>
      <c r="F44" s="305" t="s">
        <v>6</v>
      </c>
      <c r="G44" s="290" t="s">
        <v>64</v>
      </c>
      <c r="H44" s="186"/>
      <c r="I44" s="304" t="str">
        <f>_xlfn.IFERROR(H44/D44*100,"")</f>
        <v/>
      </c>
      <c r="J44" s="305" t="s">
        <v>11</v>
      </c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</row>
    <row customHeight="1" ht="14.25">
      <c r="A45" s="186"/>
      <c r="B45" s="186"/>
      <c r="C45" s="266" t="s">
        <v>75</v>
      </c>
      <c r="D45" s="186"/>
      <c r="E45" s="313"/>
      <c r="F45" s="305"/>
      <c r="G45" s="290" t="s">
        <v>29</v>
      </c>
      <c r="H45" s="310"/>
      <c r="I45" s="304"/>
      <c r="J45" s="305" t="s">
        <v>11</v>
      </c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</row>
    <row customHeight="1" ht="14.25">
      <c r="A46" s="186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</row>
    <row customHeight="1" ht="14.25">
      <c r="A47" s="186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</row>
    <row customHeight="1" ht="14.100000000000001">
      <c r="A48" s="186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</row>
    <row customHeight="1" ht="14.100000000000001">
      <c r="A49" s="186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</row>
    <row customHeight="1" ht="14.100000000000001">
      <c r="A50" s="186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</row>
    <row customHeight="1" ht="14.100000000000001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</row>
    <row customHeight="1" ht="14.100000000000001">
      <c r="A52" s="186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</row>
    <row customHeight="1" ht="14.25">
      <c r="A53" s="335">
        <v>0</v>
      </c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</row>
    <row customHeight="1" ht="14.25">
      <c r="A54" s="335">
        <v>0</v>
      </c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</row>
    <row customHeight="1" ht="14.25">
      <c r="A55" s="335">
        <v>0</v>
      </c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</row>
  </sheetData>
  <mergeCells count="1">
    <mergeCell ref="C43:D43"/>
  </mergeCells>
  <conditionalFormatting sqref="L16:L17 P15:P18">
    <cfRule type="duplicateValues" dxfId="0" priority="1">
      <formula>AND(COUNTIF($L$16:$L$17,L16)&gt;1,NOT(ISBLANK(L16)))</formula>
    </cfRule>
  </conditionalFormatting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生产装置工艺流程图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2024-01-07T07:26:39Z</dcterms:modified>
</cp:coreProperties>
</file>