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装置生产流程表" sheetId="1" r:id="rId2"/>
    <sheet name="公式" sheetId="2" state="hidden" r:id="rId3"/>
    <sheet name="取值" sheetId="3" state="hidden" r:id="rId4"/>
    <sheet name="Sheet2" sheetId="4" state="hidden" r:id="rId5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D6" authorId="0">
      <text>
        <r>
          <rPr>
            <sz val="9"/>
            <color indexed="81"/>
            <rFont val="宋体"/>
            <family val="2"/>
          </rPr>
          <t>#Input("榆炼_装置生产流程表_500万吨常压装置_原油加工量",":key{{dw}}")</t>
        </r>
      </text>
    </comment>
    <comment ref="N6" authorId="0">
      <text>
        <r>
          <rPr>
            <sz val="9"/>
            <color indexed="81"/>
            <rFont val="宋体"/>
            <family val="2"/>
          </rPr>
          <t>#Input("榆炼_装置生产流程表_100万吨重整装置_加工量",":key{{dw}}")</t>
        </r>
      </text>
    </comment>
    <comment ref="D7" authorId="0">
      <text>
        <r>
          <rPr>
            <sz val="9"/>
            <color indexed="81"/>
            <rFont val="宋体"/>
            <family val="2"/>
          </rPr>
          <t>#Input("榆炼_装置生产流程表_500万吨常压装置_石脑油Ⅰ",":key{{dw}}")</t>
        </r>
      </text>
    </comment>
    <comment ref="N7" authorId="0">
      <text>
        <r>
          <rPr>
            <sz val="9"/>
            <color indexed="81"/>
            <rFont val="宋体"/>
            <family val="2"/>
          </rPr>
          <t>#Input("榆炼_装置生产流程表_100万吨重整装置_重整汽油",":key{{dw}}")</t>
        </r>
      </text>
    </comment>
    <comment ref="D8" authorId="0">
      <text>
        <r>
          <rPr>
            <sz val="9"/>
            <color indexed="81"/>
            <rFont val="宋体"/>
            <family val="2"/>
          </rPr>
          <t>#Input("榆炼_装置生产流程表_500万吨常压装置_常一线",":key{{dw}}")</t>
        </r>
      </text>
    </comment>
    <comment ref="N8" authorId="0">
      <text>
        <r>
          <rPr>
            <sz val="9"/>
            <color indexed="81"/>
            <rFont val="宋体"/>
            <family val="2"/>
          </rPr>
          <t>#Input("榆炼_装置生产流程表_100万吨重整装置_二甲苯塔底油",":key{{dw}}")</t>
        </r>
      </text>
    </comment>
    <comment ref="D9" authorId="0">
      <text>
        <r>
          <rPr>
            <sz val="9"/>
            <color indexed="81"/>
            <rFont val="宋体"/>
            <family val="2"/>
          </rPr>
          <t>#Input("榆炼_装置生产流程表_500万吨常压装置_常二线",":key{{dw}}")</t>
        </r>
      </text>
    </comment>
    <comment ref="N9" authorId="0">
      <text>
        <r>
          <rPr>
            <sz val="9"/>
            <color indexed="81"/>
            <rFont val="宋体"/>
            <family val="2"/>
          </rPr>
          <t>#Input("榆炼_装置生产流程表_100万吨重整装置_C6馏分油",":key{{dw}}")</t>
        </r>
      </text>
    </comment>
    <comment ref="D10" authorId="0">
      <text>
        <r>
          <rPr>
            <sz val="9"/>
            <color indexed="81"/>
            <rFont val="宋体"/>
            <family val="2"/>
          </rPr>
          <t>#Input("榆炼_装置生产流程表_500万吨常压装置_常三线",":key{{dw}}")</t>
        </r>
      </text>
    </comment>
    <comment ref="N10" authorId="0">
      <text>
        <r>
          <rPr>
            <sz val="9"/>
            <color indexed="81"/>
            <rFont val="宋体"/>
            <family val="2"/>
          </rPr>
          <t>#Input("榆炼_装置生产流程表_100万吨重整装置_饱和液化气",":key{{dw}}")</t>
        </r>
      </text>
    </comment>
    <comment ref="D11" authorId="0">
      <text>
        <r>
          <rPr>
            <sz val="9"/>
            <color indexed="81"/>
            <rFont val="宋体"/>
            <family val="2"/>
          </rPr>
          <t>#Input("榆炼_装置生产流程表_500万吨常压装置_混柴",":key{{dw}}")</t>
        </r>
      </text>
    </comment>
    <comment ref="N11" authorId="0">
      <text>
        <r>
          <rPr>
            <sz val="9"/>
            <color indexed="81"/>
            <rFont val="宋体"/>
            <family val="2"/>
          </rPr>
          <t>#Input("榆炼_装置生产流程表_100万吨重整装置_二甲苯",":key{{dw}}")</t>
        </r>
      </text>
    </comment>
    <comment ref="D12" authorId="0">
      <text>
        <r>
          <rPr>
            <sz val="9"/>
            <color indexed="81"/>
            <rFont val="宋体"/>
            <family val="2"/>
          </rPr>
          <t>#Input("榆炼_装置生产流程表_500万吨常压装置_饱和液化气",":key{{dw}}")</t>
        </r>
      </text>
    </comment>
    <comment ref="N12" authorId="0">
      <text>
        <r>
          <rPr>
            <sz val="9"/>
            <color indexed="81"/>
            <rFont val="宋体"/>
            <family val="2"/>
          </rPr>
          <t>#Input("榆炼_装置生产流程表_100万吨重整装置_燃料气",":key{{dw}}")</t>
        </r>
      </text>
    </comment>
    <comment ref="D13" authorId="0">
      <text>
        <r>
          <rPr>
            <sz val="9"/>
            <color indexed="81"/>
            <rFont val="宋体"/>
            <family val="2"/>
          </rPr>
          <t>#Input("榆炼_装置生产流程表_500万吨常压装置_渣油",":key{{dw}}")</t>
        </r>
      </text>
    </comment>
    <comment ref="N13" authorId="0">
      <text>
        <r>
          <rPr>
            <sz val="9"/>
            <color indexed="81"/>
            <rFont val="宋体"/>
            <family val="2"/>
          </rPr>
          <t>#Input("榆炼_装置生产流程表_100万吨重整装置_精制石脑油",":key{{dw}}")</t>
        </r>
      </text>
    </comment>
    <comment ref="D14" authorId="0">
      <text>
        <r>
          <rPr>
            <sz val="9"/>
            <color indexed="81"/>
            <rFont val="宋体"/>
            <family val="2"/>
          </rPr>
          <t>#Input("榆炼_装置生产流程表_500万吨常压装置_压缩富气",":key{{dw}}")</t>
        </r>
      </text>
    </comment>
    <comment ref="N14" authorId="0">
      <text>
        <r>
          <rPr>
            <sz val="9"/>
            <color indexed="81"/>
            <rFont val="宋体"/>
            <family val="2"/>
          </rPr>
          <t>#Input("榆炼_装置生产流程表_100万吨重整装置_加工损失",":key{{dw}}",":read")</t>
        </r>
      </text>
    </comment>
    <comment ref="D15" authorId="0">
      <text>
        <r>
          <rPr>
            <sz val="9"/>
            <color indexed="81"/>
            <rFont val="宋体"/>
            <family val="2"/>
          </rPr>
          <t>#Input("榆炼_装置生产流程表_500万吨常压装置_加工损失",":key{{dw}}",":read")</t>
        </r>
      </text>
    </comment>
    <comment ref="D16" authorId="0">
      <text>
        <r>
          <rPr>
            <sz val="9"/>
            <color indexed="81"/>
            <rFont val="宋体"/>
            <family val="2"/>
          </rPr>
          <t>#Input("榆炼_装置生产流程表_60万催化装置_催化加工",":key{{dw}}")</t>
        </r>
      </text>
    </comment>
    <comment ref="D17" authorId="0">
      <text>
        <r>
          <rPr>
            <sz val="9"/>
            <color indexed="81"/>
            <rFont val="宋体"/>
            <family val="2"/>
          </rPr>
          <t>#Input("榆炼_装置生产流程表_60万催化装置_催化汽油",":key{{dw}}")</t>
        </r>
      </text>
    </comment>
    <comment ref="N17" authorId="0">
      <text>
        <r>
          <rPr>
            <sz val="9"/>
            <color indexed="81"/>
            <rFont val="宋体"/>
            <family val="2"/>
          </rPr>
          <t>#Input("榆炼_装置生产流程表_20万吨苯抽提装置_处理量",":key{{dw}}")</t>
        </r>
      </text>
    </comment>
    <comment ref="D18" authorId="0">
      <text>
        <r>
          <rPr>
            <sz val="9"/>
            <color indexed="81"/>
            <rFont val="宋体"/>
            <family val="2"/>
          </rPr>
          <t>#Input("榆炼_装置生产流程表_60万催化装置_催化柴油",":key{{dw}}")</t>
        </r>
      </text>
    </comment>
    <comment ref="N18" authorId="0">
      <text>
        <r>
          <rPr>
            <sz val="9"/>
            <color indexed="81"/>
            <rFont val="宋体"/>
            <family val="2"/>
          </rPr>
          <t>#Input("榆炼_装置生产流程表_20万吨苯抽提装置_非芳烃",":key{{dw}}")</t>
        </r>
      </text>
    </comment>
    <comment ref="D19" authorId="0">
      <text>
        <r>
          <rPr>
            <sz val="9"/>
            <color indexed="81"/>
            <rFont val="宋体"/>
            <family val="2"/>
          </rPr>
          <t>#Input("榆炼_装置生产流程表_60万催化装置_原料液化气",":key{{dw}}")</t>
        </r>
      </text>
    </comment>
    <comment ref="N19" authorId="0">
      <text>
        <r>
          <rPr>
            <sz val="9"/>
            <color indexed="81"/>
            <rFont val="宋体"/>
            <family val="2"/>
          </rPr>
          <t>#Input("榆炼_装置生产流程表_20万吨苯抽提装置_苯",":key{{dw}}")</t>
        </r>
      </text>
    </comment>
    <comment ref="D20" authorId="0">
      <text>
        <r>
          <rPr>
            <sz val="9"/>
            <color indexed="81"/>
            <rFont val="宋体"/>
            <family val="2"/>
          </rPr>
          <t>#Input("榆炼_装置生产流程表_60万催化装置_2#渣油",":key{{dw}}")</t>
        </r>
      </text>
    </comment>
    <comment ref="N20" authorId="0">
      <text>
        <r>
          <rPr>
            <sz val="9"/>
            <color indexed="81"/>
            <rFont val="宋体"/>
            <family val="2"/>
          </rPr>
          <t>#Input("榆炼_装置生产流程表_20万吨苯抽提装置_燃料气",":key{{dw}}")</t>
        </r>
      </text>
    </comment>
    <comment ref="D21" authorId="0">
      <text>
        <r>
          <rPr>
            <sz val="9"/>
            <color indexed="81"/>
            <rFont val="宋体"/>
            <family val="2"/>
          </rPr>
          <t>#Input("榆炼_装置生产流程表_60万催化装置_干气",":key{{dw}}")</t>
        </r>
      </text>
    </comment>
    <comment ref="N21" authorId="0">
      <text>
        <r>
          <rPr>
            <sz val="9"/>
            <color indexed="81"/>
            <rFont val="宋体"/>
            <family val="2"/>
          </rPr>
          <t>#Input("榆炼_装置生产流程表_20万吨苯抽提装置_加工损失",":key{{dw}}",":read")</t>
        </r>
      </text>
    </comment>
    <comment ref="D22" authorId="0">
      <text>
        <r>
          <rPr>
            <sz val="9"/>
            <color indexed="81"/>
            <rFont val="宋体"/>
            <family val="2"/>
          </rPr>
          <t>#Input("榆炼_装置生产流程表_60万催化装置_生焦量",":key{{dw}}")</t>
        </r>
      </text>
    </comment>
    <comment ref="N22" authorId="0">
      <text>
        <r>
          <rPr>
            <sz val="9"/>
            <color indexed="81"/>
            <rFont val="宋体"/>
            <family val="2"/>
          </rPr>
          <t>#Input("榆炼_装置生产流程表_20万DCC石脑油装置_裂解石脑油",":key{{dw}}")</t>
        </r>
      </text>
    </comment>
    <comment ref="D23" authorId="0">
      <text>
        <r>
          <rPr>
            <sz val="9"/>
            <color indexed="81"/>
            <rFont val="宋体"/>
            <family val="2"/>
          </rPr>
          <t>#Input("榆炼_装置生产流程表_60万催化装置_加工损失",":key{{dw}}",":read")</t>
        </r>
      </text>
    </comment>
    <comment ref="N23" authorId="0">
      <text>
        <r>
          <rPr>
            <sz val="9"/>
            <color indexed="81"/>
            <rFont val="宋体"/>
            <family val="2"/>
          </rPr>
          <t>#Input("榆炼_装置生产流程表_20万DCC石脑油装置_氢气处理量",":key{{dw}}")</t>
        </r>
      </text>
    </comment>
    <comment ref="D24" authorId="0">
      <text>
        <r>
          <rPr>
            <sz val="9"/>
            <color indexed="81"/>
            <rFont val="宋体"/>
            <family val="2"/>
          </rPr>
          <t>#Input("榆炼_装置生产流程表_180万吨催化装置_催化加工",":key{{dw}}")</t>
        </r>
      </text>
    </comment>
    <comment ref="N24" authorId="0">
      <text>
        <r>
          <rPr>
            <sz val="9"/>
            <color indexed="81"/>
            <rFont val="宋体"/>
            <family val="2"/>
          </rPr>
          <t>#Input("榆炼_装置生产流程表_20万DCC石脑油装置_脱戊烷油",":key{{dw}}")</t>
        </r>
      </text>
    </comment>
    <comment ref="D25" authorId="0">
      <text>
        <r>
          <rPr>
            <sz val="9"/>
            <color indexed="81"/>
            <rFont val="宋体"/>
            <family val="2"/>
          </rPr>
          <t>#Input("榆炼_装置生产流程表_180万吨催化装置_催化汽油",":key{{dw}}")</t>
        </r>
      </text>
    </comment>
    <comment ref="N25" authorId="0">
      <text>
        <r>
          <rPr>
            <sz val="9"/>
            <color indexed="81"/>
            <rFont val="宋体"/>
            <family val="2"/>
          </rPr>
          <t>#Input("榆炼_装置生产流程表_20万DCC石脑油装置_C5",":key{{dw}}")</t>
        </r>
      </text>
    </comment>
    <comment ref="D26" authorId="0">
      <text>
        <r>
          <rPr>
            <sz val="9"/>
            <color indexed="81"/>
            <rFont val="宋体"/>
            <family val="2"/>
          </rPr>
          <t>#Input("榆炼_装置生产流程表_180万吨催化装置_催化柴油",":key{{dw}}")</t>
        </r>
      </text>
    </comment>
    <comment ref="N26" authorId="0">
      <text>
        <r>
          <rPr>
            <sz val="9"/>
            <color indexed="81"/>
            <rFont val="宋体"/>
            <family val="2"/>
          </rPr>
          <t>#Input("榆炼_装置生产流程表_20万DCC石脑油装置_气体产量",":key{{dw}}")</t>
        </r>
      </text>
    </comment>
    <comment ref="D27" authorId="0">
      <text>
        <r>
          <rPr>
            <sz val="9"/>
            <color indexed="81"/>
            <rFont val="宋体"/>
            <family val="2"/>
          </rPr>
          <t>#Input("榆炼_装置生产流程表_180万吨催化装置_原料液化气",":key{{dw}}")</t>
        </r>
      </text>
    </comment>
    <comment ref="N27" authorId="0">
      <text>
        <r>
          <rPr>
            <sz val="9"/>
            <color indexed="81"/>
            <rFont val="宋体"/>
            <family val="2"/>
          </rPr>
          <t>#Input("榆炼_装置生产流程表_20万DCC石脑油装置_加工损失",":key{{dw}}",":read")</t>
        </r>
      </text>
    </comment>
    <comment ref="D28" authorId="0">
      <text>
        <r>
          <rPr>
            <sz val="9"/>
            <color indexed="81"/>
            <rFont val="宋体"/>
            <family val="2"/>
          </rPr>
          <t>#Input("榆炼_装置生产流程表_180万吨催化装置_2#渣油",":key{{dw}}")</t>
        </r>
      </text>
    </comment>
    <comment ref="N28" authorId="0">
      <text>
        <r>
          <rPr>
            <sz val="9"/>
            <color indexed="81"/>
            <rFont val="宋体"/>
            <family val="2"/>
          </rPr>
          <t>#Input("榆炼_装置生产流程表_30万吨/年航煤装置_处理量",":key{{dw}}")</t>
        </r>
      </text>
    </comment>
    <comment ref="D29" authorId="0">
      <text>
        <r>
          <rPr>
            <sz val="9"/>
            <color indexed="81"/>
            <rFont val="宋体"/>
            <family val="2"/>
          </rPr>
          <t>#Input("榆炼_装置生产流程表_180万吨催化装置_干气",":key{{dw}}")</t>
        </r>
      </text>
    </comment>
    <comment ref="N29" authorId="0">
      <text>
        <r>
          <rPr>
            <sz val="9"/>
            <color indexed="81"/>
            <rFont val="宋体"/>
            <family val="2"/>
          </rPr>
          <t>#Input("榆炼_装置生产流程表_30万吨/年航煤装置_氢气处理量",":key{{dw}}")</t>
        </r>
      </text>
    </comment>
    <comment ref="D30" authorId="0">
      <text>
        <r>
          <rPr>
            <sz val="9"/>
            <color indexed="81"/>
            <rFont val="宋体"/>
            <family val="2"/>
          </rPr>
          <t>#Input("榆炼_装置生产流程表_180万吨催化装置_生焦量",":key{{dw}}")</t>
        </r>
      </text>
    </comment>
    <comment ref="N30" authorId="0">
      <text>
        <r>
          <rPr>
            <sz val="9"/>
            <color indexed="81"/>
            <rFont val="宋体"/>
            <family val="2"/>
          </rPr>
          <t>#Input("榆炼_装置生产流程表_30万吨/年航煤装置_3#喷气燃料",":key{{dw}}")</t>
        </r>
      </text>
    </comment>
    <comment ref="D31" authorId="0">
      <text>
        <r>
          <rPr>
            <sz val="9"/>
            <color indexed="81"/>
            <rFont val="宋体"/>
            <family val="2"/>
          </rPr>
          <t>#Input("榆炼_装置生产流程表_180万吨催化装置_加工损失",":key{{dw}}",":read")</t>
        </r>
      </text>
    </comment>
    <comment ref="N31" authorId="0">
      <text>
        <r>
          <rPr>
            <sz val="9"/>
            <color indexed="81"/>
            <rFont val="宋体"/>
            <family val="2"/>
          </rPr>
          <t>#Input("榆炼_装置生产流程表_30万吨/年航煤装置_航煤石脑油Ⅱ",":key{{dw}}")</t>
        </r>
      </text>
    </comment>
    <comment ref="D32" authorId="0">
      <text>
        <r>
          <rPr>
            <sz val="9"/>
            <color indexed="81"/>
            <rFont val="宋体"/>
            <family val="2"/>
          </rPr>
          <t>#Input("榆炼_装置生产流程表_200万柴油加氢装置_混合柴油处理量",":key{{dw}}")</t>
        </r>
      </text>
    </comment>
    <comment ref="N32" authorId="0">
      <text>
        <r>
          <rPr>
            <sz val="9"/>
            <color indexed="81"/>
            <rFont val="宋体"/>
            <family val="2"/>
          </rPr>
          <t>#Input("榆炼_装置生产流程表_30万吨/年航煤装置_气体产量",":key{{dw}}")</t>
        </r>
      </text>
    </comment>
    <comment ref="D33" authorId="0">
      <text>
        <r>
          <rPr>
            <sz val="9"/>
            <color indexed="81"/>
            <rFont val="宋体"/>
            <family val="2"/>
          </rPr>
          <t>#Input("榆炼_装置生产流程表_200万柴油加氢装置_氢气处理量",":key{{dw}}")</t>
        </r>
      </text>
    </comment>
    <comment ref="N33" authorId="0">
      <text>
        <r>
          <rPr>
            <sz val="9"/>
            <color indexed="81"/>
            <rFont val="宋体"/>
            <family val="2"/>
          </rPr>
          <t>#Input("榆炼_装置生产流程表_30万吨/年航煤装置_加工损失",":key{{dw}}",":read")</t>
        </r>
      </text>
    </comment>
    <comment ref="D34" authorId="0">
      <text>
        <r>
          <rPr>
            <sz val="9"/>
            <color indexed="81"/>
            <rFont val="宋体"/>
            <family val="2"/>
          </rPr>
          <t>#Input("榆炼_装置生产流程表_200万柴油加氢装置_精制柴油",":key{{dw}}")</t>
        </r>
      </text>
    </comment>
    <comment ref="N34" authorId="0">
      <text>
        <r>
          <rPr>
            <b/>
            <sz val="9"/>
            <color indexed="81"/>
            <rFont val="宋体"/>
            <family val="2"/>
          </rPr>
          <t>#Input("榆炼_装置生产流程表_220万吨常压装置_原油",":key{{dw}}")</t>
        </r>
      </text>
    </comment>
    <comment ref="D35" authorId="0">
      <text>
        <r>
          <rPr>
            <sz val="9"/>
            <color indexed="81"/>
            <rFont val="宋体"/>
            <family val="2"/>
          </rPr>
          <t>#Input("榆炼_装置生产流程表_200万柴油加氢装置_石脑油Ⅰ",":key{{dw}}")</t>
        </r>
      </text>
    </comment>
    <comment ref="N35" authorId="0">
      <text>
        <r>
          <rPr>
            <b/>
            <sz val="9"/>
            <color indexed="81"/>
            <rFont val="宋体"/>
            <family val="2"/>
          </rPr>
          <t>#Input("榆炼_装置生产流程表_220万吨常压装置_石脑油",":key{{dw}}")</t>
        </r>
      </text>
    </comment>
    <comment ref="D36" authorId="0">
      <text>
        <r>
          <rPr>
            <sz val="9"/>
            <color indexed="81"/>
            <rFont val="宋体"/>
            <family val="2"/>
          </rPr>
          <t>#Input("榆炼_装置生产流程表_200万柴油加氢装置_原料液化气",":key{{dw}}")</t>
        </r>
      </text>
    </comment>
    <comment ref="N36" authorId="0">
      <text>
        <r>
          <rPr>
            <b/>
            <sz val="9"/>
            <color indexed="81"/>
            <rFont val="宋体"/>
            <family val="2"/>
          </rPr>
          <t>#Input("榆炼_装置生产流程表_220万吨常压装置_柴油",":key{{dw}}")</t>
        </r>
      </text>
    </comment>
    <comment ref="D37" authorId="0">
      <text>
        <r>
          <rPr>
            <sz val="9"/>
            <color indexed="81"/>
            <rFont val="宋体"/>
            <family val="2"/>
          </rPr>
          <t>#Input("榆炼_装置生产流程表_200万柴油加氢装置_加氢粗汽油",":key{{dw}}")</t>
        </r>
      </text>
    </comment>
    <comment ref="N37" authorId="0">
      <text>
        <r>
          <rPr>
            <b/>
            <sz val="9"/>
            <color indexed="81"/>
            <rFont val="宋体"/>
            <family val="2"/>
          </rPr>
          <t>#Input("榆炼_装置生产流程表_220万吨常压装置_常压渣油",":key{{dw}}")</t>
        </r>
      </text>
    </comment>
    <comment ref="D38" authorId="0">
      <text>
        <r>
          <rPr>
            <sz val="9"/>
            <color indexed="81"/>
            <rFont val="宋体"/>
            <family val="2"/>
          </rPr>
          <t>#Input("榆炼_装置生产流程表_200万柴油加氢装置_燃料气",":key{{dw}}")</t>
        </r>
      </text>
    </comment>
    <comment ref="N38" authorId="0">
      <text>
        <r>
          <rPr>
            <b/>
            <sz val="9"/>
            <color indexed="81"/>
            <rFont val="宋体"/>
            <family val="2"/>
          </rPr>
          <t>#Input("榆炼_装置生产流程表_220万吨常压装置_腊油",":key{{dw}}")</t>
        </r>
      </text>
    </comment>
    <comment ref="D39" authorId="0">
      <text>
        <r>
          <rPr>
            <sz val="9"/>
            <color indexed="81"/>
            <rFont val="宋体"/>
            <family val="2"/>
          </rPr>
          <t>#Input("榆炼_装置生产流程表_200万柴油加氢装置_加工损失",":key{{dw}}",":read")</t>
        </r>
      </text>
    </comment>
    <comment ref="N39" authorId="0">
      <text>
        <r>
          <rPr>
            <b/>
            <sz val="9"/>
            <color indexed="81"/>
            <rFont val="宋体"/>
            <family val="2"/>
          </rPr>
          <t>#Input("榆炼_装置生产流程表_220万吨常压装置_减二线油",":key{{dw}}")</t>
        </r>
      </text>
    </comment>
    <comment ref="D40" authorId="0">
      <text>
        <r>
          <rPr>
            <sz val="9"/>
            <color indexed="81"/>
            <rFont val="宋体"/>
            <family val="2"/>
          </rPr>
          <t>#Input("榆炼_装置生产流程表_90万吨汽油精制_催化汽油",":key{{dw}}")</t>
        </r>
      </text>
    </comment>
    <comment ref="N40" authorId="0">
      <text>
        <r>
          <rPr>
            <b/>
            <sz val="9"/>
            <color indexed="81"/>
            <rFont val="宋体"/>
            <family val="2"/>
          </rPr>
          <t>#Input("榆炼_装置生产流程表_220万吨常压装置_减压渣油",":key{{dw}}")</t>
        </r>
      </text>
    </comment>
    <comment ref="D41" authorId="0">
      <text>
        <r>
          <rPr>
            <sz val="9"/>
            <color indexed="81"/>
            <rFont val="宋体"/>
            <family val="2"/>
          </rPr>
          <t>#Input("榆炼_装置生产流程表_90万吨汽油精制_氢气",":key{{dw}}")</t>
        </r>
      </text>
    </comment>
    <comment ref="N41" authorId="0">
      <text>
        <r>
          <rPr>
            <b/>
            <sz val="9"/>
            <color indexed="81"/>
            <rFont val="宋体"/>
            <family val="2"/>
          </rPr>
          <t>#Input("榆炼_装置生产流程表_220万吨常压装置_燃料气",":key{{dw}}")</t>
        </r>
      </text>
    </comment>
    <comment ref="D42" authorId="0">
      <text>
        <r>
          <rPr>
            <sz val="9"/>
            <color indexed="81"/>
            <rFont val="宋体"/>
            <family val="2"/>
          </rPr>
          <t>#Input("榆炼_装置生产流程表_90万吨汽油精制_精制汽油",":key{{dw}}")</t>
        </r>
      </text>
    </comment>
    <comment ref="D43" authorId="0">
      <text>
        <r>
          <rPr>
            <sz val="9"/>
            <color indexed="81"/>
            <rFont val="宋体"/>
            <family val="2"/>
          </rPr>
          <t>#Input("榆炼_装置生产流程表_90万吨汽油精制_轻烃液",":key{{dw}}")</t>
        </r>
      </text>
    </comment>
    <comment ref="D44" authorId="0">
      <text>
        <r>
          <rPr>
            <sz val="9"/>
            <color indexed="81"/>
            <rFont val="宋体"/>
            <family val="2"/>
          </rPr>
          <t>#Input("榆炼_装置生产流程表_90万吨汽油精制_轻烃气",":key{{dw}}")</t>
        </r>
      </text>
    </comment>
    <comment ref="D45" authorId="0">
      <text>
        <r>
          <rPr>
            <sz val="9"/>
            <color indexed="81"/>
            <rFont val="宋体"/>
            <family val="2"/>
          </rPr>
          <t>#Input("榆炼_装置生产流程表_90万吨汽油精制_加工损失",":key{{dw}}",":read")</t>
        </r>
      </text>
    </comment>
    <comment ref="E46" authorId="0">
      <text>
        <r>
          <rPr>
            <b/>
            <sz val="9"/>
            <color indexed="81"/>
            <rFont val="宋体"/>
            <family val="2"/>
          </rPr>
          <t>#Input("榆炼_装置生产流程表_单位负责人",":key{{dw}}")</t>
        </r>
      </text>
    </comment>
    <comment ref="L46" authorId="0">
      <text>
        <r>
          <rPr>
            <b/>
            <sz val="9"/>
            <color indexed="81"/>
            <rFont val="宋体"/>
            <family val="2"/>
          </rPr>
          <t>#Input("榆炼_装置生产流程表_统计负责人",":key{{dw}}")</t>
        </r>
      </text>
    </comment>
    <comment ref="S46" authorId="0">
      <text>
        <r>
          <rPr>
            <b/>
            <sz val="9"/>
            <color indexed="81"/>
            <rFont val="宋体"/>
            <family val="2"/>
          </rPr>
          <t>#Input("榆炼_装置生产流程表_填报人",":key{{dw}}")</t>
        </r>
      </text>
    </comment>
    <comment ref="N42" authorId="0">
      <text>
        <r>
          <rPr>
            <sz val="9"/>
            <color indexed="81"/>
            <rFont val="Arial"/>
            <family val="2"/>
          </rPr>
          <t>#Input("榆炼_装置生产流程表_220万吨常压装置_加工损失",":key{{dw}}",":read")</t>
        </r>
      </text>
    </comment>
  </commentList>
</comments>
</file>

<file path=xl/sharedStrings.xml><?xml version="1.0" encoding="utf-8"?>
<sst xmlns="http://schemas.openxmlformats.org/spreadsheetml/2006/main" count="1123" uniqueCount="222">
  <si>
    <t>装置生产流程表</t>
  </si>
  <si>
    <t>填报单位：榆林炼油厂</t>
  </si>
  <si>
    <t>日期：</t>
  </si>
  <si>
    <t>2025-12</t>
  </si>
  <si>
    <t>陕油炼计统B202表</t>
  </si>
  <si>
    <t>装置
名称</t>
  </si>
  <si>
    <t>指标名称</t>
  </si>
  <si>
    <t>产量   t</t>
  </si>
  <si>
    <t>收率   %</t>
  </si>
  <si>
    <t>去年同期</t>
  </si>
  <si>
    <t>本月</t>
  </si>
  <si>
    <t>累计</t>
  </si>
  <si>
    <t>500万
吨
常
压
装
置</t>
  </si>
  <si>
    <t>原油加工量</t>
  </si>
  <si>
    <t>100万
吨
重
整
装
置</t>
  </si>
  <si>
    <t>加工量</t>
  </si>
  <si>
    <t>石脑油Ⅰ</t>
  </si>
  <si>
    <t>重整汽油</t>
  </si>
  <si>
    <t>常一线</t>
  </si>
  <si>
    <t>二甲苯塔底油</t>
  </si>
  <si>
    <t>常二线</t>
  </si>
  <si>
    <t>C6馏分油</t>
  </si>
  <si>
    <t>常三线</t>
  </si>
  <si>
    <t>饱和液化气</t>
  </si>
  <si>
    <t>混柴</t>
  </si>
  <si>
    <t>二甲苯</t>
  </si>
  <si>
    <t>燃 料 气</t>
  </si>
  <si>
    <t>渣油</t>
  </si>
  <si>
    <t>精制石脑油</t>
  </si>
  <si>
    <t>压缩富气</t>
  </si>
  <si>
    <t>加工损失</t>
  </si>
  <si>
    <t>60万
吨
催
化
装
置</t>
  </si>
  <si>
    <t>催化加工</t>
  </si>
  <si>
    <t>催化汽油</t>
  </si>
  <si>
    <t>20万
吨
苯
抽
提
装
置</t>
  </si>
  <si>
    <t>处理量</t>
  </si>
  <si>
    <t>催化柴油</t>
  </si>
  <si>
    <t>非芳烃</t>
  </si>
  <si>
    <t>原料液化气</t>
  </si>
  <si>
    <t>苯</t>
  </si>
  <si>
    <t>2#渣油</t>
  </si>
  <si>
    <t>燃料气</t>
  </si>
  <si>
    <t>干  气</t>
  </si>
  <si>
    <t>生焦量</t>
  </si>
  <si>
    <t>20万
DCC石脑油装置</t>
  </si>
  <si>
    <t>裂解石脑油</t>
  </si>
  <si>
    <t>氢气处理量</t>
  </si>
  <si>
    <t>180万
吨
催
化
装
置</t>
  </si>
  <si>
    <t>脱戊烷油</t>
  </si>
  <si>
    <t>C5</t>
  </si>
  <si>
    <t>气体产量</t>
  </si>
  <si>
    <t>30万吨/年航煤装置</t>
  </si>
  <si>
    <t>3#喷气燃料</t>
  </si>
  <si>
    <t>航煤石脑油Ⅱ</t>
  </si>
  <si>
    <t>200万
柴
油
加
氢
装
置</t>
  </si>
  <si>
    <t>混合柴油处理量</t>
  </si>
  <si>
    <t>精制柴油</t>
  </si>
  <si>
    <t>220万吨常压装置</t>
  </si>
  <si>
    <t>原油</t>
  </si>
  <si>
    <t>石脑油</t>
  </si>
  <si>
    <t>柴油</t>
  </si>
  <si>
    <t>加氢粗气油</t>
  </si>
  <si>
    <t>常压渣油</t>
  </si>
  <si>
    <t>腊油</t>
  </si>
  <si>
    <t>减二线油</t>
  </si>
  <si>
    <t>90万吨汽油精制</t>
  </si>
  <si>
    <t>减压渣油</t>
  </si>
  <si>
    <t>氢气</t>
  </si>
  <si>
    <t>精制汽油</t>
  </si>
  <si>
    <t>轻烃液</t>
  </si>
  <si>
    <t>轻烃气</t>
  </si>
  <si>
    <t>单位负责人：</t>
  </si>
  <si>
    <t>统计负责人：</t>
  </si>
  <si>
    <t>填报人：</t>
  </si>
  <si>
    <t>公式类型</t>
  </si>
  <si>
    <t>数据源</t>
  </si>
  <si>
    <t>取值</t>
  </si>
  <si>
    <t>计量点名称</t>
  </si>
  <si>
    <t>取值条件</t>
  </si>
  <si>
    <t>产量部分</t>
  </si>
  <si>
    <t>500万常压</t>
  </si>
  <si>
    <t>#SQL</t>
  </si>
  <si>
    <t>("</t>
  </si>
  <si>
    <t>Yul_PM_ALL_ByMonth</t>
  </si>
  <si>
    <t>","</t>
  </si>
  <si>
    <t>VALUE</t>
  </si>
  <si>
    <t>",":where{NAME=</t>
  </si>
  <si>
    <t>榆炼_生产_联合一车间_500万吨/年常压装置_进_原油</t>
  </si>
  <si>
    <t>}")</t>
  </si>
  <si>
    <t>榆炼_生产_联合一车间_500万吨/年常压装置_出_石脑油（常压）</t>
  </si>
  <si>
    <t>榆炼_生产_联合一车间_500万吨/年常压装置_出_终止剂</t>
  </si>
  <si>
    <t>榆炼_生产_联合一车间_500万吨/年常压装置_出_常三线柴油</t>
  </si>
  <si>
    <t>榆炼_生产_联合一车间_500万吨/年常压装置_出_混合柴油</t>
  </si>
  <si>
    <t>榆炼_生产_联合一车间_500万吨/年常压装置_出_常三线单出产量</t>
  </si>
  <si>
    <t>榆炼_生产_联合一车间_500万吨/年常压装置_出_饱和液化气</t>
  </si>
  <si>
    <t>榆炼_生产_联合一车间_500万吨/年常压装置_出_1#渣油 （常压）</t>
  </si>
  <si>
    <t>榆炼_生产_联合一车间_500万吨/年常压装置_出_压缩富气</t>
  </si>
  <si>
    <t>60万催化</t>
  </si>
  <si>
    <t>榆炼_生产_联合二车间_60万吨/年催化装置_进_渣油</t>
  </si>
  <si>
    <t>榆炼_生产_联合二车间_60万吨/年催化装置_出_汽油</t>
  </si>
  <si>
    <t>榆炼_生产_联合二车间_60万吨/年催化装置_出_柴油</t>
  </si>
  <si>
    <t>榆炼_生产_联合二车间_60万吨/年催化装置_出_液化气</t>
  </si>
  <si>
    <t>榆炼_生产_联合二车间_60万吨/年催化装置_出_油浆</t>
  </si>
  <si>
    <t>榆炼_生产_联合二车间_60万吨/年催化装置_出_干气</t>
  </si>
  <si>
    <t>榆炼_生产_联合二车间_60万吨/年催化装置_出_生焦</t>
  </si>
  <si>
    <t>180催化</t>
  </si>
  <si>
    <t>榆炼_生产_联合二车间_180万吨/年催化装置_进_常压渣油</t>
  </si>
  <si>
    <t>榆炼_生产_联合二车间_180万吨/年催化装置_出_催化汽油</t>
  </si>
  <si>
    <t>榆炼_生产_联合二车间_180万吨/年催化装置_出_催化柴油</t>
  </si>
  <si>
    <t>榆炼_生产_联合二车间_180万吨/年催化装置_出_原料液化气</t>
  </si>
  <si>
    <t>榆炼_生产_联合二车间_180万吨/年催化装置_出_2#渣油(催化渣油、催化澄清油、油浆、罐区回炼油浆）</t>
  </si>
  <si>
    <t>榆炼_生产_联合二车间_180万吨/年催化装置_出_干气</t>
  </si>
  <si>
    <t>榆炼_生产_联合二车间_180万吨/年催化装置_出_生焦</t>
  </si>
  <si>
    <t>200万柴油加氢</t>
  </si>
  <si>
    <t>榆炼_生产_联合四车间_200万吨/年柴油精制装置_进_加氢加工量</t>
  </si>
  <si>
    <t>榆炼_生产_联合四车间_200万吨/年柴油精制装置_进_氢气</t>
  </si>
  <si>
    <t>榆炼_生产_联合四车间_200万吨/年柴油精制装置_出_精制柴油</t>
  </si>
  <si>
    <t>榆炼_生产_联合四车间_200万吨/年柴油精制装置_出_石脑油Ⅱ (拨头油、重整轻汽油、轻石脑油、重整轻石脑油)</t>
  </si>
  <si>
    <t>榆炼_生产_联合四车间_200万吨/年柴油精制装置_出_轻烃气</t>
  </si>
  <si>
    <t>榆炼_生产_联合四车间_200万吨/年柴油精制装置_出_轻烃液</t>
  </si>
  <si>
    <t>榆炼_生产_联合四车间_200万吨/年柴油精制装置_出_低分气</t>
  </si>
  <si>
    <t>90万汽油精制</t>
  </si>
  <si>
    <t>榆炼_生产_联合四车间_90万吨/年汽油加氢装置_进_催化汽油</t>
  </si>
  <si>
    <t>榆炼_生产_联合四车间_90万吨/年汽油加氢装置_进_氢气</t>
  </si>
  <si>
    <t>榆炼_生产_联合四车间_90万吨/年汽油加氢装置_出_精制汽油</t>
  </si>
  <si>
    <t>榆炼_生产_联合四车间_90万吨/年汽油加氢装置_出_轻烃</t>
  </si>
  <si>
    <t>榆炼_生产_联合四车间_90万吨/年汽油加氢装置_出_酸性气</t>
  </si>
  <si>
    <t>100万重整</t>
  </si>
  <si>
    <t>榆炼_生产_联合三车间_100万吨/年连续重整装置_进_重整加工量</t>
  </si>
  <si>
    <t>榆炼_生产_联合三车间_100万吨/年连续重整装置_出_重整汽油</t>
  </si>
  <si>
    <t>榆炼_生产_联合三车间_100万吨/年连续重整装置_进_二甲苯塔底油</t>
  </si>
  <si>
    <t>榆炼_生产_联合三车间_100万吨/年连续重整装置_出_C6馏分油</t>
  </si>
  <si>
    <t>榆炼_生产_联合三车间_100万吨/年连续重整装置_出_原料液化气</t>
  </si>
  <si>
    <t>榆炼_生产_联合三车间_100万吨/年连续重整装置_出_二甲苯</t>
  </si>
  <si>
    <t>榆炼_生产_联合三车间_100万吨/年连续重整装置_出_氢气</t>
  </si>
  <si>
    <t>榆炼_生产_联合三车间_100万吨/年连续重整装置_出_重整轻汽油</t>
  </si>
  <si>
    <t>20万苯抽提</t>
  </si>
  <si>
    <t>榆炼_生产_联合三车间_20万吨/年苯抽提装置_进_苯抽提加工量</t>
  </si>
  <si>
    <t>榆炼_生产_联合三车间_20万吨/年苯抽提装置_出_非芳烃</t>
  </si>
  <si>
    <t>榆炼_生产_联合三车间_20万吨/年苯抽提装置_出_苯</t>
  </si>
  <si>
    <t>榆炼_生产_联合三车间_20万吨/年苯抽提装置_出_重芳烃至脱C6塔</t>
  </si>
  <si>
    <t>20万DCC裂解石脑油</t>
  </si>
  <si>
    <t>榆炼_生产_联合三车间_20万吨/年DCC裂解石脑油加氢装置生产、消耗月报表_裂解石脑油_日产量</t>
  </si>
  <si>
    <t>榆炼_生产_联合三车间_20万吨/年DCC裂解石脑油加氢装置生产、消耗月报表_氢气加工量_日产量</t>
  </si>
  <si>
    <t>榆炼_生产_联合三车间_20万吨/年DCC裂解石脑油加氢装置生产、消耗月报表_脱戊烷油产量_日产量</t>
  </si>
  <si>
    <t>榆炼_生产_联合三车间_20万吨/年DCC裂解石脑油加氢装置生产、消耗月报表_塔顶C5产量_日产量</t>
  </si>
  <si>
    <t>榆炼_生产_联合三车间_20万吨/年DCC裂解石脑油加氢装置生产、消耗月报表_燃料气产量_日产量</t>
  </si>
  <si>
    <t>30万航煤</t>
  </si>
  <si>
    <t>榆炼_生产_联合一车间_30万吨/年航煤加氢装置_进_直馏煤油</t>
  </si>
  <si>
    <t>榆炼_生产_联合一车间_30万吨/年航煤加氢装置_进_氢气</t>
  </si>
  <si>
    <t>榆炼_生产_联合一车间_30万吨/年航煤加氢装置_出_精制航煤</t>
  </si>
  <si>
    <t>榆炼_生产_联合一车间_30万吨/年航煤加氢装置_出_粗石脑油</t>
  </si>
  <si>
    <t>榆炼_生产_联合一车间_30万吨/年航煤加氢装置_出_排放气含硫干气量</t>
  </si>
  <si>
    <t>榆炼_生产_联合一车间_30万吨/年航煤加氢装置_出_分馏塔顶含硫干气产量</t>
  </si>
  <si>
    <t>累计部分</t>
  </si>
  <si>
    <t>Yul_Device_ByMonth_SUM</t>
  </si>
  <si>
    <t>榆炼_装置生产流程表_500万吨常压装置_原油加工量</t>
  </si>
  <si>
    <t>榆炼_装置生产流程表_500万吨常压装置_石脑油Ⅰ</t>
  </si>
  <si>
    <t>榆炼_装置生产流程表_500万吨常压装置_常一线</t>
  </si>
  <si>
    <t>榆炼_装置生产流程表_500万吨常压装置_常二线</t>
  </si>
  <si>
    <t>榆炼_装置生产流程表_500万吨常压装置_常三线</t>
  </si>
  <si>
    <t>榆炼_装置生产流程表_500万吨常压装置_混柴</t>
  </si>
  <si>
    <t>榆炼_装置生产流程表_500万吨常压装置_饱和液化气</t>
  </si>
  <si>
    <t>榆炼_装置生产流程表_500万吨常压装置_渣油</t>
  </si>
  <si>
    <t>榆炼_装置生产流程表_500万吨常压装置_压缩富气</t>
  </si>
  <si>
    <t>榆炼_装置生产流程表_60万催化装置_催化加工</t>
  </si>
  <si>
    <t>榆炼_装置生产流程表_60万催化装置_催化汽油</t>
  </si>
  <si>
    <t>榆炼_装置生产流程表_60万催化装置_催化柴油</t>
  </si>
  <si>
    <t>榆炼_装置生产流程表_60万催化装置_原料液化气</t>
  </si>
  <si>
    <t>榆炼_装置生产流程表_60万催化装置_2#渣油</t>
  </si>
  <si>
    <t>榆炼_装置生产流程表_60万催化装置_干气</t>
  </si>
  <si>
    <t>榆炼_装置生产流程表_60万催化装置_生焦量</t>
  </si>
  <si>
    <t>180万催化</t>
  </si>
  <si>
    <t>榆炼_装置生产流程表_180万吨催化装置_催化加工</t>
  </si>
  <si>
    <t>榆炼_装置生产流程表_180万吨催化装置_催化汽油</t>
  </si>
  <si>
    <t>榆炼_装置生产流程表_180万吨催化装置_催化柴油</t>
  </si>
  <si>
    <t>榆炼_装置生产流程表_180万吨催化装置_原料液化气</t>
  </si>
  <si>
    <t>榆炼_装置生产流程表_180万吨催化装置_2#渣油</t>
  </si>
  <si>
    <t>榆炼_装置生产流程表_180万吨催化装置_干气</t>
  </si>
  <si>
    <t>榆炼_装置生产流程表_180万吨催化装置_生焦量</t>
  </si>
  <si>
    <t>榆炼_装置生产流程表_200万柴油加氢装置_混合柴油处理量</t>
  </si>
  <si>
    <t>榆炼_装置生产流程表_200万柴油加氢装置_氢气处理量</t>
  </si>
  <si>
    <t>榆炼_装置生产流程表_200万柴油加氢装置_精制柴油</t>
  </si>
  <si>
    <t>榆炼_装置生产流程表_200万柴油加氢装置_石脑油Ⅰ</t>
  </si>
  <si>
    <t>榆炼_装置生产流程表_200万柴油加氢装置_原料液化气</t>
  </si>
  <si>
    <t>榆炼_装置生产流程表_200万柴油加氢装置_加氢粗汽油</t>
  </si>
  <si>
    <t>榆炼_装置生产流程表_200万柴油加氢装置_燃料气</t>
  </si>
  <si>
    <t>榆炼_装置生产流程表_90万吨汽油精制_催化汽油</t>
  </si>
  <si>
    <t>榆炼_装置生产流程表_90万吨汽油精制_氢气</t>
  </si>
  <si>
    <t>榆炼_装置生产流程表_90万吨汽油精制_精制汽油</t>
  </si>
  <si>
    <t>榆炼_装置生产流程表_90万吨汽油精制_轻烃液</t>
  </si>
  <si>
    <t>榆炼_装置生产流程表_90万吨汽油精制_轻烃气</t>
  </si>
  <si>
    <t>榆炼_装置生产流程表_100万吨重整装置_加工量</t>
  </si>
  <si>
    <t>榆炼_装置生产流程表_100万吨重整装置_重整汽油</t>
  </si>
  <si>
    <t>榆炼_装置生产流程表_100万吨重整装置_二甲苯塔底油</t>
  </si>
  <si>
    <t>榆炼_装置生产流程表_100万吨重整装置_C6馏分油</t>
  </si>
  <si>
    <t>榆炼_装置生产流程表_100万吨重整装置_饱和液化气</t>
  </si>
  <si>
    <t>榆炼_装置生产流程表_100万吨重整装置_二甲苯</t>
  </si>
  <si>
    <t>榆炼_装置生产流程表_100万吨重整装置_燃料气</t>
  </si>
  <si>
    <t>榆炼_装置生产流程表_100万吨重整装置_精制石脑油</t>
  </si>
  <si>
    <t>榆炼_装置生产流程表_20万吨苯抽提装置_处理量</t>
  </si>
  <si>
    <t>榆炼_装置生产流程表_20万吨苯抽提装置_非芳烃</t>
  </si>
  <si>
    <t>榆炼_装置生产流程表_20万吨苯抽提装置_苯</t>
  </si>
  <si>
    <t>榆炼_装置生产流程表_20万吨苯抽提装置_燃料气</t>
  </si>
  <si>
    <t>榆炼_装置生产流程表_20万DCC石脑油装置_裂解石脑油</t>
  </si>
  <si>
    <t>榆炼_装置生产流程表_20万DCC石脑油装置_氢气处理量</t>
  </si>
  <si>
    <t>榆炼_装置生产流程表_20万DCC石脑油装置_脱戊烷油</t>
  </si>
  <si>
    <t>榆炼_装置生产流程表_20万DCC石脑油装置_C5</t>
  </si>
  <si>
    <t>榆炼_装置生产流程表_20万DCC石脑油装置_气体产量</t>
  </si>
  <si>
    <t>榆炼_装置生产流程表_30万吨/年航煤装置_处理量</t>
  </si>
  <si>
    <t>榆炼_装置生产流程表_30万吨/年航煤装置_氢气处理量</t>
  </si>
  <si>
    <t>榆炼_装置生产流程表_30万吨/年航煤装置_3#喷气燃料</t>
  </si>
  <si>
    <t>榆炼_装置生产流程表_30万吨/年航煤装置_航煤石脑油Ⅱ</t>
  </si>
  <si>
    <t>榆炼_装置生产流程表_30万吨/年航煤装置_气体产量</t>
  </si>
  <si>
    <t>100万连续重整</t>
  </si>
  <si>
    <t>200万加氢</t>
  </si>
  <si>
    <t>100万吨重整</t>
  </si>
  <si>
    <r>
      <t>20万</t>
    </r>
    <r>
      <rPr>
        <charset val="134"/>
        <color theme="1"/>
        <family val="3"/>
        <rFont val="Calibri"/>
        <scheme val="minor"/>
        <sz val="11"/>
      </rPr>
      <t>DCC石脑油</t>
    </r>
  </si>
  <si>
    <t>军柴</t>
  </si>
  <si>
    <r>
      <t>2</t>
    </r>
    <r>
      <rPr>
        <charset val="134"/>
        <color theme="1"/>
        <family val="3"/>
        <rFont val="Calibri"/>
        <scheme val="minor"/>
        <sz val="11"/>
      </rPr>
      <t>20</t>
    </r>
    <r>
      <rPr>
        <color theme="1"/>
        <rFont val="Calibri"/>
        <scheme val="minor"/>
        <sz val="11"/>
      </rPr>
      <t>万常压</t>
    </r>
  </si>
  <si>
    <t>报表生成时间：</t>
  </si>
  <si>
    <t xml:space="preserve"> 8:00:00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</si>
</sst>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(* #,##0_);_(* (#,##0);_(* &quot;-&quot;_);_(@_)"/>
    <numFmt numFmtId="42" formatCode="_(&quot;$&quot;* #,##0_);_(&quot;$&quot;* (#,##0);_(&quot;$&quot;* &quot;-&quot;_);_(@_)"/>
    <numFmt numFmtId="44" formatCode="_(&quot;$&quot;* #,##0.00_);_(&quot;$&quot;* (#,##0.00);_(&quot;$&quot;* &quot;-&quot;??_);_(@_)"/>
    <numFmt numFmtId="171" formatCode="0_ "/>
    <numFmt numFmtId="172" formatCode="0.00_ "/>
    <numFmt numFmtId="173" formatCode="0.00_);[Red]\(0.00\)"/>
    <numFmt numFmtId="174" formatCode="_ * #,##0.00_ ;_ * \-#,##0.00_ ;_ * &quot;-&quot;??_ ;_ @_ "/>
  </numFmts>
  <fonts count="25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libri Light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sz val="11"/>
      <color theme="1"/>
      <name val="等线"/>
    </font>
    <font>
      <sz val="11"/>
      <color auto="1"/>
      <name val="等线"/>
    </font>
    <font>
      <b/>
      <sz val="18"/>
      <color theme="1"/>
      <name val="Calibri"/>
      <scheme val="minor"/>
    </font>
    <font>
      <sz val="10"/>
      <color auto="1"/>
      <name val="宋体"/>
    </font>
    <font>
      <sz val="9"/>
      <color auto="1"/>
      <name val="宋体"/>
    </font>
  </fonts>
  <fills count="36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theme="0"/>
      </patternFill>
    </fill>
  </fills>
  <borders count="28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49">
    <xf numFmtId="0" fontId="0" fillId="0" borderId="0" applyFont="1" applyFill="0" applyBorder="0"/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174" fontId="5" fillId="0" borderId="0" applyFont="0" applyFill="0" applyBorder="0" applyNumberFormat="1">
      <alignment vertical="top"/>
    </xf>
    <xf numFmtId="41" fontId="5" fillId="0" borderId="0" applyFont="0" applyFill="0" applyBorder="0" applyNumberFormat="1">
      <alignment vertical="top"/>
    </xf>
    <xf numFmtId="44" fontId="5" fillId="0" borderId="0" applyFont="0" applyFill="0" applyBorder="0" applyNumberFormat="1">
      <alignment vertical="top"/>
    </xf>
    <xf numFmtId="42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  <xf numFmtId="0" fontId="18" fillId="0" borderId="0" applyFont="1" applyFill="0" applyBorder="0">
      <alignment vertical="top"/>
    </xf>
    <xf numFmtId="0" fontId="19" fillId="0" borderId="0" applyFont="1" applyFill="0" applyBorder="0">
      <alignment vertical="top"/>
    </xf>
  </cellStyleXfs>
  <cellXfs count="256">
    <xf numFmtId="0" fontId="0" fillId="0" borderId="0" xfId="0" applyFont="1"/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174" fontId="5" fillId="0" borderId="0" xfId="28" applyFont="0" applyNumberFormat="1">
      <alignment vertical="top"/>
    </xf>
    <xf numFmtId="41" fontId="5" fillId="0" borderId="0" xfId="29" applyFont="0" applyNumberFormat="1">
      <alignment vertical="top"/>
    </xf>
    <xf numFmtId="44" fontId="5" fillId="0" borderId="0" xfId="30" applyFont="0" applyNumberFormat="1">
      <alignment vertical="top"/>
    </xf>
    <xf numFmtId="42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0" fontId="18" fillId="0" borderId="0" xfId="47" applyFont="1">
      <alignment vertical="top"/>
    </xf>
    <xf numFmtId="0" fontId="19" fillId="0" borderId="0" xfId="48" applyFont="1">
      <alignment vertical="top"/>
    </xf>
    <xf numFmtId="0" fontId="20" fillId="0" borderId="0" xfId="0" applyFont="1"/>
    <xf numFmtId="0" fontId="0" fillId="33" borderId="0" xfId="0" applyFont="1" applyFill="1"/>
    <xf numFmtId="0" fontId="0" fillId="0" borderId="0" xfId="0" applyFont="1">
      <alignment wrapText="1"/>
    </xf>
    <xf numFmtId="0" fontId="0" fillId="0" borderId="10" xfId="0" applyFont="1" applyBorder="1"/>
    <xf numFmtId="0" fontId="0" fillId="0" borderId="11" xfId="0" applyFont="1" applyBorder="1">
      <alignment horizontal="right" vertical="center"/>
    </xf>
    <xf numFmtId="0" fontId="0" fillId="0" borderId="12" xfId="0" applyFont="1" applyBorder="1">
      <alignment horizontal="left" vertical="center"/>
    </xf>
    <xf numFmtId="0" fontId="21" fillId="0" borderId="10" xfId="0" applyFont="1" applyBorder="1">
      <alignment horizontal="center" vertical="center"/>
    </xf>
    <xf numFmtId="0" fontId="21" fillId="0" borderId="10" xfId="0" applyFont="1" applyBorder="1">
      <alignment horizontal="left" vertical="center"/>
    </xf>
    <xf numFmtId="171" fontId="21" fillId="7" borderId="10" xfId="0" applyFont="1" applyFill="1" applyBorder="1" applyNumberFormat="1">
      <alignment horizontal="right" vertical="center"/>
    </xf>
    <xf numFmtId="171" fontId="21" fillId="34" borderId="10" xfId="0" applyFont="1" applyFill="1" applyBorder="1" applyNumberFormat="1">
      <alignment horizontal="right" vertical="center"/>
    </xf>
    <xf numFmtId="172" fontId="21" fillId="34" borderId="10" xfId="0" applyFont="1" applyFill="1" applyBorder="1" applyNumberFormat="1">
      <alignment horizontal="right" vertical="center"/>
    </xf>
    <xf numFmtId="171" fontId="21" fillId="0" borderId="10" xfId="0" applyFont="1" applyBorder="1" applyNumberFormat="1">
      <alignment horizontal="right" vertical="center"/>
    </xf>
    <xf numFmtId="171" fontId="20" fillId="0" borderId="10" xfId="0" applyFont="1" applyBorder="1" applyNumberFormat="1">
      <alignment horizontal="right" vertical="center"/>
    </xf>
    <xf numFmtId="172" fontId="21" fillId="0" borderId="10" xfId="0" applyFont="1" applyBorder="1" applyNumberFormat="1">
      <alignment horizontal="right" vertical="center"/>
    </xf>
    <xf numFmtId="2" fontId="21" fillId="0" borderId="10" xfId="0" applyFont="1" applyBorder="1" applyNumberFormat="1">
      <alignment horizontal="left" vertical="center"/>
    </xf>
    <xf numFmtId="172" fontId="20" fillId="0" borderId="10" xfId="0" applyFont="1" applyBorder="1" applyNumberFormat="1">
      <alignment horizontal="right" vertical="center"/>
    </xf>
    <xf numFmtId="172" fontId="20" fillId="34" borderId="10" xfId="0" applyFont="1" applyFill="1" applyBorder="1" applyNumberFormat="1">
      <alignment horizontal="right" vertical="center"/>
    </xf>
    <xf numFmtId="0" fontId="21" fillId="0" borderId="13" xfId="0" applyFont="1" applyBorder="1">
      <alignment vertical="center"/>
    </xf>
    <xf numFmtId="171" fontId="21" fillId="0" borderId="13" xfId="0" applyFont="1" applyBorder="1" applyNumberFormat="1">
      <alignment horizontal="right" vertical="center"/>
    </xf>
    <xf numFmtId="172" fontId="21" fillId="0" borderId="13" xfId="0" applyFont="1" applyBorder="1" applyNumberFormat="1">
      <alignment horizontal="right" vertical="center"/>
    </xf>
    <xf numFmtId="2" fontId="21" fillId="34" borderId="10" xfId="0" applyFont="1" applyFill="1" applyBorder="1" applyNumberFormat="1">
      <alignment horizontal="left" vertical="center"/>
    </xf>
    <xf numFmtId="0" fontId="21" fillId="34" borderId="10" xfId="0" applyFont="1" applyFill="1" applyBorder="1">
      <alignment horizontal="left" vertical="center"/>
    </xf>
    <xf numFmtId="0" fontId="21" fillId="0" borderId="10" xfId="0" applyFont="1" applyBorder="1">
      <alignment vertical="center"/>
    </xf>
    <xf numFmtId="172" fontId="21" fillId="0" borderId="10" xfId="28" applyFont="1" applyBorder="1" applyNumberFormat="1">
      <alignment horizontal="right" vertical="center"/>
    </xf>
    <xf numFmtId="0" fontId="20" fillId="0" borderId="10" xfId="0" applyFont="1" applyBorder="1">
      <alignment vertical="center"/>
    </xf>
    <xf numFmtId="0" fontId="20" fillId="0" borderId="10" xfId="0" applyFont="1" applyBorder="1">
      <alignment horizontal="right" vertical="center"/>
    </xf>
    <xf numFmtId="1" fontId="21" fillId="7" borderId="10" xfId="0" applyFont="1" applyFill="1" applyBorder="1" applyNumberFormat="1">
      <alignment horizontal="right" vertical="center"/>
    </xf>
    <xf numFmtId="2" fontId="21" fillId="34" borderId="10" xfId="0" applyFont="1" applyFill="1" applyBorder="1" applyNumberFormat="1">
      <alignment vertical="center"/>
    </xf>
    <xf numFmtId="0" fontId="21" fillId="34" borderId="10" xfId="0" applyFont="1" applyFill="1" applyBorder="1">
      <alignment vertical="center"/>
    </xf>
    <xf numFmtId="1" fontId="21" fillId="34" borderId="10" xfId="0" applyFont="1" applyFill="1" applyBorder="1" applyNumberFormat="1">
      <alignment horizontal="right" vertical="center"/>
    </xf>
    <xf numFmtId="0" fontId="21" fillId="34" borderId="10" xfId="0" applyFont="1" applyFill="1" applyBorder="1">
      <alignment horizontal="right" vertical="center"/>
    </xf>
    <xf numFmtId="2" fontId="21" fillId="34" borderId="10" xfId="0" applyFont="1" applyFill="1" applyBorder="1" applyNumberFormat="1">
      <alignment horizontal="right" vertical="center"/>
    </xf>
    <xf numFmtId="172" fontId="21" fillId="34" borderId="13" xfId="0" applyFont="1" applyFill="1" applyBorder="1" applyNumberFormat="1">
      <alignment horizontal="right" vertical="center"/>
    </xf>
    <xf numFmtId="0" fontId="21" fillId="34" borderId="13" xfId="0" applyFont="1" applyFill="1" applyBorder="1">
      <alignment vertical="center"/>
    </xf>
    <xf numFmtId="0" fontId="21" fillId="34" borderId="13" xfId="0" applyFont="1" applyFill="1" applyBorder="1">
      <alignment horizontal="right" vertical="center"/>
    </xf>
    <xf numFmtId="2" fontId="21" fillId="34" borderId="13" xfId="0" applyFont="1" applyFill="1" applyBorder="1" applyNumberFormat="1">
      <alignment horizontal="right" vertical="center"/>
    </xf>
    <xf numFmtId="0" fontId="21" fillId="0" borderId="14" xfId="0" applyFont="1" applyBorder="1">
      <alignment horizontal="center" vertical="center"/>
    </xf>
    <xf numFmtId="172" fontId="21" fillId="0" borderId="14" xfId="0" applyFont="1" applyBorder="1" applyNumberFormat="1">
      <alignment horizontal="right" vertical="center"/>
    </xf>
    <xf numFmtId="172" fontId="21" fillId="0" borderId="14" xfId="28" applyFont="1" applyBorder="1" applyNumberFormat="1">
      <alignment horizontal="right" vertical="center"/>
    </xf>
    <xf numFmtId="0" fontId="20" fillId="0" borderId="14" xfId="0" applyFont="1" applyBorder="1">
      <alignment horizontal="right" vertical="center"/>
    </xf>
    <xf numFmtId="2" fontId="21" fillId="0" borderId="10" xfId="0" applyFont="1" applyBorder="1" applyNumberFormat="1">
      <alignment horizontal="right" vertical="center"/>
    </xf>
    <xf numFmtId="2" fontId="21" fillId="0" borderId="14" xfId="0" applyFont="1" applyBorder="1" applyNumberFormat="1">
      <alignment horizontal="right" vertical="center"/>
    </xf>
    <xf numFmtId="0" fontId="21" fillId="0" borderId="10" xfId="0" applyFont="1" applyBorder="1">
      <alignment horizontal="right" vertical="center"/>
    </xf>
    <xf numFmtId="0" fontId="21" fillId="0" borderId="14" xfId="0" applyFont="1" applyBorder="1">
      <alignment horizontal="right" vertical="center"/>
    </xf>
    <xf numFmtId="0" fontId="20" fillId="0" borderId="14" xfId="0" applyFont="1" applyBorder="1">
      <alignment vertical="center"/>
    </xf>
    <xf numFmtId="2" fontId="21" fillId="0" borderId="13" xfId="0" applyFont="1" applyBorder="1" applyNumberFormat="1">
      <alignment horizontal="right" vertical="center"/>
    </xf>
    <xf numFmtId="2" fontId="21" fillId="0" borderId="15" xfId="0" applyFont="1" applyBorder="1" applyNumberFormat="1">
      <alignment horizontal="right" vertical="center"/>
    </xf>
    <xf numFmtId="0" fontId="0" fillId="0" borderId="0" xfId="0" applyFont="1">
      <alignment vertical="center"/>
    </xf>
    <xf numFmtId="0" fontId="0" fillId="0" borderId="0" xfId="0" applyFont="1">
      <alignment horizontal="right"/>
    </xf>
    <xf numFmtId="0" fontId="0" fillId="7" borderId="0" xfId="0" applyFont="1" applyFill="1">
      <alignment horizontal="left"/>
    </xf>
    <xf numFmtId="0" fontId="21" fillId="0" borderId="16" xfId="0" applyFont="1" applyBorder="1">
      <alignment horizontal="center" vertical="center" textRotation="255" wrapText="1"/>
    </xf>
    <xf numFmtId="0" fontId="21" fillId="0" borderId="17" xfId="0" applyFont="1" applyBorder="1">
      <alignment horizontal="center" vertical="center" textRotation="255" wrapText="1"/>
    </xf>
    <xf numFmtId="0" fontId="21" fillId="35" borderId="10" xfId="0" applyFont="1" applyFill="1" applyBorder="1">
      <alignment horizontal="center" vertical="center" wrapText="1"/>
    </xf>
    <xf numFmtId="0" fontId="21" fillId="34" borderId="10" xfId="0" applyFont="1" applyFill="1" applyBorder="1">
      <alignment horizontal="center" vertical="center" wrapText="1"/>
    </xf>
    <xf numFmtId="0" fontId="21" fillId="0" borderId="10" xfId="0" applyFont="1" applyBorder="1">
      <alignment horizontal="center" vertical="center"/>
    </xf>
    <xf numFmtId="0" fontId="21" fillId="35" borderId="16" xfId="0" applyFont="1" applyFill="1" applyBorder="1">
      <alignment horizontal="center" vertical="center" wrapText="1"/>
    </xf>
    <xf numFmtId="0" fontId="21" fillId="35" borderId="16" xfId="0" applyFont="1" applyFill="1" applyBorder="1">
      <alignment horizontal="center" vertical="center"/>
    </xf>
    <xf numFmtId="0" fontId="0" fillId="7" borderId="18" xfId="0" applyFont="1" applyFill="1" applyBorder="1">
      <alignment horizontal="left"/>
    </xf>
    <xf numFmtId="0" fontId="22" fillId="0" borderId="19" xfId="0" applyFont="1" applyBorder="1">
      <alignment horizontal="center" vertical="center"/>
    </xf>
    <xf numFmtId="0" fontId="22" fillId="0" borderId="20" xfId="0" applyFont="1" applyBorder="1">
      <alignment horizontal="center" vertical="center"/>
    </xf>
    <xf numFmtId="0" fontId="22" fillId="0" borderId="21" xfId="0" applyFont="1" applyBorder="1">
      <alignment horizontal="center" vertical="center"/>
    </xf>
    <xf numFmtId="0" fontId="0" fillId="0" borderId="22" xfId="0" applyFont="1" applyBorder="1">
      <alignment horizontal="center" vertical="center"/>
    </xf>
    <xf numFmtId="0" fontId="0" fillId="0" borderId="12" xfId="0" applyFont="1" applyBorder="1">
      <alignment horizontal="center" vertical="center"/>
    </xf>
    <xf numFmtId="0" fontId="0" fillId="0" borderId="11" xfId="0" applyFont="1" applyBorder="1">
      <alignment horizontal="left" vertical="center"/>
    </xf>
    <xf numFmtId="0" fontId="0" fillId="0" borderId="23" xfId="0" applyFont="1" applyBorder="1">
      <alignment horizontal="left" vertical="center"/>
    </xf>
    <xf numFmtId="0" fontId="0" fillId="0" borderId="12" xfId="0" applyFont="1" applyBorder="1">
      <alignment horizontal="left" vertical="center"/>
    </xf>
    <xf numFmtId="0" fontId="0" fillId="0" borderId="11" xfId="0" applyFont="1" applyBorder="1">
      <alignment horizontal="right" vertical="center"/>
    </xf>
    <xf numFmtId="0" fontId="0" fillId="0" borderId="24" xfId="0" applyFont="1" applyBorder="1">
      <alignment horizontal="right" vertical="center"/>
    </xf>
    <xf numFmtId="0" fontId="21" fillId="0" borderId="14" xfId="0" applyFont="1" applyBorder="1">
      <alignment horizontal="center" vertical="center"/>
    </xf>
    <xf numFmtId="0" fontId="21" fillId="0" borderId="16" xfId="0" applyFont="1" applyBorder="1">
      <alignment horizontal="center" vertical="center" wrapText="1"/>
    </xf>
    <xf numFmtId="0" fontId="21" fillId="0" borderId="16" xfId="0" applyFont="1" applyBorder="1">
      <alignment horizontal="center" vertical="center"/>
    </xf>
    <xf numFmtId="0" fontId="21" fillId="0" borderId="10" xfId="0" applyFont="1" applyBorder="1">
      <alignment horizontal="center" vertical="center" wrapText="1"/>
    </xf>
    <xf numFmtId="0" fontId="23" fillId="35" borderId="12" xfId="0" applyFont="1" applyFill="1" applyBorder="1">
      <alignment horizontal="left" vertical="center"/>
    </xf>
    <xf numFmtId="0" fontId="21" fillId="34" borderId="10" xfId="0" applyFont="1" applyFill="1" applyBorder="1">
      <alignment vertical="center" wrapText="1"/>
    </xf>
    <xf numFmtId="0" fontId="21" fillId="34" borderId="13" xfId="0" applyFont="1" applyFill="1" applyBorder="1">
      <alignment vertical="center" wrapText="1"/>
    </xf>
    <xf numFmtId="172" fontId="21" fillId="34" borderId="11" xfId="0" applyFont="1" applyFill="1" applyBorder="1" applyNumberFormat="1">
      <alignment horizontal="right" vertical="center"/>
    </xf>
    <xf numFmtId="172" fontId="20" fillId="34" borderId="11" xfId="0" applyFont="1" applyFill="1" applyBorder="1" applyNumberFormat="1">
      <alignment horizontal="right" vertical="center"/>
    </xf>
    <xf numFmtId="0" fontId="24" fillId="0" borderId="12" xfId="0" applyFont="1" applyBorder="1">
      <alignment horizontal="left" vertical="center"/>
    </xf>
    <xf numFmtId="173" fontId="24" fillId="0" borderId="12" xfId="0" applyFont="1" applyBorder="1" applyNumberFormat="1">
      <alignment horizontal="left" vertical="center"/>
    </xf>
    <xf numFmtId="0" fontId="24" fillId="0" borderId="25" xfId="0" applyFont="1" applyBorder="1">
      <alignment vertical="center"/>
    </xf>
    <xf numFmtId="0" fontId="24" fillId="0" borderId="12" xfId="0" applyFont="1" applyBorder="1">
      <alignment vertical="center"/>
    </xf>
    <xf numFmtId="0" fontId="21" fillId="34" borderId="26" xfId="0" applyFont="1" applyFill="1" applyBorder="1">
      <alignment horizontal="center" vertical="center" wrapText="1"/>
    </xf>
    <xf numFmtId="0" fontId="21" fillId="34" borderId="27" xfId="0" applyFont="1" applyFill="1" applyBorder="1">
      <alignment vertical="center" wrapText="1"/>
    </xf>
    <xf numFmtId="0" fontId="21" fillId="34" borderId="10" xfId="0" applyFont="1" applyFill="1" applyBorder="1">
      <alignment horizontal="center" vertical="center" wrapText="1"/>
    </xf>
    <xf numFmtId="0" fontId="21" fillId="7" borderId="10" xfId="0" applyFont="1" applyFill="1" applyBorder="1">
      <alignment horizontal="right" vertical="center"/>
    </xf>
    <xf numFmtId="0" fontId="20" fillId="7" borderId="10" xfId="0" applyFont="1" applyFill="1" applyBorder="1">
      <alignment vertical="center"/>
    </xf>
    <xf numFmtId="2" fontId="23" fillId="35" borderId="10" xfId="0" applyFont="1" applyFill="1" applyBorder="1" applyNumberFormat="1">
      <alignment horizontal="right" vertical="center"/>
    </xf>
    <xf numFmtId="0" fontId="0" fillId="0" borderId="0" xfId="0" applyFont="1">
      <alignment wrapText="1"/>
    </xf>
    <xf numFmtId="0" fontId="0" fillId="0" borderId="0" xfId="0" applyFont="1">
      <alignment vertical="center" wrapText="1"/>
    </xf>
    <xf numFmtId="0" fontId="22" fillId="0" borderId="19" xfId="0" applyFont="1" applyBorder="1">
      <alignment horizontal="center" vertical="center" wrapText="1"/>
    </xf>
    <xf numFmtId="0" fontId="22" fillId="0" borderId="20" xfId="0" applyFont="1" applyBorder="1">
      <alignment horizontal="center" vertical="center" wrapText="1"/>
    </xf>
    <xf numFmtId="0" fontId="22" fillId="0" borderId="21" xfId="0" applyFont="1" applyBorder="1">
      <alignment horizontal="center" vertical="center" wrapText="1"/>
    </xf>
    <xf numFmtId="0" fontId="0" fillId="0" borderId="22" xfId="0" applyFont="1" applyBorder="1">
      <alignment horizontal="center" vertical="center" wrapText="1"/>
    </xf>
    <xf numFmtId="0" fontId="0" fillId="0" borderId="12" xfId="0" applyFont="1" applyBorder="1">
      <alignment horizontal="center" vertical="center" wrapText="1"/>
    </xf>
    <xf numFmtId="0" fontId="0" fillId="0" borderId="10" xfId="0" applyFont="1" applyBorder="1">
      <alignment wrapText="1"/>
    </xf>
    <xf numFmtId="0" fontId="0" fillId="0" borderId="11" xfId="0" applyFont="1" applyBorder="1">
      <alignment horizontal="right" vertical="center" wrapText="1"/>
    </xf>
    <xf numFmtId="0" fontId="0" fillId="0" borderId="12" xfId="0" applyFont="1" applyBorder="1">
      <alignment horizontal="left" vertical="center" wrapText="1"/>
    </xf>
    <xf numFmtId="0" fontId="0" fillId="0" borderId="11" xfId="0" applyFont="1" applyBorder="1">
      <alignment horizontal="left" vertical="center" wrapText="1"/>
    </xf>
    <xf numFmtId="0" fontId="0" fillId="0" borderId="23" xfId="0" applyFont="1" applyBorder="1">
      <alignment horizontal="left" vertical="center" wrapText="1"/>
    </xf>
    <xf numFmtId="0" fontId="0" fillId="0" borderId="12" xfId="0" applyFont="1" applyBorder="1">
      <alignment horizontal="left" vertical="center" wrapText="1"/>
    </xf>
    <xf numFmtId="0" fontId="0" fillId="0" borderId="11" xfId="0" applyFont="1" applyBorder="1">
      <alignment horizontal="right" vertical="center" wrapText="1"/>
    </xf>
    <xf numFmtId="0" fontId="0" fillId="0" borderId="24" xfId="0" applyFont="1" applyBorder="1">
      <alignment horizontal="right" vertical="center" wrapText="1"/>
    </xf>
    <xf numFmtId="0" fontId="21" fillId="0" borderId="16" xfId="0" applyFont="1" applyBorder="1">
      <alignment horizontal="center" vertical="center" wrapText="1"/>
    </xf>
    <xf numFmtId="0" fontId="21" fillId="0" borderId="10" xfId="0" applyFont="1" applyBorder="1">
      <alignment horizontal="center" vertical="center" wrapText="1"/>
    </xf>
    <xf numFmtId="0" fontId="21" fillId="0" borderId="10" xfId="0" applyFont="1" applyBorder="1">
      <alignment horizontal="center" vertical="center" wrapText="1"/>
    </xf>
    <xf numFmtId="0" fontId="21" fillId="0" borderId="14" xfId="0" applyFont="1" applyBorder="1">
      <alignment horizontal="center" vertical="center" wrapText="1"/>
    </xf>
    <xf numFmtId="0" fontId="21" fillId="0" borderId="16" xfId="0" applyFont="1" applyBorder="1">
      <alignment horizontal="center" vertical="center" wrapText="1"/>
    </xf>
    <xf numFmtId="0" fontId="21" fillId="0" borderId="10" xfId="0" applyFont="1" applyBorder="1">
      <alignment horizontal="center" vertical="center" wrapText="1"/>
    </xf>
    <xf numFmtId="0" fontId="21" fillId="0" borderId="14" xfId="0" applyFont="1" applyBorder="1">
      <alignment horizontal="center" vertical="center" wrapText="1"/>
    </xf>
    <xf numFmtId="0" fontId="21" fillId="35" borderId="16" xfId="0" applyFont="1" applyFill="1" applyBorder="1">
      <alignment horizontal="center" vertical="center" wrapText="1"/>
    </xf>
    <xf numFmtId="0" fontId="21" fillId="0" borderId="10" xfId="0" applyFont="1" applyBorder="1">
      <alignment horizontal="left" vertical="center" wrapText="1"/>
    </xf>
    <xf numFmtId="171" fontId="21" fillId="7" borderId="10" xfId="0" applyFont="1" applyFill="1" applyBorder="1" applyNumberFormat="1">
      <alignment horizontal="right" vertical="center" wrapText="1"/>
      <protection locked="0"/>
    </xf>
    <xf numFmtId="171" fontId="21" fillId="34" borderId="10" xfId="0" applyFont="1" applyFill="1" applyBorder="1" applyNumberFormat="1">
      <alignment horizontal="right" vertical="center" wrapText="1"/>
    </xf>
    <xf numFmtId="172" fontId="21" fillId="34" borderId="10" xfId="0" applyFont="1" applyFill="1" applyBorder="1" applyNumberFormat="1">
      <alignment horizontal="right" vertical="center" wrapText="1"/>
    </xf>
    <xf numFmtId="171" fontId="21" fillId="0" borderId="10" xfId="0" applyFont="1" applyBorder="1" applyNumberFormat="1">
      <alignment horizontal="right" vertical="center" wrapText="1"/>
    </xf>
    <xf numFmtId="0" fontId="21" fillId="35" borderId="10" xfId="0" applyFont="1" applyFill="1" applyBorder="1">
      <alignment horizontal="center" vertical="center" wrapText="1"/>
    </xf>
    <xf numFmtId="2" fontId="21" fillId="34" borderId="10" xfId="0" applyFont="1" applyFill="1" applyBorder="1" applyNumberFormat="1">
      <alignment horizontal="left" vertical="center" wrapText="1"/>
    </xf>
    <xf numFmtId="172" fontId="21" fillId="0" borderId="10" xfId="0" applyFont="1" applyBorder="1" applyNumberFormat="1">
      <alignment horizontal="right" vertical="center" wrapText="1"/>
    </xf>
    <xf numFmtId="172" fontId="21" fillId="0" borderId="14" xfId="0" applyFont="1" applyBorder="1" applyNumberFormat="1">
      <alignment horizontal="right" vertical="center" wrapText="1"/>
    </xf>
    <xf numFmtId="0" fontId="21" fillId="35" borderId="16" xfId="0" applyFont="1" applyFill="1" applyBorder="1">
      <alignment horizontal="center" vertical="center" wrapText="1"/>
    </xf>
    <xf numFmtId="171" fontId="20" fillId="0" borderId="10" xfId="0" applyFont="1" applyBorder="1" applyNumberFormat="1">
      <alignment horizontal="right" vertical="center" wrapText="1"/>
    </xf>
    <xf numFmtId="0" fontId="21" fillId="34" borderId="10" xfId="0" applyFont="1" applyFill="1" applyBorder="1">
      <alignment horizontal="left" vertical="center" wrapText="1"/>
    </xf>
    <xf numFmtId="0" fontId="21" fillId="0" borderId="10" xfId="0" applyFont="1" applyBorder="1">
      <alignment vertical="center" wrapText="1"/>
    </xf>
    <xf numFmtId="172" fontId="21" fillId="0" borderId="10" xfId="0" applyFont="1" applyBorder="1" applyNumberFormat="1">
      <alignment horizontal="right" vertical="center" wrapText="1"/>
    </xf>
    <xf numFmtId="172" fontId="21" fillId="0" borderId="14" xfId="0" applyFont="1" applyBorder="1" applyNumberFormat="1">
      <alignment horizontal="right" vertical="center" wrapText="1"/>
    </xf>
    <xf numFmtId="0" fontId="20" fillId="0" borderId="10" xfId="0" applyFont="1" applyBorder="1">
      <alignment vertical="center" wrapText="1"/>
    </xf>
    <xf numFmtId="0" fontId="20" fillId="0" borderId="10" xfId="0" applyFont="1" applyBorder="1">
      <alignment horizontal="right" vertical="center" wrapText="1"/>
    </xf>
    <xf numFmtId="0" fontId="20" fillId="0" borderId="14" xfId="0" applyFont="1" applyBorder="1">
      <alignment horizontal="right" vertical="center" wrapText="1"/>
    </xf>
    <xf numFmtId="1" fontId="21" fillId="7" borderId="10" xfId="0" applyFont="1" applyFill="1" applyBorder="1" applyNumberFormat="1">
      <alignment horizontal="right" vertical="center" wrapText="1"/>
      <protection locked="0"/>
    </xf>
    <xf numFmtId="2" fontId="21" fillId="34" borderId="10" xfId="0" applyFont="1" applyFill="1" applyBorder="1" applyNumberFormat="1">
      <alignment vertical="center" wrapText="1"/>
    </xf>
    <xf numFmtId="0" fontId="21" fillId="34" borderId="10" xfId="0" applyFont="1" applyFill="1" applyBorder="1">
      <alignment vertical="center" wrapText="1"/>
    </xf>
    <xf numFmtId="0" fontId="21" fillId="34" borderId="10" xfId="0" applyFont="1" applyFill="1" applyBorder="1">
      <alignment horizontal="center" vertical="center" wrapText="1"/>
    </xf>
    <xf numFmtId="0" fontId="21" fillId="34" borderId="26" xfId="0" applyFont="1" applyFill="1" applyBorder="1">
      <alignment horizontal="center" vertical="center" wrapText="1"/>
    </xf>
    <xf numFmtId="1" fontId="21" fillId="34" borderId="10" xfId="0" applyFont="1" applyFill="1" applyBorder="1" applyNumberFormat="1">
      <alignment horizontal="right" vertical="center" wrapText="1"/>
    </xf>
    <xf numFmtId="172" fontId="21" fillId="34" borderId="11" xfId="0" applyFont="1" applyFill="1" applyBorder="1" applyNumberFormat="1">
      <alignment horizontal="right" vertical="center" wrapText="1"/>
    </xf>
    <xf numFmtId="0" fontId="21" fillId="34" borderId="10" xfId="0" applyFont="1" applyFill="1" applyBorder="1">
      <alignment horizontal="center" vertical="center" wrapText="1"/>
    </xf>
    <xf numFmtId="0" fontId="23" fillId="35" borderId="12" xfId="0" applyFont="1" applyFill="1" applyBorder="1">
      <alignment horizontal="left" vertical="center" wrapText="1"/>
    </xf>
    <xf numFmtId="0" fontId="21" fillId="7" borderId="10" xfId="0" applyFont="1" applyFill="1" applyBorder="1">
      <alignment horizontal="right" vertical="center" wrapText="1"/>
      <protection locked="0"/>
    </xf>
    <xf numFmtId="0" fontId="21" fillId="34" borderId="10" xfId="0" applyFont="1" applyFill="1" applyBorder="1">
      <alignment horizontal="right" vertical="center" wrapText="1"/>
    </xf>
    <xf numFmtId="2" fontId="21" fillId="34" borderId="10" xfId="0" applyFont="1" applyFill="1" applyBorder="1" applyNumberFormat="1">
      <alignment horizontal="right" vertical="center" wrapText="1"/>
    </xf>
    <xf numFmtId="2" fontId="21" fillId="0" borderId="10" xfId="0" applyFont="1" applyBorder="1" applyNumberFormat="1">
      <alignment horizontal="right" vertical="center" wrapText="1"/>
    </xf>
    <xf numFmtId="2" fontId="21" fillId="0" borderId="14" xfId="0" applyFont="1" applyBorder="1" applyNumberFormat="1">
      <alignment horizontal="right" vertical="center" wrapText="1"/>
    </xf>
    <xf numFmtId="2" fontId="23" fillId="35" borderId="10" xfId="0" applyFont="1" applyFill="1" applyBorder="1" applyNumberFormat="1">
      <alignment horizontal="right" vertical="center" wrapText="1"/>
    </xf>
    <xf numFmtId="0" fontId="21" fillId="0" borderId="10" xfId="0" applyFont="1" applyBorder="1">
      <alignment horizontal="right" vertical="center" wrapText="1"/>
    </xf>
    <xf numFmtId="0" fontId="21" fillId="0" borderId="14" xfId="0" applyFont="1" applyBorder="1">
      <alignment horizontal="right" vertical="center" wrapText="1"/>
    </xf>
    <xf numFmtId="2" fontId="21" fillId="0" borderId="10" xfId="0" applyFont="1" applyBorder="1" applyNumberFormat="1">
      <alignment horizontal="left" vertical="center" wrapText="1"/>
    </xf>
    <xf numFmtId="0" fontId="24" fillId="0" borderId="12" xfId="0" applyFont="1" applyBorder="1">
      <alignment horizontal="left" vertical="center" wrapText="1"/>
    </xf>
    <xf numFmtId="173" fontId="24" fillId="0" borderId="12" xfId="0" applyFont="1" applyBorder="1" applyNumberFormat="1">
      <alignment horizontal="left" vertical="center" wrapText="1"/>
    </xf>
    <xf numFmtId="0" fontId="21" fillId="0" borderId="16" xfId="0" applyFont="1" applyBorder="1">
      <alignment horizontal="center" vertical="center" textRotation="255" wrapText="1"/>
    </xf>
    <xf numFmtId="0" fontId="24" fillId="0" borderId="25" xfId="0" applyFont="1" applyBorder="1">
      <alignment vertical="center" wrapText="1"/>
    </xf>
    <xf numFmtId="172" fontId="20" fillId="0" borderId="10" xfId="0" applyFont="1" applyBorder="1" applyNumberFormat="1">
      <alignment horizontal="right" vertical="center" wrapText="1"/>
    </xf>
    <xf numFmtId="172" fontId="20" fillId="34" borderId="10" xfId="0" applyFont="1" applyFill="1" applyBorder="1" applyNumberFormat="1">
      <alignment horizontal="right" vertical="center" wrapText="1"/>
    </xf>
    <xf numFmtId="172" fontId="20" fillId="34" borderId="11" xfId="0" applyFont="1" applyFill="1" applyBorder="1" applyNumberFormat="1">
      <alignment horizontal="right" vertical="center" wrapText="1"/>
    </xf>
    <xf numFmtId="0" fontId="20" fillId="7" borderId="10" xfId="0" applyFont="1" applyFill="1" applyBorder="1">
      <alignment vertical="center" wrapText="1"/>
      <protection locked="0"/>
    </xf>
    <xf numFmtId="0" fontId="20" fillId="0" borderId="14" xfId="0" applyFont="1" applyBorder="1">
      <alignment vertical="center" wrapText="1"/>
    </xf>
    <xf numFmtId="0" fontId="24" fillId="0" borderId="12" xfId="0" applyFont="1" applyBorder="1">
      <alignment vertical="center" wrapText="1"/>
    </xf>
    <xf numFmtId="0" fontId="21" fillId="34" borderId="27" xfId="0" applyFont="1" applyFill="1" applyBorder="1">
      <alignment vertical="center" wrapText="1"/>
    </xf>
    <xf numFmtId="0" fontId="21" fillId="34" borderId="10" xfId="0" applyFont="1" applyFill="1" applyBorder="1">
      <alignment vertical="center" wrapText="1"/>
    </xf>
    <xf numFmtId="0" fontId="21" fillId="0" borderId="17" xfId="0" applyFont="1" applyBorder="1">
      <alignment horizontal="center" vertical="center" textRotation="255" wrapText="1"/>
    </xf>
    <xf numFmtId="0" fontId="21" fillId="0" borderId="13" xfId="0" applyFont="1" applyBorder="1">
      <alignment vertical="center" wrapText="1"/>
    </xf>
    <xf numFmtId="171" fontId="21" fillId="0" borderId="13" xfId="0" applyFont="1" applyBorder="1" applyNumberFormat="1">
      <alignment horizontal="right" vertical="center" wrapText="1"/>
    </xf>
    <xf numFmtId="172" fontId="21" fillId="0" borderId="13" xfId="0" applyFont="1" applyBorder="1" applyNumberFormat="1">
      <alignment horizontal="right" vertical="center" wrapText="1"/>
    </xf>
    <xf numFmtId="172" fontId="21" fillId="34" borderId="13" xfId="0" applyFont="1" applyFill="1" applyBorder="1" applyNumberFormat="1">
      <alignment horizontal="right" vertical="center" wrapText="1"/>
    </xf>
    <xf numFmtId="0" fontId="21" fillId="34" borderId="13" xfId="0" applyFont="1" applyFill="1" applyBorder="1">
      <alignment vertical="center" wrapText="1"/>
    </xf>
    <xf numFmtId="0" fontId="21" fillId="34" borderId="13" xfId="0" applyFont="1" applyFill="1" applyBorder="1">
      <alignment vertical="center" wrapText="1"/>
    </xf>
    <xf numFmtId="0" fontId="21" fillId="34" borderId="13" xfId="0" applyFont="1" applyFill="1" applyBorder="1">
      <alignment horizontal="right" vertical="center" wrapText="1"/>
    </xf>
    <xf numFmtId="2" fontId="21" fillId="34" borderId="13" xfId="0" applyFont="1" applyFill="1" applyBorder="1" applyNumberFormat="1">
      <alignment horizontal="right" vertical="center" wrapText="1"/>
    </xf>
    <xf numFmtId="2" fontId="21" fillId="0" borderId="13" xfId="0" applyFont="1" applyBorder="1" applyNumberFormat="1">
      <alignment horizontal="right" vertical="center" wrapText="1"/>
    </xf>
    <xf numFmtId="2" fontId="21" fillId="0" borderId="15" xfId="0" applyFont="1" applyBorder="1" applyNumberFormat="1">
      <alignment horizontal="right" vertical="center" wrapText="1"/>
    </xf>
    <xf numFmtId="0" fontId="0" fillId="0" borderId="0" xfId="0" applyFont="1">
      <alignment horizontal="right" wrapText="1"/>
    </xf>
    <xf numFmtId="0" fontId="0" fillId="7" borderId="0" xfId="0" applyFont="1" applyFill="1">
      <alignment horizontal="left" wrapText="1"/>
      <protection locked="0"/>
    </xf>
    <xf numFmtId="0" fontId="0" fillId="7" borderId="18" xfId="0" applyFont="1" applyFill="1" applyBorder="1">
      <alignment horizontal="left" wrapText="1"/>
      <protection locked="0"/>
    </xf>
    <xf numFmtId="0" fontId="0" fillId="7" borderId="18" xfId="0" applyFont="1" applyFill="1" applyBorder="1">
      <alignment horizontal="left"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20" fillId="0" borderId="0" xfId="0" applyFont="1">
      <alignment wrapText="1"/>
    </xf>
    <xf numFmtId="0" fontId="0" fillId="0" borderId="0" xfId="0" applyFont="1">
      <alignment wrapText="1"/>
    </xf>
    <xf numFmtId="0" fontId="0" fillId="33" borderId="0" xfId="0" applyFont="1" applyFill="1">
      <alignment wrapText="1"/>
    </xf>
    <xf numFmtId="0" fontId="0" fillId="0" borderId="0" xfId="0" applyFont="1">
      <alignment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>
      <alignment wrapText="1"/>
    </xf>
    <xf numFmtId="0" fontId="23" fillId="35" borderId="12" xfId="0" applyFont="1" applyFill="1" applyBorder="1">
      <alignment horizontal="left" vertical="center" wrapText="1"/>
    </xf>
    <xf numFmtId="0" fontId="24" fillId="0" borderId="12" xfId="0" applyFont="1" applyBorder="1">
      <alignment horizontal="left" vertical="center" wrapText="1"/>
    </xf>
    <xf numFmtId="173" fontId="24" fillId="0" borderId="12" xfId="0" applyFont="1" applyBorder="1" applyNumberFormat="1">
      <alignment horizontal="left" vertical="center" wrapText="1"/>
    </xf>
    <xf numFmtId="0" fontId="24" fillId="0" borderId="25" xfId="0" applyFont="1" applyBorder="1">
      <alignment vertical="center" wrapText="1"/>
    </xf>
    <xf numFmtId="0" fontId="24" fillId="0" borderId="12" xfId="0" applyFont="1" applyBorder="1">
      <alignment vertical="center" wrapText="1"/>
    </xf>
  </cellXfs>
  <cellStyles count="49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  <cellStyle name="超链接" xfId="47"/>
    <cellStyle name="已访问的超链接" xfId="48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DD43B68-5A58-1098-DD78-7578500482A8}" mc:Ignorable="x14ac xr xr2 xr3">
  <dimension ref="A1:V50"/>
  <sheetViews>
    <sheetView showGridLines="0" workbookViewId="0" tabSelected="1">
      <pane xSplit="21" ySplit="4" topLeftCell="V5" activePane="bottomRight" state="frozen"/>
      <selection pane="bottomLeft" activeCell="A5" sqref="A5"/>
      <selection pane="topRight" activeCell="V1" sqref="V1"/>
      <selection pane="bottomRight" activeCell="A1" sqref="A1"/>
    </sheetView>
  </sheetViews>
  <sheetFormatPr defaultColWidth="9.00390625" customHeight="1" defaultRowHeight="13.7025"/>
  <cols>
    <col min="1" max="1" style="222" width="2.57421875" customWidth="1"/>
    <col min="2" max="2" style="223" width="8.57421875" customWidth="1"/>
    <col min="3" max="3" style="224" width="15.57421875" customWidth="1"/>
    <col min="4" max="4" style="225" width="15.57421875" customWidth="1"/>
    <col min="5" max="5" style="226" width="15.57421875" customWidth="1"/>
    <col min="6" max="6" style="227" width="15.57421875" customWidth="1"/>
    <col min="7" max="7" style="228" width="15.57421875" customWidth="1"/>
    <col min="8" max="8" style="229" width="15.57421875" customWidth="1"/>
    <col min="9" max="9" style="230" width="15.57421875" customWidth="1"/>
    <col min="10" max="10" style="231" width="15.57421875" customWidth="1"/>
    <col min="11" max="11" style="232" width="15.57421875" customWidth="1"/>
    <col min="12" max="12" style="233" width="8.57421875" customWidth="1"/>
    <col min="13" max="13" style="234" width="15.57421875" customWidth="1"/>
    <col min="14" max="14" style="235" width="15.57421875" customWidth="1"/>
    <col min="15" max="15" style="236" width="15.57421875" customWidth="1"/>
    <col min="16" max="16" style="237" width="15.57421875" customWidth="1"/>
    <col min="17" max="17" style="238" width="15.57421875" customWidth="1"/>
    <col min="18" max="18" style="239" width="15.57421875" customWidth="1"/>
    <col min="19" max="19" style="240" width="15.57421875" customWidth="1"/>
    <col min="20" max="20" style="241" width="15.57421875" customWidth="1"/>
    <col min="21" max="21" style="242" width="15.57421875" customWidth="1"/>
  </cols>
  <sheetData>
    <row customHeight="1" ht="2.25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136"/>
    </row>
    <row s="96" customFormat="1" customHeight="1" ht="27">
      <c r="A2" s="137"/>
      <c r="B2" s="138" t="s">
        <v>0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40"/>
      <c r="V2" s="137"/>
    </row>
    <row customHeight="1" ht="20.25">
      <c r="A3" s="51"/>
      <c r="B3" s="141" t="s">
        <v>1</v>
      </c>
      <c r="C3" s="142"/>
      <c r="D3" s="143"/>
      <c r="E3" s="143"/>
      <c r="F3" s="144" t="s">
        <v>2</v>
      </c>
      <c r="G3" s="145" t="s">
        <v>3</v>
      </c>
      <c r="H3" s="143"/>
      <c r="I3" s="143"/>
      <c r="J3" s="143"/>
      <c r="K3" s="143"/>
      <c r="L3" s="143"/>
      <c r="M3" s="143"/>
      <c r="N3" s="143"/>
      <c r="O3" s="143"/>
      <c r="P3" s="146" t="str">
        <f>Sheet2!A1&amp;Sheet2!B1&amp;Sheet2!C1</f>
        <v>报表生成时间：2025-12 8:00:00</v>
      </c>
      <c r="Q3" s="147"/>
      <c r="R3" s="148"/>
      <c r="S3" s="143"/>
      <c r="T3" s="149" t="s">
        <v>4</v>
      </c>
      <c r="U3" s="150"/>
      <c r="V3" s="136"/>
    </row>
    <row customHeight="1" ht="20.25">
      <c r="A4" s="51"/>
      <c r="B4" s="118" t="s">
        <v>5</v>
      </c>
      <c r="C4" s="152" t="s">
        <v>6</v>
      </c>
      <c r="D4" s="152" t="s">
        <v>7</v>
      </c>
      <c r="E4" s="152"/>
      <c r="F4" s="152" t="s">
        <v>8</v>
      </c>
      <c r="G4" s="152"/>
      <c r="H4" s="152" t="s">
        <v>9</v>
      </c>
      <c r="I4" s="152"/>
      <c r="J4" s="152" t="s">
        <v>8</v>
      </c>
      <c r="K4" s="152"/>
      <c r="L4" s="120" t="s">
        <v>5</v>
      </c>
      <c r="M4" s="152" t="s">
        <v>6</v>
      </c>
      <c r="N4" s="152" t="s">
        <v>7</v>
      </c>
      <c r="O4" s="152"/>
      <c r="P4" s="152" t="s">
        <v>8</v>
      </c>
      <c r="Q4" s="152"/>
      <c r="R4" s="152" t="s">
        <v>9</v>
      </c>
      <c r="S4" s="152"/>
      <c r="T4" s="152" t="s">
        <v>8</v>
      </c>
      <c r="U4" s="154"/>
      <c r="V4" s="136"/>
    </row>
    <row customHeight="1" ht="20.25">
      <c r="A5" s="51"/>
      <c r="B5" s="155"/>
      <c r="C5" s="152"/>
      <c r="D5" s="156" t="s">
        <v>10</v>
      </c>
      <c r="E5" s="156" t="s">
        <v>11</v>
      </c>
      <c r="F5" s="156" t="s">
        <v>10</v>
      </c>
      <c r="G5" s="156" t="s">
        <v>11</v>
      </c>
      <c r="H5" s="156" t="s">
        <v>10</v>
      </c>
      <c r="I5" s="156" t="s">
        <v>11</v>
      </c>
      <c r="J5" s="156" t="s">
        <v>10</v>
      </c>
      <c r="K5" s="156" t="s">
        <v>11</v>
      </c>
      <c r="L5" s="152"/>
      <c r="M5" s="152"/>
      <c r="N5" s="156" t="s">
        <v>10</v>
      </c>
      <c r="O5" s="156" t="s">
        <v>11</v>
      </c>
      <c r="P5" s="156" t="s">
        <v>10</v>
      </c>
      <c r="Q5" s="156" t="s">
        <v>11</v>
      </c>
      <c r="R5" s="156" t="s">
        <v>10</v>
      </c>
      <c r="S5" s="156" t="s">
        <v>11</v>
      </c>
      <c r="T5" s="156" t="s">
        <v>10</v>
      </c>
      <c r="U5" s="157" t="s">
        <v>11</v>
      </c>
      <c r="V5" s="136"/>
    </row>
    <row customHeight="1" ht="20.25">
      <c r="A6" s="51"/>
      <c r="B6" s="104" t="s">
        <v>12</v>
      </c>
      <c r="C6" s="159" t="s">
        <v>13</v>
      </c>
      <c r="D6" s="160">
        <v>379023</v>
      </c>
      <c r="E6" s="161">
        <f>_xlfn.IFERROR(取值!A73+D6,"")</f>
        <v>3972275</v>
      </c>
      <c r="F6" s="162"/>
      <c r="G6" s="162"/>
      <c r="H6" s="163"/>
      <c r="I6" s="161"/>
      <c r="J6" s="162"/>
      <c r="K6" s="162"/>
      <c r="L6" s="101" t="s">
        <v>14</v>
      </c>
      <c r="M6" s="165" t="s">
        <v>15</v>
      </c>
      <c r="N6" s="160">
        <v>94368</v>
      </c>
      <c r="O6" s="161">
        <f>_xlfn.IFERROR(取值!A113+N6,"")</f>
        <v>1002315</v>
      </c>
      <c r="P6" s="162"/>
      <c r="Q6" s="162"/>
      <c r="R6" s="161"/>
      <c r="S6" s="161"/>
      <c r="T6" s="166"/>
      <c r="U6" s="167"/>
      <c r="V6" s="136"/>
    </row>
    <row customHeight="1" ht="20.25">
      <c r="A7" s="51"/>
      <c r="B7" s="168"/>
      <c r="C7" s="159" t="s">
        <v>16</v>
      </c>
      <c r="D7" s="160">
        <v>48401</v>
      </c>
      <c r="E7" s="161">
        <f>_xlfn.IFERROR(取值!A74+D7,"")</f>
        <v>493722</v>
      </c>
      <c r="F7" s="162">
        <f>_xlfn.IFERROR(D7/D6*100,"")</f>
        <v>12.7699374444295</v>
      </c>
      <c r="G7" s="162">
        <f>_xlfn.IFERROR(E7/E6*100,"")</f>
        <v>12.4291998917497</v>
      </c>
      <c r="H7" s="163"/>
      <c r="I7" s="161"/>
      <c r="J7" s="162" t="str">
        <f>_xlfn.IFERROR(H7/H6*100,"")</f>
        <v/>
      </c>
      <c r="K7" s="162" t="str">
        <f>_xlfn.IFERROR(I7/I6*100,"")</f>
        <v/>
      </c>
      <c r="L7" s="101"/>
      <c r="M7" s="165" t="s">
        <v>17</v>
      </c>
      <c r="N7" s="160">
        <v>51101</v>
      </c>
      <c r="O7" s="161">
        <f>_xlfn.IFERROR(取值!A114+N7,"")</f>
        <v>634833</v>
      </c>
      <c r="P7" s="162">
        <f>_xlfn.IFERROR(N7/N6*100,"")</f>
        <v>54.1507714479485</v>
      </c>
      <c r="Q7" s="162">
        <f>_xlfn.IFERROR(O7/O6*100,"")</f>
        <v>63.3366755959953</v>
      </c>
      <c r="R7" s="161"/>
      <c r="S7" s="161"/>
      <c r="T7" s="166" t="str">
        <f>_xlfn.IFERROR(R7/R6*100,"")</f>
        <v/>
      </c>
      <c r="U7" s="167" t="str">
        <f>_xlfn.IFERROR(S7/S6*100,"")</f>
        <v/>
      </c>
      <c r="V7" s="136"/>
    </row>
    <row customHeight="1" ht="20.25">
      <c r="A8" s="51"/>
      <c r="B8" s="168"/>
      <c r="C8" s="159" t="s">
        <v>18</v>
      </c>
      <c r="D8" s="160">
        <v>29173</v>
      </c>
      <c r="E8" s="161">
        <f>_xlfn.IFERROR(取值!A75+D8,"")</f>
        <v>281248</v>
      </c>
      <c r="F8" s="162">
        <f>_xlfn.IFERROR(D8/D6*100,"")</f>
        <v>7.69689438371814</v>
      </c>
      <c r="G8" s="162">
        <f>_xlfn.IFERROR(E8/E6*100,"")</f>
        <v>7.08027515718323</v>
      </c>
      <c r="H8" s="163"/>
      <c r="I8" s="161"/>
      <c r="J8" s="162" t="str">
        <f>_xlfn.IFERROR(H8/H6*100,"")</f>
        <v/>
      </c>
      <c r="K8" s="162" t="str">
        <f>_xlfn.IFERROR(I8/I6*100,"")</f>
        <v/>
      </c>
      <c r="L8" s="101"/>
      <c r="M8" s="165" t="s">
        <v>19</v>
      </c>
      <c r="N8" s="160">
        <v>4696</v>
      </c>
      <c r="O8" s="161">
        <f>_xlfn.IFERROR(取值!A115+N8,"")</f>
        <v>21166</v>
      </c>
      <c r="P8" s="162">
        <f>_xlfn.IFERROR(N8/N6*100,"")</f>
        <v>4.97626314004747</v>
      </c>
      <c r="Q8" s="162">
        <f>_xlfn.IFERROR(O8/O6*100,"")</f>
        <v>2.11171138813646</v>
      </c>
      <c r="R8" s="161"/>
      <c r="S8" s="161"/>
      <c r="T8" s="166" t="str">
        <f>_xlfn.IFERROR(R8/R6*100,"")</f>
        <v/>
      </c>
      <c r="U8" s="167" t="str">
        <f>_xlfn.IFERROR(S8/S6*100,"")</f>
        <v/>
      </c>
      <c r="V8" s="136"/>
    </row>
    <row customHeight="1" ht="20.25">
      <c r="A9" s="51"/>
      <c r="B9" s="168"/>
      <c r="C9" s="159" t="s">
        <v>20</v>
      </c>
      <c r="D9" s="160">
        <v>0</v>
      </c>
      <c r="E9" s="161">
        <f>_xlfn.IFERROR(取值!A76+D9,"")</f>
        <v>0</v>
      </c>
      <c r="F9" s="162">
        <f>_xlfn.IFERROR(D9/D6*100,"")</f>
        <v>0</v>
      </c>
      <c r="G9" s="162">
        <f>_xlfn.IFERROR(E9/E6*100,"")</f>
        <v>0</v>
      </c>
      <c r="H9" s="169"/>
      <c r="I9" s="161"/>
      <c r="J9" s="162" t="str">
        <f>_xlfn.IFERROR(H9/H6*100,"")</f>
        <v/>
      </c>
      <c r="K9" s="162" t="str">
        <f>_xlfn.IFERROR(I9/I6*100,"")</f>
        <v/>
      </c>
      <c r="L9" s="101"/>
      <c r="M9" s="165" t="s">
        <v>21</v>
      </c>
      <c r="N9" s="160">
        <v>13694</v>
      </c>
      <c r="O9" s="161">
        <f>_xlfn.IFERROR(取值!A116+N9,"")</f>
        <v>136054</v>
      </c>
      <c r="P9" s="162">
        <f>_xlfn.IFERROR(N9/N6*100,"")</f>
        <v>14.5112750084775</v>
      </c>
      <c r="Q9" s="162">
        <f>_xlfn.IFERROR(O9/O6*100,"")</f>
        <v>13.5739762449928</v>
      </c>
      <c r="R9" s="161"/>
      <c r="S9" s="161"/>
      <c r="T9" s="166" t="str">
        <f>_xlfn.IFERROR(R9/R6*100,"")</f>
        <v/>
      </c>
      <c r="U9" s="167" t="str">
        <f>_xlfn.IFERROR(S9/S6*100,"")</f>
        <v/>
      </c>
      <c r="V9" s="136"/>
    </row>
    <row customHeight="1" ht="20.25">
      <c r="A10" s="51"/>
      <c r="B10" s="168"/>
      <c r="C10" s="159" t="s">
        <v>22</v>
      </c>
      <c r="D10" s="160">
        <v>0</v>
      </c>
      <c r="E10" s="161">
        <f>_xlfn.IFERROR(取值!A77+D10,"")</f>
        <v>0</v>
      </c>
      <c r="F10" s="162">
        <f>_xlfn.IFERROR(D10/D6*100,"")</f>
        <v>0</v>
      </c>
      <c r="G10" s="162">
        <f>_xlfn.IFERROR(E10/E6*100,"")</f>
        <v>0</v>
      </c>
      <c r="H10" s="163"/>
      <c r="I10" s="161"/>
      <c r="J10" s="162" t="str">
        <f>_xlfn.IFERROR(H10/H6*100,"")</f>
        <v/>
      </c>
      <c r="K10" s="162" t="str">
        <f>_xlfn.IFERROR(I10/I6*100,"")</f>
        <v/>
      </c>
      <c r="L10" s="101"/>
      <c r="M10" s="170" t="s">
        <v>23</v>
      </c>
      <c r="N10" s="160">
        <v>4516</v>
      </c>
      <c r="O10" s="161">
        <f>_xlfn.IFERROR(取值!A117+N10,"")</f>
        <v>47162</v>
      </c>
      <c r="P10" s="162">
        <f>_xlfn.IFERROR(N10/N6*100,"")</f>
        <v>4.78552051542896</v>
      </c>
      <c r="Q10" s="162">
        <f>_xlfn.IFERROR(O10/O6*100,"")</f>
        <v>4.70530721380005</v>
      </c>
      <c r="R10" s="161"/>
      <c r="S10" s="161"/>
      <c r="T10" s="166" t="str">
        <f>_xlfn.IFERROR(R10/R6*100,"")</f>
        <v/>
      </c>
      <c r="U10" s="167" t="str">
        <f>_xlfn.IFERROR(S10/S6*100,"")</f>
        <v/>
      </c>
      <c r="V10" s="136"/>
    </row>
    <row customHeight="1" ht="20.25">
      <c r="A11" s="51"/>
      <c r="B11" s="168"/>
      <c r="C11" s="159" t="s">
        <v>24</v>
      </c>
      <c r="D11" s="160">
        <v>102803</v>
      </c>
      <c r="E11" s="161">
        <f>_xlfn.IFERROR(取值!A78+D11,"")</f>
        <v>1099979</v>
      </c>
      <c r="F11" s="162">
        <f>_xlfn.IFERROR(D11/D6*100,"")</f>
        <v>27.1231561145366</v>
      </c>
      <c r="G11" s="162">
        <f>_xlfn.IFERROR(E11/E6*100,"")</f>
        <v>27.6914110931393</v>
      </c>
      <c r="H11" s="163"/>
      <c r="I11" s="161"/>
      <c r="J11" s="162" t="str">
        <f>_xlfn.IFERROR(H11/H6*100,"")</f>
        <v/>
      </c>
      <c r="K11" s="162" t="str">
        <f>_xlfn.IFERROR(I11/I6*100,"")</f>
        <v/>
      </c>
      <c r="L11" s="101"/>
      <c r="M11" s="170" t="s">
        <v>25</v>
      </c>
      <c r="N11" s="160">
        <v>14133</v>
      </c>
      <c r="O11" s="161">
        <f>_xlfn.IFERROR(取值!A118+N11,"")</f>
        <v>95326</v>
      </c>
      <c r="P11" s="162">
        <f>_xlfn.IFERROR(N11/N6*100,"")</f>
        <v>14.976475076297</v>
      </c>
      <c r="Q11" s="162">
        <f>_xlfn.IFERROR(O11/O6*100,"")</f>
        <v>9.51058300035418</v>
      </c>
      <c r="R11" s="161"/>
      <c r="S11" s="161"/>
      <c r="T11" s="166" t="str">
        <f>_xlfn.IFERROR(R11/R6*100,"")</f>
        <v/>
      </c>
      <c r="U11" s="167" t="str">
        <f>_xlfn.IFERROR(S11/S6*100,"")</f>
        <v/>
      </c>
      <c r="V11" s="136"/>
    </row>
    <row customHeight="1" ht="20.25">
      <c r="A12" s="51"/>
      <c r="B12" s="168"/>
      <c r="C12" s="159" t="s">
        <v>23</v>
      </c>
      <c r="D12" s="160">
        <v>2661</v>
      </c>
      <c r="E12" s="161">
        <f>_xlfn.IFERROR(取值!A79+D12,"")</f>
        <v>44852</v>
      </c>
      <c r="F12" s="162">
        <f>_xlfn.IFERROR(D12/D6*100,"")</f>
        <v>0.702068212219311</v>
      </c>
      <c r="G12" s="162">
        <f>_xlfn.IFERROR(E12/E6*100,"")</f>
        <v>1.12912625636443</v>
      </c>
      <c r="H12" s="163"/>
      <c r="I12" s="161"/>
      <c r="J12" s="162" t="str">
        <f>_xlfn.IFERROR(H12/H6*100,"")</f>
        <v/>
      </c>
      <c r="K12" s="162" t="str">
        <f>_xlfn.IFERROR(I12/I6*100,"")</f>
        <v/>
      </c>
      <c r="L12" s="101"/>
      <c r="M12" s="170" t="s">
        <v>26</v>
      </c>
      <c r="N12" s="160">
        <v>5675</v>
      </c>
      <c r="O12" s="161">
        <f>_xlfn.IFERROR(取值!A119+N12,"")</f>
        <v>63128</v>
      </c>
      <c r="P12" s="162">
        <f>_xlfn.IFERROR(N12/N6*100,"")</f>
        <v>6.01369108172262</v>
      </c>
      <c r="Q12" s="162">
        <f>_xlfn.IFERROR(O12/O6*100,"")</f>
        <v>6.29821962157605</v>
      </c>
      <c r="R12" s="161"/>
      <c r="S12" s="161"/>
      <c r="T12" s="166" t="str">
        <f>_xlfn.IFERROR(R12/R6*100,"")</f>
        <v/>
      </c>
      <c r="U12" s="167" t="str">
        <f>_xlfn.IFERROR(S12/S6*100,"")</f>
        <v/>
      </c>
      <c r="V12" s="136"/>
    </row>
    <row customHeight="1" ht="20.25">
      <c r="A13" s="51"/>
      <c r="B13" s="168"/>
      <c r="C13" s="159" t="s">
        <v>27</v>
      </c>
      <c r="D13" s="160">
        <v>192035</v>
      </c>
      <c r="E13" s="161">
        <f>_xlfn.IFERROR(取值!A80+D13,"")</f>
        <v>2017109</v>
      </c>
      <c r="F13" s="162">
        <f>_xlfn.IFERROR(D13/D6*100,"")</f>
        <v>50.6657907303778</v>
      </c>
      <c r="G13" s="162">
        <f>_xlfn.IFERROR(E13/E6*100,"")</f>
        <v>50.7796917383615</v>
      </c>
      <c r="H13" s="163"/>
      <c r="I13" s="161"/>
      <c r="J13" s="162" t="str">
        <f>_xlfn.IFERROR(H13/H6*100,"")</f>
        <v/>
      </c>
      <c r="K13" s="162" t="str">
        <f>_xlfn.IFERROR(I13/I6*100,"")</f>
        <v/>
      </c>
      <c r="L13" s="101"/>
      <c r="M13" s="170" t="s">
        <v>28</v>
      </c>
      <c r="N13" s="160"/>
      <c r="O13" s="161">
        <f>_xlfn.IFERROR(取值!A120+N13,"")</f>
        <v>0</v>
      </c>
      <c r="P13" s="162"/>
      <c r="Q13" s="162"/>
      <c r="R13" s="161"/>
      <c r="S13" s="161"/>
      <c r="T13" s="166"/>
      <c r="U13" s="167"/>
      <c r="V13" s="136"/>
    </row>
    <row customHeight="1" ht="20.25">
      <c r="A14" s="51"/>
      <c r="B14" s="168"/>
      <c r="C14" s="159" t="s">
        <v>29</v>
      </c>
      <c r="D14" s="160">
        <v>187</v>
      </c>
      <c r="E14" s="161">
        <f>_xlfn.IFERROR(取值!A81+D14,"")</f>
        <v>6674</v>
      </c>
      <c r="F14" s="162">
        <f>_xlfn.IFERROR(D14/D6*100,"")</f>
        <v>0.049337375304401</v>
      </c>
      <c r="G14" s="162">
        <f>_xlfn.IFERROR(E14/E6*100,"")</f>
        <v>0.168014550855618</v>
      </c>
      <c r="H14" s="163"/>
      <c r="I14" s="161"/>
      <c r="J14" s="162" t="str">
        <f>_xlfn.IFERROR(H14/H6*100,"")</f>
        <v/>
      </c>
      <c r="K14" s="162" t="str">
        <f>_xlfn.IFERROR(I14/I6*100,"")</f>
        <v/>
      </c>
      <c r="L14" s="101"/>
      <c r="M14" s="171" t="s">
        <v>30</v>
      </c>
      <c r="N14" s="163">
        <f>_xlfn.IFERROR(N6-N7-N8-N9-N10-N11-N12-N13,"")</f>
        <v>553</v>
      </c>
      <c r="O14" s="163">
        <f>_xlfn.IFERROR(取值!A155+N14,"")</f>
        <v>4646</v>
      </c>
      <c r="P14" s="172">
        <f>_xlfn.IFERROR(100-P7-P8-P9-P10-P11-P12-P13,"")</f>
        <v>0.586003730077947</v>
      </c>
      <c r="Q14" s="172">
        <f>_xlfn.IFERROR(100-Q7-Q8-Q9-Q10-Q11-Q12-Q13,"")</f>
        <v>0.463526935145155</v>
      </c>
      <c r="R14" s="163">
        <f>_xlfn.IFERROR(R6-R7-R8-R9-R10-R11-R12-R13,"")</f>
        <v>0</v>
      </c>
      <c r="S14" s="163">
        <f>_xlfn.IFERROR(S6-S7-S8-S9-S10-S11-S12-S13,"")</f>
        <v>0</v>
      </c>
      <c r="T14" s="172" t="str">
        <f>_xlfn.IFERROR(100-T7-T8-T9-T10-T11-T12-T13,"")</f>
        <v/>
      </c>
      <c r="U14" s="173" t="str">
        <f>_xlfn.IFERROR(100-U7-U8-U9-U10-U11-U12-U13,"")</f>
        <v/>
      </c>
      <c r="V14" s="136"/>
    </row>
    <row customHeight="1" ht="20.25">
      <c r="A15" s="51"/>
      <c r="B15" s="168"/>
      <c r="C15" s="159" t="s">
        <v>30</v>
      </c>
      <c r="D15" s="163">
        <f>_xlfn.IFERROR(D6-D7-D8-D9-D10-D11-D12-D13-D14,"")</f>
        <v>3763</v>
      </c>
      <c r="E15" s="163">
        <f>_xlfn.IFERROR(取值!A143+D15,"")</f>
        <v>28691</v>
      </c>
      <c r="F15" s="166">
        <f>_xlfn.IFERROR(100-F7-F8-F9-F10-F11-F12-F13-F14,"")</f>
        <v>0.992815739414243</v>
      </c>
      <c r="G15" s="166">
        <f>_xlfn.IFERROR(100-G7-G8-G9-G10-G11-G12-G13-G14,"")</f>
        <v>0.722281312346225</v>
      </c>
      <c r="H15" s="163">
        <f>_xlfn.IFERROR(H6-H7-H8-H9-H10-H11-H12-H13,"")</f>
        <v>0</v>
      </c>
      <c r="I15" s="163">
        <f>_xlfn.IFERROR(I6-I7-I8-I9-I10-I11-I12-I13,"")</f>
        <v>0</v>
      </c>
      <c r="J15" s="162" t="str">
        <f>_xlfn.IFERROR(100-J7-J8-J9-J10-J11-J12-J13-J14,"")</f>
        <v/>
      </c>
      <c r="K15" s="162" t="str">
        <f>_xlfn.IFERROR(100-K7-K8-K9-K10-K11-K12-K13-K14,"")</f>
        <v/>
      </c>
      <c r="L15" s="101"/>
      <c r="M15" s="174"/>
      <c r="N15" s="175"/>
      <c r="O15" s="175"/>
      <c r="P15" s="175"/>
      <c r="Q15" s="175"/>
      <c r="R15" s="175"/>
      <c r="S15" s="175"/>
      <c r="T15" s="175"/>
      <c r="U15" s="176"/>
      <c r="V15" s="136"/>
    </row>
    <row customHeight="1" ht="20.25">
      <c r="A16" s="51"/>
      <c r="B16" s="104" t="s">
        <v>31</v>
      </c>
      <c r="C16" s="159" t="s">
        <v>32</v>
      </c>
      <c r="D16" s="160">
        <v>0</v>
      </c>
      <c r="E16" s="161">
        <f>_xlfn.IFERROR(取值!A83+D16,"")</f>
        <v>249205</v>
      </c>
      <c r="F16" s="162"/>
      <c r="G16" s="162"/>
      <c r="H16" s="163"/>
      <c r="I16" s="161"/>
      <c r="J16" s="162"/>
      <c r="K16" s="162"/>
      <c r="L16" s="101"/>
      <c r="M16" s="174"/>
      <c r="N16" s="175"/>
      <c r="O16" s="175"/>
      <c r="P16" s="175"/>
      <c r="Q16" s="175"/>
      <c r="R16" s="175"/>
      <c r="S16" s="175"/>
      <c r="T16" s="175"/>
      <c r="U16" s="176"/>
      <c r="V16" s="136"/>
    </row>
    <row customHeight="1" ht="20.25">
      <c r="A17" s="51"/>
      <c r="B17" s="104"/>
      <c r="C17" s="159" t="s">
        <v>33</v>
      </c>
      <c r="D17" s="160">
        <v>0</v>
      </c>
      <c r="E17" s="161">
        <f>_xlfn.IFERROR(取值!A84+D17,"")</f>
        <v>116064</v>
      </c>
      <c r="F17" s="162" t="str">
        <f>_xlfn.IFERROR(D17/D16*100,"")</f>
        <v/>
      </c>
      <c r="G17" s="162">
        <f>_xlfn.IFERROR(E17/E16*100,"")</f>
        <v>46.5737043799282</v>
      </c>
      <c r="H17" s="163"/>
      <c r="I17" s="161"/>
      <c r="J17" s="162" t="str">
        <f>_xlfn.IFERROR(H17/H16*100,"")</f>
        <v/>
      </c>
      <c r="K17" s="162" t="str">
        <f>_xlfn.IFERROR(I17/I16*100,"")</f>
        <v/>
      </c>
      <c r="L17" s="101" t="s">
        <v>34</v>
      </c>
      <c r="M17" s="170" t="s">
        <v>35</v>
      </c>
      <c r="N17" s="177">
        <v>13559</v>
      </c>
      <c r="O17" s="161">
        <f>_xlfn.IFERROR(取值!A122+N17,"")</f>
        <v>132304</v>
      </c>
      <c r="P17" s="162"/>
      <c r="Q17" s="162"/>
      <c r="R17" s="161"/>
      <c r="S17" s="161"/>
      <c r="T17" s="166"/>
      <c r="U17" s="167"/>
      <c r="V17" s="136"/>
    </row>
    <row customHeight="1" ht="20.25">
      <c r="A18" s="51"/>
      <c r="B18" s="104"/>
      <c r="C18" s="159" t="s">
        <v>36</v>
      </c>
      <c r="D18" s="160">
        <v>0</v>
      </c>
      <c r="E18" s="161">
        <f>_xlfn.IFERROR(取值!A85+D18,"")</f>
        <v>55392</v>
      </c>
      <c r="F18" s="162" t="str">
        <f>_xlfn.IFERROR(D18/D16*100,"")</f>
        <v/>
      </c>
      <c r="G18" s="162">
        <f>_xlfn.IFERROR(E18/E16*100,"")</f>
        <v>22.2274833972031</v>
      </c>
      <c r="H18" s="163"/>
      <c r="I18" s="161"/>
      <c r="J18" s="162" t="str">
        <f>_xlfn.IFERROR(H18/H16*100,"")</f>
        <v/>
      </c>
      <c r="K18" s="162" t="str">
        <f>_xlfn.IFERROR(I18/I16*100,"")</f>
        <v/>
      </c>
      <c r="L18" s="101"/>
      <c r="M18" s="170" t="s">
        <v>37</v>
      </c>
      <c r="N18" s="177">
        <v>8306</v>
      </c>
      <c r="O18" s="161">
        <f>_xlfn.IFERROR(取值!A123+N18,"")</f>
        <v>80598</v>
      </c>
      <c r="P18" s="162">
        <f>_xlfn.IFERROR(N18/N17*100,"")</f>
        <v>61.258204882366</v>
      </c>
      <c r="Q18" s="162">
        <f>_xlfn.IFERROR(O18/O17*100,"")</f>
        <v>60.9187930825977</v>
      </c>
      <c r="R18" s="161"/>
      <c r="S18" s="161"/>
      <c r="T18" s="166" t="str">
        <f>_xlfn.IFERROR(R18/R17*100,"")</f>
        <v/>
      </c>
      <c r="U18" s="167" t="str">
        <f>_xlfn.IFERROR(S18/S17*100,"")</f>
        <v/>
      </c>
      <c r="V18" s="136"/>
    </row>
    <row customHeight="1" ht="20.25">
      <c r="A19" s="51"/>
      <c r="B19" s="104"/>
      <c r="C19" s="159" t="s">
        <v>38</v>
      </c>
      <c r="D19" s="160">
        <v>0</v>
      </c>
      <c r="E19" s="161">
        <f>_xlfn.IFERROR(取值!A86+D19,"")</f>
        <v>34449</v>
      </c>
      <c r="F19" s="162" t="str">
        <f>_xlfn.IFERROR(D19/D16*100,"")</f>
        <v/>
      </c>
      <c r="G19" s="162">
        <f>_xlfn.IFERROR(E19/E16*100,"")</f>
        <v>13.8235589173572</v>
      </c>
      <c r="H19" s="163"/>
      <c r="I19" s="161"/>
      <c r="J19" s="162" t="str">
        <f>_xlfn.IFERROR(H19/H16*100,"")</f>
        <v/>
      </c>
      <c r="K19" s="162" t="str">
        <f>_xlfn.IFERROR(I19/I16*100,"")</f>
        <v/>
      </c>
      <c r="L19" s="101"/>
      <c r="M19" s="170" t="s">
        <v>39</v>
      </c>
      <c r="N19" s="177">
        <v>4064</v>
      </c>
      <c r="O19" s="161">
        <f>_xlfn.IFERROR(取值!A124+N19,"")</f>
        <v>41528</v>
      </c>
      <c r="P19" s="162">
        <f>_xlfn.IFERROR(N19/N17*100,"")</f>
        <v>29.9727118519065</v>
      </c>
      <c r="Q19" s="162">
        <f>_xlfn.IFERROR(O19/O17*100,"")</f>
        <v>31.3883178135204</v>
      </c>
      <c r="R19" s="161"/>
      <c r="S19" s="161"/>
      <c r="T19" s="166" t="str">
        <f>_xlfn.IFERROR(R19/R17*100,"")</f>
        <v/>
      </c>
      <c r="U19" s="167" t="str">
        <f>_xlfn.IFERROR(S19/S17*100,"")</f>
        <v/>
      </c>
      <c r="V19" s="136"/>
    </row>
    <row customHeight="1" ht="20.25">
      <c r="A20" s="51"/>
      <c r="B20" s="104"/>
      <c r="C20" s="159" t="s">
        <v>40</v>
      </c>
      <c r="D20" s="160">
        <v>0</v>
      </c>
      <c r="E20" s="161">
        <f>_xlfn.IFERROR(取值!A87+D20,"")</f>
        <v>6399</v>
      </c>
      <c r="F20" s="162" t="str">
        <f>_xlfn.IFERROR(D20/D16*100,"")</f>
        <v/>
      </c>
      <c r="G20" s="162">
        <f>_xlfn.IFERROR(E20/E16*100,"")</f>
        <v>2.56776549427178</v>
      </c>
      <c r="H20" s="163"/>
      <c r="I20" s="161"/>
      <c r="J20" s="162" t="str">
        <f>_xlfn.IFERROR(H20/H16*100,"")</f>
        <v/>
      </c>
      <c r="K20" s="162" t="str">
        <f>_xlfn.IFERROR(I20/I16*100,"")</f>
        <v/>
      </c>
      <c r="L20" s="101"/>
      <c r="M20" s="165" t="s">
        <v>41</v>
      </c>
      <c r="N20" s="177">
        <v>1117</v>
      </c>
      <c r="O20" s="161">
        <f>_xlfn.IFERROR(取值!A125+N20,"")</f>
        <v>9622</v>
      </c>
      <c r="P20" s="162">
        <f>_xlfn.IFERROR(N20/N17*100,"")</f>
        <v>8.23807065417804</v>
      </c>
      <c r="Q20" s="162">
        <f>_xlfn.IFERROR(O20/O17*100,"")</f>
        <v>7.27264481799492</v>
      </c>
      <c r="R20" s="161"/>
      <c r="S20" s="161"/>
      <c r="T20" s="166" t="str">
        <f>_xlfn.IFERROR(R20/R17*100,"")</f>
        <v/>
      </c>
      <c r="U20" s="167" t="str">
        <f>_xlfn.IFERROR(S20/S17*100,"")</f>
        <v/>
      </c>
      <c r="V20" s="136"/>
    </row>
    <row customHeight="1" ht="20.25">
      <c r="A21" s="51"/>
      <c r="B21" s="104"/>
      <c r="C21" s="159" t="s">
        <v>42</v>
      </c>
      <c r="D21" s="160">
        <v>0</v>
      </c>
      <c r="E21" s="161">
        <f>_xlfn.IFERROR(取值!A88+D21,"")</f>
        <v>7620</v>
      </c>
      <c r="F21" s="162" t="str">
        <f>_xlfn.IFERROR(D21/D16*100,"")</f>
        <v/>
      </c>
      <c r="G21" s="162">
        <f>_xlfn.IFERROR(E21/E16*100,"")</f>
        <v>3.05772356092374</v>
      </c>
      <c r="H21" s="163"/>
      <c r="I21" s="161"/>
      <c r="J21" s="162" t="str">
        <f>_xlfn.IFERROR(H21/H16*100,"")</f>
        <v/>
      </c>
      <c r="K21" s="162" t="str">
        <f>_xlfn.IFERROR(I21/I16*100,"")</f>
        <v/>
      </c>
      <c r="L21" s="101"/>
      <c r="M21" s="178" t="s">
        <v>30</v>
      </c>
      <c r="N21" s="161">
        <f>_xlfn.IFERROR(N17-N18-N19-N20,"")</f>
        <v>72</v>
      </c>
      <c r="O21" s="161">
        <f>_xlfn.IFERROR(取值!A158+N21,"")</f>
        <v>556</v>
      </c>
      <c r="P21" s="162">
        <f>_xlfn.IFERROR(100-P18-P19-P20,"")</f>
        <v>0.531012611549459</v>
      </c>
      <c r="Q21" s="162">
        <f>_xlfn.IFERROR(100-Q18-Q19-Q20,"")</f>
        <v>0.420244285886979</v>
      </c>
      <c r="R21" s="161">
        <f>_xlfn.IFERROR(R17-R18-R19-R20,"")</f>
        <v>0</v>
      </c>
      <c r="S21" s="161">
        <f>_xlfn.IFERROR(S17-S18-S19-S20,"")</f>
        <v>0</v>
      </c>
      <c r="T21" s="166" t="str">
        <f>_xlfn.IFERROR(100-T18-T19-T20,"")</f>
        <v/>
      </c>
      <c r="U21" s="167" t="str">
        <f>_xlfn.IFERROR(100-U18-U19-U20,"")</f>
        <v/>
      </c>
      <c r="V21" s="136"/>
    </row>
    <row customHeight="1" ht="20.25">
      <c r="A22" s="51"/>
      <c r="B22" s="104"/>
      <c r="C22" s="159" t="s">
        <v>43</v>
      </c>
      <c r="D22" s="160">
        <v>0</v>
      </c>
      <c r="E22" s="161">
        <f>_xlfn.IFERROR(取值!A89+D22,"")</f>
        <v>28156</v>
      </c>
      <c r="F22" s="162" t="str">
        <f>_xlfn.IFERROR(D22/D16*100,"")</f>
        <v/>
      </c>
      <c r="G22" s="162">
        <f>_xlfn.IFERROR(E22/E16*100,"")</f>
        <v>11.298328685219</v>
      </c>
      <c r="H22" s="163"/>
      <c r="I22" s="161"/>
      <c r="J22" s="162" t="str">
        <f>_xlfn.IFERROR(H22/H16*100,"")</f>
        <v/>
      </c>
      <c r="K22" s="162" t="str">
        <f>_xlfn.IFERROR(I22/I16*100,"")</f>
        <v/>
      </c>
      <c r="L22" s="101" t="s">
        <v>44</v>
      </c>
      <c r="M22" s="179" t="s">
        <v>45</v>
      </c>
      <c r="N22" s="160">
        <v>0</v>
      </c>
      <c r="O22" s="161">
        <f>_xlfn.IFERROR(取值!A127+N22,"")</f>
        <v>0</v>
      </c>
      <c r="P22" s="162"/>
      <c r="Q22" s="162"/>
      <c r="R22" s="161"/>
      <c r="S22" s="161"/>
      <c r="T22" s="166"/>
      <c r="U22" s="167"/>
      <c r="V22" s="136"/>
    </row>
    <row customHeight="1" ht="20.25">
      <c r="A23" s="51"/>
      <c r="B23" s="104"/>
      <c r="C23" s="159" t="s">
        <v>30</v>
      </c>
      <c r="D23" s="163">
        <f>_xlfn.IFERROR(D16-D17-D18-D19-D20-D21-D22,"")</f>
        <v>0</v>
      </c>
      <c r="E23" s="163">
        <f>_xlfn.IFERROR(取值!A146+D23,"")</f>
        <v>1125</v>
      </c>
      <c r="F23" s="162" t="str">
        <f>_xlfn.IFERROR(100-F17-F18-F19-F20-F21-F22,"")</f>
        <v/>
      </c>
      <c r="G23" s="162">
        <f>_xlfn.IFERROR(100-G17-G18-G19-G20-G21-G22,"")</f>
        <v>0.451435565096979</v>
      </c>
      <c r="H23" s="163">
        <f>_xlfn.IFERROR(H16-H17-H18-H19-H20-H21-H22,"")</f>
        <v>0</v>
      </c>
      <c r="I23" s="163">
        <f>_xlfn.IFERROR(I16-I17-I18-I19-I20-I21-I22,"")</f>
        <v>0</v>
      </c>
      <c r="J23" s="162" t="str">
        <f>_xlfn.IFERROR(100-J17-J18-J19-J20-J21-J22,"")</f>
        <v/>
      </c>
      <c r="K23" s="162" t="str">
        <f>_xlfn.IFERROR(100-K17-K18-K19-K20-K21-K22,"")</f>
        <v/>
      </c>
      <c r="L23" s="101"/>
      <c r="M23" s="170" t="s">
        <v>46</v>
      </c>
      <c r="N23" s="160">
        <v>0</v>
      </c>
      <c r="O23" s="161">
        <f>_xlfn.IFERROR(取值!A128+N23,"")</f>
        <v>0</v>
      </c>
      <c r="P23" s="162"/>
      <c r="Q23" s="162"/>
      <c r="R23" s="161"/>
      <c r="S23" s="161"/>
      <c r="T23" s="166"/>
      <c r="U23" s="167"/>
      <c r="V23" s="136"/>
    </row>
    <row customHeight="1" ht="20.25">
      <c r="A24" s="51"/>
      <c r="B24" s="104" t="s">
        <v>47</v>
      </c>
      <c r="C24" s="159" t="s">
        <v>32</v>
      </c>
      <c r="D24" s="160">
        <v>129635</v>
      </c>
      <c r="E24" s="161">
        <f>_xlfn.IFERROR(取值!A91+D24,"")</f>
        <v>1471946</v>
      </c>
      <c r="F24" s="162"/>
      <c r="G24" s="162"/>
      <c r="H24" s="163"/>
      <c r="I24" s="161"/>
      <c r="J24" s="162"/>
      <c r="K24" s="162"/>
      <c r="L24" s="101"/>
      <c r="M24" s="159" t="s">
        <v>48</v>
      </c>
      <c r="N24" s="160">
        <v>0</v>
      </c>
      <c r="O24" s="161">
        <f>_xlfn.IFERROR(取值!A129+N24,"")</f>
        <v>0</v>
      </c>
      <c r="P24" s="162" t="str">
        <f>_xlfn.IFERROR(N24/(N22+N23)*100,"")</f>
        <v/>
      </c>
      <c r="Q24" s="162" t="str">
        <f>_xlfn.IFERROR(O24/(O22+O23)*100,"")</f>
        <v/>
      </c>
      <c r="R24" s="161"/>
      <c r="S24" s="161"/>
      <c r="T24" s="166" t="str">
        <f>_xlfn.IFERROR(S24/(S22+S23)*100,"")</f>
        <v/>
      </c>
      <c r="U24" s="167" t="str">
        <f>_xlfn.IFERROR(S24/(S22+S23)*100,"")</f>
        <v/>
      </c>
      <c r="V24" s="136"/>
    </row>
    <row customHeight="1" ht="20.25">
      <c r="A25" s="51"/>
      <c r="B25" s="104"/>
      <c r="C25" s="159" t="s">
        <v>33</v>
      </c>
      <c r="D25" s="160">
        <v>69784</v>
      </c>
      <c r="E25" s="161">
        <f>_xlfn.IFERROR(取值!A92+D25,"")</f>
        <v>725290</v>
      </c>
      <c r="F25" s="166">
        <f>_xlfn.IFERROR(D25/D24*100,"")</f>
        <v>53.8311412812898</v>
      </c>
      <c r="G25" s="166">
        <f>_xlfn.IFERROR(E25/E24*100,"")</f>
        <v>49.2742260925333</v>
      </c>
      <c r="H25" s="163"/>
      <c r="I25" s="161"/>
      <c r="J25" s="162" t="str">
        <f>_xlfn.IFERROR(H25/H24*100,"")</f>
        <v/>
      </c>
      <c r="K25" s="162" t="str">
        <f>_xlfn.IFERROR(I25/I24*100,"")</f>
        <v/>
      </c>
      <c r="L25" s="101"/>
      <c r="M25" s="170" t="s">
        <v>49</v>
      </c>
      <c r="N25" s="160">
        <v>0</v>
      </c>
      <c r="O25" s="161">
        <f>_xlfn.IFERROR(取值!A130+N25,"")</f>
        <v>0</v>
      </c>
      <c r="P25" s="162" t="str">
        <f>_xlfn.IFERROR(N25/(N23+N22)*100,"")</f>
        <v/>
      </c>
      <c r="Q25" s="162" t="str">
        <f>_xlfn.IFERROR(O25/(O22+O23)*100,"")</f>
        <v/>
      </c>
      <c r="R25" s="161"/>
      <c r="S25" s="161"/>
      <c r="T25" s="166" t="str">
        <f>_xlfn.IFERROR(S25/(S23+S22)*100,"")</f>
        <v/>
      </c>
      <c r="U25" s="167" t="str">
        <f>_xlfn.IFERROR(S25/(S22+S23)*100,"")</f>
        <v/>
      </c>
      <c r="V25" s="136"/>
    </row>
    <row customHeight="1" ht="20.25">
      <c r="A26" s="51"/>
      <c r="B26" s="104"/>
      <c r="C26" s="159" t="s">
        <v>36</v>
      </c>
      <c r="D26" s="160">
        <v>24870</v>
      </c>
      <c r="E26" s="161">
        <f>_xlfn.IFERROR(取值!A93+D26,"")</f>
        <v>334125</v>
      </c>
      <c r="F26" s="166">
        <f>_xlfn.IFERROR(D26/D24*100,"")</f>
        <v>19.1846337794577</v>
      </c>
      <c r="G26" s="166">
        <f>_xlfn.IFERROR(E26/E24*100,"")</f>
        <v>22.6995419668928</v>
      </c>
      <c r="H26" s="163"/>
      <c r="I26" s="161"/>
      <c r="J26" s="162" t="str">
        <f>_xlfn.IFERROR(H26/H24*100,"")</f>
        <v/>
      </c>
      <c r="K26" s="162" t="str">
        <f>_xlfn.IFERROR(I26/I24*100,"")</f>
        <v/>
      </c>
      <c r="L26" s="101"/>
      <c r="M26" s="170" t="s">
        <v>50</v>
      </c>
      <c r="N26" s="160">
        <v>0</v>
      </c>
      <c r="O26" s="161">
        <f>_xlfn.IFERROR(取值!A131+N26,"")</f>
        <v>0</v>
      </c>
      <c r="P26" s="162" t="str">
        <f>_xlfn.IFERROR(N26/(N23+N22)*100,"")</f>
        <v/>
      </c>
      <c r="Q26" s="162" t="str">
        <f>_xlfn.IFERROR(O26/(O22+O23)*100,"")</f>
        <v/>
      </c>
      <c r="R26" s="161"/>
      <c r="S26" s="161"/>
      <c r="T26" s="166" t="str">
        <f>_xlfn.IFERROR(S26/(S22+S23)*100,"")</f>
        <v/>
      </c>
      <c r="U26" s="167" t="str">
        <f>_xlfn.IFERROR(S26/(S22+S23)*100,"")</f>
        <v/>
      </c>
      <c r="V26" s="136"/>
    </row>
    <row customHeight="1" ht="20.25">
      <c r="A27" s="51"/>
      <c r="B27" s="104"/>
      <c r="C27" s="159" t="s">
        <v>38</v>
      </c>
      <c r="D27" s="160">
        <v>16092</v>
      </c>
      <c r="E27" s="161">
        <f>_xlfn.IFERROR(取值!A94+D27,"")</f>
        <v>192327</v>
      </c>
      <c r="F27" s="162">
        <f>_xlfn.IFERROR(D27/D24*100,"")</f>
        <v>12.4133143055502</v>
      </c>
      <c r="G27" s="162">
        <f>_xlfn.IFERROR(E27/E24*100,"")</f>
        <v>13.0661722644717</v>
      </c>
      <c r="H27" s="163"/>
      <c r="I27" s="161"/>
      <c r="J27" s="162" t="str">
        <f>_xlfn.IFERROR(H27/H24*100,"")</f>
        <v/>
      </c>
      <c r="K27" s="162" t="str">
        <f>_xlfn.IFERROR(I27/I24*100,"")</f>
        <v/>
      </c>
      <c r="L27" s="101"/>
      <c r="M27" s="170" t="s">
        <v>30</v>
      </c>
      <c r="N27" s="161">
        <f>_xlfn.IFERROR(N22+N23-N24-N25-N26,"")</f>
        <v>0</v>
      </c>
      <c r="O27" s="161">
        <f>_xlfn.IFERROR(取值!A161+N27,"")</f>
        <v>0</v>
      </c>
      <c r="P27" s="162" t="str">
        <f>_xlfn.IFERROR(100-P24-P25-P26,"")</f>
        <v/>
      </c>
      <c r="Q27" s="162" t="str">
        <f>_xlfn.IFERROR(100-Q24-Q25-Q26,"")</f>
        <v/>
      </c>
      <c r="R27" s="161">
        <f>_xlfn.IFERROR(R22+R23-R24-R25-R26,"")</f>
        <v>0</v>
      </c>
      <c r="S27" s="161">
        <f>_xlfn.IFERROR(S22+S23-S24-S25-S26,"")</f>
        <v>0</v>
      </c>
      <c r="T27" s="166" t="str">
        <f>_xlfn.IFERROR(100-T24-T25-T26,"")</f>
        <v/>
      </c>
      <c r="U27" s="167" t="str">
        <f>_xlfn.IFERROR(100-U24-U25-U26,"")</f>
        <v/>
      </c>
      <c r="V27" s="136"/>
    </row>
    <row customHeight="1" ht="20.25">
      <c r="A28" s="51"/>
      <c r="B28" s="104"/>
      <c r="C28" s="159" t="s">
        <v>40</v>
      </c>
      <c r="D28" s="160">
        <v>3972</v>
      </c>
      <c r="E28" s="161">
        <f>_xlfn.IFERROR(取值!A95+D28,"")</f>
        <v>48950</v>
      </c>
      <c r="F28" s="162">
        <f>_xlfn.IFERROR(D28/D24*100,"")</f>
        <v>3.06398734909554</v>
      </c>
      <c r="G28" s="162">
        <f>_xlfn.IFERROR(E28/E24*100,"")</f>
        <v>3.32552960502627</v>
      </c>
      <c r="H28" s="163"/>
      <c r="I28" s="161"/>
      <c r="J28" s="162" t="str">
        <f>_xlfn.IFERROR(H28/H24*100,"")</f>
        <v/>
      </c>
      <c r="K28" s="162" t="str">
        <f>_xlfn.IFERROR(I28/I24*100,"")</f>
        <v/>
      </c>
      <c r="L28" s="102" t="s">
        <v>51</v>
      </c>
      <c r="M28" s="179" t="s">
        <v>35</v>
      </c>
      <c r="N28" s="177">
        <v>29173</v>
      </c>
      <c r="O28" s="161">
        <f>_xlfn.IFERROR(取值!A133+N28,"")</f>
        <v>281248</v>
      </c>
      <c r="P28" s="162"/>
      <c r="Q28" s="162"/>
      <c r="R28" s="161"/>
      <c r="S28" s="161"/>
      <c r="T28" s="166"/>
      <c r="U28" s="167"/>
      <c r="V28" s="136"/>
    </row>
    <row customHeight="1" ht="20.25">
      <c r="A29" s="51"/>
      <c r="B29" s="104"/>
      <c r="C29" s="159" t="s">
        <v>42</v>
      </c>
      <c r="D29" s="160">
        <v>3024</v>
      </c>
      <c r="E29" s="161">
        <f>_xlfn.IFERROR(取值!A96+D29,"")</f>
        <v>34330</v>
      </c>
      <c r="F29" s="162">
        <f>_xlfn.IFERROR(D29/D24*100,"")</f>
        <v>2.33270335943225</v>
      </c>
      <c r="G29" s="162">
        <f>_xlfn.IFERROR(E29/E24*100,"")</f>
        <v>2.33228664638513</v>
      </c>
      <c r="H29" s="163"/>
      <c r="I29" s="161"/>
      <c r="J29" s="162" t="str">
        <f>_xlfn.IFERROR(H29/H24*100,"")</f>
        <v/>
      </c>
      <c r="K29" s="162" t="str">
        <f>_xlfn.IFERROR(I29/I24*100,"")</f>
        <v/>
      </c>
      <c r="L29" s="102"/>
      <c r="M29" s="170" t="s">
        <v>46</v>
      </c>
      <c r="N29" s="177">
        <v>62</v>
      </c>
      <c r="O29" s="161">
        <f>_xlfn.IFERROR(取值!A134+N29,"")</f>
        <v>630</v>
      </c>
      <c r="P29" s="162"/>
      <c r="Q29" s="162"/>
      <c r="R29" s="161"/>
      <c r="S29" s="161"/>
      <c r="T29" s="166"/>
      <c r="U29" s="167"/>
      <c r="V29" s="136"/>
    </row>
    <row customHeight="1" ht="20.25">
      <c r="A30" s="51"/>
      <c r="B30" s="104"/>
      <c r="C30" s="159" t="s">
        <v>43</v>
      </c>
      <c r="D30" s="160">
        <v>10911</v>
      </c>
      <c r="E30" s="161">
        <f>_xlfn.IFERROR(取值!A97+D30,"")</f>
        <v>129776</v>
      </c>
      <c r="F30" s="162">
        <f>_xlfn.IFERROR(D30/D24*100,"")</f>
        <v>8.4167084506499</v>
      </c>
      <c r="G30" s="162">
        <f>_xlfn.IFERROR(E30/E24*100,"")</f>
        <v>8.81662778389968</v>
      </c>
      <c r="H30" s="163"/>
      <c r="I30" s="161"/>
      <c r="J30" s="162" t="str">
        <f>_xlfn.IFERROR(H30/H24*100,"")</f>
        <v/>
      </c>
      <c r="K30" s="162" t="str">
        <f>_xlfn.IFERROR(I30/I24*100,"")</f>
        <v/>
      </c>
      <c r="L30" s="102"/>
      <c r="M30" s="178" t="s">
        <v>52</v>
      </c>
      <c r="N30" s="177">
        <v>28268</v>
      </c>
      <c r="O30" s="161">
        <f>_xlfn.IFERROR(取值!A135+N30,"")</f>
        <v>272723</v>
      </c>
      <c r="P30" s="162">
        <f>_xlfn.IFERROR(N30/(N28+N29)*100,"")</f>
        <v>96.6923208482983</v>
      </c>
      <c r="Q30" s="162">
        <f>_xlfn.IFERROR(O30/(O28+O29)*100,"")</f>
        <v>96.752140997169</v>
      </c>
      <c r="R30" s="161"/>
      <c r="S30" s="161"/>
      <c r="T30" s="166" t="str">
        <f>_xlfn.IFERROR(R30/(R28+R29)*100,"")</f>
        <v/>
      </c>
      <c r="U30" s="167" t="str">
        <f>_xlfn.IFERROR(S30/(S28+S29)*100,"")</f>
        <v/>
      </c>
      <c r="V30" s="136"/>
    </row>
    <row customHeight="1" ht="20.25">
      <c r="A31" s="51"/>
      <c r="B31" s="104"/>
      <c r="C31" s="159" t="s">
        <v>30</v>
      </c>
      <c r="D31" s="163">
        <f>_xlfn.IFERROR(D24-D25-D26-D27-D28-D29-D30,"")</f>
        <v>982</v>
      </c>
      <c r="E31" s="163">
        <f>_xlfn.IFERROR(取值!A140+D31,"")</f>
        <v>7148</v>
      </c>
      <c r="F31" s="162">
        <f>_xlfn.IFERROR(100-F25-F26-F27-F28-F29-F30,"")</f>
        <v>0.757511474524607</v>
      </c>
      <c r="G31" s="162">
        <f>_xlfn.IFERROR(100-G25-G26-G27-G28-G29-G30,"")</f>
        <v>0.485615640791124</v>
      </c>
      <c r="H31" s="163">
        <f>_xlfn.IFERROR(H24-H25-H26-H27-H28-H29-H30,"")</f>
        <v>0</v>
      </c>
      <c r="I31" s="163">
        <f>_xlfn.IFERROR(I24-I25-I26-I27-I28-I29-I30,"")</f>
        <v>0</v>
      </c>
      <c r="J31" s="162" t="str">
        <f>_xlfn.IFERROR(100-J25-J26-J27-J28-J29-J30,"")</f>
        <v/>
      </c>
      <c r="K31" s="162" t="str">
        <f>_xlfn.IFERROR(100-K25-K26-K27-K28-K29-K30,"")</f>
        <v/>
      </c>
      <c r="L31" s="102"/>
      <c r="M31" s="159" t="s">
        <v>53</v>
      </c>
      <c r="N31" s="177">
        <v>575</v>
      </c>
      <c r="O31" s="161">
        <f>_xlfn.IFERROR(取值!A136+N31,"")</f>
        <v>4382</v>
      </c>
      <c r="P31" s="162">
        <f>_xlfn.IFERROR(N31/(N29+N28)*100,"")</f>
        <v>1.96682059175646</v>
      </c>
      <c r="Q31" s="162">
        <f>_xlfn.IFERROR(O31/(O28+O68)*100,"")</f>
        <v>1.55805552395039</v>
      </c>
      <c r="R31" s="161"/>
      <c r="S31" s="161"/>
      <c r="T31" s="166" t="str">
        <f>_xlfn.IFERROR(R31/(R28+R29)*100,"")</f>
        <v/>
      </c>
      <c r="U31" s="167" t="str">
        <f>_xlfn.IFERROR(S31/(S28+S29)*100,"")</f>
        <v/>
      </c>
      <c r="V31" s="136"/>
    </row>
    <row customHeight="1" ht="20.25">
      <c r="A32" s="51"/>
      <c r="B32" s="104" t="s">
        <v>54</v>
      </c>
      <c r="C32" s="159" t="s">
        <v>55</v>
      </c>
      <c r="D32" s="160">
        <v>172170</v>
      </c>
      <c r="E32" s="161">
        <f>_xlfn.IFERROR(取值!A99+D32,"")</f>
        <v>1899817</v>
      </c>
      <c r="F32" s="166"/>
      <c r="G32" s="162"/>
      <c r="H32" s="163"/>
      <c r="I32" s="161"/>
      <c r="J32" s="162"/>
      <c r="K32" s="162"/>
      <c r="L32" s="102"/>
      <c r="M32" s="170" t="s">
        <v>50</v>
      </c>
      <c r="N32" s="177">
        <v>123</v>
      </c>
      <c r="O32" s="161">
        <f>_xlfn.IFERROR(取值!A137+N32,"")</f>
        <v>2255</v>
      </c>
      <c r="P32" s="162">
        <f>_xlfn.IFERROR(N32/(N28+N29)*100,"")</f>
        <v>0.420728578758338</v>
      </c>
      <c r="Q32" s="162">
        <f>_xlfn.IFERROR(O32/(O28+O29)*100,"")</f>
        <v>0.799991485678201</v>
      </c>
      <c r="R32" s="161"/>
      <c r="S32" s="161"/>
      <c r="T32" s="166" t="str">
        <f>_xlfn.IFERROR(R32/(R28+R29)*100,"")</f>
        <v/>
      </c>
      <c r="U32" s="167" t="str">
        <f>_xlfn.IFERROR(S32/(S28+S29)*100,"")</f>
        <v/>
      </c>
      <c r="V32" s="136"/>
    </row>
    <row customHeight="1" ht="20.25">
      <c r="A33" s="51"/>
      <c r="B33" s="104"/>
      <c r="C33" s="159" t="s">
        <v>46</v>
      </c>
      <c r="D33" s="160">
        <v>1314</v>
      </c>
      <c r="E33" s="161">
        <f>_xlfn.IFERROR(取值!A100+D33,"")</f>
        <v>10633</v>
      </c>
      <c r="F33" s="166"/>
      <c r="G33" s="162"/>
      <c r="H33" s="163"/>
      <c r="I33" s="161"/>
      <c r="J33" s="162"/>
      <c r="K33" s="162"/>
      <c r="L33" s="130"/>
      <c r="M33" s="170" t="s">
        <v>30</v>
      </c>
      <c r="N33" s="182">
        <f>_xlfn.IFERROR(N28+N29-N30-N31-N32,"")</f>
        <v>269</v>
      </c>
      <c r="O33" s="161">
        <f>_xlfn.IFERROR(取值!A164+N33,"")</f>
        <v>2518</v>
      </c>
      <c r="P33" s="162">
        <f>_xlfn.IFERROR(100-P32-P31-P30,"")</f>
        <v>0.920129981186903</v>
      </c>
      <c r="Q33" s="162">
        <f>_xlfn.IFERROR(100-Q32-Q31-Q30,"")</f>
        <v>0.889811993202414</v>
      </c>
      <c r="R33" s="161">
        <f>_xlfn.IFERROR(R28+R29-R30-R31-R32,"")</f>
        <v>0</v>
      </c>
      <c r="S33" s="161">
        <f>_xlfn.IFERROR(S28+S29-S30-S31-S32,"")</f>
        <v>0</v>
      </c>
      <c r="T33" s="166" t="str">
        <f>_xlfn.IFERROR(R33/(R28+R29)*100,"")</f>
        <v/>
      </c>
      <c r="U33" s="167" t="str">
        <f>_xlfn.IFERROR(S33/(S28+S29)*100,"")</f>
        <v/>
      </c>
      <c r="V33" s="136"/>
    </row>
    <row customHeight="1" ht="20.25">
      <c r="A34" s="51"/>
      <c r="B34" s="104"/>
      <c r="C34" s="159" t="s">
        <v>56</v>
      </c>
      <c r="D34" s="160">
        <v>142188</v>
      </c>
      <c r="E34" s="161">
        <f>_xlfn.IFERROR(取值!A101+D34,"")</f>
        <v>1674381</v>
      </c>
      <c r="F34" s="166">
        <f>_xlfn.IFERROR(D34/(D32+D33)*100,"")</f>
        <v>81.9602960503562</v>
      </c>
      <c r="G34" s="166">
        <f>_xlfn.IFERROR(E34/(E32+E33)*100,"")</f>
        <v>87.6432777617839</v>
      </c>
      <c r="H34" s="163"/>
      <c r="I34" s="161"/>
      <c r="J34" s="162" t="str">
        <f>_xlfn.IFERROR(H34/(H32+H33)*100,"")</f>
        <v/>
      </c>
      <c r="K34" s="183" t="str">
        <f>_xlfn.IFERROR(I34/(I32+I33)*100,"")</f>
        <v/>
      </c>
      <c r="L34" s="132" t="s">
        <v>57</v>
      </c>
      <c r="M34" s="185" t="s">
        <v>58</v>
      </c>
      <c r="N34" s="186">
        <v>122294</v>
      </c>
      <c r="O34" s="187">
        <f>_xlfn.IFERROR(取值!A184+N34,"")</f>
        <v>1082894</v>
      </c>
      <c r="P34" s="188"/>
      <c r="Q34" s="188"/>
      <c r="R34" s="187"/>
      <c r="S34" s="187"/>
      <c r="T34" s="189"/>
      <c r="U34" s="190"/>
      <c r="V34" s="136"/>
    </row>
    <row customHeight="1" ht="20.25">
      <c r="A35" s="51"/>
      <c r="B35" s="104"/>
      <c r="C35" s="159" t="s">
        <v>16</v>
      </c>
      <c r="D35" s="160">
        <v>22862</v>
      </c>
      <c r="E35" s="161">
        <f>_xlfn.IFERROR(取值!A102+D35,"")</f>
        <v>153080</v>
      </c>
      <c r="F35" s="166">
        <f>_xlfn.IFERROR(D35/(D33+D32)*100,"")</f>
        <v>13.1781605220078</v>
      </c>
      <c r="G35" s="166">
        <f>_xlfn.IFERROR(E35/(E33+E32)*100,"")</f>
        <v>8.01277186003298</v>
      </c>
      <c r="H35" s="163"/>
      <c r="I35" s="161"/>
      <c r="J35" s="162" t="str">
        <f>_xlfn.IFERROR(H35/(H33+H32)*100,"")</f>
        <v/>
      </c>
      <c r="K35" s="183" t="str">
        <f>_xlfn.IFERROR(I35/(I33+I32)*100,"")</f>
        <v/>
      </c>
      <c r="L35" s="132"/>
      <c r="M35" s="185" t="s">
        <v>59</v>
      </c>
      <c r="N35" s="186">
        <v>29947</v>
      </c>
      <c r="O35" s="187">
        <f>_xlfn.IFERROR(取值!A185+N35,"")</f>
        <v>272429</v>
      </c>
      <c r="P35" s="191">
        <f>_xlfn.IFERROR(N35/N34*100,"")</f>
        <v>24.4877099448869</v>
      </c>
      <c r="Q35" s="191">
        <f>_xlfn.IFERROR(O35/O34*100,"")</f>
        <v>25.1574946393645</v>
      </c>
      <c r="R35" s="187"/>
      <c r="S35" s="187"/>
      <c r="T35" s="189"/>
      <c r="U35" s="190"/>
      <c r="V35" s="136"/>
    </row>
    <row customHeight="1" ht="20.25">
      <c r="A36" s="51"/>
      <c r="B36" s="104"/>
      <c r="C36" s="159" t="s">
        <v>38</v>
      </c>
      <c r="D36" s="160">
        <v>0</v>
      </c>
      <c r="E36" s="161">
        <f>_xlfn.IFERROR(取值!A103+D36,"")</f>
        <v>0</v>
      </c>
      <c r="F36" s="166">
        <f>_xlfn.IFERROR(D36/(D32+D33)*100,"")</f>
        <v>0</v>
      </c>
      <c r="G36" s="166">
        <f>_xlfn.IFERROR(E36/(E32+E33)*100,"")</f>
        <v>0</v>
      </c>
      <c r="H36" s="163"/>
      <c r="I36" s="161"/>
      <c r="J36" s="162" t="str">
        <f>_xlfn.IFERROR(H36/(H32+H33)*100,"")</f>
        <v/>
      </c>
      <c r="K36" s="183" t="str">
        <f>_xlfn.IFERROR(I36/(I32+I33)*100,"")</f>
        <v/>
      </c>
      <c r="L36" s="132"/>
      <c r="M36" s="185" t="s">
        <v>60</v>
      </c>
      <c r="N36" s="186">
        <v>50168</v>
      </c>
      <c r="O36" s="187">
        <f>_xlfn.IFERROR(取值!A186+N36,"")</f>
        <v>426627</v>
      </c>
      <c r="P36" s="191">
        <f>_xlfn.IFERROR(N36/N34*100,"")</f>
        <v>41.0224540860549</v>
      </c>
      <c r="Q36" s="191">
        <f>_xlfn.IFERROR(O36/O34*100,"")</f>
        <v>39.3969308168667</v>
      </c>
      <c r="R36" s="187"/>
      <c r="S36" s="187"/>
      <c r="T36" s="189"/>
      <c r="U36" s="190"/>
      <c r="V36" s="136"/>
    </row>
    <row customHeight="1" ht="20.25">
      <c r="A37" s="51"/>
      <c r="B37" s="104"/>
      <c r="C37" s="159" t="s">
        <v>61</v>
      </c>
      <c r="D37" s="160">
        <v>7258</v>
      </c>
      <c r="E37" s="161">
        <f>_xlfn.IFERROR(取值!A104+D37,"")</f>
        <v>68318</v>
      </c>
      <c r="F37" s="166">
        <f>_xlfn.IFERROR(D37/(D32+D33)*100,"")</f>
        <v>4.18367111664476</v>
      </c>
      <c r="G37" s="166">
        <f>_xlfn.IFERROR(E37/(E32+E33)*100,"")</f>
        <v>3.57601612185611</v>
      </c>
      <c r="H37" s="163"/>
      <c r="I37" s="161"/>
      <c r="J37" s="162" t="str">
        <f>_xlfn.IFERROR(H37/(H32+H33)*100,"")</f>
        <v/>
      </c>
      <c r="K37" s="183" t="str">
        <f>_xlfn.IFERROR(I37/(I32+I33)*100,"")</f>
        <v/>
      </c>
      <c r="L37" s="132"/>
      <c r="M37" s="185" t="s">
        <v>62</v>
      </c>
      <c r="N37" s="186">
        <v>41240</v>
      </c>
      <c r="O37" s="187">
        <f>_xlfn.IFERROR(取值!A187+N37,"")</f>
        <v>376812</v>
      </c>
      <c r="P37" s="191">
        <f>_xlfn.IFERROR(N37/N34*100,"")</f>
        <v>33.7220141625918</v>
      </c>
      <c r="Q37" s="191">
        <f>_xlfn.IFERROR(O37/O34*100,"")</f>
        <v>34.7967575773806</v>
      </c>
      <c r="R37" s="187"/>
      <c r="S37" s="187"/>
      <c r="T37" s="192"/>
      <c r="U37" s="193"/>
      <c r="V37" s="136"/>
    </row>
    <row customHeight="1" ht="20.25">
      <c r="A38" s="51"/>
      <c r="B38" s="104"/>
      <c r="C38" s="194" t="s">
        <v>41</v>
      </c>
      <c r="D38" s="160">
        <v>255</v>
      </c>
      <c r="E38" s="161">
        <f>_xlfn.IFERROR(取值!A105+D38,"")</f>
        <v>6471</v>
      </c>
      <c r="F38" s="166">
        <f>_xlfn.IFERROR(D38/(D33+D32)*100,"")</f>
        <v>0.146987618454728</v>
      </c>
      <c r="G38" s="166">
        <f>_xlfn.IFERROR(E38/(E33+E32)*100,"")</f>
        <v>0.338716009317177</v>
      </c>
      <c r="H38" s="163"/>
      <c r="I38" s="161"/>
      <c r="J38" s="162" t="str">
        <f>_xlfn.IFERROR(H38/(H33+H32)*100,"")</f>
        <v/>
      </c>
      <c r="K38" s="183" t="str">
        <f>_xlfn.IFERROR(I38/(I33+I32)*100,"")</f>
        <v/>
      </c>
      <c r="L38" s="132"/>
      <c r="M38" s="195" t="s">
        <v>63</v>
      </c>
      <c r="N38" s="186">
        <v>0</v>
      </c>
      <c r="O38" s="187">
        <f>_xlfn.IFERROR(取值!A188+N38,"")</f>
        <v>0</v>
      </c>
      <c r="P38" s="191">
        <f>_xlfn.IFERROR(N38/N34*100,"")</f>
        <v>0</v>
      </c>
      <c r="Q38" s="191">
        <f>_xlfn.IFERROR(O38/O34*100,"")</f>
        <v>0</v>
      </c>
      <c r="R38" s="187"/>
      <c r="S38" s="187"/>
      <c r="T38" s="192"/>
      <c r="U38" s="193"/>
      <c r="V38" s="136"/>
    </row>
    <row customHeight="1" ht="20.25">
      <c r="A39" s="51"/>
      <c r="B39" s="104"/>
      <c r="C39" s="159" t="s">
        <v>30</v>
      </c>
      <c r="D39" s="163">
        <f>_xlfn.IFERROR(D32+D33-D34-D35-D36-D37-D38,"")</f>
        <v>921</v>
      </c>
      <c r="E39" s="163">
        <f>_xlfn.IFERROR(取值!A149+D39,"")</f>
        <v>8200</v>
      </c>
      <c r="F39" s="166">
        <f>_xlfn.IFERROR(100-F34-F35-F36-F37-F38,"")</f>
        <v>0.530884692536505</v>
      </c>
      <c r="G39" s="166">
        <f>_xlfn.IFERROR(100-G34-G35-G36-G37-G38,"")</f>
        <v>0.429218247009826</v>
      </c>
      <c r="H39" s="163">
        <f>_xlfn.IFERROR(H32+H33-H34-H35-H36-H37-H38,"")</f>
        <v>0</v>
      </c>
      <c r="I39" s="163">
        <f>_xlfn.IFERROR(I32+I33-I34-I35-I36-I37-I38,"")</f>
        <v>0</v>
      </c>
      <c r="J39" s="162" t="str">
        <f>_xlfn.IFERROR(100-J34-J35-J36-J37-J38,"")</f>
        <v/>
      </c>
      <c r="K39" s="183" t="str">
        <f>_xlfn.IFERROR(100-K34-K35-K36-K37-K38,"")</f>
        <v/>
      </c>
      <c r="L39" s="132"/>
      <c r="M39" s="196" t="s">
        <v>64</v>
      </c>
      <c r="N39" s="186">
        <v>0</v>
      </c>
      <c r="O39" s="187">
        <f>_xlfn.IFERROR(取值!A189+N39,"")</f>
        <v>0</v>
      </c>
      <c r="P39" s="191">
        <f>_xlfn.IFERROR(N39/N34*100,"")</f>
        <v>0</v>
      </c>
      <c r="Q39" s="191">
        <f>_xlfn.IFERROR(O39/O34*100,"")</f>
        <v>0</v>
      </c>
      <c r="R39" s="187"/>
      <c r="S39" s="187"/>
      <c r="T39" s="189"/>
      <c r="U39" s="190"/>
      <c r="V39" s="136"/>
    </row>
    <row customHeight="1" ht="20.25">
      <c r="A40" s="51"/>
      <c r="B40" s="99" t="s">
        <v>65</v>
      </c>
      <c r="C40" s="159" t="s">
        <v>33</v>
      </c>
      <c r="D40" s="160">
        <v>70525</v>
      </c>
      <c r="E40" s="161">
        <f>_xlfn.IFERROR(取值!A107+D40,"")</f>
        <v>840052</v>
      </c>
      <c r="F40" s="166"/>
      <c r="G40" s="162"/>
      <c r="H40" s="163"/>
      <c r="I40" s="161"/>
      <c r="J40" s="162"/>
      <c r="K40" s="183"/>
      <c r="L40" s="132"/>
      <c r="M40" s="198" t="s">
        <v>66</v>
      </c>
      <c r="N40" s="186">
        <v>0</v>
      </c>
      <c r="O40" s="187">
        <f>_xlfn.IFERROR(取值!A190+N40,"")</f>
        <v>0</v>
      </c>
      <c r="P40" s="191">
        <f>_xlfn.IFERROR(N40/N34*100,"")</f>
        <v>0</v>
      </c>
      <c r="Q40" s="191">
        <f>_xlfn.IFERROR(O40/O34*100,"")</f>
        <v>0</v>
      </c>
      <c r="R40" s="187"/>
      <c r="S40" s="187"/>
      <c r="T40" s="192"/>
      <c r="U40" s="193"/>
      <c r="V40" s="136"/>
    </row>
    <row customHeight="1" ht="20.25">
      <c r="A41" s="51"/>
      <c r="B41" s="99"/>
      <c r="C41" s="159" t="s">
        <v>67</v>
      </c>
      <c r="D41" s="160">
        <v>0</v>
      </c>
      <c r="E41" s="161">
        <f>_xlfn.IFERROR(取值!A108+D41,"")</f>
        <v>0</v>
      </c>
      <c r="F41" s="199"/>
      <c r="G41" s="200"/>
      <c r="H41" s="163"/>
      <c r="I41" s="161"/>
      <c r="J41" s="200"/>
      <c r="K41" s="201"/>
      <c r="L41" s="132"/>
      <c r="M41" s="198" t="s">
        <v>41</v>
      </c>
      <c r="N41" s="202">
        <v>235</v>
      </c>
      <c r="O41" s="187">
        <f>_xlfn.IFERROR(取值!A191+N41,"")</f>
        <v>1716</v>
      </c>
      <c r="P41" s="191">
        <f>_xlfn.IFERROR(N41/N34*100,"")</f>
        <v>0.192159877017679</v>
      </c>
      <c r="Q41" s="191">
        <f>_xlfn.IFERROR(O41/O34*100,"")</f>
        <v>0.158464263353569</v>
      </c>
      <c r="R41" s="187"/>
      <c r="S41" s="187"/>
      <c r="T41" s="174"/>
      <c r="U41" s="203"/>
      <c r="V41" s="136"/>
    </row>
    <row customHeight="1" ht="20.25">
      <c r="A42" s="51"/>
      <c r="B42" s="99"/>
      <c r="C42" s="159" t="s">
        <v>68</v>
      </c>
      <c r="D42" s="160">
        <v>61999</v>
      </c>
      <c r="E42" s="161">
        <f>_xlfn.IFERROR(取值!A109+D42,"")</f>
        <v>756695</v>
      </c>
      <c r="F42" s="166">
        <f>_xlfn.IFERROR(D42/(D40+D41)*100,"")</f>
        <v>87.9106699751861</v>
      </c>
      <c r="G42" s="166">
        <f>_xlfn.IFERROR(E42/(E40+E41)*100,"")</f>
        <v>90.0771618899782</v>
      </c>
      <c r="H42" s="163"/>
      <c r="I42" s="161"/>
      <c r="J42" s="162" t="str">
        <f>_xlfn.IFERROR(H42/(H40+H41)*100,"")</f>
        <v/>
      </c>
      <c r="K42" s="183" t="str">
        <f>_xlfn.IFERROR(I42/(I40+I41)*100,"")</f>
        <v/>
      </c>
      <c r="L42" s="132"/>
      <c r="M42" s="204" t="s">
        <v>30</v>
      </c>
      <c r="N42" s="187">
        <f>_xlfn.IFERROR(N34-N35-N36-N37-N38-N39-N40-N41,"")</f>
        <v>704</v>
      </c>
      <c r="O42" s="187">
        <f>_xlfn.IFERROR(O34-O35-O36-O37-O38-O39-O40-O41,"")</f>
        <v>5310</v>
      </c>
      <c r="P42" s="191">
        <f>_xlfn.IFERROR(N42/N34*100,"")</f>
        <v>0.575661929448706</v>
      </c>
      <c r="Q42" s="191">
        <f>_xlfn.IFERROR(O42/O34*100,"")</f>
        <v>0.490352703034646</v>
      </c>
      <c r="R42" s="187"/>
      <c r="S42" s="187"/>
      <c r="T42" s="189"/>
      <c r="U42" s="190"/>
      <c r="V42" s="136"/>
    </row>
    <row customHeight="1" ht="20.25">
      <c r="A43" s="51"/>
      <c r="B43" s="99"/>
      <c r="C43" s="159" t="s">
        <v>69</v>
      </c>
      <c r="D43" s="160">
        <v>8072</v>
      </c>
      <c r="E43" s="161">
        <f>_xlfn.IFERROR(取值!A110+D43,"")</f>
        <v>76819</v>
      </c>
      <c r="F43" s="166">
        <f>_xlfn.IFERROR(D43/(D41+D40)*100,"")</f>
        <v>11.4455866713931</v>
      </c>
      <c r="G43" s="166">
        <f>_xlfn.IFERROR(E43/(E41+E40)*100,"")</f>
        <v>9.14455295624557</v>
      </c>
      <c r="H43" s="163"/>
      <c r="I43" s="161"/>
      <c r="J43" s="162" t="str">
        <f>_xlfn.IFERROR(H43/(H41+H40),"")</f>
        <v/>
      </c>
      <c r="K43" s="162" t="str">
        <f>_xlfn.IFERROR(I43/(I41+I40),"")</f>
        <v/>
      </c>
      <c r="L43" s="131"/>
      <c r="M43" s="170"/>
      <c r="N43" s="187"/>
      <c r="O43" s="187"/>
      <c r="P43" s="188"/>
      <c r="Q43" s="188"/>
      <c r="R43" s="187"/>
      <c r="S43" s="187"/>
      <c r="T43" s="189"/>
      <c r="U43" s="190"/>
      <c r="V43" s="136"/>
    </row>
    <row customHeight="1" ht="20.25">
      <c r="A44" s="51"/>
      <c r="B44" s="99"/>
      <c r="C44" s="159" t="s">
        <v>70</v>
      </c>
      <c r="D44" s="160">
        <v>153</v>
      </c>
      <c r="E44" s="161">
        <f>_xlfn.IFERROR(取值!A111+D44,"")</f>
        <v>3016</v>
      </c>
      <c r="F44" s="166">
        <f>_xlfn.IFERROR(D44/(D40+D41)*100,"")</f>
        <v>0.216944345976604</v>
      </c>
      <c r="G44" s="166">
        <f>_xlfn.IFERROR(E44/(E40+E41)*100,"")</f>
        <v>0.359025393666106</v>
      </c>
      <c r="H44" s="163"/>
      <c r="I44" s="161"/>
      <c r="J44" s="162" t="str">
        <f>_xlfn.IFERROR(H44/(H40+H41)*100,"")</f>
        <v/>
      </c>
      <c r="K44" s="162" t="str">
        <f>_xlfn.IFERROR(I44/(I40+I41)*100,"")</f>
        <v/>
      </c>
      <c r="L44" s="122"/>
      <c r="M44" s="170"/>
      <c r="N44" s="187"/>
      <c r="O44" s="187"/>
      <c r="P44" s="188"/>
      <c r="Q44" s="188"/>
      <c r="R44" s="187"/>
      <c r="S44" s="187"/>
      <c r="T44" s="189"/>
      <c r="U44" s="190"/>
      <c r="V44" s="136"/>
    </row>
    <row customHeight="1" ht="20.25">
      <c r="A45" s="51"/>
      <c r="B45" s="100"/>
      <c r="C45" s="208" t="s">
        <v>30</v>
      </c>
      <c r="D45" s="209">
        <f>_xlfn.IFERROR(D40+D41-D42-D43-D44,"")</f>
        <v>301</v>
      </c>
      <c r="E45" s="209">
        <f>_xlfn.IFERROR(取值!A152+D45,"")</f>
        <v>3522</v>
      </c>
      <c r="F45" s="210">
        <f>_xlfn.IFERROR(100-F42-F43-F44,"")</f>
        <v>0.4267990074442</v>
      </c>
      <c r="G45" s="210">
        <f>_xlfn.IFERROR(100-G42-G43-G44,"")</f>
        <v>0.419259760110123</v>
      </c>
      <c r="H45" s="209">
        <f>_xlfn.IFERROR(H40+H41-H42-H43-H44,"")</f>
        <v>0</v>
      </c>
      <c r="I45" s="209">
        <f>_xlfn.IFERROR(I40+I41-I42-I43-I44,"")</f>
        <v>0</v>
      </c>
      <c r="J45" s="211" t="str">
        <f>_xlfn.IFERROR(100-J42-J43-J44,"")</f>
        <v/>
      </c>
      <c r="K45" s="211" t="str">
        <f>_xlfn.IFERROR(100-K42-K43-K44,"")</f>
        <v/>
      </c>
      <c r="L45" s="123"/>
      <c r="M45" s="213"/>
      <c r="N45" s="214"/>
      <c r="O45" s="214"/>
      <c r="P45" s="215"/>
      <c r="Q45" s="215"/>
      <c r="R45" s="214"/>
      <c r="S45" s="214"/>
      <c r="T45" s="216"/>
      <c r="U45" s="217"/>
      <c r="V45" s="136"/>
    </row>
    <row customHeight="1" ht="13.5">
      <c r="A46" s="51"/>
      <c r="B46" s="51"/>
      <c r="C46" s="51"/>
      <c r="D46" s="218" t="s">
        <v>71</v>
      </c>
      <c r="E46" s="219">
        <v>0</v>
      </c>
      <c r="F46" s="51"/>
      <c r="G46" s="51"/>
      <c r="H46" s="51"/>
      <c r="I46" s="51"/>
      <c r="J46" s="51"/>
      <c r="K46" s="218" t="s">
        <v>72</v>
      </c>
      <c r="L46" s="220">
        <v>0</v>
      </c>
      <c r="M46" s="221"/>
      <c r="N46" s="51"/>
      <c r="O46" s="51"/>
      <c r="P46" s="51"/>
      <c r="Q46" s="51"/>
      <c r="R46" s="218" t="s">
        <v>73</v>
      </c>
      <c r="S46" s="219">
        <v>0</v>
      </c>
      <c r="T46" s="51"/>
      <c r="U46" s="51"/>
      <c r="V46" s="136"/>
    </row>
    <row customHeight="1" ht="13.7025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136"/>
    </row>
    <row customHeight="1" ht="13.7025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136"/>
    </row>
    <row customHeight="1" ht="13.7025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136"/>
    </row>
    <row customHeight="1" ht="13.7025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136"/>
    </row>
  </sheetData>
  <mergeCells count="27">
    <mergeCell ref="L46:M46"/>
    <mergeCell ref="B2:U2"/>
    <mergeCell ref="B3:C3"/>
    <mergeCell ref="P3:R3"/>
    <mergeCell ref="T3:U3"/>
    <mergeCell ref="D4:E4"/>
    <mergeCell ref="F4:G4"/>
    <mergeCell ref="H4:I4"/>
    <mergeCell ref="J4:K4"/>
    <mergeCell ref="N4:O4"/>
    <mergeCell ref="P4:Q4"/>
    <mergeCell ref="R4:S4"/>
    <mergeCell ref="T4:U4"/>
    <mergeCell ref="B4:B5"/>
    <mergeCell ref="C4:C5"/>
    <mergeCell ref="L4:L5"/>
    <mergeCell ref="M4:M5"/>
    <mergeCell ref="B6:B15"/>
    <mergeCell ref="B16:B23"/>
    <mergeCell ref="B24:B31"/>
    <mergeCell ref="B32:B39"/>
    <mergeCell ref="L34:L42"/>
    <mergeCell ref="B40:B45"/>
    <mergeCell ref="L6:L16"/>
    <mergeCell ref="L17:L21"/>
    <mergeCell ref="L22:L27"/>
    <mergeCell ref="L28:L33"/>
  </mergeCells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2FA5249-3F05-9C5A-C9B8-1BC347907A58}" mc:Ignorable="x14ac xr xr2 xr3">
  <dimension ref="A1:I138"/>
  <sheetViews>
    <sheetView topLeftCell="B34" workbookViewId="0">
      <selection activeCell="I53" sqref="I53"/>
    </sheetView>
  </sheetViews>
  <sheetFormatPr defaultColWidth="9.00390625" customHeight="1" defaultRowHeight="13.7025"/>
  <cols>
    <col min="3" max="3" style="247" width="23.7109375" customWidth="1"/>
    <col min="6" max="6" style="248" width="15.28125" customWidth="1"/>
    <col min="7" max="7" style="249" width="71.57421875" customWidth="1"/>
  </cols>
  <sheetData>
    <row customHeight="1" ht="13.5">
      <c r="A1" s="136" t="s">
        <v>74</v>
      </c>
      <c r="B1" s="243"/>
      <c r="C1" s="243" t="s">
        <v>75</v>
      </c>
      <c r="D1" s="243"/>
      <c r="E1" s="243" t="s">
        <v>76</v>
      </c>
      <c r="F1" s="243"/>
      <c r="G1" s="243" t="s">
        <v>77</v>
      </c>
      <c r="H1" s="243"/>
      <c r="I1" s="243" t="s">
        <v>78</v>
      </c>
    </row>
    <row customHeight="1" ht="13.5">
      <c r="A2" s="136" t="s">
        <v>79</v>
      </c>
      <c r="B2" s="243"/>
      <c r="C2" s="243"/>
      <c r="D2" s="243"/>
      <c r="E2" s="243"/>
      <c r="F2" s="243"/>
      <c r="G2" s="243"/>
      <c r="H2" s="243"/>
      <c r="I2" s="243"/>
    </row>
    <row customHeight="1" ht="13.5">
      <c r="A3" s="244" t="s">
        <v>80</v>
      </c>
      <c r="B3" s="243"/>
      <c r="C3" s="243"/>
      <c r="D3" s="243"/>
      <c r="E3" s="243"/>
      <c r="F3" s="243"/>
      <c r="G3" s="243"/>
      <c r="H3" s="243"/>
      <c r="I3" s="243"/>
    </row>
    <row customHeight="1" ht="13.5">
      <c r="A4" s="136" t="s">
        <v>81</v>
      </c>
      <c r="B4" s="243" t="s">
        <v>82</v>
      </c>
      <c r="C4" s="243" t="s">
        <v>83</v>
      </c>
      <c r="D4" s="243" t="s">
        <v>84</v>
      </c>
      <c r="E4" s="243" t="s">
        <v>85</v>
      </c>
      <c r="F4" s="243" t="s">
        <v>86</v>
      </c>
      <c r="G4" s="243" t="s">
        <v>87</v>
      </c>
      <c r="H4" s="243" t="s">
        <v>88</v>
      </c>
      <c r="I4" s="136" t="str">
        <f>A4&amp;B4&amp;C4&amp;D4&amp;E4&amp;F4&amp;G4&amp;H4</f>
        <v>#SQL("Yul_PM_ALL_ByMonth","VALUE",":where{NAME=榆炼_生产_联合一车间_500万吨/年常压装置_进_原油}")</v>
      </c>
    </row>
    <row customHeight="1" ht="13.5">
      <c r="A5" s="136" t="s">
        <v>81</v>
      </c>
      <c r="B5" s="243" t="s">
        <v>82</v>
      </c>
      <c r="C5" s="243" t="s">
        <v>83</v>
      </c>
      <c r="D5" s="243" t="s">
        <v>84</v>
      </c>
      <c r="E5" s="243" t="s">
        <v>85</v>
      </c>
      <c r="F5" s="243" t="s">
        <v>86</v>
      </c>
      <c r="G5" s="243" t="s">
        <v>89</v>
      </c>
      <c r="H5" s="243" t="s">
        <v>88</v>
      </c>
      <c r="I5" s="136" t="str">
        <f>A5&amp;B5&amp;C5&amp;D5&amp;E5&amp;F5&amp;G5&amp;H5</f>
        <v>#SQL("Yul_PM_ALL_ByMonth","VALUE",":where{NAME=榆炼_生产_联合一车间_500万吨/年常压装置_出_石脑油（常压）}")</v>
      </c>
    </row>
    <row customHeight="1" ht="13.5">
      <c r="A6" s="244" t="s">
        <v>81</v>
      </c>
      <c r="B6" s="243" t="s">
        <v>82</v>
      </c>
      <c r="C6" s="243" t="s">
        <v>83</v>
      </c>
      <c r="D6" s="243" t="s">
        <v>84</v>
      </c>
      <c r="E6" s="243" t="s">
        <v>85</v>
      </c>
      <c r="F6" s="243" t="s">
        <v>86</v>
      </c>
      <c r="G6" s="243" t="s">
        <v>90</v>
      </c>
      <c r="H6" s="243" t="s">
        <v>88</v>
      </c>
      <c r="I6" s="244" t="str">
        <f>A6&amp;B6&amp;C6&amp;D6&amp;E6&amp;F6&amp;G6&amp;H6</f>
        <v>#SQL("Yul_PM_ALL_ByMonth","VALUE",":where{NAME=榆炼_生产_联合一车间_500万吨/年常压装置_出_终止剂}")</v>
      </c>
    </row>
    <row customHeight="1" ht="13.5">
      <c r="A7" s="244" t="s">
        <v>81</v>
      </c>
      <c r="B7" s="243" t="s">
        <v>82</v>
      </c>
      <c r="C7" s="243" t="s">
        <v>83</v>
      </c>
      <c r="D7" s="243" t="s">
        <v>84</v>
      </c>
      <c r="E7" s="243" t="s">
        <v>85</v>
      </c>
      <c r="F7" s="243" t="s">
        <v>86</v>
      </c>
      <c r="G7" s="243" t="s">
        <v>91</v>
      </c>
      <c r="H7" s="243" t="s">
        <v>88</v>
      </c>
      <c r="I7" s="244" t="str">
        <f>A7&amp;B7&amp;C7&amp;D7&amp;E7&amp;F7&amp;G7&amp;H7</f>
        <v>#SQL("Yul_PM_ALL_ByMonth","VALUE",":where{NAME=榆炼_生产_联合一车间_500万吨/年常压装置_出_常三线柴油}")</v>
      </c>
    </row>
    <row customHeight="1" ht="13.5">
      <c r="A8" s="136" t="s">
        <v>81</v>
      </c>
      <c r="B8" s="243" t="s">
        <v>82</v>
      </c>
      <c r="C8" s="243" t="s">
        <v>83</v>
      </c>
      <c r="D8" s="243" t="s">
        <v>84</v>
      </c>
      <c r="E8" s="243" t="s">
        <v>85</v>
      </c>
      <c r="F8" s="243" t="s">
        <v>86</v>
      </c>
      <c r="G8" s="243" t="s">
        <v>92</v>
      </c>
      <c r="H8" s="243" t="s">
        <v>88</v>
      </c>
      <c r="I8" s="136" t="str">
        <f>A8&amp;B8&amp;C8&amp;D8&amp;E8&amp;F8&amp;G8&amp;H8</f>
        <v>#SQL("Yul_PM_ALL_ByMonth","VALUE",":where{NAME=榆炼_生产_联合一车间_500万吨/年常压装置_出_混合柴油}")</v>
      </c>
    </row>
    <row customHeight="1" ht="13.5">
      <c r="A9" s="136" t="s">
        <v>81</v>
      </c>
      <c r="B9" s="243" t="s">
        <v>82</v>
      </c>
      <c r="C9" s="243" t="s">
        <v>83</v>
      </c>
      <c r="D9" s="243" t="s">
        <v>84</v>
      </c>
      <c r="E9" s="243" t="s">
        <v>85</v>
      </c>
      <c r="F9" s="243" t="s">
        <v>86</v>
      </c>
      <c r="G9" s="243" t="s">
        <v>93</v>
      </c>
      <c r="H9" s="243" t="s">
        <v>88</v>
      </c>
      <c r="I9" s="136" t="str">
        <f>A9&amp;B9&amp;C9&amp;D9&amp;E9&amp;F9&amp;G9&amp;H9</f>
        <v>#SQL("Yul_PM_ALL_ByMonth","VALUE",":where{NAME=榆炼_生产_联合一车间_500万吨/年常压装置_出_常三线单出产量}")</v>
      </c>
    </row>
    <row customHeight="1" ht="13.5">
      <c r="A10" s="136" t="s">
        <v>81</v>
      </c>
      <c r="B10" s="243" t="s">
        <v>82</v>
      </c>
      <c r="C10" s="243" t="s">
        <v>83</v>
      </c>
      <c r="D10" s="243" t="s">
        <v>84</v>
      </c>
      <c r="E10" s="243" t="s">
        <v>85</v>
      </c>
      <c r="F10" s="243" t="s">
        <v>86</v>
      </c>
      <c r="G10" s="243" t="s">
        <v>94</v>
      </c>
      <c r="H10" s="243" t="s">
        <v>88</v>
      </c>
      <c r="I10" s="136" t="str">
        <f>A10&amp;B10&amp;C10&amp;D10&amp;E10&amp;F10&amp;G10&amp;H10</f>
        <v>#SQL("Yul_PM_ALL_ByMonth","VALUE",":where{NAME=榆炼_生产_联合一车间_500万吨/年常压装置_出_饱和液化气}")</v>
      </c>
    </row>
    <row customHeight="1" ht="13.5">
      <c r="A11" s="136" t="s">
        <v>81</v>
      </c>
      <c r="B11" s="243" t="s">
        <v>82</v>
      </c>
      <c r="C11" s="243" t="s">
        <v>83</v>
      </c>
      <c r="D11" s="243" t="s">
        <v>84</v>
      </c>
      <c r="E11" s="243" t="s">
        <v>85</v>
      </c>
      <c r="F11" s="243" t="s">
        <v>86</v>
      </c>
      <c r="G11" s="243" t="s">
        <v>95</v>
      </c>
      <c r="H11" s="243" t="s">
        <v>88</v>
      </c>
      <c r="I11" s="136" t="str">
        <f>A11&amp;B11&amp;C11&amp;D11&amp;E11&amp;F11&amp;G11&amp;H11</f>
        <v>#SQL("Yul_PM_ALL_ByMonth","VALUE",":where{NAME=榆炼_生产_联合一车间_500万吨/年常压装置_出_1#渣油 （常压）}")</v>
      </c>
    </row>
    <row customHeight="1" ht="13.5">
      <c r="A12" s="136" t="s">
        <v>81</v>
      </c>
      <c r="B12" s="243" t="s">
        <v>82</v>
      </c>
      <c r="C12" s="243" t="s">
        <v>83</v>
      </c>
      <c r="D12" s="243" t="s">
        <v>84</v>
      </c>
      <c r="E12" s="243" t="s">
        <v>85</v>
      </c>
      <c r="F12" s="243" t="s">
        <v>86</v>
      </c>
      <c r="G12" s="243" t="s">
        <v>96</v>
      </c>
      <c r="H12" s="243" t="s">
        <v>88</v>
      </c>
      <c r="I12" s="136" t="str">
        <f>A12&amp;B12&amp;C12&amp;D12&amp;E12&amp;F12&amp;G12&amp;H12</f>
        <v>#SQL("Yul_PM_ALL_ByMonth","VALUE",":where{NAME=榆炼_生产_联合一车间_500万吨/年常压装置_出_压缩富气}")</v>
      </c>
    </row>
    <row customHeight="1" ht="13.5">
      <c r="A13" s="136" t="s">
        <v>97</v>
      </c>
      <c r="B13" s="136"/>
      <c r="C13" s="51"/>
      <c r="D13" s="136"/>
      <c r="E13" s="136"/>
      <c r="F13" s="51"/>
      <c r="G13" s="51"/>
      <c r="H13" s="136"/>
      <c r="I13" s="136"/>
    </row>
    <row customHeight="1" ht="13.5">
      <c r="A14" s="136" t="s">
        <v>81</v>
      </c>
      <c r="B14" s="243" t="s">
        <v>82</v>
      </c>
      <c r="C14" s="243" t="s">
        <v>83</v>
      </c>
      <c r="D14" s="243" t="s">
        <v>84</v>
      </c>
      <c r="E14" s="243" t="s">
        <v>85</v>
      </c>
      <c r="F14" s="243" t="s">
        <v>86</v>
      </c>
      <c r="G14" s="243" t="s">
        <v>98</v>
      </c>
      <c r="H14" s="243" t="s">
        <v>88</v>
      </c>
      <c r="I14" s="136" t="str">
        <f>A14&amp;B14&amp;C14&amp;D14&amp;E14&amp;F14&amp;G14&amp;H14</f>
        <v>#SQL("Yul_PM_ALL_ByMonth","VALUE",":where{NAME=榆炼_生产_联合二车间_60万吨/年催化装置_进_渣油}")</v>
      </c>
    </row>
    <row customHeight="1" ht="13.5">
      <c r="A15" s="136" t="s">
        <v>81</v>
      </c>
      <c r="B15" s="243" t="s">
        <v>82</v>
      </c>
      <c r="C15" s="243" t="s">
        <v>83</v>
      </c>
      <c r="D15" s="243" t="s">
        <v>84</v>
      </c>
      <c r="E15" s="243" t="s">
        <v>85</v>
      </c>
      <c r="F15" s="243" t="s">
        <v>86</v>
      </c>
      <c r="G15" s="243" t="s">
        <v>99</v>
      </c>
      <c r="H15" s="243" t="s">
        <v>88</v>
      </c>
      <c r="I15" s="136" t="str">
        <f>A15&amp;B15&amp;C15&amp;D15&amp;E15&amp;F15&amp;G15&amp;H15</f>
        <v>#SQL("Yul_PM_ALL_ByMonth","VALUE",":where{NAME=榆炼_生产_联合二车间_60万吨/年催化装置_出_汽油}")</v>
      </c>
    </row>
    <row customHeight="1" ht="13.5">
      <c r="A16" s="136" t="s">
        <v>81</v>
      </c>
      <c r="B16" s="243" t="s">
        <v>82</v>
      </c>
      <c r="C16" s="243" t="s">
        <v>83</v>
      </c>
      <c r="D16" s="243" t="s">
        <v>84</v>
      </c>
      <c r="E16" s="243" t="s">
        <v>85</v>
      </c>
      <c r="F16" s="243" t="s">
        <v>86</v>
      </c>
      <c r="G16" s="243" t="s">
        <v>100</v>
      </c>
      <c r="H16" s="243" t="s">
        <v>88</v>
      </c>
      <c r="I16" s="136" t="str">
        <f>A16&amp;B16&amp;C16&amp;D16&amp;E16&amp;F16&amp;G16&amp;H16</f>
        <v>#SQL("Yul_PM_ALL_ByMonth","VALUE",":where{NAME=榆炼_生产_联合二车间_60万吨/年催化装置_出_柴油}")</v>
      </c>
    </row>
    <row customHeight="1" ht="13.5">
      <c r="A17" s="136" t="s">
        <v>81</v>
      </c>
      <c r="B17" s="243" t="s">
        <v>82</v>
      </c>
      <c r="C17" s="243" t="s">
        <v>83</v>
      </c>
      <c r="D17" s="243" t="s">
        <v>84</v>
      </c>
      <c r="E17" s="243" t="s">
        <v>85</v>
      </c>
      <c r="F17" s="243" t="s">
        <v>86</v>
      </c>
      <c r="G17" s="243" t="s">
        <v>101</v>
      </c>
      <c r="H17" s="243" t="s">
        <v>88</v>
      </c>
      <c r="I17" s="136" t="str">
        <f>A17&amp;B17&amp;C17&amp;D17&amp;E17&amp;F17&amp;G17&amp;H17</f>
        <v>#SQL("Yul_PM_ALL_ByMonth","VALUE",":where{NAME=榆炼_生产_联合二车间_60万吨/年催化装置_出_液化气}")</v>
      </c>
    </row>
    <row customHeight="1" ht="13.5">
      <c r="A18" s="136" t="s">
        <v>81</v>
      </c>
      <c r="B18" s="243" t="s">
        <v>82</v>
      </c>
      <c r="C18" s="243" t="s">
        <v>83</v>
      </c>
      <c r="D18" s="243" t="s">
        <v>84</v>
      </c>
      <c r="E18" s="243" t="s">
        <v>85</v>
      </c>
      <c r="F18" s="243" t="s">
        <v>86</v>
      </c>
      <c r="G18" s="243" t="s">
        <v>102</v>
      </c>
      <c r="H18" s="243" t="s">
        <v>88</v>
      </c>
      <c r="I18" s="136" t="str">
        <f>A18&amp;B18&amp;C18&amp;D18&amp;E18&amp;F18&amp;G18&amp;H18</f>
        <v>#SQL("Yul_PM_ALL_ByMonth","VALUE",":where{NAME=榆炼_生产_联合二车间_60万吨/年催化装置_出_油浆}")</v>
      </c>
    </row>
    <row customHeight="1" ht="13.5">
      <c r="A19" s="136" t="s">
        <v>81</v>
      </c>
      <c r="B19" s="243" t="s">
        <v>82</v>
      </c>
      <c r="C19" s="243" t="s">
        <v>83</v>
      </c>
      <c r="D19" s="243" t="s">
        <v>84</v>
      </c>
      <c r="E19" s="243" t="s">
        <v>85</v>
      </c>
      <c r="F19" s="243" t="s">
        <v>86</v>
      </c>
      <c r="G19" s="243" t="s">
        <v>103</v>
      </c>
      <c r="H19" s="243" t="s">
        <v>88</v>
      </c>
      <c r="I19" s="136" t="str">
        <f>A19&amp;B19&amp;C19&amp;D19&amp;E19&amp;F19&amp;G19&amp;H19</f>
        <v>#SQL("Yul_PM_ALL_ByMonth","VALUE",":where{NAME=榆炼_生产_联合二车间_60万吨/年催化装置_出_干气}")</v>
      </c>
    </row>
    <row customHeight="1" ht="13.5">
      <c r="A20" s="136" t="s">
        <v>81</v>
      </c>
      <c r="B20" s="243" t="s">
        <v>82</v>
      </c>
      <c r="C20" s="243" t="s">
        <v>83</v>
      </c>
      <c r="D20" s="243" t="s">
        <v>84</v>
      </c>
      <c r="E20" s="243" t="s">
        <v>85</v>
      </c>
      <c r="F20" s="243" t="s">
        <v>86</v>
      </c>
      <c r="G20" s="243" t="s">
        <v>104</v>
      </c>
      <c r="H20" s="243" t="s">
        <v>88</v>
      </c>
      <c r="I20" s="136" t="str">
        <f>A20&amp;B20&amp;C20&amp;D20&amp;E20&amp;F20&amp;G20&amp;H20</f>
        <v>#SQL("Yul_PM_ALL_ByMonth","VALUE",":where{NAME=榆炼_生产_联合二车间_60万吨/年催化装置_出_生焦}")</v>
      </c>
    </row>
    <row customHeight="1" ht="13.5">
      <c r="A21" s="136" t="s">
        <v>81</v>
      </c>
      <c r="B21" s="243" t="s">
        <v>82</v>
      </c>
      <c r="C21" s="243" t="s">
        <v>83</v>
      </c>
      <c r="D21" s="243" t="s">
        <v>84</v>
      </c>
      <c r="E21" s="243" t="s">
        <v>85</v>
      </c>
      <c r="F21" s="243" t="s">
        <v>86</v>
      </c>
      <c r="G21" s="243"/>
      <c r="H21" s="243" t="s">
        <v>88</v>
      </c>
      <c r="I21" s="136" t="str">
        <f>A21&amp;B21&amp;C21&amp;D21&amp;E21&amp;F21&amp;G21&amp;H21</f>
        <v>#SQL("Yul_PM_ALL_ByMonth","VALUE",":where{NAME=}")</v>
      </c>
    </row>
    <row customHeight="1" ht="13.5">
      <c r="A22" s="136" t="s">
        <v>105</v>
      </c>
      <c r="B22" s="136"/>
      <c r="C22" s="51"/>
      <c r="D22" s="136"/>
      <c r="E22" s="136"/>
      <c r="F22" s="51"/>
      <c r="G22" s="51"/>
      <c r="H22" s="136"/>
      <c r="I22" s="136"/>
    </row>
    <row customHeight="1" ht="13.5">
      <c r="A23" s="136" t="s">
        <v>81</v>
      </c>
      <c r="B23" s="243" t="s">
        <v>82</v>
      </c>
      <c r="C23" s="243" t="s">
        <v>83</v>
      </c>
      <c r="D23" s="243" t="s">
        <v>84</v>
      </c>
      <c r="E23" s="243" t="s">
        <v>85</v>
      </c>
      <c r="F23" s="243" t="s">
        <v>86</v>
      </c>
      <c r="G23" s="243" t="s">
        <v>106</v>
      </c>
      <c r="H23" s="243" t="s">
        <v>88</v>
      </c>
      <c r="I23" s="136" t="str">
        <f>A23&amp;B23&amp;C23&amp;D23&amp;E23&amp;F23&amp;G23&amp;H23</f>
        <v>#SQL("Yul_PM_ALL_ByMonth","VALUE",":where{NAME=榆炼_生产_联合二车间_180万吨/年催化装置_进_常压渣油}")</v>
      </c>
    </row>
    <row customHeight="1" ht="13.5">
      <c r="A24" s="136" t="s">
        <v>81</v>
      </c>
      <c r="B24" s="243" t="s">
        <v>82</v>
      </c>
      <c r="C24" s="243" t="s">
        <v>83</v>
      </c>
      <c r="D24" s="243" t="s">
        <v>84</v>
      </c>
      <c r="E24" s="243" t="s">
        <v>85</v>
      </c>
      <c r="F24" s="243" t="s">
        <v>86</v>
      </c>
      <c r="G24" s="243" t="s">
        <v>107</v>
      </c>
      <c r="H24" s="243" t="s">
        <v>88</v>
      </c>
      <c r="I24" s="136" t="str">
        <f>A24&amp;B24&amp;C24&amp;D24&amp;E24&amp;F24&amp;G24&amp;H24</f>
        <v>#SQL("Yul_PM_ALL_ByMonth","VALUE",":where{NAME=榆炼_生产_联合二车间_180万吨/年催化装置_出_催化汽油}")</v>
      </c>
    </row>
    <row customHeight="1" ht="13.5">
      <c r="A25" s="136" t="s">
        <v>81</v>
      </c>
      <c r="B25" s="243" t="s">
        <v>82</v>
      </c>
      <c r="C25" s="243" t="s">
        <v>83</v>
      </c>
      <c r="D25" s="243" t="s">
        <v>84</v>
      </c>
      <c r="E25" s="243" t="s">
        <v>85</v>
      </c>
      <c r="F25" s="243" t="s">
        <v>86</v>
      </c>
      <c r="G25" s="243" t="s">
        <v>108</v>
      </c>
      <c r="H25" s="243" t="s">
        <v>88</v>
      </c>
      <c r="I25" s="136" t="str">
        <f>A25&amp;B25&amp;C25&amp;D25&amp;E25&amp;F25&amp;G25&amp;H25</f>
        <v>#SQL("Yul_PM_ALL_ByMonth","VALUE",":where{NAME=榆炼_生产_联合二车间_180万吨/年催化装置_出_催化柴油}")</v>
      </c>
    </row>
    <row customHeight="1" ht="13.5">
      <c r="A26" s="136" t="s">
        <v>81</v>
      </c>
      <c r="B26" s="243" t="s">
        <v>82</v>
      </c>
      <c r="C26" s="243" t="s">
        <v>83</v>
      </c>
      <c r="D26" s="243" t="s">
        <v>84</v>
      </c>
      <c r="E26" s="243" t="s">
        <v>85</v>
      </c>
      <c r="F26" s="243" t="s">
        <v>86</v>
      </c>
      <c r="G26" s="243" t="s">
        <v>109</v>
      </c>
      <c r="H26" s="243" t="s">
        <v>88</v>
      </c>
      <c r="I26" s="136" t="str">
        <f>A26&amp;B26&amp;C26&amp;D26&amp;E26&amp;F26&amp;G26&amp;H26</f>
        <v>#SQL("Yul_PM_ALL_ByMonth","VALUE",":where{NAME=榆炼_生产_联合二车间_180万吨/年催化装置_出_原料液化气}")</v>
      </c>
    </row>
    <row customHeight="1" ht="13.5">
      <c r="A27" s="136" t="s">
        <v>81</v>
      </c>
      <c r="B27" s="243" t="s">
        <v>82</v>
      </c>
      <c r="C27" s="243" t="s">
        <v>83</v>
      </c>
      <c r="D27" s="243" t="s">
        <v>84</v>
      </c>
      <c r="E27" s="243" t="s">
        <v>85</v>
      </c>
      <c r="F27" s="243" t="s">
        <v>86</v>
      </c>
      <c r="G27" s="243" t="s">
        <v>110</v>
      </c>
      <c r="H27" s="243" t="s">
        <v>88</v>
      </c>
      <c r="I27" s="136" t="str">
        <f>A27&amp;B27&amp;C27&amp;D27&amp;E27&amp;F27&amp;G27&amp;H27</f>
        <v>#SQL("Yul_PM_ALL_ByMonth","VALUE",":where{NAME=榆炼_生产_联合二车间_180万吨/年催化装置_出_2#渣油(催化渣油、催化澄清油、油浆、罐区回炼油浆）}")</v>
      </c>
    </row>
    <row customHeight="1" ht="13.5">
      <c r="A28" s="136" t="s">
        <v>81</v>
      </c>
      <c r="B28" s="243" t="s">
        <v>82</v>
      </c>
      <c r="C28" s="243" t="s">
        <v>83</v>
      </c>
      <c r="D28" s="243" t="s">
        <v>84</v>
      </c>
      <c r="E28" s="243" t="s">
        <v>85</v>
      </c>
      <c r="F28" s="243" t="s">
        <v>86</v>
      </c>
      <c r="G28" s="243" t="s">
        <v>111</v>
      </c>
      <c r="H28" s="243" t="s">
        <v>88</v>
      </c>
      <c r="I28" s="136" t="str">
        <f>A28&amp;B28&amp;C28&amp;D28&amp;E28&amp;F28&amp;G28&amp;H28</f>
        <v>#SQL("Yul_PM_ALL_ByMonth","VALUE",":where{NAME=榆炼_生产_联合二车间_180万吨/年催化装置_出_干气}")</v>
      </c>
    </row>
    <row customHeight="1" ht="13.5">
      <c r="A29" s="136" t="s">
        <v>81</v>
      </c>
      <c r="B29" s="243" t="s">
        <v>82</v>
      </c>
      <c r="C29" s="243" t="s">
        <v>83</v>
      </c>
      <c r="D29" s="243" t="s">
        <v>84</v>
      </c>
      <c r="E29" s="243" t="s">
        <v>85</v>
      </c>
      <c r="F29" s="243" t="s">
        <v>86</v>
      </c>
      <c r="G29" s="243" t="s">
        <v>112</v>
      </c>
      <c r="H29" s="243" t="s">
        <v>88</v>
      </c>
      <c r="I29" s="136" t="str">
        <f>A29&amp;B29&amp;C29&amp;D29&amp;E29&amp;F29&amp;G29&amp;H29</f>
        <v>#SQL("Yul_PM_ALL_ByMonth","VALUE",":where{NAME=榆炼_生产_联合二车间_180万吨/年催化装置_出_生焦}")</v>
      </c>
    </row>
    <row customHeight="1" ht="13.5">
      <c r="A30" s="136" t="s">
        <v>81</v>
      </c>
      <c r="B30" s="243" t="s">
        <v>82</v>
      </c>
      <c r="C30" s="243" t="s">
        <v>83</v>
      </c>
      <c r="D30" s="243" t="s">
        <v>84</v>
      </c>
      <c r="E30" s="243" t="s">
        <v>85</v>
      </c>
      <c r="F30" s="243" t="s">
        <v>86</v>
      </c>
      <c r="G30" s="243"/>
      <c r="H30" s="243" t="s">
        <v>88</v>
      </c>
      <c r="I30" s="136" t="str">
        <f>A30&amp;B30&amp;C30&amp;D30&amp;E30&amp;F30&amp;G30&amp;H30</f>
        <v>#SQL("Yul_PM_ALL_ByMonth","VALUE",":where{NAME=}")</v>
      </c>
    </row>
    <row customHeight="1" ht="13.5">
      <c r="A31" s="136" t="s">
        <v>113</v>
      </c>
      <c r="B31" s="136"/>
      <c r="C31" s="51"/>
      <c r="D31" s="136"/>
      <c r="E31" s="136"/>
      <c r="F31" s="51"/>
      <c r="G31" s="51"/>
      <c r="H31" s="243"/>
      <c r="I31" s="136"/>
    </row>
    <row customHeight="1" ht="13.5">
      <c r="A32" s="136" t="s">
        <v>81</v>
      </c>
      <c r="B32" s="243" t="s">
        <v>82</v>
      </c>
      <c r="C32" s="243" t="s">
        <v>83</v>
      </c>
      <c r="D32" s="243" t="s">
        <v>84</v>
      </c>
      <c r="E32" s="243" t="s">
        <v>85</v>
      </c>
      <c r="F32" s="243" t="s">
        <v>86</v>
      </c>
      <c r="G32" s="245" t="s">
        <v>114</v>
      </c>
      <c r="H32" s="243" t="s">
        <v>88</v>
      </c>
      <c r="I32" s="136" t="str">
        <f>A32&amp;B32&amp;C32&amp;D32&amp;E32&amp;F32&amp;G32&amp;H32</f>
        <v>#SQL("Yul_PM_ALL_ByMonth","VALUE",":where{NAME=榆炼_生产_联合四车间_200万吨/年柴油精制装置_进_加氢加工量}")</v>
      </c>
    </row>
    <row customHeight="1" ht="13.5">
      <c r="A33" s="136" t="s">
        <v>81</v>
      </c>
      <c r="B33" s="243" t="s">
        <v>82</v>
      </c>
      <c r="C33" s="243" t="s">
        <v>83</v>
      </c>
      <c r="D33" s="243" t="s">
        <v>84</v>
      </c>
      <c r="E33" s="243" t="s">
        <v>85</v>
      </c>
      <c r="F33" s="243" t="s">
        <v>86</v>
      </c>
      <c r="G33" s="244" t="s">
        <v>115</v>
      </c>
      <c r="H33" s="243" t="s">
        <v>88</v>
      </c>
      <c r="I33" s="136" t="str">
        <f>A33&amp;B33&amp;C33&amp;D33&amp;E33&amp;F33&amp;G33&amp;H33</f>
        <v>#SQL("Yul_PM_ALL_ByMonth","VALUE",":where{NAME=榆炼_生产_联合四车间_200万吨/年柴油精制装置_进_氢气}")</v>
      </c>
    </row>
    <row customHeight="1" ht="13.5">
      <c r="A34" s="136" t="s">
        <v>81</v>
      </c>
      <c r="B34" s="243" t="s">
        <v>82</v>
      </c>
      <c r="C34" s="243" t="s">
        <v>83</v>
      </c>
      <c r="D34" s="243" t="s">
        <v>84</v>
      </c>
      <c r="E34" s="243" t="s">
        <v>85</v>
      </c>
      <c r="F34" s="243" t="s">
        <v>86</v>
      </c>
      <c r="G34" s="244" t="s">
        <v>116</v>
      </c>
      <c r="H34" s="243" t="s">
        <v>88</v>
      </c>
      <c r="I34" s="136" t="str">
        <f>A34&amp;B34&amp;C34&amp;D34&amp;E34&amp;F34&amp;G34&amp;H34</f>
        <v>#SQL("Yul_PM_ALL_ByMonth","VALUE",":where{NAME=榆炼_生产_联合四车间_200万吨/年柴油精制装置_出_精制柴油}")</v>
      </c>
    </row>
    <row customHeight="1" ht="13.5">
      <c r="A35" s="136" t="s">
        <v>81</v>
      </c>
      <c r="B35" s="243" t="s">
        <v>82</v>
      </c>
      <c r="C35" s="243" t="s">
        <v>83</v>
      </c>
      <c r="D35" s="243" t="s">
        <v>84</v>
      </c>
      <c r="E35" s="243" t="s">
        <v>85</v>
      </c>
      <c r="F35" s="243" t="s">
        <v>86</v>
      </c>
      <c r="G35" s="244" t="s">
        <v>117</v>
      </c>
      <c r="H35" s="243" t="s">
        <v>88</v>
      </c>
      <c r="I35" s="136" t="str">
        <f>A35&amp;B35&amp;C35&amp;D35&amp;E35&amp;F35&amp;G35&amp;H35</f>
        <v>#SQL("Yul_PM_ALL_ByMonth","VALUE",":where{NAME=榆炼_生产_联合四车间_200万吨/年柴油精制装置_出_石脑油Ⅱ (拨头油、重整轻汽油、轻石脑油、重整轻石脑油)}")</v>
      </c>
    </row>
    <row customHeight="1" ht="13.5">
      <c r="A36" s="136" t="s">
        <v>81</v>
      </c>
      <c r="B36" s="243" t="s">
        <v>82</v>
      </c>
      <c r="C36" s="243" t="s">
        <v>83</v>
      </c>
      <c r="D36" s="243" t="s">
        <v>84</v>
      </c>
      <c r="E36" s="243" t="s">
        <v>85</v>
      </c>
      <c r="F36" s="243" t="s">
        <v>86</v>
      </c>
      <c r="G36" s="244" t="s">
        <v>118</v>
      </c>
      <c r="H36" s="243" t="s">
        <v>88</v>
      </c>
      <c r="I36" s="136" t="str">
        <f>A36&amp;B36&amp;C36&amp;D36&amp;E36&amp;F36&amp;G36&amp;H36</f>
        <v>#SQL("Yul_PM_ALL_ByMonth","VALUE",":where{NAME=榆炼_生产_联合四车间_200万吨/年柴油精制装置_出_轻烃气}")</v>
      </c>
    </row>
    <row customHeight="1" ht="13.5">
      <c r="A37" s="136" t="s">
        <v>81</v>
      </c>
      <c r="B37" s="243" t="s">
        <v>82</v>
      </c>
      <c r="C37" s="243" t="s">
        <v>83</v>
      </c>
      <c r="D37" s="243" t="s">
        <v>84</v>
      </c>
      <c r="E37" s="243" t="s">
        <v>85</v>
      </c>
      <c r="F37" s="243" t="s">
        <v>86</v>
      </c>
      <c r="G37" s="244" t="s">
        <v>119</v>
      </c>
      <c r="H37" s="243" t="s">
        <v>88</v>
      </c>
      <c r="I37" s="136" t="str">
        <f>A37&amp;B37&amp;C37&amp;D37&amp;E37&amp;F37&amp;G37&amp;H37</f>
        <v>#SQL("Yul_PM_ALL_ByMonth","VALUE",":where{NAME=榆炼_生产_联合四车间_200万吨/年柴油精制装置_出_轻烃液}")</v>
      </c>
    </row>
    <row customHeight="1" ht="13.5">
      <c r="A38" s="136" t="s">
        <v>81</v>
      </c>
      <c r="B38" s="243" t="s">
        <v>82</v>
      </c>
      <c r="C38" s="243" t="s">
        <v>83</v>
      </c>
      <c r="D38" s="243" t="s">
        <v>84</v>
      </c>
      <c r="E38" s="243" t="s">
        <v>85</v>
      </c>
      <c r="F38" s="243" t="s">
        <v>86</v>
      </c>
      <c r="G38" s="244" t="s">
        <v>120</v>
      </c>
      <c r="H38" s="243" t="s">
        <v>88</v>
      </c>
      <c r="I38" s="136" t="str">
        <f>A38&amp;B38&amp;C38&amp;D38&amp;E38&amp;F38&amp;G38&amp;H38</f>
        <v>#SQL("Yul_PM_ALL_ByMonth","VALUE",":where{NAME=榆炼_生产_联合四车间_200万吨/年柴油精制装置_出_低分气}")</v>
      </c>
    </row>
    <row customHeight="1" ht="13.5">
      <c r="A39" s="136" t="s">
        <v>121</v>
      </c>
      <c r="B39" s="136"/>
      <c r="C39" s="51"/>
      <c r="D39" s="136"/>
      <c r="E39" s="136"/>
      <c r="F39" s="51"/>
      <c r="G39" s="51"/>
      <c r="H39" s="136"/>
      <c r="I39" s="136"/>
    </row>
    <row customHeight="1" ht="13.5">
      <c r="A40" s="136" t="s">
        <v>81</v>
      </c>
      <c r="B40" s="243" t="s">
        <v>82</v>
      </c>
      <c r="C40" s="243" t="s">
        <v>83</v>
      </c>
      <c r="D40" s="243" t="s">
        <v>84</v>
      </c>
      <c r="E40" s="243" t="s">
        <v>85</v>
      </c>
      <c r="F40" s="243" t="s">
        <v>86</v>
      </c>
      <c r="G40" s="244" t="s">
        <v>122</v>
      </c>
      <c r="H40" s="243" t="s">
        <v>88</v>
      </c>
      <c r="I40" s="136" t="str">
        <f>A40&amp;B40&amp;C40&amp;D40&amp;E40&amp;F40&amp;G40&amp;H40</f>
        <v>#SQL("Yul_PM_ALL_ByMonth","VALUE",":where{NAME=榆炼_生产_联合四车间_90万吨/年汽油加氢装置_进_催化汽油}")</v>
      </c>
    </row>
    <row customHeight="1" ht="13.5">
      <c r="A41" s="136" t="s">
        <v>81</v>
      </c>
      <c r="B41" s="243" t="s">
        <v>82</v>
      </c>
      <c r="C41" s="243" t="s">
        <v>83</v>
      </c>
      <c r="D41" s="243" t="s">
        <v>84</v>
      </c>
      <c r="E41" s="243" t="s">
        <v>85</v>
      </c>
      <c r="F41" s="243" t="s">
        <v>86</v>
      </c>
      <c r="G41" s="244" t="s">
        <v>123</v>
      </c>
      <c r="H41" s="243" t="s">
        <v>88</v>
      </c>
      <c r="I41" s="136" t="str">
        <f>A41&amp;B41&amp;C41&amp;D41&amp;E41&amp;F41&amp;G41&amp;H41</f>
        <v>#SQL("Yul_PM_ALL_ByMonth","VALUE",":where{NAME=榆炼_生产_联合四车间_90万吨/年汽油加氢装置_进_氢气}")</v>
      </c>
    </row>
    <row customHeight="1" ht="13.5">
      <c r="A42" s="136" t="s">
        <v>81</v>
      </c>
      <c r="B42" s="243" t="s">
        <v>82</v>
      </c>
      <c r="C42" s="243" t="s">
        <v>83</v>
      </c>
      <c r="D42" s="243" t="s">
        <v>84</v>
      </c>
      <c r="E42" s="243" t="s">
        <v>85</v>
      </c>
      <c r="F42" s="243" t="s">
        <v>86</v>
      </c>
      <c r="G42" s="244" t="s">
        <v>124</v>
      </c>
      <c r="H42" s="243" t="s">
        <v>88</v>
      </c>
      <c r="I42" s="136" t="str">
        <f>A42&amp;B42&amp;C42&amp;D42&amp;E42&amp;F42&amp;G42&amp;H42</f>
        <v>#SQL("Yul_PM_ALL_ByMonth","VALUE",":where{NAME=榆炼_生产_联合四车间_90万吨/年汽油加氢装置_出_精制汽油}")</v>
      </c>
    </row>
    <row customHeight="1" ht="13.5">
      <c r="A43" s="136" t="s">
        <v>81</v>
      </c>
      <c r="B43" s="243" t="s">
        <v>82</v>
      </c>
      <c r="C43" s="243" t="s">
        <v>83</v>
      </c>
      <c r="D43" s="243" t="s">
        <v>84</v>
      </c>
      <c r="E43" s="243" t="s">
        <v>85</v>
      </c>
      <c r="F43" s="243" t="s">
        <v>86</v>
      </c>
      <c r="G43" s="244" t="s">
        <v>125</v>
      </c>
      <c r="H43" s="243" t="s">
        <v>88</v>
      </c>
      <c r="I43" s="136" t="str">
        <f>A43&amp;B43&amp;C43&amp;D43&amp;E43&amp;F43&amp;G43&amp;H43</f>
        <v>#SQL("Yul_PM_ALL_ByMonth","VALUE",":where{NAME=榆炼_生产_联合四车间_90万吨/年汽油加氢装置_出_轻烃}")</v>
      </c>
    </row>
    <row customHeight="1" ht="13.5">
      <c r="A44" s="136" t="s">
        <v>81</v>
      </c>
      <c r="B44" s="243" t="s">
        <v>82</v>
      </c>
      <c r="C44" s="243" t="s">
        <v>83</v>
      </c>
      <c r="D44" s="243" t="s">
        <v>84</v>
      </c>
      <c r="E44" s="243" t="s">
        <v>85</v>
      </c>
      <c r="F44" s="243" t="s">
        <v>86</v>
      </c>
      <c r="G44" s="244" t="s">
        <v>126</v>
      </c>
      <c r="H44" s="243" t="s">
        <v>88</v>
      </c>
      <c r="I44" s="136" t="str">
        <f>A44&amp;B44&amp;C44&amp;D44&amp;E44&amp;F44&amp;G44&amp;H44</f>
        <v>#SQL("Yul_PM_ALL_ByMonth","VALUE",":where{NAME=榆炼_生产_联合四车间_90万吨/年汽油加氢装置_出_酸性气}")</v>
      </c>
    </row>
    <row customHeight="1" ht="13.5">
      <c r="A45" s="136" t="s">
        <v>127</v>
      </c>
      <c r="B45" s="136"/>
      <c r="C45" s="51"/>
      <c r="D45" s="136"/>
      <c r="E45" s="136"/>
      <c r="F45" s="51"/>
      <c r="G45" s="51"/>
      <c r="H45" s="136"/>
      <c r="I45" s="136"/>
    </row>
    <row customHeight="1" ht="13.5">
      <c r="A46" s="136" t="s">
        <v>81</v>
      </c>
      <c r="B46" s="243" t="s">
        <v>82</v>
      </c>
      <c r="C46" s="243" t="s">
        <v>83</v>
      </c>
      <c r="D46" s="243" t="s">
        <v>84</v>
      </c>
      <c r="E46" s="243" t="s">
        <v>85</v>
      </c>
      <c r="F46" s="243" t="s">
        <v>86</v>
      </c>
      <c r="G46" s="243" t="s">
        <v>128</v>
      </c>
      <c r="H46" s="243" t="s">
        <v>88</v>
      </c>
      <c r="I46" s="136" t="str">
        <f>A46&amp;B46&amp;C46&amp;D46&amp;E46&amp;F46&amp;G46&amp;H46</f>
        <v>#SQL("Yul_PM_ALL_ByMonth","VALUE",":where{NAME=榆炼_生产_联合三车间_100万吨/年连续重整装置_进_重整加工量}")</v>
      </c>
    </row>
    <row customHeight="1" ht="13.5">
      <c r="A47" s="136" t="s">
        <v>81</v>
      </c>
      <c r="B47" s="243" t="s">
        <v>82</v>
      </c>
      <c r="C47" s="243" t="s">
        <v>83</v>
      </c>
      <c r="D47" s="243" t="s">
        <v>84</v>
      </c>
      <c r="E47" s="243" t="s">
        <v>85</v>
      </c>
      <c r="F47" s="243" t="s">
        <v>86</v>
      </c>
      <c r="G47" s="243" t="s">
        <v>129</v>
      </c>
      <c r="H47" s="243" t="s">
        <v>88</v>
      </c>
      <c r="I47" s="136" t="str">
        <f>A47&amp;B47&amp;C47&amp;D47&amp;E47&amp;F47&amp;G47&amp;H47</f>
        <v>#SQL("Yul_PM_ALL_ByMonth","VALUE",":where{NAME=榆炼_生产_联合三车间_100万吨/年连续重整装置_出_重整汽油}")</v>
      </c>
    </row>
    <row customHeight="1" ht="13.5">
      <c r="A48" s="136" t="s">
        <v>81</v>
      </c>
      <c r="B48" s="243" t="s">
        <v>82</v>
      </c>
      <c r="C48" s="243" t="s">
        <v>83</v>
      </c>
      <c r="D48" s="243" t="s">
        <v>84</v>
      </c>
      <c r="E48" s="243" t="s">
        <v>85</v>
      </c>
      <c r="F48" s="243" t="s">
        <v>86</v>
      </c>
      <c r="G48" s="243" t="s">
        <v>130</v>
      </c>
      <c r="H48" s="243" t="s">
        <v>88</v>
      </c>
      <c r="I48" s="136" t="str">
        <f>A48&amp;B48&amp;C48&amp;D48&amp;E48&amp;F48&amp;G48&amp;H48</f>
        <v>#SQL("Yul_PM_ALL_ByMonth","VALUE",":where{NAME=榆炼_生产_联合三车间_100万吨/年连续重整装置_进_二甲苯塔底油}")</v>
      </c>
    </row>
    <row customHeight="1" ht="13.5">
      <c r="A49" s="136" t="s">
        <v>81</v>
      </c>
      <c r="B49" s="243" t="s">
        <v>82</v>
      </c>
      <c r="C49" s="243" t="s">
        <v>83</v>
      </c>
      <c r="D49" s="243" t="s">
        <v>84</v>
      </c>
      <c r="E49" s="243" t="s">
        <v>85</v>
      </c>
      <c r="F49" s="243" t="s">
        <v>86</v>
      </c>
      <c r="G49" s="243" t="s">
        <v>131</v>
      </c>
      <c r="H49" s="243" t="s">
        <v>88</v>
      </c>
      <c r="I49" s="136" t="str">
        <f>A49&amp;B49&amp;C49&amp;D49&amp;E49&amp;F49&amp;G49&amp;H49</f>
        <v>#SQL("Yul_PM_ALL_ByMonth","VALUE",":where{NAME=榆炼_生产_联合三车间_100万吨/年连续重整装置_出_C6馏分油}")</v>
      </c>
    </row>
    <row customHeight="1" ht="13.5">
      <c r="A50" s="136" t="s">
        <v>81</v>
      </c>
      <c r="B50" s="243" t="s">
        <v>82</v>
      </c>
      <c r="C50" s="243" t="s">
        <v>83</v>
      </c>
      <c r="D50" s="243" t="s">
        <v>84</v>
      </c>
      <c r="E50" s="243" t="s">
        <v>85</v>
      </c>
      <c r="F50" s="243" t="s">
        <v>86</v>
      </c>
      <c r="G50" s="243" t="s">
        <v>132</v>
      </c>
      <c r="H50" s="243" t="s">
        <v>88</v>
      </c>
      <c r="I50" s="136" t="str">
        <f>A50&amp;B50&amp;C50&amp;D50&amp;E50&amp;F50&amp;G50&amp;H50</f>
        <v>#SQL("Yul_PM_ALL_ByMonth","VALUE",":where{NAME=榆炼_生产_联合三车间_100万吨/年连续重整装置_出_原料液化气}")</v>
      </c>
    </row>
    <row customHeight="1" ht="13.5">
      <c r="A51" s="136" t="s">
        <v>81</v>
      </c>
      <c r="B51" s="243" t="s">
        <v>82</v>
      </c>
      <c r="C51" s="243" t="s">
        <v>83</v>
      </c>
      <c r="D51" s="243" t="s">
        <v>84</v>
      </c>
      <c r="E51" s="243" t="s">
        <v>85</v>
      </c>
      <c r="F51" s="243" t="s">
        <v>86</v>
      </c>
      <c r="G51" s="243" t="s">
        <v>133</v>
      </c>
      <c r="H51" s="243" t="s">
        <v>88</v>
      </c>
      <c r="I51" s="136" t="str">
        <f>A51&amp;B51&amp;C51&amp;D51&amp;E51&amp;F51&amp;G51&amp;H51</f>
        <v>#SQL("Yul_PM_ALL_ByMonth","VALUE",":where{NAME=榆炼_生产_联合三车间_100万吨/年连续重整装置_出_二甲苯}")</v>
      </c>
    </row>
    <row customHeight="1" ht="13.5">
      <c r="A52" s="136" t="s">
        <v>81</v>
      </c>
      <c r="B52" s="243" t="s">
        <v>82</v>
      </c>
      <c r="C52" s="243" t="s">
        <v>83</v>
      </c>
      <c r="D52" s="243" t="s">
        <v>84</v>
      </c>
      <c r="E52" s="243" t="s">
        <v>85</v>
      </c>
      <c r="F52" s="243" t="s">
        <v>86</v>
      </c>
      <c r="G52" s="243" t="s">
        <v>134</v>
      </c>
      <c r="H52" s="243" t="s">
        <v>88</v>
      </c>
      <c r="I52" s="136" t="str">
        <f>A52&amp;B52&amp;C52&amp;D52&amp;E52&amp;F52&amp;G52&amp;H52</f>
        <v>#SQL("Yul_PM_ALL_ByMonth","VALUE",":where{NAME=榆炼_生产_联合三车间_100万吨/年连续重整装置_出_氢气}")</v>
      </c>
    </row>
    <row customHeight="1" ht="13.5">
      <c r="A53" s="136" t="s">
        <v>81</v>
      </c>
      <c r="B53" s="243" t="s">
        <v>82</v>
      </c>
      <c r="C53" s="243" t="s">
        <v>83</v>
      </c>
      <c r="D53" s="243" t="s">
        <v>84</v>
      </c>
      <c r="E53" s="243" t="s">
        <v>85</v>
      </c>
      <c r="F53" s="243" t="s">
        <v>86</v>
      </c>
      <c r="G53" s="244" t="s">
        <v>135</v>
      </c>
      <c r="H53" s="243" t="s">
        <v>88</v>
      </c>
      <c r="I53" s="136" t="str">
        <f>A53&amp;B53&amp;C53&amp;D53&amp;E53&amp;F53&amp;G53&amp;H53</f>
        <v>#SQL("Yul_PM_ALL_ByMonth","VALUE",":where{NAME=榆炼_生产_联合三车间_100万吨/年连续重整装置_出_重整轻汽油}")</v>
      </c>
    </row>
    <row customHeight="1" ht="13.5">
      <c r="A54" s="136" t="s">
        <v>136</v>
      </c>
      <c r="B54" s="136"/>
      <c r="C54" s="51"/>
      <c r="D54" s="136"/>
      <c r="E54" s="136"/>
      <c r="F54" s="51"/>
      <c r="G54" s="51"/>
      <c r="H54" s="136"/>
      <c r="I54" s="136"/>
    </row>
    <row customHeight="1" ht="13.5">
      <c r="A55" s="136" t="s">
        <v>81</v>
      </c>
      <c r="B55" s="243" t="s">
        <v>82</v>
      </c>
      <c r="C55" s="243" t="s">
        <v>83</v>
      </c>
      <c r="D55" s="243" t="s">
        <v>84</v>
      </c>
      <c r="E55" s="243" t="s">
        <v>85</v>
      </c>
      <c r="F55" s="243" t="s">
        <v>86</v>
      </c>
      <c r="G55" s="243" t="s">
        <v>137</v>
      </c>
      <c r="H55" s="243" t="s">
        <v>88</v>
      </c>
      <c r="I55" s="136" t="str">
        <f>A55&amp;B55&amp;C55&amp;D55&amp;E55&amp;F55&amp;G55&amp;H55</f>
        <v>#SQL("Yul_PM_ALL_ByMonth","VALUE",":where{NAME=榆炼_生产_联合三车间_20万吨/年苯抽提装置_进_苯抽提加工量}")</v>
      </c>
    </row>
    <row customHeight="1" ht="13.5">
      <c r="A56" s="136" t="s">
        <v>81</v>
      </c>
      <c r="B56" s="243" t="s">
        <v>82</v>
      </c>
      <c r="C56" s="243" t="s">
        <v>83</v>
      </c>
      <c r="D56" s="243" t="s">
        <v>84</v>
      </c>
      <c r="E56" s="243" t="s">
        <v>85</v>
      </c>
      <c r="F56" s="243" t="s">
        <v>86</v>
      </c>
      <c r="G56" s="243" t="s">
        <v>138</v>
      </c>
      <c r="H56" s="243" t="s">
        <v>88</v>
      </c>
      <c r="I56" s="136" t="str">
        <f>A56&amp;B56&amp;C56&amp;D56&amp;E56&amp;F56&amp;G56&amp;H56</f>
        <v>#SQL("Yul_PM_ALL_ByMonth","VALUE",":where{NAME=榆炼_生产_联合三车间_20万吨/年苯抽提装置_出_非芳烃}")</v>
      </c>
    </row>
    <row customHeight="1" ht="13.5">
      <c r="A57" s="136" t="s">
        <v>81</v>
      </c>
      <c r="B57" s="243" t="s">
        <v>82</v>
      </c>
      <c r="C57" s="243" t="s">
        <v>83</v>
      </c>
      <c r="D57" s="243" t="s">
        <v>84</v>
      </c>
      <c r="E57" s="243" t="s">
        <v>85</v>
      </c>
      <c r="F57" s="243" t="s">
        <v>86</v>
      </c>
      <c r="G57" s="243" t="s">
        <v>139</v>
      </c>
      <c r="H57" s="243" t="s">
        <v>88</v>
      </c>
      <c r="I57" s="136" t="str">
        <f>A57&amp;B57&amp;C57&amp;D57&amp;E57&amp;F57&amp;G57&amp;H57</f>
        <v>#SQL("Yul_PM_ALL_ByMonth","VALUE",":where{NAME=榆炼_生产_联合三车间_20万吨/年苯抽提装置_出_苯}")</v>
      </c>
    </row>
    <row customHeight="1" ht="13.5">
      <c r="A58" s="136" t="s">
        <v>81</v>
      </c>
      <c r="B58" s="243" t="s">
        <v>82</v>
      </c>
      <c r="C58" s="243" t="s">
        <v>83</v>
      </c>
      <c r="D58" s="243" t="s">
        <v>84</v>
      </c>
      <c r="E58" s="243" t="s">
        <v>85</v>
      </c>
      <c r="F58" s="243" t="s">
        <v>86</v>
      </c>
      <c r="G58" s="243" t="s">
        <v>140</v>
      </c>
      <c r="H58" s="243" t="s">
        <v>88</v>
      </c>
      <c r="I58" s="136" t="str">
        <f>A58&amp;B58&amp;C58&amp;D58&amp;E58&amp;F58&amp;G58&amp;H58</f>
        <v>#SQL("Yul_PM_ALL_ByMonth","VALUE",":where{NAME=榆炼_生产_联合三车间_20万吨/年苯抽提装置_出_重芳烃至脱C6塔}")</v>
      </c>
    </row>
    <row customHeight="1" ht="13.5">
      <c r="A59" s="136" t="s">
        <v>141</v>
      </c>
      <c r="B59" s="136"/>
      <c r="C59" s="51"/>
      <c r="D59" s="136"/>
      <c r="E59" s="136"/>
      <c r="F59" s="51"/>
      <c r="G59" s="51"/>
      <c r="H59" s="136"/>
      <c r="I59" s="136"/>
    </row>
    <row customHeight="1" ht="13.5">
      <c r="A60" s="136" t="s">
        <v>81</v>
      </c>
      <c r="B60" s="243" t="s">
        <v>82</v>
      </c>
      <c r="C60" s="243" t="s">
        <v>83</v>
      </c>
      <c r="D60" s="243" t="s">
        <v>84</v>
      </c>
      <c r="E60" s="243" t="s">
        <v>85</v>
      </c>
      <c r="F60" s="243" t="s">
        <v>86</v>
      </c>
      <c r="G60" s="243" t="s">
        <v>142</v>
      </c>
      <c r="H60" s="243" t="s">
        <v>88</v>
      </c>
      <c r="I60" s="136" t="str">
        <f>A60&amp;B60&amp;C60&amp;D60&amp;E60&amp;F60&amp;G60&amp;H60</f>
        <v>#SQL("Yul_PM_ALL_ByMonth","VALUE",":where{NAME=榆炼_生产_联合三车间_20万吨/年DCC裂解石脑油加氢装置生产、消耗月报表_裂解石脑油_日产量}")</v>
      </c>
    </row>
    <row customHeight="1" ht="13.5">
      <c r="A61" s="136" t="s">
        <v>81</v>
      </c>
      <c r="B61" s="243" t="s">
        <v>82</v>
      </c>
      <c r="C61" s="243" t="s">
        <v>83</v>
      </c>
      <c r="D61" s="243" t="s">
        <v>84</v>
      </c>
      <c r="E61" s="243" t="s">
        <v>85</v>
      </c>
      <c r="F61" s="243" t="s">
        <v>86</v>
      </c>
      <c r="G61" s="243" t="s">
        <v>143</v>
      </c>
      <c r="H61" s="243" t="s">
        <v>88</v>
      </c>
      <c r="I61" s="136" t="str">
        <f>A61&amp;B61&amp;C61&amp;D61&amp;E61&amp;F61&amp;G61&amp;H61</f>
        <v>#SQL("Yul_PM_ALL_ByMonth","VALUE",":where{NAME=榆炼_生产_联合三车间_20万吨/年DCC裂解石脑油加氢装置生产、消耗月报表_氢气加工量_日产量}")</v>
      </c>
    </row>
    <row customHeight="1" ht="13.5">
      <c r="A62" s="136" t="s">
        <v>81</v>
      </c>
      <c r="B62" s="243" t="s">
        <v>82</v>
      </c>
      <c r="C62" s="243" t="s">
        <v>83</v>
      </c>
      <c r="D62" s="243" t="s">
        <v>84</v>
      </c>
      <c r="E62" s="243" t="s">
        <v>85</v>
      </c>
      <c r="F62" s="243" t="s">
        <v>86</v>
      </c>
      <c r="G62" s="243" t="s">
        <v>144</v>
      </c>
      <c r="H62" s="243" t="s">
        <v>88</v>
      </c>
      <c r="I62" s="136" t="str">
        <f>A62&amp;B62&amp;C62&amp;D62&amp;E62&amp;F62&amp;G62&amp;H62</f>
        <v>#SQL("Yul_PM_ALL_ByMonth","VALUE",":where{NAME=榆炼_生产_联合三车间_20万吨/年DCC裂解石脑油加氢装置生产、消耗月报表_脱戊烷油产量_日产量}")</v>
      </c>
    </row>
    <row customHeight="1" ht="13.5">
      <c r="A63" s="136" t="s">
        <v>81</v>
      </c>
      <c r="B63" s="243" t="s">
        <v>82</v>
      </c>
      <c r="C63" s="243" t="s">
        <v>83</v>
      </c>
      <c r="D63" s="243" t="s">
        <v>84</v>
      </c>
      <c r="E63" s="243" t="s">
        <v>85</v>
      </c>
      <c r="F63" s="243" t="s">
        <v>86</v>
      </c>
      <c r="G63" s="243" t="s">
        <v>145</v>
      </c>
      <c r="H63" s="243" t="s">
        <v>88</v>
      </c>
      <c r="I63" s="136" t="str">
        <f>A63&amp;B63&amp;C63&amp;D63&amp;E63&amp;F63&amp;G63&amp;H63</f>
        <v>#SQL("Yul_PM_ALL_ByMonth","VALUE",":where{NAME=榆炼_生产_联合三车间_20万吨/年DCC裂解石脑油加氢装置生产、消耗月报表_塔顶C5产量_日产量}")</v>
      </c>
    </row>
    <row customHeight="1" ht="13.5">
      <c r="A64" s="136" t="s">
        <v>81</v>
      </c>
      <c r="B64" s="243" t="s">
        <v>82</v>
      </c>
      <c r="C64" s="243" t="s">
        <v>83</v>
      </c>
      <c r="D64" s="243" t="s">
        <v>84</v>
      </c>
      <c r="E64" s="243" t="s">
        <v>85</v>
      </c>
      <c r="F64" s="243" t="s">
        <v>86</v>
      </c>
      <c r="G64" s="243" t="s">
        <v>146</v>
      </c>
      <c r="H64" s="243" t="s">
        <v>88</v>
      </c>
      <c r="I64" s="136" t="str">
        <f>A64&amp;B64&amp;C64&amp;D64&amp;E64&amp;F64&amp;G64&amp;H64</f>
        <v>#SQL("Yul_PM_ALL_ByMonth","VALUE",":where{NAME=榆炼_生产_联合三车间_20万吨/年DCC裂解石脑油加氢装置生产、消耗月报表_燃料气产量_日产量}")</v>
      </c>
    </row>
    <row customHeight="1" ht="13.5">
      <c r="A65" s="136" t="s">
        <v>147</v>
      </c>
      <c r="B65" s="136"/>
      <c r="C65" s="51"/>
      <c r="D65" s="136"/>
      <c r="E65" s="136"/>
      <c r="F65" s="51"/>
      <c r="G65" s="51"/>
      <c r="H65" s="136"/>
      <c r="I65" s="136"/>
    </row>
    <row customHeight="1" ht="13.5">
      <c r="A66" s="136" t="s">
        <v>81</v>
      </c>
      <c r="B66" s="243" t="s">
        <v>82</v>
      </c>
      <c r="C66" s="243" t="s">
        <v>83</v>
      </c>
      <c r="D66" s="243" t="s">
        <v>84</v>
      </c>
      <c r="E66" s="243" t="s">
        <v>85</v>
      </c>
      <c r="F66" s="243" t="s">
        <v>86</v>
      </c>
      <c r="G66" s="243" t="s">
        <v>148</v>
      </c>
      <c r="H66" s="243" t="s">
        <v>88</v>
      </c>
      <c r="I66" s="136" t="str">
        <f>A66&amp;B66&amp;C66&amp;D66&amp;E66&amp;F66&amp;G66&amp;H66</f>
        <v>#SQL("Yul_PM_ALL_ByMonth","VALUE",":where{NAME=榆炼_生产_联合一车间_30万吨/年航煤加氢装置_进_直馏煤油}")</v>
      </c>
    </row>
    <row customHeight="1" ht="13.5">
      <c r="A67" s="136" t="s">
        <v>81</v>
      </c>
      <c r="B67" s="243" t="s">
        <v>82</v>
      </c>
      <c r="C67" s="243" t="s">
        <v>83</v>
      </c>
      <c r="D67" s="243" t="s">
        <v>84</v>
      </c>
      <c r="E67" s="243" t="s">
        <v>85</v>
      </c>
      <c r="F67" s="243" t="s">
        <v>86</v>
      </c>
      <c r="G67" s="243" t="s">
        <v>149</v>
      </c>
      <c r="H67" s="243" t="s">
        <v>88</v>
      </c>
      <c r="I67" s="136" t="str">
        <f>A67&amp;B67&amp;C67&amp;D67&amp;E67&amp;F67&amp;G67&amp;H67</f>
        <v>#SQL("Yul_PM_ALL_ByMonth","VALUE",":where{NAME=榆炼_生产_联合一车间_30万吨/年航煤加氢装置_进_氢气}")</v>
      </c>
    </row>
    <row customHeight="1" ht="13.5">
      <c r="A68" s="136" t="s">
        <v>81</v>
      </c>
      <c r="B68" s="243" t="s">
        <v>82</v>
      </c>
      <c r="C68" s="243" t="s">
        <v>83</v>
      </c>
      <c r="D68" s="243" t="s">
        <v>84</v>
      </c>
      <c r="E68" s="243" t="s">
        <v>85</v>
      </c>
      <c r="F68" s="243" t="s">
        <v>86</v>
      </c>
      <c r="G68" s="243" t="s">
        <v>150</v>
      </c>
      <c r="H68" s="243" t="s">
        <v>88</v>
      </c>
      <c r="I68" s="136" t="str">
        <f>A68&amp;B68&amp;C68&amp;D68&amp;E68&amp;F68&amp;G68&amp;H68</f>
        <v>#SQL("Yul_PM_ALL_ByMonth","VALUE",":where{NAME=榆炼_生产_联合一车间_30万吨/年航煤加氢装置_出_精制航煤}")</v>
      </c>
    </row>
    <row customHeight="1" ht="13.5">
      <c r="A69" s="136" t="s">
        <v>81</v>
      </c>
      <c r="B69" s="243" t="s">
        <v>82</v>
      </c>
      <c r="C69" s="243" t="s">
        <v>83</v>
      </c>
      <c r="D69" s="243" t="s">
        <v>84</v>
      </c>
      <c r="E69" s="243" t="s">
        <v>85</v>
      </c>
      <c r="F69" s="243" t="s">
        <v>86</v>
      </c>
      <c r="G69" s="243" t="s">
        <v>151</v>
      </c>
      <c r="H69" s="243" t="s">
        <v>88</v>
      </c>
      <c r="I69" s="136" t="str">
        <f>A69&amp;B69&amp;C69&amp;D69&amp;E69&amp;F69&amp;G69&amp;H69</f>
        <v>#SQL("Yul_PM_ALL_ByMonth","VALUE",":where{NAME=榆炼_生产_联合一车间_30万吨/年航煤加氢装置_出_粗石脑油}")</v>
      </c>
    </row>
    <row customHeight="1" ht="13.5">
      <c r="A70" s="136" t="s">
        <v>81</v>
      </c>
      <c r="B70" s="243" t="s">
        <v>82</v>
      </c>
      <c r="C70" s="243" t="s">
        <v>83</v>
      </c>
      <c r="D70" s="243" t="s">
        <v>84</v>
      </c>
      <c r="E70" s="243" t="s">
        <v>85</v>
      </c>
      <c r="F70" s="243" t="s">
        <v>86</v>
      </c>
      <c r="G70" s="243" t="s">
        <v>152</v>
      </c>
      <c r="H70" s="243" t="s">
        <v>88</v>
      </c>
      <c r="I70" s="136" t="str">
        <f>A70&amp;B70&amp;C70&amp;D70&amp;E70&amp;F70&amp;G70&amp;H70</f>
        <v>#SQL("Yul_PM_ALL_ByMonth","VALUE",":where{NAME=榆炼_生产_联合一车间_30万吨/年航煤加氢装置_出_排放气含硫干气量}")</v>
      </c>
    </row>
    <row customHeight="1" ht="13.5">
      <c r="A71" s="136" t="s">
        <v>81</v>
      </c>
      <c r="B71" s="243" t="s">
        <v>82</v>
      </c>
      <c r="C71" s="243" t="s">
        <v>83</v>
      </c>
      <c r="D71" s="243" t="s">
        <v>84</v>
      </c>
      <c r="E71" s="243" t="s">
        <v>85</v>
      </c>
      <c r="F71" s="243" t="s">
        <v>86</v>
      </c>
      <c r="G71" s="243" t="s">
        <v>153</v>
      </c>
      <c r="H71" s="243" t="s">
        <v>88</v>
      </c>
      <c r="I71" s="136" t="str">
        <f>A71&amp;B71&amp;C71&amp;D71&amp;E71&amp;F71&amp;G71&amp;H71</f>
        <v>#SQL("Yul_PM_ALL_ByMonth","VALUE",":where{NAME=榆炼_生产_联合一车间_30万吨/年航煤加氢装置_出_分馏塔顶含硫干气产量}")</v>
      </c>
    </row>
    <row customHeight="1" ht="13.5">
      <c r="A72" s="136" t="s">
        <v>154</v>
      </c>
      <c r="B72" s="136"/>
      <c r="C72" s="51"/>
      <c r="D72" s="136"/>
      <c r="E72" s="136"/>
      <c r="F72" s="51"/>
      <c r="G72" s="51"/>
      <c r="H72" s="136"/>
      <c r="I72" s="136"/>
    </row>
    <row customHeight="1" ht="13.5">
      <c r="A73" s="136" t="s">
        <v>80</v>
      </c>
      <c r="B73" s="136"/>
      <c r="C73" s="51"/>
      <c r="D73" s="136"/>
      <c r="E73" s="136"/>
      <c r="F73" s="51"/>
      <c r="G73" s="51"/>
      <c r="H73" s="136"/>
      <c r="I73" s="136"/>
    </row>
    <row customHeight="1" ht="13.5">
      <c r="A74" s="136" t="s">
        <v>81</v>
      </c>
      <c r="B74" s="243" t="s">
        <v>82</v>
      </c>
      <c r="C74" s="243" t="s">
        <v>155</v>
      </c>
      <c r="D74" s="243" t="s">
        <v>84</v>
      </c>
      <c r="E74" s="243" t="s">
        <v>85</v>
      </c>
      <c r="F74" s="243" t="s">
        <v>86</v>
      </c>
      <c r="G74" s="243" t="s">
        <v>156</v>
      </c>
      <c r="H74" s="243" t="s">
        <v>88</v>
      </c>
      <c r="I74" s="136" t="str">
        <f>A74&amp;B74&amp;C74&amp;D74&amp;E74&amp;F74&amp;G74&amp;H74</f>
        <v>#SQL("Yul_Device_ByMonth_SUM","VALUE",":where{NAME=榆炼_装置生产流程表_500万吨常压装置_原油加工量}")</v>
      </c>
    </row>
    <row customHeight="1" ht="13.5">
      <c r="A75" s="136" t="s">
        <v>81</v>
      </c>
      <c r="B75" s="243" t="s">
        <v>82</v>
      </c>
      <c r="C75" s="243" t="s">
        <v>155</v>
      </c>
      <c r="D75" s="243" t="s">
        <v>84</v>
      </c>
      <c r="E75" s="243" t="s">
        <v>85</v>
      </c>
      <c r="F75" s="243" t="s">
        <v>86</v>
      </c>
      <c r="G75" s="243" t="s">
        <v>157</v>
      </c>
      <c r="H75" s="243" t="s">
        <v>88</v>
      </c>
      <c r="I75" s="136" t="str">
        <f>A75&amp;B75&amp;C75&amp;D75&amp;E75&amp;F75&amp;G75&amp;H75</f>
        <v>#SQL("Yul_Device_ByMonth_SUM","VALUE",":where{NAME=榆炼_装置生产流程表_500万吨常压装置_石脑油Ⅰ}")</v>
      </c>
    </row>
    <row customHeight="1" ht="13.5">
      <c r="A76" s="136" t="s">
        <v>81</v>
      </c>
      <c r="B76" s="243" t="s">
        <v>82</v>
      </c>
      <c r="C76" s="243" t="s">
        <v>155</v>
      </c>
      <c r="D76" s="243" t="s">
        <v>84</v>
      </c>
      <c r="E76" s="243" t="s">
        <v>85</v>
      </c>
      <c r="F76" s="243" t="s">
        <v>86</v>
      </c>
      <c r="G76" s="243" t="s">
        <v>158</v>
      </c>
      <c r="H76" s="243" t="s">
        <v>88</v>
      </c>
      <c r="I76" s="136" t="str">
        <f>A76&amp;B76&amp;C76&amp;D76&amp;E76&amp;F76&amp;G76&amp;H76</f>
        <v>#SQL("Yul_Device_ByMonth_SUM","VALUE",":where{NAME=榆炼_装置生产流程表_500万吨常压装置_常一线}")</v>
      </c>
    </row>
    <row customHeight="1" ht="13.5">
      <c r="A77" s="136" t="s">
        <v>81</v>
      </c>
      <c r="B77" s="243" t="s">
        <v>82</v>
      </c>
      <c r="C77" s="243" t="s">
        <v>155</v>
      </c>
      <c r="D77" s="243" t="s">
        <v>84</v>
      </c>
      <c r="E77" s="243" t="s">
        <v>85</v>
      </c>
      <c r="F77" s="243" t="s">
        <v>86</v>
      </c>
      <c r="G77" s="243" t="s">
        <v>159</v>
      </c>
      <c r="H77" s="243" t="s">
        <v>88</v>
      </c>
      <c r="I77" s="136" t="str">
        <f>A77&amp;B77&amp;C77&amp;D77&amp;E77&amp;F77&amp;G77&amp;H77</f>
        <v>#SQL("Yul_Device_ByMonth_SUM","VALUE",":where{NAME=榆炼_装置生产流程表_500万吨常压装置_常二线}")</v>
      </c>
    </row>
    <row customHeight="1" ht="13.5">
      <c r="A78" s="136" t="s">
        <v>81</v>
      </c>
      <c r="B78" s="243" t="s">
        <v>82</v>
      </c>
      <c r="C78" s="243" t="s">
        <v>155</v>
      </c>
      <c r="D78" s="243" t="s">
        <v>84</v>
      </c>
      <c r="E78" s="243" t="s">
        <v>85</v>
      </c>
      <c r="F78" s="243" t="s">
        <v>86</v>
      </c>
      <c r="G78" s="243" t="s">
        <v>160</v>
      </c>
      <c r="H78" s="243" t="s">
        <v>88</v>
      </c>
      <c r="I78" s="136" t="str">
        <f>A78&amp;B78&amp;C78&amp;D78&amp;E78&amp;F78&amp;G78&amp;H78</f>
        <v>#SQL("Yul_Device_ByMonth_SUM","VALUE",":where{NAME=榆炼_装置生产流程表_500万吨常压装置_常三线}")</v>
      </c>
    </row>
    <row customHeight="1" ht="13.5">
      <c r="A79" s="136" t="s">
        <v>81</v>
      </c>
      <c r="B79" s="243" t="s">
        <v>82</v>
      </c>
      <c r="C79" s="243" t="s">
        <v>155</v>
      </c>
      <c r="D79" s="243" t="s">
        <v>84</v>
      </c>
      <c r="E79" s="243" t="s">
        <v>85</v>
      </c>
      <c r="F79" s="243" t="s">
        <v>86</v>
      </c>
      <c r="G79" s="243" t="s">
        <v>161</v>
      </c>
      <c r="H79" s="243" t="s">
        <v>88</v>
      </c>
      <c r="I79" s="136" t="str">
        <f>A79&amp;B79&amp;C79&amp;D79&amp;E79&amp;F79&amp;G79&amp;H79</f>
        <v>#SQL("Yul_Device_ByMonth_SUM","VALUE",":where{NAME=榆炼_装置生产流程表_500万吨常压装置_混柴}")</v>
      </c>
    </row>
    <row customHeight="1" ht="13.5">
      <c r="A80" s="136" t="s">
        <v>81</v>
      </c>
      <c r="B80" s="243" t="s">
        <v>82</v>
      </c>
      <c r="C80" s="243" t="s">
        <v>155</v>
      </c>
      <c r="D80" s="243" t="s">
        <v>84</v>
      </c>
      <c r="E80" s="243" t="s">
        <v>85</v>
      </c>
      <c r="F80" s="243" t="s">
        <v>86</v>
      </c>
      <c r="G80" s="243" t="s">
        <v>162</v>
      </c>
      <c r="H80" s="243" t="s">
        <v>88</v>
      </c>
      <c r="I80" s="136" t="str">
        <f>A80&amp;B80&amp;C80&amp;D80&amp;E80&amp;F80&amp;G80&amp;H80</f>
        <v>#SQL("Yul_Device_ByMonth_SUM","VALUE",":where{NAME=榆炼_装置生产流程表_500万吨常压装置_饱和液化气}")</v>
      </c>
    </row>
    <row customHeight="1" ht="13.5">
      <c r="A81" s="136" t="s">
        <v>81</v>
      </c>
      <c r="B81" s="243" t="s">
        <v>82</v>
      </c>
      <c r="C81" s="243" t="s">
        <v>155</v>
      </c>
      <c r="D81" s="243" t="s">
        <v>84</v>
      </c>
      <c r="E81" s="243" t="s">
        <v>85</v>
      </c>
      <c r="F81" s="243" t="s">
        <v>86</v>
      </c>
      <c r="G81" s="243" t="s">
        <v>163</v>
      </c>
      <c r="H81" s="243" t="s">
        <v>88</v>
      </c>
      <c r="I81" s="136" t="str">
        <f>A81&amp;B81&amp;C81&amp;D81&amp;E81&amp;F81&amp;G81&amp;H81</f>
        <v>#SQL("Yul_Device_ByMonth_SUM","VALUE",":where{NAME=榆炼_装置生产流程表_500万吨常压装置_渣油}")</v>
      </c>
    </row>
    <row customHeight="1" ht="13.5">
      <c r="A82" s="136" t="s">
        <v>81</v>
      </c>
      <c r="B82" s="243" t="s">
        <v>82</v>
      </c>
      <c r="C82" s="243" t="s">
        <v>155</v>
      </c>
      <c r="D82" s="243" t="s">
        <v>84</v>
      </c>
      <c r="E82" s="243" t="s">
        <v>85</v>
      </c>
      <c r="F82" s="243" t="s">
        <v>86</v>
      </c>
      <c r="G82" s="243" t="s">
        <v>164</v>
      </c>
      <c r="H82" s="243" t="s">
        <v>88</v>
      </c>
      <c r="I82" s="136" t="str">
        <f>A82&amp;B82&amp;C82&amp;D82&amp;E82&amp;F82&amp;G82&amp;H82</f>
        <v>#SQL("Yul_Device_ByMonth_SUM","VALUE",":where{NAME=榆炼_装置生产流程表_500万吨常压装置_压缩富气}")</v>
      </c>
    </row>
    <row customHeight="1" ht="13.5">
      <c r="A83" s="136" t="s">
        <v>97</v>
      </c>
      <c r="B83" s="136"/>
      <c r="C83" s="51"/>
      <c r="D83" s="136"/>
      <c r="E83" s="136"/>
      <c r="F83" s="51"/>
      <c r="G83" s="51"/>
      <c r="H83" s="136"/>
      <c r="I83" s="136"/>
    </row>
    <row customHeight="1" ht="13.5">
      <c r="A84" s="136" t="s">
        <v>81</v>
      </c>
      <c r="B84" s="243" t="s">
        <v>82</v>
      </c>
      <c r="C84" s="243" t="s">
        <v>155</v>
      </c>
      <c r="D84" s="243" t="s">
        <v>84</v>
      </c>
      <c r="E84" s="243" t="s">
        <v>85</v>
      </c>
      <c r="F84" s="243" t="s">
        <v>86</v>
      </c>
      <c r="G84" s="244" t="s">
        <v>165</v>
      </c>
      <c r="H84" s="243" t="s">
        <v>88</v>
      </c>
      <c r="I84" s="136" t="str">
        <f>A84&amp;B84&amp;C84&amp;D84&amp;E84&amp;F84&amp;G84&amp;H84</f>
        <v>#SQL("Yul_Device_ByMonth_SUM","VALUE",":where{NAME=榆炼_装置生产流程表_60万催化装置_催化加工}")</v>
      </c>
    </row>
    <row customHeight="1" ht="13.5">
      <c r="A85" s="136" t="s">
        <v>81</v>
      </c>
      <c r="B85" s="243" t="s">
        <v>82</v>
      </c>
      <c r="C85" s="243" t="s">
        <v>155</v>
      </c>
      <c r="D85" s="243" t="s">
        <v>84</v>
      </c>
      <c r="E85" s="243" t="s">
        <v>85</v>
      </c>
      <c r="F85" s="243" t="s">
        <v>86</v>
      </c>
      <c r="G85" s="244" t="s">
        <v>166</v>
      </c>
      <c r="H85" s="243" t="s">
        <v>88</v>
      </c>
      <c r="I85" s="136" t="str">
        <f>A85&amp;B85&amp;C85&amp;D85&amp;E85&amp;F85&amp;G85&amp;H85</f>
        <v>#SQL("Yul_Device_ByMonth_SUM","VALUE",":where{NAME=榆炼_装置生产流程表_60万催化装置_催化汽油}")</v>
      </c>
    </row>
    <row customHeight="1" ht="13.5">
      <c r="A86" s="136" t="s">
        <v>81</v>
      </c>
      <c r="B86" s="243" t="s">
        <v>82</v>
      </c>
      <c r="C86" s="243" t="s">
        <v>155</v>
      </c>
      <c r="D86" s="243" t="s">
        <v>84</v>
      </c>
      <c r="E86" s="243" t="s">
        <v>85</v>
      </c>
      <c r="F86" s="243" t="s">
        <v>86</v>
      </c>
      <c r="G86" s="244" t="s">
        <v>167</v>
      </c>
      <c r="H86" s="243" t="s">
        <v>88</v>
      </c>
      <c r="I86" s="136" t="str">
        <f>A86&amp;B86&amp;C86&amp;D86&amp;E86&amp;F86&amp;G86&amp;H86</f>
        <v>#SQL("Yul_Device_ByMonth_SUM","VALUE",":where{NAME=榆炼_装置生产流程表_60万催化装置_催化柴油}")</v>
      </c>
    </row>
    <row customHeight="1" ht="13.5">
      <c r="A87" s="136" t="s">
        <v>81</v>
      </c>
      <c r="B87" s="243" t="s">
        <v>82</v>
      </c>
      <c r="C87" s="243" t="s">
        <v>155</v>
      </c>
      <c r="D87" s="243" t="s">
        <v>84</v>
      </c>
      <c r="E87" s="243" t="s">
        <v>85</v>
      </c>
      <c r="F87" s="243" t="s">
        <v>86</v>
      </c>
      <c r="G87" s="51" t="s">
        <v>168</v>
      </c>
      <c r="H87" s="243" t="s">
        <v>88</v>
      </c>
      <c r="I87" s="136" t="str">
        <f>A87&amp;B87&amp;C87&amp;D87&amp;E87&amp;F87&amp;G87&amp;H87</f>
        <v>#SQL("Yul_Device_ByMonth_SUM","VALUE",":where{NAME=榆炼_装置生产流程表_60万催化装置_原料液化气}")</v>
      </c>
    </row>
    <row customHeight="1" ht="13.5">
      <c r="A88" s="136" t="s">
        <v>81</v>
      </c>
      <c r="B88" s="243" t="s">
        <v>82</v>
      </c>
      <c r="C88" s="243" t="s">
        <v>155</v>
      </c>
      <c r="D88" s="243" t="s">
        <v>84</v>
      </c>
      <c r="E88" s="243" t="s">
        <v>85</v>
      </c>
      <c r="F88" s="243" t="s">
        <v>86</v>
      </c>
      <c r="G88" s="244" t="s">
        <v>169</v>
      </c>
      <c r="H88" s="243" t="s">
        <v>88</v>
      </c>
      <c r="I88" s="136" t="str">
        <f>A88&amp;B88&amp;C88&amp;D88&amp;E88&amp;F88&amp;G88&amp;H88</f>
        <v>#SQL("Yul_Device_ByMonth_SUM","VALUE",":where{NAME=榆炼_装置生产流程表_60万催化装置_2#渣油}")</v>
      </c>
    </row>
    <row customHeight="1" ht="13.5">
      <c r="A89" s="136" t="s">
        <v>81</v>
      </c>
      <c r="B89" s="243" t="s">
        <v>82</v>
      </c>
      <c r="C89" s="243" t="s">
        <v>155</v>
      </c>
      <c r="D89" s="243" t="s">
        <v>84</v>
      </c>
      <c r="E89" s="243" t="s">
        <v>85</v>
      </c>
      <c r="F89" s="243" t="s">
        <v>86</v>
      </c>
      <c r="G89" s="244" t="s">
        <v>170</v>
      </c>
      <c r="H89" s="243" t="s">
        <v>88</v>
      </c>
      <c r="I89" s="136" t="str">
        <f>A89&amp;B89&amp;C89&amp;D89&amp;E89&amp;F89&amp;G89&amp;H89</f>
        <v>#SQL("Yul_Device_ByMonth_SUM","VALUE",":where{NAME=榆炼_装置生产流程表_60万催化装置_干气}")</v>
      </c>
    </row>
    <row customHeight="1" ht="13.5">
      <c r="A90" s="136" t="s">
        <v>81</v>
      </c>
      <c r="B90" s="243" t="s">
        <v>82</v>
      </c>
      <c r="C90" s="243" t="s">
        <v>155</v>
      </c>
      <c r="D90" s="243" t="s">
        <v>84</v>
      </c>
      <c r="E90" s="243" t="s">
        <v>85</v>
      </c>
      <c r="F90" s="243" t="s">
        <v>86</v>
      </c>
      <c r="G90" s="244" t="s">
        <v>171</v>
      </c>
      <c r="H90" s="243" t="s">
        <v>88</v>
      </c>
      <c r="I90" s="136" t="str">
        <f>A90&amp;B90&amp;C90&amp;D90&amp;E90&amp;F90&amp;G90&amp;H90</f>
        <v>#SQL("Yul_Device_ByMonth_SUM","VALUE",":where{NAME=榆炼_装置生产流程表_60万催化装置_生焦量}")</v>
      </c>
    </row>
    <row customHeight="1" ht="13.5">
      <c r="A91" s="136" t="s">
        <v>172</v>
      </c>
      <c r="B91" s="136"/>
      <c r="C91" s="51"/>
      <c r="D91" s="136"/>
      <c r="E91" s="136"/>
      <c r="F91" s="51"/>
      <c r="G91" s="51"/>
      <c r="H91" s="136"/>
      <c r="I91" s="136"/>
    </row>
    <row customHeight="1" ht="13.5">
      <c r="A92" s="136" t="s">
        <v>81</v>
      </c>
      <c r="B92" s="243" t="s">
        <v>82</v>
      </c>
      <c r="C92" s="243" t="s">
        <v>155</v>
      </c>
      <c r="D92" s="243" t="s">
        <v>84</v>
      </c>
      <c r="E92" s="243" t="s">
        <v>85</v>
      </c>
      <c r="F92" s="243" t="s">
        <v>86</v>
      </c>
      <c r="G92" s="244" t="s">
        <v>173</v>
      </c>
      <c r="H92" s="243" t="s">
        <v>88</v>
      </c>
      <c r="I92" s="136" t="str">
        <f>A92&amp;B92&amp;C92&amp;D92&amp;E92&amp;F92&amp;G92&amp;H92</f>
        <v>#SQL("Yul_Device_ByMonth_SUM","VALUE",":where{NAME=榆炼_装置生产流程表_180万吨催化装置_催化加工}")</v>
      </c>
    </row>
    <row customHeight="1" ht="13.5">
      <c r="A93" s="136" t="s">
        <v>81</v>
      </c>
      <c r="B93" s="243" t="s">
        <v>82</v>
      </c>
      <c r="C93" s="243" t="s">
        <v>155</v>
      </c>
      <c r="D93" s="243" t="s">
        <v>84</v>
      </c>
      <c r="E93" s="243" t="s">
        <v>85</v>
      </c>
      <c r="F93" s="243" t="s">
        <v>86</v>
      </c>
      <c r="G93" s="244" t="s">
        <v>174</v>
      </c>
      <c r="H93" s="243" t="s">
        <v>88</v>
      </c>
      <c r="I93" s="136" t="str">
        <f>A93&amp;B93&amp;C93&amp;D93&amp;E93&amp;F93&amp;G93&amp;H93</f>
        <v>#SQL("Yul_Device_ByMonth_SUM","VALUE",":where{NAME=榆炼_装置生产流程表_180万吨催化装置_催化汽油}")</v>
      </c>
    </row>
    <row customHeight="1" ht="13.5">
      <c r="A94" s="136" t="s">
        <v>81</v>
      </c>
      <c r="B94" s="243" t="s">
        <v>82</v>
      </c>
      <c r="C94" s="243" t="s">
        <v>155</v>
      </c>
      <c r="D94" s="243" t="s">
        <v>84</v>
      </c>
      <c r="E94" s="243" t="s">
        <v>85</v>
      </c>
      <c r="F94" s="243" t="s">
        <v>86</v>
      </c>
      <c r="G94" s="244" t="s">
        <v>175</v>
      </c>
      <c r="H94" s="243" t="s">
        <v>88</v>
      </c>
      <c r="I94" s="136" t="str">
        <f>A94&amp;B94&amp;C94&amp;D94&amp;E94&amp;F94&amp;G94&amp;H94</f>
        <v>#SQL("Yul_Device_ByMonth_SUM","VALUE",":where{NAME=榆炼_装置生产流程表_180万吨催化装置_催化柴油}")</v>
      </c>
    </row>
    <row customHeight="1" ht="13.5">
      <c r="A95" s="136" t="s">
        <v>81</v>
      </c>
      <c r="B95" s="243" t="s">
        <v>82</v>
      </c>
      <c r="C95" s="243" t="s">
        <v>155</v>
      </c>
      <c r="D95" s="243" t="s">
        <v>84</v>
      </c>
      <c r="E95" s="243" t="s">
        <v>85</v>
      </c>
      <c r="F95" s="243" t="s">
        <v>86</v>
      </c>
      <c r="G95" s="244" t="s">
        <v>176</v>
      </c>
      <c r="H95" s="243" t="s">
        <v>88</v>
      </c>
      <c r="I95" s="136" t="str">
        <f>A95&amp;B95&amp;C95&amp;D95&amp;E95&amp;F95&amp;G95&amp;H95</f>
        <v>#SQL("Yul_Device_ByMonth_SUM","VALUE",":where{NAME=榆炼_装置生产流程表_180万吨催化装置_原料液化气}")</v>
      </c>
    </row>
    <row customHeight="1" ht="13.5">
      <c r="A96" s="136" t="s">
        <v>81</v>
      </c>
      <c r="B96" s="243" t="s">
        <v>82</v>
      </c>
      <c r="C96" s="243" t="s">
        <v>155</v>
      </c>
      <c r="D96" s="243" t="s">
        <v>84</v>
      </c>
      <c r="E96" s="243" t="s">
        <v>85</v>
      </c>
      <c r="F96" s="243" t="s">
        <v>86</v>
      </c>
      <c r="G96" s="244" t="s">
        <v>177</v>
      </c>
      <c r="H96" s="243" t="s">
        <v>88</v>
      </c>
      <c r="I96" s="136" t="str">
        <f>A96&amp;B96&amp;C96&amp;D96&amp;E96&amp;F96&amp;G96&amp;H96</f>
        <v>#SQL("Yul_Device_ByMonth_SUM","VALUE",":where{NAME=榆炼_装置生产流程表_180万吨催化装置_2#渣油}")</v>
      </c>
    </row>
    <row customHeight="1" ht="13.5">
      <c r="A97" s="136" t="s">
        <v>81</v>
      </c>
      <c r="B97" s="243" t="s">
        <v>82</v>
      </c>
      <c r="C97" s="243" t="s">
        <v>155</v>
      </c>
      <c r="D97" s="243" t="s">
        <v>84</v>
      </c>
      <c r="E97" s="243" t="s">
        <v>85</v>
      </c>
      <c r="F97" s="243" t="s">
        <v>86</v>
      </c>
      <c r="G97" s="244" t="s">
        <v>178</v>
      </c>
      <c r="H97" s="243" t="s">
        <v>88</v>
      </c>
      <c r="I97" s="136" t="str">
        <f>A97&amp;B97&amp;C97&amp;D97&amp;E97&amp;F97&amp;G97&amp;H97</f>
        <v>#SQL("Yul_Device_ByMonth_SUM","VALUE",":where{NAME=榆炼_装置生产流程表_180万吨催化装置_干气}")</v>
      </c>
    </row>
    <row customHeight="1" ht="13.5">
      <c r="A98" s="136" t="s">
        <v>81</v>
      </c>
      <c r="B98" s="243" t="s">
        <v>82</v>
      </c>
      <c r="C98" s="243" t="s">
        <v>155</v>
      </c>
      <c r="D98" s="243" t="s">
        <v>84</v>
      </c>
      <c r="E98" s="243" t="s">
        <v>85</v>
      </c>
      <c r="F98" s="243" t="s">
        <v>86</v>
      </c>
      <c r="G98" s="244" t="s">
        <v>179</v>
      </c>
      <c r="H98" s="243" t="s">
        <v>88</v>
      </c>
      <c r="I98" s="136" t="str">
        <f>A98&amp;B98&amp;C98&amp;D98&amp;E98&amp;F98&amp;G98&amp;H98</f>
        <v>#SQL("Yul_Device_ByMonth_SUM","VALUE",":where{NAME=榆炼_装置生产流程表_180万吨催化装置_生焦量}")</v>
      </c>
    </row>
    <row customHeight="1" ht="13.5">
      <c r="A99" s="136" t="s">
        <v>113</v>
      </c>
      <c r="B99" s="136"/>
      <c r="C99" s="51"/>
      <c r="D99" s="136"/>
      <c r="E99" s="136"/>
      <c r="F99" s="51"/>
      <c r="G99" s="51"/>
      <c r="H99" s="136"/>
      <c r="I99" s="136"/>
    </row>
    <row customHeight="1" ht="13.5">
      <c r="A100" s="136" t="s">
        <v>81</v>
      </c>
      <c r="B100" s="243" t="s">
        <v>82</v>
      </c>
      <c r="C100" s="243" t="s">
        <v>155</v>
      </c>
      <c r="D100" s="243" t="s">
        <v>84</v>
      </c>
      <c r="E100" s="243" t="s">
        <v>85</v>
      </c>
      <c r="F100" s="243" t="s">
        <v>86</v>
      </c>
      <c r="G100" s="244" t="s">
        <v>180</v>
      </c>
      <c r="H100" s="243" t="s">
        <v>88</v>
      </c>
      <c r="I100" s="136" t="str">
        <f>A100&amp;B100&amp;C100&amp;D100&amp;E100&amp;F100&amp;G100&amp;H100</f>
        <v>#SQL("Yul_Device_ByMonth_SUM","VALUE",":where{NAME=榆炼_装置生产流程表_200万柴油加氢装置_混合柴油处理量}")</v>
      </c>
    </row>
    <row customHeight="1" ht="13.5">
      <c r="A101" s="136" t="s">
        <v>81</v>
      </c>
      <c r="B101" s="243" t="s">
        <v>82</v>
      </c>
      <c r="C101" s="243" t="s">
        <v>155</v>
      </c>
      <c r="D101" s="243" t="s">
        <v>84</v>
      </c>
      <c r="E101" s="243" t="s">
        <v>85</v>
      </c>
      <c r="F101" s="243" t="s">
        <v>86</v>
      </c>
      <c r="G101" s="244" t="s">
        <v>181</v>
      </c>
      <c r="H101" s="243" t="s">
        <v>88</v>
      </c>
      <c r="I101" s="136" t="str">
        <f>A101&amp;B101&amp;C101&amp;D101&amp;E101&amp;F101&amp;G101&amp;H101</f>
        <v>#SQL("Yul_Device_ByMonth_SUM","VALUE",":where{NAME=榆炼_装置生产流程表_200万柴油加氢装置_氢气处理量}")</v>
      </c>
    </row>
    <row customHeight="1" ht="13.5">
      <c r="A102" s="136" t="s">
        <v>81</v>
      </c>
      <c r="B102" s="243" t="s">
        <v>82</v>
      </c>
      <c r="C102" s="243" t="s">
        <v>155</v>
      </c>
      <c r="D102" s="243" t="s">
        <v>84</v>
      </c>
      <c r="E102" s="243" t="s">
        <v>85</v>
      </c>
      <c r="F102" s="243" t="s">
        <v>86</v>
      </c>
      <c r="G102" s="244" t="s">
        <v>182</v>
      </c>
      <c r="H102" s="243" t="s">
        <v>88</v>
      </c>
      <c r="I102" s="136" t="str">
        <f>A102&amp;B102&amp;C102&amp;D102&amp;E102&amp;F102&amp;G102&amp;H102</f>
        <v>#SQL("Yul_Device_ByMonth_SUM","VALUE",":where{NAME=榆炼_装置生产流程表_200万柴油加氢装置_精制柴油}")</v>
      </c>
    </row>
    <row customHeight="1" ht="13.5">
      <c r="A103" s="136" t="s">
        <v>81</v>
      </c>
      <c r="B103" s="243" t="s">
        <v>82</v>
      </c>
      <c r="C103" s="243" t="s">
        <v>155</v>
      </c>
      <c r="D103" s="243" t="s">
        <v>84</v>
      </c>
      <c r="E103" s="243" t="s">
        <v>85</v>
      </c>
      <c r="F103" s="243" t="s">
        <v>86</v>
      </c>
      <c r="G103" s="244" t="s">
        <v>183</v>
      </c>
      <c r="H103" s="243" t="s">
        <v>88</v>
      </c>
      <c r="I103" s="136" t="str">
        <f>A103&amp;B103&amp;C103&amp;D103&amp;E103&amp;F103&amp;G103&amp;H103</f>
        <v>#SQL("Yul_Device_ByMonth_SUM","VALUE",":where{NAME=榆炼_装置生产流程表_200万柴油加氢装置_石脑油Ⅰ}")</v>
      </c>
    </row>
    <row customHeight="1" ht="13.5">
      <c r="A104" s="136" t="s">
        <v>81</v>
      </c>
      <c r="B104" s="243" t="s">
        <v>82</v>
      </c>
      <c r="C104" s="243" t="s">
        <v>155</v>
      </c>
      <c r="D104" s="243" t="s">
        <v>84</v>
      </c>
      <c r="E104" s="243" t="s">
        <v>85</v>
      </c>
      <c r="F104" s="243" t="s">
        <v>86</v>
      </c>
      <c r="G104" s="244" t="s">
        <v>184</v>
      </c>
      <c r="H104" s="243" t="s">
        <v>88</v>
      </c>
      <c r="I104" s="136" t="str">
        <f>A104&amp;B104&amp;C104&amp;D104&amp;E104&amp;F104&amp;G104&amp;H104</f>
        <v>#SQL("Yul_Device_ByMonth_SUM","VALUE",":where{NAME=榆炼_装置生产流程表_200万柴油加氢装置_原料液化气}")</v>
      </c>
    </row>
    <row customHeight="1" ht="13.5">
      <c r="A105" s="136" t="s">
        <v>81</v>
      </c>
      <c r="B105" s="243" t="s">
        <v>82</v>
      </c>
      <c r="C105" s="243" t="s">
        <v>155</v>
      </c>
      <c r="D105" s="243" t="s">
        <v>84</v>
      </c>
      <c r="E105" s="243" t="s">
        <v>85</v>
      </c>
      <c r="F105" s="243" t="s">
        <v>86</v>
      </c>
      <c r="G105" s="244" t="s">
        <v>185</v>
      </c>
      <c r="H105" s="243" t="s">
        <v>88</v>
      </c>
      <c r="I105" s="136" t="str">
        <f>A105&amp;B105&amp;C105&amp;D105&amp;E105&amp;F105&amp;G105&amp;H105</f>
        <v>#SQL("Yul_Device_ByMonth_SUM","VALUE",":where{NAME=榆炼_装置生产流程表_200万柴油加氢装置_加氢粗汽油}")</v>
      </c>
    </row>
    <row customHeight="1" ht="13.5">
      <c r="A106" s="136" t="s">
        <v>81</v>
      </c>
      <c r="B106" s="243" t="s">
        <v>82</v>
      </c>
      <c r="C106" s="243" t="s">
        <v>155</v>
      </c>
      <c r="D106" s="243" t="s">
        <v>84</v>
      </c>
      <c r="E106" s="243" t="s">
        <v>85</v>
      </c>
      <c r="F106" s="243" t="s">
        <v>86</v>
      </c>
      <c r="G106" s="244" t="s">
        <v>186</v>
      </c>
      <c r="H106" s="243" t="s">
        <v>88</v>
      </c>
      <c r="I106" s="136" t="str">
        <f>A106&amp;B106&amp;C106&amp;D106&amp;E106&amp;F106&amp;G106&amp;H106</f>
        <v>#SQL("Yul_Device_ByMonth_SUM","VALUE",":where{NAME=榆炼_装置生产流程表_200万柴油加氢装置_燃料气}")</v>
      </c>
    </row>
    <row customHeight="1" ht="13.5">
      <c r="A107" s="136" t="s">
        <v>121</v>
      </c>
      <c r="B107" s="136"/>
      <c r="C107" s="51"/>
      <c r="D107" s="136"/>
      <c r="E107" s="136"/>
      <c r="F107" s="51"/>
      <c r="G107" s="51"/>
      <c r="H107" s="136"/>
      <c r="I107" s="136"/>
    </row>
    <row customHeight="1" ht="13.5">
      <c r="A108" s="136" t="s">
        <v>81</v>
      </c>
      <c r="B108" s="243" t="s">
        <v>82</v>
      </c>
      <c r="C108" s="243" t="s">
        <v>155</v>
      </c>
      <c r="D108" s="243" t="s">
        <v>84</v>
      </c>
      <c r="E108" s="243" t="s">
        <v>85</v>
      </c>
      <c r="F108" s="243" t="s">
        <v>86</v>
      </c>
      <c r="G108" s="244" t="s">
        <v>187</v>
      </c>
      <c r="H108" s="243" t="s">
        <v>88</v>
      </c>
      <c r="I108" s="136" t="str">
        <f>A108&amp;B108&amp;C108&amp;D108&amp;E108&amp;F108&amp;G108&amp;H108</f>
        <v>#SQL("Yul_Device_ByMonth_SUM","VALUE",":where{NAME=榆炼_装置生产流程表_90万吨汽油精制_催化汽油}")</v>
      </c>
    </row>
    <row customHeight="1" ht="13.5">
      <c r="A109" s="136" t="s">
        <v>81</v>
      </c>
      <c r="B109" s="243" t="s">
        <v>82</v>
      </c>
      <c r="C109" s="243" t="s">
        <v>155</v>
      </c>
      <c r="D109" s="243" t="s">
        <v>84</v>
      </c>
      <c r="E109" s="243" t="s">
        <v>85</v>
      </c>
      <c r="F109" s="243" t="s">
        <v>86</v>
      </c>
      <c r="G109" s="244" t="s">
        <v>188</v>
      </c>
      <c r="H109" s="243" t="s">
        <v>88</v>
      </c>
      <c r="I109" s="136" t="str">
        <f>A109&amp;B109&amp;C109&amp;D109&amp;E109&amp;F109&amp;G109&amp;H109</f>
        <v>#SQL("Yul_Device_ByMonth_SUM","VALUE",":where{NAME=榆炼_装置生产流程表_90万吨汽油精制_氢气}")</v>
      </c>
    </row>
    <row customHeight="1" ht="13.5">
      <c r="A110" s="136" t="s">
        <v>81</v>
      </c>
      <c r="B110" s="243" t="s">
        <v>82</v>
      </c>
      <c r="C110" s="243" t="s">
        <v>155</v>
      </c>
      <c r="D110" s="243" t="s">
        <v>84</v>
      </c>
      <c r="E110" s="243" t="s">
        <v>85</v>
      </c>
      <c r="F110" s="243" t="s">
        <v>86</v>
      </c>
      <c r="G110" s="244" t="s">
        <v>189</v>
      </c>
      <c r="H110" s="243" t="s">
        <v>88</v>
      </c>
      <c r="I110" s="136" t="str">
        <f>A110&amp;B110&amp;C110&amp;D110&amp;E110&amp;F110&amp;G110&amp;H110</f>
        <v>#SQL("Yul_Device_ByMonth_SUM","VALUE",":where{NAME=榆炼_装置生产流程表_90万吨汽油精制_精制汽油}")</v>
      </c>
    </row>
    <row customHeight="1" ht="13.5">
      <c r="A111" s="136" t="s">
        <v>81</v>
      </c>
      <c r="B111" s="243" t="s">
        <v>82</v>
      </c>
      <c r="C111" s="243" t="s">
        <v>155</v>
      </c>
      <c r="D111" s="243" t="s">
        <v>84</v>
      </c>
      <c r="E111" s="243" t="s">
        <v>85</v>
      </c>
      <c r="F111" s="243" t="s">
        <v>86</v>
      </c>
      <c r="G111" s="244" t="s">
        <v>190</v>
      </c>
      <c r="H111" s="243" t="s">
        <v>88</v>
      </c>
      <c r="I111" s="136" t="str">
        <f>A111&amp;B111&amp;C111&amp;D111&amp;E111&amp;F111&amp;G111&amp;H111</f>
        <v>#SQL("Yul_Device_ByMonth_SUM","VALUE",":where{NAME=榆炼_装置生产流程表_90万吨汽油精制_轻烃液}")</v>
      </c>
    </row>
    <row customHeight="1" ht="13.5">
      <c r="A112" s="136" t="s">
        <v>81</v>
      </c>
      <c r="B112" s="243" t="s">
        <v>82</v>
      </c>
      <c r="C112" s="243" t="s">
        <v>155</v>
      </c>
      <c r="D112" s="243" t="s">
        <v>84</v>
      </c>
      <c r="E112" s="243" t="s">
        <v>85</v>
      </c>
      <c r="F112" s="243" t="s">
        <v>86</v>
      </c>
      <c r="G112" s="244" t="s">
        <v>191</v>
      </c>
      <c r="H112" s="243" t="s">
        <v>88</v>
      </c>
      <c r="I112" s="136" t="str">
        <f>A112&amp;B112&amp;C112&amp;D112&amp;E112&amp;F112&amp;G112&amp;H112</f>
        <v>#SQL("Yul_Device_ByMonth_SUM","VALUE",":where{NAME=榆炼_装置生产流程表_90万吨汽油精制_轻烃气}")</v>
      </c>
    </row>
    <row customHeight="1" ht="13.5">
      <c r="A113" s="136" t="s">
        <v>127</v>
      </c>
      <c r="B113" s="136"/>
      <c r="C113" s="51"/>
      <c r="D113" s="136"/>
      <c r="E113" s="136"/>
      <c r="F113" s="51"/>
      <c r="G113" s="51"/>
      <c r="H113" s="136"/>
      <c r="I113" s="136"/>
    </row>
    <row customHeight="1" ht="13.5">
      <c r="A114" s="136" t="s">
        <v>81</v>
      </c>
      <c r="B114" s="243" t="s">
        <v>82</v>
      </c>
      <c r="C114" s="243" t="s">
        <v>155</v>
      </c>
      <c r="D114" s="243" t="s">
        <v>84</v>
      </c>
      <c r="E114" s="243" t="s">
        <v>85</v>
      </c>
      <c r="F114" s="243" t="s">
        <v>86</v>
      </c>
      <c r="G114" s="244" t="s">
        <v>192</v>
      </c>
      <c r="H114" s="243" t="s">
        <v>88</v>
      </c>
      <c r="I114" s="136" t="str">
        <f>A114&amp;B114&amp;C114&amp;D114&amp;E114&amp;F114&amp;G114&amp;H114</f>
        <v>#SQL("Yul_Device_ByMonth_SUM","VALUE",":where{NAME=榆炼_装置生产流程表_100万吨重整装置_加工量}")</v>
      </c>
    </row>
    <row customHeight="1" ht="13.5">
      <c r="A115" s="136" t="s">
        <v>81</v>
      </c>
      <c r="B115" s="243" t="s">
        <v>82</v>
      </c>
      <c r="C115" s="243" t="s">
        <v>155</v>
      </c>
      <c r="D115" s="243" t="s">
        <v>84</v>
      </c>
      <c r="E115" s="243" t="s">
        <v>85</v>
      </c>
      <c r="F115" s="243" t="s">
        <v>86</v>
      </c>
      <c r="G115" s="244" t="s">
        <v>193</v>
      </c>
      <c r="H115" s="243" t="s">
        <v>88</v>
      </c>
      <c r="I115" s="136" t="str">
        <f>A115&amp;B115&amp;C115&amp;D115&amp;E115&amp;F115&amp;G115&amp;H115</f>
        <v>#SQL("Yul_Device_ByMonth_SUM","VALUE",":where{NAME=榆炼_装置生产流程表_100万吨重整装置_重整汽油}")</v>
      </c>
    </row>
    <row customHeight="1" ht="13.5">
      <c r="A116" s="136" t="s">
        <v>81</v>
      </c>
      <c r="B116" s="243" t="s">
        <v>82</v>
      </c>
      <c r="C116" s="243" t="s">
        <v>155</v>
      </c>
      <c r="D116" s="243" t="s">
        <v>84</v>
      </c>
      <c r="E116" s="243" t="s">
        <v>85</v>
      </c>
      <c r="F116" s="243" t="s">
        <v>86</v>
      </c>
      <c r="G116" s="244" t="s">
        <v>194</v>
      </c>
      <c r="H116" s="243" t="s">
        <v>88</v>
      </c>
      <c r="I116" s="136" t="str">
        <f>A116&amp;B116&amp;C116&amp;D116&amp;E116&amp;F116&amp;G116&amp;H116</f>
        <v>#SQL("Yul_Device_ByMonth_SUM","VALUE",":where{NAME=榆炼_装置生产流程表_100万吨重整装置_二甲苯塔底油}")</v>
      </c>
    </row>
    <row customHeight="1" ht="13.5">
      <c r="A117" s="136" t="s">
        <v>81</v>
      </c>
      <c r="B117" s="243" t="s">
        <v>82</v>
      </c>
      <c r="C117" s="243" t="s">
        <v>155</v>
      </c>
      <c r="D117" s="243" t="s">
        <v>84</v>
      </c>
      <c r="E117" s="243" t="s">
        <v>85</v>
      </c>
      <c r="F117" s="243" t="s">
        <v>86</v>
      </c>
      <c r="G117" s="244" t="s">
        <v>195</v>
      </c>
      <c r="H117" s="243" t="s">
        <v>88</v>
      </c>
      <c r="I117" s="136" t="str">
        <f>A117&amp;B117&amp;C117&amp;D117&amp;E117&amp;F117&amp;G117&amp;H117</f>
        <v>#SQL("Yul_Device_ByMonth_SUM","VALUE",":where{NAME=榆炼_装置生产流程表_100万吨重整装置_C6馏分油}")</v>
      </c>
    </row>
    <row customHeight="1" ht="13.5">
      <c r="A118" s="136" t="s">
        <v>81</v>
      </c>
      <c r="B118" s="243" t="s">
        <v>82</v>
      </c>
      <c r="C118" s="243" t="s">
        <v>155</v>
      </c>
      <c r="D118" s="243" t="s">
        <v>84</v>
      </c>
      <c r="E118" s="243" t="s">
        <v>85</v>
      </c>
      <c r="F118" s="243" t="s">
        <v>86</v>
      </c>
      <c r="G118" s="244" t="s">
        <v>196</v>
      </c>
      <c r="H118" s="243" t="s">
        <v>88</v>
      </c>
      <c r="I118" s="136" t="str">
        <f>A118&amp;B118&amp;C118&amp;D118&amp;E118&amp;F118&amp;G118&amp;H118</f>
        <v>#SQL("Yul_Device_ByMonth_SUM","VALUE",":where{NAME=榆炼_装置生产流程表_100万吨重整装置_饱和液化气}")</v>
      </c>
    </row>
    <row customHeight="1" ht="13.5">
      <c r="A119" s="136" t="s">
        <v>81</v>
      </c>
      <c r="B119" s="243" t="s">
        <v>82</v>
      </c>
      <c r="C119" s="243" t="s">
        <v>155</v>
      </c>
      <c r="D119" s="243" t="s">
        <v>84</v>
      </c>
      <c r="E119" s="243" t="s">
        <v>85</v>
      </c>
      <c r="F119" s="243" t="s">
        <v>86</v>
      </c>
      <c r="G119" s="244" t="s">
        <v>197</v>
      </c>
      <c r="H119" s="243" t="s">
        <v>88</v>
      </c>
      <c r="I119" s="136" t="str">
        <f>A119&amp;B119&amp;C119&amp;D119&amp;E119&amp;F119&amp;G119&amp;H119</f>
        <v>#SQL("Yul_Device_ByMonth_SUM","VALUE",":where{NAME=榆炼_装置生产流程表_100万吨重整装置_二甲苯}")</v>
      </c>
    </row>
    <row customHeight="1" ht="13.5">
      <c r="A120" s="136" t="s">
        <v>81</v>
      </c>
      <c r="B120" s="243" t="s">
        <v>82</v>
      </c>
      <c r="C120" s="243" t="s">
        <v>155</v>
      </c>
      <c r="D120" s="243" t="s">
        <v>84</v>
      </c>
      <c r="E120" s="243" t="s">
        <v>85</v>
      </c>
      <c r="F120" s="243" t="s">
        <v>86</v>
      </c>
      <c r="G120" s="244" t="s">
        <v>198</v>
      </c>
      <c r="H120" s="243" t="s">
        <v>88</v>
      </c>
      <c r="I120" s="136" t="str">
        <f>A120&amp;B120&amp;C120&amp;D120&amp;E120&amp;F120&amp;G120&amp;H120</f>
        <v>#SQL("Yul_Device_ByMonth_SUM","VALUE",":where{NAME=榆炼_装置生产流程表_100万吨重整装置_燃料气}")</v>
      </c>
    </row>
    <row customHeight="1" ht="13.5">
      <c r="A121" s="136" t="s">
        <v>81</v>
      </c>
      <c r="B121" s="243" t="s">
        <v>82</v>
      </c>
      <c r="C121" s="243" t="s">
        <v>155</v>
      </c>
      <c r="D121" s="243" t="s">
        <v>84</v>
      </c>
      <c r="E121" s="243" t="s">
        <v>85</v>
      </c>
      <c r="F121" s="243" t="s">
        <v>86</v>
      </c>
      <c r="G121" s="244" t="s">
        <v>199</v>
      </c>
      <c r="H121" s="243" t="s">
        <v>88</v>
      </c>
      <c r="I121" s="136" t="str">
        <f>A121&amp;B121&amp;C121&amp;D121&amp;E121&amp;F121&amp;G121&amp;H121</f>
        <v>#SQL("Yul_Device_ByMonth_SUM","VALUE",":where{NAME=榆炼_装置生产流程表_100万吨重整装置_精制石脑油}")</v>
      </c>
    </row>
    <row customHeight="1" ht="13.5">
      <c r="A122" s="136" t="s">
        <v>136</v>
      </c>
      <c r="B122" s="136"/>
      <c r="C122" s="51"/>
      <c r="D122" s="136"/>
      <c r="E122" s="136"/>
      <c r="F122" s="51"/>
      <c r="G122" s="51"/>
      <c r="H122" s="136"/>
      <c r="I122" s="136"/>
    </row>
    <row customHeight="1" ht="13.5">
      <c r="A123" s="136" t="s">
        <v>81</v>
      </c>
      <c r="B123" s="243" t="s">
        <v>82</v>
      </c>
      <c r="C123" s="243" t="s">
        <v>155</v>
      </c>
      <c r="D123" s="243" t="s">
        <v>84</v>
      </c>
      <c r="E123" s="243" t="s">
        <v>85</v>
      </c>
      <c r="F123" s="243" t="s">
        <v>86</v>
      </c>
      <c r="G123" s="244" t="s">
        <v>200</v>
      </c>
      <c r="H123" s="243" t="s">
        <v>88</v>
      </c>
      <c r="I123" s="136" t="str">
        <f>A123&amp;B123&amp;C123&amp;D123&amp;E123&amp;F123&amp;G123&amp;H123</f>
        <v>#SQL("Yul_Device_ByMonth_SUM","VALUE",":where{NAME=榆炼_装置生产流程表_20万吨苯抽提装置_处理量}")</v>
      </c>
    </row>
    <row customHeight="1" ht="13.5">
      <c r="A124" s="136" t="s">
        <v>81</v>
      </c>
      <c r="B124" s="243" t="s">
        <v>82</v>
      </c>
      <c r="C124" s="243" t="s">
        <v>155</v>
      </c>
      <c r="D124" s="243" t="s">
        <v>84</v>
      </c>
      <c r="E124" s="243" t="s">
        <v>85</v>
      </c>
      <c r="F124" s="243" t="s">
        <v>86</v>
      </c>
      <c r="G124" s="244" t="s">
        <v>201</v>
      </c>
      <c r="H124" s="243" t="s">
        <v>88</v>
      </c>
      <c r="I124" s="136" t="str">
        <f>A124&amp;B124&amp;C124&amp;D124&amp;E124&amp;F124&amp;G124&amp;H124</f>
        <v>#SQL("Yul_Device_ByMonth_SUM","VALUE",":where{NAME=榆炼_装置生产流程表_20万吨苯抽提装置_非芳烃}")</v>
      </c>
    </row>
    <row customHeight="1" ht="13.5">
      <c r="A125" s="136" t="s">
        <v>81</v>
      </c>
      <c r="B125" s="243" t="s">
        <v>82</v>
      </c>
      <c r="C125" s="243" t="s">
        <v>155</v>
      </c>
      <c r="D125" s="243" t="s">
        <v>84</v>
      </c>
      <c r="E125" s="243" t="s">
        <v>85</v>
      </c>
      <c r="F125" s="243" t="s">
        <v>86</v>
      </c>
      <c r="G125" s="244" t="s">
        <v>202</v>
      </c>
      <c r="H125" s="243" t="s">
        <v>88</v>
      </c>
      <c r="I125" s="136" t="str">
        <f>A125&amp;B125&amp;C125&amp;D125&amp;E125&amp;F125&amp;G125&amp;H125</f>
        <v>#SQL("Yul_Device_ByMonth_SUM","VALUE",":where{NAME=榆炼_装置生产流程表_20万吨苯抽提装置_苯}")</v>
      </c>
    </row>
    <row customHeight="1" ht="13.5">
      <c r="A126" s="136" t="s">
        <v>81</v>
      </c>
      <c r="B126" s="243" t="s">
        <v>82</v>
      </c>
      <c r="C126" s="243" t="s">
        <v>155</v>
      </c>
      <c r="D126" s="243" t="s">
        <v>84</v>
      </c>
      <c r="E126" s="243" t="s">
        <v>85</v>
      </c>
      <c r="F126" s="243" t="s">
        <v>86</v>
      </c>
      <c r="G126" s="244" t="s">
        <v>203</v>
      </c>
      <c r="H126" s="243" t="s">
        <v>88</v>
      </c>
      <c r="I126" s="136" t="str">
        <f>A126&amp;B126&amp;C126&amp;D126&amp;E126&amp;F126&amp;G126&amp;H126</f>
        <v>#SQL("Yul_Device_ByMonth_SUM","VALUE",":where{NAME=榆炼_装置生产流程表_20万吨苯抽提装置_燃料气}")</v>
      </c>
    </row>
    <row customHeight="1" ht="13.5">
      <c r="A127" s="136" t="s">
        <v>141</v>
      </c>
      <c r="B127" s="136"/>
      <c r="C127" s="51"/>
      <c r="D127" s="136"/>
      <c r="E127" s="136"/>
      <c r="F127" s="51"/>
      <c r="G127" s="51"/>
      <c r="H127" s="136"/>
      <c r="I127" s="136"/>
    </row>
    <row customHeight="1" ht="13.5">
      <c r="A128" s="136" t="s">
        <v>81</v>
      </c>
      <c r="B128" s="243" t="s">
        <v>82</v>
      </c>
      <c r="C128" s="243" t="s">
        <v>155</v>
      </c>
      <c r="D128" s="243" t="s">
        <v>84</v>
      </c>
      <c r="E128" s="243" t="s">
        <v>85</v>
      </c>
      <c r="F128" s="243" t="s">
        <v>86</v>
      </c>
      <c r="G128" s="244" t="s">
        <v>204</v>
      </c>
      <c r="H128" s="243" t="s">
        <v>88</v>
      </c>
      <c r="I128" s="136" t="str">
        <f>A128&amp;B128&amp;C128&amp;D128&amp;E128&amp;F128&amp;G128&amp;H128</f>
        <v>#SQL("Yul_Device_ByMonth_SUM","VALUE",":where{NAME=榆炼_装置生产流程表_20万DCC石脑油装置_裂解石脑油}")</v>
      </c>
    </row>
    <row customHeight="1" ht="13.5">
      <c r="A129" s="136" t="s">
        <v>81</v>
      </c>
      <c r="B129" s="243" t="s">
        <v>82</v>
      </c>
      <c r="C129" s="243" t="s">
        <v>155</v>
      </c>
      <c r="D129" s="243" t="s">
        <v>84</v>
      </c>
      <c r="E129" s="243" t="s">
        <v>85</v>
      </c>
      <c r="F129" s="243" t="s">
        <v>86</v>
      </c>
      <c r="G129" s="244" t="s">
        <v>205</v>
      </c>
      <c r="H129" s="243" t="s">
        <v>88</v>
      </c>
      <c r="I129" s="136" t="str">
        <f>A129&amp;B129&amp;C129&amp;D129&amp;E129&amp;F129&amp;G129&amp;H129</f>
        <v>#SQL("Yul_Device_ByMonth_SUM","VALUE",":where{NAME=榆炼_装置生产流程表_20万DCC石脑油装置_氢气处理量}")</v>
      </c>
    </row>
    <row customHeight="1" ht="13.5">
      <c r="A130" s="136" t="s">
        <v>81</v>
      </c>
      <c r="B130" s="243" t="s">
        <v>82</v>
      </c>
      <c r="C130" s="243" t="s">
        <v>155</v>
      </c>
      <c r="D130" s="243" t="s">
        <v>84</v>
      </c>
      <c r="E130" s="243" t="s">
        <v>85</v>
      </c>
      <c r="F130" s="243" t="s">
        <v>86</v>
      </c>
      <c r="G130" s="244" t="s">
        <v>206</v>
      </c>
      <c r="H130" s="243" t="s">
        <v>88</v>
      </c>
      <c r="I130" s="136" t="str">
        <f>A130&amp;B130&amp;C130&amp;D130&amp;E130&amp;F130&amp;G130&amp;H130</f>
        <v>#SQL("Yul_Device_ByMonth_SUM","VALUE",":where{NAME=榆炼_装置生产流程表_20万DCC石脑油装置_脱戊烷油}")</v>
      </c>
    </row>
    <row customHeight="1" ht="13.5">
      <c r="A131" s="136" t="s">
        <v>81</v>
      </c>
      <c r="B131" s="243" t="s">
        <v>82</v>
      </c>
      <c r="C131" s="243" t="s">
        <v>155</v>
      </c>
      <c r="D131" s="243" t="s">
        <v>84</v>
      </c>
      <c r="E131" s="243" t="s">
        <v>85</v>
      </c>
      <c r="F131" s="243" t="s">
        <v>86</v>
      </c>
      <c r="G131" s="244" t="s">
        <v>207</v>
      </c>
      <c r="H131" s="243" t="s">
        <v>88</v>
      </c>
      <c r="I131" s="136" t="str">
        <f>A131&amp;B131&amp;C131&amp;D131&amp;E131&amp;F131&amp;G131&amp;H131</f>
        <v>#SQL("Yul_Device_ByMonth_SUM","VALUE",":where{NAME=榆炼_装置生产流程表_20万DCC石脑油装置_C5}")</v>
      </c>
    </row>
    <row customHeight="1" ht="13.5">
      <c r="A132" s="136" t="s">
        <v>81</v>
      </c>
      <c r="B132" s="243" t="s">
        <v>82</v>
      </c>
      <c r="C132" s="243" t="s">
        <v>155</v>
      </c>
      <c r="D132" s="243" t="s">
        <v>84</v>
      </c>
      <c r="E132" s="243" t="s">
        <v>85</v>
      </c>
      <c r="F132" s="243" t="s">
        <v>86</v>
      </c>
      <c r="G132" s="244" t="s">
        <v>208</v>
      </c>
      <c r="H132" s="243" t="s">
        <v>88</v>
      </c>
      <c r="I132" s="136" t="str">
        <f>A132&amp;B132&amp;C132&amp;D132&amp;E132&amp;F132&amp;G132&amp;H132</f>
        <v>#SQL("Yul_Device_ByMonth_SUM","VALUE",":where{NAME=榆炼_装置生产流程表_20万DCC石脑油装置_气体产量}")</v>
      </c>
    </row>
    <row customHeight="1" ht="13.5">
      <c r="A133" s="136" t="s">
        <v>147</v>
      </c>
      <c r="B133" s="136"/>
      <c r="C133" s="51"/>
      <c r="D133" s="136"/>
      <c r="E133" s="136"/>
      <c r="F133" s="51"/>
      <c r="G133" s="51"/>
      <c r="H133" s="136"/>
      <c r="I133" s="136"/>
    </row>
    <row customHeight="1" ht="13.5">
      <c r="A134" s="136" t="s">
        <v>81</v>
      </c>
      <c r="B134" s="243" t="s">
        <v>82</v>
      </c>
      <c r="C134" s="243" t="s">
        <v>155</v>
      </c>
      <c r="D134" s="243" t="s">
        <v>84</v>
      </c>
      <c r="E134" s="243" t="s">
        <v>85</v>
      </c>
      <c r="F134" s="243" t="s">
        <v>86</v>
      </c>
      <c r="G134" s="244" t="s">
        <v>209</v>
      </c>
      <c r="H134" s="243" t="s">
        <v>88</v>
      </c>
      <c r="I134" s="136" t="str">
        <f>A134&amp;B134&amp;C134&amp;D134&amp;E134&amp;F134&amp;G134&amp;H134</f>
        <v>#SQL("Yul_Device_ByMonth_SUM","VALUE",":where{NAME=榆炼_装置生产流程表_30万吨/年航煤装置_处理量}")</v>
      </c>
    </row>
    <row customHeight="1" ht="13.5">
      <c r="A135" s="136" t="s">
        <v>81</v>
      </c>
      <c r="B135" s="243" t="s">
        <v>82</v>
      </c>
      <c r="C135" s="243" t="s">
        <v>155</v>
      </c>
      <c r="D135" s="243" t="s">
        <v>84</v>
      </c>
      <c r="E135" s="243" t="s">
        <v>85</v>
      </c>
      <c r="F135" s="243" t="s">
        <v>86</v>
      </c>
      <c r="G135" s="244" t="s">
        <v>210</v>
      </c>
      <c r="H135" s="243" t="s">
        <v>88</v>
      </c>
      <c r="I135" s="136" t="str">
        <f>A135&amp;B135&amp;C135&amp;D135&amp;E135&amp;F135&amp;G135&amp;H135</f>
        <v>#SQL("Yul_Device_ByMonth_SUM","VALUE",":where{NAME=榆炼_装置生产流程表_30万吨/年航煤装置_氢气处理量}")</v>
      </c>
    </row>
    <row customHeight="1" ht="13.5">
      <c r="A136" s="136" t="s">
        <v>81</v>
      </c>
      <c r="B136" s="243" t="s">
        <v>82</v>
      </c>
      <c r="C136" s="243" t="s">
        <v>155</v>
      </c>
      <c r="D136" s="243" t="s">
        <v>84</v>
      </c>
      <c r="E136" s="243" t="s">
        <v>85</v>
      </c>
      <c r="F136" s="243" t="s">
        <v>86</v>
      </c>
      <c r="G136" s="244" t="s">
        <v>211</v>
      </c>
      <c r="H136" s="243" t="s">
        <v>88</v>
      </c>
      <c r="I136" s="136" t="str">
        <f>A136&amp;B136&amp;C136&amp;D136&amp;E136&amp;F136&amp;G136&amp;H136</f>
        <v>#SQL("Yul_Device_ByMonth_SUM","VALUE",":where{NAME=榆炼_装置生产流程表_30万吨/年航煤装置_3#喷气燃料}")</v>
      </c>
    </row>
    <row customHeight="1" ht="13.5">
      <c r="A137" s="136" t="s">
        <v>81</v>
      </c>
      <c r="B137" s="243" t="s">
        <v>82</v>
      </c>
      <c r="C137" s="243" t="s">
        <v>155</v>
      </c>
      <c r="D137" s="243" t="s">
        <v>84</v>
      </c>
      <c r="E137" s="243" t="s">
        <v>85</v>
      </c>
      <c r="F137" s="243" t="s">
        <v>86</v>
      </c>
      <c r="G137" s="244" t="s">
        <v>212</v>
      </c>
      <c r="H137" s="243" t="s">
        <v>88</v>
      </c>
      <c r="I137" s="136" t="str">
        <f>A137&amp;B137&amp;C137&amp;D137&amp;E137&amp;F137&amp;G137&amp;H137</f>
        <v>#SQL("Yul_Device_ByMonth_SUM","VALUE",":where{NAME=榆炼_装置生产流程表_30万吨/年航煤装置_航煤石脑油Ⅱ}")</v>
      </c>
    </row>
    <row customHeight="1" ht="13.5">
      <c r="A138" s="136" t="s">
        <v>81</v>
      </c>
      <c r="B138" s="243" t="s">
        <v>82</v>
      </c>
      <c r="C138" s="243" t="s">
        <v>155</v>
      </c>
      <c r="D138" s="243" t="s">
        <v>84</v>
      </c>
      <c r="E138" s="243" t="s">
        <v>85</v>
      </c>
      <c r="F138" s="243" t="s">
        <v>86</v>
      </c>
      <c r="G138" s="244" t="s">
        <v>213</v>
      </c>
      <c r="H138" s="243" t="s">
        <v>88</v>
      </c>
      <c r="I138" s="136" t="str">
        <f>A138&amp;B138&amp;C138&amp;D138&amp;E138&amp;F138&amp;G138&amp;H138</f>
        <v>#SQL("Yul_Device_ByMonth_SUM","VALUE",":where{NAME=榆炼_装置生产流程表_30万吨/年航煤装置_气体产量}")</v>
      </c>
    </row>
  </sheetData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EDB2568-0F65-5B86-07F8-5CB9DA1A73DE}" mc:Ignorable="x14ac xr xr2 xr3">
  <dimension ref="A1:P191"/>
  <sheetViews>
    <sheetView topLeftCell="A166" workbookViewId="0">
      <selection activeCell="P174" sqref="P174"/>
    </sheetView>
  </sheetViews>
  <sheetFormatPr defaultColWidth="9.00390625" customHeight="1" defaultRowHeight="13.7025"/>
  <sheetData>
    <row customHeight="1" ht="13.5">
      <c r="A1" s="136" t="s">
        <v>79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>
        <v>0</v>
      </c>
      <c r="O1" s="136"/>
      <c r="P1" s="136"/>
    </row>
    <row customHeight="1" ht="13.5">
      <c r="A2" s="136" t="s">
        <v>80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>
        <v>0</v>
      </c>
      <c r="O2" s="136"/>
      <c r="P2" s="136"/>
    </row>
    <row customHeight="1" ht="13.5">
      <c r="A3" s="136">
        <v>379023</v>
      </c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>
        <v>0</v>
      </c>
      <c r="O3" s="136"/>
      <c r="P3" s="136"/>
    </row>
    <row customHeight="1" ht="13.5">
      <c r="A4" s="136">
        <v>48401</v>
      </c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</row>
    <row customHeight="1" ht="13.5">
      <c r="A5" s="136">
        <v>0</v>
      </c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</row>
    <row customHeight="1" ht="13.5">
      <c r="A6" s="136">
        <v>29173</v>
      </c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customHeight="1" ht="13.5">
      <c r="A7" s="136">
        <v>102803</v>
      </c>
      <c r="B7" s="136"/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</row>
    <row customHeight="1" ht="13.5">
      <c r="A8" s="136">
        <v>0</v>
      </c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</row>
    <row customHeight="1" ht="13.5">
      <c r="A9" s="136">
        <v>2661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</row>
    <row customHeight="1" ht="13.5">
      <c r="A10" s="136">
        <v>192035</v>
      </c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</row>
    <row customHeight="1" ht="13.5">
      <c r="A11" s="136">
        <v>187</v>
      </c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</row>
    <row customHeight="1" ht="13.5">
      <c r="A12" s="136" t="s">
        <v>97</v>
      </c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</row>
    <row customHeight="1" ht="13.5">
      <c r="A13" s="136"/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</row>
    <row customHeight="1" ht="13.5">
      <c r="A14" s="136"/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</row>
    <row customHeight="1" ht="13.5">
      <c r="A15" s="136"/>
      <c r="B15" s="136"/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</row>
    <row customHeight="1" ht="13.5">
      <c r="A16" s="136"/>
      <c r="B16" s="136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</row>
    <row customHeight="1" ht="13.5">
      <c r="A17" s="136"/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</row>
    <row customHeight="1" ht="13.5">
      <c r="A18" s="136"/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</row>
    <row customHeight="1" ht="13.5">
      <c r="A19" s="136"/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</row>
    <row customHeight="1" ht="13.5">
      <c r="A20" s="136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</row>
    <row customHeight="1" ht="13.5">
      <c r="A21" s="136" t="s">
        <v>105</v>
      </c>
      <c r="B21" s="136"/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</row>
    <row customHeight="1" ht="13.5">
      <c r="A22" s="136">
        <v>129635</v>
      </c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</row>
    <row customHeight="1" ht="13.5">
      <c r="A23" s="136">
        <v>69784</v>
      </c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</row>
    <row customHeight="1" ht="13.5">
      <c r="A24" s="136">
        <v>24870</v>
      </c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</row>
    <row customHeight="1" ht="13.5">
      <c r="A25" s="136">
        <v>16092</v>
      </c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</row>
    <row customHeight="1" ht="13.5">
      <c r="A26" s="136">
        <v>3972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</row>
    <row customHeight="1" ht="13.5">
      <c r="A27" s="136">
        <v>3024</v>
      </c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</row>
    <row customHeight="1" ht="13.5">
      <c r="A28" s="136">
        <v>10911</v>
      </c>
      <c r="B28" s="136"/>
      <c r="C28" s="136"/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</row>
    <row customHeight="1" ht="13.5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</row>
    <row customHeight="1" ht="13.5">
      <c r="A30" s="136" t="s">
        <v>113</v>
      </c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</row>
    <row customHeight="1" ht="13.5">
      <c r="A31" s="136">
        <v>172170</v>
      </c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36"/>
      <c r="N31" s="136"/>
      <c r="O31" s="136"/>
      <c r="P31" s="136"/>
    </row>
    <row customHeight="1" ht="13.5">
      <c r="A32" s="136">
        <v>1314</v>
      </c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</row>
    <row customHeight="1" ht="13.5">
      <c r="A33" s="136">
        <v>142188</v>
      </c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6"/>
      <c r="N33" s="136"/>
      <c r="O33" s="136"/>
      <c r="P33" s="136"/>
    </row>
    <row customHeight="1" ht="13.5">
      <c r="A34" s="136">
        <v>22862</v>
      </c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</row>
    <row customHeight="1" ht="13.5">
      <c r="A35" s="136">
        <v>0</v>
      </c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</row>
    <row customHeight="1" ht="13.5">
      <c r="A36" s="136">
        <v>7258</v>
      </c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</row>
    <row customHeight="1" ht="13.5">
      <c r="A37" s="136">
        <v>255</v>
      </c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</row>
    <row customHeight="1" ht="13.5">
      <c r="A38" s="136" t="s">
        <v>121</v>
      </c>
      <c r="B38" s="136"/>
      <c r="C38" s="136"/>
      <c r="D38" s="136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36"/>
      <c r="P38" s="136"/>
    </row>
    <row customHeight="1" ht="13.5">
      <c r="A39" s="136">
        <v>70525</v>
      </c>
      <c r="B39" s="136"/>
      <c r="C39" s="136"/>
      <c r="D39" s="136"/>
      <c r="E39" s="136"/>
      <c r="F39" s="136"/>
      <c r="G39" s="136"/>
      <c r="H39" s="136"/>
      <c r="I39" s="136"/>
      <c r="J39" s="136"/>
      <c r="K39" s="136"/>
      <c r="L39" s="136"/>
      <c r="M39" s="136"/>
      <c r="N39" s="136"/>
      <c r="O39" s="136"/>
      <c r="P39" s="136"/>
    </row>
    <row customHeight="1" ht="13.5">
      <c r="A40" s="136">
        <v>0</v>
      </c>
      <c r="B40" s="136"/>
      <c r="C40" s="136"/>
      <c r="D40" s="136"/>
      <c r="E40" s="136"/>
      <c r="F40" s="136"/>
      <c r="G40" s="136"/>
      <c r="H40" s="136"/>
      <c r="I40" s="136"/>
      <c r="J40" s="136"/>
      <c r="K40" s="136"/>
      <c r="L40" s="136"/>
      <c r="M40" s="136"/>
      <c r="N40" s="136"/>
      <c r="O40" s="136"/>
      <c r="P40" s="136"/>
    </row>
    <row customHeight="1" ht="13.5">
      <c r="A41" s="136">
        <v>61999</v>
      </c>
      <c r="B41" s="136"/>
      <c r="C41" s="136"/>
      <c r="D41" s="136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</row>
    <row customHeight="1" ht="13.5">
      <c r="A42" s="136">
        <v>8072</v>
      </c>
      <c r="B42" s="136"/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</row>
    <row customHeight="1" ht="13.5">
      <c r="A43" s="136">
        <v>153</v>
      </c>
      <c r="B43" s="136"/>
      <c r="C43" s="136"/>
      <c r="D43" s="136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</row>
    <row customHeight="1" ht="13.5">
      <c r="A44" s="136" t="s">
        <v>214</v>
      </c>
      <c r="B44" s="136"/>
      <c r="C44" s="136"/>
      <c r="D44" s="136"/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</row>
    <row customHeight="1" ht="13.5">
      <c r="A45" s="136">
        <v>94368</v>
      </c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</row>
    <row customHeight="1" ht="13.5">
      <c r="A46" s="136">
        <v>51101</v>
      </c>
      <c r="B46" s="136"/>
      <c r="C46" s="136"/>
      <c r="D46" s="136"/>
      <c r="E46" s="136"/>
      <c r="F46" s="136"/>
      <c r="G46" s="136"/>
      <c r="H46" s="136"/>
      <c r="I46" s="136"/>
      <c r="J46" s="136"/>
      <c r="K46" s="136"/>
      <c r="L46" s="136"/>
      <c r="M46" s="136">
        <v>0</v>
      </c>
      <c r="N46" s="136"/>
      <c r="O46" s="136"/>
      <c r="P46" s="136"/>
    </row>
    <row customHeight="1" ht="13.5">
      <c r="A47" s="136">
        <v>4696</v>
      </c>
      <c r="B47" s="136"/>
      <c r="C47" s="136"/>
      <c r="D47" s="136"/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</row>
    <row customHeight="1" ht="13.5">
      <c r="A48" s="136">
        <v>13694</v>
      </c>
      <c r="B48" s="136"/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</row>
    <row customHeight="1" ht="13.5">
      <c r="A49" s="136">
        <v>4516</v>
      </c>
      <c r="B49" s="136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</row>
    <row customHeight="1" ht="13.5">
      <c r="A50" s="136">
        <v>14133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</row>
    <row customHeight="1" ht="13.5">
      <c r="A51" s="136">
        <v>5675</v>
      </c>
      <c r="B51" s="136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</row>
    <row customHeight="1" ht="14.25">
      <c r="A52" s="136">
        <v>0</v>
      </c>
      <c r="B52" s="136"/>
      <c r="C52" s="136"/>
      <c r="D52" s="136"/>
      <c r="E52" s="136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</row>
    <row customHeight="1" ht="13.5">
      <c r="A53" s="136" t="s">
        <v>136</v>
      </c>
      <c r="B53" s="136"/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</row>
    <row customHeight="1" ht="13.5">
      <c r="A54" s="136">
        <v>13559</v>
      </c>
      <c r="B54" s="136"/>
      <c r="C54" s="136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</row>
    <row customHeight="1" ht="13.5">
      <c r="A55" s="136">
        <v>8306</v>
      </c>
      <c r="B55" s="136"/>
      <c r="C55" s="136"/>
      <c r="D55" s="136"/>
      <c r="E55" s="136"/>
      <c r="F55" s="136"/>
      <c r="G55" s="136"/>
      <c r="H55" s="136"/>
      <c r="I55" s="136"/>
      <c r="J55" s="136"/>
      <c r="K55" s="136"/>
      <c r="L55" s="136"/>
      <c r="M55" s="136"/>
      <c r="N55" s="136"/>
      <c r="O55" s="136"/>
      <c r="P55" s="136"/>
    </row>
    <row customHeight="1" ht="13.5">
      <c r="A56" s="136">
        <v>4064</v>
      </c>
      <c r="B56" s="136"/>
      <c r="C56" s="136"/>
      <c r="D56" s="136"/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</row>
    <row customHeight="1" ht="13.5">
      <c r="A57" s="136">
        <v>1117</v>
      </c>
      <c r="B57" s="136"/>
      <c r="C57" s="136"/>
      <c r="D57" s="136"/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</row>
    <row customHeight="1" ht="13.5">
      <c r="A58" s="136" t="s">
        <v>141</v>
      </c>
      <c r="B58" s="136"/>
      <c r="C58" s="136"/>
      <c r="D58" s="136"/>
      <c r="E58" s="136"/>
      <c r="F58" s="136"/>
      <c r="G58" s="136"/>
      <c r="H58" s="136"/>
      <c r="I58" s="136"/>
      <c r="J58" s="136"/>
      <c r="K58" s="136"/>
      <c r="L58" s="136"/>
      <c r="M58" s="136"/>
      <c r="N58" s="136"/>
      <c r="O58" s="136"/>
      <c r="P58" s="136"/>
    </row>
    <row customHeight="1" ht="13.5">
      <c r="A59" s="136"/>
      <c r="B59" s="136"/>
      <c r="C59" s="136"/>
      <c r="D59" s="136"/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</row>
    <row customHeight="1" ht="13.5">
      <c r="A60" s="136"/>
      <c r="B60" s="136"/>
      <c r="C60" s="136"/>
      <c r="D60" s="136"/>
      <c r="E60" s="136"/>
      <c r="F60" s="136"/>
      <c r="G60" s="136"/>
      <c r="H60" s="136"/>
      <c r="I60" s="136"/>
      <c r="J60" s="136"/>
      <c r="K60" s="136"/>
      <c r="L60" s="136"/>
      <c r="M60" s="136"/>
      <c r="N60" s="136"/>
      <c r="O60" s="136"/>
      <c r="P60" s="136"/>
    </row>
    <row customHeight="1" ht="13.5">
      <c r="A61" s="136"/>
      <c r="B61" s="136"/>
      <c r="C61" s="136"/>
      <c r="D61" s="136"/>
      <c r="E61" s="136"/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</row>
    <row customHeight="1" ht="13.5">
      <c r="A62" s="136"/>
      <c r="B62" s="136"/>
      <c r="C62" s="136"/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</row>
    <row customHeight="1" ht="13.5">
      <c r="A63" s="136"/>
      <c r="B63" s="136"/>
      <c r="C63" s="136"/>
      <c r="D63" s="136"/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</row>
    <row customHeight="1" ht="13.5">
      <c r="A64" s="136" t="s">
        <v>147</v>
      </c>
      <c r="B64" s="136"/>
      <c r="C64" s="136"/>
      <c r="D64" s="136"/>
      <c r="E64" s="136"/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</row>
    <row customHeight="1" ht="13.5">
      <c r="A65" s="136">
        <v>29173</v>
      </c>
      <c r="B65" s="136"/>
      <c r="C65" s="136"/>
      <c r="D65" s="136"/>
      <c r="E65" s="136"/>
      <c r="F65" s="136"/>
      <c r="G65" s="136"/>
      <c r="H65" s="136"/>
      <c r="I65" s="136"/>
      <c r="J65" s="136"/>
      <c r="K65" s="136"/>
      <c r="L65" s="136"/>
      <c r="M65" s="136"/>
      <c r="N65" s="136"/>
      <c r="O65" s="136"/>
      <c r="P65" s="136"/>
    </row>
    <row customHeight="1" ht="13.5">
      <c r="A66" s="136">
        <v>62</v>
      </c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</row>
    <row customHeight="1" ht="13.5">
      <c r="A67" s="136">
        <v>28268</v>
      </c>
      <c r="B67" s="136"/>
      <c r="C67" s="136"/>
      <c r="D67" s="136"/>
      <c r="E67" s="136"/>
      <c r="F67" s="136"/>
      <c r="G67" s="136"/>
      <c r="H67" s="136"/>
      <c r="I67" s="136"/>
      <c r="J67" s="136"/>
      <c r="K67" s="136"/>
      <c r="L67" s="136"/>
      <c r="M67" s="136"/>
      <c r="N67" s="136"/>
      <c r="O67" s="136"/>
      <c r="P67" s="136"/>
    </row>
    <row customHeight="1" ht="13.5">
      <c r="A68" s="136">
        <v>575</v>
      </c>
      <c r="B68" s="136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6"/>
    </row>
    <row customHeight="1" ht="13.5">
      <c r="A69" s="136"/>
      <c r="B69" s="136"/>
      <c r="C69" s="136"/>
      <c r="D69" s="136"/>
      <c r="E69" s="136"/>
      <c r="F69" s="136"/>
      <c r="G69" s="136"/>
      <c r="H69" s="136"/>
      <c r="I69" s="136"/>
      <c r="J69" s="136"/>
      <c r="K69" s="136"/>
      <c r="L69" s="136"/>
      <c r="M69" s="136"/>
      <c r="N69" s="136"/>
      <c r="O69" s="136"/>
      <c r="P69" s="136"/>
    </row>
    <row customHeight="1" ht="13.5">
      <c r="A70" s="136">
        <v>123</v>
      </c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6"/>
    </row>
    <row customHeight="1" ht="13.5">
      <c r="A71" s="136" t="s">
        <v>154</v>
      </c>
      <c r="B71" s="136"/>
      <c r="C71" s="136"/>
      <c r="D71" s="136"/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</row>
    <row customHeight="1" ht="13.5">
      <c r="A72" s="136" t="s">
        <v>80</v>
      </c>
      <c r="B72" s="136"/>
      <c r="C72" s="136"/>
      <c r="D72" s="136"/>
      <c r="E72" s="136"/>
      <c r="F72" s="136"/>
      <c r="G72" s="136"/>
      <c r="H72" s="136"/>
      <c r="I72" s="136"/>
      <c r="J72" s="136"/>
      <c r="K72" s="136"/>
      <c r="L72" s="136"/>
      <c r="M72" s="136"/>
      <c r="N72" s="136"/>
      <c r="O72" s="136"/>
      <c r="P72" s="136"/>
    </row>
    <row customHeight="1" ht="13.5">
      <c r="A73" s="136">
        <v>3593252</v>
      </c>
      <c r="B73" s="136"/>
      <c r="C73" s="136"/>
      <c r="D73" s="136"/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</row>
    <row customHeight="1" ht="13.5">
      <c r="A74" s="136">
        <v>445321</v>
      </c>
      <c r="B74" s="136"/>
      <c r="C74" s="136"/>
      <c r="D74" s="136"/>
      <c r="E74" s="136"/>
      <c r="F74" s="136"/>
      <c r="G74" s="136"/>
      <c r="H74" s="136"/>
      <c r="I74" s="136"/>
      <c r="J74" s="136"/>
      <c r="K74" s="136"/>
      <c r="L74" s="136"/>
      <c r="M74" s="136"/>
      <c r="N74" s="136"/>
      <c r="O74" s="136"/>
      <c r="P74" s="136"/>
    </row>
    <row customHeight="1" ht="13.5">
      <c r="A75" s="136">
        <v>252075</v>
      </c>
      <c r="B75" s="136"/>
      <c r="C75" s="136"/>
      <c r="D75" s="136"/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</row>
    <row customHeight="1" ht="13.5">
      <c r="A76" s="136">
        <v>0</v>
      </c>
      <c r="B76" s="136"/>
      <c r="C76" s="136"/>
      <c r="D76" s="136"/>
      <c r="E76" s="136"/>
      <c r="F76" s="136"/>
      <c r="G76" s="136"/>
      <c r="H76" s="136"/>
      <c r="I76" s="136"/>
      <c r="J76" s="136"/>
      <c r="K76" s="136"/>
      <c r="L76" s="136"/>
      <c r="M76" s="136"/>
      <c r="N76" s="136"/>
      <c r="O76" s="136"/>
      <c r="P76" s="136"/>
    </row>
    <row customHeight="1" ht="13.5">
      <c r="A77" s="136">
        <v>0</v>
      </c>
      <c r="B77" s="136"/>
      <c r="C77" s="136"/>
      <c r="D77" s="136"/>
      <c r="E77" s="136"/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</row>
    <row customHeight="1" ht="13.5">
      <c r="A78" s="136">
        <v>997176</v>
      </c>
      <c r="B78" s="136"/>
      <c r="C78" s="136"/>
      <c r="D78" s="136"/>
      <c r="E78" s="136"/>
      <c r="F78" s="136"/>
      <c r="G78" s="136"/>
      <c r="H78" s="136"/>
      <c r="I78" s="136"/>
      <c r="J78" s="136"/>
      <c r="K78" s="136"/>
      <c r="L78" s="136"/>
      <c r="M78" s="136"/>
      <c r="N78" s="136"/>
      <c r="O78" s="136"/>
      <c r="P78" s="136"/>
    </row>
    <row customHeight="1" ht="13.5">
      <c r="A79" s="136">
        <v>42191</v>
      </c>
      <c r="B79" s="136"/>
      <c r="C79" s="136"/>
      <c r="D79" s="136"/>
      <c r="E79" s="136"/>
      <c r="F79" s="136"/>
      <c r="G79" s="136"/>
      <c r="H79" s="136"/>
      <c r="I79" s="136"/>
      <c r="J79" s="136"/>
      <c r="K79" s="136"/>
      <c r="L79" s="136"/>
      <c r="M79" s="136"/>
      <c r="N79" s="136"/>
      <c r="O79" s="136"/>
      <c r="P79" s="136"/>
    </row>
    <row customHeight="1" ht="13.5">
      <c r="A80" s="136">
        <v>1825074</v>
      </c>
      <c r="B80" s="136"/>
      <c r="C80" s="136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</row>
    <row customHeight="1" ht="13.5">
      <c r="A81" s="136">
        <v>6487</v>
      </c>
      <c r="B81" s="136"/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</row>
    <row customHeight="1" ht="13.5">
      <c r="A82" s="136" t="s">
        <v>97</v>
      </c>
      <c r="B82" s="136"/>
      <c r="C82" s="136"/>
      <c r="D82" s="136"/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</row>
    <row customHeight="1" ht="13.5">
      <c r="A83" s="136">
        <v>249205</v>
      </c>
      <c r="B83" s="136"/>
      <c r="C83" s="136"/>
      <c r="D83" s="136"/>
      <c r="E83" s="136"/>
      <c r="F83" s="136"/>
      <c r="G83" s="136"/>
      <c r="H83" s="136"/>
      <c r="I83" s="136"/>
      <c r="J83" s="136"/>
      <c r="K83" s="136"/>
      <c r="L83" s="136"/>
      <c r="M83" s="136"/>
      <c r="N83" s="136"/>
      <c r="O83" s="136"/>
      <c r="P83" s="136"/>
    </row>
    <row customHeight="1" ht="13.5">
      <c r="A84" s="136">
        <v>116064</v>
      </c>
      <c r="B84" s="136"/>
      <c r="C84" s="136"/>
      <c r="D84" s="136"/>
      <c r="E84" s="136"/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36"/>
    </row>
    <row customHeight="1" ht="13.5">
      <c r="A85" s="136">
        <v>55392</v>
      </c>
      <c r="B85" s="136"/>
      <c r="C85" s="136"/>
      <c r="D85" s="136"/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</row>
    <row customHeight="1" ht="13.5">
      <c r="A86" s="136">
        <v>34449</v>
      </c>
      <c r="B86" s="136"/>
      <c r="C86" s="136"/>
      <c r="D86" s="136"/>
      <c r="E86" s="136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</row>
    <row customHeight="1" ht="13.5">
      <c r="A87" s="136">
        <v>6399</v>
      </c>
      <c r="B87" s="136"/>
      <c r="C87" s="136"/>
      <c r="D87" s="136"/>
      <c r="E87" s="136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</row>
    <row customHeight="1" ht="13.5">
      <c r="A88" s="136">
        <v>7620</v>
      </c>
      <c r="B88" s="136"/>
      <c r="C88" s="136"/>
      <c r="D88" s="136"/>
      <c r="E88" s="136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</row>
    <row customHeight="1" ht="13.5">
      <c r="A89" s="136">
        <v>28156</v>
      </c>
      <c r="B89" s="136"/>
      <c r="C89" s="136"/>
      <c r="D89" s="136"/>
      <c r="E89" s="136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</row>
    <row customHeight="1" ht="13.5">
      <c r="A90" s="136" t="s">
        <v>172</v>
      </c>
      <c r="B90" s="136"/>
      <c r="C90" s="136"/>
      <c r="D90" s="136"/>
      <c r="E90" s="136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</row>
    <row customHeight="1" ht="13.5">
      <c r="A91" s="136">
        <v>1342311</v>
      </c>
      <c r="B91" s="136"/>
      <c r="C91" s="136"/>
      <c r="D91" s="136"/>
      <c r="E91" s="136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</row>
    <row customHeight="1" ht="13.5">
      <c r="A92" s="136">
        <v>655506</v>
      </c>
      <c r="B92" s="136"/>
      <c r="C92" s="136"/>
      <c r="D92" s="136"/>
      <c r="E92" s="136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</row>
    <row customHeight="1" ht="13.5">
      <c r="A93" s="136">
        <v>309255</v>
      </c>
      <c r="B93" s="136"/>
      <c r="C93" s="136"/>
      <c r="D93" s="136"/>
      <c r="E93" s="136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</row>
    <row customHeight="1" ht="13.5">
      <c r="A94" s="136">
        <v>176235</v>
      </c>
      <c r="B94" s="136"/>
      <c r="C94" s="136"/>
      <c r="D94" s="136"/>
      <c r="E94" s="136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</row>
    <row customHeight="1" ht="13.5">
      <c r="A95" s="136">
        <v>44978</v>
      </c>
      <c r="B95" s="136"/>
      <c r="C95" s="136"/>
      <c r="D95" s="136"/>
      <c r="E95" s="136"/>
      <c r="F95" s="136"/>
      <c r="G95" s="136"/>
      <c r="H95" s="136"/>
      <c r="I95" s="136"/>
      <c r="J95" s="136"/>
      <c r="K95" s="136"/>
      <c r="L95" s="136"/>
      <c r="M95" s="136"/>
      <c r="N95" s="136"/>
      <c r="O95" s="136"/>
      <c r="P95" s="136"/>
    </row>
    <row customHeight="1" ht="13.5">
      <c r="A96" s="136">
        <v>31306</v>
      </c>
      <c r="B96" s="136"/>
      <c r="C96" s="136"/>
      <c r="D96" s="136"/>
      <c r="E96" s="136"/>
      <c r="F96" s="136"/>
      <c r="G96" s="136"/>
      <c r="H96" s="136"/>
      <c r="I96" s="136"/>
      <c r="J96" s="136"/>
      <c r="K96" s="136"/>
      <c r="L96" s="136"/>
      <c r="M96" s="136"/>
      <c r="N96" s="136"/>
      <c r="O96" s="136"/>
      <c r="P96" s="136"/>
    </row>
    <row customHeight="1" ht="13.5">
      <c r="A97" s="136">
        <v>118865</v>
      </c>
      <c r="B97" s="136"/>
      <c r="C97" s="136"/>
      <c r="D97" s="136"/>
      <c r="E97" s="136"/>
      <c r="F97" s="136"/>
      <c r="G97" s="136"/>
      <c r="H97" s="136"/>
      <c r="I97" s="136"/>
      <c r="J97" s="136"/>
      <c r="K97" s="136"/>
      <c r="L97" s="136"/>
      <c r="M97" s="136"/>
      <c r="N97" s="136"/>
      <c r="O97" s="136"/>
      <c r="P97" s="136"/>
    </row>
    <row customHeight="1" ht="13.5">
      <c r="A98" s="136" t="s">
        <v>113</v>
      </c>
      <c r="B98" s="136"/>
      <c r="C98" s="136"/>
      <c r="D98" s="136"/>
      <c r="E98" s="136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</row>
    <row customHeight="1" ht="13.5">
      <c r="A99" s="136">
        <v>1727647</v>
      </c>
      <c r="B99" s="136"/>
      <c r="C99" s="136"/>
      <c r="D99" s="136"/>
      <c r="E99" s="136"/>
      <c r="F99" s="136"/>
      <c r="G99" s="136"/>
      <c r="H99" s="136"/>
      <c r="I99" s="136"/>
      <c r="J99" s="136"/>
      <c r="K99" s="136"/>
      <c r="L99" s="136"/>
      <c r="M99" s="136"/>
      <c r="N99" s="136"/>
      <c r="O99" s="136"/>
      <c r="P99" s="136"/>
    </row>
    <row customHeight="1" ht="13.5">
      <c r="A100" s="136">
        <v>9319</v>
      </c>
      <c r="B100" s="136"/>
      <c r="C100" s="136"/>
      <c r="D100" s="136"/>
      <c r="E100" s="136"/>
      <c r="F100" s="136"/>
      <c r="G100" s="136"/>
      <c r="H100" s="136"/>
      <c r="I100" s="136"/>
      <c r="J100" s="136"/>
      <c r="K100" s="136"/>
      <c r="L100" s="136"/>
      <c r="M100" s="136"/>
      <c r="N100" s="136"/>
      <c r="O100" s="136"/>
      <c r="P100" s="136"/>
    </row>
    <row customHeight="1" ht="13.5">
      <c r="A101" s="136">
        <v>1532193</v>
      </c>
      <c r="B101" s="136"/>
      <c r="C101" s="136"/>
      <c r="D101" s="136"/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</row>
    <row customHeight="1" ht="13.5">
      <c r="A102" s="136">
        <v>130218</v>
      </c>
      <c r="B102" s="136"/>
      <c r="C102" s="136"/>
      <c r="D102" s="136"/>
      <c r="E102" s="136"/>
      <c r="F102" s="136"/>
      <c r="G102" s="136"/>
      <c r="H102" s="136"/>
      <c r="I102" s="136"/>
      <c r="J102" s="136"/>
      <c r="K102" s="136"/>
      <c r="L102" s="136"/>
      <c r="M102" s="136"/>
      <c r="N102" s="136"/>
      <c r="O102" s="136"/>
      <c r="P102" s="136"/>
    </row>
    <row customHeight="1" ht="13.5">
      <c r="A103" s="136">
        <v>0</v>
      </c>
      <c r="B103" s="136"/>
      <c r="C103" s="136"/>
      <c r="D103" s="136"/>
      <c r="E103" s="136"/>
      <c r="F103" s="136"/>
      <c r="G103" s="136"/>
      <c r="H103" s="136"/>
      <c r="I103" s="136"/>
      <c r="J103" s="136"/>
      <c r="K103" s="136"/>
      <c r="L103" s="136"/>
      <c r="M103" s="136"/>
      <c r="N103" s="136"/>
      <c r="O103" s="136"/>
      <c r="P103" s="136"/>
    </row>
    <row customHeight="1" ht="13.5">
      <c r="A104" s="136">
        <v>61060</v>
      </c>
      <c r="B104" s="136"/>
      <c r="C104" s="136"/>
      <c r="D104" s="136"/>
      <c r="E104" s="136"/>
      <c r="F104" s="136"/>
      <c r="G104" s="136"/>
      <c r="H104" s="136"/>
      <c r="I104" s="136"/>
      <c r="J104" s="136"/>
      <c r="K104" s="136"/>
      <c r="L104" s="136"/>
      <c r="M104" s="136"/>
      <c r="N104" s="136"/>
      <c r="O104" s="136"/>
      <c r="P104" s="136"/>
    </row>
    <row customHeight="1" ht="13.5">
      <c r="A105" s="136">
        <v>6216</v>
      </c>
      <c r="B105" s="136"/>
      <c r="C105" s="136"/>
      <c r="D105" s="136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</row>
    <row customHeight="1" ht="13.5">
      <c r="A106" s="136" t="s">
        <v>121</v>
      </c>
      <c r="B106" s="136"/>
      <c r="C106" s="136"/>
      <c r="D106" s="136"/>
      <c r="E106" s="136"/>
      <c r="F106" s="136"/>
      <c r="G106" s="136"/>
      <c r="H106" s="136"/>
      <c r="I106" s="136"/>
      <c r="J106" s="136"/>
      <c r="K106" s="136"/>
      <c r="L106" s="136"/>
      <c r="M106" s="136"/>
      <c r="N106" s="136"/>
      <c r="O106" s="136"/>
      <c r="P106" s="136"/>
    </row>
    <row customHeight="1" ht="13.5">
      <c r="A107" s="136">
        <v>769527</v>
      </c>
      <c r="B107" s="136"/>
      <c r="C107" s="136"/>
      <c r="D107" s="136"/>
      <c r="E107" s="136"/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</row>
    <row customHeight="1" ht="13.5">
      <c r="A108" s="136">
        <v>0</v>
      </c>
      <c r="B108" s="136"/>
      <c r="C108" s="136"/>
      <c r="D108" s="136"/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</row>
    <row customHeight="1" ht="13.5">
      <c r="A109" s="136">
        <v>694696</v>
      </c>
      <c r="B109" s="136"/>
      <c r="C109" s="136"/>
      <c r="D109" s="136"/>
      <c r="E109" s="136"/>
      <c r="F109" s="136"/>
      <c r="G109" s="136"/>
      <c r="H109" s="136"/>
      <c r="I109" s="136"/>
      <c r="J109" s="136"/>
      <c r="K109" s="136"/>
      <c r="L109" s="136"/>
      <c r="M109" s="136"/>
      <c r="N109" s="136"/>
      <c r="O109" s="136"/>
      <c r="P109" s="136"/>
    </row>
    <row customHeight="1" ht="13.5">
      <c r="A110" s="136">
        <v>68747</v>
      </c>
      <c r="B110" s="136"/>
      <c r="C110" s="136"/>
      <c r="D110" s="136"/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</row>
    <row customHeight="1" ht="13.5">
      <c r="A111" s="136">
        <v>2863</v>
      </c>
      <c r="B111" s="136"/>
      <c r="C111" s="136"/>
      <c r="D111" s="136"/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</row>
    <row customHeight="1" ht="13.5">
      <c r="A112" s="136" t="s">
        <v>127</v>
      </c>
      <c r="B112" s="136"/>
      <c r="C112" s="136"/>
      <c r="D112" s="136"/>
      <c r="E112" s="136"/>
      <c r="F112" s="136"/>
      <c r="G112" s="136"/>
      <c r="H112" s="136"/>
      <c r="I112" s="136"/>
      <c r="J112" s="136"/>
      <c r="K112" s="136"/>
      <c r="L112" s="136"/>
      <c r="M112" s="136"/>
      <c r="N112" s="136"/>
      <c r="O112" s="136"/>
      <c r="P112" s="136"/>
    </row>
    <row customHeight="1" ht="13.5">
      <c r="A113" s="136">
        <v>907947</v>
      </c>
      <c r="B113" s="136"/>
      <c r="C113" s="136"/>
      <c r="D113" s="136"/>
      <c r="E113" s="136"/>
      <c r="F113" s="136"/>
      <c r="G113" s="136"/>
      <c r="H113" s="136"/>
      <c r="I113" s="136"/>
      <c r="J113" s="136"/>
      <c r="K113" s="136"/>
      <c r="L113" s="136"/>
      <c r="M113" s="136"/>
      <c r="N113" s="136"/>
      <c r="O113" s="136"/>
      <c r="P113" s="136"/>
    </row>
    <row customHeight="1" ht="13.5">
      <c r="A114" s="136">
        <v>583732</v>
      </c>
      <c r="B114" s="136"/>
      <c r="C114" s="136"/>
      <c r="D114" s="136"/>
      <c r="E114" s="136"/>
      <c r="F114" s="136"/>
      <c r="G114" s="136"/>
      <c r="H114" s="136"/>
      <c r="I114" s="136"/>
      <c r="J114" s="136"/>
      <c r="K114" s="136"/>
      <c r="L114" s="136"/>
      <c r="M114" s="136"/>
      <c r="N114" s="136"/>
      <c r="O114" s="136"/>
      <c r="P114" s="136"/>
    </row>
    <row customHeight="1" ht="13.5">
      <c r="A115" s="136">
        <v>16470</v>
      </c>
      <c r="B115" s="136"/>
      <c r="C115" s="136"/>
      <c r="D115" s="136"/>
      <c r="E115" s="136"/>
      <c r="F115" s="136"/>
      <c r="G115" s="136"/>
      <c r="H115" s="136"/>
      <c r="I115" s="136"/>
      <c r="J115" s="136"/>
      <c r="K115" s="136"/>
      <c r="L115" s="136"/>
      <c r="M115" s="136"/>
      <c r="N115" s="136"/>
      <c r="O115" s="136"/>
      <c r="P115" s="136"/>
    </row>
    <row customHeight="1" ht="13.5">
      <c r="A116" s="136">
        <v>122360</v>
      </c>
      <c r="B116" s="136"/>
      <c r="C116" s="136"/>
      <c r="D116" s="136"/>
      <c r="E116" s="136"/>
      <c r="F116" s="136"/>
      <c r="G116" s="136"/>
      <c r="H116" s="136"/>
      <c r="I116" s="136"/>
      <c r="J116" s="136"/>
      <c r="K116" s="136"/>
      <c r="L116" s="136"/>
      <c r="M116" s="136"/>
      <c r="N116" s="136"/>
      <c r="O116" s="136"/>
      <c r="P116" s="136"/>
    </row>
    <row customHeight="1" ht="13.5">
      <c r="A117" s="136">
        <v>42646</v>
      </c>
      <c r="B117" s="136"/>
      <c r="C117" s="136"/>
      <c r="D117" s="136"/>
      <c r="E117" s="136"/>
      <c r="F117" s="136"/>
      <c r="G117" s="136"/>
      <c r="H117" s="136"/>
      <c r="I117" s="136"/>
      <c r="J117" s="136"/>
      <c r="K117" s="136"/>
      <c r="L117" s="136"/>
      <c r="M117" s="136"/>
      <c r="N117" s="136"/>
      <c r="O117" s="136"/>
      <c r="P117" s="136"/>
    </row>
    <row customHeight="1" ht="13.5">
      <c r="A118" s="136">
        <v>81193</v>
      </c>
      <c r="B118" s="136"/>
      <c r="C118" s="136"/>
      <c r="D118" s="136"/>
      <c r="E118" s="136"/>
      <c r="F118" s="136"/>
      <c r="G118" s="136"/>
      <c r="H118" s="136"/>
      <c r="I118" s="136"/>
      <c r="J118" s="136"/>
      <c r="K118" s="136"/>
      <c r="L118" s="136"/>
      <c r="M118" s="136"/>
      <c r="N118" s="136"/>
      <c r="O118" s="136"/>
      <c r="P118" s="136"/>
    </row>
    <row customHeight="1" ht="13.5">
      <c r="A119" s="136">
        <v>57453</v>
      </c>
      <c r="B119" s="136"/>
      <c r="C119" s="136"/>
      <c r="D119" s="136"/>
      <c r="E119" s="136"/>
      <c r="F119" s="136"/>
      <c r="G119" s="136"/>
      <c r="H119" s="136"/>
      <c r="I119" s="136"/>
      <c r="J119" s="136"/>
      <c r="K119" s="136"/>
      <c r="L119" s="136"/>
      <c r="M119" s="136"/>
      <c r="N119" s="136"/>
      <c r="O119" s="136"/>
      <c r="P119" s="136"/>
    </row>
    <row customHeight="1" ht="13.5">
      <c r="A120" s="136">
        <v>0</v>
      </c>
      <c r="B120" s="136"/>
      <c r="C120" s="136"/>
      <c r="D120" s="136"/>
      <c r="E120" s="136"/>
      <c r="F120" s="136"/>
      <c r="G120" s="136"/>
      <c r="H120" s="136"/>
      <c r="I120" s="136"/>
      <c r="J120" s="136"/>
      <c r="K120" s="136"/>
      <c r="L120" s="136"/>
      <c r="M120" s="136"/>
      <c r="N120" s="136"/>
      <c r="O120" s="136"/>
      <c r="P120" s="136"/>
    </row>
    <row customHeight="1" ht="13.5">
      <c r="A121" s="136" t="s">
        <v>136</v>
      </c>
      <c r="B121" s="136"/>
      <c r="C121" s="136"/>
      <c r="D121" s="136"/>
      <c r="E121" s="136"/>
      <c r="F121" s="136"/>
      <c r="G121" s="136"/>
      <c r="H121" s="136"/>
      <c r="I121" s="136"/>
      <c r="J121" s="136"/>
      <c r="K121" s="136"/>
      <c r="L121" s="136"/>
      <c r="M121" s="136"/>
      <c r="N121" s="136"/>
      <c r="O121" s="136"/>
      <c r="P121" s="136"/>
    </row>
    <row customHeight="1" ht="13.5">
      <c r="A122" s="136">
        <v>118745</v>
      </c>
      <c r="B122" s="136"/>
      <c r="C122" s="136"/>
      <c r="D122" s="136"/>
      <c r="E122" s="136"/>
      <c r="F122" s="136"/>
      <c r="G122" s="136"/>
      <c r="H122" s="136"/>
      <c r="I122" s="136"/>
      <c r="J122" s="136"/>
      <c r="K122" s="136"/>
      <c r="L122" s="136"/>
      <c r="M122" s="136"/>
      <c r="N122" s="136"/>
      <c r="O122" s="136"/>
      <c r="P122" s="136"/>
    </row>
    <row customHeight="1" ht="13.5">
      <c r="A123" s="136">
        <v>72292</v>
      </c>
      <c r="B123" s="136"/>
      <c r="C123" s="136"/>
      <c r="D123" s="136"/>
      <c r="E123" s="136"/>
      <c r="F123" s="136"/>
      <c r="G123" s="136"/>
      <c r="H123" s="136"/>
      <c r="I123" s="136"/>
      <c r="J123" s="136"/>
      <c r="K123" s="136"/>
      <c r="L123" s="136"/>
      <c r="M123" s="136"/>
      <c r="N123" s="136"/>
      <c r="O123" s="136"/>
      <c r="P123" s="136"/>
    </row>
    <row customHeight="1" ht="13.5">
      <c r="A124" s="136">
        <v>37464</v>
      </c>
      <c r="B124" s="136"/>
      <c r="C124" s="136"/>
      <c r="D124" s="136"/>
      <c r="E124" s="136"/>
      <c r="F124" s="136"/>
      <c r="G124" s="136"/>
      <c r="H124" s="136"/>
      <c r="I124" s="136"/>
      <c r="J124" s="136"/>
      <c r="K124" s="136"/>
      <c r="L124" s="136"/>
      <c r="M124" s="136"/>
      <c r="N124" s="136"/>
      <c r="O124" s="136"/>
      <c r="P124" s="136"/>
    </row>
    <row customHeight="1" ht="13.5">
      <c r="A125" s="136">
        <v>8505</v>
      </c>
      <c r="B125" s="136"/>
      <c r="C125" s="136"/>
      <c r="D125" s="136"/>
      <c r="E125" s="136"/>
      <c r="F125" s="136"/>
      <c r="G125" s="136"/>
      <c r="H125" s="136"/>
      <c r="I125" s="136"/>
      <c r="J125" s="136"/>
      <c r="K125" s="136"/>
      <c r="L125" s="136"/>
      <c r="M125" s="136"/>
      <c r="N125" s="136"/>
      <c r="O125" s="136"/>
      <c r="P125" s="136"/>
    </row>
    <row customHeight="1" ht="13.5">
      <c r="A126" s="136" t="s">
        <v>141</v>
      </c>
      <c r="B126" s="136"/>
      <c r="C126" s="136"/>
      <c r="D126" s="136"/>
      <c r="E126" s="136"/>
      <c r="F126" s="136"/>
      <c r="G126" s="136"/>
      <c r="H126" s="136"/>
      <c r="I126" s="136"/>
      <c r="J126" s="136"/>
      <c r="K126" s="136"/>
      <c r="L126" s="136"/>
      <c r="M126" s="136"/>
      <c r="N126" s="136"/>
      <c r="O126" s="136"/>
      <c r="P126" s="136"/>
    </row>
    <row customHeight="1" ht="13.5">
      <c r="A127" s="136">
        <v>0</v>
      </c>
      <c r="B127" s="136"/>
      <c r="C127" s="136"/>
      <c r="D127" s="136"/>
      <c r="E127" s="136"/>
      <c r="F127" s="136"/>
      <c r="G127" s="136"/>
      <c r="H127" s="136"/>
      <c r="I127" s="136"/>
      <c r="J127" s="136"/>
      <c r="K127" s="136"/>
      <c r="L127" s="136"/>
      <c r="M127" s="136"/>
      <c r="N127" s="136"/>
      <c r="O127" s="136"/>
      <c r="P127" s="136"/>
    </row>
    <row customHeight="1" ht="13.5">
      <c r="A128" s="136">
        <v>0</v>
      </c>
      <c r="B128" s="136"/>
      <c r="C128" s="136"/>
      <c r="D128" s="136"/>
      <c r="E128" s="136"/>
      <c r="F128" s="136"/>
      <c r="G128" s="136"/>
      <c r="H128" s="136"/>
      <c r="I128" s="136"/>
      <c r="J128" s="136"/>
      <c r="K128" s="136"/>
      <c r="L128" s="136"/>
      <c r="M128" s="136"/>
      <c r="N128" s="136"/>
      <c r="O128" s="136"/>
      <c r="P128" s="136"/>
    </row>
    <row customHeight="1" ht="13.5">
      <c r="A129" s="136">
        <v>0</v>
      </c>
      <c r="B129" s="136"/>
      <c r="C129" s="136"/>
      <c r="D129" s="136"/>
      <c r="E129" s="136"/>
      <c r="F129" s="136"/>
      <c r="G129" s="136"/>
      <c r="H129" s="136"/>
      <c r="I129" s="136"/>
      <c r="J129" s="136"/>
      <c r="K129" s="136"/>
      <c r="L129" s="136"/>
      <c r="M129" s="136"/>
      <c r="N129" s="136"/>
      <c r="O129" s="136"/>
      <c r="P129" s="136"/>
    </row>
    <row customHeight="1" ht="13.5">
      <c r="A130" s="136">
        <v>0</v>
      </c>
      <c r="B130" s="136"/>
      <c r="C130" s="136"/>
      <c r="D130" s="136"/>
      <c r="E130" s="136"/>
      <c r="F130" s="136"/>
      <c r="G130" s="136"/>
      <c r="H130" s="136"/>
      <c r="I130" s="136"/>
      <c r="J130" s="136"/>
      <c r="K130" s="136"/>
      <c r="L130" s="136"/>
      <c r="M130" s="136"/>
      <c r="N130" s="136"/>
      <c r="O130" s="136"/>
      <c r="P130" s="136"/>
    </row>
    <row customHeight="1" ht="13.5">
      <c r="A131" s="136">
        <v>0</v>
      </c>
      <c r="B131" s="136"/>
      <c r="C131" s="136"/>
      <c r="D131" s="136"/>
      <c r="E131" s="136"/>
      <c r="F131" s="136"/>
      <c r="G131" s="136"/>
      <c r="H131" s="136"/>
      <c r="I131" s="136"/>
      <c r="J131" s="136"/>
      <c r="K131" s="136"/>
      <c r="L131" s="136"/>
      <c r="M131" s="136"/>
      <c r="N131" s="136"/>
      <c r="O131" s="136"/>
      <c r="P131" s="136"/>
    </row>
    <row customHeight="1" ht="13.5">
      <c r="A132" s="136" t="s">
        <v>147</v>
      </c>
      <c r="B132" s="136"/>
      <c r="C132" s="136"/>
      <c r="D132" s="136"/>
      <c r="E132" s="136"/>
      <c r="F132" s="136"/>
      <c r="G132" s="136"/>
      <c r="H132" s="136"/>
      <c r="I132" s="136"/>
      <c r="J132" s="136"/>
      <c r="K132" s="136"/>
      <c r="L132" s="136"/>
      <c r="M132" s="136"/>
      <c r="N132" s="136"/>
      <c r="O132" s="136"/>
      <c r="P132" s="136"/>
    </row>
    <row customHeight="1" ht="13.5">
      <c r="A133" s="136">
        <v>252075</v>
      </c>
      <c r="B133" s="136"/>
      <c r="C133" s="136"/>
      <c r="D133" s="136"/>
      <c r="E133" s="136"/>
      <c r="F133" s="136"/>
      <c r="G133" s="136"/>
      <c r="H133" s="136"/>
      <c r="I133" s="136"/>
      <c r="J133" s="136"/>
      <c r="K133" s="136"/>
      <c r="L133" s="136"/>
      <c r="M133" s="136"/>
      <c r="N133" s="136"/>
      <c r="O133" s="136"/>
      <c r="P133" s="136"/>
    </row>
    <row customHeight="1" ht="13.5">
      <c r="A134" s="136">
        <v>568</v>
      </c>
      <c r="B134" s="136"/>
      <c r="C134" s="136"/>
      <c r="D134" s="136"/>
      <c r="E134" s="136"/>
      <c r="F134" s="136"/>
      <c r="G134" s="136"/>
      <c r="H134" s="136"/>
      <c r="I134" s="136"/>
      <c r="J134" s="136"/>
      <c r="K134" s="136"/>
      <c r="L134" s="136"/>
      <c r="M134" s="136"/>
      <c r="N134" s="136"/>
      <c r="O134" s="136"/>
      <c r="P134" s="136"/>
    </row>
    <row customHeight="1" ht="13.5">
      <c r="A135" s="136">
        <v>244455</v>
      </c>
      <c r="B135" s="136"/>
      <c r="C135" s="136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</row>
    <row customHeight="1" ht="13.5">
      <c r="A136" s="136">
        <v>3807</v>
      </c>
      <c r="B136" s="136"/>
      <c r="C136" s="136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</row>
    <row customHeight="1" ht="13.5">
      <c r="A137" s="136">
        <v>2132</v>
      </c>
      <c r="B137" s="136"/>
      <c r="C137" s="136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</row>
    <row customHeight="1" ht="13.7025">
      <c r="A138" s="136"/>
      <c r="B138" s="136"/>
      <c r="C138" s="136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</row>
    <row customHeight="1" ht="13.5">
      <c r="A139" s="136" t="s">
        <v>172</v>
      </c>
      <c r="B139" s="136"/>
      <c r="C139" s="136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</row>
    <row customHeight="1" ht="13.5">
      <c r="A140" s="136">
        <v>6166</v>
      </c>
      <c r="B140" s="136"/>
      <c r="C140" s="136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</row>
    <row customHeight="1" ht="13.7025">
      <c r="A141" s="136"/>
      <c r="B141" s="136"/>
      <c r="C141" s="136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</row>
    <row customHeight="1" ht="13.5">
      <c r="A142" s="136" t="s">
        <v>80</v>
      </c>
      <c r="B142" s="136"/>
      <c r="C142" s="136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</row>
    <row customHeight="1" ht="13.5">
      <c r="A143" s="136">
        <v>24928</v>
      </c>
      <c r="B143" s="136"/>
      <c r="C143" s="136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</row>
    <row customHeight="1" ht="13.7025">
      <c r="A144" s="136"/>
      <c r="B144" s="136"/>
      <c r="C144" s="136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</row>
    <row customHeight="1" ht="13.5">
      <c r="A145" s="136" t="s">
        <v>97</v>
      </c>
      <c r="B145" s="136"/>
      <c r="C145" s="136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</row>
    <row customHeight="1" ht="13.5">
      <c r="A146" s="136">
        <v>1125</v>
      </c>
      <c r="B146" s="136"/>
      <c r="C146" s="136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</row>
    <row customHeight="1" ht="13.7025">
      <c r="A147" s="136"/>
      <c r="B147" s="136"/>
      <c r="C147" s="136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</row>
    <row customHeight="1" ht="13.5">
      <c r="A148" s="136" t="s">
        <v>215</v>
      </c>
      <c r="B148" s="136"/>
      <c r="C148" s="136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</row>
    <row customHeight="1" ht="13.5">
      <c r="A149" s="136">
        <v>7279</v>
      </c>
      <c r="B149" s="136"/>
      <c r="C149" s="136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</row>
    <row customHeight="1" ht="13.7025">
      <c r="A150" s="136"/>
      <c r="B150" s="136"/>
      <c r="C150" s="136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</row>
    <row customHeight="1" ht="13.5">
      <c r="A151" s="136" t="s">
        <v>65</v>
      </c>
      <c r="B151" s="136"/>
      <c r="C151" s="136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</row>
    <row customHeight="1" ht="13.5">
      <c r="A152" s="136">
        <v>3221</v>
      </c>
      <c r="B152" s="136"/>
      <c r="C152" s="136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</row>
    <row customHeight="1" ht="13.7025">
      <c r="A153" s="136"/>
      <c r="B153" s="136"/>
      <c r="C153" s="136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</row>
    <row customHeight="1" ht="13.5">
      <c r="A154" s="136" t="s">
        <v>216</v>
      </c>
      <c r="B154" s="136"/>
      <c r="C154" s="136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</row>
    <row customHeight="1" ht="13.5">
      <c r="A155" s="136">
        <v>4093</v>
      </c>
      <c r="B155" s="136"/>
      <c r="C155" s="136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</row>
    <row customHeight="1" ht="13.7025">
      <c r="A156" s="136"/>
      <c r="B156" s="136"/>
      <c r="C156" s="136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</row>
    <row customHeight="1" ht="13.5">
      <c r="A157" s="136" t="s">
        <v>136</v>
      </c>
      <c r="B157" s="136"/>
      <c r="C157" s="136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</row>
    <row customHeight="1" ht="13.5">
      <c r="A158" s="136">
        <v>484</v>
      </c>
      <c r="B158" s="136"/>
      <c r="C158" s="136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</row>
    <row customHeight="1" ht="13.7025">
      <c r="A159" s="136"/>
      <c r="B159" s="136"/>
      <c r="C159" s="136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</row>
    <row customHeight="1" ht="13.5">
      <c r="A160" s="136" t="s">
        <v>217</v>
      </c>
      <c r="B160" s="136"/>
      <c r="C160" s="136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</row>
    <row customHeight="1" ht="13.5">
      <c r="A161" s="136">
        <v>0</v>
      </c>
      <c r="B161" s="136"/>
      <c r="C161" s="136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</row>
    <row customHeight="1" ht="13.7025">
      <c r="A162" s="136"/>
      <c r="B162" s="136"/>
      <c r="C162" s="136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</row>
    <row customHeight="1" ht="13.5">
      <c r="A163" s="136" t="s">
        <v>147</v>
      </c>
      <c r="B163" s="136"/>
      <c r="C163" s="136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</row>
    <row customHeight="1" ht="13.5">
      <c r="A164" s="136">
        <v>2249</v>
      </c>
      <c r="B164" s="136"/>
      <c r="C164" s="136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</row>
    <row customHeight="1" ht="13.7025">
      <c r="A165" s="136"/>
      <c r="B165" s="136"/>
      <c r="C165" s="136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</row>
    <row customHeight="1" ht="13.5">
      <c r="A166" s="136" t="s">
        <v>218</v>
      </c>
      <c r="B166" s="136"/>
      <c r="C166" s="136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</row>
    <row customHeight="1" ht="13.5">
      <c r="A167" s="136">
        <v>0</v>
      </c>
      <c r="B167" s="136"/>
      <c r="C167" s="136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</row>
    <row customHeight="1" ht="13.7025">
      <c r="A168" s="136"/>
      <c r="B168" s="136"/>
      <c r="C168" s="136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</row>
    <row customHeight="1" ht="13.5">
      <c r="A169" s="136">
        <v>5675</v>
      </c>
      <c r="B169" s="136"/>
      <c r="C169" s="136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</row>
    <row customHeight="1" ht="13.5">
      <c r="A170" s="136">
        <v>5675</v>
      </c>
      <c r="B170" s="136">
        <v>0</v>
      </c>
      <c r="C170" s="136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</row>
    <row customHeight="1" ht="13.7025">
      <c r="A171" s="136"/>
      <c r="B171" s="136"/>
      <c r="C171" s="136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</row>
    <row customHeight="1" ht="13.7025">
      <c r="A172" s="136"/>
      <c r="B172" s="136"/>
      <c r="C172" s="136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</row>
    <row customHeight="1" ht="13.5">
      <c r="A173" s="250" t="s">
        <v>219</v>
      </c>
      <c r="B173" s="136"/>
      <c r="C173" s="136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</row>
    <row customHeight="1" ht="13.5">
      <c r="A174" s="51">
        <v>122294</v>
      </c>
      <c r="B174" s="136"/>
      <c r="C174" s="136"/>
      <c r="D174" s="136"/>
      <c r="E174" s="136"/>
      <c r="F174" s="136"/>
      <c r="G174" s="136"/>
      <c r="H174" s="136"/>
      <c r="I174" s="136"/>
      <c r="J174" s="136"/>
      <c r="K174" s="136"/>
      <c r="L174" s="136"/>
      <c r="M174" s="251" t="s">
        <v>58</v>
      </c>
      <c r="N174" s="136"/>
      <c r="O174" s="136"/>
      <c r="P174" s="136"/>
    </row>
    <row customHeight="1" ht="13.5">
      <c r="A175" s="51">
        <v>29947</v>
      </c>
      <c r="B175" s="136"/>
      <c r="C175" s="136"/>
      <c r="D175" s="136"/>
      <c r="E175" s="136"/>
      <c r="F175" s="136"/>
      <c r="G175" s="136"/>
      <c r="H175" s="136"/>
      <c r="I175" s="136"/>
      <c r="J175" s="136"/>
      <c r="K175" s="136"/>
      <c r="L175" s="136"/>
      <c r="M175" s="251" t="s">
        <v>59</v>
      </c>
      <c r="N175" s="136"/>
      <c r="O175" s="136"/>
      <c r="P175" s="136"/>
    </row>
    <row customHeight="1" ht="13.5">
      <c r="A176" s="51">
        <v>50168</v>
      </c>
      <c r="B176" s="136"/>
      <c r="C176" s="136"/>
      <c r="D176" s="136"/>
      <c r="E176" s="136"/>
      <c r="F176" s="136"/>
      <c r="G176" s="136"/>
      <c r="H176" s="136"/>
      <c r="I176" s="136"/>
      <c r="J176" s="136"/>
      <c r="K176" s="136"/>
      <c r="L176" s="136"/>
      <c r="M176" s="251" t="s">
        <v>60</v>
      </c>
      <c r="N176" s="136"/>
      <c r="O176" s="136"/>
      <c r="P176" s="136"/>
    </row>
    <row customHeight="1" ht="13.5">
      <c r="A177" s="51">
        <v>41240</v>
      </c>
      <c r="B177" s="136"/>
      <c r="C177" s="136"/>
      <c r="D177" s="136"/>
      <c r="E177" s="136"/>
      <c r="F177" s="136"/>
      <c r="G177" s="136"/>
      <c r="H177" s="136"/>
      <c r="I177" s="136"/>
      <c r="J177" s="136"/>
      <c r="K177" s="136"/>
      <c r="L177" s="136"/>
      <c r="M177" s="251" t="s">
        <v>62</v>
      </c>
      <c r="N177" s="136"/>
      <c r="O177" s="136"/>
      <c r="P177" s="136"/>
    </row>
    <row customHeight="1" ht="13.5">
      <c r="A178" s="51"/>
      <c r="B178" s="136"/>
      <c r="C178" s="136"/>
      <c r="D178" s="136"/>
      <c r="E178" s="136"/>
      <c r="F178" s="136"/>
      <c r="G178" s="136"/>
      <c r="H178" s="136"/>
      <c r="I178" s="136"/>
      <c r="J178" s="136"/>
      <c r="K178" s="136"/>
      <c r="L178" s="136"/>
      <c r="M178" s="252" t="s">
        <v>63</v>
      </c>
      <c r="N178" s="136"/>
      <c r="O178" s="136"/>
      <c r="P178" s="136"/>
    </row>
    <row customHeight="1" ht="13.5">
      <c r="A179" s="51"/>
      <c r="B179" s="136"/>
      <c r="C179" s="136"/>
      <c r="D179" s="136"/>
      <c r="E179" s="136"/>
      <c r="F179" s="136"/>
      <c r="G179" s="136"/>
      <c r="H179" s="136"/>
      <c r="I179" s="136"/>
      <c r="J179" s="136"/>
      <c r="K179" s="136"/>
      <c r="L179" s="136"/>
      <c r="M179" s="253" t="s">
        <v>64</v>
      </c>
      <c r="N179" s="136"/>
      <c r="O179" s="136"/>
      <c r="P179" s="136"/>
    </row>
    <row customHeight="1" ht="13.5">
      <c r="A180" s="51"/>
      <c r="B180" s="136"/>
      <c r="C180" s="136"/>
      <c r="D180" s="136"/>
      <c r="E180" s="136"/>
      <c r="F180" s="136"/>
      <c r="G180" s="136"/>
      <c r="H180" s="136"/>
      <c r="I180" s="136"/>
      <c r="J180" s="136"/>
      <c r="K180" s="136"/>
      <c r="L180" s="136"/>
      <c r="M180" s="254" t="s">
        <v>66</v>
      </c>
      <c r="N180" s="136"/>
      <c r="O180" s="136"/>
      <c r="P180" s="136"/>
    </row>
    <row customHeight="1" ht="13.5">
      <c r="A181" s="51">
        <v>235</v>
      </c>
      <c r="B181" s="136"/>
      <c r="C181" s="136"/>
      <c r="D181" s="136"/>
      <c r="E181" s="136"/>
      <c r="F181" s="136"/>
      <c r="G181" s="136"/>
      <c r="H181" s="136"/>
      <c r="I181" s="136"/>
      <c r="J181" s="136"/>
      <c r="K181" s="136"/>
      <c r="L181" s="136"/>
      <c r="M181" s="254" t="s">
        <v>41</v>
      </c>
      <c r="N181" s="136"/>
      <c r="O181" s="136"/>
      <c r="P181" s="136"/>
    </row>
    <row customHeight="1" ht="13.7025">
      <c r="A182" s="136"/>
      <c r="B182" s="136"/>
      <c r="C182" s="136"/>
      <c r="D182" s="136"/>
      <c r="E182" s="136"/>
      <c r="F182" s="136"/>
      <c r="G182" s="136"/>
      <c r="H182" s="136"/>
      <c r="I182" s="136"/>
      <c r="J182" s="136"/>
      <c r="K182" s="136"/>
      <c r="L182" s="136"/>
      <c r="M182" s="255" t="s">
        <v>30</v>
      </c>
      <c r="N182" s="136"/>
      <c r="O182" s="136"/>
      <c r="P182" s="136"/>
    </row>
    <row customHeight="1" ht="13.7025">
      <c r="A183" s="136"/>
      <c r="B183" s="136"/>
      <c r="C183" s="136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</row>
    <row customHeight="1" ht="13.5">
      <c r="A184" s="250">
        <v>960600</v>
      </c>
      <c r="B184" s="136"/>
      <c r="C184" s="136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</row>
    <row customHeight="1" ht="13.5">
      <c r="A185" s="250">
        <v>242482</v>
      </c>
      <c r="B185" s="136"/>
      <c r="C185" s="136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</row>
    <row customHeight="1" ht="13.5">
      <c r="A186" s="250">
        <v>376459</v>
      </c>
      <c r="B186" s="136"/>
      <c r="C186" s="136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</row>
    <row customHeight="1" ht="13.5">
      <c r="A187" s="250">
        <v>335572</v>
      </c>
      <c r="B187" s="136"/>
      <c r="C187" s="136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</row>
    <row customHeight="1" ht="13.5">
      <c r="A188" s="250">
        <v>0</v>
      </c>
      <c r="B188" s="136"/>
      <c r="C188" s="136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</row>
    <row customHeight="1" ht="13.5">
      <c r="A189" s="250">
        <v>0</v>
      </c>
      <c r="B189" s="136"/>
      <c r="C189" s="136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</row>
    <row customHeight="1" ht="13.5">
      <c r="A190" s="250">
        <v>0</v>
      </c>
      <c r="B190" s="136"/>
      <c r="C190" s="136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</row>
    <row customHeight="1" ht="13.5">
      <c r="A191" s="250">
        <v>1481</v>
      </c>
      <c r="B191" s="136"/>
      <c r="C191" s="136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</row>
  </sheetData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5897D88-41C6-6188-51FD-2AE020443B48}" mc:Ignorable="x14ac xr xr2 xr3">
  <dimension ref="A1:C1"/>
  <sheetViews>
    <sheetView topLeftCell="A1" workbookViewId="0">
      <selection activeCell="A1" sqref="A1:C1"/>
    </sheetView>
  </sheetViews>
  <sheetFormatPr defaultColWidth="9.00390625" customHeight="1" defaultRowHeight="13.7025"/>
  <sheetData>
    <row customHeight="1" ht="13.5">
      <c r="A1" s="136" t="s">
        <v>220</v>
      </c>
      <c r="B1" s="136" t="s">
        <v>3</v>
      </c>
      <c r="C1" s="136" t="s">
        <v>221</v>
      </c>
    </row>
  </sheetData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装置生产流程表</vt:lpstr>
      <vt:lpstr>公式</vt:lpstr>
      <vt:lpstr>取值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tong_zhigang</dc:creator>
  <cp:lastModifiedBy>dhc</cp:lastModifiedBy>
  <dcterms:created xsi:type="dcterms:W3CDTF">2015-06-05T18:19:00Z</dcterms:created>
  <dcterms:modified xsi:type="dcterms:W3CDTF">2023-10-30T02:25:08Z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FIDA_U9App_DataSourceXMLPart">
    <vt:lpwstr>{03113287-0C01-46B4-BEBB-24B7AD471C6F}</vt:lpwstr>
  </property>
  <property fmtid="{D5CDD505-2E9C-101B-9397-08002B2CF9AE}" pid="3" name="KSOProductBuildVer">
    <vt:lpwstr>2052-10.8.0.5603</vt:lpwstr>
  </property>
</Properties>
</file>