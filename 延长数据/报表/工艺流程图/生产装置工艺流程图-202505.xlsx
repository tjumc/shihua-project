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生产装置工艺流程图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C5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#Input("油田气科技公司_生产装置工艺流程图_空分装置_氧气_本月",":key{{dw}}",":read")</t>
        </r>
      </text>
    </comment>
    <comment ref="H5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#Input("油田气科技公司_生产装置工艺流程图_气体分离装置_合成气_本月",":key{{dw}}",":read")
</t>
        </r>
      </text>
    </comment>
    <comment ref="H7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#Input("油田气科技公司_生产装置工艺流程图_气体分离装置_氢气_本月",":key{{dw}}",":read")
</t>
        </r>
      </text>
    </comment>
    <comment ref="P7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#Input("油田气科技公司_生产装置工艺流程图_EG装置_氧气_本月",":key{{dw}}",":read")
</t>
        </r>
      </text>
    </comment>
    <comment ref="H8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#Input("油田气科技公司_生产装置工艺流程图_气体分离装置_一氧化碳_本月",":key{{dw}}",":read")
</t>
        </r>
      </text>
    </comment>
    <comment ref="L8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#Input("油田气科技公司_生产装置工艺流程图_PTMEG装置_BDO_本月",":key{{dw}}",":read")
</t>
        </r>
      </text>
    </comment>
    <comment ref="P8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#Input("油田气科技公司_生产装置工艺流程图_EG装置_一氧化碳_本月",":key{{dw}}",":read")
</t>
        </r>
      </text>
    </comment>
    <comment ref="C9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#Input("油田气科技公司_生产装置工艺流程图_乙炔装置_天然气_本月",":key{{dw}}",":read")</t>
        </r>
      </text>
    </comment>
    <comment ref="D9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#Input("油田气科技公司_生产装置工艺流程图_乙炔装置_天然气单耗_本月",":key{{dw}}")</t>
        </r>
      </text>
    </comment>
    <comment ref="L9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#Input("油田气科技公司_生产装置工艺流程图_PTMEG装置_甲醇_本月",":key{{dw}}",":read")
</t>
        </r>
      </text>
    </comment>
    <comment ref="P9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#Input("油田气科技公司_生产装置工艺流程图_EG装置_氢气_本月",":key{{dw}}",":read")
</t>
        </r>
      </text>
    </comment>
    <comment ref="C10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#Input("油田气科技公司_生产装置工艺流程图_乙炔装置_氧气_本月",":key{{dw}}",":read")
</t>
        </r>
      </text>
    </comment>
    <comment ref="L10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#Input("油田气科技公司_生产装置工艺流程图_PTMEG装置_醋酐本月",":key{{dw}}",":read")
</t>
        </r>
      </text>
    </comment>
    <comment ref="P10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#Input("油田气科技公司_生产装置工艺流程图_EG装置_甲醇_本月",":key{{dw}}",":read")
</t>
        </r>
      </text>
    </comment>
    <comment ref="L11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#Input("油田气科技公司_生产装置工艺流程图_PTMEG装置_氢气_本月",":key{{dw}}",":read")</t>
        </r>
      </text>
    </comment>
    <comment ref="P11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#Input("油田气科技公司_生产装置工艺流程图_EG装置_硝酸_本月",":key{{dw}}",":read")</t>
        </r>
      </text>
    </comment>
    <comment ref="C12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#Input("油田气科技公司_生产装置工艺流程图_乙炔装置_乙炔_本月",":key{{dw}}",":read")</t>
        </r>
      </text>
    </comment>
    <comment ref="H12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#Input("油田气科技公司_生产装置工艺流程图_BDO装置_乙炔_本月",":key{{dw}}",":read")
</t>
        </r>
      </text>
    </comment>
    <comment ref="C13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#Input("油田气科技公司_生产装置工艺流程图_乙炔装置_合成气本月",":key{{dw}}",":read")</t>
        </r>
      </text>
    </comment>
    <comment ref="H13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#Input("油田气科技公司_生产装置工艺流程图_BDO装置_甲醛_本月",":key{{dw}}",":read")</t>
        </r>
      </text>
    </comment>
    <comment ref="L13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#Input("油田气科技公司_生产装置工艺流程图_PTMEG装置_THF_本月",":key{{dw}}",":read")</t>
        </r>
      </text>
    </comment>
    <comment ref="P13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#Input("油田气科技公司_生产装置工艺流程图_EG装置_聚酯级乙二醇_本月",":key{{dw}}",":read")</t>
        </r>
      </text>
    </comment>
    <comment ref="H14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#Input("油田气科技公司_生产装置工艺流程图_BDO装置_氢气_本月",":key{{dw}}",":read")
</t>
        </r>
      </text>
    </comment>
    <comment ref="P14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#Input("油田气科技公司_生产装置工艺流程图_EG装置_工业级乙二醇_本月",":key{{dw}}",":read")</t>
        </r>
      </text>
    </comment>
    <comment ref="L15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#Input("油田气科技公司_生产装置工艺流程图_PTMEG装置_PTMEG1800_本月",":key{{dw}}",":read")</t>
        </r>
      </text>
    </comment>
    <comment ref="P15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#Input("油田气科技公司_生产装置工艺流程图_EG装置_轻质多元醇_本月",":key{{dw}}",":read")
</t>
        </r>
      </text>
    </comment>
    <comment ref="H16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#Input("油田气科技公司_生产装置工艺流程图_BDO装置_BYD_本月",":key{{dw}}",":read")
</t>
        </r>
      </text>
    </comment>
    <comment ref="L16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#Input("油田气科技公司_生产装置工艺流程图_PTMEG装置_PTMEG2000_本月",":key{{dw}}",":read")
</t>
        </r>
      </text>
    </comment>
    <comment ref="P16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#Input("油田气科技公司_生产装置工艺流程图_EG装置_重质多元醇_本月",":key{{dw}}",":read")
</t>
        </r>
      </text>
    </comment>
    <comment ref="H17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#Input("油田气科技公司_生产装置工艺流程图_BDO装置_BDO_本月",":key{{dw}}",":read")
</t>
        </r>
      </text>
    </comment>
    <comment ref="L17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#Input("油田气科技公司_生产装置工艺流程图_PTMEG装置_副产油_本月",":key{{dw}}",":read")
</t>
        </r>
      </text>
    </comment>
    <comment ref="P17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#Input("油田气科技公司_生产装置工艺流程图_EG装置_碳酸二甲酯_本月",":key{{dw}}",":read")</t>
        </r>
      </text>
    </comment>
    <comment ref="C18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#Input("油田气科技公司_生产装置工艺流程图_甲醛装置_甲醇_本月",":key{{dw}}",":read")</t>
        </r>
      </text>
    </comment>
    <comment ref="H18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#Input("油田气科技公司_生产装置工艺流程图_BDO装置_正丁醇_本月",":key{{dw}}",":read")</t>
        </r>
      </text>
    </comment>
    <comment ref="L18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#Input("油田气科技公司_生产装置工艺流程图_PTMEG装置_PT过渡料_本月",":key{{dw}}",":read")
</t>
        </r>
      </text>
    </comment>
    <comment ref="P18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#Input("油田气科技公司_生产装置工艺流程图_EG装置_混合醇_本月",":key{{dw}}",":read")</t>
        </r>
      </text>
    </comment>
    <comment ref="C19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#Input("油田气科技公司_生产装置工艺流程图_甲醛装置_甲醛_本月",":key{{dw}}",":read")
</t>
        </r>
      </text>
    </comment>
    <comment ref="H19" authorId="0">
      <text>
        <r>
          <rPr>
            <b/>
            <sz val="9"/>
            <color indexed="81"/>
            <rFont val="宋体"/>
            <family val="2"/>
          </rPr>
          <t>#Input("油田气科技公司_生产装置工艺流程图_BDO装置_焦油_本月",":key{{dw}}",":read")</t>
        </r>
      </text>
    </comment>
    <comment ref="L19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#Input("油田气科技公司_生产装置工艺流程图_PTMEG装置_四氢呋喃过渡料_本月",":key{{dw}}",":read")
</t>
        </r>
      </text>
    </comment>
    <comment ref="P19" authorId="0">
      <text>
        <r>
          <rPr>
            <sz val="9"/>
            <color indexed="81"/>
            <rFont val="Arial"/>
            <family val="2"/>
          </rPr>
          <t xml:space="preserve">#Input("油田气科技公司_生产装置工艺流程图_EG装置_粗乙醇_本月",":key{{dw}}",":read")
</t>
        </r>
      </text>
    </comment>
    <comment ref="C21" authorId="0">
      <text>
        <r>
          <rPr>
            <sz val="9"/>
            <color indexed="81"/>
            <rFont val="Arial"/>
            <family val="2"/>
          </rPr>
          <t xml:space="preserve">#Input("油田气科技公司_生产计划部_生产装置流程图月报_备注_审核人",":key{{dw}}")
</t>
        </r>
      </text>
    </comment>
    <comment ref="N21" authorId="0">
      <text>
        <r>
          <rPr>
            <b/>
            <sz val="9"/>
            <color indexed="81"/>
            <rFont val="宋体"/>
            <family val="2"/>
          </rPr>
          <t>#Input("油田气科技公司_生产计划部_生产装置流程图月报_备注_填报人",":key{{dw}}")</t>
        </r>
      </text>
    </comment>
  </commentList>
</comments>
</file>

<file path=xl/sharedStrings.xml><?xml version="1.0" encoding="utf-8"?>
<sst xmlns="http://schemas.openxmlformats.org/spreadsheetml/2006/main" count="60" uniqueCount="53">
  <si>
    <t>生产装置工艺流程图</t>
  </si>
  <si>
    <t>编制单位：油田气化工科技公司</t>
  </si>
  <si>
    <t>日期：</t>
  </si>
  <si>
    <t>2025-05</t>
  </si>
  <si>
    <t>单位：吨/方</t>
  </si>
  <si>
    <t/>
  </si>
  <si>
    <t>空分装置</t>
  </si>
  <si>
    <t>气体分离装置</t>
  </si>
  <si>
    <t>氧气</t>
  </si>
  <si>
    <t>合成气</t>
  </si>
  <si>
    <t>EG装置</t>
  </si>
  <si>
    <t>氢气</t>
  </si>
  <si>
    <t>PTMEG装置</t>
  </si>
  <si>
    <t xml:space="preserve">  氧气 </t>
  </si>
  <si>
    <t>乙炔装置</t>
  </si>
  <si>
    <t>一氧化碳</t>
  </si>
  <si>
    <t xml:space="preserve">  BDO</t>
  </si>
  <si>
    <t xml:space="preserve">  一氧化碳</t>
  </si>
  <si>
    <t>天然气</t>
  </si>
  <si>
    <t xml:space="preserve">  甲醇</t>
  </si>
  <si>
    <t xml:space="preserve">  氢气</t>
  </si>
  <si>
    <t xml:space="preserve">  醋酐</t>
  </si>
  <si>
    <t>BDO装置</t>
  </si>
  <si>
    <t xml:space="preserve">  硝酸</t>
  </si>
  <si>
    <t xml:space="preserve"> 乙炔</t>
  </si>
  <si>
    <t xml:space="preserve">  乙炔</t>
  </si>
  <si>
    <t xml:space="preserve"> 合成气</t>
  </si>
  <si>
    <t xml:space="preserve">  甲醛</t>
  </si>
  <si>
    <t xml:space="preserve">  THF</t>
  </si>
  <si>
    <t>聚酯级乙二醇</t>
  </si>
  <si>
    <t xml:space="preserve">  PTMEG</t>
  </si>
  <si>
    <t>工业级乙二醇</t>
  </si>
  <si>
    <t>轻质多元醇</t>
  </si>
  <si>
    <t xml:space="preserve">  BYD</t>
  </si>
  <si>
    <t>重质多元醇</t>
  </si>
  <si>
    <t>甲醛装置</t>
  </si>
  <si>
    <t>副产油</t>
  </si>
  <si>
    <t>碳酸二甲酯</t>
  </si>
  <si>
    <t>甲醇</t>
  </si>
  <si>
    <t xml:space="preserve">  正丁醇</t>
  </si>
  <si>
    <t>PT过渡料</t>
  </si>
  <si>
    <t xml:space="preserve"> 混合醇</t>
  </si>
  <si>
    <t>甲醛(37%)</t>
  </si>
  <si>
    <t xml:space="preserve">  焦油</t>
  </si>
  <si>
    <r>
      <rPr>
        <charset val="134"/>
        <color rgb="FF000000"/>
        <family val="3"/>
        <rFont val="等线"/>
        <sz val="11"/>
      </rPr>
      <t>T</t>
    </r>
    <r>
      <rPr>
        <charset val="134"/>
        <color theme="1"/>
        <family val="3"/>
        <rFont val="等线"/>
        <sz val="11"/>
      </rPr>
      <t>HF过渡料</t>
    </r>
  </si>
  <si>
    <t xml:space="preserve"> 粗乙醇</t>
  </si>
  <si>
    <t>审核人：</t>
  </si>
  <si>
    <t>李刚</t>
  </si>
  <si>
    <t>填报人：</t>
  </si>
  <si>
    <t>霍宇</t>
  </si>
  <si>
    <t>报表生成时间：</t>
  </si>
  <si>
    <t>2025-06-01</t>
  </si>
  <si>
    <t xml:space="preserve">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</si>
</sst>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;\-0"/>
    <numFmt numFmtId="172" formatCode="0.00;\-0.00"/>
    <numFmt numFmtId="173" formatCode="0.000;\-0.000"/>
    <numFmt numFmtId="174" formatCode="yyyy\-mm"/>
  </numFmts>
  <fonts count="26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mbria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0"/>
      <color auto="1"/>
      <name val="Arial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1"/>
      <color theme="1"/>
      <name val="等线"/>
    </font>
    <font>
      <sz val="11"/>
      <color rgb="FF000000"/>
      <name val="等线"/>
    </font>
    <font>
      <b/>
      <sz val="11"/>
      <color theme="1"/>
      <name val="等线"/>
    </font>
    <font>
      <sz val="11"/>
      <color auto="1"/>
      <name val="等线"/>
    </font>
    <font>
      <b/>
      <sz val="20"/>
      <color auto="1"/>
      <name val="等线"/>
    </font>
  </fonts>
  <fills count="36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2"/>
      </patternFill>
    </fill>
    <fill>
      <patternFill patternType="solid">
        <fgColor rgb="FFFFFFFF"/>
      </patternFill>
    </fill>
    <fill>
      <patternFill patternType="solid">
        <fgColor theme="0" tint="-0.25"/>
      </patternFill>
    </fill>
  </fills>
  <borders count="26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50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/>
    <xf numFmtId="0" fontId="19" fillId="0" borderId="0" applyFont="1" applyFill="0" applyBorder="0">
      <alignment vertical="top"/>
    </xf>
    <xf numFmtId="0" fontId="20" fillId="0" borderId="0" applyFont="1" applyFill="0" applyBorder="0">
      <alignment vertical="top"/>
    </xf>
  </cellStyleXfs>
  <cellXfs count="220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/>
    <xf numFmtId="0" fontId="19" fillId="0" borderId="0" xfId="48" applyFont="1">
      <alignment vertical="top"/>
    </xf>
    <xf numFmtId="0" fontId="20" fillId="0" borderId="0" xfId="49" applyFont="1">
      <alignment vertical="top"/>
    </xf>
    <xf numFmtId="0" fontId="21" fillId="0" borderId="0" xfId="0" applyFont="1"/>
    <xf numFmtId="2" fontId="22" fillId="0" borderId="0" xfId="0" applyFont="1" applyNumberFormat="1">
      <alignment horizontal="left" vertical="center"/>
    </xf>
    <xf numFmtId="0" fontId="21" fillId="0" borderId="0" xfId="0" applyFont="1">
      <alignment horizontal="right" vertical="center"/>
    </xf>
    <xf numFmtId="0" fontId="21" fillId="0" borderId="0" xfId="0" applyFont="1">
      <alignment vertical="center"/>
    </xf>
    <xf numFmtId="0" fontId="22" fillId="33" borderId="10" xfId="47" applyFont="1" applyFill="1" applyBorder="1">
      <alignment horizontal="left" vertical="center"/>
    </xf>
    <xf numFmtId="171" fontId="22" fillId="33" borderId="11" xfId="0" applyFont="1" applyFill="1" applyBorder="1" applyNumberFormat="1">
      <alignment horizontal="center" vertical="center"/>
    </xf>
    <xf numFmtId="0" fontId="21" fillId="0" borderId="10" xfId="0" applyFont="1" applyBorder="1">
      <alignment vertical="center"/>
    </xf>
    <xf numFmtId="2" fontId="21" fillId="0" borderId="11" xfId="0" applyFont="1" applyBorder="1" applyNumberFormat="1">
      <alignment horizontal="center" vertical="center"/>
    </xf>
    <xf numFmtId="0" fontId="22" fillId="34" borderId="10" xfId="47" applyFont="1" applyFill="1" applyBorder="1">
      <alignment horizontal="left" vertical="center"/>
    </xf>
    <xf numFmtId="0" fontId="22" fillId="34" borderId="12" xfId="47" applyFont="1" applyFill="1" applyBorder="1">
      <alignment horizontal="left" vertical="center"/>
    </xf>
    <xf numFmtId="0" fontId="21" fillId="33" borderId="10" xfId="0" applyFont="1" applyFill="1" applyBorder="1">
      <alignment vertical="center"/>
    </xf>
    <xf numFmtId="171" fontId="21" fillId="33" borderId="11" xfId="0" applyFont="1" applyFill="1" applyBorder="1" applyNumberFormat="1">
      <alignment horizontal="center" vertical="center"/>
    </xf>
    <xf numFmtId="2" fontId="21" fillId="0" borderId="13" xfId="0" applyFont="1" applyBorder="1" applyNumberFormat="1">
      <alignment horizontal="center" vertical="center"/>
    </xf>
    <xf numFmtId="2" fontId="21" fillId="33" borderId="11" xfId="0" applyFont="1" applyFill="1" applyBorder="1" applyNumberFormat="1">
      <alignment horizontal="center" vertical="center"/>
    </xf>
    <xf numFmtId="2" fontId="21" fillId="0" borderId="14" xfId="0" applyFont="1" applyBorder="1" applyNumberFormat="1">
      <alignment horizontal="center" vertical="center"/>
    </xf>
    <xf numFmtId="2" fontId="22" fillId="33" borderId="11" xfId="47" applyFont="1" applyFill="1" applyBorder="1" applyNumberFormat="1">
      <alignment horizontal="center" vertical="center"/>
    </xf>
    <xf numFmtId="2" fontId="22" fillId="34" borderId="15" xfId="47" applyFont="1" applyFill="1" applyBorder="1" applyNumberFormat="1">
      <alignment horizontal="center" vertical="center"/>
    </xf>
    <xf numFmtId="0" fontId="22" fillId="33" borderId="10" xfId="0" applyFont="1" applyFill="1" applyBorder="1">
      <alignment horizontal="left" vertical="center"/>
    </xf>
    <xf numFmtId="2" fontId="22" fillId="33" borderId="11" xfId="0" applyFont="1" applyFill="1" applyBorder="1" applyNumberFormat="1">
      <alignment horizontal="center" vertical="center"/>
    </xf>
    <xf numFmtId="0" fontId="22" fillId="34" borderId="10" xfId="0" applyFont="1" applyFill="1" applyBorder="1">
      <alignment horizontal="left" vertical="center"/>
    </xf>
    <xf numFmtId="2" fontId="22" fillId="34" borderId="11" xfId="0" applyFont="1" applyFill="1" applyBorder="1" applyNumberFormat="1">
      <alignment horizontal="center" vertical="center"/>
    </xf>
    <xf numFmtId="2" fontId="21" fillId="0" borderId="16" xfId="0" applyFont="1" applyBorder="1" applyNumberFormat="1">
      <alignment horizontal="center" vertical="center"/>
    </xf>
    <xf numFmtId="0" fontId="22" fillId="34" borderId="10" xfId="47" applyFont="1" applyFill="1" applyBorder="1">
      <alignment horizontal="center" vertical="center"/>
    </xf>
    <xf numFmtId="2" fontId="22" fillId="34" borderId="11" xfId="47" applyFont="1" applyFill="1" applyBorder="1" applyNumberFormat="1">
      <alignment horizontal="center" vertical="center"/>
    </xf>
    <xf numFmtId="0" fontId="22" fillId="34" borderId="17" xfId="47" applyFont="1" applyFill="1" applyBorder="1">
      <alignment horizontal="center" vertical="center"/>
    </xf>
    <xf numFmtId="2" fontId="22" fillId="34" borderId="18" xfId="47" applyFont="1" applyFill="1" applyBorder="1" applyNumberFormat="1">
      <alignment horizontal="center" vertical="center"/>
    </xf>
    <xf numFmtId="172" fontId="21" fillId="0" borderId="19" xfId="0" applyFont="1" applyBorder="1" applyNumberFormat="1">
      <alignment horizontal="center" vertical="center"/>
    </xf>
    <xf numFmtId="0" fontId="21" fillId="0" borderId="20" xfId="0" applyFont="1" applyBorder="1"/>
    <xf numFmtId="2" fontId="22" fillId="0" borderId="0" xfId="0" applyFont="1" applyNumberFormat="1">
      <alignment vertical="center"/>
    </xf>
    <xf numFmtId="0" fontId="21" fillId="0" borderId="0" xfId="0" applyFont="1">
      <alignment horizontal="right" vertical="center"/>
    </xf>
    <xf numFmtId="0" fontId="21" fillId="0" borderId="0" xfId="0" applyFont="1">
      <alignment vertical="center"/>
    </xf>
    <xf numFmtId="0" fontId="23" fillId="0" borderId="0" xfId="0" applyFont="1">
      <alignment horizontal="center" vertical="center"/>
    </xf>
    <xf numFmtId="0" fontId="21" fillId="0" borderId="17" xfId="0" applyFont="1" applyBorder="1">
      <alignment horizontal="center" vertical="center"/>
    </xf>
    <xf numFmtId="171" fontId="21" fillId="0" borderId="18" xfId="0" applyFont="1" applyBorder="1" applyNumberFormat="1">
      <alignment horizontal="center" vertical="center"/>
    </xf>
    <xf numFmtId="2" fontId="21" fillId="0" borderId="14" xfId="0" applyFont="1" applyBorder="1" applyNumberFormat="1">
      <alignment vertical="center"/>
    </xf>
    <xf numFmtId="171" fontId="22" fillId="33" borderId="11" xfId="0" applyFont="1" applyFill="1" applyBorder="1" applyNumberFormat="1">
      <alignment horizontal="center" vertical="center"/>
    </xf>
    <xf numFmtId="2" fontId="21" fillId="0" borderId="13" xfId="0" applyFont="1" applyBorder="1" applyNumberFormat="1">
      <alignment horizontal="center" vertical="center"/>
    </xf>
    <xf numFmtId="0" fontId="21" fillId="0" borderId="10" xfId="0" applyFont="1" applyBorder="1">
      <alignment vertical="center"/>
    </xf>
    <xf numFmtId="2" fontId="21" fillId="0" borderId="11" xfId="0" applyFont="1" applyBorder="1" applyNumberFormat="1">
      <alignment horizontal="center" vertical="center"/>
    </xf>
    <xf numFmtId="171" fontId="22" fillId="34" borderId="11" xfId="0" applyFont="1" applyFill="1" applyBorder="1" applyNumberFormat="1">
      <alignment horizontal="center" vertical="center"/>
    </xf>
    <xf numFmtId="0" fontId="22" fillId="33" borderId="10" xfId="0" applyFont="1" applyFill="1" applyBorder="1">
      <alignment horizontal="left" vertical="center"/>
    </xf>
    <xf numFmtId="0" fontId="21" fillId="33" borderId="10" xfId="0" applyFont="1" applyFill="1" applyBorder="1">
      <alignment vertical="center"/>
    </xf>
    <xf numFmtId="171" fontId="21" fillId="33" borderId="11" xfId="0" applyFont="1" applyFill="1" applyBorder="1" applyNumberFormat="1">
      <alignment horizontal="center" vertical="center"/>
    </xf>
    <xf numFmtId="171" fontId="22" fillId="34" borderId="21" xfId="0" applyFont="1" applyFill="1" applyBorder="1" applyNumberFormat="1">
      <alignment horizontal="center" vertical="center"/>
    </xf>
    <xf numFmtId="2" fontId="21" fillId="0" borderId="22" xfId="0" applyFont="1" applyBorder="1" applyNumberFormat="1">
      <alignment horizontal="center" vertical="center"/>
    </xf>
    <xf numFmtId="0" fontId="21" fillId="33" borderId="10" xfId="0" applyFont="1" applyFill="1" applyBorder="1">
      <alignment horizontal="center" vertical="center"/>
    </xf>
    <xf numFmtId="2" fontId="21" fillId="33" borderId="11" xfId="0" applyFont="1" applyFill="1" applyBorder="1" applyNumberFormat="1">
      <alignment horizontal="center" vertical="center"/>
    </xf>
    <xf numFmtId="2" fontId="22" fillId="0" borderId="10" xfId="0" applyFont="1" applyBorder="1" applyNumberFormat="1">
      <alignment horizontal="left" vertical="center"/>
    </xf>
    <xf numFmtId="2" fontId="22" fillId="0" borderId="11" xfId="0" applyFont="1" applyBorder="1" applyNumberFormat="1">
      <alignment horizontal="center" vertical="center"/>
    </xf>
    <xf numFmtId="0" fontId="22" fillId="34" borderId="10" xfId="0" applyFont="1" applyFill="1" applyBorder="1">
      <alignment horizontal="left" vertical="center"/>
    </xf>
    <xf numFmtId="2" fontId="22" fillId="0" borderId="12" xfId="0" applyFont="1" applyBorder="1" applyNumberFormat="1">
      <alignment horizontal="left" vertical="center"/>
    </xf>
    <xf numFmtId="171" fontId="22" fillId="0" borderId="15" xfId="0" applyFont="1" applyBorder="1" applyNumberFormat="1">
      <alignment horizontal="center" vertical="center"/>
    </xf>
    <xf numFmtId="2" fontId="21" fillId="0" borderId="14" xfId="0" applyFont="1" applyBorder="1" applyNumberFormat="1">
      <alignment horizontal="center" vertical="center"/>
    </xf>
    <xf numFmtId="2" fontId="21" fillId="0" borderId="16" xfId="0" applyFont="1" applyBorder="1" applyNumberFormat="1">
      <alignment horizontal="center" vertical="center"/>
    </xf>
    <xf numFmtId="0" fontId="22" fillId="34" borderId="10" xfId="0" applyFont="1" applyFill="1" applyBorder="1">
      <alignment horizontal="center" vertical="center"/>
    </xf>
    <xf numFmtId="0" fontId="24" fillId="0" borderId="10" xfId="0" applyFont="1" applyBorder="1">
      <alignment vertical="center" wrapText="1"/>
    </xf>
    <xf numFmtId="173" fontId="21" fillId="0" borderId="13" xfId="0" applyFont="1" applyBorder="1" applyNumberFormat="1">
      <alignment horizontal="center" vertical="center"/>
    </xf>
    <xf numFmtId="0" fontId="21" fillId="0" borderId="12" xfId="0" applyFont="1" applyBorder="1">
      <alignment vertical="center"/>
    </xf>
    <xf numFmtId="2" fontId="21" fillId="0" borderId="15" xfId="0" applyFont="1" applyBorder="1" applyNumberFormat="1">
      <alignment horizontal="center" vertical="center"/>
    </xf>
    <xf numFmtId="0" fontId="21" fillId="0" borderId="17" xfId="0" applyFont="1" applyBorder="1">
      <alignment vertical="center"/>
    </xf>
    <xf numFmtId="2" fontId="21" fillId="0" borderId="21" xfId="0" applyFont="1" applyBorder="1" applyNumberFormat="1">
      <alignment horizontal="center" vertical="center"/>
    </xf>
    <xf numFmtId="2" fontId="22" fillId="0" borderId="0" xfId="0" applyFont="1" applyNumberFormat="1">
      <alignment horizontal="left" vertical="center"/>
    </xf>
    <xf numFmtId="171" fontId="22" fillId="0" borderId="0" xfId="0" applyFont="1" applyNumberFormat="1">
      <alignment horizontal="center" vertical="center"/>
    </xf>
    <xf numFmtId="2" fontId="21" fillId="0" borderId="0" xfId="0" applyFont="1" applyNumberFormat="1">
      <alignment horizontal="center" vertical="center"/>
    </xf>
    <xf numFmtId="0" fontId="22" fillId="34" borderId="0" xfId="47" applyFont="1" applyFill="1">
      <alignment horizontal="left" vertical="center"/>
    </xf>
    <xf numFmtId="171" fontId="22" fillId="34" borderId="0" xfId="0" applyFont="1" applyFill="1" applyNumberFormat="1">
      <alignment horizontal="center" vertical="center"/>
    </xf>
    <xf numFmtId="0" fontId="23" fillId="35" borderId="23" xfId="0" applyFont="1" applyFill="1" applyBorder="1">
      <alignment horizontal="center" vertical="center"/>
    </xf>
    <xf numFmtId="0" fontId="23" fillId="35" borderId="24" xfId="0" applyFont="1" applyFill="1" applyBorder="1">
      <alignment horizontal="center" vertical="center"/>
    </xf>
    <xf numFmtId="0" fontId="23" fillId="35" borderId="25" xfId="0" applyFont="1" applyFill="1" applyBorder="1">
      <alignment horizontal="center" vertical="center"/>
    </xf>
    <xf numFmtId="0" fontId="21" fillId="0" borderId="0" xfId="0" applyFont="1">
      <alignment horizontal="left" vertical="center"/>
    </xf>
    <xf numFmtId="2" fontId="25" fillId="0" borderId="0" xfId="0" applyFont="1" applyNumberFormat="1">
      <alignment horizontal="center" vertical="center"/>
    </xf>
    <xf numFmtId="2" fontId="22" fillId="0" borderId="0" xfId="0" applyFont="1" applyNumberFormat="1">
      <alignment horizontal="left" vertical="center"/>
    </xf>
    <xf numFmtId="174" fontId="21" fillId="0" borderId="0" xfId="0" applyFont="1" applyNumberFormat="1">
      <alignment horizontal="left" vertical="center"/>
    </xf>
    <xf numFmtId="14" fontId="21" fillId="0" borderId="0" xfId="0" applyFont="1" applyNumberFormat="1">
      <alignment horizontal="center" vertical="center"/>
    </xf>
    <xf numFmtId="2" fontId="22" fillId="0" borderId="0" xfId="0" applyFont="1" applyNumberFormat="1">
      <alignment horizontal="right" vertical="center"/>
    </xf>
    <xf numFmtId="0" fontId="0" fillId="0" borderId="0" xfId="0" applyFont="1">
      <alignment wrapText="1"/>
    </xf>
    <xf numFmtId="2" fontId="25" fillId="0" borderId="0" xfId="0" applyFont="1" applyNumberFormat="1">
      <alignment horizontal="center" vertical="center" wrapText="1"/>
    </xf>
    <xf numFmtId="0" fontId="0" fillId="0" borderId="0" xfId="0" applyFont="1">
      <alignment wrapText="1"/>
    </xf>
    <xf numFmtId="0" fontId="21" fillId="0" borderId="0" xfId="0" applyFont="1">
      <alignment wrapText="1"/>
    </xf>
    <xf numFmtId="2" fontId="22" fillId="0" borderId="0" xfId="0" applyFont="1" applyNumberFormat="1">
      <alignment horizontal="left" vertical="center" wrapText="1"/>
    </xf>
    <xf numFmtId="2" fontId="22" fillId="0" borderId="0" xfId="0" applyFont="1" applyNumberFormat="1">
      <alignment vertical="center" wrapText="1"/>
    </xf>
    <xf numFmtId="0" fontId="21" fillId="0" borderId="0" xfId="0" applyFont="1">
      <alignment horizontal="right" vertical="center" wrapText="1"/>
    </xf>
    <xf numFmtId="174" fontId="21" fillId="0" borderId="0" xfId="0" applyFont="1" applyNumberFormat="1">
      <alignment horizontal="left" vertical="center" wrapText="1"/>
    </xf>
    <xf numFmtId="14" fontId="21" fillId="0" borderId="0" xfId="0" applyFont="1" applyNumberFormat="1">
      <alignment horizontal="center" vertical="center" wrapText="1"/>
    </xf>
    <xf numFmtId="2" fontId="22" fillId="0" borderId="0" xfId="0" applyFont="1" applyNumberFormat="1">
      <alignment horizontal="left" vertical="center" wrapText="1"/>
    </xf>
    <xf numFmtId="2" fontId="22" fillId="0" borderId="0" xfId="0" applyFont="1" applyNumberFormat="1">
      <alignment horizontal="right" vertical="center" wrapText="1"/>
    </xf>
    <xf numFmtId="0" fontId="21" fillId="0" borderId="0" xfId="0" applyFont="1">
      <alignment vertical="center" wrapText="1"/>
    </xf>
    <xf numFmtId="0" fontId="21" fillId="0" borderId="0" xfId="0" applyFont="1">
      <alignment vertical="center" wrapText="1"/>
    </xf>
    <xf numFmtId="0" fontId="23" fillId="35" borderId="23" xfId="0" applyFont="1" applyFill="1" applyBorder="1">
      <alignment horizontal="center" vertical="center" wrapText="1"/>
    </xf>
    <xf numFmtId="0" fontId="23" fillId="35" borderId="24" xfId="0" applyFont="1" applyFill="1" applyBorder="1">
      <alignment horizontal="center" vertical="center" wrapText="1"/>
    </xf>
    <xf numFmtId="0" fontId="23" fillId="35" borderId="25" xfId="0" applyFont="1" applyFill="1" applyBorder="1">
      <alignment horizontal="center" vertical="center" wrapText="1"/>
    </xf>
    <xf numFmtId="0" fontId="23" fillId="0" borderId="0" xfId="0" applyFont="1">
      <alignment horizontal="center" vertical="center" wrapText="1"/>
    </xf>
    <xf numFmtId="0" fontId="21" fillId="0" borderId="17" xfId="0" applyFont="1" applyBorder="1">
      <alignment horizontal="center" vertical="center" wrapText="1"/>
    </xf>
    <xf numFmtId="171" fontId="21" fillId="0" borderId="18" xfId="0" applyFont="1" applyBorder="1" applyNumberFormat="1">
      <alignment horizontal="center" vertical="center" wrapText="1"/>
    </xf>
    <xf numFmtId="2" fontId="21" fillId="0" borderId="14" xfId="0" applyFont="1" applyBorder="1" applyNumberFormat="1">
      <alignment vertical="center" wrapText="1"/>
    </xf>
    <xf numFmtId="0" fontId="22" fillId="33" borderId="10" xfId="0" applyFont="1" applyFill="1" applyBorder="1">
      <alignment horizontal="left" vertical="center" wrapText="1"/>
    </xf>
    <xf numFmtId="171" fontId="22" fillId="33" borderId="11" xfId="0" applyFont="1" applyFill="1" applyBorder="1" applyNumberFormat="1">
      <alignment horizontal="center" vertical="center" wrapText="1"/>
    </xf>
    <xf numFmtId="2" fontId="21" fillId="0" borderId="13" xfId="0" applyFont="1" applyBorder="1" applyNumberFormat="1">
      <alignment horizontal="center" vertical="center" wrapText="1"/>
    </xf>
    <xf numFmtId="0" fontId="21" fillId="0" borderId="10" xfId="0" applyFont="1" applyBorder="1">
      <alignment vertical="center" wrapText="1"/>
    </xf>
    <xf numFmtId="2" fontId="21" fillId="0" borderId="11" xfId="0" applyFont="1" applyBorder="1" applyNumberFormat="1">
      <alignment horizontal="center" vertical="center" wrapText="1"/>
    </xf>
    <xf numFmtId="2" fontId="21" fillId="0" borderId="13" xfId="0" applyFont="1" applyBorder="1" applyNumberFormat="1">
      <alignment horizontal="center" vertical="center" wrapText="1"/>
    </xf>
    <xf numFmtId="0" fontId="22" fillId="34" borderId="10" xfId="0" applyFont="1" applyFill="1" applyBorder="1">
      <alignment horizontal="left" vertical="center" wrapText="1"/>
    </xf>
    <xf numFmtId="171" fontId="22" fillId="34" borderId="11" xfId="0" applyFont="1" applyFill="1" applyBorder="1" applyNumberFormat="1">
      <alignment horizontal="center" vertical="center" wrapText="1"/>
    </xf>
    <xf numFmtId="0" fontId="21" fillId="33" borderId="10" xfId="0" applyFont="1" applyFill="1" applyBorder="1">
      <alignment vertical="center" wrapText="1"/>
    </xf>
    <xf numFmtId="171" fontId="21" fillId="33" borderId="11" xfId="0" applyFont="1" applyFill="1" applyBorder="1" applyNumberFormat="1">
      <alignment horizontal="center" vertical="center" wrapText="1"/>
    </xf>
    <xf numFmtId="0" fontId="22" fillId="34" borderId="12" xfId="0" applyFont="1" applyFill="1" applyBorder="1">
      <alignment horizontal="left" vertical="center" wrapText="1"/>
    </xf>
    <xf numFmtId="171" fontId="22" fillId="34" borderId="21" xfId="0" applyFont="1" applyFill="1" applyBorder="1" applyNumberFormat="1">
      <alignment horizontal="center" vertical="center" wrapText="1"/>
    </xf>
    <xf numFmtId="2" fontId="21" fillId="0" borderId="22" xfId="0" applyFont="1" applyBorder="1" applyNumberFormat="1">
      <alignment horizontal="center" vertical="center" wrapText="1"/>
    </xf>
    <xf numFmtId="0" fontId="22" fillId="33" borderId="10" xfId="0" applyFont="1" applyFill="1" applyBorder="1">
      <alignment horizontal="left" vertical="center" wrapText="1"/>
    </xf>
    <xf numFmtId="2" fontId="22" fillId="33" borderId="11" xfId="0" applyFont="1" applyFill="1" applyBorder="1" applyNumberFormat="1">
      <alignment horizontal="center" vertical="center" wrapText="1"/>
    </xf>
    <xf numFmtId="0" fontId="21" fillId="33" borderId="10" xfId="0" applyFont="1" applyFill="1" applyBorder="1">
      <alignment vertical="center" wrapText="1"/>
    </xf>
    <xf numFmtId="171" fontId="21" fillId="33" borderId="11" xfId="0" applyFont="1" applyFill="1" applyBorder="1" applyNumberFormat="1">
      <alignment horizontal="center" vertical="center" wrapText="1"/>
    </xf>
    <xf numFmtId="2" fontId="21" fillId="0" borderId="13" xfId="0" applyFont="1" applyBorder="1" applyNumberFormat="1">
      <alignment horizontal="center" vertical="center" wrapText="1"/>
      <protection locked="0"/>
    </xf>
    <xf numFmtId="0" fontId="22" fillId="34" borderId="0" xfId="0" applyFont="1" applyFill="1">
      <alignment horizontal="left" vertical="center" wrapText="1"/>
    </xf>
    <xf numFmtId="171" fontId="22" fillId="34" borderId="0" xfId="0" applyFont="1" applyFill="1" applyNumberFormat="1">
      <alignment horizontal="center" vertical="center" wrapText="1"/>
    </xf>
    <xf numFmtId="2" fontId="21" fillId="0" borderId="0" xfId="0" applyFont="1" applyNumberFormat="1">
      <alignment horizontal="center" vertical="center" wrapText="1"/>
    </xf>
    <xf numFmtId="0" fontId="22" fillId="33" borderId="10" xfId="0" applyFont="1" applyFill="1" applyBorder="1">
      <alignment horizontal="left" vertical="center" wrapText="1"/>
    </xf>
    <xf numFmtId="0" fontId="21" fillId="33" borderId="10" xfId="0" applyFont="1" applyFill="1" applyBorder="1">
      <alignment horizontal="center" vertical="center" wrapText="1"/>
    </xf>
    <xf numFmtId="2" fontId="21" fillId="33" borderId="11" xfId="0" applyFont="1" applyFill="1" applyBorder="1" applyNumberFormat="1">
      <alignment horizontal="center" vertical="center" wrapText="1"/>
    </xf>
    <xf numFmtId="171" fontId="22" fillId="33" borderId="11" xfId="0" applyFont="1" applyFill="1" applyBorder="1" applyNumberFormat="1">
      <alignment horizontal="center" vertical="center" wrapText="1"/>
    </xf>
    <xf numFmtId="2" fontId="21" fillId="33" borderId="11" xfId="0" applyFont="1" applyFill="1" applyBorder="1" applyNumberFormat="1">
      <alignment horizontal="center" vertical="center" wrapText="1"/>
    </xf>
    <xf numFmtId="2" fontId="22" fillId="0" borderId="10" xfId="0" applyFont="1" applyBorder="1" applyNumberFormat="1">
      <alignment horizontal="left" vertical="center" wrapText="1"/>
    </xf>
    <xf numFmtId="2" fontId="22" fillId="0" borderId="11" xfId="0" applyFont="1" applyBorder="1" applyNumberFormat="1">
      <alignment horizontal="center" vertical="center" wrapText="1"/>
    </xf>
    <xf numFmtId="2" fontId="21" fillId="0" borderId="11" xfId="0" applyFont="1" applyBorder="1" applyNumberFormat="1">
      <alignment horizontal="center" vertical="center" wrapText="1"/>
    </xf>
    <xf numFmtId="2" fontId="22" fillId="0" borderId="12" xfId="0" applyFont="1" applyBorder="1" applyNumberFormat="1">
      <alignment horizontal="left" vertical="center" wrapText="1"/>
    </xf>
    <xf numFmtId="171" fontId="22" fillId="0" borderId="15" xfId="0" applyFont="1" applyBorder="1" applyNumberFormat="1">
      <alignment horizontal="center" vertical="center" wrapText="1"/>
    </xf>
    <xf numFmtId="2" fontId="21" fillId="0" borderId="14" xfId="0" applyFont="1" applyBorder="1" applyNumberFormat="1">
      <alignment horizontal="center" vertical="center" wrapText="1"/>
    </xf>
    <xf numFmtId="0" fontId="22" fillId="34" borderId="10" xfId="0" applyFont="1" applyFill="1" applyBorder="1">
      <alignment horizontal="left" vertical="center" wrapText="1"/>
    </xf>
    <xf numFmtId="2" fontId="22" fillId="34" borderId="11" xfId="0" applyFont="1" applyFill="1" applyBorder="1" applyNumberFormat="1">
      <alignment horizontal="center" vertical="center" wrapText="1"/>
    </xf>
    <xf numFmtId="0" fontId="21" fillId="0" borderId="10" xfId="0" applyFont="1" applyBorder="1">
      <alignment vertical="center" wrapText="1"/>
    </xf>
    <xf numFmtId="2" fontId="21" fillId="0" borderId="16" xfId="0" applyFont="1" applyBorder="1" applyNumberFormat="1">
      <alignment horizontal="center" vertical="center" wrapText="1"/>
    </xf>
    <xf numFmtId="2" fontId="22" fillId="0" borderId="0" xfId="0" applyFont="1" applyNumberFormat="1">
      <alignment horizontal="left" vertical="center" wrapText="1"/>
    </xf>
    <xf numFmtId="171" fontId="22" fillId="0" borderId="0" xfId="0" applyFont="1" applyNumberFormat="1">
      <alignment horizontal="center" vertical="center" wrapText="1"/>
    </xf>
    <xf numFmtId="0" fontId="22" fillId="34" borderId="10" xfId="0" applyFont="1" applyFill="1" applyBorder="1">
      <alignment horizontal="left" vertical="center" wrapText="1"/>
    </xf>
    <xf numFmtId="2" fontId="21" fillId="0" borderId="16" xfId="0" applyFont="1" applyBorder="1" applyNumberFormat="1">
      <alignment horizontal="center" vertical="center" wrapText="1"/>
    </xf>
    <xf numFmtId="0" fontId="22" fillId="34" borderId="10" xfId="0" applyFont="1" applyFill="1" applyBorder="1">
      <alignment horizontal="center" vertical="center" wrapText="1"/>
    </xf>
    <xf numFmtId="0" fontId="24" fillId="0" borderId="10" xfId="0" applyFont="1" applyBorder="1">
      <alignment vertical="center" wrapText="1"/>
    </xf>
    <xf numFmtId="0" fontId="22" fillId="34" borderId="10" xfId="0" applyFont="1" applyFill="1" applyBorder="1">
      <alignment horizontal="center" vertical="center" wrapText="1"/>
    </xf>
    <xf numFmtId="2" fontId="22" fillId="34" borderId="11" xfId="0" applyFont="1" applyFill="1" applyBorder="1" applyNumberFormat="1">
      <alignment horizontal="center" vertical="center" wrapText="1"/>
    </xf>
    <xf numFmtId="2" fontId="22" fillId="33" borderId="11" xfId="0" applyFont="1" applyFill="1" applyBorder="1" applyNumberFormat="1">
      <alignment horizontal="center" vertical="center" wrapText="1"/>
    </xf>
    <xf numFmtId="173" fontId="21" fillId="0" borderId="13" xfId="0" applyFont="1" applyBorder="1" applyNumberFormat="1">
      <alignment horizontal="center" vertical="center" wrapText="1"/>
    </xf>
    <xf numFmtId="0" fontId="22" fillId="34" borderId="17" xfId="0" applyFont="1" applyFill="1" applyBorder="1">
      <alignment horizontal="center" vertical="center" wrapText="1"/>
    </xf>
    <xf numFmtId="2" fontId="22" fillId="34" borderId="18" xfId="0" applyFont="1" applyFill="1" applyBorder="1" applyNumberFormat="1">
      <alignment horizontal="center" vertical="center" wrapText="1"/>
    </xf>
    <xf numFmtId="2" fontId="21" fillId="0" borderId="14" xfId="0" applyFont="1" applyBorder="1" applyNumberFormat="1">
      <alignment horizontal="center" vertical="center" wrapText="1"/>
    </xf>
    <xf numFmtId="2" fontId="22" fillId="34" borderId="15" xfId="0" applyFont="1" applyFill="1" applyBorder="1" applyNumberFormat="1">
      <alignment horizontal="center" vertical="center" wrapText="1"/>
    </xf>
    <xf numFmtId="0" fontId="21" fillId="0" borderId="12" xfId="0" applyFont="1" applyBorder="1">
      <alignment vertical="center" wrapText="1"/>
    </xf>
    <xf numFmtId="2" fontId="21" fillId="0" borderId="15" xfId="0" applyFont="1" applyBorder="1" applyNumberFormat="1">
      <alignment horizontal="center" vertical="center" wrapText="1"/>
    </xf>
    <xf numFmtId="172" fontId="21" fillId="0" borderId="19" xfId="0" applyFont="1" applyBorder="1" applyNumberFormat="1">
      <alignment horizontal="center" vertical="center" wrapText="1"/>
    </xf>
    <xf numFmtId="0" fontId="21" fillId="0" borderId="20" xfId="0" applyFont="1" applyBorder="1">
      <alignment wrapText="1"/>
    </xf>
    <xf numFmtId="0" fontId="21" fillId="0" borderId="17" xfId="0" applyFont="1" applyBorder="1">
      <alignment vertical="center" wrapText="1"/>
    </xf>
    <xf numFmtId="2" fontId="21" fillId="0" borderId="21" xfId="0" applyFont="1" applyBorder="1" applyNumberFormat="1">
      <alignment horizontal="center" vertical="center" wrapText="1"/>
    </xf>
    <xf numFmtId="0" fontId="21" fillId="0" borderId="0" xfId="0" applyFont="1">
      <alignment horizontal="right" vertical="center" wrapText="1"/>
    </xf>
    <xf numFmtId="0" fontId="21" fillId="0" borderId="0" xfId="0" applyFont="1">
      <alignment horizontal="left" vertical="center" wrapText="1"/>
      <protection locked="0"/>
    </xf>
    <xf numFmtId="0" fontId="21" fillId="0" borderId="0" xfId="0" applyFont="1">
      <alignment horizontal="left" vertical="center" wrapText="1"/>
    </xf>
    <xf numFmtId="0" fontId="21" fillId="0" borderId="0" xfId="0" applyFont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wrapText="1"/>
    </xf>
  </cellXfs>
  <cellStyles count="50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常规_Sheet2" xfId="47"/>
    <cellStyle name="超链接" xfId="48"/>
    <cellStyle name="已访问的超链接" xfId="49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2</xdr:row>
      <xdr:rowOff>76200</xdr:rowOff>
    </xdr:from>
    <xdr:to>
      <xdr:col>15</xdr:col>
      <xdr:colOff>323850</xdr:colOff>
      <xdr:row>2</xdr:row>
      <xdr:rowOff>209550</xdr:rowOff>
    </xdr:to>
    <xdr:pic>
      <xdr:nvPicPr>
        <xdr:cNvPr id="1" name="picture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1</xdr:col>
      <xdr:colOff>514350</xdr:colOff>
      <xdr:row>2</xdr:row>
      <xdr:rowOff>76200</xdr:rowOff>
    </xdr:from>
    <xdr:to>
      <xdr:col>2</xdr:col>
      <xdr:colOff>76200</xdr:colOff>
      <xdr:row>3</xdr:row>
      <xdr:rowOff>38100</xdr:rowOff>
    </xdr:to>
    <xdr:pic>
      <xdr:nvPicPr>
        <xdr:cNvPr id="2" name="picture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15</xdr:col>
      <xdr:colOff>66675</xdr:colOff>
      <xdr:row>2</xdr:row>
      <xdr:rowOff>95250</xdr:rowOff>
    </xdr:from>
    <xdr:to>
      <xdr:col>15</xdr:col>
      <xdr:colOff>495300</xdr:colOff>
      <xdr:row>5</xdr:row>
      <xdr:rowOff>95250</xdr:rowOff>
    </xdr:to>
    <xdr:pic>
      <xdr:nvPicPr>
        <xdr:cNvPr id="3" name="picture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8</xdr:col>
      <xdr:colOff>657225</xdr:colOff>
      <xdr:row>3</xdr:row>
      <xdr:rowOff>95250</xdr:rowOff>
    </xdr:from>
    <xdr:to>
      <xdr:col>14</xdr:col>
      <xdr:colOff>666750</xdr:colOff>
      <xdr:row>3</xdr:row>
      <xdr:rowOff>190500</xdr:rowOff>
    </xdr:to>
    <xdr:pic>
      <xdr:nvPicPr>
        <xdr:cNvPr id="4" name="picture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14</xdr:col>
      <xdr:colOff>419100</xdr:colOff>
      <xdr:row>3</xdr:row>
      <xdr:rowOff>104775</xdr:rowOff>
    </xdr:from>
    <xdr:to>
      <xdr:col>14</xdr:col>
      <xdr:colOff>895350</xdr:colOff>
      <xdr:row>5</xdr:row>
      <xdr:rowOff>114300</xdr:rowOff>
    </xdr:to>
    <xdr:pic>
      <xdr:nvPicPr>
        <xdr:cNvPr id="5" name="picture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1</xdr:col>
      <xdr:colOff>361950</xdr:colOff>
      <xdr:row>5</xdr:row>
      <xdr:rowOff>0</xdr:rowOff>
    </xdr:from>
    <xdr:to>
      <xdr:col>2</xdr:col>
      <xdr:colOff>209550</xdr:colOff>
      <xdr:row>7</xdr:row>
      <xdr:rowOff>114300</xdr:rowOff>
    </xdr:to>
    <xdr:pic>
      <xdr:nvPicPr>
        <xdr:cNvPr id="6" name="picture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3</xdr:col>
      <xdr:colOff>628650</xdr:colOff>
      <xdr:row>8</xdr:row>
      <xdr:rowOff>304800</xdr:rowOff>
    </xdr:from>
    <xdr:to>
      <xdr:col>5</xdr:col>
      <xdr:colOff>0</xdr:colOff>
      <xdr:row>9</xdr:row>
      <xdr:rowOff>114300</xdr:rowOff>
    </xdr:to>
    <xdr:pic>
      <xdr:nvPicPr>
        <xdr:cNvPr id="7" name="picture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4</xdr:col>
      <xdr:colOff>123825</xdr:colOff>
      <xdr:row>5</xdr:row>
      <xdr:rowOff>0</xdr:rowOff>
    </xdr:from>
    <xdr:to>
      <xdr:col>5</xdr:col>
      <xdr:colOff>47625</xdr:colOff>
      <xdr:row>9</xdr:row>
      <xdr:rowOff>152400</xdr:rowOff>
    </xdr:to>
    <xdr:pic>
      <xdr:nvPicPr>
        <xdr:cNvPr id="8" name="picture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4</xdr:col>
      <xdr:colOff>161925</xdr:colOff>
      <xdr:row>4</xdr:row>
      <xdr:rowOff>161925</xdr:rowOff>
    </xdr:from>
    <xdr:to>
      <xdr:col>6</xdr:col>
      <xdr:colOff>85725</xdr:colOff>
      <xdr:row>5</xdr:row>
      <xdr:rowOff>304800</xdr:rowOff>
    </xdr:to>
    <xdr:pic>
      <xdr:nvPicPr>
        <xdr:cNvPr id="9" name="picture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4</xdr:col>
      <xdr:colOff>9525</xdr:colOff>
      <xdr:row>11</xdr:row>
      <xdr:rowOff>123825</xdr:rowOff>
    </xdr:from>
    <xdr:to>
      <xdr:col>6</xdr:col>
      <xdr:colOff>38100</xdr:colOff>
      <xdr:row>12</xdr:row>
      <xdr:rowOff>266700</xdr:rowOff>
    </xdr:to>
    <xdr:pic>
      <xdr:nvPicPr>
        <xdr:cNvPr id="10" name="picture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3</xdr:col>
      <xdr:colOff>657225</xdr:colOff>
      <xdr:row>16</xdr:row>
      <xdr:rowOff>142875</xdr:rowOff>
    </xdr:from>
    <xdr:to>
      <xdr:col>6</xdr:col>
      <xdr:colOff>118682</xdr:colOff>
      <xdr:row>17</xdr:row>
      <xdr:rowOff>257175</xdr:rowOff>
    </xdr:to>
    <xdr:pic>
      <xdr:nvPicPr>
        <xdr:cNvPr id="11" name="FloatingObject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9</xdr:col>
      <xdr:colOff>0</xdr:colOff>
      <xdr:row>10</xdr:row>
      <xdr:rowOff>0</xdr:rowOff>
    </xdr:from>
    <xdr:to>
      <xdr:col>10</xdr:col>
      <xdr:colOff>38100</xdr:colOff>
      <xdr:row>11</xdr:row>
      <xdr:rowOff>142875</xdr:rowOff>
    </xdr:to>
    <xdr:pic>
      <xdr:nvPicPr>
        <xdr:cNvPr id="12" name="FloatingObject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  <xdr:twoCellAnchor>
    <xdr:from>
      <xdr:col>6</xdr:col>
      <xdr:colOff>666750</xdr:colOff>
      <xdr:row>8</xdr:row>
      <xdr:rowOff>38100</xdr:rowOff>
    </xdr:from>
    <xdr:to>
      <xdr:col>7</xdr:col>
      <xdr:colOff>342900</xdr:colOff>
      <xdr:row>10</xdr:row>
      <xdr:rowOff>85725</xdr:rowOff>
    </xdr:to>
    <xdr:pic>
      <xdr:nvPicPr>
        <xdr:cNvPr id="13" name="FloatingObject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0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10719C8-BFF8-92A8-AE08-917B087BFF88}" mc:Ignorable="x14ac xr xr2 xr3">
  <dimension ref="A1:S26"/>
  <sheetViews>
    <sheetView topLeftCell="A1" showGridLines="0" workbookViewId="0" tabSelected="1">
      <selection activeCell="A1" sqref="A1"/>
    </sheetView>
  </sheetViews>
  <sheetFormatPr defaultColWidth="9.00390625" customHeight="1" defaultRowHeight="13.5"/>
  <cols>
    <col min="1" max="1" style="205" width="0.8515625" customWidth="1"/>
    <col min="2" max="2" style="206" width="9.57421875" customWidth="1"/>
    <col min="3" max="3" style="207" width="11.421875" customWidth="1"/>
    <col min="4" max="4" style="208" width="10.00390625" customWidth="1"/>
    <col min="5" max="5" style="209" width="3.421875" customWidth="1"/>
    <col min="6" max="6" style="210" width="3.140625" customWidth="1"/>
    <col min="7" max="7" style="211" width="10.28125" customWidth="1"/>
    <col min="8" max="8" style="212" width="12.00390625" customWidth="1"/>
    <col min="9" max="9" style="213" width="10.28125" customWidth="1"/>
    <col min="10" max="10" style="214" width="6.421875" customWidth="1"/>
    <col min="11" max="11" style="215" width="10.140625" customWidth="1"/>
    <col min="14" max="14" style="216" width="3.8515625" customWidth="1"/>
    <col min="15" max="15" style="217" width="13.57421875" customWidth="1"/>
    <col min="16" max="16" style="218" width="11.7109375" customWidth="1"/>
  </cols>
  <sheetData>
    <row customHeight="1" ht="25.5">
      <c r="A1" s="125"/>
      <c r="B1" s="126" t="s">
        <v>0</v>
      </c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7"/>
      <c r="S1" s="127"/>
    </row>
    <row s="50" customFormat="1" customHeight="1" ht="18">
      <c r="A2" s="128"/>
      <c r="B2" s="129" t="s">
        <v>1</v>
      </c>
      <c r="C2" s="129"/>
      <c r="D2" s="129"/>
      <c r="E2" s="129"/>
      <c r="F2" s="130"/>
      <c r="G2" s="130"/>
      <c r="H2" s="131" t="s">
        <v>2</v>
      </c>
      <c r="I2" s="132" t="s">
        <v>3</v>
      </c>
      <c r="J2" s="132"/>
      <c r="K2" s="133" t="s">
        <v>4</v>
      </c>
      <c r="L2" s="133"/>
      <c r="M2" s="134" t="s">
        <v>5</v>
      </c>
      <c r="N2" s="135" t="str">
        <f>取值!N1&amp;取值!O1&amp;取值!P1</f>
        <v>报表生成时间：2025-06-01 8:00:00</v>
      </c>
      <c r="O2" s="135"/>
      <c r="P2" s="135"/>
      <c r="Q2" s="135"/>
      <c r="R2" s="128"/>
      <c r="S2" s="128"/>
    </row>
    <row s="50" customFormat="1" customHeight="1" ht="24.75">
      <c r="A3" s="128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7"/>
      <c r="M3" s="137"/>
      <c r="N3" s="136"/>
      <c r="O3" s="136"/>
      <c r="P3" s="136"/>
      <c r="Q3" s="137"/>
      <c r="R3" s="128"/>
      <c r="S3" s="128"/>
    </row>
    <row s="50" customFormat="1" customHeight="1" ht="24.75">
      <c r="A4" s="128"/>
      <c r="B4" s="138" t="s">
        <v>6</v>
      </c>
      <c r="C4" s="139"/>
      <c r="D4" s="140"/>
      <c r="E4" s="141"/>
      <c r="F4" s="136"/>
      <c r="G4" s="138" t="s">
        <v>7</v>
      </c>
      <c r="H4" s="139"/>
      <c r="I4" s="140"/>
      <c r="J4" s="141"/>
      <c r="K4" s="136"/>
      <c r="L4" s="137"/>
      <c r="M4" s="137"/>
      <c r="N4" s="136"/>
      <c r="O4" s="136"/>
      <c r="P4" s="136"/>
      <c r="Q4" s="137"/>
      <c r="R4" s="128"/>
      <c r="S4" s="128"/>
    </row>
    <row s="50" customFormat="1" customHeight="1" ht="24.75">
      <c r="A5" s="128"/>
      <c r="B5" s="142" t="s">
        <v>8</v>
      </c>
      <c r="C5" s="143">
        <f>取值!C5</f>
        <v>15502122</v>
      </c>
      <c r="D5" s="144"/>
      <c r="E5" s="136"/>
      <c r="F5" s="136"/>
      <c r="G5" s="145" t="s">
        <v>9</v>
      </c>
      <c r="H5" s="146">
        <f>取值!H5</f>
        <v>33538300</v>
      </c>
      <c r="I5" s="147">
        <f>_xlfn.IFERROR(H5*1000/SUM(H7,H8),"")</f>
        <v>1282.18861805327</v>
      </c>
      <c r="J5" s="136"/>
      <c r="K5" s="136"/>
      <c r="L5" s="136"/>
      <c r="M5" s="136"/>
      <c r="N5" s="141"/>
      <c r="O5" s="128"/>
      <c r="P5" s="128"/>
      <c r="Q5" s="128"/>
      <c r="R5" s="128"/>
      <c r="S5" s="128"/>
    </row>
    <row s="50" customFormat="1" customHeight="1" ht="24.75">
      <c r="A6" s="128"/>
      <c r="B6" s="136"/>
      <c r="C6" s="136"/>
      <c r="D6" s="136"/>
      <c r="E6" s="136"/>
      <c r="F6" s="136"/>
      <c r="G6" s="148"/>
      <c r="H6" s="149"/>
      <c r="I6" s="150"/>
      <c r="J6" s="136"/>
      <c r="K6" s="136"/>
      <c r="L6" s="137"/>
      <c r="M6" s="137"/>
      <c r="N6" s="136"/>
      <c r="O6" s="138" t="s">
        <v>10</v>
      </c>
      <c r="P6" s="139"/>
      <c r="Q6" s="140"/>
      <c r="R6" s="128"/>
      <c r="S6" s="128"/>
    </row>
    <row s="50" customFormat="1" customHeight="1" ht="24.75">
      <c r="A7" s="128"/>
      <c r="B7" s="136"/>
      <c r="C7" s="136"/>
      <c r="D7" s="136"/>
      <c r="E7" s="136"/>
      <c r="F7" s="136"/>
      <c r="G7" s="151" t="s">
        <v>11</v>
      </c>
      <c r="H7" s="152">
        <f>取值!H7</f>
        <v>17690285</v>
      </c>
      <c r="I7" s="150"/>
      <c r="J7" s="136"/>
      <c r="K7" s="138" t="s">
        <v>12</v>
      </c>
      <c r="L7" s="139"/>
      <c r="M7" s="140"/>
      <c r="N7" s="136"/>
      <c r="O7" s="153" t="s">
        <v>13</v>
      </c>
      <c r="P7" s="154">
        <f>取值!P7</f>
        <v>1268100</v>
      </c>
      <c r="Q7" s="150">
        <f>_xlfn.IFERROR(P7/SUM(P13,P14,P15,P16),"")</f>
        <v>179.677625948617</v>
      </c>
      <c r="R7" s="128"/>
      <c r="S7" s="128"/>
    </row>
    <row s="50" customFormat="1" customHeight="1" ht="24.75">
      <c r="A8" s="128"/>
      <c r="B8" s="138" t="s">
        <v>14</v>
      </c>
      <c r="C8" s="139"/>
      <c r="D8" s="140"/>
      <c r="E8" s="141"/>
      <c r="F8" s="136"/>
      <c r="G8" s="155" t="s">
        <v>15</v>
      </c>
      <c r="H8" s="156">
        <f>取值!H8</f>
        <v>8466787</v>
      </c>
      <c r="I8" s="157"/>
      <c r="J8" s="136"/>
      <c r="K8" s="158" t="s">
        <v>16</v>
      </c>
      <c r="L8" s="159">
        <f>取值!L8</f>
        <v>0</v>
      </c>
      <c r="M8" s="150" t="str">
        <f>_xlfn.IFERROR(L8/L14,"")</f>
        <v/>
      </c>
      <c r="N8" s="136"/>
      <c r="O8" s="160" t="s">
        <v>17</v>
      </c>
      <c r="P8" s="161">
        <f>取值!P8</f>
        <v>6900998</v>
      </c>
      <c r="Q8" s="150">
        <f>_xlfn.IFERROR(P8/SUM(P13,P14,P15,P16),"")</f>
        <v>977.805328693444</v>
      </c>
      <c r="R8" s="128"/>
      <c r="S8" s="128"/>
    </row>
    <row s="50" customFormat="1" customHeight="1" ht="24.75">
      <c r="A9" s="128"/>
      <c r="B9" s="160" t="s">
        <v>18</v>
      </c>
      <c r="C9" s="161">
        <f>取值!C9</f>
        <v>19990403</v>
      </c>
      <c r="D9" s="162">
        <v>7086.7849546228</v>
      </c>
      <c r="E9" s="136"/>
      <c r="F9" s="136"/>
      <c r="G9" s="163"/>
      <c r="H9" s="164"/>
      <c r="I9" s="165"/>
      <c r="J9" s="136"/>
      <c r="K9" s="166" t="s">
        <v>19</v>
      </c>
      <c r="L9" s="159">
        <f>取值!L9</f>
        <v>0</v>
      </c>
      <c r="M9" s="150" t="str">
        <f>_xlfn.IFERROR(L9/L14,"")</f>
        <v/>
      </c>
      <c r="N9" s="136"/>
      <c r="O9" s="160" t="s">
        <v>20</v>
      </c>
      <c r="P9" s="161">
        <f>取值!P9</f>
        <v>11950320</v>
      </c>
      <c r="Q9" s="150">
        <f>_xlfn.IFERROR(P9/SUM(P13,P14,P15,P16),"")</f>
        <v>1693.24590089605</v>
      </c>
      <c r="R9" s="128"/>
      <c r="S9" s="128"/>
    </row>
    <row s="50" customFormat="1" customHeight="1" ht="24.75">
      <c r="A10" s="128"/>
      <c r="B10" s="167" t="s">
        <v>8</v>
      </c>
      <c r="C10" s="161">
        <f>取值!C10</f>
        <v>10993090</v>
      </c>
      <c r="D10" s="150">
        <f>_xlfn.IFERROR(C10/C12,"")</f>
        <v>3897.15328984685</v>
      </c>
      <c r="E10" s="136"/>
      <c r="F10" s="136"/>
      <c r="G10" s="136"/>
      <c r="H10" s="136"/>
      <c r="I10" s="136"/>
      <c r="J10" s="141"/>
      <c r="K10" s="166" t="s">
        <v>21</v>
      </c>
      <c r="L10" s="159">
        <f>取值!L10</f>
        <v>0</v>
      </c>
      <c r="M10" s="150" t="str">
        <f>_xlfn.IFERROR(L10/L14,"")</f>
        <v/>
      </c>
      <c r="N10" s="136"/>
      <c r="O10" s="160" t="s">
        <v>19</v>
      </c>
      <c r="P10" s="168">
        <f>取值!P10</f>
        <v>842</v>
      </c>
      <c r="Q10" s="150">
        <f>_xlfn.IFERROR(P10/SUM(P13,P14,P15,P16),"")</f>
        <v>0.119303336526091</v>
      </c>
      <c r="R10" s="128"/>
      <c r="S10" s="128"/>
    </row>
    <row s="50" customFormat="1" customHeight="1" ht="24.75">
      <c r="A11" s="128"/>
      <c r="B11" s="148"/>
      <c r="C11" s="149"/>
      <c r="D11" s="150"/>
      <c r="E11" s="136"/>
      <c r="F11" s="136"/>
      <c r="G11" s="138" t="s">
        <v>22</v>
      </c>
      <c r="H11" s="139"/>
      <c r="I11" s="140"/>
      <c r="J11" s="136"/>
      <c r="K11" s="166" t="s">
        <v>20</v>
      </c>
      <c r="L11" s="169">
        <f>取值!L11</f>
        <v>0</v>
      </c>
      <c r="M11" s="150" t="str">
        <f>_xlfn.IFERROR(L11/L14,"")</f>
        <v/>
      </c>
      <c r="N11" s="136"/>
      <c r="O11" s="160" t="s">
        <v>23</v>
      </c>
      <c r="P11" s="170">
        <f>取值!P11</f>
        <v>510.24</v>
      </c>
      <c r="Q11" s="150">
        <f>_xlfn.IFERROR(P11/SUM(P13,P14,P15,P16),"")</f>
        <v>0.0722961216497299</v>
      </c>
      <c r="R11" s="128"/>
      <c r="S11" s="128"/>
    </row>
    <row s="50" customFormat="1" customHeight="1" ht="24.75">
      <c r="A12" s="128"/>
      <c r="B12" s="171" t="s">
        <v>24</v>
      </c>
      <c r="C12" s="172">
        <f>取值!C12</f>
        <v>2820.8</v>
      </c>
      <c r="D12" s="150"/>
      <c r="E12" s="136"/>
      <c r="F12" s="136"/>
      <c r="G12" s="160" t="s">
        <v>25</v>
      </c>
      <c r="H12" s="170">
        <f>取值!H11</f>
        <v>2820.8</v>
      </c>
      <c r="I12" s="150">
        <f>_xlfn.IFERROR(H12/H17,"")</f>
        <v>0.363075172572688</v>
      </c>
      <c r="J12" s="136"/>
      <c r="K12" s="148"/>
      <c r="L12" s="173"/>
      <c r="M12" s="150"/>
      <c r="N12" s="136"/>
      <c r="O12" s="148"/>
      <c r="P12" s="149"/>
      <c r="Q12" s="150"/>
      <c r="R12" s="128"/>
      <c r="S12" s="128"/>
    </row>
    <row s="50" customFormat="1" customHeight="1" ht="24.75">
      <c r="A13" s="128"/>
      <c r="B13" s="174" t="s">
        <v>26</v>
      </c>
      <c r="C13" s="175">
        <f>取值!C13</f>
        <v>33905965</v>
      </c>
      <c r="D13" s="176"/>
      <c r="E13" s="136"/>
      <c r="F13" s="136"/>
      <c r="G13" s="160" t="s">
        <v>27</v>
      </c>
      <c r="H13" s="170">
        <f>取值!H12</f>
        <v>16886.31</v>
      </c>
      <c r="I13" s="150">
        <f>_xlfn.IFERROR(H13/H17,"")</f>
        <v>2.17349685102308</v>
      </c>
      <c r="J13" s="136"/>
      <c r="K13" s="177" t="s">
        <v>28</v>
      </c>
      <c r="L13" s="178">
        <f>取值!L13</f>
        <v>0</v>
      </c>
      <c r="M13" s="150"/>
      <c r="N13" s="136"/>
      <c r="O13" s="179" t="s">
        <v>29</v>
      </c>
      <c r="P13" s="180">
        <f>取值!P13</f>
        <v>4650.3</v>
      </c>
      <c r="Q13" s="150"/>
      <c r="R13" s="128"/>
      <c r="S13" s="128"/>
    </row>
    <row s="50" customFormat="1" customHeight="1" ht="24.75">
      <c r="A14" s="128"/>
      <c r="B14" s="181"/>
      <c r="C14" s="182"/>
      <c r="D14" s="165"/>
      <c r="E14" s="136"/>
      <c r="F14" s="136"/>
      <c r="G14" s="160" t="s">
        <v>20</v>
      </c>
      <c r="H14" s="161">
        <f>取值!H13</f>
        <v>3582221</v>
      </c>
      <c r="I14" s="150">
        <f>_xlfn.IFERROR(H14*0.0899/1000/H17,"")</f>
        <v>0.0414511252653108</v>
      </c>
      <c r="J14" s="136"/>
      <c r="K14" s="183" t="s">
        <v>30</v>
      </c>
      <c r="L14" s="178">
        <f>_xlfn.IFERROR(SUM(L15,L16),"")</f>
        <v>0</v>
      </c>
      <c r="M14" s="150"/>
      <c r="N14" s="136"/>
      <c r="O14" s="179" t="s">
        <v>31</v>
      </c>
      <c r="P14" s="184">
        <f>取值!P14</f>
        <v>0</v>
      </c>
      <c r="Q14" s="150"/>
      <c r="R14" s="128"/>
      <c r="S14" s="128"/>
    </row>
    <row s="50" customFormat="1" customHeight="1" ht="21.75">
      <c r="A15" s="128"/>
      <c r="B15" s="136"/>
      <c r="C15" s="136"/>
      <c r="D15" s="136"/>
      <c r="E15" s="136"/>
      <c r="F15" s="136"/>
      <c r="G15" s="148"/>
      <c r="H15" s="149"/>
      <c r="I15" s="150"/>
      <c r="J15" s="136"/>
      <c r="K15" s="185">
        <v>1800</v>
      </c>
      <c r="L15" s="178">
        <f>取值!L15</f>
        <v>0</v>
      </c>
      <c r="M15" s="150"/>
      <c r="N15" s="136"/>
      <c r="O15" s="105" t="s">
        <v>32</v>
      </c>
      <c r="P15" s="184">
        <f>取值!P15</f>
        <v>1674.8</v>
      </c>
      <c r="Q15" s="150"/>
      <c r="R15" s="128"/>
      <c r="S15" s="128"/>
    </row>
    <row s="50" customFormat="1" customHeight="1" ht="24.75">
      <c r="A16" s="128"/>
      <c r="B16" s="136"/>
      <c r="C16" s="136"/>
      <c r="D16" s="136"/>
      <c r="E16" s="141"/>
      <c r="F16" s="136"/>
      <c r="G16" s="179" t="s">
        <v>33</v>
      </c>
      <c r="H16" s="173">
        <f>取值!H15</f>
        <v>7668.04</v>
      </c>
      <c r="I16" s="150"/>
      <c r="J16" s="136"/>
      <c r="K16" s="187">
        <v>2000</v>
      </c>
      <c r="L16" s="188">
        <f>取值!L16</f>
        <v>0</v>
      </c>
      <c r="M16" s="150"/>
      <c r="N16" s="136"/>
      <c r="O16" s="105" t="s">
        <v>34</v>
      </c>
      <c r="P16" s="180">
        <f>取值!P16</f>
        <v>732.54</v>
      </c>
      <c r="Q16" s="147"/>
      <c r="R16" s="128"/>
      <c r="S16" s="128"/>
    </row>
    <row s="50" customFormat="1" customHeight="1" ht="24.75">
      <c r="A17" s="128"/>
      <c r="B17" s="138" t="s">
        <v>35</v>
      </c>
      <c r="C17" s="139"/>
      <c r="D17" s="140"/>
      <c r="E17" s="136"/>
      <c r="F17" s="136"/>
      <c r="G17" s="179" t="s">
        <v>16</v>
      </c>
      <c r="H17" s="173">
        <f>取值!H16</f>
        <v>7769.19</v>
      </c>
      <c r="I17" s="150"/>
      <c r="J17" s="136"/>
      <c r="K17" s="187" t="s">
        <v>36</v>
      </c>
      <c r="L17" s="188">
        <f>取值!L17</f>
        <v>0</v>
      </c>
      <c r="M17" s="150"/>
      <c r="N17" s="136"/>
      <c r="O17" s="179" t="s">
        <v>37</v>
      </c>
      <c r="P17" s="184">
        <f>取值!P19</f>
        <v>242</v>
      </c>
      <c r="Q17" s="150"/>
      <c r="R17" s="128"/>
      <c r="S17" s="128"/>
    </row>
    <row s="50" customFormat="1" customHeight="1" ht="24.75">
      <c r="A18" s="128"/>
      <c r="B18" s="145" t="s">
        <v>38</v>
      </c>
      <c r="C18" s="189">
        <f>取值!C17</f>
        <v>6426.41</v>
      </c>
      <c r="D18" s="190">
        <f>_xlfn.IFERROR(C18/C19,"")</f>
        <v>0.422490774628766</v>
      </c>
      <c r="E18" s="136"/>
      <c r="F18" s="136"/>
      <c r="G18" s="179" t="s">
        <v>39</v>
      </c>
      <c r="H18" s="173">
        <f>取值!H17</f>
        <v>25.6</v>
      </c>
      <c r="I18" s="150"/>
      <c r="J18" s="136"/>
      <c r="K18" s="191" t="s">
        <v>40</v>
      </c>
      <c r="L18" s="192">
        <f>取值!L18</f>
        <v>0</v>
      </c>
      <c r="M18" s="193"/>
      <c r="N18" s="136"/>
      <c r="O18" s="179" t="s">
        <v>41</v>
      </c>
      <c r="P18" s="184">
        <f>取值!P17</f>
        <v>201.1</v>
      </c>
      <c r="Q18" s="150"/>
      <c r="R18" s="128"/>
      <c r="S18" s="128"/>
    </row>
    <row s="50" customFormat="1" customHeight="1" ht="14.25">
      <c r="A19" s="128"/>
      <c r="B19" s="155" t="s">
        <v>42</v>
      </c>
      <c r="C19" s="194">
        <f>取值!C18</f>
        <v>15210.77</v>
      </c>
      <c r="D19" s="176"/>
      <c r="E19" s="136"/>
      <c r="F19" s="136"/>
      <c r="G19" s="195" t="s">
        <v>43</v>
      </c>
      <c r="H19" s="196">
        <f>取值!H18</f>
        <v>0</v>
      </c>
      <c r="I19" s="176"/>
      <c r="J19" s="136"/>
      <c r="K19" s="191" t="s">
        <v>44</v>
      </c>
      <c r="L19" s="197">
        <f>取值!L19</f>
        <v>0</v>
      </c>
      <c r="M19" s="198"/>
      <c r="N19" s="136"/>
      <c r="O19" s="199" t="s">
        <v>45</v>
      </c>
      <c r="P19" s="200">
        <f>取值!P18</f>
        <v>0</v>
      </c>
      <c r="Q19" s="193"/>
      <c r="R19" s="128"/>
      <c r="S19" s="128"/>
    </row>
    <row s="50" customFormat="1" customHeight="1" ht="20.25">
      <c r="A20" s="128"/>
      <c r="B20" s="136"/>
      <c r="C20" s="136"/>
      <c r="D20" s="136"/>
      <c r="E20" s="136"/>
      <c r="F20" s="136"/>
      <c r="G20" s="136"/>
      <c r="H20" s="136"/>
      <c r="I20" s="136"/>
      <c r="J20" s="136"/>
      <c r="K20" s="136"/>
      <c r="L20" s="137"/>
      <c r="M20" s="137"/>
      <c r="N20" s="128"/>
      <c r="O20" s="136"/>
      <c r="P20" s="136"/>
      <c r="Q20" s="137"/>
      <c r="R20" s="128"/>
      <c r="S20" s="128"/>
    </row>
    <row customHeight="1" ht="13.5">
      <c r="A21" s="125"/>
      <c r="B21" s="201" t="s">
        <v>46</v>
      </c>
      <c r="C21" s="202" t="s">
        <v>47</v>
      </c>
      <c r="D21" s="203"/>
      <c r="E21" s="125"/>
      <c r="F21" s="125"/>
      <c r="G21" s="136"/>
      <c r="H21" s="136"/>
      <c r="I21" s="136"/>
      <c r="J21" s="125"/>
      <c r="K21" s="136"/>
      <c r="L21" s="137"/>
      <c r="M21" s="201" t="s">
        <v>48</v>
      </c>
      <c r="N21" s="202" t="s">
        <v>49</v>
      </c>
      <c r="O21" s="203"/>
      <c r="P21" s="203"/>
      <c r="Q21" s="204"/>
      <c r="R21" s="127"/>
      <c r="S21" s="127"/>
    </row>
    <row customHeight="1" ht="13.5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7"/>
      <c r="M22" s="127"/>
      <c r="N22" s="125"/>
      <c r="O22" s="125"/>
      <c r="P22" s="125"/>
      <c r="Q22" s="137"/>
      <c r="R22" s="127"/>
      <c r="S22" s="127"/>
    </row>
    <row customHeight="1" ht="13.5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7"/>
      <c r="M23" s="127"/>
      <c r="N23" s="125"/>
      <c r="O23" s="125"/>
      <c r="P23" s="125"/>
      <c r="Q23" s="127"/>
      <c r="R23" s="127"/>
      <c r="S23" s="127"/>
    </row>
    <row customHeight="1" ht="13.5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7"/>
      <c r="M24" s="127"/>
      <c r="N24" s="125"/>
      <c r="O24" s="125"/>
      <c r="P24" s="125"/>
      <c r="Q24" s="127"/>
      <c r="R24" s="127"/>
      <c r="S24" s="127"/>
    </row>
    <row customHeight="1" ht="13.5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7"/>
      <c r="M25" s="127"/>
      <c r="N25" s="125"/>
      <c r="O25" s="125"/>
      <c r="P25" s="125"/>
      <c r="Q25" s="127"/>
      <c r="R25" s="127"/>
      <c r="S25" s="127"/>
    </row>
    <row customHeight="1" ht="13.5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7"/>
      <c r="M26" s="127"/>
      <c r="N26" s="125"/>
      <c r="O26" s="125"/>
      <c r="P26" s="125"/>
      <c r="Q26" s="127"/>
      <c r="R26" s="127"/>
      <c r="S26" s="127"/>
    </row>
  </sheetData>
  <mergeCells count="14">
    <mergeCell ref="B1:Q1"/>
    <mergeCell ref="B2:E2"/>
    <mergeCell ref="I2:J2"/>
    <mergeCell ref="K2:L2"/>
    <mergeCell ref="N2:Q2"/>
    <mergeCell ref="G11:I11"/>
    <mergeCell ref="B17:D17"/>
    <mergeCell ref="C21:D21"/>
    <mergeCell ref="N21:P21"/>
    <mergeCell ref="B4:D4"/>
    <mergeCell ref="G4:I4"/>
    <mergeCell ref="K7:M7"/>
    <mergeCell ref="O6:Q6"/>
    <mergeCell ref="B8:D8"/>
  </mergeCells>
  <pageMargins left="0.70" right="0.70" top="0.75" bottom="0.75" header="0.30" footer="0.30"/>
  <pageSetup paperSize="9" pageOrder="downThenOver" orientation="portrait"/>
  <headerFooter>
    <oddHeader>&amp;L&amp;C&amp;R</oddHeader>
    <oddFooter>&amp;L&amp;C&amp;R</oddFooter>
    <evenHeader>&amp;L&amp;C&amp;R</evenHeader>
    <evenFooter>&amp;L&amp;C&amp;R</evenFooter>
  </headerFooter>
  <drawing r:id="rId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7A3B7B2-E785-4768-8958-0BE6AD214A78}" mc:Ignorable="x14ac xr xr2 xr3">
  <dimension ref="A1:P31"/>
  <sheetViews>
    <sheetView topLeftCell="A1" workbookViewId="0">
      <selection activeCell="P16" sqref="P16"/>
    </sheetView>
  </sheetViews>
  <sheetFormatPr defaultColWidth="9.00390625" customHeight="1" defaultRowHeight="13.5"/>
  <sheetData>
    <row customHeight="1" ht="13.5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 t="s">
        <v>50</v>
      </c>
      <c r="O1" s="127" t="s">
        <v>51</v>
      </c>
      <c r="P1" s="127" t="s">
        <v>52</v>
      </c>
    </row>
    <row customHeight="1" ht="13.5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</row>
    <row customHeight="1" ht="13.5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</row>
    <row customHeight="1" ht="13.5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</row>
    <row customHeight="1" ht="13.5">
      <c r="A5" s="127"/>
      <c r="B5" s="127"/>
      <c r="C5" s="127">
        <v>15502122</v>
      </c>
      <c r="D5" s="127"/>
      <c r="E5" s="127"/>
      <c r="F5" s="127"/>
      <c r="G5" s="127"/>
      <c r="H5" s="127">
        <v>33538300</v>
      </c>
      <c r="I5" s="127"/>
      <c r="J5" s="127"/>
      <c r="K5" s="127"/>
      <c r="L5" s="127"/>
      <c r="M5" s="127"/>
      <c r="N5" s="127"/>
      <c r="O5" s="127"/>
      <c r="P5" s="127"/>
    </row>
    <row customHeight="1" ht="13.5">
      <c r="A6" s="127"/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  <c r="P6" s="127"/>
    </row>
    <row customHeight="1" ht="13.5">
      <c r="A7" s="127"/>
      <c r="B7" s="127"/>
      <c r="C7" s="127"/>
      <c r="D7" s="127"/>
      <c r="E7" s="127"/>
      <c r="F7" s="127"/>
      <c r="G7" s="127"/>
      <c r="H7" s="127">
        <v>17690285</v>
      </c>
      <c r="I7" s="127"/>
      <c r="J7" s="127"/>
      <c r="K7" s="127"/>
      <c r="L7" s="127"/>
      <c r="M7" s="127"/>
      <c r="N7" s="127"/>
      <c r="O7" s="127"/>
      <c r="P7" s="127">
        <v>1268100</v>
      </c>
    </row>
    <row customHeight="1" ht="13.5">
      <c r="A8" s="127"/>
      <c r="B8" s="127"/>
      <c r="C8" s="127">
        <v>0</v>
      </c>
      <c r="D8" s="127"/>
      <c r="E8" s="127"/>
      <c r="F8" s="127"/>
      <c r="G8" s="127"/>
      <c r="H8" s="127">
        <v>8466787</v>
      </c>
      <c r="I8" s="127"/>
      <c r="J8" s="127"/>
      <c r="K8" s="127"/>
      <c r="L8" s="127">
        <v>0</v>
      </c>
      <c r="M8" s="127"/>
      <c r="N8" s="127"/>
      <c r="O8" s="127"/>
      <c r="P8" s="127">
        <v>6900998</v>
      </c>
    </row>
    <row customHeight="1" ht="13.5">
      <c r="A9" s="127"/>
      <c r="B9" s="127">
        <v>147559</v>
      </c>
      <c r="C9" s="127">
        <v>19990403</v>
      </c>
      <c r="D9" s="127"/>
      <c r="E9" s="127"/>
      <c r="F9" s="127"/>
      <c r="G9" s="127"/>
      <c r="H9" s="127"/>
      <c r="I9" s="127"/>
      <c r="J9" s="127"/>
      <c r="K9" s="127"/>
      <c r="L9" s="127">
        <v>0</v>
      </c>
      <c r="M9" s="127"/>
      <c r="N9" s="127"/>
      <c r="O9" s="127"/>
      <c r="P9" s="127">
        <v>11950320</v>
      </c>
    </row>
    <row customHeight="1" ht="13.5">
      <c r="A10" s="127"/>
      <c r="B10" s="127">
        <v>10845531</v>
      </c>
      <c r="C10" s="127">
        <f>_xlfn.IFERROR(SUM(B9,B10),"")</f>
        <v>10993090</v>
      </c>
      <c r="D10" s="127"/>
      <c r="E10" s="127"/>
      <c r="F10" s="127"/>
      <c r="G10" s="127"/>
      <c r="H10" s="127"/>
      <c r="I10" s="127"/>
      <c r="J10" s="127"/>
      <c r="K10" s="127"/>
      <c r="L10" s="127">
        <v>0</v>
      </c>
      <c r="M10" s="127"/>
      <c r="N10" s="127"/>
      <c r="O10" s="127"/>
      <c r="P10" s="127">
        <v>842</v>
      </c>
    </row>
    <row customHeight="1" ht="13.5">
      <c r="A11" s="127"/>
      <c r="B11" s="127"/>
      <c r="C11" s="127"/>
      <c r="D11" s="127"/>
      <c r="E11" s="127"/>
      <c r="F11" s="127"/>
      <c r="G11" s="127"/>
      <c r="H11" s="127">
        <v>2820.8</v>
      </c>
      <c r="I11" s="127"/>
      <c r="J11" s="127"/>
      <c r="K11" s="127"/>
      <c r="L11" s="127">
        <v>0</v>
      </c>
      <c r="M11" s="127"/>
      <c r="N11" s="127"/>
      <c r="O11" s="127"/>
      <c r="P11" s="127">
        <v>510.24</v>
      </c>
    </row>
    <row customHeight="1" ht="13.5">
      <c r="A12" s="127"/>
      <c r="B12" s="127"/>
      <c r="C12" s="127">
        <v>2820.8</v>
      </c>
      <c r="D12" s="127"/>
      <c r="E12" s="127"/>
      <c r="F12" s="127"/>
      <c r="G12" s="127"/>
      <c r="H12" s="127">
        <v>16886.31</v>
      </c>
      <c r="I12" s="127"/>
      <c r="J12" s="127"/>
      <c r="K12" s="127"/>
      <c r="L12" s="127"/>
      <c r="M12" s="127"/>
      <c r="N12" s="127"/>
      <c r="O12" s="127"/>
      <c r="P12" s="127"/>
    </row>
    <row customHeight="1" ht="13.5">
      <c r="A13" s="127"/>
      <c r="B13" s="127"/>
      <c r="C13" s="127">
        <v>33905965</v>
      </c>
      <c r="D13" s="127"/>
      <c r="E13" s="127"/>
      <c r="F13" s="127"/>
      <c r="G13" s="127"/>
      <c r="H13" s="127">
        <v>3582221</v>
      </c>
      <c r="I13" s="127"/>
      <c r="J13" s="127"/>
      <c r="K13" s="127"/>
      <c r="L13" s="127">
        <v>0</v>
      </c>
      <c r="M13" s="127"/>
      <c r="N13" s="127"/>
      <c r="O13" s="127"/>
      <c r="P13" s="127">
        <v>4650.3</v>
      </c>
    </row>
    <row customHeight="1" ht="13.5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>
        <v>0</v>
      </c>
    </row>
    <row customHeight="1" ht="13.5">
      <c r="A15" s="127"/>
      <c r="B15" s="127"/>
      <c r="C15" s="127"/>
      <c r="D15" s="127"/>
      <c r="E15" s="127"/>
      <c r="F15" s="127"/>
      <c r="G15" s="127"/>
      <c r="H15" s="127">
        <v>7668.04</v>
      </c>
      <c r="I15" s="127"/>
      <c r="J15" s="127"/>
      <c r="K15" s="127"/>
      <c r="L15" s="127">
        <v>0</v>
      </c>
      <c r="M15" s="127"/>
      <c r="N15" s="127"/>
      <c r="O15" s="127"/>
      <c r="P15" s="127">
        <v>1674.8</v>
      </c>
    </row>
    <row customHeight="1" ht="13.5">
      <c r="A16" s="127"/>
      <c r="B16" s="127"/>
      <c r="C16" s="127"/>
      <c r="D16" s="127"/>
      <c r="E16" s="127"/>
      <c r="F16" s="127"/>
      <c r="G16" s="127"/>
      <c r="H16" s="127">
        <v>7769.19</v>
      </c>
      <c r="I16" s="127"/>
      <c r="J16" s="127"/>
      <c r="K16" s="127"/>
      <c r="L16" s="127">
        <v>0</v>
      </c>
      <c r="M16" s="127"/>
      <c r="N16" s="127"/>
      <c r="O16" s="127"/>
      <c r="P16" s="219">
        <v>732.54</v>
      </c>
    </row>
    <row customHeight="1" ht="13.5">
      <c r="A17" s="127"/>
      <c r="B17" s="127"/>
      <c r="C17" s="127">
        <v>6426.41</v>
      </c>
      <c r="D17" s="127"/>
      <c r="E17" s="127"/>
      <c r="F17" s="127"/>
      <c r="G17" s="127"/>
      <c r="H17" s="127">
        <v>25.6</v>
      </c>
      <c r="I17" s="127"/>
      <c r="J17" s="127"/>
      <c r="K17" s="127"/>
      <c r="L17" s="127">
        <v>0</v>
      </c>
      <c r="M17" s="127"/>
      <c r="N17" s="127"/>
      <c r="O17" s="127"/>
      <c r="P17" s="127">
        <v>201.1</v>
      </c>
    </row>
    <row customHeight="1" ht="13.5">
      <c r="A18" s="127"/>
      <c r="B18" s="127"/>
      <c r="C18" s="127">
        <v>15210.77</v>
      </c>
      <c r="D18" s="127"/>
      <c r="E18" s="127"/>
      <c r="F18" s="127"/>
      <c r="G18" s="127"/>
      <c r="H18" s="127">
        <v>0</v>
      </c>
      <c r="I18" s="127"/>
      <c r="J18" s="127"/>
      <c r="K18" s="127"/>
      <c r="L18" s="127">
        <v>0</v>
      </c>
      <c r="M18" s="127"/>
      <c r="N18" s="127"/>
      <c r="O18" s="127"/>
      <c r="P18" s="127">
        <v>0</v>
      </c>
    </row>
    <row customHeight="1" ht="13.5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>
        <v>0</v>
      </c>
      <c r="M19" s="127"/>
      <c r="N19" s="127"/>
      <c r="O19" s="127"/>
      <c r="P19" s="127">
        <v>242</v>
      </c>
    </row>
    <row customHeight="1" ht="13.5">
      <c r="A20" s="127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  <c r="P20" s="127"/>
    </row>
    <row customHeight="1" ht="13.5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7"/>
    </row>
    <row customHeight="1" ht="13.5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</row>
    <row customHeight="1" ht="13.5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</row>
    <row customHeight="1" ht="13.5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  <c r="P24" s="127"/>
    </row>
    <row customHeight="1" ht="13.5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</row>
    <row customHeight="1" ht="13.5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  <c r="P26" s="127"/>
    </row>
    <row customHeight="1" ht="13.5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27"/>
    </row>
    <row customHeight="1" ht="13.5">
      <c r="A28" s="127"/>
      <c r="B28" s="127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</row>
    <row customHeight="1" ht="13.5">
      <c r="A29" s="127"/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27"/>
    </row>
    <row customHeight="1" ht="13.5">
      <c r="A30" s="127"/>
      <c r="B30" s="127"/>
      <c r="C30" s="127" t="s">
        <v>47</v>
      </c>
      <c r="D30" s="127"/>
      <c r="E30" s="127"/>
      <c r="F30" s="127"/>
      <c r="G30" s="127"/>
      <c r="H30" s="127"/>
      <c r="I30" s="127"/>
      <c r="J30" s="127"/>
      <c r="K30" s="127"/>
      <c r="L30" s="127"/>
      <c r="M30" s="127"/>
      <c r="N30" s="127"/>
      <c r="O30" s="127"/>
      <c r="P30" s="127"/>
    </row>
    <row customHeight="1" ht="13.5">
      <c r="A31" s="127"/>
      <c r="B31" s="127"/>
      <c r="C31" s="127" t="s">
        <v>49</v>
      </c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生产装置工艺流程图</vt:lpstr>
      <vt:lpstr>取值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dhc</cp:lastModifiedBy>
  <dcterms:created xsi:type="dcterms:W3CDTF">2006-09-16T00:00:00Z</dcterms:created>
  <dcterms:modified xsi:type="dcterms:W3CDTF">2023-08-31T01:23:39Z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316D1BED434A4E74BA26B822943F85D0_12</vt:lpwstr>
  </property>
  <property fmtid="{D5CDD505-2E9C-101B-9397-08002B2CF9AE}" pid="3" name="KSOProductBuildVer">
    <vt:lpwstr>2052-11.1.0.14036</vt:lpwstr>
  </property>
</Properties>
</file>