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生产装置工艺流程图" sheetId="1" r:id="rId2"/>
    <sheet name="取值" sheetId="2" state="hidden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F5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#Input("延炼_生产计划部_延炼生产装置工艺流程图_常压装置_常压石脑油",":key{{dw}}")</t>
        </r>
      </text>
    </comment>
    <comment ref="N5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#Input("延炼_生产计划部_延炼生产装置工艺流程图_气体分馏装置_燃料气",":key{{dw}}")</t>
        </r>
      </text>
    </comment>
    <comment ref="V5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#Input("延炼_生产计划部_延炼生产装置工艺流程图_干气精制装置（100单元）_净化干气",":key{{dw}}")</t>
        </r>
      </text>
    </comment>
    <comment ref="F6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#Input("延炼_生产计划部_延炼生产装置工艺流程图_常压装置_柴油",":key{{dw}}")</t>
        </r>
      </text>
    </comment>
    <comment ref="N6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#Input("延炼_生产计划部_延炼生产装置工艺流程图_气体分馏装置_丙烯",":key{{dw}}")</t>
        </r>
      </text>
    </comment>
    <comment ref="V6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#Input("延炼_生产计划部_延炼生产装置工艺流程图_干气精制装置（100单元）_酸性气",":key{{dw}}")</t>
        </r>
      </text>
    </comment>
    <comment ref="C7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#Input("延炼_生产计划部_延炼生产装置工艺流程图_常压装置_加工量",":key{{dw}}")</t>
        </r>
      </text>
    </comment>
    <comment ref="F7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#Input("延炼_生产计划部_延炼生产装置工艺流程图_常压装置_1#渣油",":key{{dw}}")</t>
        </r>
      </text>
    </comment>
    <comment ref="N7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#Input("延炼_生产计划部_延炼生产装置工艺流程图_气体分馏装置_丙烷",":key{{dw}}")</t>
        </r>
      </text>
    </comment>
    <comment ref="S7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#Input("延炼_生产计划部_延炼生产装置工艺流程图_干气精制装置（100单元）_加工量",":key{{dw}}")</t>
        </r>
      </text>
    </comment>
    <comment ref="V7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#Input("延炼_生产计划部_延炼生产装置工艺流程图_干气精制装置（100单元）_液化气组分",":key{{dw}}")</t>
        </r>
      </text>
    </comment>
    <comment ref="C8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#Input("延炼_生产计划部_延炼生产装置工艺流程图_常压装置_原油",":key{{dw}}")</t>
        </r>
      </text>
    </comment>
    <comment ref="K8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#Input("延炼_生产计划部_延炼生产装置工艺流程图_气体分馏装置_加工量",":key{{dw}}")</t>
        </r>
      </text>
    </comment>
    <comment ref="N8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#Input("延炼_生产计划部_延炼生产装置工艺流程图_气体分馏装置_C4",":key{{dw}}")</t>
        </r>
      </text>
    </comment>
    <comment ref="V8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#Input("延炼_生产计划部_延炼生产装置工艺流程图_干气精制装置（100单元）_瓦斯气",":key{{dw}}")</t>
        </r>
      </text>
    </comment>
    <comment ref="N9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#Input("延炼_生产计划部_延炼生产装置工艺流程图_气体分馏装置_戊烷",":key{{dw}}")</t>
        </r>
      </text>
    </comment>
    <comment ref="F10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#Input("延炼_生产计划部_延炼生产装置工艺流程图_催化装置_石脑油Ⅲ",":key{{dw}}")</t>
        </r>
      </text>
    </comment>
    <comment ref="F11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#Input("延炼_生产计划部_延炼生产装置工艺流程图_催化装置_干气",":key{{dw}}")</t>
        </r>
      </text>
    </comment>
    <comment ref="V11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#Input("延炼_生产计划部_延炼生产装置工艺流程图_乙苯装置（200单元）_乙苯",":key{{dw}}")</t>
        </r>
      </text>
    </comment>
    <comment ref="F12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#Input("延炼_生产计划部_延炼生产装置工艺流程图_催化装置_液化气",":key{{dw}}")</t>
        </r>
      </text>
    </comment>
    <comment ref="V12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#Input("延炼_生产计划部_延炼生产装置工艺流程图_乙苯装置（200单元）_丙苯",":key{{dw}}")</t>
        </r>
      </text>
    </comment>
    <comment ref="F13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#Input("延炼_生产计划部_延炼生产装置工艺流程图_催化装置_汽油",":key{{dw}}")</t>
        </r>
      </text>
    </comment>
    <comment ref="S13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#Input("延炼_生产计划部_延炼生产装置工艺流程图_乙苯装置（200单元）_苯",":key{{dw}}")</t>
        </r>
      </text>
    </comment>
    <comment ref="V13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#Input("延炼_生产计划部_延炼生产装置工艺流程图_乙苯装置（200单元）_高沸物",":key{{dw}}")</t>
        </r>
      </text>
    </comment>
    <comment ref="C14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#Input("延炼_生产计划部_延炼生产装置工艺流程图_催化装置_加工量",":key{{dw}}")</t>
        </r>
      </text>
    </comment>
    <comment ref="F14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#Input("延炼_生产计划部_延炼生产装置工艺流程图_催化装置_柴油",":key{{dw}}")</t>
        </r>
      </text>
    </comment>
    <comment ref="N14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#Input("延炼_生产计划部_延炼生产装置工艺流程图_聚丙烯装置_聚丙烯粒料T30S",":key{{dw}}")</t>
        </r>
      </text>
    </comment>
    <comment ref="S14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#Input("延炼_生产计划部_延炼生产装置工艺流程图_乙苯装置（200单元）_净化干气",":key{{dw}}")</t>
        </r>
      </text>
    </comment>
    <comment ref="V14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#Input("延炼_生产计划部_延炼生产装置工艺流程图_乙苯装置（200单元）_烃化尾气",":key{{dw}}")</t>
        </r>
      </text>
    </comment>
    <comment ref="C15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#Input("延炼_生产计划部_延炼生产装置工艺流程图_催化装置_1#渣油",":key{{dw}}")</t>
        </r>
      </text>
    </comment>
    <comment ref="F15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#Input("延炼_生产计划部_延炼生产装置工艺流程图_催化装置_焦炭",":key{{dw}}")</t>
        </r>
      </text>
    </comment>
    <comment ref="N15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#Input("延炼_生产计划部_延炼生产装置工艺流程图_聚丙烯装置_聚丙烯粉料",":key{{dw}}")</t>
        </r>
      </text>
    </comment>
    <comment ref="S15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#Input("延炼_生产计划部_延炼生产装置工艺流程图_乙苯装置（200单元）_烃化液",":key{{dw}}")</t>
        </r>
      </text>
    </comment>
    <comment ref="F16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#Input("延炼_生产计划部_延炼生产装置工艺流程图_催化装置_2#渣油",":key{{dw}}")</t>
        </r>
      </text>
    </comment>
    <comment ref="N16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#Input("延炼_生产计划部_延炼生产装置工艺流程图_聚丙烯装置_大块料",":key{{dw}}")</t>
        </r>
      </text>
    </comment>
    <comment ref="N17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#Input("延炼_生产计划部_延炼生产装置工艺流程图_聚丙烯装置_过度料",":key{{dw}}")</t>
        </r>
      </text>
    </comment>
    <comment ref="K18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#Input("延炼_生产计划部_延炼生产装置工艺流程图_聚丙烯装置_加工量",":key{{dw}}")</t>
        </r>
      </text>
    </comment>
    <comment ref="N18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#Input("延炼_生产计划部_延炼生产装置工艺流程图_聚丙烯装置_粉尘料",":key{{dw}}")</t>
        </r>
      </text>
    </comment>
    <comment ref="V18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#Input("延炼_生产计划部_延炼生产装置工艺流程图_苯乙烯装置（300单元）_脱氢液",":key{{dw}}")</t>
        </r>
      </text>
    </comment>
    <comment ref="F19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#Input("延炼_生产计划部_延炼生产装置工艺流程图_液化气精制装置_精制液化气",":key{{dw}}")</t>
        </r>
      </text>
    </comment>
    <comment ref="N19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#Input("延炼_生产计划部_延炼生产装置工艺流程图_聚丙烯装置_聚丙烯粒料T36F",":key{{dw}}")</t>
        </r>
      </text>
    </comment>
    <comment ref="V19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#Input("延炼_生产计划部_延炼生产装置工艺流程图_苯乙烯装置（300单元）_脱氢尾气",":key{{dw}}")</t>
        </r>
      </text>
    </comment>
    <comment ref="C20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#Input("延炼_生产计划部_延炼生产装置工艺流程图_液化气精制装置_加工量",":key{{dw}}")</t>
        </r>
      </text>
    </comment>
    <comment ref="F20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#Input("延炼_生产计划部_延炼生产装置工艺流程图_液化气精制装置_酸性气",":key{{dw}}")</t>
        </r>
      </text>
    </comment>
    <comment ref="N20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#Input("延炼_生产计划部_延炼生产装置工艺流程图_聚丙烯装置_轻度氧化品",":key{{dw}}")</t>
        </r>
      </text>
    </comment>
    <comment ref="S20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#Input("延炼_生产计划部_延炼生产装置工艺流程图_苯乙烯装置（300单元）_乙苯",":key{{dw}}")</t>
        </r>
      </text>
    </comment>
    <comment ref="N21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#Input("延炼_生产计划部_延炼生产装置工艺流程图_聚丙烯装置_回收气OG",":key{{dw}}")</t>
        </r>
      </text>
    </comment>
    <comment ref="S21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#Input("延炼_生产计划部_延炼生产装置工艺流程图_苯乙烯装置（300单元）_高沸物",":key{{dw}}")</t>
        </r>
      </text>
    </comment>
    <comment ref="F23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#Input("延炼_生产计划部_延炼生产装置工艺流程图_醋酸仲丁酯装置_醋酸仲丁酯",":key{{dw}}")</t>
        </r>
      </text>
    </comment>
    <comment ref="C24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#Input("延炼_生产计划部_延炼生产装置工艺流程图_醋酸仲丁酯装置_加工量",":key{{dw}}")</t>
        </r>
      </text>
    </comment>
    <comment ref="F24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#Input("延炼_生产计划部_延炼生产装置工艺流程图_醋酸仲丁酯装置_酯后C4",":key{{dw}}")</t>
        </r>
      </text>
    </comment>
    <comment ref="V24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#Input("延炼_生产计划部_延炼生产装置工艺流程图_苯乙烯装置（400单元）_苯乙烯",":key{{dw}}")</t>
        </r>
      </text>
    </comment>
    <comment ref="C25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#Input("延炼_生产计划部_延炼生产装置工艺流程图_醋酸仲丁酯装置_醋酸",":key{{dw}}")</t>
        </r>
      </text>
    </comment>
    <comment ref="F25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#Input("延炼_生产计划部_延炼生产装置工艺流程图_醋酸仲丁酯装置_粗酯",":key{{dw}}")</t>
        </r>
      </text>
    </comment>
    <comment ref="N25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#Input("延炼_生产计划部_延炼生产装置工艺流程图_航煤加氢装置_3#喷气燃料",":key{{dw}}")</t>
        </r>
      </text>
    </comment>
    <comment ref="V25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#Input("延炼_生产计划部_延炼生产装置工艺流程图_苯乙烯装置（400单元）_甲苯",":key{{dw}}")</t>
        </r>
      </text>
    </comment>
    <comment ref="C26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#Input("延炼_生产计划部_延炼生产装置工艺流程图_醋酸仲丁酯装置_醚后C4",":key{{dw}}")</t>
        </r>
      </text>
    </comment>
    <comment ref="F26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#Input("延炼_生产计划部_延炼生产装置工艺流程图_醋酸仲丁酯装置_C12",":key{{dw}}")</t>
        </r>
      </text>
    </comment>
    <comment ref="N26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#Input("延炼_生产计划部_延炼生产装置工艺流程图_航煤加氢装置_石脑油",":key{{dw}}")</t>
        </r>
      </text>
    </comment>
    <comment ref="V26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#Input("延炼_生产计划部_延炼生产装置工艺流程图_苯乙烯装置（400单元）_苯",":key{{dw}}")</t>
        </r>
      </text>
    </comment>
    <comment ref="N27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#Input("延炼_生产计划部_延炼生产装置工艺流程图_航煤加氢装置_酸性气",":key{{dw}}")</t>
        </r>
      </text>
    </comment>
    <comment ref="S27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#Input("延炼_生产计划部_延炼生产装置工艺流程图_苯乙烯装置（400单元）_加工量",":key{{dw}}")</t>
        </r>
      </text>
    </comment>
    <comment ref="V27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#Input("延炼_生产计划部_延炼生产装置工艺流程图_苯乙烯装置（400单元）_焦油",":key{{dw}}")</t>
        </r>
      </text>
    </comment>
    <comment ref="K28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#Input("延炼_生产计划部_延炼生产装置工艺流程图_航煤加氢装置_常一线",":key{{dw}}")</t>
        </r>
      </text>
    </comment>
    <comment ref="N28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#Input("延炼_生产计划部_延炼生产装置工艺流程图_航煤加氢装置_酸性水",":key{{dw}}")</t>
        </r>
      </text>
    </comment>
    <comment ref="V28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#Input("延炼_生产计划部_延炼生产装置工艺流程图_苯乙烯装置（400单元）_乙苯",":key{{dw}}")</t>
        </r>
      </text>
    </comment>
    <comment ref="C29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#Input("延炼_生产计划部_延炼生产装置工艺流程图_MTBE装置_加工量",":key{{dw}}")</t>
        </r>
      </text>
    </comment>
    <comment ref="F29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#Input("延炼_生产计划部_延炼生产装置工艺流程图_MTBE装置_MTBE",":key{{dw}}")</t>
        </r>
      </text>
    </comment>
    <comment ref="K29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#Input("延炼_生产计划部_延炼生产装置工艺流程图_航煤加氢装置_氢气",":key{{dw}}")</t>
        </r>
      </text>
    </comment>
    <comment ref="N29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#Input("延炼_生产计划部_延炼生产装置工艺流程图_航煤加氢装置_污油",":key{{dw}}")</t>
        </r>
      </text>
    </comment>
    <comment ref="C30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#Input("延炼_生产计划部_延炼生产装置工艺流程图_MTBE装置_C4",":key{{dw}}")</t>
        </r>
      </text>
    </comment>
    <comment ref="F30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#Input("延炼_生产计划部_延炼生产装置工艺流程图_MTBE装置_醚后C4",":key{{dw}}")</t>
        </r>
      </text>
    </comment>
    <comment ref="N30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#Input("延炼_生产计划部_延炼生产装置工艺流程图_航煤加氢装置_不合格3#喷气燃料",":key{{dw}}")</t>
        </r>
      </text>
    </comment>
    <comment ref="C31" authorId="0">
      <text>
        <r>
          <rPr>
            <b/>
            <sz val="9"/>
            <color indexed="81"/>
            <rFont val="宋体"/>
            <family val="2"/>
          </rPr>
          <t>#Input("延炼_生产计划部_延炼生产装置工艺流程图_MTBE装置_甲醇",":key{{dw}}")</t>
        </r>
      </text>
    </comment>
    <comment ref="F32" authorId="0">
      <text>
        <r>
          <rPr>
            <b/>
            <sz val="9"/>
            <color indexed="81"/>
            <rFont val="宋体"/>
            <family val="2"/>
          </rPr>
          <t>#Input("延炼_延安炼油厂生产装置工艺流程图_单位负责人",":key{{dw}}")</t>
        </r>
      </text>
    </comment>
    <comment ref="N32" authorId="0">
      <text>
        <r>
          <rPr>
            <b/>
            <sz val="9"/>
            <color indexed="81"/>
            <rFont val="宋体"/>
            <family val="2"/>
          </rPr>
          <t>#Input("延炼_延安炼油厂生产装置工艺流程图_填报人",":key{{dw}}")</t>
        </r>
      </text>
    </comment>
  </commentList>
</comments>
</file>

<file path=xl/sharedStrings.xml><?xml version="1.0" encoding="utf-8"?>
<sst xmlns="http://schemas.openxmlformats.org/spreadsheetml/2006/main" count="418" uniqueCount="89">
  <si>
    <t>延安炼油厂生产装置工艺流程图</t>
  </si>
  <si>
    <t>生产装置工艺流程图</t>
  </si>
  <si>
    <t>编制单位：延安炼油厂</t>
  </si>
  <si>
    <t/>
  </si>
  <si>
    <t>日期：</t>
  </si>
  <si>
    <t>2025-12</t>
  </si>
  <si>
    <t>陕油炼计统B202表</t>
  </si>
  <si>
    <t>常压石脑油</t>
  </si>
  <si>
    <t>%</t>
  </si>
  <si>
    <t>燃料气</t>
  </si>
  <si>
    <t>净化干气</t>
  </si>
  <si>
    <t>常压装置</t>
  </si>
  <si>
    <t>柴油</t>
  </si>
  <si>
    <t>丙烯</t>
  </si>
  <si>
    <t>干气精制装置（100单元）</t>
  </si>
  <si>
    <t>酸性气</t>
  </si>
  <si>
    <t>加工量</t>
  </si>
  <si>
    <t>1#渣油</t>
  </si>
  <si>
    <t>气体分馏装置</t>
  </si>
  <si>
    <t>丙烷</t>
  </si>
  <si>
    <t>液化气组分</t>
  </si>
  <si>
    <t>其中：原油</t>
  </si>
  <si>
    <t>损失</t>
  </si>
  <si>
    <t>C4</t>
  </si>
  <si>
    <t>瓦斯气</t>
  </si>
  <si>
    <t>戊烷</t>
  </si>
  <si>
    <t>石脑油Ⅲ</t>
  </si>
  <si>
    <t>干气</t>
  </si>
  <si>
    <t>乙苯装置（200单元）</t>
  </si>
  <si>
    <t>乙苯</t>
  </si>
  <si>
    <t>液化气</t>
  </si>
  <si>
    <t>丙苯</t>
  </si>
  <si>
    <t>催化装置</t>
  </si>
  <si>
    <t>汽油</t>
  </si>
  <si>
    <t>聚丙烯合计</t>
  </si>
  <si>
    <t>其中：苯</t>
  </si>
  <si>
    <t>高沸物</t>
  </si>
  <si>
    <t>聚丙烯粒料T30S</t>
  </si>
  <si>
    <t>烃化尾气</t>
  </si>
  <si>
    <t>其中：1#渣油</t>
  </si>
  <si>
    <t>焦碳</t>
  </si>
  <si>
    <t>聚丙烯粉料</t>
  </si>
  <si>
    <t>烃化液</t>
  </si>
  <si>
    <t>2#渣油</t>
  </si>
  <si>
    <t>大块料</t>
  </si>
  <si>
    <t>聚丙烯装置</t>
  </si>
  <si>
    <t>过度料</t>
  </si>
  <si>
    <t>粉尘料</t>
  </si>
  <si>
    <t>苯乙烯装置（300单元）</t>
  </si>
  <si>
    <t>脱氢液</t>
  </si>
  <si>
    <t>液化气精制装置</t>
  </si>
  <si>
    <t>精制液化气</t>
  </si>
  <si>
    <t>聚丙烯粒料T36F</t>
  </si>
  <si>
    <t>脱氢尾气</t>
  </si>
  <si>
    <t>轻度氧化品</t>
  </si>
  <si>
    <t>其中：乙苯</t>
  </si>
  <si>
    <t>回收气OG</t>
  </si>
  <si>
    <t>醋酸仲丁酯装置</t>
  </si>
  <si>
    <t>醋酸仲丁酯</t>
  </si>
  <si>
    <t>酯后C4</t>
  </si>
  <si>
    <t>苯乙烯</t>
  </si>
  <si>
    <t>其中：醋酸</t>
  </si>
  <si>
    <t>粗酯</t>
  </si>
  <si>
    <t>3#喷气燃料</t>
  </si>
  <si>
    <t>甲苯</t>
  </si>
  <si>
    <t>醚后C4</t>
  </si>
  <si>
    <t>C12</t>
  </si>
  <si>
    <t>航煤加氢装置</t>
  </si>
  <si>
    <t>石脑油</t>
  </si>
  <si>
    <t>苯乙烯装置（400单元）</t>
  </si>
  <si>
    <t>苯</t>
  </si>
  <si>
    <t>损失量</t>
  </si>
  <si>
    <t>焦油</t>
  </si>
  <si>
    <t>MTBE装置</t>
  </si>
  <si>
    <t>其中：常一线</t>
  </si>
  <si>
    <t>酸性水</t>
  </si>
  <si>
    <t>MTBE</t>
  </si>
  <si>
    <t>氢气</t>
  </si>
  <si>
    <t>污油</t>
  </si>
  <si>
    <t>其中：C4</t>
  </si>
  <si>
    <t>航煤组分油</t>
  </si>
  <si>
    <t>甲醇</t>
  </si>
  <si>
    <t>单位负责人：</t>
  </si>
  <si>
    <t>王静</t>
  </si>
  <si>
    <t>填报人：</t>
  </si>
  <si>
    <t>黄宏飞</t>
  </si>
  <si>
    <t>报出日期：</t>
  </si>
  <si>
    <t>报表生成时间：</t>
  </si>
  <si>
    <t xml:space="preserve"> 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</si>
</sst>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yyyy\-mm\-dd"/>
  </numFmts>
  <fonts count="24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1"/>
      <color rgb="FF000000"/>
      <name val="等线"/>
    </font>
    <font>
      <b/>
      <sz val="11"/>
      <color rgb="FF000000"/>
      <name val="等线"/>
    </font>
    <font>
      <sz val="11"/>
      <color auto="1"/>
      <name val="等线"/>
    </font>
    <font>
      <sz val="11"/>
      <color theme="1"/>
      <name val="等线"/>
    </font>
    <font>
      <sz val="11"/>
      <color rgb="FF000000"/>
      <name val="Calibri"/>
      <scheme val="minor"/>
    </font>
    <font>
      <b/>
      <sz val="18"/>
      <color auto="1"/>
      <name val="等线"/>
    </font>
  </fonts>
  <fills count="34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35"/>
      </patternFill>
    </fill>
  </fills>
  <borders count="32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</borders>
  <cellStyleXfs count="47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</cellStyleXfs>
  <cellXfs count="177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2" fontId="18" fillId="0" borderId="10" xfId="0" applyFont="1" applyBorder="1" applyNumberFormat="1">
      <alignment horizontal="right" vertical="center"/>
    </xf>
    <xf numFmtId="2" fontId="19" fillId="0" borderId="10" xfId="0" applyFont="1" applyBorder="1" applyNumberFormat="1">
      <alignment horizontal="center" vertical="center"/>
    </xf>
    <xf numFmtId="49" fontId="19" fillId="0" borderId="10" xfId="0" applyFont="1" applyBorder="1" applyNumberFormat="1">
      <alignment vertical="center"/>
    </xf>
    <xf numFmtId="2" fontId="18" fillId="0" borderId="11" xfId="0" applyFont="1" applyBorder="1" applyNumberFormat="1">
      <alignment horizontal="left" vertical="center"/>
    </xf>
    <xf numFmtId="1" fontId="18" fillId="7" borderId="11" xfId="0" applyFont="1" applyFill="1" applyBorder="1" applyNumberFormat="1">
      <alignment horizontal="right" vertical="center"/>
    </xf>
    <xf numFmtId="2" fontId="18" fillId="0" borderId="11" xfId="0" applyFont="1" applyBorder="1" applyNumberFormat="1">
      <alignment horizontal="right" vertical="center"/>
    </xf>
    <xf numFmtId="1" fontId="18" fillId="7" borderId="12" xfId="0" applyFont="1" applyFill="1" applyBorder="1" applyNumberFormat="1">
      <alignment horizontal="right" vertical="center"/>
    </xf>
    <xf numFmtId="2" fontId="18" fillId="0" borderId="12" xfId="0" applyFont="1" applyBorder="1" applyNumberFormat="1">
      <alignment horizontal="left" vertical="center"/>
    </xf>
    <xf numFmtId="2" fontId="18" fillId="0" borderId="13" xfId="0" applyFont="1" applyBorder="1" applyNumberFormat="1">
      <alignment horizontal="left" vertical="center"/>
    </xf>
    <xf numFmtId="2" fontId="18" fillId="0" borderId="11" xfId="0" applyFont="1" applyBorder="1" applyNumberFormat="1">
      <alignment horizontal="center" vertical="center"/>
    </xf>
    <xf numFmtId="2" fontId="18" fillId="0" borderId="14" xfId="0" applyFont="1" applyBorder="1" applyNumberFormat="1">
      <alignment horizontal="left" vertical="center"/>
    </xf>
    <xf numFmtId="1" fontId="18" fillId="0" borderId="11" xfId="0" applyFont="1" applyBorder="1" applyNumberFormat="1">
      <alignment horizontal="right" vertical="center"/>
    </xf>
    <xf numFmtId="2" fontId="18" fillId="0" borderId="15" xfId="0" applyFont="1" applyBorder="1" applyNumberFormat="1">
      <alignment horizontal="left" vertical="center"/>
    </xf>
    <xf numFmtId="2" fontId="18" fillId="0" borderId="16" xfId="0" applyFont="1" applyBorder="1" applyNumberFormat="1">
      <alignment horizontal="left" vertical="center"/>
    </xf>
    <xf numFmtId="2" fontId="18" fillId="0" borderId="17" xfId="0" applyFont="1" applyBorder="1" applyNumberFormat="1">
      <alignment horizontal="left" vertical="center"/>
    </xf>
    <xf numFmtId="1" fontId="18" fillId="0" borderId="16" xfId="0" applyFont="1" applyBorder="1" applyNumberFormat="1">
      <alignment horizontal="center" vertical="center"/>
    </xf>
    <xf numFmtId="2" fontId="18" fillId="0" borderId="16" xfId="0" applyFont="1" applyBorder="1" applyNumberFormat="1">
      <alignment horizontal="center" vertical="center"/>
    </xf>
    <xf numFmtId="2" fontId="18" fillId="0" borderId="16" xfId="0" applyFont="1" applyBorder="1" applyNumberFormat="1">
      <alignment horizontal="right" vertical="center"/>
    </xf>
    <xf numFmtId="2" fontId="20" fillId="0" borderId="18" xfId="0" applyFont="1" applyBorder="1" applyNumberFormat="1">
      <alignment horizontal="right" vertical="center"/>
    </xf>
    <xf numFmtId="1" fontId="18" fillId="7" borderId="19" xfId="0" applyFont="1" applyFill="1" applyBorder="1" applyNumberFormat="1">
      <alignment horizontal="right" vertical="center"/>
    </xf>
    <xf numFmtId="2" fontId="18" fillId="0" borderId="19" xfId="0" applyFont="1" applyBorder="1" applyNumberFormat="1">
      <alignment horizontal="left" vertical="center"/>
    </xf>
    <xf numFmtId="2" fontId="18" fillId="0" borderId="19" xfId="0" applyFont="1" applyBorder="1" applyNumberFormat="1">
      <alignment horizontal="right" vertical="center"/>
    </xf>
    <xf numFmtId="2" fontId="18" fillId="0" borderId="20" xfId="0" applyFont="1" applyBorder="1" applyNumberFormat="1">
      <alignment horizontal="left" vertical="center"/>
    </xf>
    <xf numFmtId="2" fontId="18" fillId="0" borderId="0" xfId="0" applyFont="1" applyNumberFormat="1">
      <alignment horizontal="center" vertical="center"/>
    </xf>
    <xf numFmtId="2" fontId="18" fillId="0" borderId="0" xfId="0" applyFont="1" applyNumberFormat="1">
      <alignment horizontal="left" vertical="center"/>
    </xf>
    <xf numFmtId="1" fontId="18" fillId="0" borderId="0" xfId="0" applyFont="1" applyNumberFormat="1">
      <alignment horizontal="left" vertical="center"/>
    </xf>
    <xf numFmtId="1" fontId="18" fillId="0" borderId="0" xfId="0" applyFont="1" applyNumberFormat="1">
      <alignment horizontal="center" vertical="center"/>
    </xf>
    <xf numFmtId="2" fontId="18" fillId="0" borderId="21" xfId="0" applyFont="1" applyBorder="1" applyNumberFormat="1">
      <alignment horizontal="center" vertical="center"/>
    </xf>
    <xf numFmtId="1" fontId="18" fillId="0" borderId="22" xfId="0" applyFont="1" applyBorder="1" applyNumberFormat="1">
      <alignment horizontal="center" vertical="center"/>
    </xf>
    <xf numFmtId="2" fontId="18" fillId="0" borderId="20" xfId="0" applyFont="1" applyBorder="1" applyNumberFormat="1">
      <alignment horizontal="center" vertical="center"/>
    </xf>
    <xf numFmtId="1" fontId="18" fillId="0" borderId="0" xfId="0" applyFont="1" applyNumberFormat="1">
      <alignment horizontal="right" vertical="center"/>
    </xf>
    <xf numFmtId="2" fontId="18" fillId="0" borderId="0" xfId="0" applyFont="1" applyNumberFormat="1">
      <alignment horizontal="right" vertical="center"/>
    </xf>
    <xf numFmtId="2" fontId="18" fillId="0" borderId="21" xfId="0" applyFont="1" applyBorder="1" applyNumberFormat="1">
      <alignment horizontal="left" vertical="center"/>
    </xf>
    <xf numFmtId="0" fontId="21" fillId="0" borderId="0" xfId="0" applyFont="1"/>
    <xf numFmtId="0" fontId="21" fillId="0" borderId="20" xfId="0" applyFont="1" applyBorder="1"/>
    <xf numFmtId="2" fontId="18" fillId="0" borderId="23" xfId="0" applyFont="1" applyBorder="1" applyNumberFormat="1">
      <alignment horizontal="left" vertical="center"/>
    </xf>
    <xf numFmtId="2" fontId="18" fillId="0" borderId="24" xfId="0" applyFont="1" applyBorder="1" applyNumberFormat="1">
      <alignment horizontal="left" vertical="center"/>
    </xf>
    <xf numFmtId="0" fontId="21" fillId="0" borderId="24" xfId="0" applyFont="1" applyBorder="1"/>
    <xf numFmtId="0" fontId="21" fillId="0" borderId="25" xfId="0" applyFont="1" applyBorder="1"/>
    <xf numFmtId="49" fontId="20" fillId="0" borderId="10" xfId="0" applyFont="1" applyBorder="1" applyNumberFormat="1">
      <alignment horizontal="left" vertical="center"/>
    </xf>
    <xf numFmtId="2" fontId="18" fillId="0" borderId="0" xfId="0" applyFont="1" applyNumberFormat="1">
      <alignment horizontal="right" vertical="center"/>
    </xf>
    <xf numFmtId="2" fontId="18" fillId="0" borderId="26" xfId="0" applyFont="1" applyBorder="1" applyNumberFormat="1">
      <alignment horizontal="right" vertical="center"/>
    </xf>
    <xf numFmtId="0" fontId="22" fillId="0" borderId="0" xfId="0" applyFont="1">
      <alignment vertical="top"/>
    </xf>
    <xf numFmtId="171" fontId="22" fillId="0" borderId="0" xfId="0" applyFont="1" applyNumberFormat="1">
      <alignment vertical="top"/>
    </xf>
    <xf numFmtId="171" fontId="0" fillId="0" borderId="0" xfId="0" applyFont="1" applyNumberFormat="1"/>
    <xf numFmtId="0" fontId="21" fillId="0" borderId="0" xfId="0" applyFont="1"/>
    <xf numFmtId="2" fontId="18" fillId="33" borderId="16" xfId="0" applyFont="1" applyFill="1" applyBorder="1" applyNumberFormat="1">
      <alignment horizontal="center" vertical="center"/>
    </xf>
    <xf numFmtId="2" fontId="18" fillId="33" borderId="11" xfId="0" applyFont="1" applyFill="1" applyBorder="1" applyNumberFormat="1">
      <alignment horizontal="center" vertical="center"/>
    </xf>
    <xf numFmtId="49" fontId="20" fillId="0" borderId="10" xfId="0" applyFont="1" applyBorder="1" applyNumberFormat="1">
      <alignment horizontal="right" vertical="center"/>
    </xf>
    <xf numFmtId="2" fontId="18" fillId="33" borderId="27" xfId="0" applyFont="1" applyFill="1" applyBorder="1" applyNumberFormat="1">
      <alignment horizontal="center" vertical="center"/>
    </xf>
    <xf numFmtId="2" fontId="18" fillId="33" borderId="28" xfId="0" applyFont="1" applyFill="1" applyBorder="1" applyNumberFormat="1">
      <alignment horizontal="center" vertical="center"/>
    </xf>
    <xf numFmtId="0" fontId="21" fillId="7" borderId="26" xfId="0" applyFont="1" applyFill="1" applyBorder="1">
      <alignment horizontal="left" vertical="center"/>
    </xf>
    <xf numFmtId="171" fontId="21" fillId="0" borderId="26" xfId="0" applyFont="1" applyBorder="1" applyNumberFormat="1">
      <alignment horizontal="left" vertical="center"/>
    </xf>
    <xf numFmtId="2" fontId="23" fillId="0" borderId="29" xfId="0" applyFont="1" applyBorder="1" applyNumberFormat="1">
      <alignment horizontal="center" vertical="center"/>
    </xf>
    <xf numFmtId="2" fontId="23" fillId="0" borderId="26" xfId="0" applyFont="1" applyBorder="1" applyNumberFormat="1">
      <alignment horizontal="center" vertical="center"/>
    </xf>
    <xf numFmtId="2" fontId="23" fillId="0" borderId="30" xfId="0" applyFont="1" applyBorder="1" applyNumberFormat="1">
      <alignment horizontal="center" vertical="center"/>
    </xf>
    <xf numFmtId="2" fontId="18" fillId="0" borderId="27" xfId="0" applyFont="1" applyBorder="1" applyNumberFormat="1">
      <alignment horizontal="left" vertical="center"/>
    </xf>
    <xf numFmtId="2" fontId="18" fillId="0" borderId="10" xfId="0" applyFont="1" applyBorder="1" applyNumberFormat="1">
      <alignment horizontal="left" vertical="center"/>
    </xf>
    <xf numFmtId="2" fontId="18" fillId="0" borderId="10" xfId="0" applyFont="1" applyBorder="1" applyNumberFormat="1">
      <alignment horizontal="right" vertical="center"/>
    </xf>
    <xf numFmtId="2" fontId="18" fillId="0" borderId="31" xfId="0" applyFont="1" applyBorder="1" applyNumberFormat="1">
      <alignment horizontal="right" vertical="center"/>
    </xf>
    <xf numFmtId="2" fontId="18" fillId="0" borderId="0" xfId="0" applyFont="1" applyNumberFormat="1">
      <alignment horizontal="center" vertical="center"/>
    </xf>
    <xf numFmtId="0" fontId="0" fillId="0" borderId="0" xfId="0" applyFont="1">
      <alignment wrapText="1"/>
    </xf>
    <xf numFmtId="2" fontId="23" fillId="0" borderId="29" xfId="0" applyFont="1" applyBorder="1" applyNumberFormat="1">
      <alignment horizontal="center" vertical="center" wrapText="1"/>
    </xf>
    <xf numFmtId="2" fontId="23" fillId="0" borderId="26" xfId="0" applyFont="1" applyBorder="1" applyNumberFormat="1">
      <alignment horizontal="center" vertical="center" wrapText="1"/>
    </xf>
    <xf numFmtId="2" fontId="23" fillId="0" borderId="30" xfId="0" applyFont="1" applyBorder="1" applyNumberFormat="1">
      <alignment horizontal="center" vertical="center" wrapText="1"/>
    </xf>
    <xf numFmtId="2" fontId="18" fillId="0" borderId="27" xfId="0" applyFont="1" applyBorder="1" applyNumberFormat="1">
      <alignment horizontal="left" vertical="center" wrapText="1"/>
    </xf>
    <xf numFmtId="2" fontId="18" fillId="0" borderId="10" xfId="0" applyFont="1" applyBorder="1" applyNumberFormat="1">
      <alignment horizontal="left" vertical="center" wrapText="1"/>
    </xf>
    <xf numFmtId="2" fontId="18" fillId="0" borderId="10" xfId="0" applyFont="1" applyBorder="1" applyNumberFormat="1">
      <alignment horizontal="right" vertical="center" wrapText="1"/>
    </xf>
    <xf numFmtId="2" fontId="19" fillId="0" borderId="10" xfId="0" applyFont="1" applyBorder="1" applyNumberFormat="1">
      <alignment horizontal="center" vertical="center" wrapText="1"/>
    </xf>
    <xf numFmtId="49" fontId="20" fillId="0" borderId="10" xfId="0" applyFont="1" applyBorder="1" applyNumberFormat="1">
      <alignment horizontal="right" vertical="center" wrapText="1"/>
    </xf>
    <xf numFmtId="49" fontId="20" fillId="0" borderId="10" xfId="0" applyFont="1" applyBorder="1" applyNumberFormat="1">
      <alignment horizontal="left" vertical="center" wrapText="1"/>
    </xf>
    <xf numFmtId="49" fontId="19" fillId="0" borderId="10" xfId="0" applyFont="1" applyBorder="1" applyNumberFormat="1">
      <alignment vertical="center" wrapText="1"/>
    </xf>
    <xf numFmtId="2" fontId="18" fillId="0" borderId="10" xfId="0" applyFont="1" applyBorder="1" applyNumberFormat="1">
      <alignment horizontal="right" vertical="center" wrapText="1"/>
    </xf>
    <xf numFmtId="2" fontId="18" fillId="0" borderId="31" xfId="0" applyFont="1" applyBorder="1" applyNumberFormat="1">
      <alignment horizontal="right" vertical="center" wrapText="1"/>
    </xf>
    <xf numFmtId="2" fontId="18" fillId="0" borderId="20" xfId="0" applyFont="1" applyBorder="1" applyNumberFormat="1">
      <alignment horizontal="left" vertical="center" wrapText="1"/>
    </xf>
    <xf numFmtId="2" fontId="18" fillId="0" borderId="0" xfId="0" applyFont="1" applyNumberFormat="1">
      <alignment horizontal="center" vertical="center" wrapText="1"/>
    </xf>
    <xf numFmtId="2" fontId="18" fillId="0" borderId="0" xfId="0" applyFont="1" applyNumberFormat="1">
      <alignment horizontal="left" vertical="center" wrapText="1"/>
    </xf>
    <xf numFmtId="1" fontId="18" fillId="0" borderId="0" xfId="0" applyFont="1" applyNumberFormat="1">
      <alignment horizontal="left" vertical="center" wrapText="1"/>
    </xf>
    <xf numFmtId="1" fontId="18" fillId="0" borderId="0" xfId="0" applyFont="1" applyNumberFormat="1">
      <alignment horizontal="center" vertical="center" wrapText="1"/>
    </xf>
    <xf numFmtId="2" fontId="18" fillId="0" borderId="21" xfId="0" applyFont="1" applyBorder="1" applyNumberFormat="1">
      <alignment horizontal="center" vertical="center" wrapText="1"/>
    </xf>
    <xf numFmtId="2" fontId="18" fillId="0" borderId="11" xfId="0" applyFont="1" applyBorder="1" applyNumberFormat="1">
      <alignment horizontal="left" vertical="center" wrapText="1"/>
    </xf>
    <xf numFmtId="1" fontId="18" fillId="7" borderId="11" xfId="0" applyFont="1" applyFill="1" applyBorder="1" applyNumberFormat="1">
      <alignment horizontal="right" vertical="center" wrapText="1"/>
      <protection locked="0"/>
    </xf>
    <xf numFmtId="2" fontId="18" fillId="0" borderId="11" xfId="0" applyFont="1" applyBorder="1" applyNumberFormat="1">
      <alignment horizontal="right" vertical="center" wrapText="1"/>
    </xf>
    <xf numFmtId="2" fontId="18" fillId="0" borderId="17" xfId="0" applyFont="1" applyBorder="1" applyNumberFormat="1">
      <alignment horizontal="left" vertical="center" wrapText="1"/>
    </xf>
    <xf numFmtId="2" fontId="18" fillId="33" borderId="16" xfId="0" applyFont="1" applyFill="1" applyBorder="1" applyNumberFormat="1">
      <alignment horizontal="center" vertical="center" wrapText="1"/>
    </xf>
    <xf numFmtId="2" fontId="18" fillId="33" borderId="11" xfId="0" applyFont="1" applyFill="1" applyBorder="1" applyNumberFormat="1">
      <alignment horizontal="center" vertical="center" wrapText="1"/>
    </xf>
    <xf numFmtId="1" fontId="18" fillId="0" borderId="22" xfId="0" applyFont="1" applyBorder="1" applyNumberFormat="1">
      <alignment horizontal="center" vertical="center" wrapText="1"/>
    </xf>
    <xf numFmtId="1" fontId="18" fillId="7" borderId="12" xfId="0" applyFont="1" applyFill="1" applyBorder="1" applyNumberFormat="1">
      <alignment horizontal="right" vertical="center" wrapText="1"/>
      <protection locked="0"/>
    </xf>
    <xf numFmtId="2" fontId="18" fillId="0" borderId="12" xfId="0" applyFont="1" applyBorder="1" applyNumberFormat="1">
      <alignment horizontal="left" vertical="center" wrapText="1"/>
    </xf>
    <xf numFmtId="2" fontId="18" fillId="0" borderId="13" xfId="0" applyFont="1" applyBorder="1" applyNumberFormat="1">
      <alignment horizontal="left" vertical="center" wrapText="1"/>
    </xf>
    <xf numFmtId="2" fontId="18" fillId="0" borderId="11" xfId="0" applyFont="1" applyBorder="1" applyNumberFormat="1">
      <alignment horizontal="center" vertical="center" wrapText="1"/>
    </xf>
    <xf numFmtId="2" fontId="18" fillId="0" borderId="14" xfId="0" applyFont="1" applyBorder="1" applyNumberFormat="1">
      <alignment horizontal="left" vertical="center" wrapText="1"/>
    </xf>
    <xf numFmtId="2" fontId="18" fillId="0" borderId="16" xfId="0" applyFont="1" applyBorder="1" applyNumberFormat="1">
      <alignment horizontal="center" vertical="center" wrapText="1"/>
    </xf>
    <xf numFmtId="1" fontId="18" fillId="7" borderId="11" xfId="0" applyFont="1" applyFill="1" applyBorder="1" applyNumberFormat="1">
      <alignment horizontal="right" vertical="center" wrapText="1"/>
    </xf>
    <xf numFmtId="2" fontId="18" fillId="0" borderId="20" xfId="0" applyFont="1" applyBorder="1" applyNumberFormat="1">
      <alignment horizontal="center" vertical="center" wrapText="1"/>
    </xf>
    <xf numFmtId="1" fontId="18" fillId="0" borderId="0" xfId="0" applyFont="1" applyNumberFormat="1">
      <alignment horizontal="right" vertical="center" wrapText="1"/>
    </xf>
    <xf numFmtId="2" fontId="18" fillId="0" borderId="0" xfId="0" applyFont="1" applyNumberFormat="1">
      <alignment horizontal="right" vertical="center" wrapText="1"/>
    </xf>
    <xf numFmtId="2" fontId="18" fillId="0" borderId="21" xfId="0" applyFont="1" applyBorder="1" applyNumberFormat="1">
      <alignment horizontal="left" vertical="center" wrapText="1"/>
    </xf>
    <xf numFmtId="1" fontId="18" fillId="0" borderId="11" xfId="0" applyFont="1" applyBorder="1" applyNumberFormat="1">
      <alignment horizontal="right" vertical="center" wrapText="1"/>
    </xf>
    <xf numFmtId="2" fontId="18" fillId="0" borderId="15" xfId="0" applyFont="1" applyBorder="1" applyNumberFormat="1">
      <alignment horizontal="left" vertical="center" wrapText="1"/>
    </xf>
    <xf numFmtId="1" fontId="18" fillId="0" borderId="16" xfId="0" applyFont="1" applyBorder="1" applyNumberFormat="1">
      <alignment horizontal="center" vertical="center" wrapText="1"/>
    </xf>
    <xf numFmtId="2" fontId="18" fillId="0" borderId="0" xfId="0" applyFont="1" applyNumberFormat="1">
      <alignment horizontal="center" vertical="center" wrapText="1"/>
    </xf>
    <xf numFmtId="2" fontId="18" fillId="33" borderId="27" xfId="0" applyFont="1" applyFill="1" applyBorder="1" applyNumberFormat="1">
      <alignment horizontal="center" vertical="center" wrapText="1"/>
    </xf>
    <xf numFmtId="2" fontId="18" fillId="33" borderId="28" xfId="0" applyFont="1" applyFill="1" applyBorder="1" applyNumberFormat="1">
      <alignment horizontal="center" vertical="center" wrapText="1"/>
    </xf>
    <xf numFmtId="0" fontId="21" fillId="0" borderId="0" xfId="0" applyFont="1">
      <alignment wrapText="1"/>
    </xf>
    <xf numFmtId="2" fontId="18" fillId="0" borderId="16" xfId="0" applyFont="1" applyBorder="1" applyNumberFormat="1">
      <alignment horizontal="left" vertical="center" wrapText="1"/>
    </xf>
    <xf numFmtId="2" fontId="18" fillId="0" borderId="16" xfId="0" applyFont="1" applyBorder="1" applyNumberFormat="1">
      <alignment horizontal="right" vertical="center" wrapText="1"/>
    </xf>
    <xf numFmtId="0" fontId="21" fillId="0" borderId="20" xfId="0" applyFont="1" applyBorder="1">
      <alignment wrapText="1"/>
    </xf>
    <xf numFmtId="2" fontId="20" fillId="0" borderId="18" xfId="0" applyFont="1" applyBorder="1" applyNumberFormat="1">
      <alignment horizontal="right" vertical="center" wrapText="1"/>
    </xf>
    <xf numFmtId="1" fontId="18" fillId="7" borderId="19" xfId="0" applyFont="1" applyFill="1" applyBorder="1" applyNumberFormat="1">
      <alignment horizontal="right" vertical="center" wrapText="1"/>
      <protection locked="0"/>
    </xf>
    <xf numFmtId="2" fontId="18" fillId="0" borderId="23" xfId="0" applyFont="1" applyBorder="1" applyNumberFormat="1">
      <alignment horizontal="left" vertical="center" wrapText="1"/>
    </xf>
    <xf numFmtId="2" fontId="18" fillId="0" borderId="19" xfId="0" applyFont="1" applyBorder="1" applyNumberFormat="1">
      <alignment horizontal="left" vertical="center" wrapText="1"/>
    </xf>
    <xf numFmtId="1" fontId="18" fillId="7" borderId="19" xfId="0" applyFont="1" applyFill="1" applyBorder="1" applyNumberFormat="1">
      <alignment horizontal="right" vertical="center" wrapText="1"/>
    </xf>
    <xf numFmtId="2" fontId="18" fillId="0" borderId="19" xfId="0" applyFont="1" applyBorder="1" applyNumberFormat="1">
      <alignment horizontal="right" vertical="center" wrapText="1"/>
    </xf>
    <xf numFmtId="2" fontId="18" fillId="0" borderId="24" xfId="0" applyFont="1" applyBorder="1" applyNumberFormat="1">
      <alignment horizontal="left" vertical="center" wrapText="1"/>
    </xf>
    <xf numFmtId="0" fontId="21" fillId="0" borderId="24" xfId="0" applyFont="1" applyBorder="1">
      <alignment wrapText="1"/>
    </xf>
    <xf numFmtId="0" fontId="21" fillId="0" borderId="25" xfId="0" applyFont="1" applyBorder="1">
      <alignment wrapText="1"/>
    </xf>
    <xf numFmtId="0" fontId="21" fillId="0" borderId="0" xfId="0" applyFont="1">
      <alignment wrapText="1"/>
    </xf>
    <xf numFmtId="2" fontId="18" fillId="0" borderId="0" xfId="0" applyFont="1" applyNumberFormat="1">
      <alignment horizontal="right" vertical="center" wrapText="1"/>
    </xf>
    <xf numFmtId="0" fontId="21" fillId="7" borderId="26" xfId="0" applyFont="1" applyFill="1" applyBorder="1">
      <alignment horizontal="left" vertical="center" wrapText="1"/>
      <protection locked="0"/>
    </xf>
    <xf numFmtId="0" fontId="21" fillId="7" borderId="26" xfId="0" applyFont="1" applyFill="1" applyBorder="1">
      <alignment horizontal="left" vertical="center" wrapText="1"/>
    </xf>
    <xf numFmtId="2" fontId="18" fillId="0" borderId="26" xfId="0" applyFont="1" applyBorder="1" applyNumberFormat="1">
      <alignment horizontal="right" vertical="center" wrapText="1"/>
    </xf>
    <xf numFmtId="171" fontId="21" fillId="0" borderId="26" xfId="0" applyFont="1" applyBorder="1" applyNumberFormat="1">
      <alignment horizontal="left" vertical="center" wrapText="1"/>
    </xf>
    <xf numFmtId="0" fontId="0" fillId="0" borderId="0" xfId="0" applyFont="1">
      <alignment wrapText="1"/>
    </xf>
    <xf numFmtId="0" fontId="22" fillId="0" borderId="0" xfId="0" applyFont="1">
      <alignment vertical="top" wrapText="1"/>
    </xf>
    <xf numFmtId="171" fontId="22" fillId="0" borderId="0" xfId="0" applyFont="1" applyNumberFormat="1">
      <alignment vertical="top" wrapText="1"/>
    </xf>
    <xf numFmtId="171" fontId="0" fillId="0" borderId="0" xfId="0" applyFont="1" applyNumberFormat="1">
      <alignment wrapText="1"/>
    </xf>
    <xf numFmtId="0" fontId="0" fillId="0" borderId="0" xfId="0" applyFont="1">
      <alignment wrapText="1"/>
    </xf>
    <xf numFmtId="0" fontId="0" fillId="0" borderId="0" xfId="0" applyFont="1">
      <alignment wrapText="1"/>
    </xf>
    <xf numFmtId="0" fontId="0" fillId="0" borderId="0" xfId="0" applyFont="1">
      <alignment wrapText="1"/>
    </xf>
  </cellXfs>
  <cellStyles count="47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4A0973C-89C6-AD8C-F42A-5F32BB5136A8}" mc:Ignorable="x14ac xr xr2 xr3">
  <sheetPr>
    <pageSetUpPr fitToPage="1"/>
  </sheetPr>
  <dimension ref="A1:X32"/>
  <sheetViews>
    <sheetView defaultGridColor="0" colorId="31" topLeftCell="A1" showGridLines="0" workbookViewId="0" tabSelected="1">
      <pane ySplit="3" topLeftCell="A4" activePane="bottomLeft" state="frozen"/>
      <selection pane="bottomLeft" activeCell="A1" sqref="A1"/>
    </sheetView>
  </sheetViews>
  <sheetFormatPr customHeight="1" defaultRowHeight="14.100000000000001"/>
  <cols>
    <col min="1" max="1" width="2.57421875" customWidth="1"/>
    <col min="2" max="2" width="14.57421875" customWidth="1"/>
    <col min="4" max="4" width="2.57421875" customWidth="1"/>
    <col min="5" max="5" width="15.57421875" customWidth="1"/>
    <col min="8" max="9" width="3.57421875" customWidth="1"/>
    <col min="10" max="10" width="14.57421875" customWidth="1"/>
    <col min="12" max="12" width="2.57421875" customWidth="1"/>
    <col min="13" max="13" width="19.57421875" customWidth="1"/>
    <col min="16" max="17" width="3.57421875" customWidth="1"/>
    <col min="18" max="19" width="12.57421875" customWidth="1"/>
    <col min="20" max="20" width="2.57421875" customWidth="1"/>
    <col min="21" max="21" width="15.57421875" customWidth="1"/>
    <col min="24" max="24" width="3.57421875" customWidth="1"/>
  </cols>
  <sheetData>
    <row customHeight="1" ht="2.25">
      <c r="A1" s="108"/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</row>
    <row customHeight="1" ht="27.75">
      <c r="A2" s="108"/>
      <c r="B2" s="109" t="s">
        <v>0</v>
      </c>
      <c r="C2" s="110" t="s">
        <v>1</v>
      </c>
      <c r="D2" s="110" t="s">
        <v>1</v>
      </c>
      <c r="E2" s="110" t="s">
        <v>1</v>
      </c>
      <c r="F2" s="110" t="s">
        <v>1</v>
      </c>
      <c r="G2" s="110" t="s">
        <v>1</v>
      </c>
      <c r="H2" s="110" t="s">
        <v>1</v>
      </c>
      <c r="I2" s="110"/>
      <c r="J2" s="110" t="s">
        <v>1</v>
      </c>
      <c r="K2" s="110" t="s">
        <v>1</v>
      </c>
      <c r="L2" s="110" t="s">
        <v>1</v>
      </c>
      <c r="M2" s="110" t="s">
        <v>1</v>
      </c>
      <c r="N2" s="110" t="s">
        <v>1</v>
      </c>
      <c r="O2" s="110" t="s">
        <v>1</v>
      </c>
      <c r="P2" s="110" t="s">
        <v>1</v>
      </c>
      <c r="Q2" s="110"/>
      <c r="R2" s="110" t="s">
        <v>1</v>
      </c>
      <c r="S2" s="110" t="s">
        <v>1</v>
      </c>
      <c r="T2" s="110" t="s">
        <v>1</v>
      </c>
      <c r="U2" s="110" t="s">
        <v>1</v>
      </c>
      <c r="V2" s="110" t="s">
        <v>1</v>
      </c>
      <c r="W2" s="110" t="s">
        <v>1</v>
      </c>
      <c r="X2" s="111" t="s">
        <v>1</v>
      </c>
    </row>
    <row customHeight="1" ht="20.25">
      <c r="A3" s="108"/>
      <c r="B3" s="112" t="s">
        <v>2</v>
      </c>
      <c r="C3" s="113" t="s">
        <v>2</v>
      </c>
      <c r="D3" s="113" t="s">
        <v>2</v>
      </c>
      <c r="E3" s="113" t="s">
        <v>2</v>
      </c>
      <c r="F3" s="114"/>
      <c r="G3" s="113"/>
      <c r="H3" s="113"/>
      <c r="I3" s="113"/>
      <c r="J3" s="115" t="s">
        <v>3</v>
      </c>
      <c r="K3" s="116" t="s">
        <v>4</v>
      </c>
      <c r="L3" s="116"/>
      <c r="M3" s="117" t="s">
        <v>5</v>
      </c>
      <c r="N3" s="118"/>
      <c r="O3" s="115"/>
      <c r="P3" s="119"/>
      <c r="Q3" s="119"/>
      <c r="R3" s="119"/>
      <c r="S3" s="119"/>
      <c r="T3" s="119"/>
      <c r="U3" s="119" t="s">
        <v>6</v>
      </c>
      <c r="V3" s="119" t="s">
        <v>6</v>
      </c>
      <c r="W3" s="119" t="s">
        <v>6</v>
      </c>
      <c r="X3" s="120" t="s">
        <v>6</v>
      </c>
    </row>
    <row customHeight="1" ht="20.25">
      <c r="A4" s="108"/>
      <c r="B4" s="121" t="s">
        <v>3</v>
      </c>
      <c r="C4" s="122" t="s">
        <v>3</v>
      </c>
      <c r="D4" s="122" t="s">
        <v>3</v>
      </c>
      <c r="E4" s="122" t="s">
        <v>3</v>
      </c>
      <c r="F4" s="122" t="s">
        <v>3</v>
      </c>
      <c r="G4" s="122" t="s">
        <v>3</v>
      </c>
      <c r="H4" s="122" t="s">
        <v>3</v>
      </c>
      <c r="I4" s="122"/>
      <c r="J4" s="123" t="s">
        <v>3</v>
      </c>
      <c r="K4" s="123" t="s">
        <v>3</v>
      </c>
      <c r="L4" s="123" t="s">
        <v>3</v>
      </c>
      <c r="M4" s="123" t="s">
        <v>3</v>
      </c>
      <c r="N4" s="124"/>
      <c r="O4" s="123" t="s">
        <v>3</v>
      </c>
      <c r="P4" s="123" t="s">
        <v>3</v>
      </c>
      <c r="Q4" s="123"/>
      <c r="R4" s="123" t="s">
        <v>3</v>
      </c>
      <c r="S4" s="122" t="s">
        <v>3</v>
      </c>
      <c r="T4" s="122" t="s">
        <v>3</v>
      </c>
      <c r="U4" s="122" t="s">
        <v>3</v>
      </c>
      <c r="V4" s="125"/>
      <c r="W4" s="122" t="s">
        <v>3</v>
      </c>
      <c r="X4" s="126" t="s">
        <v>3</v>
      </c>
    </row>
    <row customHeight="1" ht="20.25">
      <c r="A5" s="108"/>
      <c r="B5" s="121" t="s">
        <v>3</v>
      </c>
      <c r="C5" s="122" t="s">
        <v>3</v>
      </c>
      <c r="D5" s="122" t="s">
        <v>3</v>
      </c>
      <c r="E5" s="127" t="s">
        <v>7</v>
      </c>
      <c r="F5" s="128">
        <v>77900</v>
      </c>
      <c r="G5" s="129">
        <f>_xlfn.IFERROR(F5/C7*100,0)</f>
        <v>15.451321395419</v>
      </c>
      <c r="H5" s="127" t="s">
        <v>8</v>
      </c>
      <c r="I5" s="123"/>
      <c r="J5" s="123" t="s">
        <v>3</v>
      </c>
      <c r="K5" s="122" t="s">
        <v>3</v>
      </c>
      <c r="L5" s="123" t="s">
        <v>3</v>
      </c>
      <c r="M5" s="127" t="s">
        <v>9</v>
      </c>
      <c r="N5" s="128">
        <v>1</v>
      </c>
      <c r="O5" s="129">
        <f>_xlfn.IFERROR(N5/K8*100,0)</f>
        <v>0.00345829298658182</v>
      </c>
      <c r="P5" s="127" t="s">
        <v>8</v>
      </c>
      <c r="Q5" s="123"/>
      <c r="R5" s="123" t="s">
        <v>3</v>
      </c>
      <c r="S5" s="122" t="s">
        <v>3</v>
      </c>
      <c r="T5" s="122" t="s">
        <v>3</v>
      </c>
      <c r="U5" s="127" t="s">
        <v>10</v>
      </c>
      <c r="V5" s="128">
        <v>7270</v>
      </c>
      <c r="W5" s="129">
        <f>_xlfn.IFERROR(V5/S7*100,0)</f>
        <v>75.7528394289882</v>
      </c>
      <c r="X5" s="130" t="s">
        <v>8</v>
      </c>
    </row>
    <row customHeight="1" ht="20.25">
      <c r="A6" s="108"/>
      <c r="B6" s="131" t="s">
        <v>11</v>
      </c>
      <c r="C6" s="132" t="s">
        <v>11</v>
      </c>
      <c r="D6" s="123" t="s">
        <v>3</v>
      </c>
      <c r="E6" s="127" t="s">
        <v>12</v>
      </c>
      <c r="F6" s="128">
        <v>167535</v>
      </c>
      <c r="G6" s="129">
        <f>_xlfn.IFERROR(F6/C7*100,0)</f>
        <v>33.2302584079784</v>
      </c>
      <c r="H6" s="127" t="s">
        <v>8</v>
      </c>
      <c r="I6" s="123"/>
      <c r="J6" s="123" t="s">
        <v>3</v>
      </c>
      <c r="K6" s="122" t="s">
        <v>3</v>
      </c>
      <c r="L6" s="123" t="s">
        <v>3</v>
      </c>
      <c r="M6" s="127" t="s">
        <v>13</v>
      </c>
      <c r="N6" s="128">
        <v>8136</v>
      </c>
      <c r="O6" s="129">
        <f>_xlfn.IFERROR(N6/K8*100,0)</f>
        <v>28.1366717388297</v>
      </c>
      <c r="P6" s="127" t="s">
        <v>8</v>
      </c>
      <c r="Q6" s="123"/>
      <c r="R6" s="132" t="s">
        <v>14</v>
      </c>
      <c r="S6" s="132" t="s">
        <v>14</v>
      </c>
      <c r="T6" s="123" t="s">
        <v>3</v>
      </c>
      <c r="U6" s="127" t="s">
        <v>15</v>
      </c>
      <c r="V6" s="128">
        <v>1769</v>
      </c>
      <c r="W6" s="129">
        <f>_xlfn.IFERROR(V6/S7*100,0)</f>
        <v>18.4328435969574</v>
      </c>
      <c r="X6" s="130" t="s">
        <v>8</v>
      </c>
    </row>
    <row customHeight="1" ht="20.25">
      <c r="A7" s="108"/>
      <c r="B7" s="133" t="s">
        <v>16</v>
      </c>
      <c r="C7" s="134">
        <v>504164</v>
      </c>
      <c r="D7" s="135" t="s">
        <v>3</v>
      </c>
      <c r="E7" s="127" t="s">
        <v>17</v>
      </c>
      <c r="F7" s="128">
        <v>256952</v>
      </c>
      <c r="G7" s="129">
        <f>_xlfn.IFERROR(F7/C7*100,0)</f>
        <v>50.9659555224094</v>
      </c>
      <c r="H7" s="127" t="s">
        <v>8</v>
      </c>
      <c r="I7" s="123"/>
      <c r="J7" s="132" t="s">
        <v>18</v>
      </c>
      <c r="K7" s="132" t="s">
        <v>18</v>
      </c>
      <c r="L7" s="136" t="s">
        <v>3</v>
      </c>
      <c r="M7" s="127" t="s">
        <v>19</v>
      </c>
      <c r="N7" s="128">
        <v>2590</v>
      </c>
      <c r="O7" s="129">
        <f>_xlfn.IFERROR(N7/K8*100,0)</f>
        <v>8.95697883524692</v>
      </c>
      <c r="P7" s="127" t="s">
        <v>8</v>
      </c>
      <c r="Q7" s="123"/>
      <c r="R7" s="137" t="s">
        <v>16</v>
      </c>
      <c r="S7" s="128">
        <v>9597</v>
      </c>
      <c r="T7" s="138" t="s">
        <v>3</v>
      </c>
      <c r="U7" s="127" t="s">
        <v>20</v>
      </c>
      <c r="V7" s="128">
        <v>0</v>
      </c>
      <c r="W7" s="129">
        <f>_xlfn.IFERROR(V7/S7*100,0)</f>
        <v>0</v>
      </c>
      <c r="X7" s="130" t="s">
        <v>8</v>
      </c>
    </row>
    <row customHeight="1" ht="20.25">
      <c r="A8" s="108"/>
      <c r="B8" s="139" t="s">
        <v>21</v>
      </c>
      <c r="C8" s="128">
        <v>504164</v>
      </c>
      <c r="D8" s="123" t="s">
        <v>3</v>
      </c>
      <c r="E8" s="127" t="s">
        <v>22</v>
      </c>
      <c r="F8" s="140">
        <f>_xlfn.IFERROR(C7-SUM(F5:F7),"")</f>
        <v>1777</v>
      </c>
      <c r="G8" s="129">
        <f>_xlfn.IFERROR(F8/C7*100,0)</f>
        <v>0.352464674193318</v>
      </c>
      <c r="H8" s="127" t="s">
        <v>8</v>
      </c>
      <c r="I8" s="123"/>
      <c r="J8" s="137" t="s">
        <v>16</v>
      </c>
      <c r="K8" s="128">
        <v>28916</v>
      </c>
      <c r="L8" s="123" t="s">
        <v>3</v>
      </c>
      <c r="M8" s="127" t="s">
        <v>23</v>
      </c>
      <c r="N8" s="128">
        <v>16451</v>
      </c>
      <c r="O8" s="129">
        <f>_xlfn.IFERROR(N8/K8*100,0)</f>
        <v>56.8923779222576</v>
      </c>
      <c r="P8" s="127" t="s">
        <v>8</v>
      </c>
      <c r="Q8" s="123"/>
      <c r="R8" s="122" t="s">
        <v>3</v>
      </c>
      <c r="S8" s="123" t="s">
        <v>3</v>
      </c>
      <c r="T8" s="123" t="s">
        <v>3</v>
      </c>
      <c r="U8" s="127" t="s">
        <v>24</v>
      </c>
      <c r="V8" s="128">
        <v>465</v>
      </c>
      <c r="W8" s="129">
        <f>_xlfn.IFERROR(V8/S7*100,0)</f>
        <v>4.84526414504533</v>
      </c>
      <c r="X8" s="130" t="s">
        <v>8</v>
      </c>
    </row>
    <row customHeight="1" ht="20.25">
      <c r="A9" s="108"/>
      <c r="B9" s="141" t="s">
        <v>3</v>
      </c>
      <c r="C9" s="123" t="s">
        <v>3</v>
      </c>
      <c r="D9" s="123" t="s">
        <v>3</v>
      </c>
      <c r="E9" s="123" t="s">
        <v>3</v>
      </c>
      <c r="F9" s="142"/>
      <c r="G9" s="143"/>
      <c r="H9" s="123" t="s">
        <v>3</v>
      </c>
      <c r="I9" s="123"/>
      <c r="J9" s="122" t="s">
        <v>3</v>
      </c>
      <c r="K9" s="123" t="s">
        <v>3</v>
      </c>
      <c r="L9" s="123" t="s">
        <v>3</v>
      </c>
      <c r="M9" s="127" t="s">
        <v>25</v>
      </c>
      <c r="N9" s="128">
        <v>1645</v>
      </c>
      <c r="O9" s="129">
        <f>_xlfn.IFERROR(N9/K8*100,0)</f>
        <v>5.6888919629271</v>
      </c>
      <c r="P9" s="127" t="s">
        <v>8</v>
      </c>
      <c r="Q9" s="123"/>
      <c r="R9" s="122"/>
      <c r="S9" s="123"/>
      <c r="T9" s="123" t="s">
        <v>3</v>
      </c>
      <c r="U9" s="127" t="s">
        <v>22</v>
      </c>
      <c r="V9" s="140">
        <f>_xlfn.IFERROR(S7-V5-V6-V7-V8,"")</f>
        <v>93</v>
      </c>
      <c r="W9" s="129">
        <f>_xlfn.IFERROR(V9/S7*100,0)</f>
        <v>0.969052829009065</v>
      </c>
      <c r="X9" s="130" t="s">
        <v>8</v>
      </c>
    </row>
    <row customHeight="1" ht="20.25">
      <c r="A10" s="108"/>
      <c r="B10" s="141" t="s">
        <v>3</v>
      </c>
      <c r="C10" s="123" t="s">
        <v>3</v>
      </c>
      <c r="D10" s="123" t="s">
        <v>3</v>
      </c>
      <c r="E10" s="127" t="s">
        <v>26</v>
      </c>
      <c r="F10" s="128">
        <v>2085</v>
      </c>
      <c r="G10" s="129">
        <f>_xlfn.IFERROR(F10/C14*100,0)</f>
        <v>0.786988457502623</v>
      </c>
      <c r="H10" s="127" t="s">
        <v>8</v>
      </c>
      <c r="I10" s="123"/>
      <c r="J10" s="122" t="s">
        <v>3</v>
      </c>
      <c r="K10" s="123" t="s">
        <v>3</v>
      </c>
      <c r="L10" s="123" t="s">
        <v>3</v>
      </c>
      <c r="M10" s="127" t="s">
        <v>22</v>
      </c>
      <c r="N10" s="140">
        <f>_xlfn.IFERROR(K8-N5-N6-N7-N8-N9,"")</f>
        <v>93</v>
      </c>
      <c r="O10" s="129">
        <f>_xlfn.IFERROR(N10/K8*100,0)</f>
        <v>0.32162124775211</v>
      </c>
      <c r="P10" s="127" t="s">
        <v>8</v>
      </c>
      <c r="Q10" s="123"/>
      <c r="R10" s="122" t="s">
        <v>3</v>
      </c>
      <c r="S10" s="123" t="s">
        <v>3</v>
      </c>
      <c r="T10" s="123" t="s">
        <v>3</v>
      </c>
      <c r="U10" s="123" t="s">
        <v>3</v>
      </c>
      <c r="V10" s="124"/>
      <c r="W10" s="123"/>
      <c r="X10" s="144" t="s">
        <v>3</v>
      </c>
    </row>
    <row customHeight="1" ht="20.25">
      <c r="A11" s="108"/>
      <c r="B11" s="141" t="s">
        <v>3</v>
      </c>
      <c r="C11" s="123" t="s">
        <v>3</v>
      </c>
      <c r="D11" s="123" t="s">
        <v>3</v>
      </c>
      <c r="E11" s="127" t="s">
        <v>27</v>
      </c>
      <c r="F11" s="128">
        <v>9597</v>
      </c>
      <c r="G11" s="129">
        <f>_xlfn.IFERROR(F11/C14*100,0)</f>
        <v>3.62241161949769</v>
      </c>
      <c r="H11" s="127" t="s">
        <v>8</v>
      </c>
      <c r="I11" s="123"/>
      <c r="J11" s="122" t="s">
        <v>3</v>
      </c>
      <c r="K11" s="123" t="s">
        <v>3</v>
      </c>
      <c r="L11" s="123" t="s">
        <v>3</v>
      </c>
      <c r="M11" s="123" t="s">
        <v>3</v>
      </c>
      <c r="N11" s="124"/>
      <c r="O11" s="123" t="s">
        <v>3</v>
      </c>
      <c r="P11" s="123" t="s">
        <v>3</v>
      </c>
      <c r="Q11" s="123"/>
      <c r="R11" s="132" t="s">
        <v>28</v>
      </c>
      <c r="S11" s="132" t="s">
        <v>28</v>
      </c>
      <c r="T11" s="123" t="s">
        <v>3</v>
      </c>
      <c r="U11" s="127" t="s">
        <v>29</v>
      </c>
      <c r="V11" s="128">
        <v>5293</v>
      </c>
      <c r="W11" s="129">
        <f>_xlfn.IFERROR(V11/S12*100,0)</f>
        <v>46.1344025102414</v>
      </c>
      <c r="X11" s="130" t="s">
        <v>8</v>
      </c>
    </row>
    <row customHeight="1" ht="20.25">
      <c r="A12" s="108"/>
      <c r="B12" s="141" t="s">
        <v>3</v>
      </c>
      <c r="C12" s="122" t="s">
        <v>3</v>
      </c>
      <c r="D12" s="123" t="s">
        <v>3</v>
      </c>
      <c r="E12" s="127" t="s">
        <v>30</v>
      </c>
      <c r="F12" s="128">
        <v>47634</v>
      </c>
      <c r="G12" s="129">
        <f>_xlfn.IFERROR(F12/C14*100,0)</f>
        <v>17.9795722708297</v>
      </c>
      <c r="H12" s="127" t="s">
        <v>8</v>
      </c>
      <c r="I12" s="123"/>
      <c r="J12" s="122" t="s">
        <v>3</v>
      </c>
      <c r="K12" s="123" t="s">
        <v>3</v>
      </c>
      <c r="L12" s="123" t="s">
        <v>3</v>
      </c>
      <c r="M12" s="123" t="s">
        <v>3</v>
      </c>
      <c r="N12" s="124"/>
      <c r="O12" s="123" t="s">
        <v>3</v>
      </c>
      <c r="P12" s="123" t="s">
        <v>3</v>
      </c>
      <c r="Q12" s="123"/>
      <c r="R12" s="127" t="s">
        <v>16</v>
      </c>
      <c r="S12" s="145">
        <f>_xlfn.IFERROR(SUM(S13,S14,S15),"")</f>
        <v>11473</v>
      </c>
      <c r="T12" s="123" t="s">
        <v>3</v>
      </c>
      <c r="U12" s="127" t="s">
        <v>31</v>
      </c>
      <c r="V12" s="128">
        <v>225</v>
      </c>
      <c r="W12" s="129">
        <f>_xlfn.IFERROR(V12/S12*100,0)</f>
        <v>1.96112612219995</v>
      </c>
      <c r="X12" s="130" t="s">
        <v>8</v>
      </c>
    </row>
    <row customHeight="1" ht="20.25">
      <c r="A13" s="108"/>
      <c r="B13" s="131" t="s">
        <v>32</v>
      </c>
      <c r="C13" s="132" t="s">
        <v>32</v>
      </c>
      <c r="D13" s="146" t="s">
        <v>3</v>
      </c>
      <c r="E13" s="127" t="s">
        <v>33</v>
      </c>
      <c r="F13" s="128">
        <v>126372</v>
      </c>
      <c r="G13" s="129">
        <f>_xlfn.IFERROR(F13/C14*100,0)</f>
        <v>47.6994270271086</v>
      </c>
      <c r="H13" s="127" t="s">
        <v>8</v>
      </c>
      <c r="I13" s="123"/>
      <c r="J13" s="122" t="s">
        <v>3</v>
      </c>
      <c r="K13" s="123" t="s">
        <v>3</v>
      </c>
      <c r="L13" s="123" t="s">
        <v>3</v>
      </c>
      <c r="M13" s="127" t="s">
        <v>34</v>
      </c>
      <c r="N13" s="140">
        <f>_xlfn.IFERROR(SUM(N14:N19),"")</f>
        <v>9121</v>
      </c>
      <c r="O13" s="129">
        <f>_xlfn.IFERROR(N13/K18*100,0)</f>
        <v>96.1015699083342</v>
      </c>
      <c r="P13" s="127" t="s">
        <v>8</v>
      </c>
      <c r="Q13" s="123"/>
      <c r="R13" s="129" t="s">
        <v>35</v>
      </c>
      <c r="S13" s="128">
        <v>4203</v>
      </c>
      <c r="T13" s="146" t="s">
        <v>3</v>
      </c>
      <c r="U13" s="127" t="s">
        <v>36</v>
      </c>
      <c r="V13" s="128">
        <v>58</v>
      </c>
      <c r="W13" s="129">
        <f>_xlfn.IFERROR(V13/S12*100,0)</f>
        <v>0.505534733722653</v>
      </c>
      <c r="X13" s="130" t="s">
        <v>8</v>
      </c>
    </row>
    <row customHeight="1" ht="20.25">
      <c r="A14" s="108"/>
      <c r="B14" s="147" t="s">
        <v>16</v>
      </c>
      <c r="C14" s="128">
        <v>264934</v>
      </c>
      <c r="D14" s="123" t="s">
        <v>3</v>
      </c>
      <c r="E14" s="127" t="s">
        <v>12</v>
      </c>
      <c r="F14" s="128">
        <v>58797</v>
      </c>
      <c r="G14" s="129">
        <f>_xlfn.IFERROR(F14/C14*100,0)</f>
        <v>22.193074501574</v>
      </c>
      <c r="H14" s="127" t="s">
        <v>8</v>
      </c>
      <c r="I14" s="123"/>
      <c r="J14" s="122" t="s">
        <v>3</v>
      </c>
      <c r="K14" s="123" t="s">
        <v>3</v>
      </c>
      <c r="L14" s="123" t="s">
        <v>3</v>
      </c>
      <c r="M14" s="127" t="s">
        <v>37</v>
      </c>
      <c r="N14" s="128">
        <v>9102</v>
      </c>
      <c r="O14" s="129">
        <f>_xlfn.IFERROR(N14/K18*100,0)</f>
        <v>95.9013802549784</v>
      </c>
      <c r="P14" s="127" t="s">
        <v>8</v>
      </c>
      <c r="Q14" s="123"/>
      <c r="R14" s="129" t="s">
        <v>10</v>
      </c>
      <c r="S14" s="128">
        <v>7270</v>
      </c>
      <c r="T14" s="123" t="s">
        <v>3</v>
      </c>
      <c r="U14" s="127" t="s">
        <v>38</v>
      </c>
      <c r="V14" s="128">
        <v>5751</v>
      </c>
      <c r="W14" s="129">
        <f>_xlfn.IFERROR(V14/S12*100,0)</f>
        <v>50.1263836834307</v>
      </c>
      <c r="X14" s="130" t="s">
        <v>8</v>
      </c>
    </row>
    <row customHeight="1" ht="20.25">
      <c r="A15" s="108"/>
      <c r="B15" s="147" t="s">
        <v>39</v>
      </c>
      <c r="C15" s="128">
        <v>263001</v>
      </c>
      <c r="D15" s="123" t="s">
        <v>3</v>
      </c>
      <c r="E15" s="127" t="s">
        <v>40</v>
      </c>
      <c r="F15" s="128">
        <v>17416</v>
      </c>
      <c r="G15" s="129">
        <f>_xlfn.IFERROR(F15/C14*100,0)</f>
        <v>6.57371269825692</v>
      </c>
      <c r="H15" s="127" t="s">
        <v>8</v>
      </c>
      <c r="I15" s="123"/>
      <c r="J15" s="122" t="s">
        <v>3</v>
      </c>
      <c r="K15" s="122" t="s">
        <v>3</v>
      </c>
      <c r="L15" s="123" t="s">
        <v>3</v>
      </c>
      <c r="M15" s="127" t="s">
        <v>41</v>
      </c>
      <c r="N15" s="128">
        <v>0</v>
      </c>
      <c r="O15" s="129">
        <f>_xlfn.IFERROR(N15/K18*100,0)</f>
        <v>0</v>
      </c>
      <c r="P15" s="127" t="s">
        <v>8</v>
      </c>
      <c r="Q15" s="123"/>
      <c r="R15" s="129" t="s">
        <v>42</v>
      </c>
      <c r="S15" s="128">
        <v>0</v>
      </c>
      <c r="T15" s="123" t="s">
        <v>3</v>
      </c>
      <c r="U15" s="127" t="s">
        <v>22</v>
      </c>
      <c r="V15" s="140">
        <f>_xlfn.IFERROR(S12-V11-V12-V13-V14,"")</f>
        <v>146</v>
      </c>
      <c r="W15" s="129">
        <f>_xlfn.IFERROR(V15/S12*100,0)</f>
        <v>1.2725529504053</v>
      </c>
      <c r="X15" s="130" t="s">
        <v>8</v>
      </c>
    </row>
    <row customHeight="1" ht="20.25">
      <c r="A16" s="108"/>
      <c r="B16" s="141" t="s">
        <v>3</v>
      </c>
      <c r="C16" s="123" t="s">
        <v>3</v>
      </c>
      <c r="D16" s="123" t="s">
        <v>3</v>
      </c>
      <c r="E16" s="127" t="s">
        <v>43</v>
      </c>
      <c r="F16" s="128">
        <v>1069</v>
      </c>
      <c r="G16" s="129">
        <f>_xlfn.IFERROR(F16/C14*100,0)</f>
        <v>0.403496719937796</v>
      </c>
      <c r="H16" s="127" t="s">
        <v>8</v>
      </c>
      <c r="I16" s="123"/>
      <c r="J16" s="148" t="s">
        <v>3</v>
      </c>
      <c r="K16" s="148" t="s">
        <v>3</v>
      </c>
      <c r="L16" s="123" t="s">
        <v>3</v>
      </c>
      <c r="M16" s="127" t="s">
        <v>44</v>
      </c>
      <c r="N16" s="128">
        <v>0</v>
      </c>
      <c r="O16" s="129">
        <f>_xlfn.IFERROR(N16/K18*100,0)</f>
        <v>0</v>
      </c>
      <c r="P16" s="127" t="s">
        <v>8</v>
      </c>
      <c r="Q16" s="123"/>
      <c r="R16" s="122" t="s">
        <v>3</v>
      </c>
      <c r="S16" s="123" t="s">
        <v>3</v>
      </c>
      <c r="T16" s="123" t="s">
        <v>3</v>
      </c>
      <c r="U16" s="123" t="s">
        <v>3</v>
      </c>
      <c r="V16" s="124"/>
      <c r="W16" s="123"/>
      <c r="X16" s="144" t="s">
        <v>3</v>
      </c>
    </row>
    <row customHeight="1" ht="20.25">
      <c r="A17" s="108"/>
      <c r="B17" s="121" t="s">
        <v>3</v>
      </c>
      <c r="C17" s="123" t="s">
        <v>3</v>
      </c>
      <c r="D17" s="123" t="s">
        <v>3</v>
      </c>
      <c r="E17" s="127" t="s">
        <v>22</v>
      </c>
      <c r="F17" s="140">
        <f>_xlfn.IFERROR(C14-SUM(F10:F16),"")</f>
        <v>1964</v>
      </c>
      <c r="G17" s="129">
        <f>_xlfn.IFERROR(F17/C14*100,0)</f>
        <v>0.741316705292639</v>
      </c>
      <c r="H17" s="127" t="s">
        <v>8</v>
      </c>
      <c r="I17" s="123"/>
      <c r="J17" s="132" t="s">
        <v>45</v>
      </c>
      <c r="K17" s="132" t="s">
        <v>45</v>
      </c>
      <c r="L17" s="146" t="s">
        <v>3</v>
      </c>
      <c r="M17" s="127" t="s">
        <v>46</v>
      </c>
      <c r="N17" s="128">
        <v>0</v>
      </c>
      <c r="O17" s="129">
        <f>_xlfn.IFERROR(N17/K18*100,0)</f>
        <v>0</v>
      </c>
      <c r="P17" s="127" t="s">
        <v>8</v>
      </c>
      <c r="Q17" s="123"/>
      <c r="R17" s="123" t="s">
        <v>3</v>
      </c>
      <c r="S17" s="123" t="s">
        <v>3</v>
      </c>
      <c r="T17" s="123" t="s">
        <v>3</v>
      </c>
      <c r="U17" s="123" t="s">
        <v>3</v>
      </c>
      <c r="V17" s="124"/>
      <c r="W17" s="123"/>
      <c r="X17" s="144" t="s">
        <v>3</v>
      </c>
    </row>
    <row customHeight="1" ht="20.25">
      <c r="A18" s="108"/>
      <c r="B18" s="121" t="s">
        <v>3</v>
      </c>
      <c r="C18" s="123" t="s">
        <v>3</v>
      </c>
      <c r="D18" s="123" t="s">
        <v>3</v>
      </c>
      <c r="E18" s="123" t="s">
        <v>3</v>
      </c>
      <c r="F18" s="142"/>
      <c r="G18" s="143"/>
      <c r="H18" s="123" t="s">
        <v>3</v>
      </c>
      <c r="I18" s="123"/>
      <c r="J18" s="137" t="s">
        <v>16</v>
      </c>
      <c r="K18" s="128">
        <v>9491</v>
      </c>
      <c r="L18" s="123" t="s">
        <v>3</v>
      </c>
      <c r="M18" s="127" t="s">
        <v>47</v>
      </c>
      <c r="N18" s="128">
        <v>19</v>
      </c>
      <c r="O18" s="129">
        <f>_xlfn.IFERROR(N18/K18*100,0)</f>
        <v>0.200189653355811</v>
      </c>
      <c r="P18" s="127" t="s">
        <v>8</v>
      </c>
      <c r="Q18" s="123"/>
      <c r="R18" s="132" t="s">
        <v>48</v>
      </c>
      <c r="S18" s="132" t="s">
        <v>48</v>
      </c>
      <c r="T18" s="123" t="s">
        <v>3</v>
      </c>
      <c r="U18" s="127" t="s">
        <v>49</v>
      </c>
      <c r="V18" s="128">
        <v>4953</v>
      </c>
      <c r="W18" s="129">
        <f>_xlfn.IFERROR(V18/S19*100,0)</f>
        <v>96.9845310358332</v>
      </c>
      <c r="X18" s="130" t="s">
        <v>8</v>
      </c>
    </row>
    <row customHeight="1" ht="20.25">
      <c r="A19" s="108"/>
      <c r="B19" s="149" t="s">
        <v>50</v>
      </c>
      <c r="C19" s="150"/>
      <c r="D19" s="123" t="s">
        <v>3</v>
      </c>
      <c r="E19" s="127" t="s">
        <v>51</v>
      </c>
      <c r="F19" s="128">
        <v>28916</v>
      </c>
      <c r="G19" s="129">
        <f>_xlfn.IFERROR(F19/C20*100,0)</f>
        <v>99.679409838326</v>
      </c>
      <c r="H19" s="127" t="s">
        <v>8</v>
      </c>
      <c r="I19" s="123"/>
      <c r="J19" s="122" t="s">
        <v>3</v>
      </c>
      <c r="K19" s="123" t="s">
        <v>3</v>
      </c>
      <c r="L19" s="123" t="s">
        <v>3</v>
      </c>
      <c r="M19" s="127" t="s">
        <v>52</v>
      </c>
      <c r="N19" s="128">
        <v>0</v>
      </c>
      <c r="O19" s="129">
        <f>_xlfn.IFERROR(N19/K18*100,0)</f>
        <v>0</v>
      </c>
      <c r="P19" s="127" t="s">
        <v>8</v>
      </c>
      <c r="Q19" s="123"/>
      <c r="R19" s="127" t="s">
        <v>16</v>
      </c>
      <c r="S19" s="145">
        <f>_xlfn.IFERROR(SUM(S20,S21),"")</f>
        <v>5107</v>
      </c>
      <c r="T19" s="138" t="s">
        <v>3</v>
      </c>
      <c r="U19" s="127" t="s">
        <v>53</v>
      </c>
      <c r="V19" s="128">
        <v>93</v>
      </c>
      <c r="W19" s="129">
        <f>_xlfn.IFERROR(V19/S19*100,0)</f>
        <v>1.82102995887997</v>
      </c>
      <c r="X19" s="130" t="s">
        <v>8</v>
      </c>
    </row>
    <row customHeight="1" ht="20.25">
      <c r="A20" s="108"/>
      <c r="B20" s="147" t="s">
        <v>16</v>
      </c>
      <c r="C20" s="128">
        <v>29009</v>
      </c>
      <c r="D20" s="135" t="s">
        <v>3</v>
      </c>
      <c r="E20" s="127" t="s">
        <v>15</v>
      </c>
      <c r="F20" s="128">
        <v>53</v>
      </c>
      <c r="G20" s="129">
        <f>_xlfn.IFERROR(F20/C20*100,0)</f>
        <v>0.182701920093764</v>
      </c>
      <c r="H20" s="127" t="s">
        <v>8</v>
      </c>
      <c r="I20" s="123"/>
      <c r="J20" s="122" t="s">
        <v>3</v>
      </c>
      <c r="K20" s="123" t="s">
        <v>3</v>
      </c>
      <c r="L20" s="123" t="s">
        <v>3</v>
      </c>
      <c r="M20" s="127" t="s">
        <v>54</v>
      </c>
      <c r="N20" s="128">
        <v>0</v>
      </c>
      <c r="O20" s="129">
        <f>_xlfn.IFERROR(N20/K18*100,0)</f>
        <v>0</v>
      </c>
      <c r="P20" s="127" t="s">
        <v>8</v>
      </c>
      <c r="Q20" s="123"/>
      <c r="R20" s="129" t="s">
        <v>55</v>
      </c>
      <c r="S20" s="128">
        <v>5107</v>
      </c>
      <c r="T20" s="123" t="s">
        <v>3</v>
      </c>
      <c r="U20" s="127" t="s">
        <v>22</v>
      </c>
      <c r="V20" s="140">
        <f>_xlfn.IFERROR(S19-V18-V19,"")</f>
        <v>61</v>
      </c>
      <c r="W20" s="129">
        <f>_xlfn.IFERROR(V20/S19*100,0)</f>
        <v>1.19443900528686</v>
      </c>
      <c r="X20" s="130" t="s">
        <v>8</v>
      </c>
    </row>
    <row customHeight="1" ht="20.25">
      <c r="A21" s="108"/>
      <c r="B21" s="121" t="s">
        <v>3</v>
      </c>
      <c r="C21" s="123" t="s">
        <v>3</v>
      </c>
      <c r="D21" s="123" t="s">
        <v>3</v>
      </c>
      <c r="E21" s="127" t="s">
        <v>22</v>
      </c>
      <c r="F21" s="140">
        <f>_xlfn.IFERROR(C20-SUM(F19:F20),"")</f>
        <v>40</v>
      </c>
      <c r="G21" s="129">
        <f>_xlfn.IFERROR(F21/C20*100,0)</f>
        <v>0.137888241580199</v>
      </c>
      <c r="H21" s="127" t="s">
        <v>8</v>
      </c>
      <c r="I21" s="123"/>
      <c r="J21" s="123" t="s">
        <v>3</v>
      </c>
      <c r="K21" s="123" t="s">
        <v>3</v>
      </c>
      <c r="L21" s="123" t="s">
        <v>3</v>
      </c>
      <c r="M21" s="127" t="s">
        <v>56</v>
      </c>
      <c r="N21" s="128">
        <v>288</v>
      </c>
      <c r="O21" s="129">
        <f>_xlfn.IFERROR(N21/K18*100,0)</f>
        <v>3.03445369297229</v>
      </c>
      <c r="P21" s="127" t="s">
        <v>8</v>
      </c>
      <c r="Q21" s="123"/>
      <c r="R21" s="129" t="s">
        <v>36</v>
      </c>
      <c r="S21" s="128">
        <v>0</v>
      </c>
      <c r="T21" s="123" t="s">
        <v>3</v>
      </c>
      <c r="U21" s="123" t="s">
        <v>3</v>
      </c>
      <c r="V21" s="124"/>
      <c r="W21" s="123"/>
      <c r="X21" s="144" t="s">
        <v>3</v>
      </c>
    </row>
    <row customHeight="1" ht="20.25">
      <c r="A22" s="108"/>
      <c r="B22" s="121" t="s">
        <v>3</v>
      </c>
      <c r="C22" s="123" t="s">
        <v>3</v>
      </c>
      <c r="D22" s="151"/>
      <c r="E22" s="151"/>
      <c r="F22" s="151"/>
      <c r="G22" s="151"/>
      <c r="H22" s="151"/>
      <c r="I22" s="151"/>
      <c r="J22" s="123" t="s">
        <v>3</v>
      </c>
      <c r="K22" s="123" t="s">
        <v>3</v>
      </c>
      <c r="L22" s="123" t="s">
        <v>3</v>
      </c>
      <c r="M22" s="127" t="s">
        <v>22</v>
      </c>
      <c r="N22" s="140">
        <f>_xlfn.IFERROR(K18-SUM(IF(N14="",0,N14),IF(N15="",0,N15),IF(N16="",0,N16),IF(N17="",0,N17),IF(N18="",0,N18),IF(N19="",0,N19),IF(N20="",0,N20),IF(N21="",0,N21)),"")</f>
        <v>82</v>
      </c>
      <c r="O22" s="129">
        <f>_xlfn.IFERROR(N22/K18*100,0)</f>
        <v>0.863976398693499</v>
      </c>
      <c r="P22" s="127" t="s">
        <v>8</v>
      </c>
      <c r="Q22" s="123"/>
      <c r="R22" s="122" t="s">
        <v>3</v>
      </c>
      <c r="S22" s="123" t="s">
        <v>3</v>
      </c>
      <c r="T22" s="123" t="s">
        <v>3</v>
      </c>
      <c r="U22" s="123" t="s">
        <v>3</v>
      </c>
      <c r="V22" s="124"/>
      <c r="W22" s="123"/>
      <c r="X22" s="144" t="s">
        <v>3</v>
      </c>
    </row>
    <row customHeight="1" ht="20.25">
      <c r="A23" s="108"/>
      <c r="B23" s="149" t="s">
        <v>57</v>
      </c>
      <c r="C23" s="150"/>
      <c r="D23" s="123" t="s">
        <v>3</v>
      </c>
      <c r="E23" s="127" t="s">
        <v>58</v>
      </c>
      <c r="F23" s="128">
        <v>5091</v>
      </c>
      <c r="G23" s="129">
        <f>_xlfn.IFERROR(F23/C24*100,0)</f>
        <v>38.3329568556585</v>
      </c>
      <c r="H23" s="127" t="s">
        <v>8</v>
      </c>
      <c r="I23" s="123"/>
      <c r="J23" s="123" t="s">
        <v>3</v>
      </c>
      <c r="K23" s="123" t="s">
        <v>3</v>
      </c>
      <c r="L23" s="123" t="s">
        <v>3</v>
      </c>
      <c r="M23" s="123" t="s">
        <v>3</v>
      </c>
      <c r="N23" s="124"/>
      <c r="O23" s="123"/>
      <c r="P23" s="123" t="s">
        <v>3</v>
      </c>
      <c r="Q23" s="123"/>
      <c r="R23" s="122" t="s">
        <v>3</v>
      </c>
      <c r="S23" s="123" t="s">
        <v>3</v>
      </c>
      <c r="T23" s="123" t="s">
        <v>3</v>
      </c>
      <c r="U23" s="123" t="s">
        <v>3</v>
      </c>
      <c r="V23" s="124"/>
      <c r="W23" s="123"/>
      <c r="X23" s="144" t="s">
        <v>3</v>
      </c>
    </row>
    <row customHeight="1" ht="20.25">
      <c r="A24" s="108"/>
      <c r="B24" s="152" t="s">
        <v>16</v>
      </c>
      <c r="C24" s="128">
        <v>13281</v>
      </c>
      <c r="D24" s="136" t="s">
        <v>3</v>
      </c>
      <c r="E24" s="127" t="s">
        <v>59</v>
      </c>
      <c r="F24" s="128">
        <v>7389</v>
      </c>
      <c r="G24" s="129">
        <f>_xlfn.IFERROR(F24/C24*100,0)</f>
        <v>55.635870792862</v>
      </c>
      <c r="H24" s="127" t="s">
        <v>8</v>
      </c>
      <c r="I24" s="123"/>
      <c r="J24" s="122" t="s">
        <v>3</v>
      </c>
      <c r="K24" s="123" t="s">
        <v>3</v>
      </c>
      <c r="L24" s="123" t="s">
        <v>3</v>
      </c>
      <c r="M24" s="123" t="s">
        <v>3</v>
      </c>
      <c r="N24" s="124"/>
      <c r="O24" s="123"/>
      <c r="P24" s="123" t="s">
        <v>3</v>
      </c>
      <c r="Q24" s="123"/>
      <c r="R24" s="122" t="s">
        <v>3</v>
      </c>
      <c r="S24" s="123" t="s">
        <v>3</v>
      </c>
      <c r="T24" s="123" t="s">
        <v>3</v>
      </c>
      <c r="U24" s="127" t="s">
        <v>60</v>
      </c>
      <c r="V24" s="128">
        <v>4676</v>
      </c>
      <c r="W24" s="129">
        <f>_xlfn.IFERROR(V24/S27*100,0)</f>
        <v>95.409100183636</v>
      </c>
      <c r="X24" s="130" t="s">
        <v>8</v>
      </c>
    </row>
    <row customHeight="1" ht="20.25">
      <c r="A25" s="108"/>
      <c r="B25" s="153" t="s">
        <v>61</v>
      </c>
      <c r="C25" s="128">
        <v>2831</v>
      </c>
      <c r="D25" s="123" t="s">
        <v>3</v>
      </c>
      <c r="E25" s="127" t="s">
        <v>62</v>
      </c>
      <c r="F25" s="128">
        <v>191</v>
      </c>
      <c r="G25" s="129">
        <f>_xlfn.IFERROR(F25/C24*100,0)</f>
        <v>1.43814471801822</v>
      </c>
      <c r="H25" s="127" t="s">
        <v>8</v>
      </c>
      <c r="I25" s="123"/>
      <c r="J25" s="123" t="s">
        <v>3</v>
      </c>
      <c r="K25" s="122" t="s">
        <v>3</v>
      </c>
      <c r="L25" s="123" t="s">
        <v>3</v>
      </c>
      <c r="M25" s="127" t="s">
        <v>63</v>
      </c>
      <c r="N25" s="128">
        <v>0</v>
      </c>
      <c r="O25" s="129">
        <f>_xlfn.IFERROR(N25/K27*100,0)</f>
        <v>0</v>
      </c>
      <c r="P25" s="127" t="s">
        <v>8</v>
      </c>
      <c r="Q25" s="123"/>
      <c r="R25" s="123" t="s">
        <v>3</v>
      </c>
      <c r="S25" s="123" t="s">
        <v>3</v>
      </c>
      <c r="T25" s="123" t="s">
        <v>3</v>
      </c>
      <c r="U25" s="127" t="s">
        <v>64</v>
      </c>
      <c r="V25" s="128">
        <v>133</v>
      </c>
      <c r="W25" s="129">
        <f>_xlfn.IFERROR(V25/S27*100,0)</f>
        <v>2.71373189145072</v>
      </c>
      <c r="X25" s="130" t="s">
        <v>8</v>
      </c>
    </row>
    <row customHeight="1" ht="20.25">
      <c r="A26" s="108"/>
      <c r="B26" s="153" t="s">
        <v>65</v>
      </c>
      <c r="C26" s="128">
        <v>10450</v>
      </c>
      <c r="D26" s="123" t="s">
        <v>3</v>
      </c>
      <c r="E26" s="127" t="s">
        <v>66</v>
      </c>
      <c r="F26" s="128">
        <v>18</v>
      </c>
      <c r="G26" s="129">
        <f>_xlfn.IFERROR(F26/C24*100,0)</f>
        <v>0.135531962954597</v>
      </c>
      <c r="H26" s="127" t="s">
        <v>8</v>
      </c>
      <c r="I26" s="123"/>
      <c r="J26" s="132" t="s">
        <v>67</v>
      </c>
      <c r="K26" s="132"/>
      <c r="L26" s="123" t="s">
        <v>3</v>
      </c>
      <c r="M26" s="127" t="s">
        <v>68</v>
      </c>
      <c r="N26" s="128">
        <v>669</v>
      </c>
      <c r="O26" s="129">
        <f>_xlfn.IFERROR(N26/K27*100,0)</f>
        <v>2.18698921216084</v>
      </c>
      <c r="P26" s="127" t="s">
        <v>8</v>
      </c>
      <c r="Q26" s="123"/>
      <c r="R26" s="132" t="s">
        <v>69</v>
      </c>
      <c r="S26" s="132" t="s">
        <v>69</v>
      </c>
      <c r="T26" s="123" t="s">
        <v>3</v>
      </c>
      <c r="U26" s="127" t="s">
        <v>70</v>
      </c>
      <c r="V26" s="128">
        <v>0</v>
      </c>
      <c r="W26" s="129">
        <f>_xlfn.IFERROR(V26/S27*100,0)</f>
        <v>0</v>
      </c>
      <c r="X26" s="130" t="s">
        <v>8</v>
      </c>
    </row>
    <row customHeight="1" ht="20.25">
      <c r="A27" s="108"/>
      <c r="B27" s="154"/>
      <c r="C27" s="151"/>
      <c r="D27" s="123" t="s">
        <v>3</v>
      </c>
      <c r="E27" s="127" t="s">
        <v>71</v>
      </c>
      <c r="F27" s="140">
        <f>_xlfn.IFERROR(C24-F23-F24-F25-F26,"")</f>
        <v>592</v>
      </c>
      <c r="G27" s="129">
        <f>_xlfn.IFERROR(F27/C24*100,0)</f>
        <v>4.45749567050674</v>
      </c>
      <c r="H27" s="127" t="s">
        <v>8</v>
      </c>
      <c r="I27" s="123"/>
      <c r="J27" s="137" t="s">
        <v>16</v>
      </c>
      <c r="K27" s="145">
        <f>_xlfn.IFERROR(SUM(K28:K29),"")</f>
        <v>30590</v>
      </c>
      <c r="L27" s="136" t="s">
        <v>3</v>
      </c>
      <c r="M27" s="127" t="s">
        <v>15</v>
      </c>
      <c r="N27" s="128">
        <v>0</v>
      </c>
      <c r="O27" s="129">
        <f>_xlfn.IFERROR(N27/K27*100,0)</f>
        <v>0</v>
      </c>
      <c r="P27" s="127" t="s">
        <v>8</v>
      </c>
      <c r="Q27" s="123"/>
      <c r="R27" s="137" t="s">
        <v>16</v>
      </c>
      <c r="S27" s="128">
        <v>4901</v>
      </c>
      <c r="T27" s="138" t="s">
        <v>3</v>
      </c>
      <c r="U27" s="127" t="s">
        <v>72</v>
      </c>
      <c r="V27" s="128">
        <v>53</v>
      </c>
      <c r="W27" s="129">
        <f>_xlfn.IFERROR(V27/S27*100,0)</f>
        <v>1.08141195674352</v>
      </c>
      <c r="X27" s="130" t="s">
        <v>8</v>
      </c>
    </row>
    <row customHeight="1" ht="20.25">
      <c r="A28" s="108"/>
      <c r="B28" s="131" t="s">
        <v>73</v>
      </c>
      <c r="C28" s="132" t="s">
        <v>73</v>
      </c>
      <c r="D28" s="151"/>
      <c r="E28" s="151"/>
      <c r="F28" s="151"/>
      <c r="G28" s="151"/>
      <c r="H28" s="151"/>
      <c r="I28" s="151"/>
      <c r="J28" s="129" t="s">
        <v>74</v>
      </c>
      <c r="K28" s="128">
        <v>30528</v>
      </c>
      <c r="L28" s="123" t="s">
        <v>3</v>
      </c>
      <c r="M28" s="127" t="s">
        <v>75</v>
      </c>
      <c r="N28" s="128">
        <v>0</v>
      </c>
      <c r="O28" s="129">
        <f>_xlfn.IFERROR(N28/K27*100,0)</f>
        <v>0</v>
      </c>
      <c r="P28" s="127" t="s">
        <v>8</v>
      </c>
      <c r="Q28" s="123"/>
      <c r="R28" s="122" t="s">
        <v>3</v>
      </c>
      <c r="S28" s="123" t="s">
        <v>3</v>
      </c>
      <c r="T28" s="123" t="s">
        <v>3</v>
      </c>
      <c r="U28" s="127" t="s">
        <v>29</v>
      </c>
      <c r="V28" s="128">
        <v>0</v>
      </c>
      <c r="W28" s="129">
        <f>_xlfn.IFERROR(V28/S27*100,0)</f>
        <v>0</v>
      </c>
      <c r="X28" s="130" t="s">
        <v>8</v>
      </c>
    </row>
    <row customHeight="1" ht="20.25">
      <c r="A29" s="108"/>
      <c r="B29" s="139" t="s">
        <v>16</v>
      </c>
      <c r="C29" s="128">
        <v>17726</v>
      </c>
      <c r="D29" s="123" t="s">
        <v>3</v>
      </c>
      <c r="E29" s="127" t="s">
        <v>76</v>
      </c>
      <c r="F29" s="128">
        <v>3355</v>
      </c>
      <c r="G29" s="129">
        <f>_xlfn.IFERROR(F29/C29*100,0)</f>
        <v>18.9269998871714</v>
      </c>
      <c r="H29" s="127" t="s">
        <v>8</v>
      </c>
      <c r="I29" s="123"/>
      <c r="J29" s="129" t="s">
        <v>77</v>
      </c>
      <c r="K29" s="128">
        <v>62</v>
      </c>
      <c r="L29" s="123" t="s">
        <v>3</v>
      </c>
      <c r="M29" s="127" t="s">
        <v>78</v>
      </c>
      <c r="N29" s="128">
        <v>0</v>
      </c>
      <c r="O29" s="129">
        <f>_xlfn.IFERROR(N29/K27*100,0)</f>
        <v>0</v>
      </c>
      <c r="P29" s="127" t="s">
        <v>8</v>
      </c>
      <c r="Q29" s="123"/>
      <c r="R29" s="123" t="s">
        <v>3</v>
      </c>
      <c r="S29" s="123" t="s">
        <v>3</v>
      </c>
      <c r="T29" s="123" t="s">
        <v>3</v>
      </c>
      <c r="U29" s="127" t="s">
        <v>22</v>
      </c>
      <c r="V29" s="140">
        <f>_xlfn.IFERROR(S27-V24-V25-V26-V27-V28,"")</f>
        <v>39</v>
      </c>
      <c r="W29" s="129">
        <f>_xlfn.IFERROR(V29/S27*100,0)</f>
        <v>0.795755968169761</v>
      </c>
      <c r="X29" s="130" t="s">
        <v>8</v>
      </c>
    </row>
    <row customHeight="1" ht="20.25">
      <c r="A30" s="108"/>
      <c r="B30" s="153" t="s">
        <v>79</v>
      </c>
      <c r="C30" s="128">
        <v>16471</v>
      </c>
      <c r="D30" s="123" t="s">
        <v>3</v>
      </c>
      <c r="E30" s="127" t="s">
        <v>65</v>
      </c>
      <c r="F30" s="128">
        <v>14148</v>
      </c>
      <c r="G30" s="129">
        <f>_xlfn.IFERROR(F30/C29*100,0)</f>
        <v>79.8149610741284</v>
      </c>
      <c r="H30" s="127" t="s">
        <v>8</v>
      </c>
      <c r="I30" s="123"/>
      <c r="J30" s="151"/>
      <c r="K30" s="151"/>
      <c r="L30" s="123" t="s">
        <v>3</v>
      </c>
      <c r="M30" s="127" t="s">
        <v>80</v>
      </c>
      <c r="N30" s="128">
        <v>29765</v>
      </c>
      <c r="O30" s="129">
        <f>_xlfn.IFERROR(N30/K27*100,0)</f>
        <v>97.3030402092187</v>
      </c>
      <c r="P30" s="127" t="s">
        <v>8</v>
      </c>
      <c r="Q30" s="123"/>
      <c r="R30" s="151"/>
      <c r="S30" s="151"/>
      <c r="T30" s="151"/>
      <c r="U30" s="123" t="s">
        <v>3</v>
      </c>
      <c r="V30" s="124"/>
      <c r="W30" s="123" t="s">
        <v>3</v>
      </c>
      <c r="X30" s="144" t="s">
        <v>3</v>
      </c>
    </row>
    <row customHeight="1" ht="20.25">
      <c r="A31" s="108"/>
      <c r="B31" s="155" t="s">
        <v>81</v>
      </c>
      <c r="C31" s="156">
        <v>1255</v>
      </c>
      <c r="D31" s="157" t="s">
        <v>3</v>
      </c>
      <c r="E31" s="158" t="s">
        <v>22</v>
      </c>
      <c r="F31" s="159">
        <f>_xlfn.IFERROR(C29-F29-F30,"")</f>
        <v>223</v>
      </c>
      <c r="G31" s="160">
        <f>_xlfn.IFERROR(F31/C29*100,0)</f>
        <v>1.25803903870021</v>
      </c>
      <c r="H31" s="158" t="s">
        <v>8</v>
      </c>
      <c r="I31" s="161"/>
      <c r="J31" s="162"/>
      <c r="K31" s="162"/>
      <c r="L31" s="162"/>
      <c r="M31" s="158" t="s">
        <v>71</v>
      </c>
      <c r="N31" s="159">
        <f>_xlfn.IFERROR(K27-N25-N26-N27-N28-N29-N30,"")</f>
        <v>156</v>
      </c>
      <c r="O31" s="160">
        <f>_xlfn.IFERROR(N31/K27*100,0)</f>
        <v>0.509970578620464</v>
      </c>
      <c r="P31" s="158" t="s">
        <v>8</v>
      </c>
      <c r="Q31" s="161"/>
      <c r="R31" s="162"/>
      <c r="S31" s="162"/>
      <c r="T31" s="162"/>
      <c r="U31" s="162"/>
      <c r="V31" s="162"/>
      <c r="W31" s="162"/>
      <c r="X31" s="163"/>
    </row>
    <row s="92" customFormat="1" customHeight="1" ht="20.25">
      <c r="A32" s="164"/>
      <c r="B32" s="164"/>
      <c r="C32" s="164"/>
      <c r="D32" s="164"/>
      <c r="E32" s="165" t="s">
        <v>82</v>
      </c>
      <c r="F32" s="166" t="s">
        <v>83</v>
      </c>
      <c r="G32" s="167"/>
      <c r="H32" s="164"/>
      <c r="I32" s="164"/>
      <c r="J32" s="164"/>
      <c r="K32" s="164"/>
      <c r="L32" s="164"/>
      <c r="M32" s="168" t="s">
        <v>84</v>
      </c>
      <c r="N32" s="166" t="s">
        <v>85</v>
      </c>
      <c r="O32" s="167"/>
      <c r="P32" s="164"/>
      <c r="Q32" s="164"/>
      <c r="R32" s="164"/>
      <c r="S32" s="164"/>
      <c r="T32" s="164"/>
      <c r="U32" s="165" t="s">
        <v>86</v>
      </c>
      <c r="V32" s="169">
        <f>_xlfn.IFERROR(取值!B3,"")</f>
        <v>46022</v>
      </c>
      <c r="W32" s="169"/>
      <c r="X32" s="169"/>
    </row>
  </sheetData>
  <mergeCells count="22">
    <mergeCell ref="R11:S11"/>
    <mergeCell ref="B13:C13"/>
    <mergeCell ref="J16:K16"/>
    <mergeCell ref="J17:K17"/>
    <mergeCell ref="G3:I3"/>
    <mergeCell ref="P3:T3"/>
    <mergeCell ref="B2:X2"/>
    <mergeCell ref="B3:E3"/>
    <mergeCell ref="U3:X3"/>
    <mergeCell ref="B6:C6"/>
    <mergeCell ref="R6:S6"/>
    <mergeCell ref="R26:S26"/>
    <mergeCell ref="N32:O32"/>
    <mergeCell ref="V32:X32"/>
    <mergeCell ref="F32:G32"/>
    <mergeCell ref="R18:S18"/>
    <mergeCell ref="B28:C28"/>
    <mergeCell ref="K3:L3"/>
    <mergeCell ref="B19:C19"/>
    <mergeCell ref="B23:C23"/>
    <mergeCell ref="J26:K26"/>
    <mergeCell ref="J7:K7"/>
  </mergeCells>
  <pageMargins left="0.71" right="0.71" top="1.34" bottom="0.75" header="0.31" footer="0.31"/>
  <pageSetup paperSize="9" scale="65" pageOrder="downThenOver" orientation="landscape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D6DB0F7-46D8-74B8-67E2-6D06229799B8}" mc:Ignorable="x14ac xr xr2 xr3">
  <dimension ref="A1:Y36"/>
  <sheetViews>
    <sheetView defaultGridColor="0" colorId="31" topLeftCell="A1" workbookViewId="0">
      <selection activeCell="A1" sqref="A1"/>
    </sheetView>
  </sheetViews>
  <sheetFormatPr customHeight="1" defaultRowHeight="14.100000000000001"/>
  <sheetData>
    <row customHeight="1" ht="14.25">
      <c r="A1" s="170" t="s">
        <v>87</v>
      </c>
      <c r="B1" s="171" t="s">
        <v>5</v>
      </c>
      <c r="C1" s="170" t="s">
        <v>88</v>
      </c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</row>
    <row customHeight="1" ht="14.25">
      <c r="A2" s="108"/>
      <c r="B2" s="172" t="str">
        <f>EDATE(B1,1)</f>
        <v>46023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</row>
    <row customHeight="1" ht="14.25">
      <c r="A3" s="108"/>
      <c r="B3" s="173">
        <f>B2-1</f>
        <v>46022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</row>
    <row customHeight="1" ht="14.100000000000001">
      <c r="A4" s="108"/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</row>
    <row customHeight="1" ht="14.25">
      <c r="A5" s="108"/>
      <c r="B5" s="108"/>
      <c r="C5" s="108"/>
      <c r="D5" s="108"/>
      <c r="E5" s="108">
        <v>43578</v>
      </c>
      <c r="F5" s="108">
        <v>34322</v>
      </c>
      <c r="G5" s="108">
        <f>_xlfn.IFERROR(SUM(IF(E5="",0,E5),IF(F5="",0,F5)),"")</f>
        <v>77900</v>
      </c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</row>
    <row customHeight="1" ht="14.25">
      <c r="A6" s="108"/>
      <c r="B6" s="108"/>
      <c r="C6" s="108"/>
      <c r="D6" s="108"/>
      <c r="E6" s="108">
        <v>24103</v>
      </c>
      <c r="F6" s="108">
        <v>15443</v>
      </c>
      <c r="G6" s="108">
        <f>_xlfn.IFERROR(SUM(IF(E6="",0,E6),IF(F6="",0,F6)),"")</f>
        <v>39546</v>
      </c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</row>
    <row customHeight="1" ht="14.25">
      <c r="A7" s="108"/>
      <c r="B7" s="108"/>
      <c r="C7" s="108"/>
      <c r="D7" s="108"/>
      <c r="E7" s="108">
        <v>11175</v>
      </c>
      <c r="F7" s="108">
        <v>34172</v>
      </c>
      <c r="G7" s="108">
        <f>_xlfn.IFERROR(SUM(IF(E7="",0,E7),IF(F7="",0,F7)),"")</f>
        <v>45347</v>
      </c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</row>
    <row customHeight="1" ht="14.25">
      <c r="A8" s="108"/>
      <c r="B8" s="108"/>
      <c r="C8" s="108"/>
      <c r="D8" s="108"/>
      <c r="E8" s="108">
        <v>57216</v>
      </c>
      <c r="F8" s="108">
        <v>25426</v>
      </c>
      <c r="G8" s="108">
        <f>_xlfn.IFERROR(SUM(IF(E8="",0,E8),IF(F8="",0,F8)),"")</f>
        <v>82642</v>
      </c>
      <c r="H8" s="108"/>
      <c r="I8" s="108"/>
      <c r="J8" s="108"/>
      <c r="K8" s="108"/>
      <c r="L8" s="108">
        <v>28916</v>
      </c>
      <c r="M8" s="108"/>
      <c r="N8" s="108"/>
      <c r="O8" s="108"/>
      <c r="P8" s="108">
        <v>1</v>
      </c>
      <c r="Q8" s="108"/>
      <c r="R8" s="108"/>
      <c r="S8" s="108"/>
      <c r="T8" s="108"/>
      <c r="U8" s="108">
        <v>9597</v>
      </c>
      <c r="V8" s="108"/>
      <c r="W8" s="108"/>
      <c r="X8" s="108"/>
      <c r="Y8" s="108">
        <v>7270</v>
      </c>
    </row>
    <row customHeight="1" ht="14.25">
      <c r="A9" s="108"/>
      <c r="B9" s="108">
        <v>279009</v>
      </c>
      <c r="C9" s="108">
        <v>225155</v>
      </c>
      <c r="D9" s="108">
        <f>_xlfn.IFERROR(SUM(IF(B9="",0,B9),IF(C9="",0,C9)),"")</f>
        <v>504164</v>
      </c>
      <c r="E9" s="108">
        <v>142118</v>
      </c>
      <c r="F9" s="108">
        <v>114834</v>
      </c>
      <c r="G9" s="108">
        <f>_xlfn.IFERROR(SUM(IF(E9="",0,E9),IF(F9="",0,F9)),"")</f>
        <v>256952</v>
      </c>
      <c r="H9" s="108"/>
      <c r="I9" s="108"/>
      <c r="J9" s="108"/>
      <c r="K9" s="108"/>
      <c r="L9" s="108"/>
      <c r="M9" s="108"/>
      <c r="N9" s="108">
        <v>0</v>
      </c>
      <c r="O9" s="108">
        <v>8136</v>
      </c>
      <c r="P9" s="108">
        <f>_xlfn.IFERROR(SUM(IF(N9="",0,N9),IF(O9="",0,O9)),"")</f>
        <v>8136</v>
      </c>
      <c r="Q9" s="108"/>
      <c r="R9" s="108"/>
      <c r="S9" s="108"/>
      <c r="T9" s="108"/>
      <c r="U9" s="108"/>
      <c r="V9" s="108"/>
      <c r="W9" s="108"/>
      <c r="X9" s="108"/>
      <c r="Y9" s="108">
        <v>1769</v>
      </c>
    </row>
    <row customHeight="1" ht="14.25">
      <c r="A10" s="108"/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>
        <v>2590</v>
      </c>
      <c r="Q10" s="108"/>
      <c r="R10" s="108"/>
      <c r="S10" s="108"/>
      <c r="T10" s="108"/>
      <c r="U10" s="108"/>
      <c r="V10" s="108"/>
      <c r="W10" s="108"/>
      <c r="X10" s="108"/>
      <c r="Y10" s="108">
        <v>0</v>
      </c>
    </row>
    <row customHeight="1" ht="14.25">
      <c r="A11" s="108"/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>
        <v>16451</v>
      </c>
      <c r="Q11" s="108"/>
      <c r="R11" s="108"/>
      <c r="S11" s="108"/>
      <c r="T11" s="108"/>
      <c r="U11" s="108"/>
      <c r="V11" s="108"/>
      <c r="W11" s="108"/>
      <c r="X11" s="108"/>
      <c r="Y11" s="108">
        <v>465</v>
      </c>
    </row>
    <row customHeight="1" ht="14.25">
      <c r="A12" s="108"/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>
        <v>1645</v>
      </c>
      <c r="Q12" s="108"/>
      <c r="R12" s="108"/>
      <c r="S12" s="108"/>
      <c r="T12" s="108"/>
      <c r="U12" s="108">
        <v>4203</v>
      </c>
      <c r="V12" s="108"/>
      <c r="W12" s="108"/>
      <c r="X12" s="108"/>
      <c r="Y12" s="108"/>
    </row>
    <row customHeight="1" ht="14.25">
      <c r="A13" s="108"/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>
        <v>7270</v>
      </c>
      <c r="V13" s="108"/>
      <c r="W13" s="108"/>
      <c r="X13" s="108"/>
      <c r="Y13" s="108">
        <v>5293</v>
      </c>
    </row>
    <row customHeight="1" ht="14.25">
      <c r="A14" s="108"/>
      <c r="B14" s="108">
        <v>183144</v>
      </c>
      <c r="C14" s="174">
        <v>79857</v>
      </c>
      <c r="D14" s="108">
        <f>_xlfn.IFERROR(SUM(B14,C14,C15,C16),"")</f>
        <v>264934</v>
      </c>
      <c r="E14" s="108">
        <v>2085</v>
      </c>
      <c r="F14" s="108"/>
      <c r="G14" s="108">
        <f>_xlfn.IFERROR(SUM(IF(E14="",0,E14),IF(F14="",0,F14)),"")</f>
        <v>2085</v>
      </c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>
        <v>0</v>
      </c>
      <c r="V14" s="108"/>
      <c r="W14" s="108"/>
      <c r="X14" s="108"/>
      <c r="Y14" s="108">
        <v>225</v>
      </c>
    </row>
    <row customHeight="1" ht="14.25">
      <c r="A15" s="108"/>
      <c r="B15" s="108"/>
      <c r="C15" s="174">
        <v>288</v>
      </c>
      <c r="D15" s="108">
        <f>_xlfn.IFERROR(SUM(B14,C14),"")</f>
        <v>263001</v>
      </c>
      <c r="E15" s="174">
        <v>6429</v>
      </c>
      <c r="F15" s="174">
        <v>3168</v>
      </c>
      <c r="G15" s="108">
        <f>_xlfn.IFERROR(SUM(IF(E15="",0,E15),IF(F15="",0,F15)),"")</f>
        <v>9597</v>
      </c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>
        <v>58</v>
      </c>
    </row>
    <row customHeight="1" ht="14.25">
      <c r="A16" s="108"/>
      <c r="B16" s="108"/>
      <c r="C16" s="174">
        <v>1645</v>
      </c>
      <c r="D16" s="108"/>
      <c r="E16" s="108">
        <v>28937</v>
      </c>
      <c r="F16" s="174">
        <v>18697</v>
      </c>
      <c r="G16" s="108">
        <f>_xlfn.IFERROR(SUM(IF(E16="",0,E16),IF(F16="",0,F16)),"")</f>
        <v>47634</v>
      </c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>
        <v>5751</v>
      </c>
    </row>
    <row customHeight="1" ht="14.25">
      <c r="A17" s="108"/>
      <c r="B17" s="108"/>
      <c r="C17" s="108"/>
      <c r="D17" s="108"/>
      <c r="E17" s="108">
        <v>86749</v>
      </c>
      <c r="F17" s="174">
        <v>39623</v>
      </c>
      <c r="G17" s="108">
        <f>_xlfn.IFERROR(SUM(IF(E17="",0,E17),IF(F17="",0,F17)),"")</f>
        <v>126372</v>
      </c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>
        <v>146</v>
      </c>
    </row>
    <row customHeight="1" ht="14.25">
      <c r="A18" s="108"/>
      <c r="B18" s="108"/>
      <c r="C18" s="108"/>
      <c r="D18" s="108"/>
      <c r="E18" s="108">
        <v>44561</v>
      </c>
      <c r="F18" s="174">
        <v>14236</v>
      </c>
      <c r="G18" s="108">
        <f>_xlfn.IFERROR(SUM(IF(E18="",0,E18),IF(F18="",0,F18)),"")</f>
        <v>58797</v>
      </c>
      <c r="H18" s="108"/>
      <c r="I18" s="108"/>
      <c r="J18" s="108"/>
      <c r="K18" s="108"/>
      <c r="L18" s="108">
        <v>9491</v>
      </c>
      <c r="M18" s="108"/>
      <c r="N18" s="108"/>
      <c r="O18" s="108"/>
      <c r="P18" s="108">
        <v>9102</v>
      </c>
      <c r="Q18" s="108"/>
      <c r="R18" s="108"/>
      <c r="S18" s="108"/>
      <c r="T18" s="108"/>
      <c r="U18" s="108"/>
      <c r="V18" s="108"/>
      <c r="W18" s="108"/>
      <c r="X18" s="108"/>
      <c r="Y18" s="108"/>
    </row>
    <row customHeight="1" ht="14.25">
      <c r="A19" s="108"/>
      <c r="B19" s="108"/>
      <c r="C19" s="108"/>
      <c r="D19" s="108"/>
      <c r="E19" s="108">
        <v>12561</v>
      </c>
      <c r="F19" s="174">
        <v>4855</v>
      </c>
      <c r="G19" s="108">
        <f>_xlfn.IFERROR(SUM(IF(E19="",0,E19),IF(F19="",0,F19)),"")</f>
        <v>17416</v>
      </c>
      <c r="H19" s="108"/>
      <c r="I19" s="108"/>
      <c r="J19" s="108"/>
      <c r="K19" s="108"/>
      <c r="L19" s="108"/>
      <c r="M19" s="108"/>
      <c r="N19" s="108"/>
      <c r="O19" s="108"/>
      <c r="P19" s="108">
        <v>0</v>
      </c>
      <c r="Q19" s="108"/>
      <c r="R19" s="108"/>
      <c r="S19" s="108"/>
      <c r="T19" s="108"/>
      <c r="U19" s="108">
        <v>5107</v>
      </c>
      <c r="V19" s="108"/>
      <c r="W19" s="108"/>
      <c r="X19" s="108"/>
      <c r="Y19" s="108">
        <v>4953</v>
      </c>
    </row>
    <row customHeight="1" ht="14.25">
      <c r="A20" s="108"/>
      <c r="B20" s="108"/>
      <c r="C20" s="108"/>
      <c r="D20" s="108"/>
      <c r="E20" s="108">
        <v>1069</v>
      </c>
      <c r="F20" s="108"/>
      <c r="G20" s="108">
        <f>_xlfn.IFERROR(SUM(IF(E20="",0,E20),IF(F20="",0,F20)),"")</f>
        <v>1069</v>
      </c>
      <c r="H20" s="108"/>
      <c r="I20" s="108"/>
      <c r="J20" s="108"/>
      <c r="K20" s="108"/>
      <c r="L20" s="108"/>
      <c r="M20" s="108"/>
      <c r="N20" s="108"/>
      <c r="O20" s="108"/>
      <c r="P20" s="108">
        <v>0</v>
      </c>
      <c r="Q20" s="108"/>
      <c r="R20" s="108"/>
      <c r="S20" s="108"/>
      <c r="T20" s="108"/>
      <c r="U20" s="108">
        <v>0</v>
      </c>
      <c r="V20" s="108"/>
      <c r="W20" s="108"/>
      <c r="X20" s="108"/>
      <c r="Y20" s="108">
        <v>93</v>
      </c>
    </row>
    <row customHeight="1" ht="14.25">
      <c r="A21" s="108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>
        <v>0</v>
      </c>
      <c r="Q21" s="108"/>
      <c r="R21" s="108"/>
      <c r="S21" s="108"/>
      <c r="T21" s="108"/>
      <c r="U21" s="108"/>
      <c r="V21" s="108"/>
      <c r="W21" s="108"/>
      <c r="X21" s="108"/>
      <c r="Y21" s="108"/>
    </row>
    <row customHeight="1" ht="14.25">
      <c r="A22" s="108"/>
      <c r="B22" s="108"/>
      <c r="C22" s="108"/>
      <c r="D22" s="108">
        <v>29009</v>
      </c>
      <c r="E22" s="108"/>
      <c r="F22" s="175">
        <v>28916</v>
      </c>
      <c r="G22" s="108"/>
      <c r="H22" s="108"/>
      <c r="I22" s="108"/>
      <c r="J22" s="108"/>
      <c r="K22" s="108"/>
      <c r="L22" s="108"/>
      <c r="M22" s="108"/>
      <c r="N22" s="108"/>
      <c r="O22" s="108"/>
      <c r="P22" s="108">
        <v>19</v>
      </c>
      <c r="Q22" s="108"/>
      <c r="R22" s="108"/>
      <c r="S22" s="108"/>
      <c r="T22" s="108"/>
      <c r="U22" s="108"/>
      <c r="V22" s="108"/>
      <c r="W22" s="108"/>
      <c r="X22" s="108"/>
      <c r="Y22" s="108"/>
    </row>
    <row customHeight="1" ht="14.25">
      <c r="A23" s="108"/>
      <c r="B23" s="108"/>
      <c r="C23" s="108"/>
      <c r="D23" s="108"/>
      <c r="E23" s="108"/>
      <c r="F23" s="175">
        <v>53</v>
      </c>
      <c r="G23" s="108"/>
      <c r="H23" s="108"/>
      <c r="I23" s="108"/>
      <c r="J23" s="108"/>
      <c r="K23" s="108"/>
      <c r="L23" s="108"/>
      <c r="M23" s="108"/>
      <c r="N23" s="108"/>
      <c r="O23" s="108"/>
      <c r="P23" s="108">
        <v>0</v>
      </c>
      <c r="Q23" s="108"/>
      <c r="R23" s="108"/>
      <c r="S23" s="108"/>
      <c r="T23" s="108"/>
      <c r="U23" s="108"/>
      <c r="V23" s="108"/>
      <c r="W23" s="108"/>
      <c r="X23" s="108"/>
      <c r="Y23" s="108"/>
    </row>
    <row customHeight="1" ht="14.100000000000001">
      <c r="A24" s="108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</row>
    <row customHeight="1" ht="14.25">
      <c r="A25" s="108"/>
      <c r="B25" s="108"/>
      <c r="C25" s="108">
        <v>2831</v>
      </c>
      <c r="D25" s="108"/>
      <c r="E25" s="108"/>
      <c r="F25" s="175">
        <v>5091</v>
      </c>
      <c r="G25" s="108"/>
      <c r="H25" s="108"/>
      <c r="I25" s="108"/>
      <c r="J25" s="108"/>
      <c r="K25" s="108"/>
      <c r="L25" s="108"/>
      <c r="M25" s="108"/>
      <c r="N25" s="108"/>
      <c r="O25" s="108"/>
      <c r="P25" s="108">
        <v>288</v>
      </c>
      <c r="Q25" s="108"/>
      <c r="R25" s="108"/>
      <c r="S25" s="108"/>
      <c r="T25" s="108"/>
      <c r="U25" s="108"/>
      <c r="V25" s="108"/>
      <c r="W25" s="108"/>
      <c r="X25" s="108"/>
      <c r="Y25" s="108"/>
    </row>
    <row customHeight="1" ht="14.25">
      <c r="A26" s="108"/>
      <c r="B26" s="108"/>
      <c r="C26" s="108">
        <v>10450</v>
      </c>
      <c r="D26" s="108"/>
      <c r="E26" s="108"/>
      <c r="F26" s="108">
        <v>7389</v>
      </c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</row>
    <row customHeight="1" ht="14.25">
      <c r="A27" s="108"/>
      <c r="B27" s="108"/>
      <c r="C27" s="108"/>
      <c r="D27" s="108"/>
      <c r="E27" s="108"/>
      <c r="F27" s="108">
        <v>191</v>
      </c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>
        <v>4901</v>
      </c>
      <c r="V27" s="108"/>
      <c r="W27" s="108"/>
      <c r="X27" s="108"/>
      <c r="Y27" s="108">
        <v>4676</v>
      </c>
    </row>
    <row customHeight="1" ht="14.25">
      <c r="A28" s="108"/>
      <c r="B28" s="108"/>
      <c r="C28" s="108"/>
      <c r="D28" s="108"/>
      <c r="E28" s="108"/>
      <c r="F28" s="108">
        <v>18</v>
      </c>
      <c r="G28" s="108"/>
      <c r="H28" s="108"/>
      <c r="I28" s="108"/>
      <c r="J28" s="108"/>
      <c r="K28" s="108"/>
      <c r="L28" s="174">
        <v>30528</v>
      </c>
      <c r="M28" s="108"/>
      <c r="N28" s="108"/>
      <c r="O28" s="108"/>
      <c r="P28" s="174">
        <v>0</v>
      </c>
      <c r="Q28" s="108"/>
      <c r="R28" s="108"/>
      <c r="S28" s="108"/>
      <c r="T28" s="108"/>
      <c r="U28" s="108"/>
      <c r="V28" s="108"/>
      <c r="W28" s="108"/>
      <c r="X28" s="108"/>
      <c r="Y28" s="108">
        <v>133</v>
      </c>
    </row>
    <row customHeight="1" ht="14.25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74">
        <v>62</v>
      </c>
      <c r="M29" s="108"/>
      <c r="N29" s="108"/>
      <c r="O29" s="108"/>
      <c r="P29" s="174">
        <v>669</v>
      </c>
      <c r="Q29" s="108"/>
      <c r="R29" s="108"/>
      <c r="S29" s="108"/>
      <c r="T29" s="108"/>
      <c r="U29" s="108"/>
      <c r="V29" s="108"/>
      <c r="W29" s="108"/>
      <c r="X29" s="108"/>
      <c r="Y29" s="108"/>
    </row>
    <row customHeight="1" ht="14.25">
      <c r="A30" s="108"/>
      <c r="B30" s="108"/>
      <c r="C30" s="108"/>
      <c r="D30" s="108">
        <v>16471</v>
      </c>
      <c r="E30" s="108"/>
      <c r="F30" s="175">
        <v>3355</v>
      </c>
      <c r="G30" s="108" t="str">
        <f>_xlfn.IFERROR(SUM(IF(E30="",0,E30),IF(#REF!="",0,#REF!)),"")</f>
        <v/>
      </c>
      <c r="H30" s="108"/>
      <c r="I30" s="108"/>
      <c r="J30" s="108"/>
      <c r="K30" s="108"/>
      <c r="L30" s="108"/>
      <c r="M30" s="108"/>
      <c r="N30" s="108"/>
      <c r="O30" s="108"/>
      <c r="P30" s="174">
        <v>0</v>
      </c>
      <c r="Q30" s="108"/>
      <c r="R30" s="108"/>
      <c r="S30" s="108"/>
      <c r="T30" s="108"/>
      <c r="U30" s="108"/>
      <c r="V30" s="108"/>
      <c r="W30" s="108"/>
      <c r="X30" s="108"/>
      <c r="Y30" s="108">
        <v>53</v>
      </c>
    </row>
    <row customHeight="1" ht="14.25">
      <c r="A31" s="108"/>
      <c r="B31" s="108"/>
      <c r="C31" s="108"/>
      <c r="D31" s="108">
        <v>1255</v>
      </c>
      <c r="E31" s="108"/>
      <c r="F31" s="175">
        <v>14148</v>
      </c>
      <c r="G31" s="108"/>
      <c r="H31" s="108"/>
      <c r="I31" s="108"/>
      <c r="J31" s="108"/>
      <c r="K31" s="108"/>
      <c r="L31" s="108"/>
      <c r="M31" s="108"/>
      <c r="N31" s="108"/>
      <c r="O31" s="108"/>
      <c r="P31" s="174">
        <v>0</v>
      </c>
      <c r="Q31" s="108"/>
      <c r="R31" s="108"/>
      <c r="S31" s="108"/>
      <c r="T31" s="108"/>
      <c r="U31" s="108"/>
      <c r="V31" s="108"/>
      <c r="W31" s="108"/>
      <c r="X31" s="108"/>
      <c r="Y31" s="108">
        <v>0</v>
      </c>
    </row>
    <row customHeight="1" ht="14.25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74">
        <v>0</v>
      </c>
      <c r="Q32" s="108"/>
      <c r="R32" s="108"/>
      <c r="S32" s="108"/>
      <c r="T32" s="108"/>
      <c r="U32" s="108"/>
      <c r="V32" s="108"/>
      <c r="W32" s="108"/>
      <c r="X32" s="108"/>
      <c r="Y32" s="108">
        <v>39</v>
      </c>
    </row>
    <row customHeight="1" ht="14.25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74">
        <v>29765</v>
      </c>
      <c r="Q33" s="108"/>
      <c r="R33" s="108"/>
      <c r="S33" s="108"/>
      <c r="T33" s="108"/>
      <c r="U33" s="108"/>
      <c r="V33" s="108"/>
      <c r="W33" s="108"/>
      <c r="X33" s="108"/>
      <c r="Y33" s="108">
        <v>53</v>
      </c>
    </row>
    <row customHeight="1" ht="14.100000000000001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</row>
    <row customHeight="1" ht="14.25">
      <c r="A35" s="108"/>
      <c r="B35" s="108"/>
      <c r="C35" s="108"/>
      <c r="D35" s="108"/>
      <c r="E35" s="176" t="s">
        <v>83</v>
      </c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</row>
    <row customHeight="1" ht="14.25">
      <c r="A36" s="108"/>
      <c r="B36" s="108"/>
      <c r="C36" s="108"/>
      <c r="D36" s="108"/>
      <c r="E36" s="176" t="s">
        <v>85</v>
      </c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生产装置工艺流程图</vt:lpstr>
      <vt:lpstr>取值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c3</cp:lastModifiedBy>
  <cp:lastPrinted>2022-05-27T03:57:02Z</cp:lastPrinted>
  <dcterms:created xsi:type="dcterms:W3CDTF">2015-06-05T18:19:34Z</dcterms:created>
  <dcterms:modified xsi:type="dcterms:W3CDTF">2022-05-27T08:13:26Z</dcterms:modified>
</cp:coreProperties>
</file>