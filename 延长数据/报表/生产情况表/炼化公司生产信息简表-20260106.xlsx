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tabRatio="630"/>
  </bookViews>
  <sheets>
    <sheet name="生产信息简表" sheetId="1" r:id="rId2"/>
    <sheet name="取值" sheetId="2" state="hidden" r:id="rId3"/>
  </sheets>
  <definedNames>
    <definedName name="_xlnm._FilterDatabase" localSheetId="0">生产信息简表!$B$1:$K$50</definedName>
  </definedName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R8" authorId="0">
      <text>
        <r>
          <rPr>
            <sz val="9"/>
            <color indexed="81"/>
            <rFont val="宋体"/>
            <family val="2"/>
          </rPr>
          <t>#Input("炼化公司_生产计划部_生产信息简表_原油库存_延炼",":key{{dw}}",":read")</t>
        </r>
      </text>
    </comment>
    <comment ref="S8" authorId="0">
      <text>
        <r>
          <rPr>
            <sz val="9"/>
            <color indexed="81"/>
            <rFont val="宋体"/>
            <family val="2"/>
          </rPr>
          <t>#Input("炼化公司_生产计划部_生产信息简表_原油库存_永炼",":key{{dw}}",":read")</t>
        </r>
      </text>
    </comment>
    <comment ref="T8" authorId="0">
      <text>
        <r>
          <rPr>
            <sz val="9"/>
            <color indexed="81"/>
            <rFont val="宋体"/>
            <family val="2"/>
          </rPr>
          <t>#Input("炼化公司_生产计划部_生产信息简表_原油库存_榆炼",":key{{dw}}",":read")</t>
        </r>
      </text>
    </comment>
    <comment ref="R9" authorId="0">
      <text>
        <r>
          <rPr>
            <sz val="9"/>
            <color indexed="81"/>
            <rFont val="宋体"/>
            <family val="2"/>
          </rPr>
          <t>#Input("炼化公司_生产计划部_生产信息简表_原油可付量_延炼",":key{{dw}}",":read")</t>
        </r>
      </text>
    </comment>
    <comment ref="S9" authorId="0">
      <text>
        <r>
          <rPr>
            <sz val="9"/>
            <color indexed="81"/>
            <rFont val="宋体"/>
            <family val="2"/>
          </rPr>
          <t>#Input("炼化公司_生产计划部_生产信息简表_原油可付量_永炼",":key{{dw}}",":read")</t>
        </r>
      </text>
    </comment>
    <comment ref="T9" authorId="0">
      <text>
        <r>
          <rPr>
            <sz val="9"/>
            <color indexed="81"/>
            <rFont val="宋体"/>
            <family val="2"/>
          </rPr>
          <t>#Input("炼化公司_生产计划部_生产信息简表_原油可付量_榆炼",":key{{dw}}",":read")</t>
        </r>
      </text>
    </comment>
    <comment ref="R11" authorId="0">
      <text>
        <r>
          <rPr>
            <sz val="9"/>
            <color indexed="81"/>
            <rFont val="宋体"/>
            <family val="2"/>
          </rPr>
          <t>#Input("炼化公司_生产计划部_生产信息简表_原油加工量_延炼",":key{{dw}}",":read")</t>
        </r>
      </text>
    </comment>
    <comment ref="S11" authorId="0">
      <text>
        <r>
          <rPr>
            <sz val="9"/>
            <color indexed="81"/>
            <rFont val="宋体"/>
            <family val="2"/>
          </rPr>
          <t>#Input("炼化公司_生产计划部_生产信息简表_原油加工量_永炼",":key{{dw}}",":read")</t>
        </r>
      </text>
    </comment>
    <comment ref="T11" authorId="0">
      <text>
        <r>
          <rPr>
            <sz val="9"/>
            <color indexed="81"/>
            <rFont val="宋体"/>
            <family val="2"/>
          </rPr>
          <t>#Input("炼化公司_生产计划部_生产信息简表_原油加工量_榆炼",":key{{dw}}",":read")</t>
        </r>
      </text>
    </comment>
    <comment ref="C22" authorId="0">
      <text>
        <r>
          <rPr>
            <sz val="9"/>
            <color indexed="81"/>
            <rFont val="宋体"/>
            <family val="2"/>
          </rPr>
          <t>#Input("炼化_生产计划部_生产信息简表_98#汽油销量",":key{{dw}}")</t>
        </r>
      </text>
    </comment>
    <comment ref="C23" authorId="0">
      <text>
        <r>
          <rPr>
            <sz val="9"/>
            <color indexed="81"/>
            <rFont val="宋体"/>
            <family val="2"/>
          </rPr>
          <t xml:space="preserve">#Input("炼化_生产计划部_生产信息简表_98#汽油库存",":key{{dw}}")
</t>
        </r>
      </text>
    </comment>
    <comment ref="I43" authorId="0">
      <text>
        <r>
          <rPr>
            <sz val="9"/>
            <color indexed="81"/>
            <rFont val="宋体"/>
            <family val="2"/>
          </rPr>
          <t>#Input("炼化_生产计划部_生产信息简表_煤油共炼装置_原料油加工量",":key{{dw}}")</t>
        </r>
      </text>
    </comment>
    <comment ref="I44" authorId="0">
      <text>
        <r>
          <rPr>
            <sz val="9"/>
            <color indexed="81"/>
            <rFont val="宋体"/>
            <family val="2"/>
          </rPr>
          <t>#Input("炼化_生产计划部_生产信息简表_煤油共炼装置_煤粉掺炼量",":key{{dw}}")</t>
        </r>
      </text>
    </comment>
    <comment ref="I45" authorId="0">
      <text>
        <r>
          <rPr>
            <sz val="9"/>
            <color indexed="81"/>
            <rFont val="宋体"/>
            <family val="2"/>
          </rPr>
          <t>#Input("炼化_生产计划部_生产信息简表_煤油共炼装置_原油品产量",":key{{dw}}")</t>
        </r>
      </text>
    </comment>
    <comment ref="E46" authorId="0">
      <text>
        <r>
          <rPr>
            <sz val="9"/>
            <color indexed="81"/>
            <rFont val="宋体"/>
            <family val="2"/>
          </rPr>
          <t>#Input("炼化_生产计划部_生产信息简表_氦气产量",":key{{dw}}")</t>
        </r>
      </text>
    </comment>
    <comment ref="G46" authorId="0">
      <text>
        <r>
          <rPr>
            <sz val="9"/>
            <color indexed="81"/>
            <rFont val="宋体"/>
            <family val="2"/>
          </rPr>
          <t>#Input("炼化_生产计划部_生产信息简表_氦气年累计销量",":key{{dw}}")</t>
        </r>
      </text>
    </comment>
    <comment ref="C48" authorId="0">
      <text>
        <r>
          <rPr>
            <sz val="9"/>
            <color indexed="81"/>
            <rFont val="宋体"/>
            <family val="2"/>
          </rPr>
          <t>#Input("炼化_生产计划部_生产信息简表_延长中燃_丙烷加工量",":key{{dw}}")</t>
        </r>
      </text>
    </comment>
    <comment ref="D48" authorId="0">
      <text>
        <r>
          <rPr>
            <sz val="9"/>
            <color indexed="81"/>
            <rFont val="宋体"/>
            <family val="2"/>
          </rPr>
          <t>#Input("炼化_生产计划部_生产信息简表_延长中燃_丙烯产量",":key{{dw}}")</t>
        </r>
      </text>
    </comment>
    <comment ref="E48" authorId="0">
      <text>
        <r>
          <rPr>
            <sz val="9"/>
            <color indexed="81"/>
            <rFont val="宋体"/>
            <family val="2"/>
          </rPr>
          <t>#Input("炼化_生产计划部_生产信息简表_延长中燃_丙烯销量",":key{{dw}}")</t>
        </r>
      </text>
    </comment>
    <comment ref="F48" authorId="0">
      <text>
        <r>
          <rPr>
            <sz val="9"/>
            <color indexed="81"/>
            <rFont val="宋体"/>
            <family val="2"/>
          </rPr>
          <t>#Input("炼化_生产计划部_生产信息简表_延长中燃_丙烯累计产量",":key{{dw}}")</t>
        </r>
      </text>
    </comment>
    <comment ref="G48" authorId="0">
      <text>
        <r>
          <rPr>
            <sz val="9"/>
            <color indexed="81"/>
            <rFont val="宋体"/>
            <family val="2"/>
          </rPr>
          <t>#Input("炼化_生产计划部_生产信息简表_延长中燃_丙烯累计销量",":key{{dw}}")</t>
        </r>
      </text>
    </comment>
  </commentList>
</comments>
</file>

<file path=xl/sharedStrings.xml><?xml version="1.0" encoding="utf-8"?>
<sst xmlns="http://schemas.openxmlformats.org/spreadsheetml/2006/main" count="130" uniqueCount="98">
  <si>
    <t>炼化公司生产信息简表</t>
  </si>
  <si>
    <t xml:space="preserve">  填报单位：炼化公司</t>
  </si>
  <si>
    <t>统计日期：</t>
  </si>
  <si>
    <t>填报日期：</t>
  </si>
  <si>
    <t>2026-01-06</t>
  </si>
  <si>
    <t>2026-01-07</t>
  </si>
  <si>
    <t>延炼</t>
  </si>
  <si>
    <t>永炼</t>
  </si>
  <si>
    <t>榆炼</t>
  </si>
  <si>
    <t>合计</t>
  </si>
  <si>
    <t>年累</t>
  </si>
  <si>
    <t>交口区域化工物料平衡</t>
  </si>
  <si>
    <t>原油来量：</t>
  </si>
  <si>
    <t>原料气总产量</t>
  </si>
  <si>
    <t>长庆</t>
  </si>
  <si>
    <t>永炼、榆炼产量</t>
  </si>
  <si>
    <t>管输</t>
  </si>
  <si>
    <t>延炼自产</t>
  </si>
  <si>
    <t>进口</t>
  </si>
  <si>
    <t>原料气库存</t>
  </si>
  <si>
    <t>原油库存</t>
  </si>
  <si>
    <t>底库量</t>
  </si>
  <si>
    <t>可付量</t>
  </si>
  <si>
    <t>管输末站库存</t>
  </si>
  <si>
    <t>原油加工量</t>
  </si>
  <si>
    <t>原料气总加工</t>
  </si>
  <si>
    <t>渣油加工量</t>
  </si>
  <si>
    <t>渣油库存</t>
  </si>
  <si>
    <t>石化厂</t>
  </si>
  <si>
    <t>空量</t>
  </si>
  <si>
    <t>丙烯总产量</t>
  </si>
  <si>
    <t>汽油产量</t>
  </si>
  <si>
    <t>延炼气分</t>
  </si>
  <si>
    <t>92#汽油销量</t>
  </si>
  <si>
    <t>石化厂气分</t>
  </si>
  <si>
    <t>库存</t>
  </si>
  <si>
    <t>石化厂混脱</t>
  </si>
  <si>
    <t>丙烯总加工</t>
  </si>
  <si>
    <t>95#汽油销量</t>
  </si>
  <si>
    <t>丙烯总库存</t>
  </si>
  <si>
    <t>98#汽油销量</t>
  </si>
  <si>
    <t>烷基化油产量</t>
  </si>
  <si>
    <t>柴油产量</t>
  </si>
  <si>
    <t>MTBE总产量</t>
  </si>
  <si>
    <t>0#柴油销量</t>
  </si>
  <si>
    <t>6万吨/MTBE</t>
  </si>
  <si>
    <t>12万吨/MTBE</t>
  </si>
  <si>
    <t>25万吨/MTBE</t>
  </si>
  <si>
    <t>-10#柴油销量</t>
  </si>
  <si>
    <t>油田气科技公司</t>
  </si>
  <si>
    <t>天然气用量</t>
  </si>
  <si>
    <t>BDO产量</t>
  </si>
  <si>
    <t>-20#柴油销量</t>
  </si>
  <si>
    <t>BDO库存</t>
  </si>
  <si>
    <t>BDO销量</t>
  </si>
  <si>
    <t>聚酯级乙二醇产量</t>
  </si>
  <si>
    <t>航煤产量</t>
  </si>
  <si>
    <t>轻质多元醇产量</t>
  </si>
  <si>
    <t>销量</t>
  </si>
  <si>
    <t>乙二醇库存</t>
  </si>
  <si>
    <t>聚酯级乙二醇销量</t>
  </si>
  <si>
    <t>轻质多元醇销量</t>
  </si>
  <si>
    <t xml:space="preserve">天然气公司   </t>
  </si>
  <si>
    <t>进气量</t>
  </si>
  <si>
    <t>产量</t>
  </si>
  <si>
    <t>销售量</t>
  </si>
  <si>
    <t>PTMEG产量</t>
  </si>
  <si>
    <t>临镇站</t>
  </si>
  <si>
    <t>PTMEG库存</t>
  </si>
  <si>
    <t>杨家湾站</t>
  </si>
  <si>
    <t>PTMEG销量</t>
  </si>
  <si>
    <t>延川站</t>
  </si>
  <si>
    <t>煤油共炼装置</t>
  </si>
  <si>
    <t>志丹站</t>
  </si>
  <si>
    <t>原料油加工量</t>
  </si>
  <si>
    <t>安塞站</t>
  </si>
  <si>
    <t>煤粉掺炼量</t>
  </si>
  <si>
    <t>油品产量</t>
  </si>
  <si>
    <t>LNG 年累计产量</t>
  </si>
  <si>
    <t>氦气产量</t>
  </si>
  <si>
    <t>年累计销量</t>
  </si>
  <si>
    <t>江苏延长中燃</t>
  </si>
  <si>
    <t>丙烷加工量</t>
  </si>
  <si>
    <t>丙烯产量</t>
  </si>
  <si>
    <t>丙烯销量</t>
  </si>
  <si>
    <t>丙烯累计产量</t>
  </si>
  <si>
    <t>丙烯累计销量</t>
  </si>
  <si>
    <t>备注：</t>
  </si>
  <si>
    <t>审核人：</t>
  </si>
  <si>
    <t>罗先波</t>
  </si>
  <si>
    <t>一审人：</t>
  </si>
  <si>
    <t>李阿君</t>
  </si>
  <si>
    <t>2023/10/03 炼化调度要求取值替换为 航煤日报表</t>
  </si>
  <si>
    <t>油田气</t>
  </si>
  <si>
    <t>天然气</t>
  </si>
  <si>
    <t>榆炼进口原油掺炼量4403吨/日，(其中500万常压掺炼比例为：1：9.27），本月累计29279吨，本年累计掺炼29279吨。</t>
  </si>
  <si>
    <t>新增氦气产量和销量 2023-2-24</t>
  </si>
  <si>
    <t>日销量改为累计年销量 2023-3-19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</si>
</sst>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1" formatCode="0_ "/>
    <numFmt numFmtId="172" formatCode="_(* #,##0.00_);_(* \(#,##0.00\);_(* &quot;-&quot;??_);_(@_)"/>
    <numFmt numFmtId="173" formatCode="_(* #,##0_);_(* \(#,##0\);_(* &quot;-&quot;_);_(@_)"/>
    <numFmt numFmtId="174" formatCode="_(&quot;$&quot;* #,##0.00_);_(&quot;$&quot;* \(#,##0.00\);_(&quot;$&quot;* &quot;-&quot;??_);_(@_)"/>
    <numFmt numFmtId="175" formatCode="_(&quot;$&quot;* #,##0_);_(&quot;$&quot;* \(#,##0\);_(&quot;$&quot;* &quot;-&quot;_);_(@_)"/>
  </numFmts>
  <fonts count="29">
    <font>
      <sz val="12"/>
      <color rgb="FF000000"/>
      <name val="宋体"/>
    </font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libri Light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2"/>
      <color auto="1"/>
      <name val="宋体"/>
    </font>
    <font>
      <sz val="11"/>
      <color rgb="FF000000"/>
      <name val="Calibri"/>
      <scheme val="minor"/>
    </font>
    <font>
      <sz val="11"/>
      <color auto="1"/>
      <name val="等线"/>
    </font>
    <font>
      <b/>
      <sz val="18"/>
      <color auto="1"/>
      <name val="等线"/>
    </font>
    <font>
      <sz val="12"/>
      <color auto="1"/>
      <name val="等线"/>
    </font>
    <font>
      <sz val="12"/>
      <color theme="1"/>
      <name val="等线"/>
    </font>
    <font>
      <b/>
      <sz val="11"/>
      <color auto="1"/>
      <name val="等线"/>
    </font>
    <font>
      <b/>
      <sz val="11"/>
      <color rgb="FFFF0000"/>
      <name val="等线"/>
    </font>
  </fonts>
  <fills count="38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theme="0"/>
      </patternFill>
    </fill>
    <fill>
      <patternFill patternType="solid">
        <fgColor rgb="FF92D050"/>
      </patternFill>
    </fill>
    <fill>
      <patternFill patternType="solid">
        <fgColor rgb="FF00B0F0"/>
      </patternFill>
    </fill>
  </fills>
  <borders count="16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</borders>
  <cellStyleXfs count="50">
    <xf numFmtId="0" fontId="0" fillId="0" borderId="0" applyFont="1" applyFill="0" applyBorder="0">
      <alignment vertical="center"/>
    </xf>
    <xf numFmtId="0" fontId="1" fillId="2" borderId="0" applyFont="1" applyFill="1" applyBorder="0">
      <alignment vertical="top"/>
    </xf>
    <xf numFmtId="0" fontId="1" fillId="3" borderId="0" applyFont="1" applyFill="1" applyBorder="0">
      <alignment vertical="top"/>
    </xf>
    <xf numFmtId="0" fontId="1" fillId="4" borderId="0" applyFont="1" applyFill="1" applyBorder="0">
      <alignment vertical="top"/>
    </xf>
    <xf numFmtId="0" fontId="1" fillId="5" borderId="0" applyFont="1" applyFill="1" applyBorder="0">
      <alignment vertical="top"/>
    </xf>
    <xf numFmtId="0" fontId="1" fillId="6" borderId="0" applyFont="1" applyFill="1" applyBorder="0">
      <alignment vertical="top"/>
    </xf>
    <xf numFmtId="0" fontId="1" fillId="7" borderId="0" applyFont="1" applyFill="1" applyBorder="0">
      <alignment vertical="top"/>
    </xf>
    <xf numFmtId="0" fontId="1" fillId="8" borderId="0" applyFont="1" applyFill="1" applyBorder="0">
      <alignment vertical="top"/>
    </xf>
    <xf numFmtId="0" fontId="1" fillId="9" borderId="0" applyFont="1" applyFill="1" applyBorder="0">
      <alignment vertical="top"/>
    </xf>
    <xf numFmtId="0" fontId="1" fillId="10" borderId="0" applyFont="1" applyFill="1" applyBorder="0">
      <alignment vertical="top"/>
    </xf>
    <xf numFmtId="0" fontId="1" fillId="11" borderId="0" applyFont="1" applyFill="1" applyBorder="0">
      <alignment vertical="top"/>
    </xf>
    <xf numFmtId="0" fontId="1" fillId="12" borderId="0" applyFont="1" applyFill="1" applyBorder="0">
      <alignment vertical="top"/>
    </xf>
    <xf numFmtId="0" fontId="1" fillId="13" borderId="0" applyFont="1" applyFill="1" applyBorder="0">
      <alignment vertical="top"/>
    </xf>
    <xf numFmtId="0" fontId="2" fillId="14" borderId="0" applyFont="1" applyFill="1" applyBorder="0">
      <alignment vertical="top"/>
    </xf>
    <xf numFmtId="0" fontId="2" fillId="15" borderId="0" applyFont="1" applyFill="1" applyBorder="0">
      <alignment vertical="top"/>
    </xf>
    <xf numFmtId="0" fontId="2" fillId="16" borderId="0" applyFont="1" applyFill="1" applyBorder="0">
      <alignment vertical="top"/>
    </xf>
    <xf numFmtId="0" fontId="2" fillId="17" borderId="0" applyFont="1" applyFill="1" applyBorder="0">
      <alignment vertical="top"/>
    </xf>
    <xf numFmtId="0" fontId="2" fillId="18" borderId="0" applyFont="1" applyFill="1" applyBorder="0">
      <alignment vertical="top"/>
    </xf>
    <xf numFmtId="0" fontId="2" fillId="19" borderId="0" applyFont="1" applyFill="1" applyBorder="0">
      <alignment vertical="top"/>
    </xf>
    <xf numFmtId="0" fontId="2" fillId="20" borderId="0" applyFont="1" applyFill="1" applyBorder="0">
      <alignment vertical="top"/>
    </xf>
    <xf numFmtId="0" fontId="2" fillId="21" borderId="0" applyFont="1" applyFill="1" applyBorder="0">
      <alignment vertical="top"/>
    </xf>
    <xf numFmtId="0" fontId="2" fillId="22" borderId="0" applyFont="1" applyFill="1" applyBorder="0">
      <alignment vertical="top"/>
    </xf>
    <xf numFmtId="0" fontId="2" fillId="23" borderId="0" applyFont="1" applyFill="1" applyBorder="0">
      <alignment vertical="top"/>
    </xf>
    <xf numFmtId="0" fontId="2" fillId="24" borderId="0" applyFont="1" applyFill="1" applyBorder="0">
      <alignment vertical="top"/>
    </xf>
    <xf numFmtId="0" fontId="2" fillId="25" borderId="0" applyFont="1" applyFill="1" applyBorder="0">
      <alignment vertical="top"/>
    </xf>
    <xf numFmtId="0" fontId="3" fillId="26" borderId="0" applyFont="1" applyFill="1" applyBorder="0">
      <alignment vertical="top"/>
    </xf>
    <xf numFmtId="0" fontId="4" fillId="27" borderId="1" applyFont="1" applyFill="1" applyBorder="1">
      <alignment vertical="top"/>
    </xf>
    <xf numFmtId="0" fontId="5" fillId="28" borderId="2" applyFont="1" applyFill="1" applyBorder="1">
      <alignment vertical="top"/>
    </xf>
    <xf numFmtId="172" fontId="6" fillId="0" borderId="0" applyFont="0" applyFill="0" applyBorder="0" applyNumberFormat="1">
      <alignment vertical="top"/>
    </xf>
    <xf numFmtId="173" fontId="6" fillId="0" borderId="0" applyFont="0" applyFill="0" applyBorder="0" applyNumberFormat="1">
      <alignment vertical="top"/>
    </xf>
    <xf numFmtId="174" fontId="6" fillId="0" borderId="0" applyFont="0" applyFill="0" applyBorder="0" applyNumberFormat="1">
      <alignment vertical="top"/>
    </xf>
    <xf numFmtId="175" fontId="6" fillId="0" borderId="0" applyFont="0" applyFill="0" applyBorder="0" applyNumberFormat="1">
      <alignment vertical="top"/>
    </xf>
    <xf numFmtId="0" fontId="7" fillId="0" borderId="0" applyFont="1" applyFill="0" applyBorder="0">
      <alignment vertical="top"/>
    </xf>
    <xf numFmtId="0" fontId="8" fillId="29" borderId="0" applyFont="1" applyFill="1" applyBorder="0">
      <alignment vertical="top"/>
    </xf>
    <xf numFmtId="0" fontId="9" fillId="0" borderId="3" applyFont="1" applyFill="0" applyBorder="1">
      <alignment vertical="top"/>
    </xf>
    <xf numFmtId="0" fontId="10" fillId="0" borderId="4" applyFont="1" applyFill="0" applyBorder="1">
      <alignment vertical="top"/>
    </xf>
    <xf numFmtId="0" fontId="11" fillId="0" borderId="5" applyFont="1" applyFill="0" applyBorder="1">
      <alignment vertical="top"/>
    </xf>
    <xf numFmtId="0" fontId="11" fillId="0" borderId="0" applyFont="1" applyFill="0" applyBorder="0">
      <alignment vertical="top"/>
    </xf>
    <xf numFmtId="0" fontId="12" fillId="30" borderId="1" applyFont="1" applyFill="1" applyBorder="1">
      <alignment vertical="top"/>
    </xf>
    <xf numFmtId="0" fontId="13" fillId="0" borderId="6" applyFont="1" applyFill="0" applyBorder="1">
      <alignment vertical="top"/>
    </xf>
    <xf numFmtId="0" fontId="14" fillId="31" borderId="0" applyFont="1" applyFill="1" applyBorder="0">
      <alignment vertical="top"/>
    </xf>
    <xf numFmtId="0" fontId="6" fillId="32" borderId="7" applyFont="0" applyFill="1" applyBorder="1">
      <alignment vertical="top"/>
    </xf>
    <xf numFmtId="0" fontId="15" fillId="27" borderId="8" applyFont="1" applyFill="1" applyBorder="1">
      <alignment vertical="top"/>
    </xf>
    <xf numFmtId="9" fontId="6" fillId="0" borderId="0" applyFont="0" applyFill="0" applyBorder="0" applyNumberFormat="1">
      <alignment vertical="top"/>
    </xf>
    <xf numFmtId="0" fontId="16" fillId="0" borderId="0" applyFont="1" applyFill="0" applyBorder="0">
      <alignment vertical="top"/>
    </xf>
    <xf numFmtId="0" fontId="17" fillId="0" borderId="9" applyFont="1" applyFill="0" applyBorder="1">
      <alignment vertical="top"/>
    </xf>
    <xf numFmtId="0" fontId="18" fillId="0" borderId="0" applyFont="1" applyFill="0" applyBorder="0">
      <alignment vertical="top"/>
    </xf>
    <xf numFmtId="0" fontId="19" fillId="0" borderId="0" applyFont="1" applyFill="0" applyBorder="0">
      <alignment vertical="top"/>
    </xf>
    <xf numFmtId="0" fontId="20" fillId="0" borderId="0" applyFont="1" applyFill="0" applyBorder="0">
      <alignment vertical="top"/>
    </xf>
    <xf numFmtId="0" fontId="21" fillId="0" borderId="0" applyFont="1" applyFill="0" applyBorder="0">
      <alignment vertical="center"/>
    </xf>
  </cellStyleXfs>
  <cellXfs count="146">
    <xf numFmtId="0" fontId="0" fillId="0" borderId="0" xfId="0" applyFont="1">
      <alignment vertical="center"/>
    </xf>
    <xf numFmtId="0" fontId="1" fillId="2" borderId="0" xfId="1" applyFont="1" applyFill="1">
      <alignment vertical="top"/>
    </xf>
    <xf numFmtId="0" fontId="1" fillId="3" borderId="0" xfId="2" applyFont="1" applyFill="1">
      <alignment vertical="top"/>
    </xf>
    <xf numFmtId="0" fontId="1" fillId="4" borderId="0" xfId="3" applyFont="1" applyFill="1">
      <alignment vertical="top"/>
    </xf>
    <xf numFmtId="0" fontId="1" fillId="5" borderId="0" xfId="4" applyFont="1" applyFill="1">
      <alignment vertical="top"/>
    </xf>
    <xf numFmtId="0" fontId="1" fillId="6" borderId="0" xfId="5" applyFont="1" applyFill="1">
      <alignment vertical="top"/>
    </xf>
    <xf numFmtId="0" fontId="1" fillId="7" borderId="0" xfId="6" applyFont="1" applyFill="1">
      <alignment vertical="top"/>
    </xf>
    <xf numFmtId="0" fontId="1" fillId="8" borderId="0" xfId="7" applyFont="1" applyFill="1">
      <alignment vertical="top"/>
    </xf>
    <xf numFmtId="0" fontId="1" fillId="9" borderId="0" xfId="8" applyFont="1" applyFill="1">
      <alignment vertical="top"/>
    </xf>
    <xf numFmtId="0" fontId="1" fillId="10" borderId="0" xfId="9" applyFont="1" applyFill="1">
      <alignment vertical="top"/>
    </xf>
    <xf numFmtId="0" fontId="1" fillId="11" borderId="0" xfId="10" applyFont="1" applyFill="1">
      <alignment vertical="top"/>
    </xf>
    <xf numFmtId="0" fontId="1" fillId="12" borderId="0" xfId="11" applyFont="1" applyFill="1">
      <alignment vertical="top"/>
    </xf>
    <xf numFmtId="0" fontId="1" fillId="13" borderId="0" xfId="12" applyFont="1" applyFill="1">
      <alignment vertical="top"/>
    </xf>
    <xf numFmtId="0" fontId="2" fillId="14" borderId="0" xfId="13" applyFont="1" applyFill="1">
      <alignment vertical="top"/>
    </xf>
    <xf numFmtId="0" fontId="2" fillId="15" borderId="0" xfId="14" applyFont="1" applyFill="1">
      <alignment vertical="top"/>
    </xf>
    <xf numFmtId="0" fontId="2" fillId="16" borderId="0" xfId="15" applyFont="1" applyFill="1">
      <alignment vertical="top"/>
    </xf>
    <xf numFmtId="0" fontId="2" fillId="17" borderId="0" xfId="16" applyFont="1" applyFill="1">
      <alignment vertical="top"/>
    </xf>
    <xf numFmtId="0" fontId="2" fillId="18" borderId="0" xfId="17" applyFont="1" applyFill="1">
      <alignment vertical="top"/>
    </xf>
    <xf numFmtId="0" fontId="2" fillId="19" borderId="0" xfId="18" applyFont="1" applyFill="1">
      <alignment vertical="top"/>
    </xf>
    <xf numFmtId="0" fontId="2" fillId="20" borderId="0" xfId="19" applyFont="1" applyFill="1">
      <alignment vertical="top"/>
    </xf>
    <xf numFmtId="0" fontId="2" fillId="21" borderId="0" xfId="20" applyFont="1" applyFill="1">
      <alignment vertical="top"/>
    </xf>
    <xf numFmtId="0" fontId="2" fillId="22" borderId="0" xfId="21" applyFont="1" applyFill="1">
      <alignment vertical="top"/>
    </xf>
    <xf numFmtId="0" fontId="2" fillId="23" borderId="0" xfId="22" applyFont="1" applyFill="1">
      <alignment vertical="top"/>
    </xf>
    <xf numFmtId="0" fontId="2" fillId="24" borderId="0" xfId="23" applyFont="1" applyFill="1">
      <alignment vertical="top"/>
    </xf>
    <xf numFmtId="0" fontId="2" fillId="25" borderId="0" xfId="24" applyFont="1" applyFill="1">
      <alignment vertical="top"/>
    </xf>
    <xf numFmtId="0" fontId="3" fillId="26" borderId="0" xfId="25" applyFont="1" applyFill="1">
      <alignment vertical="top"/>
    </xf>
    <xf numFmtId="0" fontId="4" fillId="27" borderId="1" xfId="26" applyFont="1" applyFill="1" applyBorder="1">
      <alignment vertical="top"/>
    </xf>
    <xf numFmtId="0" fontId="5" fillId="28" borderId="2" xfId="27" applyFont="1" applyFill="1" applyBorder="1">
      <alignment vertical="top"/>
    </xf>
    <xf numFmtId="172" fontId="6" fillId="0" borderId="0" xfId="28" applyFont="0" applyNumberFormat="1">
      <alignment vertical="top"/>
    </xf>
    <xf numFmtId="173" fontId="6" fillId="0" borderId="0" xfId="29" applyFont="0" applyNumberFormat="1">
      <alignment vertical="top"/>
    </xf>
    <xf numFmtId="174" fontId="6" fillId="0" borderId="0" xfId="30" applyFont="0" applyNumberFormat="1">
      <alignment vertical="top"/>
    </xf>
    <xf numFmtId="175" fontId="6" fillId="0" borderId="0" xfId="31" applyFont="0" applyNumberFormat="1">
      <alignment vertical="top"/>
    </xf>
    <xf numFmtId="0" fontId="7" fillId="0" borderId="0" xfId="32" applyFont="1">
      <alignment vertical="top"/>
    </xf>
    <xf numFmtId="0" fontId="8" fillId="29" borderId="0" xfId="33" applyFont="1" applyFill="1">
      <alignment vertical="top"/>
    </xf>
    <xf numFmtId="0" fontId="9" fillId="0" borderId="3" xfId="34" applyFont="1" applyBorder="1">
      <alignment vertical="top"/>
    </xf>
    <xf numFmtId="0" fontId="10" fillId="0" borderId="4" xfId="35" applyFont="1" applyBorder="1">
      <alignment vertical="top"/>
    </xf>
    <xf numFmtId="0" fontId="11" fillId="0" borderId="5" xfId="36" applyFont="1" applyBorder="1">
      <alignment vertical="top"/>
    </xf>
    <xf numFmtId="0" fontId="11" fillId="0" borderId="0" xfId="37" applyFont="1">
      <alignment vertical="top"/>
    </xf>
    <xf numFmtId="0" fontId="12" fillId="30" borderId="1" xfId="38" applyFont="1" applyFill="1" applyBorder="1">
      <alignment vertical="top"/>
    </xf>
    <xf numFmtId="0" fontId="13" fillId="0" borderId="6" xfId="39" applyFont="1" applyBorder="1">
      <alignment vertical="top"/>
    </xf>
    <xf numFmtId="0" fontId="14" fillId="31" borderId="0" xfId="40" applyFont="1" applyFill="1">
      <alignment vertical="top"/>
    </xf>
    <xf numFmtId="0" fontId="6" fillId="32" borderId="7" xfId="41" applyFont="0" applyFill="1" applyBorder="1">
      <alignment vertical="top"/>
    </xf>
    <xf numFmtId="0" fontId="15" fillId="27" borderId="8" xfId="42" applyFont="1" applyFill="1" applyBorder="1">
      <alignment vertical="top"/>
    </xf>
    <xf numFmtId="9" fontId="6" fillId="0" borderId="0" xfId="43" applyFont="0" applyNumberFormat="1">
      <alignment vertical="top"/>
    </xf>
    <xf numFmtId="0" fontId="16" fillId="0" borderId="0" xfId="44" applyFont="1">
      <alignment vertical="top"/>
    </xf>
    <xf numFmtId="0" fontId="17" fillId="0" borderId="9" xfId="45" applyFont="1" applyBorder="1">
      <alignment vertical="top"/>
    </xf>
    <xf numFmtId="0" fontId="18" fillId="0" borderId="0" xfId="46" applyFont="1">
      <alignment vertical="top"/>
    </xf>
    <xf numFmtId="0" fontId="19" fillId="0" borderId="0" xfId="47" applyFont="1">
      <alignment vertical="top"/>
    </xf>
    <xf numFmtId="0" fontId="20" fillId="0" borderId="0" xfId="48" applyFont="1">
      <alignment vertical="top"/>
    </xf>
    <xf numFmtId="0" fontId="21" fillId="0" borderId="0" xfId="49" applyFont="1">
      <alignment vertical="center"/>
    </xf>
    <xf numFmtId="0" fontId="0" fillId="33" borderId="0" xfId="0" applyFont="1" applyFill="1">
      <alignment vertical="center"/>
    </xf>
    <xf numFmtId="0" fontId="0" fillId="34" borderId="0" xfId="0" applyFont="1" applyFill="1">
      <alignment vertical="center"/>
    </xf>
    <xf numFmtId="0" fontId="21" fillId="34" borderId="0" xfId="0" applyFont="1" applyFill="1">
      <alignment vertical="center"/>
    </xf>
    <xf numFmtId="0" fontId="1" fillId="0" borderId="0" xfId="0" applyFont="1"/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3" fillId="0" borderId="0" xfId="0" applyFont="1">
      <alignment horizontal="left" vertical="center"/>
    </xf>
    <xf numFmtId="0" fontId="23" fillId="0" borderId="0" xfId="0" applyFont="1">
      <alignment horizontal="center" vertical="center"/>
    </xf>
    <xf numFmtId="0" fontId="24" fillId="0" borderId="10" xfId="0" applyFont="1" applyBorder="1">
      <alignment horizontal="center" vertical="center"/>
    </xf>
    <xf numFmtId="0" fontId="24" fillId="0" borderId="0" xfId="0" applyFont="1">
      <alignment horizontal="center" vertical="center"/>
    </xf>
    <xf numFmtId="14" fontId="25" fillId="0" borderId="0" xfId="0" applyFont="1" applyNumberFormat="1">
      <alignment horizontal="left" vertical="center"/>
    </xf>
    <xf numFmtId="0" fontId="26" fillId="0" borderId="0" xfId="0" applyFont="1">
      <alignment horizontal="right" vertical="center" wrapText="1"/>
    </xf>
    <xf numFmtId="0" fontId="26" fillId="0" borderId="0" xfId="0" applyFont="1">
      <alignment horizontal="left" vertical="center" wrapText="1"/>
    </xf>
    <xf numFmtId="0" fontId="25" fillId="0" borderId="0" xfId="0" applyFont="1">
      <alignment horizontal="left" vertical="center"/>
    </xf>
    <xf numFmtId="0" fontId="23" fillId="0" borderId="11" xfId="0" applyFont="1" applyBorder="1">
      <alignment horizontal="left" vertical="center"/>
    </xf>
    <xf numFmtId="0" fontId="27" fillId="35" borderId="11" xfId="0" applyFont="1" applyFill="1" applyBorder="1">
      <alignment horizontal="center" vertical="center"/>
    </xf>
    <xf numFmtId="0" fontId="27" fillId="0" borderId="11" xfId="0" applyFont="1" applyBorder="1">
      <alignment horizontal="left" vertical="center"/>
    </xf>
    <xf numFmtId="171" fontId="23" fillId="36" borderId="11" xfId="0" applyFont="1" applyFill="1" applyBorder="1" applyNumberFormat="1">
      <alignment horizontal="center" vertical="center"/>
    </xf>
    <xf numFmtId="171" fontId="27" fillId="35" borderId="11" xfId="0" applyFont="1" applyFill="1" applyBorder="1" applyNumberFormat="1">
      <alignment horizontal="center" vertical="center" wrapText="1"/>
    </xf>
    <xf numFmtId="0" fontId="23" fillId="0" borderId="11" xfId="0" applyFont="1" applyBorder="1">
      <alignment horizontal="left" vertical="center" indent="1"/>
    </xf>
    <xf numFmtId="171" fontId="23" fillId="36" borderId="11" xfId="0" applyFont="1" applyFill="1" applyBorder="1" applyNumberFormat="1">
      <alignment horizontal="center" vertical="center" wrapText="1"/>
    </xf>
    <xf numFmtId="171" fontId="23" fillId="35" borderId="11" xfId="0" applyFont="1" applyFill="1" applyBorder="1" applyNumberFormat="1">
      <alignment horizontal="center" vertical="center" wrapText="1"/>
    </xf>
    <xf numFmtId="171" fontId="23" fillId="35" borderId="12" xfId="0" applyFont="1" applyFill="1" applyBorder="1" applyNumberFormat="1">
      <alignment horizontal="center" vertical="center" wrapText="1"/>
    </xf>
    <xf numFmtId="171" fontId="23" fillId="36" borderId="13" xfId="0" applyFont="1" applyFill="1" applyBorder="1" applyNumberFormat="1">
      <alignment horizontal="center" vertical="center" wrapText="1"/>
    </xf>
    <xf numFmtId="171" fontId="23" fillId="35" borderId="11" xfId="0" applyFont="1" applyFill="1" applyBorder="1" applyNumberFormat="1">
      <alignment horizontal="center" vertical="center"/>
    </xf>
    <xf numFmtId="171" fontId="27" fillId="35" borderId="11" xfId="0" applyFont="1" applyFill="1" applyBorder="1" applyNumberFormat="1">
      <alignment horizontal="center" vertical="center"/>
    </xf>
    <xf numFmtId="171" fontId="27" fillId="35" borderId="13" xfId="0" applyFont="1" applyFill="1" applyBorder="1" applyNumberFormat="1">
      <alignment horizontal="center" vertical="center"/>
    </xf>
    <xf numFmtId="171" fontId="23" fillId="36" borderId="13" xfId="0" applyFont="1" applyFill="1" applyBorder="1" applyNumberFormat="1">
      <alignment horizontal="center" vertical="center"/>
    </xf>
    <xf numFmtId="171" fontId="23" fillId="0" borderId="11" xfId="0" applyFont="1" applyBorder="1" applyNumberFormat="1">
      <alignment horizontal="center" vertical="center" wrapText="1"/>
    </xf>
    <xf numFmtId="0" fontId="23" fillId="0" borderId="11" xfId="0" applyFont="1" applyBorder="1">
      <alignment horizontal="center" vertical="center"/>
    </xf>
    <xf numFmtId="0" fontId="23" fillId="0" borderId="11" xfId="0" applyFont="1" applyBorder="1">
      <alignment vertical="center"/>
    </xf>
    <xf numFmtId="0" fontId="23" fillId="0" borderId="0" xfId="0" applyFont="1">
      <alignment vertical="center" wrapText="1"/>
    </xf>
    <xf numFmtId="171" fontId="23" fillId="37" borderId="11" xfId="0" applyFont="1" applyFill="1" applyBorder="1" applyNumberFormat="1">
      <alignment horizontal="center" vertical="center"/>
    </xf>
    <xf numFmtId="171" fontId="23" fillId="37" borderId="13" xfId="0" applyFont="1" applyFill="1" applyBorder="1" applyNumberFormat="1">
      <alignment horizontal="center" vertical="center"/>
    </xf>
    <xf numFmtId="0" fontId="28" fillId="0" borderId="11" xfId="0" applyFont="1" applyBorder="1">
      <alignment horizontal="center" vertical="center"/>
    </xf>
    <xf numFmtId="0" fontId="23" fillId="0" borderId="11" xfId="0" applyFont="1" applyBorder="1">
      <alignment vertical="center" wrapText="1"/>
    </xf>
    <xf numFmtId="0" fontId="23" fillId="0" borderId="14" xfId="0" applyFont="1" applyBorder="1">
      <alignment vertical="center"/>
    </xf>
    <xf numFmtId="0" fontId="23" fillId="0" borderId="15" xfId="0" applyFont="1" applyBorder="1">
      <alignment horizontal="center" vertical="center"/>
    </xf>
    <xf numFmtId="0" fontId="0" fillId="0" borderId="0" xfId="0" applyFont="1">
      <alignment horizontal="center" vertical="center"/>
    </xf>
    <xf numFmtId="171" fontId="23" fillId="36" borderId="12" xfId="0" applyFont="1" applyFill="1" applyBorder="1" applyNumberFormat="1">
      <alignment horizontal="center" vertical="center" wrapText="1"/>
    </xf>
    <xf numFmtId="0" fontId="0" fillId="0" borderId="0" xfId="0" applyFont="1">
      <alignment vertical="center" wrapText="1"/>
    </xf>
    <xf numFmtId="0" fontId="23" fillId="0" borderId="14" xfId="0" applyFont="1" applyBorder="1">
      <alignment horizontal="center" vertical="center"/>
    </xf>
    <xf numFmtId="171" fontId="0" fillId="0" borderId="0" xfId="0" applyFont="1" applyNumberFormat="1">
      <alignment vertical="center" wrapText="1"/>
    </xf>
    <xf numFmtId="0" fontId="27" fillId="0" borderId="11" xfId="0" applyFont="1" applyBorder="1" quotePrefix="1">
      <alignment horizontal="left" vertical="center"/>
    </xf>
    <xf numFmtId="0" fontId="24" fillId="0" borderId="10" xfId="0" applyFont="1" applyBorder="1">
      <alignment horizontal="center" vertical="center" wrapText="1"/>
    </xf>
    <xf numFmtId="0" fontId="24" fillId="0" borderId="0" xfId="0" applyFont="1">
      <alignment horizontal="center" vertical="center" wrapText="1"/>
    </xf>
    <xf numFmtId="0" fontId="0" fillId="0" borderId="0" xfId="0" applyFont="1">
      <alignment vertical="center" wrapText="1"/>
    </xf>
    <xf numFmtId="0" fontId="0" fillId="0" borderId="0" xfId="0" applyFont="1">
      <alignment vertical="center" wrapText="1"/>
    </xf>
    <xf numFmtId="14" fontId="25" fillId="0" borderId="0" xfId="0" applyFont="1" applyNumberFormat="1">
      <alignment horizontal="left" vertical="center" wrapText="1"/>
    </xf>
    <xf numFmtId="0" fontId="26" fillId="0" borderId="0" xfId="0" applyFont="1">
      <alignment horizontal="right" vertical="center" wrapText="1"/>
    </xf>
    <xf numFmtId="0" fontId="26" fillId="0" borderId="0" xfId="0" applyFont="1">
      <alignment horizontal="left" vertical="center" wrapText="1"/>
    </xf>
    <xf numFmtId="0" fontId="25" fillId="0" borderId="0" xfId="0" applyFont="1">
      <alignment horizontal="left" vertical="center" wrapText="1"/>
    </xf>
    <xf numFmtId="0" fontId="0" fillId="0" borderId="0" xfId="0" applyFont="1">
      <alignment vertical="center" wrapText="1"/>
    </xf>
    <xf numFmtId="0" fontId="23" fillId="0" borderId="11" xfId="0" applyFont="1" applyBorder="1">
      <alignment horizontal="left" vertical="center" wrapText="1"/>
    </xf>
    <xf numFmtId="0" fontId="27" fillId="35" borderId="11" xfId="0" applyFont="1" applyFill="1" applyBorder="1">
      <alignment horizontal="center" vertical="center" wrapText="1"/>
    </xf>
    <xf numFmtId="0" fontId="27" fillId="0" borderId="11" xfId="0" applyFont="1" applyBorder="1">
      <alignment horizontal="left" vertical="center" wrapText="1"/>
    </xf>
    <xf numFmtId="171" fontId="23" fillId="36" borderId="11" xfId="0" applyFont="1" applyFill="1" applyBorder="1" applyNumberFormat="1">
      <alignment horizontal="center" vertical="center" wrapText="1"/>
    </xf>
    <xf numFmtId="171" fontId="27" fillId="35" borderId="11" xfId="0" applyFont="1" applyFill="1" applyBorder="1" applyNumberFormat="1">
      <alignment horizontal="center" vertical="center" wrapText="1"/>
    </xf>
    <xf numFmtId="171" fontId="23" fillId="36" borderId="11" xfId="0" applyFont="1" applyFill="1" applyBorder="1" applyNumberFormat="1">
      <alignment horizontal="center" vertical="center" wrapText="1"/>
    </xf>
    <xf numFmtId="0" fontId="23" fillId="0" borderId="11" xfId="0" applyFont="1" applyBorder="1">
      <alignment horizontal="left" vertical="center" wrapText="1" indent="1"/>
    </xf>
    <xf numFmtId="171" fontId="23" fillId="35" borderId="11" xfId="0" applyFont="1" applyFill="1" applyBorder="1" applyNumberFormat="1">
      <alignment horizontal="center" vertical="center" wrapText="1"/>
    </xf>
    <xf numFmtId="0" fontId="0" fillId="0" borderId="0" xfId="0" applyFont="1">
      <alignment horizontal="center" vertical="center" wrapText="1"/>
    </xf>
    <xf numFmtId="171" fontId="0" fillId="0" borderId="0" xfId="0" applyFont="1" applyNumberFormat="1">
      <alignment vertical="center" wrapText="1"/>
    </xf>
    <xf numFmtId="171" fontId="23" fillId="35" borderId="12" xfId="0" applyFont="1" applyFill="1" applyBorder="1" applyNumberFormat="1">
      <alignment horizontal="center" vertical="center" wrapText="1"/>
    </xf>
    <xf numFmtId="171" fontId="23" fillId="36" borderId="12" xfId="0" applyFont="1" applyFill="1" applyBorder="1" applyNumberFormat="1">
      <alignment horizontal="center" vertical="center" wrapText="1"/>
    </xf>
    <xf numFmtId="171" fontId="23" fillId="36" borderId="13" xfId="0" applyFont="1" applyFill="1" applyBorder="1" applyNumberFormat="1">
      <alignment horizontal="center" vertical="center" wrapText="1"/>
    </xf>
    <xf numFmtId="171" fontId="23" fillId="36" borderId="11" xfId="0" applyFont="1" applyFill="1" applyBorder="1" applyNumberFormat="1">
      <alignment horizontal="center" vertical="center" wrapText="1"/>
      <protection locked="0"/>
    </xf>
    <xf numFmtId="0" fontId="27" fillId="0" borderId="11" xfId="0" applyFont="1" applyBorder="1" quotePrefix="1">
      <alignment horizontal="left" vertical="center" wrapText="1"/>
    </xf>
    <xf numFmtId="171" fontId="23" fillId="35" borderId="11" xfId="0" applyFont="1" applyFill="1" applyBorder="1" applyNumberFormat="1">
      <alignment horizontal="center" vertical="center" wrapText="1"/>
    </xf>
    <xf numFmtId="171" fontId="27" fillId="35" borderId="11" xfId="0" applyFont="1" applyFill="1" applyBorder="1" applyNumberFormat="1">
      <alignment horizontal="center" vertical="center" wrapText="1"/>
    </xf>
    <xf numFmtId="171" fontId="27" fillId="35" borderId="13" xfId="0" applyFont="1" applyFill="1" applyBorder="1" applyNumberFormat="1">
      <alignment horizontal="center" vertical="center" wrapText="1"/>
    </xf>
    <xf numFmtId="171" fontId="23" fillId="36" borderId="13" xfId="0" applyFont="1" applyFill="1" applyBorder="1" applyNumberFormat="1">
      <alignment horizontal="center" vertical="center" wrapText="1"/>
    </xf>
    <xf numFmtId="171" fontId="23" fillId="0" borderId="11" xfId="0" applyFont="1" applyBorder="1" applyNumberFormat="1">
      <alignment horizontal="center" vertical="center" wrapText="1"/>
    </xf>
    <xf numFmtId="0" fontId="23" fillId="0" borderId="11" xfId="0" applyFont="1" applyBorder="1">
      <alignment horizontal="center" vertical="center" wrapText="1"/>
    </xf>
    <xf numFmtId="171" fontId="23" fillId="36" borderId="11" xfId="0" applyFont="1" applyFill="1" applyBorder="1" applyNumberFormat="1">
      <alignment horizontal="center" vertical="center" wrapText="1"/>
      <protection locked="0"/>
    </xf>
    <xf numFmtId="171" fontId="23" fillId="36" borderId="13" xfId="0" applyFont="1" applyFill="1" applyBorder="1" applyNumberFormat="1">
      <alignment horizontal="center" vertical="center" wrapText="1"/>
      <protection locked="0"/>
    </xf>
    <xf numFmtId="0" fontId="23" fillId="0" borderId="11" xfId="0" applyFont="1" applyBorder="1">
      <alignment vertical="center" wrapText="1"/>
    </xf>
    <xf numFmtId="0" fontId="23" fillId="0" borderId="0" xfId="0" applyFont="1">
      <alignment vertical="center" wrapText="1"/>
    </xf>
    <xf numFmtId="171" fontId="23" fillId="37" borderId="11" xfId="0" applyFont="1" applyFill="1" applyBorder="1" applyNumberFormat="1">
      <alignment horizontal="center" vertical="center" wrapText="1"/>
    </xf>
    <xf numFmtId="171" fontId="23" fillId="37" borderId="13" xfId="0" applyFont="1" applyFill="1" applyBorder="1" applyNumberFormat="1">
      <alignment horizontal="center" vertical="center" wrapText="1"/>
    </xf>
    <xf numFmtId="0" fontId="0" fillId="0" borderId="0" xfId="0" applyFont="1">
      <alignment vertical="center" wrapText="1"/>
    </xf>
    <xf numFmtId="0" fontId="28" fillId="0" borderId="11" xfId="0" applyFont="1" applyBorder="1">
      <alignment horizontal="center" vertical="center" wrapText="1"/>
    </xf>
    <xf numFmtId="0" fontId="23" fillId="0" borderId="11" xfId="0" applyFont="1" applyBorder="1">
      <alignment vertical="center" wrapText="1"/>
    </xf>
    <xf numFmtId="0" fontId="23" fillId="0" borderId="14" xfId="0" applyFont="1" applyBorder="1">
      <alignment vertical="center" wrapText="1"/>
    </xf>
    <xf numFmtId="0" fontId="23" fillId="0" borderId="14" xfId="0" applyFont="1" applyBorder="1">
      <alignment horizontal="center" vertical="center" wrapText="1"/>
    </xf>
    <xf numFmtId="0" fontId="23" fillId="0" borderId="0" xfId="0" applyFont="1">
      <alignment horizontal="center" vertical="center" wrapText="1"/>
    </xf>
    <xf numFmtId="0" fontId="23" fillId="0" borderId="15" xfId="0" applyFont="1" applyBorder="1">
      <alignment horizontal="center" vertical="center" wrapText="1"/>
    </xf>
    <xf numFmtId="0" fontId="23" fillId="0" borderId="0" xfId="0" applyFont="1">
      <alignment horizontal="left" vertical="center" wrapText="1"/>
    </xf>
    <xf numFmtId="0" fontId="23" fillId="0" borderId="0" xfId="0" applyFont="1">
      <alignment horizontal="center" vertical="center" wrapText="1"/>
    </xf>
    <xf numFmtId="0" fontId="0" fillId="0" borderId="0" xfId="0" applyFont="1">
      <alignment vertical="center"/>
    </xf>
    <xf numFmtId="0" fontId="0" fillId="0" borderId="0" xfId="0" applyFont="1">
      <alignment vertical="center" wrapText="1"/>
      <protection locked="0"/>
    </xf>
    <xf numFmtId="0" fontId="0" fillId="33" borderId="0" xfId="0" applyFont="1" applyFill="1">
      <alignment vertical="center" wrapText="1"/>
    </xf>
    <xf numFmtId="0" fontId="0" fillId="34" borderId="0" xfId="0" applyFont="1" applyFill="1">
      <alignment vertical="center" wrapText="1"/>
    </xf>
    <xf numFmtId="0" fontId="21" fillId="34" borderId="0" xfId="0" applyFont="1" applyFill="1">
      <alignment vertical="center" wrapText="1"/>
    </xf>
    <xf numFmtId="0" fontId="1" fillId="0" borderId="0" xfId="0" applyFont="1">
      <alignment wrapText="1"/>
    </xf>
    <xf numFmtId="0" fontId="22" fillId="0" borderId="0" xfId="0" applyFont="1">
      <alignment vertical="center" wrapText="1"/>
    </xf>
  </cellXfs>
  <cellStyles count="50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  <cellStyle name="超链接" xfId="47"/>
    <cellStyle name="已访问的超链接" xfId="48"/>
    <cellStyle name="常规 2" xfId="49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651B194-6229-43B8-3A78-8F94DFDFBEC8}" mc:Ignorable="x14ac xr xr2 xr3">
  <dimension ref="A1:X53"/>
  <sheetViews>
    <sheetView defaultGridColor="0" colorId="31" topLeftCell="A1" showGridLines="0" workbookViewId="0" tabSelected="1">
      <selection activeCell="A1" sqref="A1"/>
    </sheetView>
  </sheetViews>
  <sheetFormatPr defaultColWidth="9.00390625" customHeight="1" defaultRowHeight="14.25"/>
  <cols>
    <col min="1" max="1" style="55" width="2.75390625" customWidth="1"/>
    <col min="2" max="2" style="56" width="17.75390625" customWidth="1"/>
    <col min="3" max="3" style="55" width="15.625" customWidth="1"/>
    <col min="4" max="4" style="55" width="13.25390625" customWidth="1"/>
    <col min="5" max="5" style="55" width="14.00390625" customWidth="1"/>
    <col min="6" max="6" style="55" width="13.00390625" customWidth="1"/>
    <col min="7" max="7" style="55" width="13.375" customWidth="1"/>
    <col min="8" max="8" style="55" width="16.375" customWidth="1"/>
    <col min="9" max="9" style="57" width="15.00390625" customWidth="1"/>
    <col min="10" max="11" style="139" width="9.00390625" hidden="1"/>
    <col min="18" max="20" style="139" width="9.00390625" hidden="1"/>
  </cols>
  <sheetData>
    <row customHeight="1" ht="27">
      <c r="A1" s="81"/>
      <c r="B1" s="94" t="s">
        <v>0</v>
      </c>
      <c r="C1" s="95"/>
      <c r="D1" s="95"/>
      <c r="E1" s="95"/>
      <c r="F1" s="95"/>
      <c r="G1" s="95"/>
      <c r="H1" s="95"/>
      <c r="I1" s="95"/>
      <c r="J1" s="96"/>
      <c r="K1" s="96"/>
      <c r="L1" s="97"/>
      <c r="M1" s="97"/>
      <c r="N1" s="97"/>
      <c r="O1" s="97"/>
      <c r="P1" s="97"/>
      <c r="Q1" s="97"/>
      <c r="R1" s="96"/>
      <c r="S1" s="96"/>
      <c r="T1" s="96"/>
      <c r="U1" s="97"/>
      <c r="V1" s="97"/>
      <c r="W1" s="97"/>
      <c r="X1" s="97"/>
    </row>
    <row customHeight="1" ht="18.75">
      <c r="A2" s="81"/>
      <c r="B2" s="98" t="s">
        <v>1</v>
      </c>
      <c r="C2" s="98"/>
      <c r="D2" s="61" t="s">
        <v>2</v>
      </c>
      <c r="E2" s="62" t="str">
        <f>J2</f>
        <v>2026-01-06</v>
      </c>
      <c r="F2" s="62"/>
      <c r="G2" s="61" t="s">
        <v>3</v>
      </c>
      <c r="H2" s="101" t="str">
        <f>K2</f>
        <v>2026-01-07</v>
      </c>
      <c r="I2" s="101"/>
      <c r="J2" s="102" t="s">
        <v>4</v>
      </c>
      <c r="K2" s="102" t="s">
        <v>5</v>
      </c>
      <c r="L2" s="97"/>
      <c r="M2" s="97"/>
      <c r="N2" s="97"/>
      <c r="O2" s="97"/>
      <c r="P2" s="97"/>
      <c r="Q2" s="97"/>
      <c r="R2" s="96"/>
      <c r="S2" s="96"/>
      <c r="T2" s="96"/>
      <c r="U2" s="97"/>
      <c r="V2" s="97"/>
      <c r="W2" s="97"/>
      <c r="X2" s="97"/>
    </row>
    <row customHeight="1" ht="18">
      <c r="A3" s="81"/>
      <c r="B3" s="103"/>
      <c r="C3" s="104" t="s">
        <v>6</v>
      </c>
      <c r="D3" s="104" t="s">
        <v>7</v>
      </c>
      <c r="E3" s="104" t="s">
        <v>8</v>
      </c>
      <c r="F3" s="104" t="s">
        <v>9</v>
      </c>
      <c r="G3" s="104" t="s">
        <v>10</v>
      </c>
      <c r="H3" s="104" t="s">
        <v>11</v>
      </c>
      <c r="I3" s="104"/>
      <c r="J3" s="96"/>
      <c r="K3" s="96"/>
      <c r="L3" s="97"/>
      <c r="M3" s="97"/>
      <c r="N3" s="97"/>
      <c r="O3" s="97"/>
      <c r="P3" s="97"/>
      <c r="Q3" s="97"/>
      <c r="R3" s="96"/>
      <c r="S3" s="96"/>
      <c r="T3" s="96"/>
      <c r="U3" s="97"/>
      <c r="V3" s="97"/>
      <c r="W3" s="97"/>
      <c r="X3" s="97"/>
    </row>
    <row customHeight="1" ht="18">
      <c r="A4" s="81"/>
      <c r="B4" s="105" t="s">
        <v>12</v>
      </c>
      <c r="C4" s="106">
        <f>SUM(C5:C7)</f>
        <v>15115</v>
      </c>
      <c r="D4" s="106">
        <f>IF(取值!A289=0,"",取值!A289)</f>
        <v>9800</v>
      </c>
      <c r="E4" s="106">
        <f>SUM(E5:E7)</f>
        <v>13048.1</v>
      </c>
      <c r="F4" s="106">
        <f>SUM(C4:E4)</f>
        <v>37963.1</v>
      </c>
      <c r="G4" s="106"/>
      <c r="H4" s="68" t="s">
        <v>13</v>
      </c>
      <c r="I4" s="70">
        <f>_xlfn.IFERROR(SUM(I5:I6),"")</f>
        <v>2776</v>
      </c>
      <c r="J4" s="96"/>
      <c r="K4" s="96"/>
      <c r="L4" s="97"/>
      <c r="M4" s="97"/>
      <c r="N4" s="97"/>
      <c r="O4" s="97"/>
      <c r="P4" s="97"/>
      <c r="Q4" s="97"/>
      <c r="R4" s="96"/>
      <c r="S4" s="96"/>
      <c r="T4" s="96"/>
      <c r="U4" s="97"/>
      <c r="V4" s="97"/>
      <c r="W4" s="97"/>
      <c r="X4" s="97"/>
    </row>
    <row customHeight="1" ht="18">
      <c r="A5" s="81"/>
      <c r="B5" s="109" t="s">
        <v>14</v>
      </c>
      <c r="C5" s="70" t="str">
        <f>IF(取值!A128=0,"",取值!A128)</f>
        <v/>
      </c>
      <c r="D5" s="106" t="str">
        <f>IF(取值!A290=0,"",取值!A290)</f>
        <v/>
      </c>
      <c r="E5" s="70" t="str">
        <f>IF(取值!A186=0,"",取值!A186)</f>
        <v/>
      </c>
      <c r="F5" s="70">
        <f>SUM(C5:E5)</f>
        <v>0</v>
      </c>
      <c r="G5" s="70"/>
      <c r="H5" s="71" t="s">
        <v>15</v>
      </c>
      <c r="I5" s="70">
        <f>_xlfn.IFERROR(SUM(取值!A335,取值!A245),"")</f>
        <v>1340</v>
      </c>
      <c r="J5" s="96"/>
      <c r="K5" s="96"/>
      <c r="L5" s="97"/>
      <c r="M5" s="97"/>
      <c r="N5" s="97"/>
      <c r="O5" s="97"/>
      <c r="P5" s="97"/>
      <c r="Q5" s="97"/>
      <c r="R5" s="96"/>
      <c r="S5" s="96"/>
      <c r="T5" s="96"/>
      <c r="U5" s="97"/>
      <c r="V5" s="97"/>
      <c r="W5" s="97"/>
      <c r="X5" s="97"/>
    </row>
    <row customHeight="1" ht="18">
      <c r="A6" s="81"/>
      <c r="B6" s="109" t="s">
        <v>16</v>
      </c>
      <c r="C6" s="70">
        <f>IF(取值!A129=0,"",取值!A129)</f>
        <v>14688</v>
      </c>
      <c r="D6" s="106">
        <f>IF(取值!A291=0,"",取值!A291)</f>
        <v>9800</v>
      </c>
      <c r="E6" s="70">
        <f>IF(取值!A187=0,"",取值!A187)</f>
        <v>7259.45300000001</v>
      </c>
      <c r="F6" s="70">
        <f>SUM(C6:E6)</f>
        <v>31747.453</v>
      </c>
      <c r="G6" s="70"/>
      <c r="H6" s="71" t="s">
        <v>17</v>
      </c>
      <c r="I6" s="70">
        <f>IF(取值!A178=0,"",取值!A178)</f>
        <v>1436</v>
      </c>
      <c r="J6" s="96"/>
      <c r="K6" s="96"/>
      <c r="L6" s="97"/>
      <c r="M6" s="97"/>
      <c r="N6" s="97"/>
      <c r="O6" s="97"/>
      <c r="P6" s="97"/>
      <c r="Q6" s="97"/>
      <c r="R6" s="96"/>
      <c r="S6" s="96"/>
      <c r="T6" s="96"/>
      <c r="U6" s="97"/>
      <c r="V6" s="97"/>
      <c r="W6" s="97"/>
      <c r="X6" s="97"/>
    </row>
    <row customHeight="1" ht="18">
      <c r="A7" s="81"/>
      <c r="B7" s="109" t="s">
        <v>18</v>
      </c>
      <c r="C7" s="70">
        <f>IF(取值!A130=0,"",取值!A130)</f>
        <v>427</v>
      </c>
      <c r="D7" s="106" t="str">
        <f>IF(取值!A292=0,"",取值!A292)</f>
        <v/>
      </c>
      <c r="E7" s="70">
        <f>IF(SUM(取值!A188:A190)=0,"",SUM(取值!A188:A190))</f>
        <v>5788.647</v>
      </c>
      <c r="F7" s="70">
        <f>_xlfn.IFERROR(SUM(取值!B188:B190),"")</f>
        <v>42482.56</v>
      </c>
      <c r="G7" s="70">
        <f>_xlfn.IFERROR(SUM(取值!A3,取值!A4,取值!A5,取值!A130),"")</f>
        <v>42909.56</v>
      </c>
      <c r="H7" s="68" t="s">
        <v>19</v>
      </c>
      <c r="I7" s="70">
        <f>_xlfn.IFERROR(SUM(I8:I10),"")</f>
        <v>7890.16928</v>
      </c>
      <c r="J7" s="96"/>
      <c r="K7" s="96"/>
      <c r="L7" s="97"/>
      <c r="M7" s="97"/>
      <c r="N7" s="97"/>
      <c r="O7" s="97"/>
      <c r="P7" s="97"/>
      <c r="Q7" s="97"/>
      <c r="R7" s="96"/>
      <c r="S7" s="96"/>
      <c r="T7" s="96"/>
      <c r="U7" s="97"/>
      <c r="V7" s="97"/>
      <c r="W7" s="97"/>
      <c r="X7" s="97"/>
    </row>
    <row customHeight="1" ht="18">
      <c r="A8" s="81"/>
      <c r="B8" s="105" t="s">
        <v>20</v>
      </c>
      <c r="C8" s="70">
        <f>IF(取值!A131=0,"",取值!A131)</f>
        <v>42674</v>
      </c>
      <c r="D8" s="106">
        <f>IF(取值!A296=0,"",取值!A296)</f>
        <v>12261</v>
      </c>
      <c r="E8" s="70">
        <f>IF(取值!A191=0,"",取值!A191)</f>
        <v>80285.6</v>
      </c>
      <c r="F8" s="70">
        <f>SUM(C8:E8)</f>
        <v>135220.6</v>
      </c>
      <c r="G8" s="70"/>
      <c r="H8" s="71" t="s">
        <v>6</v>
      </c>
      <c r="I8" s="70">
        <f>IF(取值!A179=0,"",取值!A179)</f>
        <v>4528</v>
      </c>
      <c r="J8" s="96"/>
      <c r="K8" s="96"/>
      <c r="L8" s="97"/>
      <c r="M8" s="97"/>
      <c r="N8" s="111" t="s">
        <v>21</v>
      </c>
      <c r="O8" s="111" t="s">
        <v>6</v>
      </c>
      <c r="P8" s="111" t="s">
        <v>7</v>
      </c>
      <c r="Q8" s="111" t="s">
        <v>8</v>
      </c>
      <c r="R8" s="92">
        <f>C8</f>
        <v>42674</v>
      </c>
      <c r="S8" s="92">
        <f>D8</f>
        <v>12261</v>
      </c>
      <c r="T8" s="92">
        <f>E8</f>
        <v>80285.6</v>
      </c>
      <c r="U8" s="97"/>
      <c r="V8" s="97"/>
      <c r="W8" s="97"/>
      <c r="X8" s="97"/>
    </row>
    <row customHeight="1" ht="18">
      <c r="A9" s="81"/>
      <c r="B9" s="109" t="s">
        <v>22</v>
      </c>
      <c r="C9" s="70">
        <f>_xlfn.IFERROR(C8-O9,"")</f>
        <v>20674</v>
      </c>
      <c r="D9" s="106">
        <f>_xlfn.IFERROR(D8-P9,"")</f>
        <v>2261</v>
      </c>
      <c r="E9" s="70">
        <f>_xlfn.IFERROR(E8-Q9,"")</f>
        <v>55285.6</v>
      </c>
      <c r="F9" s="70">
        <f>_xlfn.IFERROR(SUM(C9:E9),"")</f>
        <v>78220.6</v>
      </c>
      <c r="G9" s="70"/>
      <c r="H9" s="71" t="s">
        <v>7</v>
      </c>
      <c r="I9" s="70">
        <f>IF(取值!A336=0,"",取值!A336)</f>
        <v>2360</v>
      </c>
      <c r="J9" s="96"/>
      <c r="K9" s="96"/>
      <c r="L9" s="97"/>
      <c r="M9" s="97"/>
      <c r="N9" s="111"/>
      <c r="O9" s="111">
        <v>22000</v>
      </c>
      <c r="P9" s="111">
        <v>10000</v>
      </c>
      <c r="Q9" s="111">
        <v>25000</v>
      </c>
      <c r="R9" s="92">
        <f>C9</f>
        <v>20674</v>
      </c>
      <c r="S9" s="92">
        <f>D9</f>
        <v>2261</v>
      </c>
      <c r="T9" s="92">
        <f>E9</f>
        <v>55285.6</v>
      </c>
      <c r="U9" s="97"/>
      <c r="V9" s="97"/>
      <c r="W9" s="97"/>
      <c r="X9" s="97"/>
    </row>
    <row customHeight="1" ht="18">
      <c r="A10" s="81"/>
      <c r="B10" s="105" t="s">
        <v>23</v>
      </c>
      <c r="C10" s="70">
        <f>IF(取值!A133=0,"",取值!A133)</f>
        <v>99188</v>
      </c>
      <c r="D10" s="106"/>
      <c r="E10" s="70">
        <f>IF(取值!A193=0,"",取值!A193)</f>
        <v>29520</v>
      </c>
      <c r="F10" s="70">
        <f>SUM(C10:E10)</f>
        <v>128708</v>
      </c>
      <c r="G10" s="70"/>
      <c r="H10" s="71" t="s">
        <v>8</v>
      </c>
      <c r="I10" s="70">
        <f>IF(取值!A244=0,"",取值!A244)</f>
        <v>1002.16928</v>
      </c>
      <c r="J10" s="96"/>
      <c r="K10" s="96"/>
      <c r="L10" s="97"/>
      <c r="M10" s="97"/>
      <c r="N10" s="97"/>
      <c r="O10" s="97"/>
      <c r="P10" s="97"/>
      <c r="Q10" s="97"/>
      <c r="R10" s="96"/>
      <c r="S10" s="96"/>
      <c r="T10" s="96"/>
      <c r="U10" s="97"/>
      <c r="V10" s="97"/>
      <c r="W10" s="97"/>
      <c r="X10" s="97"/>
    </row>
    <row customHeight="1" ht="18">
      <c r="A11" s="81"/>
      <c r="B11" s="105" t="s">
        <v>24</v>
      </c>
      <c r="C11" s="70">
        <f>IF(取值!A134=0,"",取值!A134)</f>
        <v>16826</v>
      </c>
      <c r="D11" s="106">
        <f>IF(取值!A297=0,"",取值!A297)</f>
        <v>8574</v>
      </c>
      <c r="E11" s="70">
        <f>IF(取值!A194=0,"",取值!A194)</f>
        <v>13511</v>
      </c>
      <c r="F11" s="70">
        <f>SUM(C11:E11)</f>
        <v>38911</v>
      </c>
      <c r="G11" s="70">
        <f>_xlfn.IFERROR(SUM(取值!A350:A353),"")</f>
        <v>274136</v>
      </c>
      <c r="H11" s="68" t="s">
        <v>25</v>
      </c>
      <c r="I11" s="70">
        <f>_xlfn.IFERROR(SUM(I12:I13),"")</f>
        <v>2706</v>
      </c>
      <c r="J11" s="96"/>
      <c r="K11" s="96"/>
      <c r="L11" s="97"/>
      <c r="M11" s="97"/>
      <c r="N11" s="97"/>
      <c r="O11" s="97"/>
      <c r="P11" s="97"/>
      <c r="Q11" s="97"/>
      <c r="R11" s="92">
        <f>C11</f>
        <v>16826</v>
      </c>
      <c r="S11" s="92">
        <f>D11</f>
        <v>8574</v>
      </c>
      <c r="T11" s="92">
        <f>E11</f>
        <v>13511</v>
      </c>
      <c r="U11" s="97"/>
      <c r="V11" s="97"/>
      <c r="W11" s="97"/>
      <c r="X11" s="97"/>
    </row>
    <row customHeight="1" ht="17.25">
      <c r="A12" s="81"/>
      <c r="B12" s="105" t="s">
        <v>26</v>
      </c>
      <c r="C12" s="70">
        <f>IF(取值!A135=0,"",取值!A135)</f>
        <v>8809</v>
      </c>
      <c r="D12" s="106">
        <f>IF(取值!A348=0,"",取值!A348)</f>
        <v>3431</v>
      </c>
      <c r="E12" s="70">
        <f>IF(取值!A195=0,"",取值!A195)</f>
        <v>4677.44</v>
      </c>
      <c r="F12" s="70">
        <f>SUM(C12:E12)</f>
        <v>16917.44</v>
      </c>
      <c r="G12" s="70">
        <f>_xlfn.IFERROR(SUM(取值!A354:A356),"")</f>
        <v>116440</v>
      </c>
      <c r="H12" s="71" t="s">
        <v>6</v>
      </c>
      <c r="I12" s="70">
        <f>IF(取值!A180=0,"",取值!A180)</f>
        <v>949</v>
      </c>
      <c r="J12" s="96"/>
      <c r="K12" s="96"/>
      <c r="L12" s="97"/>
      <c r="M12" s="97"/>
      <c r="N12" s="97"/>
      <c r="O12" s="97"/>
      <c r="P12" s="97"/>
      <c r="Q12" s="97"/>
      <c r="R12" s="96"/>
      <c r="S12" s="96"/>
      <c r="T12" s="96"/>
      <c r="U12" s="97"/>
      <c r="V12" s="97"/>
      <c r="W12" s="97"/>
      <c r="X12" s="97"/>
    </row>
    <row customHeight="1" ht="18">
      <c r="A13" s="81"/>
      <c r="B13" s="105" t="s">
        <v>27</v>
      </c>
      <c r="C13" s="70">
        <f>IF(取值!A136=0,"",取值!A136)</f>
        <v>39858</v>
      </c>
      <c r="D13" s="106">
        <f>IF(取值!A302=0,"",取值!A302)</f>
        <v>14605</v>
      </c>
      <c r="E13" s="70">
        <f>IF(取值!A196=0,"",取值!A196)</f>
        <v>30663</v>
      </c>
      <c r="F13" s="70">
        <f>SUM(C13:E13)</f>
        <v>85126</v>
      </c>
      <c r="G13" s="70"/>
      <c r="H13" s="72" t="s">
        <v>28</v>
      </c>
      <c r="I13" s="89">
        <f>IF(取值!A248=0,"",取值!A248)</f>
        <v>1757</v>
      </c>
      <c r="J13" s="96"/>
      <c r="K13" s="96"/>
      <c r="L13" s="97"/>
      <c r="M13" s="97"/>
      <c r="N13" s="97"/>
      <c r="O13" s="97"/>
      <c r="P13" s="97"/>
      <c r="Q13" s="97"/>
      <c r="R13" s="96"/>
      <c r="S13" s="96"/>
      <c r="T13" s="96"/>
      <c r="U13" s="97"/>
      <c r="V13" s="97"/>
      <c r="W13" s="97"/>
      <c r="X13" s="97"/>
    </row>
    <row customHeight="1" ht="18">
      <c r="A14" s="81"/>
      <c r="B14" s="105" t="s">
        <v>29</v>
      </c>
      <c r="C14" s="70">
        <f>IF(取值!A137=0,"",取值!A137)</f>
        <v>35569</v>
      </c>
      <c r="D14" s="106">
        <f>_xlfn.IFERROR(取值!A303-取值!A302,"")</f>
        <v>24395</v>
      </c>
      <c r="E14" s="70">
        <f>IF(取值!A197=0,"",取值!A197)</f>
        <v>19337</v>
      </c>
      <c r="F14" s="70">
        <f>SUM(C14:E14)</f>
        <v>79301</v>
      </c>
      <c r="G14" s="73"/>
      <c r="H14" s="68" t="s">
        <v>30</v>
      </c>
      <c r="I14" s="70">
        <f>_xlfn.IFERROR(SUM(I15:I17),"")</f>
        <v>1055</v>
      </c>
      <c r="J14" s="96"/>
      <c r="K14" s="96"/>
      <c r="L14" s="97"/>
      <c r="M14" s="97"/>
      <c r="N14" s="97"/>
      <c r="O14" s="97"/>
      <c r="P14" s="97"/>
      <c r="Q14" s="97"/>
      <c r="R14" s="96"/>
      <c r="S14" s="96"/>
      <c r="T14" s="96"/>
      <c r="U14" s="97"/>
      <c r="V14" s="97"/>
      <c r="W14" s="97"/>
      <c r="X14" s="97"/>
    </row>
    <row customHeight="1" ht="18">
      <c r="A15" s="81"/>
      <c r="B15" s="105" t="s">
        <v>31</v>
      </c>
      <c r="C15" s="70">
        <f>IF(取值!A138=0,"",取值!A138)</f>
        <v>7612</v>
      </c>
      <c r="D15" s="106">
        <f>IF(取值!A305=0,"",取值!A305)</f>
        <v>2596</v>
      </c>
      <c r="E15" s="70">
        <f>IF(取值!A198=0,"",取值!A198)</f>
        <v>4039</v>
      </c>
      <c r="F15" s="70">
        <f>SUM(C15:E15)</f>
        <v>14247</v>
      </c>
      <c r="G15" s="73"/>
      <c r="H15" s="71" t="s">
        <v>32</v>
      </c>
      <c r="I15" s="70">
        <f>IF(取值!A181=0,"",取值!A181)</f>
        <v>238</v>
      </c>
      <c r="J15" s="96"/>
      <c r="K15" s="96"/>
      <c r="L15" s="97"/>
      <c r="M15" s="97"/>
      <c r="N15" s="97"/>
      <c r="O15" s="97"/>
      <c r="P15" s="97"/>
      <c r="Q15" s="97"/>
      <c r="R15" s="96"/>
      <c r="S15" s="96"/>
      <c r="T15" s="96"/>
      <c r="U15" s="97"/>
      <c r="V15" s="97"/>
      <c r="W15" s="97"/>
      <c r="X15" s="97"/>
    </row>
    <row customHeight="1" ht="18">
      <c r="A16" s="81"/>
      <c r="B16" s="105" t="s">
        <v>33</v>
      </c>
      <c r="C16" s="70">
        <f>IF(取值!A139=0,"",取值!A139)</f>
        <v>9857</v>
      </c>
      <c r="D16" s="106">
        <f>IF(取值!A306=0,"",取值!A306)</f>
        <v>1996.86</v>
      </c>
      <c r="E16" s="70">
        <f>IF(取值!A199=0,"",取值!A199)</f>
        <v>2766</v>
      </c>
      <c r="F16" s="70">
        <f>SUM(C16:E16)</f>
        <v>14619.86</v>
      </c>
      <c r="G16" s="73"/>
      <c r="H16" s="71" t="s">
        <v>34</v>
      </c>
      <c r="I16" s="70">
        <f>IF(取值!A249=0,"",取值!A249)</f>
        <v>465</v>
      </c>
      <c r="J16" s="96"/>
      <c r="K16" s="96"/>
      <c r="L16" s="97"/>
      <c r="M16" s="97"/>
      <c r="N16" s="97"/>
      <c r="O16" s="97"/>
      <c r="P16" s="97"/>
      <c r="Q16" s="97"/>
      <c r="R16" s="96"/>
      <c r="S16" s="96"/>
      <c r="T16" s="96"/>
      <c r="U16" s="97"/>
      <c r="V16" s="97"/>
      <c r="W16" s="97"/>
      <c r="X16" s="97"/>
    </row>
    <row customHeight="1" ht="18">
      <c r="A17" s="81"/>
      <c r="B17" s="109" t="s">
        <v>35</v>
      </c>
      <c r="C17" s="70">
        <f>IF(取值!A140=0,"",取值!A140)</f>
        <v>27750</v>
      </c>
      <c r="D17" s="106">
        <f>IF(取值!A307=0,"",取值!A307)</f>
        <v>19899</v>
      </c>
      <c r="E17" s="70">
        <f>IF(取值!A200=0,"",取值!A200)</f>
        <v>74515.76</v>
      </c>
      <c r="F17" s="70">
        <f>SUM(C17:E17)</f>
        <v>122164.76</v>
      </c>
      <c r="G17" s="73"/>
      <c r="H17" s="71" t="s">
        <v>36</v>
      </c>
      <c r="I17" s="70">
        <f>IF(取值!A250=0,"",取值!A250)</f>
        <v>352</v>
      </c>
      <c r="J17" s="96"/>
      <c r="K17" s="96"/>
      <c r="L17" s="97"/>
      <c r="M17" s="97"/>
      <c r="N17" s="97"/>
      <c r="O17" s="97"/>
      <c r="P17" s="97"/>
      <c r="Q17" s="97"/>
      <c r="R17" s="96"/>
      <c r="S17" s="96"/>
      <c r="T17" s="96"/>
      <c r="U17" s="97"/>
      <c r="V17" s="97"/>
      <c r="W17" s="97"/>
      <c r="X17" s="97"/>
    </row>
    <row customHeight="1" ht="18">
      <c r="A18" s="81"/>
      <c r="B18" s="109" t="s">
        <v>29</v>
      </c>
      <c r="C18" s="70">
        <f>IF(取值!A141=0,"",取值!A141)</f>
        <v>31235</v>
      </c>
      <c r="D18" s="106">
        <f>_xlfn.IFERROR(取值!A309-取值!A307,"")</f>
        <v>2301</v>
      </c>
      <c r="E18" s="70">
        <f>IF(取值!A201=0,"",取值!A201)</f>
        <v>4484.24000000001</v>
      </c>
      <c r="F18" s="70">
        <f>SUM(C18:E18)</f>
        <v>38020.24</v>
      </c>
      <c r="G18" s="73"/>
      <c r="H18" s="68" t="s">
        <v>37</v>
      </c>
      <c r="I18" s="70">
        <f>_xlfn.IFERROR(SUM(I19:I20),"")</f>
        <v>943</v>
      </c>
      <c r="J18" s="96"/>
      <c r="K18" s="96"/>
      <c r="L18" s="97"/>
      <c r="M18" s="97"/>
      <c r="N18" s="97"/>
      <c r="O18" s="97"/>
      <c r="P18" s="97"/>
      <c r="Q18" s="97"/>
      <c r="R18" s="96"/>
      <c r="S18" s="96"/>
      <c r="T18" s="96"/>
      <c r="U18" s="97"/>
      <c r="V18" s="97"/>
      <c r="W18" s="97"/>
      <c r="X18" s="97"/>
    </row>
    <row customHeight="1" ht="18">
      <c r="A19" s="81"/>
      <c r="B19" s="105" t="s">
        <v>38</v>
      </c>
      <c r="C19" s="70">
        <f>IF(取值!A142=0,"",取值!A142)</f>
        <v>3322</v>
      </c>
      <c r="D19" s="106"/>
      <c r="E19" s="70">
        <f>IF(取值!A202=0,"",取值!A202)</f>
        <v>416</v>
      </c>
      <c r="F19" s="70">
        <f>SUM(C19:E19)</f>
        <v>3738</v>
      </c>
      <c r="G19" s="73"/>
      <c r="H19" s="71" t="s">
        <v>6</v>
      </c>
      <c r="I19" s="70">
        <f>IF(取值!A182=0,"",取值!A182)</f>
        <v>316</v>
      </c>
      <c r="J19" s="96"/>
      <c r="K19" s="96"/>
      <c r="L19" s="97"/>
      <c r="M19" s="97"/>
      <c r="N19" s="97"/>
      <c r="O19" s="97"/>
      <c r="P19" s="97"/>
      <c r="Q19" s="97"/>
      <c r="R19" s="96"/>
      <c r="S19" s="96"/>
      <c r="T19" s="96"/>
      <c r="U19" s="97"/>
      <c r="V19" s="97"/>
      <c r="W19" s="97"/>
      <c r="X19" s="97"/>
    </row>
    <row customHeight="1" ht="18">
      <c r="A20" s="81"/>
      <c r="B20" s="109" t="s">
        <v>35</v>
      </c>
      <c r="C20" s="70">
        <f>IF(取值!A143=0,"",取值!A143)</f>
        <v>24353</v>
      </c>
      <c r="D20" s="106"/>
      <c r="E20" s="70">
        <f>IF(取值!A203=0,"",取值!A203)</f>
        <v>4814.4</v>
      </c>
      <c r="F20" s="70">
        <f>SUM(C20:E20)</f>
        <v>29167.4</v>
      </c>
      <c r="G20" s="73"/>
      <c r="H20" s="71" t="s">
        <v>28</v>
      </c>
      <c r="I20" s="70">
        <f>IF(取值!A251=0,"",取值!A251)</f>
        <v>627</v>
      </c>
      <c r="J20" s="96"/>
      <c r="K20" s="96"/>
      <c r="L20" s="97"/>
      <c r="M20" s="97"/>
      <c r="N20" s="97"/>
      <c r="O20" s="97"/>
      <c r="P20" s="97"/>
      <c r="Q20" s="97"/>
      <c r="R20" s="96"/>
      <c r="S20" s="96"/>
      <c r="T20" s="96"/>
      <c r="U20" s="97"/>
      <c r="V20" s="97"/>
      <c r="W20" s="97"/>
      <c r="X20" s="97"/>
    </row>
    <row customHeight="1" ht="18">
      <c r="A21" s="81"/>
      <c r="B21" s="109" t="s">
        <v>29</v>
      </c>
      <c r="C21" s="70">
        <f>IF(取值!A144=0,"",取值!A144)</f>
        <v>19779</v>
      </c>
      <c r="D21" s="106"/>
      <c r="E21" s="70">
        <f>IF(取值!A204=0,"",取值!A204)</f>
        <v>1185.6</v>
      </c>
      <c r="F21" s="70">
        <f>SUM(C21:E21)</f>
        <v>20964.6</v>
      </c>
      <c r="G21" s="73"/>
      <c r="H21" s="68" t="s">
        <v>39</v>
      </c>
      <c r="I21" s="70">
        <f>_xlfn.IFERROR(SUM(I22:I23),"")</f>
        <v>2623.827</v>
      </c>
      <c r="J21" s="96"/>
      <c r="K21" s="96"/>
      <c r="L21" s="97"/>
      <c r="M21" s="97"/>
      <c r="N21" s="97"/>
      <c r="O21" s="97"/>
      <c r="P21" s="97"/>
      <c r="Q21" s="97"/>
      <c r="R21" s="96"/>
      <c r="S21" s="96"/>
      <c r="T21" s="96"/>
      <c r="U21" s="97"/>
      <c r="V21" s="97"/>
      <c r="W21" s="97"/>
      <c r="X21" s="97"/>
    </row>
    <row customHeight="1" ht="18">
      <c r="A22" s="81"/>
      <c r="B22" s="105" t="s">
        <v>40</v>
      </c>
      <c r="C22" s="116" t="str">
        <f>IF(取值!A145=0,"",取值!A145)</f>
        <v/>
      </c>
      <c r="D22" s="106"/>
      <c r="E22" s="70"/>
      <c r="F22" s="70">
        <f>SUM(C22:E22)</f>
        <v>0</v>
      </c>
      <c r="G22" s="73"/>
      <c r="H22" s="71" t="s">
        <v>6</v>
      </c>
      <c r="I22" s="70">
        <f>IF(取值!A183=0,"",取值!A183)</f>
        <v>733</v>
      </c>
      <c r="J22" s="96"/>
      <c r="K22" s="96"/>
      <c r="L22" s="97"/>
      <c r="M22" s="97"/>
      <c r="N22" s="97"/>
      <c r="O22" s="97"/>
      <c r="P22" s="97"/>
      <c r="Q22" s="97"/>
      <c r="R22" s="96"/>
      <c r="S22" s="96"/>
      <c r="T22" s="96"/>
      <c r="U22" s="97"/>
      <c r="V22" s="97"/>
      <c r="W22" s="97"/>
      <c r="X22" s="97"/>
    </row>
    <row customHeight="1" ht="18">
      <c r="A23" s="81"/>
      <c r="B23" s="109" t="s">
        <v>35</v>
      </c>
      <c r="C23" s="116" t="str">
        <f>IF(取值!A146=0,"",取值!A146)</f>
        <v/>
      </c>
      <c r="D23" s="106"/>
      <c r="E23" s="70"/>
      <c r="F23" s="70">
        <f>SUM(C23:E23)</f>
        <v>0</v>
      </c>
      <c r="G23" s="73"/>
      <c r="H23" s="71" t="s">
        <v>28</v>
      </c>
      <c r="I23" s="70">
        <f>IF(取值!A252=0,"",取值!A252)</f>
        <v>1890.827</v>
      </c>
      <c r="J23" s="96"/>
      <c r="K23" s="96"/>
      <c r="L23" s="97"/>
      <c r="M23" s="97"/>
      <c r="N23" s="97"/>
      <c r="O23" s="97"/>
      <c r="P23" s="97"/>
      <c r="Q23" s="97"/>
      <c r="R23" s="96"/>
      <c r="S23" s="96"/>
      <c r="T23" s="96"/>
      <c r="U23" s="97"/>
      <c r="V23" s="97"/>
      <c r="W23" s="97"/>
      <c r="X23" s="97"/>
    </row>
    <row customHeight="1" ht="18">
      <c r="A24" s="81"/>
      <c r="B24" s="109" t="s">
        <v>29</v>
      </c>
      <c r="C24" s="70" t="str">
        <f>IF(取值!A147=0,"",取值!A147)</f>
        <v/>
      </c>
      <c r="D24" s="106"/>
      <c r="E24" s="70"/>
      <c r="F24" s="70">
        <f>SUM(C24:E24)</f>
        <v>0</v>
      </c>
      <c r="G24" s="73"/>
      <c r="H24" s="68" t="s">
        <v>41</v>
      </c>
      <c r="I24" s="70">
        <f>IF(取值!A253=0,"",取值!A253)</f>
        <v>604</v>
      </c>
      <c r="J24" s="96"/>
      <c r="K24" s="96"/>
      <c r="L24" s="97"/>
      <c r="M24" s="97"/>
      <c r="N24" s="97"/>
      <c r="O24" s="97"/>
      <c r="P24" s="97"/>
      <c r="Q24" s="97"/>
      <c r="R24" s="96"/>
      <c r="S24" s="96"/>
      <c r="T24" s="96"/>
      <c r="U24" s="97"/>
      <c r="V24" s="97"/>
      <c r="W24" s="97"/>
      <c r="X24" s="97"/>
    </row>
    <row customHeight="1" ht="18">
      <c r="A25" s="81"/>
      <c r="B25" s="105" t="s">
        <v>42</v>
      </c>
      <c r="C25" s="70">
        <f>IF(取值!A148=0,"",取值!A148)</f>
        <v>6405</v>
      </c>
      <c r="D25" s="106">
        <f>IF(取值!A311=0,"",取值!A311)</f>
        <v>2495</v>
      </c>
      <c r="E25" s="70">
        <f>IF(取值!A205=0,"",取值!A205)</f>
        <v>4096</v>
      </c>
      <c r="F25" s="70">
        <f>SUM(C25:E25)</f>
        <v>12996</v>
      </c>
      <c r="G25" s="73"/>
      <c r="H25" s="68" t="s">
        <v>43</v>
      </c>
      <c r="I25" s="70">
        <f>_xlfn.IFERROR(SUM(I26:I28),"")</f>
        <v>943</v>
      </c>
      <c r="J25" s="96"/>
      <c r="K25" s="96"/>
      <c r="L25" s="97"/>
      <c r="M25" s="97"/>
      <c r="N25" s="97"/>
      <c r="O25" s="97"/>
      <c r="P25" s="97"/>
      <c r="Q25" s="97"/>
      <c r="R25" s="96"/>
      <c r="S25" s="96"/>
      <c r="T25" s="96"/>
      <c r="U25" s="97"/>
      <c r="V25" s="97"/>
      <c r="W25" s="97"/>
      <c r="X25" s="97"/>
    </row>
    <row customHeight="1" ht="18">
      <c r="A26" s="81"/>
      <c r="B26" s="105" t="s">
        <v>44</v>
      </c>
      <c r="C26" s="70">
        <f>IF(取值!A149=0,"",取值!A149)</f>
        <v>3452</v>
      </c>
      <c r="D26" s="106">
        <f>IF(取值!A313=0,"",取值!A313)</f>
        <v>1641.94</v>
      </c>
      <c r="E26" s="70">
        <f>IF(取值!A206=0,"",取值!A206)</f>
        <v>5346</v>
      </c>
      <c r="F26" s="70">
        <f>SUM(C26:E26)</f>
        <v>10439.94</v>
      </c>
      <c r="G26" s="73"/>
      <c r="H26" s="71" t="s">
        <v>45</v>
      </c>
      <c r="I26" s="70">
        <f>IF(取值!A184=0,"",取值!A184)</f>
        <v>108</v>
      </c>
      <c r="J26" s="96"/>
      <c r="K26" s="96"/>
      <c r="L26" s="97"/>
      <c r="M26" s="97"/>
      <c r="N26" s="97"/>
      <c r="O26" s="97"/>
      <c r="P26" s="97"/>
      <c r="Q26" s="97"/>
      <c r="R26" s="96"/>
      <c r="S26" s="96"/>
      <c r="T26" s="96"/>
      <c r="U26" s="97"/>
      <c r="V26" s="97"/>
      <c r="W26" s="97"/>
      <c r="X26" s="97"/>
    </row>
    <row customHeight="1" ht="18">
      <c r="A27" s="81"/>
      <c r="B27" s="109" t="s">
        <v>35</v>
      </c>
      <c r="C27" s="70">
        <f>IF(取值!A150=0,"",取值!A150)</f>
        <v>52469</v>
      </c>
      <c r="D27" s="106">
        <f>IF(取值!A315=0,"",取值!A315)</f>
        <v>22712</v>
      </c>
      <c r="E27" s="70">
        <f>IF(取值!A207=0,"",取值!A207)</f>
        <v>86181.65</v>
      </c>
      <c r="F27" s="70">
        <f>SUM(C27:E27)</f>
        <v>161362.65</v>
      </c>
      <c r="G27" s="73"/>
      <c r="H27" s="71" t="s">
        <v>46</v>
      </c>
      <c r="I27" s="70">
        <f>IF(取值!A254=0,"",取值!A254)</f>
        <v>164</v>
      </c>
      <c r="J27" s="96"/>
      <c r="K27" s="96"/>
      <c r="L27" s="97"/>
      <c r="M27" s="97"/>
      <c r="N27" s="97"/>
      <c r="O27" s="97"/>
      <c r="P27" s="97"/>
      <c r="Q27" s="97"/>
      <c r="R27" s="96"/>
      <c r="S27" s="96"/>
      <c r="T27" s="96"/>
      <c r="U27" s="97"/>
      <c r="V27" s="97"/>
      <c r="W27" s="97"/>
      <c r="X27" s="97"/>
    </row>
    <row customHeight="1" ht="18">
      <c r="A28" s="81"/>
      <c r="B28" s="109" t="s">
        <v>29</v>
      </c>
      <c r="C28" s="70">
        <f>IF(取值!A151=0,"",取值!A151)</f>
        <v>34322</v>
      </c>
      <c r="D28" s="106">
        <f>_xlfn.IFERROR(取值!A317-取值!A315,"")</f>
        <v>1288</v>
      </c>
      <c r="E28" s="70" t="str">
        <f>IF(取值!A208=0,"",取值!A208)</f>
        <v/>
      </c>
      <c r="F28" s="70">
        <f>SUM(C28:E28)</f>
        <v>35610</v>
      </c>
      <c r="G28" s="73"/>
      <c r="H28" s="71" t="s">
        <v>47</v>
      </c>
      <c r="I28" s="70">
        <f>IF(取值!A255=0,"",取值!A255)</f>
        <v>671</v>
      </c>
      <c r="J28" s="96"/>
      <c r="K28" s="96"/>
      <c r="L28" s="97"/>
      <c r="M28" s="97"/>
      <c r="N28" s="97"/>
      <c r="O28" s="97"/>
      <c r="P28" s="97"/>
      <c r="Q28" s="97"/>
      <c r="R28" s="96"/>
      <c r="S28" s="96"/>
      <c r="T28" s="96"/>
      <c r="U28" s="97"/>
      <c r="V28" s="97"/>
      <c r="W28" s="97"/>
      <c r="X28" s="97"/>
    </row>
    <row customHeight="1" ht="18">
      <c r="A29" s="81"/>
      <c r="B29" s="117" t="s">
        <v>48</v>
      </c>
      <c r="C29" s="70" t="str">
        <f>IF(取值!A152=0,"",取值!A152)</f>
        <v/>
      </c>
      <c r="D29" s="106"/>
      <c r="E29" s="70">
        <f>IF(取值!A209=0,"",取值!A209)</f>
        <v>192.9</v>
      </c>
      <c r="F29" s="70">
        <f>SUM(C29:E29)</f>
        <v>192.9</v>
      </c>
      <c r="G29" s="73"/>
      <c r="H29" s="68" t="s">
        <v>49</v>
      </c>
      <c r="I29" s="68"/>
      <c r="J29" s="96"/>
      <c r="K29" s="96"/>
      <c r="L29" s="97"/>
      <c r="M29" s="97"/>
      <c r="N29" s="97"/>
      <c r="O29" s="97"/>
      <c r="P29" s="97"/>
      <c r="Q29" s="97"/>
      <c r="R29" s="96"/>
      <c r="S29" s="96"/>
      <c r="T29" s="96"/>
      <c r="U29" s="97"/>
      <c r="V29" s="97"/>
      <c r="W29" s="97"/>
      <c r="X29" s="97"/>
    </row>
    <row customHeight="1" ht="18">
      <c r="A30" s="81"/>
      <c r="B30" s="109" t="s">
        <v>35</v>
      </c>
      <c r="C30" s="70" t="str">
        <f>IF(取值!A153=0,"",取值!A153)</f>
        <v/>
      </c>
      <c r="D30" s="106"/>
      <c r="E30" s="70">
        <f>IF(取值!A210=0,"",取值!A210)</f>
        <v>6959</v>
      </c>
      <c r="F30" s="70">
        <f>SUM(C30:E30)</f>
        <v>6959</v>
      </c>
      <c r="G30" s="73"/>
      <c r="H30" s="71" t="s">
        <v>50</v>
      </c>
      <c r="I30" s="70">
        <f>IF(取值!A344=0,"",取值!A344)</f>
        <v>644000</v>
      </c>
      <c r="J30" s="96"/>
      <c r="K30" s="96"/>
      <c r="L30" s="97"/>
      <c r="M30" s="97"/>
      <c r="N30" s="97"/>
      <c r="O30" s="97"/>
      <c r="P30" s="97"/>
      <c r="Q30" s="97"/>
      <c r="R30" s="96"/>
      <c r="S30" s="96"/>
      <c r="T30" s="96"/>
      <c r="U30" s="97"/>
      <c r="V30" s="97"/>
      <c r="W30" s="97"/>
      <c r="X30" s="97"/>
    </row>
    <row customHeight="1" ht="18">
      <c r="A31" s="81"/>
      <c r="B31" s="109" t="s">
        <v>29</v>
      </c>
      <c r="C31" s="70" t="str">
        <f>IF(取值!A154=0,"",取值!A154)</f>
        <v/>
      </c>
      <c r="D31" s="106"/>
      <c r="E31" s="70">
        <f>IF(取值!A211=0,"",取值!A211)</f>
        <v>8041</v>
      </c>
      <c r="F31" s="70">
        <f>SUM(C31:E31)</f>
        <v>8041</v>
      </c>
      <c r="G31" s="73"/>
      <c r="H31" s="71" t="s">
        <v>51</v>
      </c>
      <c r="I31" s="70">
        <f>IF(取值!A220=0,"",取值!A220)</f>
        <v>236.55</v>
      </c>
      <c r="J31" s="96"/>
      <c r="K31" s="96"/>
      <c r="L31" s="97"/>
      <c r="M31" s="97"/>
      <c r="N31" s="97"/>
      <c r="O31" s="97"/>
      <c r="P31" s="97"/>
      <c r="Q31" s="97"/>
      <c r="R31" s="96"/>
      <c r="S31" s="96"/>
      <c r="T31" s="96"/>
      <c r="U31" s="97"/>
      <c r="V31" s="97"/>
      <c r="W31" s="97"/>
      <c r="X31" s="97"/>
    </row>
    <row customHeight="1" ht="18">
      <c r="A32" s="81"/>
      <c r="B32" s="117" t="s">
        <v>52</v>
      </c>
      <c r="C32" s="70" t="str">
        <f>IF(取值!A155=0,"",取值!A155)</f>
        <v/>
      </c>
      <c r="D32" s="106">
        <f>IF(取值!A322=0,"",取值!A322)</f>
        <v>892.12</v>
      </c>
      <c r="E32" s="70" t="str">
        <f>IF(取值!A212=0,"",取值!A212)</f>
        <v/>
      </c>
      <c r="F32" s="70">
        <f>SUM(C32:E32)</f>
        <v>892.12</v>
      </c>
      <c r="G32" s="73"/>
      <c r="H32" s="71" t="s">
        <v>53</v>
      </c>
      <c r="I32" s="70">
        <f>IF(取值!A223=0,"",取值!A223)</f>
        <v>2158.86</v>
      </c>
      <c r="J32" s="96"/>
      <c r="K32" s="96"/>
      <c r="L32" s="97"/>
      <c r="M32" s="97"/>
      <c r="N32" s="97"/>
      <c r="O32" s="97"/>
      <c r="P32" s="97"/>
      <c r="Q32" s="97"/>
      <c r="R32" s="96"/>
      <c r="S32" s="96"/>
      <c r="T32" s="96"/>
      <c r="U32" s="97"/>
      <c r="V32" s="97"/>
      <c r="W32" s="97"/>
      <c r="X32" s="97"/>
    </row>
    <row customHeight="1" ht="18.75">
      <c r="A33" s="81"/>
      <c r="B33" s="109" t="s">
        <v>35</v>
      </c>
      <c r="C33" s="70" t="str">
        <f>IF(取值!A156=0,"",取值!A156)</f>
        <v/>
      </c>
      <c r="D33" s="106">
        <f>IF(取值!A324=0,"",取值!A324)</f>
        <v>5434</v>
      </c>
      <c r="E33" s="70">
        <f>IF(取值!A213=0,"",取值!A213)</f>
        <v>1220</v>
      </c>
      <c r="F33" s="70">
        <f>SUM(C33:E33)</f>
        <v>6654</v>
      </c>
      <c r="G33" s="73"/>
      <c r="H33" s="71" t="s">
        <v>54</v>
      </c>
      <c r="I33" s="70">
        <f>IF(取值!A222=0,"",取值!A222)</f>
        <v>226.98</v>
      </c>
      <c r="J33" s="96"/>
      <c r="K33" s="96"/>
      <c r="L33" s="97"/>
      <c r="M33" s="97"/>
      <c r="N33" s="97"/>
      <c r="O33" s="97"/>
      <c r="P33" s="97"/>
      <c r="Q33" s="97"/>
      <c r="R33" s="96"/>
      <c r="S33" s="96"/>
      <c r="T33" s="96"/>
      <c r="U33" s="97"/>
      <c r="V33" s="97"/>
      <c r="W33" s="97"/>
      <c r="X33" s="97"/>
    </row>
    <row customHeight="1" ht="18">
      <c r="A34" s="81"/>
      <c r="B34" s="109" t="s">
        <v>29</v>
      </c>
      <c r="C34" s="70" t="str">
        <f>IF(取值!A157=0,"",取值!A157)</f>
        <v/>
      </c>
      <c r="D34" s="106">
        <f>_xlfn.IFERROR(取值!A326-取值!A324,"")</f>
        <v>5066</v>
      </c>
      <c r="E34" s="70" t="str">
        <f>IF(取值!A214=0,"",取值!A214)</f>
        <v/>
      </c>
      <c r="F34" s="70">
        <f>SUM(C34:E34)</f>
        <v>5066</v>
      </c>
      <c r="G34" s="73"/>
      <c r="H34" s="71" t="s">
        <v>55</v>
      </c>
      <c r="I34" s="70">
        <f>IF(取值!A225=0,"",取值!A225)</f>
        <v>178</v>
      </c>
      <c r="J34" s="96"/>
      <c r="K34" s="96"/>
      <c r="L34" s="97"/>
      <c r="M34" s="97"/>
      <c r="N34" s="97"/>
      <c r="O34" s="97"/>
      <c r="P34" s="97"/>
      <c r="Q34" s="97"/>
      <c r="R34" s="96"/>
      <c r="S34" s="96"/>
      <c r="T34" s="96"/>
      <c r="U34" s="97"/>
      <c r="V34" s="97"/>
      <c r="W34" s="97"/>
      <c r="X34" s="97"/>
    </row>
    <row customHeight="1" ht="18">
      <c r="A35" s="81"/>
      <c r="B35" s="105" t="s">
        <v>56</v>
      </c>
      <c r="C35" s="70" t="str">
        <f>IF(取值!B158=0,"",取值!B158)</f>
        <v/>
      </c>
      <c r="D35" s="106">
        <f>IF(取值!B328=0,"",取值!B328)</f>
        <v>473</v>
      </c>
      <c r="E35" s="70">
        <f>IF(取值!B215=0,"",取值!B215)</f>
        <v>731</v>
      </c>
      <c r="F35" s="70">
        <f>SUM(C35:E35)</f>
        <v>1204</v>
      </c>
      <c r="G35" s="73">
        <f>_xlfn.IFERROR(SUM(取值!B112:B114),"")</f>
        <v>9331</v>
      </c>
      <c r="H35" s="71" t="s">
        <v>57</v>
      </c>
      <c r="I35" s="70">
        <f>IF(取值!A228=0,"",取值!A228)</f>
        <v>19.4</v>
      </c>
      <c r="J35" s="96"/>
      <c r="K35" s="96"/>
      <c r="L35" s="97"/>
      <c r="M35" s="97"/>
      <c r="N35" s="97"/>
      <c r="O35" s="97"/>
      <c r="P35" s="97"/>
      <c r="Q35" s="97"/>
      <c r="R35" s="96"/>
      <c r="S35" s="96"/>
      <c r="T35" s="96"/>
      <c r="U35" s="97"/>
      <c r="V35" s="97"/>
      <c r="W35" s="97"/>
      <c r="X35" s="97"/>
    </row>
    <row customHeight="1" ht="18">
      <c r="A36" s="81"/>
      <c r="B36" s="109" t="s">
        <v>58</v>
      </c>
      <c r="C36" s="70">
        <f>IF(取值!B159=0,"",取值!B159)</f>
        <v>65.42</v>
      </c>
      <c r="D36" s="106" t="str">
        <f>IF(取值!B330=0,"",取值!B330)</f>
        <v/>
      </c>
      <c r="E36" s="70">
        <f>IF(取值!B216=0,"",取值!B216)</f>
        <v>958</v>
      </c>
      <c r="F36" s="70">
        <f>SUM(C36:E36)</f>
        <v>1023.42</v>
      </c>
      <c r="G36" s="73">
        <f>_xlfn.IFERROR(SUM(取值!B116:B118),"")</f>
        <v>4653.58</v>
      </c>
      <c r="H36" s="118" t="s">
        <v>59</v>
      </c>
      <c r="I36" s="106">
        <f>IF(取值!A231=0,"",取值!A231)</f>
        <v>2645.42</v>
      </c>
      <c r="J36" s="96"/>
      <c r="K36" s="96"/>
      <c r="L36" s="97"/>
      <c r="M36" s="97"/>
      <c r="N36" s="97"/>
      <c r="O36" s="97"/>
      <c r="P36" s="97"/>
      <c r="Q36" s="97"/>
      <c r="R36" s="96"/>
      <c r="S36" s="96"/>
      <c r="T36" s="96"/>
      <c r="U36" s="97"/>
      <c r="V36" s="97"/>
      <c r="W36" s="97"/>
      <c r="X36" s="97"/>
    </row>
    <row customHeight="1" ht="18">
      <c r="A37" s="81"/>
      <c r="B37" s="109" t="s">
        <v>35</v>
      </c>
      <c r="C37" s="70">
        <f>IF(取值!B160=0,"",取值!B160)</f>
        <v>37517</v>
      </c>
      <c r="D37" s="106">
        <f>IF(取值!B332=0,"",取值!B332)</f>
        <v>10795</v>
      </c>
      <c r="E37" s="70">
        <f>IF(取值!B217=0,"",取值!B217)</f>
        <v>6723</v>
      </c>
      <c r="F37" s="70">
        <f>SUM(C37:E37)</f>
        <v>55035</v>
      </c>
      <c r="G37" s="73"/>
      <c r="H37" s="118" t="s">
        <v>60</v>
      </c>
      <c r="I37" s="70">
        <f>IF(取值!A234=0,"",取值!A234)</f>
        <v>223.72</v>
      </c>
      <c r="J37" s="96"/>
      <c r="K37" s="96"/>
      <c r="L37" s="97"/>
      <c r="M37" s="97"/>
      <c r="N37" s="97"/>
      <c r="O37" s="97"/>
      <c r="P37" s="97"/>
      <c r="Q37" s="97"/>
      <c r="R37" s="96"/>
      <c r="S37" s="96"/>
      <c r="T37" s="96"/>
      <c r="U37" s="97"/>
      <c r="V37" s="97"/>
      <c r="W37" s="97"/>
      <c r="X37" s="97"/>
    </row>
    <row customHeight="1" ht="18">
      <c r="A38" s="81"/>
      <c r="B38" s="109" t="s">
        <v>29</v>
      </c>
      <c r="C38" s="70">
        <f>IF(取值!A161=0,"",取值!A161)</f>
        <v>3300</v>
      </c>
      <c r="D38" s="106">
        <f>_xlfn.IFERROR(取值!A333-取值!A332,"")</f>
        <v>1815</v>
      </c>
      <c r="E38" s="70">
        <f>IF(取值!A218=0,"",取值!A218)</f>
        <v>4276.01</v>
      </c>
      <c r="F38" s="70">
        <f>SUM(C38:E38)</f>
        <v>9391.01</v>
      </c>
      <c r="G38" s="73"/>
      <c r="H38" s="71" t="s">
        <v>61</v>
      </c>
      <c r="I38" s="70">
        <f>IF(取值!A235=0,"",取值!A235)</f>
        <v>32.68</v>
      </c>
      <c r="J38" s="96"/>
      <c r="K38" s="96"/>
      <c r="L38" s="97"/>
      <c r="M38" s="97"/>
      <c r="N38" s="97"/>
      <c r="O38" s="97"/>
      <c r="P38" s="97"/>
      <c r="Q38" s="97"/>
      <c r="R38" s="96"/>
      <c r="S38" s="96"/>
      <c r="T38" s="96"/>
      <c r="U38" s="97"/>
      <c r="V38" s="97"/>
      <c r="W38" s="97"/>
      <c r="X38" s="97"/>
    </row>
    <row customHeight="1" ht="13.5">
      <c r="A39" s="81"/>
      <c r="B39" s="105" t="s">
        <v>62</v>
      </c>
      <c r="C39" s="119" t="s">
        <v>63</v>
      </c>
      <c r="D39" s="119" t="s">
        <v>64</v>
      </c>
      <c r="E39" s="119" t="s">
        <v>65</v>
      </c>
      <c r="F39" s="119" t="s">
        <v>35</v>
      </c>
      <c r="G39" s="120" t="s">
        <v>29</v>
      </c>
      <c r="H39" s="71" t="s">
        <v>66</v>
      </c>
      <c r="I39" s="70" t="str">
        <f>IF(取值!A236=0,"",取值!A236)</f>
        <v/>
      </c>
      <c r="J39" s="96"/>
      <c r="K39" s="96"/>
      <c r="L39" s="97"/>
      <c r="M39" s="97"/>
      <c r="N39" s="97"/>
      <c r="O39" s="97"/>
      <c r="P39" s="97"/>
      <c r="Q39" s="97"/>
      <c r="R39" s="96"/>
      <c r="S39" s="96"/>
      <c r="T39" s="96"/>
      <c r="U39" s="97"/>
      <c r="V39" s="97"/>
      <c r="W39" s="97"/>
      <c r="X39" s="97"/>
    </row>
    <row customHeight="1" ht="13.5">
      <c r="A40" s="81"/>
      <c r="B40" s="109" t="s">
        <v>67</v>
      </c>
      <c r="C40" s="106">
        <f>IF(取值!A257=0,"",取值!A257)</f>
        <v>1.4</v>
      </c>
      <c r="D40" s="106" t="str">
        <f>IF(取值!A258=0,"",取值!A258)</f>
        <v/>
      </c>
      <c r="E40" s="106" t="str">
        <f>IF(取值!A259=0,"",取值!A259)</f>
        <v/>
      </c>
      <c r="F40" s="106">
        <f>IF(取值!A260=0,"",取值!A260)</f>
        <v>587</v>
      </c>
      <c r="G40" s="121">
        <f>1800-F40</f>
        <v>1213</v>
      </c>
      <c r="H40" s="71" t="s">
        <v>68</v>
      </c>
      <c r="I40" s="70">
        <f>IF(取值!A239=0,"",取值!A239)</f>
        <v>5569.14</v>
      </c>
      <c r="J40" s="96"/>
      <c r="K40" s="96"/>
      <c r="L40" s="97"/>
      <c r="M40" s="97"/>
      <c r="N40" s="97"/>
      <c r="O40" s="97"/>
      <c r="P40" s="97"/>
      <c r="Q40" s="97"/>
      <c r="R40" s="96"/>
      <c r="S40" s="96"/>
      <c r="T40" s="96"/>
      <c r="U40" s="97"/>
      <c r="V40" s="97"/>
      <c r="W40" s="97"/>
      <c r="X40" s="97"/>
    </row>
    <row customHeight="1" ht="17.25">
      <c r="A41" s="81"/>
      <c r="B41" s="109" t="s">
        <v>69</v>
      </c>
      <c r="C41" s="70">
        <f>IF(取值!A262=0,"",取值!A262)</f>
        <v>61.02</v>
      </c>
      <c r="D41" s="70">
        <f>IF(取值!A263=0,"",取值!A263)</f>
        <v>369</v>
      </c>
      <c r="E41" s="70">
        <f>IF(取值!A264=0,"",取值!A264)</f>
        <v>873</v>
      </c>
      <c r="F41" s="70">
        <f>IF(取值!A265=0,"",取值!A265)</f>
        <v>2469</v>
      </c>
      <c r="G41" s="121">
        <f>3600-F41</f>
        <v>1131</v>
      </c>
      <c r="H41" s="71" t="s">
        <v>70</v>
      </c>
      <c r="I41" s="70" t="str">
        <f>IF(取值!A242=0,"",取值!A242)</f>
        <v/>
      </c>
      <c r="J41" s="96"/>
      <c r="K41" s="96"/>
      <c r="L41" s="97"/>
      <c r="M41" s="97"/>
      <c r="N41" s="97"/>
      <c r="O41" s="97"/>
      <c r="P41" s="97"/>
      <c r="Q41" s="97"/>
      <c r="R41" s="96"/>
      <c r="S41" s="96"/>
      <c r="T41" s="96"/>
      <c r="U41" s="97"/>
      <c r="V41" s="97"/>
      <c r="W41" s="97"/>
      <c r="X41" s="97"/>
    </row>
    <row customHeight="1" ht="17.25">
      <c r="A42" s="81"/>
      <c r="B42" s="109" t="s">
        <v>71</v>
      </c>
      <c r="C42" s="70">
        <f>IF(取值!A267=0,"",取值!A267)</f>
        <v>72.79</v>
      </c>
      <c r="D42" s="70">
        <f>IF(取值!A268=0,"",取值!A268)</f>
        <v>467</v>
      </c>
      <c r="E42" s="70">
        <f>IF(取值!A269=0,"",取值!A269)</f>
        <v>750</v>
      </c>
      <c r="F42" s="70">
        <f>IF(取值!A270=0,"",取值!A270)</f>
        <v>2918</v>
      </c>
      <c r="G42" s="121">
        <f>3600-F42</f>
        <v>682</v>
      </c>
      <c r="H42" s="68" t="s">
        <v>72</v>
      </c>
      <c r="I42" s="68"/>
      <c r="J42" s="96"/>
      <c r="K42" s="96"/>
      <c r="L42" s="97"/>
      <c r="M42" s="97"/>
      <c r="N42" s="97"/>
      <c r="O42" s="97"/>
      <c r="P42" s="97"/>
      <c r="Q42" s="97"/>
      <c r="R42" s="96"/>
      <c r="S42" s="96"/>
      <c r="T42" s="96"/>
      <c r="U42" s="97"/>
      <c r="V42" s="97"/>
      <c r="W42" s="97"/>
      <c r="X42" s="97"/>
    </row>
    <row customHeight="1" ht="18">
      <c r="A43" s="81"/>
      <c r="B43" s="109" t="s">
        <v>73</v>
      </c>
      <c r="C43" s="70">
        <f>IF(取值!A273=0,"",取值!A273)</f>
        <v>121.68</v>
      </c>
      <c r="D43" s="70">
        <f>IF(取值!A274=0,"",取值!A274)</f>
        <v>762</v>
      </c>
      <c r="E43" s="70">
        <f>IF(取值!A275=0,"",取值!A275)</f>
        <v>1830</v>
      </c>
      <c r="F43" s="70">
        <f>IF(取值!A276=0,"",取值!A276)</f>
        <v>4887</v>
      </c>
      <c r="G43" s="121">
        <f>7200-F43</f>
        <v>2313</v>
      </c>
      <c r="H43" s="78" t="s">
        <v>74</v>
      </c>
      <c r="I43" s="116"/>
      <c r="J43" s="96"/>
      <c r="K43" s="96"/>
      <c r="L43" s="97"/>
      <c r="M43" s="97"/>
      <c r="N43" s="97"/>
      <c r="O43" s="97"/>
      <c r="P43" s="97"/>
      <c r="Q43" s="97"/>
      <c r="R43" s="96"/>
      <c r="S43" s="96"/>
      <c r="T43" s="96"/>
      <c r="U43" s="97"/>
      <c r="V43" s="97"/>
      <c r="W43" s="97"/>
      <c r="X43" s="97"/>
    </row>
    <row customHeight="1" ht="17.25">
      <c r="A44" s="81"/>
      <c r="B44" s="109" t="s">
        <v>75</v>
      </c>
      <c r="C44" s="70">
        <f>IF(取值!A278=0,"",取值!A278)</f>
        <v>83.42</v>
      </c>
      <c r="D44" s="70">
        <f>IF(取值!A279=0,"",取值!A279)</f>
        <v>521</v>
      </c>
      <c r="E44" s="70">
        <f>IF(取值!A280=0,"",取值!A280)</f>
        <v>646</v>
      </c>
      <c r="F44" s="70">
        <f>IF(取值!A281=0,"",取值!A281)</f>
        <v>2351</v>
      </c>
      <c r="G44" s="121">
        <f>3600-F44</f>
        <v>1249</v>
      </c>
      <c r="H44" s="78" t="s">
        <v>76</v>
      </c>
      <c r="I44" s="116"/>
      <c r="J44" s="96"/>
      <c r="K44" s="96"/>
      <c r="L44" s="97"/>
      <c r="M44" s="97"/>
      <c r="N44" s="97"/>
      <c r="O44" s="97"/>
      <c r="P44" s="97"/>
      <c r="Q44" s="97"/>
      <c r="R44" s="96"/>
      <c r="S44" s="96"/>
      <c r="T44" s="96"/>
      <c r="U44" s="97"/>
      <c r="V44" s="97"/>
      <c r="W44" s="97"/>
      <c r="X44" s="97"/>
    </row>
    <row customHeight="1" ht="18">
      <c r="A45" s="81"/>
      <c r="B45" s="123" t="s">
        <v>9</v>
      </c>
      <c r="C45" s="106">
        <f>SUM(C40:C44)</f>
        <v>340.31</v>
      </c>
      <c r="D45" s="106">
        <f>SUM(D40:D44)</f>
        <v>2119</v>
      </c>
      <c r="E45" s="106">
        <f>SUM(E40:E44)</f>
        <v>4099</v>
      </c>
      <c r="F45" s="106">
        <f>SUM(F40:F44)</f>
        <v>13212</v>
      </c>
      <c r="G45" s="121"/>
      <c r="H45" s="78" t="s">
        <v>77</v>
      </c>
      <c r="I45" s="116"/>
      <c r="J45" s="96"/>
      <c r="K45" s="96"/>
      <c r="L45" s="97"/>
      <c r="M45" s="97"/>
      <c r="N45" s="97"/>
      <c r="O45" s="97"/>
      <c r="P45" s="97"/>
      <c r="Q45" s="97"/>
      <c r="R45" s="96"/>
      <c r="S45" s="96"/>
      <c r="T45" s="96"/>
      <c r="U45" s="97"/>
      <c r="V45" s="97"/>
      <c r="W45" s="97"/>
      <c r="X45" s="97"/>
    </row>
    <row customHeight="1" ht="18">
      <c r="A46" s="81"/>
      <c r="B46" s="123" t="s">
        <v>78</v>
      </c>
      <c r="C46" s="106">
        <f>_xlfn.IFERROR(SUM(取值!A283:A287),"")</f>
        <v>15226</v>
      </c>
      <c r="D46" s="106" t="s">
        <v>79</v>
      </c>
      <c r="E46" s="124">
        <v>677.02</v>
      </c>
      <c r="F46" s="106" t="s">
        <v>80</v>
      </c>
      <c r="G46" s="125">
        <v>4731.32</v>
      </c>
      <c r="H46" s="126"/>
      <c r="I46" s="70"/>
      <c r="J46" s="96"/>
      <c r="K46" s="96"/>
      <c r="L46" s="97"/>
      <c r="M46" s="97"/>
      <c r="N46" s="97"/>
      <c r="O46" s="97"/>
      <c r="P46" s="97"/>
      <c r="Q46" s="97"/>
      <c r="R46" s="96"/>
      <c r="S46" s="96"/>
      <c r="T46" s="96"/>
      <c r="U46" s="97"/>
      <c r="V46" s="97"/>
      <c r="W46" s="97"/>
      <c r="X46" s="97"/>
    </row>
    <row customHeight="1" ht="18">
      <c r="A47" s="81"/>
      <c r="B47" s="128" t="s">
        <v>81</v>
      </c>
      <c r="C47" s="128" t="s">
        <v>82</v>
      </c>
      <c r="D47" s="128" t="s">
        <v>83</v>
      </c>
      <c r="E47" s="128" t="s">
        <v>84</v>
      </c>
      <c r="F47" s="128" t="s">
        <v>85</v>
      </c>
      <c r="G47" s="129" t="s">
        <v>86</v>
      </c>
      <c r="H47" s="126"/>
      <c r="I47" s="70"/>
      <c r="J47" s="90"/>
      <c r="K47" s="90"/>
      <c r="L47" s="90"/>
      <c r="M47" s="90"/>
      <c r="N47" s="90"/>
      <c r="O47" s="90"/>
      <c r="P47" s="90"/>
      <c r="Q47" s="90"/>
      <c r="R47" s="96"/>
      <c r="S47" s="96"/>
      <c r="T47" s="96"/>
      <c r="U47" s="97"/>
      <c r="V47" s="97"/>
      <c r="W47" s="97"/>
      <c r="X47" s="97"/>
    </row>
    <row customHeight="1" ht="18">
      <c r="A48" s="81"/>
      <c r="B48" s="128"/>
      <c r="C48" s="116" t="str">
        <f>IF(取值!A367=0,"",取值!A367)</f>
        <v/>
      </c>
      <c r="D48" s="116" t="str">
        <f>IF(取值!A368=0,"",取值!A368)</f>
        <v/>
      </c>
      <c r="E48" s="116" t="str">
        <f>IF(取值!A369=0,"",取值!A369)</f>
        <v/>
      </c>
      <c r="F48" s="116" t="str">
        <f>IF(取值!A370=0,"",取值!A370)</f>
        <v/>
      </c>
      <c r="G48" s="125" t="str">
        <f>IF(取值!A371=0,"",取值!A371)</f>
        <v/>
      </c>
      <c r="H48" s="126"/>
      <c r="I48" s="70"/>
      <c r="J48" s="90"/>
      <c r="K48" s="90"/>
      <c r="L48" s="90"/>
      <c r="M48" s="90"/>
      <c r="N48" s="90"/>
      <c r="O48" s="90"/>
      <c r="P48" s="90"/>
      <c r="Q48" s="90"/>
      <c r="R48" s="96"/>
      <c r="S48" s="96"/>
      <c r="T48" s="96"/>
      <c r="U48" s="97"/>
      <c r="V48" s="97"/>
      <c r="W48" s="97"/>
      <c r="X48" s="97"/>
    </row>
    <row customHeight="1" ht="24.75">
      <c r="A49" s="81"/>
      <c r="B49" s="131" t="s">
        <v>87</v>
      </c>
      <c r="C49" s="85" t="str">
        <f>CONCATENATE(取值!A338,取值!A339)</f>
        <v>榆炼进口原油掺炼量4403吨/日，(其中500万常压掺炼比例为：1：9.27），本月累计29279吨，本年累计掺炼29279吨。</v>
      </c>
      <c r="D49" s="126"/>
      <c r="E49" s="126"/>
      <c r="F49" s="126"/>
      <c r="G49" s="126"/>
      <c r="H49" s="133"/>
      <c r="I49" s="134"/>
      <c r="J49" s="96"/>
      <c r="K49" s="96"/>
      <c r="L49" s="97"/>
      <c r="M49" s="97"/>
      <c r="N49" s="97"/>
      <c r="O49" s="97"/>
      <c r="P49" s="97"/>
      <c r="Q49" s="97"/>
      <c r="R49" s="96"/>
      <c r="S49" s="96"/>
      <c r="T49" s="96"/>
      <c r="U49" s="97"/>
      <c r="V49" s="97"/>
      <c r="W49" s="97"/>
      <c r="X49" s="97"/>
    </row>
    <row customHeight="1" ht="15.75">
      <c r="A50" s="81"/>
      <c r="B50" s="135" t="s">
        <v>88</v>
      </c>
      <c r="C50" s="136" t="s">
        <v>89</v>
      </c>
      <c r="D50" s="135"/>
      <c r="E50" s="81"/>
      <c r="F50" s="81"/>
      <c r="G50" s="81"/>
      <c r="H50" s="135" t="s">
        <v>90</v>
      </c>
      <c r="I50" s="136" t="s">
        <v>91</v>
      </c>
      <c r="J50" s="96"/>
      <c r="K50" s="96"/>
      <c r="L50" s="97"/>
      <c r="M50" s="97"/>
      <c r="N50" s="97"/>
      <c r="O50" s="97"/>
      <c r="P50" s="97"/>
      <c r="Q50" s="97"/>
      <c r="R50" s="96"/>
      <c r="S50" s="96"/>
      <c r="T50" s="96"/>
      <c r="U50" s="97"/>
      <c r="V50" s="97"/>
      <c r="W50" s="97"/>
      <c r="X50" s="97"/>
    </row>
    <row customHeight="1" ht="14.25">
      <c r="A51" s="81"/>
      <c r="B51" s="137"/>
      <c r="C51" s="81"/>
      <c r="D51" s="81"/>
      <c r="E51" s="81"/>
      <c r="F51" s="81"/>
      <c r="G51" s="81"/>
      <c r="H51" s="81"/>
      <c r="I51" s="138"/>
      <c r="J51" s="96"/>
      <c r="K51" s="96"/>
      <c r="L51" s="97"/>
      <c r="M51" s="97"/>
      <c r="N51" s="97"/>
      <c r="O51" s="97"/>
      <c r="P51" s="97"/>
      <c r="Q51" s="97"/>
      <c r="R51" s="96"/>
      <c r="S51" s="96"/>
      <c r="T51" s="96"/>
      <c r="U51" s="97"/>
      <c r="V51" s="97"/>
      <c r="W51" s="97"/>
      <c r="X51" s="97"/>
    </row>
    <row customHeight="1" ht="14.25">
      <c r="A52" s="81"/>
      <c r="B52" s="137"/>
      <c r="C52" s="81"/>
      <c r="D52" s="81"/>
      <c r="E52" s="81"/>
      <c r="F52" s="81"/>
      <c r="G52" s="81"/>
      <c r="H52" s="81"/>
      <c r="I52" s="138"/>
      <c r="J52" s="96"/>
      <c r="K52" s="96"/>
      <c r="L52" s="97"/>
      <c r="M52" s="97"/>
      <c r="N52" s="97"/>
      <c r="O52" s="97"/>
      <c r="P52" s="97"/>
      <c r="Q52" s="97"/>
      <c r="R52" s="96"/>
      <c r="S52" s="96"/>
      <c r="T52" s="96"/>
      <c r="U52" s="97"/>
      <c r="V52" s="97"/>
      <c r="W52" s="97"/>
      <c r="X52" s="97"/>
    </row>
    <row customHeight="1" ht="14.25">
      <c r="A53" s="81"/>
      <c r="B53" s="137"/>
      <c r="C53" s="81"/>
      <c r="D53" s="81"/>
      <c r="E53" s="81"/>
      <c r="F53" s="81"/>
      <c r="G53" s="81"/>
      <c r="H53" s="81"/>
      <c r="I53" s="138"/>
      <c r="J53" s="96"/>
      <c r="K53" s="96"/>
      <c r="L53" s="97"/>
      <c r="M53" s="97"/>
      <c r="N53" s="97"/>
      <c r="O53" s="97"/>
      <c r="P53" s="97"/>
      <c r="Q53" s="97"/>
      <c r="R53" s="96"/>
      <c r="S53" s="96"/>
      <c r="T53" s="96"/>
      <c r="U53" s="97"/>
      <c r="V53" s="97"/>
      <c r="W53" s="97"/>
      <c r="X53" s="97"/>
    </row>
  </sheetData>
  <mergeCells count="10">
    <mergeCell ref="B1:I1"/>
    <mergeCell ref="B2:C2"/>
    <mergeCell ref="E2:F2"/>
    <mergeCell ref="H2:I2"/>
    <mergeCell ref="H3:I3"/>
    <mergeCell ref="H29:I29"/>
    <mergeCell ref="H42:I42"/>
    <mergeCell ref="C49:I49"/>
    <mergeCell ref="B47:B48"/>
    <mergeCell ref="N8:N9"/>
  </mergeCells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9DD482B-7EE8-0D46-2A98-E8FB0E28CC3A}" mc:Ignorable="x14ac xr xr2 xr3">
  <dimension ref="A1:C371"/>
  <sheetViews>
    <sheetView topLeftCell="A1" workbookViewId="0">
      <selection activeCell="A130" sqref="A130"/>
    </sheetView>
  </sheetViews>
  <sheetFormatPr defaultColWidth="8.75390625" customHeight="1" defaultRowHeight="15.600000000000001"/>
  <cols>
    <col min="1" max="1" style="139" width="119.375" customWidth="1"/>
    <col min="2" max="2" style="139" width="116.125" customWidth="1"/>
  </cols>
  <sheetData>
    <row customHeight="1" ht="15.75">
      <c r="A1" s="102">
        <v>0</v>
      </c>
      <c r="B1" s="96"/>
      <c r="C1" s="140"/>
    </row>
    <row customHeight="1" ht="15.75">
      <c r="A2" s="102"/>
      <c r="B2" s="96"/>
      <c r="C2" s="97"/>
    </row>
    <row customHeight="1" ht="15.75">
      <c r="A3" s="96">
        <v>42482.56</v>
      </c>
      <c r="B3" s="96"/>
      <c r="C3" s="97"/>
    </row>
    <row customHeight="1" ht="15.75">
      <c r="A4" s="141">
        <v>0</v>
      </c>
      <c r="B4" s="96"/>
      <c r="C4" s="97"/>
    </row>
    <row customHeight="1" ht="15.75">
      <c r="A5" s="141">
        <v>0</v>
      </c>
      <c r="B5" s="96"/>
      <c r="C5" s="97"/>
    </row>
    <row customHeight="1" ht="15.75">
      <c r="A6" s="96">
        <v>117313</v>
      </c>
      <c r="B6" s="96"/>
      <c r="C6" s="97"/>
    </row>
    <row customHeight="1" ht="15.75">
      <c r="A7" s="96"/>
      <c r="B7" s="96"/>
      <c r="C7" s="97"/>
    </row>
    <row customHeight="1" ht="15.75">
      <c r="A8" s="96">
        <v>50993.83999999999</v>
      </c>
      <c r="B8" s="96"/>
      <c r="C8" s="97"/>
    </row>
    <row customHeight="1" ht="15.600000000000001">
      <c r="A9" s="96"/>
      <c r="B9" s="96"/>
      <c r="C9" s="97"/>
    </row>
    <row customHeight="1" ht="15.75">
      <c r="A10" s="96"/>
      <c r="B10" s="96"/>
      <c r="C10" s="97"/>
    </row>
    <row customHeight="1" ht="15.75">
      <c r="A11" s="96"/>
      <c r="B11" s="96"/>
      <c r="C11" s="97"/>
    </row>
    <row customHeight="1" ht="15.75">
      <c r="A12" s="96"/>
      <c r="B12" s="96"/>
      <c r="C12" s="97"/>
    </row>
    <row customHeight="1" ht="15.600000000000001">
      <c r="A13" s="96"/>
      <c r="B13" s="96"/>
      <c r="C13" s="97"/>
    </row>
    <row customHeight="1" ht="15.75">
      <c r="A14" s="96">
        <v>292745</v>
      </c>
      <c r="B14" s="96"/>
      <c r="C14" s="97"/>
    </row>
    <row customHeight="1" ht="15.75">
      <c r="A15" s="96"/>
      <c r="B15" s="96"/>
      <c r="C15" s="97"/>
    </row>
    <row customHeight="1" ht="15.75">
      <c r="A16" s="96">
        <v>580672.5</v>
      </c>
      <c r="B16" s="96"/>
      <c r="C16" s="97"/>
    </row>
    <row customHeight="1" ht="15.600000000000001">
      <c r="A17" s="96"/>
      <c r="B17" s="96"/>
      <c r="C17" s="97"/>
    </row>
    <row customHeight="1" ht="15.75">
      <c r="A18" s="96"/>
      <c r="B18" s="96"/>
      <c r="C18" s="97"/>
    </row>
    <row customHeight="1" ht="15.75">
      <c r="A19" s="96"/>
      <c r="B19" s="96"/>
      <c r="C19" s="97"/>
    </row>
    <row customHeight="1" ht="15.75">
      <c r="A20" s="96"/>
      <c r="B20" s="96"/>
      <c r="C20" s="97"/>
    </row>
    <row customHeight="1" ht="15.600000000000001">
      <c r="A21" s="96"/>
      <c r="B21" s="96"/>
      <c r="C21" s="97"/>
    </row>
    <row customHeight="1" ht="15.75">
      <c r="A22" s="96">
        <v>828148</v>
      </c>
      <c r="B22" s="96"/>
      <c r="C22" s="97"/>
    </row>
    <row customHeight="1" ht="15.75">
      <c r="A23" s="96"/>
      <c r="B23" s="96"/>
      <c r="C23" s="97"/>
    </row>
    <row customHeight="1" ht="15.75">
      <c r="A24" s="96">
        <v>260416</v>
      </c>
      <c r="B24" s="96"/>
      <c r="C24" s="97"/>
    </row>
    <row customHeight="1" ht="15.600000000000001">
      <c r="A25" s="96"/>
      <c r="B25" s="96"/>
      <c r="C25" s="97"/>
    </row>
    <row customHeight="1" ht="15.75">
      <c r="A26" s="96">
        <v>117720</v>
      </c>
      <c r="B26" s="96"/>
      <c r="C26" s="97"/>
    </row>
    <row customHeight="1" ht="14.25">
      <c r="A27" s="96"/>
      <c r="B27" s="96"/>
      <c r="C27" s="97"/>
    </row>
    <row customHeight="1" ht="15.75">
      <c r="A28" s="96"/>
      <c r="B28" s="96"/>
      <c r="C28" s="97"/>
    </row>
    <row customHeight="1" ht="15.75">
      <c r="A29" s="96">
        <v>103906</v>
      </c>
      <c r="B29" s="96"/>
      <c r="C29" s="97"/>
    </row>
    <row customHeight="1" ht="15.600000000000001">
      <c r="A30" s="96"/>
      <c r="B30" s="96"/>
      <c r="C30" s="97"/>
    </row>
    <row customHeight="1" ht="15.75">
      <c r="A31" s="96">
        <v>61819</v>
      </c>
      <c r="B31" s="96"/>
      <c r="C31" s="97"/>
    </row>
    <row customHeight="1" ht="15.75">
      <c r="A32" s="96">
        <v>24621</v>
      </c>
      <c r="B32" s="96"/>
      <c r="C32" s="97"/>
    </row>
    <row customHeight="1" ht="15.75">
      <c r="A33" s="96">
        <v>33562.56999999998</v>
      </c>
      <c r="B33" s="96"/>
      <c r="C33" s="97"/>
    </row>
    <row customHeight="1" ht="15.75">
      <c r="A34" s="96"/>
      <c r="B34" s="96"/>
      <c r="C34" s="97"/>
    </row>
    <row customHeight="1" ht="15.600000000000001">
      <c r="A35" s="96"/>
      <c r="B35" s="96"/>
      <c r="C35" s="97"/>
    </row>
    <row customHeight="1" ht="15.75">
      <c r="A36" s="96">
        <v>284504</v>
      </c>
      <c r="B36" s="96"/>
      <c r="C36" s="97"/>
    </row>
    <row customHeight="1" ht="15.75">
      <c r="A37" s="96"/>
      <c r="B37" s="96"/>
      <c r="C37" s="97"/>
    </row>
    <row customHeight="1" ht="15.75">
      <c r="A38" s="96">
        <v>232178</v>
      </c>
      <c r="B38" s="96"/>
      <c r="C38" s="97"/>
    </row>
    <row customHeight="1" ht="15.600000000000001">
      <c r="A39" s="96"/>
      <c r="B39" s="96"/>
      <c r="C39" s="97"/>
    </row>
    <row customHeight="1" ht="15.75">
      <c r="A40" s="96">
        <v>243492</v>
      </c>
      <c r="B40" s="96"/>
      <c r="C40" s="97"/>
    </row>
    <row customHeight="1" ht="15.75">
      <c r="A41" s="96"/>
      <c r="B41" s="96"/>
      <c r="C41" s="97"/>
    </row>
    <row customHeight="1" ht="15.75">
      <c r="A42" s="96">
        <v>117822</v>
      </c>
      <c r="B42" s="96"/>
      <c r="C42" s="97"/>
    </row>
    <row customHeight="1" ht="15.600000000000001">
      <c r="A43" s="96"/>
      <c r="B43" s="96"/>
      <c r="C43" s="97"/>
    </row>
    <row customHeight="1" ht="15.75">
      <c r="A44" s="96">
        <v>52534</v>
      </c>
      <c r="B44" s="96"/>
      <c r="C44" s="97"/>
    </row>
    <row customHeight="1" ht="15.75">
      <c r="A45" s="96"/>
      <c r="B45" s="96"/>
      <c r="C45" s="97"/>
    </row>
    <row customHeight="1" ht="15.75">
      <c r="A46" s="96">
        <v>31562</v>
      </c>
      <c r="B46" s="96"/>
      <c r="C46" s="97"/>
    </row>
    <row customHeight="1" ht="15.600000000000001">
      <c r="A47" s="96"/>
      <c r="B47" s="96"/>
      <c r="C47" s="97"/>
    </row>
    <row customHeight="1" ht="15.75">
      <c r="A48" s="96">
        <v>32478</v>
      </c>
      <c r="B48" s="96"/>
      <c r="C48" s="97"/>
    </row>
    <row customHeight="1" ht="15.75">
      <c r="A49" s="96"/>
      <c r="B49" s="96"/>
      <c r="C49" s="97"/>
    </row>
    <row customHeight="1" ht="15.75">
      <c r="A50" s="96">
        <v>16490</v>
      </c>
      <c r="B50" s="96"/>
      <c r="C50" s="97"/>
    </row>
    <row customHeight="1" ht="15.600000000000001">
      <c r="A51" s="96"/>
      <c r="B51" s="96"/>
      <c r="C51" s="97"/>
    </row>
    <row customHeight="1" ht="15.75">
      <c r="A52" s="96">
        <v>226889</v>
      </c>
      <c r="B52" s="96"/>
      <c r="C52" s="97"/>
    </row>
    <row customHeight="1" ht="15.75">
      <c r="A53" s="96"/>
      <c r="B53" s="96"/>
      <c r="C53" s="97"/>
    </row>
    <row customHeight="1" ht="15.75">
      <c r="A54" s="96">
        <v>500935.1</v>
      </c>
      <c r="B54" s="96"/>
      <c r="C54" s="97"/>
    </row>
    <row customHeight="1" ht="15.600000000000001">
      <c r="A55" s="96"/>
      <c r="B55" s="96"/>
      <c r="C55" s="97"/>
    </row>
    <row customHeight="1" ht="15.75">
      <c r="A56" s="96">
        <v>186008</v>
      </c>
      <c r="B56" s="96"/>
      <c r="C56" s="97"/>
    </row>
    <row customHeight="1" ht="15.75">
      <c r="A57" s="96"/>
      <c r="B57" s="96"/>
      <c r="C57" s="97"/>
    </row>
    <row customHeight="1" ht="15.75">
      <c r="A58" s="96">
        <v>55686.52000000001</v>
      </c>
      <c r="B58" s="96"/>
      <c r="C58" s="97"/>
    </row>
    <row customHeight="1" ht="15.600000000000001">
      <c r="A59" s="96"/>
      <c r="B59" s="96"/>
      <c r="C59" s="97"/>
    </row>
    <row customHeight="1" ht="15.75">
      <c r="A60" s="96">
        <v>24628</v>
      </c>
      <c r="B60" s="96"/>
      <c r="C60" s="97"/>
    </row>
    <row customHeight="1" ht="15.75">
      <c r="A61" s="96"/>
      <c r="B61" s="96"/>
      <c r="C61" s="97"/>
    </row>
    <row customHeight="1" ht="15.75">
      <c r="A62" s="96">
        <v>2530</v>
      </c>
      <c r="B62" s="96"/>
      <c r="C62" s="97"/>
    </row>
    <row customHeight="1" ht="15.600000000000001">
      <c r="A63" s="96"/>
      <c r="B63" s="96"/>
      <c r="C63" s="97"/>
    </row>
    <row customHeight="1" ht="15.75">
      <c r="A64" s="96">
        <v>133645</v>
      </c>
      <c r="B64" s="96"/>
      <c r="C64" s="97"/>
    </row>
    <row customHeight="1" ht="15.75">
      <c r="A65" s="96"/>
      <c r="B65" s="96"/>
      <c r="C65" s="97"/>
    </row>
    <row customHeight="1" ht="15.75">
      <c r="A66" s="96">
        <v>28119.25</v>
      </c>
      <c r="B66" s="96"/>
      <c r="C66" s="97"/>
    </row>
    <row customHeight="1" ht="15.600000000000001">
      <c r="A67" s="96"/>
      <c r="B67" s="96"/>
      <c r="C67" s="97"/>
    </row>
    <row customHeight="1" ht="15.75">
      <c r="A68" s="96">
        <v>175281</v>
      </c>
      <c r="B68" s="96"/>
      <c r="C68" s="97"/>
    </row>
    <row customHeight="1" ht="15.75">
      <c r="A69" s="96"/>
      <c r="B69" s="96"/>
      <c r="C69" s="97"/>
    </row>
    <row customHeight="1" ht="15.75">
      <c r="A70" s="96">
        <v>12828.75</v>
      </c>
      <c r="B70" s="96"/>
      <c r="C70" s="97"/>
    </row>
    <row customHeight="1" ht="15.600000000000001">
      <c r="A71" s="96"/>
      <c r="B71" s="96"/>
      <c r="C71" s="97"/>
    </row>
    <row customHeight="1" ht="15.75">
      <c r="A72" s="96">
        <v>45804</v>
      </c>
      <c r="B72" s="96"/>
      <c r="C72" s="97"/>
    </row>
    <row customHeight="1" ht="15.75">
      <c r="A73" s="96"/>
      <c r="B73" s="96"/>
      <c r="C73" s="97"/>
    </row>
    <row customHeight="1" ht="15.75">
      <c r="A74" s="96">
        <v>33124</v>
      </c>
      <c r="B74" s="96"/>
      <c r="C74" s="97"/>
    </row>
    <row customHeight="1" ht="15.600000000000001">
      <c r="A75" s="96"/>
      <c r="B75" s="96"/>
      <c r="C75" s="97"/>
    </row>
    <row customHeight="1" ht="15.75">
      <c r="A76" s="96">
        <v>43187</v>
      </c>
      <c r="B76" s="96"/>
      <c r="C76" s="97"/>
    </row>
    <row customHeight="1" ht="15.75">
      <c r="A77" s="96"/>
      <c r="B77" s="96"/>
      <c r="C77" s="97"/>
    </row>
    <row customHeight="1" ht="15.75">
      <c r="A78" s="96">
        <v>18956</v>
      </c>
      <c r="B78" s="96"/>
      <c r="C78" s="97"/>
    </row>
    <row customHeight="1" ht="15.600000000000001">
      <c r="A79" s="96"/>
      <c r="B79" s="96"/>
      <c r="C79" s="97"/>
    </row>
    <row customHeight="1" ht="15.75">
      <c r="A80" s="96">
        <v>369876</v>
      </c>
      <c r="B80" s="96"/>
      <c r="C80" s="97"/>
    </row>
    <row customHeight="1" ht="15.75">
      <c r="A81" s="96"/>
      <c r="B81" s="96"/>
      <c r="C81" s="97"/>
    </row>
    <row customHeight="1" ht="15.75">
      <c r="A82" s="96">
        <v>610626.6</v>
      </c>
      <c r="B82" s="96"/>
      <c r="C82" s="97"/>
    </row>
    <row customHeight="1" ht="15.600000000000001">
      <c r="A83" s="96"/>
      <c r="B83" s="96"/>
      <c r="C83" s="97"/>
    </row>
    <row customHeight="1" ht="15.75">
      <c r="A84" s="96">
        <v>232244</v>
      </c>
      <c r="B84" s="96"/>
      <c r="C84" s="97"/>
    </row>
    <row customHeight="1" ht="15.75">
      <c r="A85" s="96"/>
      <c r="B85" s="96"/>
      <c r="C85" s="97"/>
    </row>
    <row customHeight="1" ht="15.75">
      <c r="A86" s="96">
        <v>-13018</v>
      </c>
      <c r="B86" s="96"/>
      <c r="C86" s="97"/>
    </row>
    <row customHeight="1" ht="15.600000000000001">
      <c r="A87" s="96"/>
      <c r="B87" s="96"/>
      <c r="C87" s="97"/>
    </row>
    <row customHeight="1" ht="15.75">
      <c r="A88" s="96"/>
      <c r="B88" s="96"/>
      <c r="C88" s="97"/>
    </row>
    <row customHeight="1" ht="15.75">
      <c r="A89" s="96"/>
      <c r="B89" s="96"/>
      <c r="C89" s="97"/>
    </row>
    <row customHeight="1" ht="15.75">
      <c r="A90" s="96">
        <v>1052.56</v>
      </c>
      <c r="B90" s="96"/>
      <c r="C90" s="97"/>
    </row>
    <row customHeight="1" ht="15.600000000000001">
      <c r="A91" s="96"/>
      <c r="B91" s="96"/>
      <c r="C91" s="97"/>
    </row>
    <row customHeight="1" ht="15.75">
      <c r="A92" s="96"/>
      <c r="B92" s="96"/>
      <c r="C92" s="97"/>
    </row>
    <row customHeight="1" ht="15.75">
      <c r="A93" s="96"/>
      <c r="B93" s="96"/>
      <c r="C93" s="97"/>
    </row>
    <row customHeight="1" ht="15.75">
      <c r="A94" s="96">
        <v>27392.4</v>
      </c>
      <c r="B94" s="96"/>
      <c r="C94" s="97"/>
    </row>
    <row customHeight="1" ht="15.600000000000001">
      <c r="A95" s="96"/>
      <c r="B95" s="96"/>
      <c r="C95" s="97"/>
    </row>
    <row customHeight="1" ht="15.75">
      <c r="A96" s="96"/>
      <c r="B96" s="96"/>
      <c r="C96" s="97"/>
    </row>
    <row customHeight="1" ht="15.75">
      <c r="A97" s="96"/>
      <c r="B97" s="96"/>
      <c r="C97" s="97"/>
    </row>
    <row customHeight="1" ht="15.75">
      <c r="A98" s="96">
        <v>77607.6</v>
      </c>
      <c r="B98" s="96"/>
      <c r="C98" s="97"/>
    </row>
    <row customHeight="1" ht="15.600000000000001">
      <c r="A99" s="96"/>
      <c r="B99" s="96"/>
      <c r="C99" s="97"/>
    </row>
    <row customHeight="1" ht="15.75">
      <c r="A100" s="96"/>
      <c r="B100" s="96"/>
      <c r="C100" s="97"/>
    </row>
    <row customHeight="1" ht="15.75">
      <c r="A101" s="96"/>
      <c r="B101" s="96"/>
      <c r="C101" s="97"/>
    </row>
    <row customHeight="1" ht="15.75">
      <c r="A102" s="96">
        <v>1164.8</v>
      </c>
      <c r="B102" s="96"/>
      <c r="C102" s="97"/>
    </row>
    <row customHeight="1" ht="15.600000000000001">
      <c r="A103" s="96"/>
      <c r="B103" s="96"/>
      <c r="C103" s="97"/>
    </row>
    <row customHeight="1" ht="15.75">
      <c r="A104" s="96"/>
      <c r="B104" s="96"/>
      <c r="C104" s="97"/>
    </row>
    <row customHeight="1" ht="15.75">
      <c r="A105" s="96"/>
      <c r="B105" s="96"/>
      <c r="C105" s="97"/>
    </row>
    <row customHeight="1" ht="15.75">
      <c r="A106" s="96">
        <v>5050</v>
      </c>
      <c r="B106" s="96"/>
      <c r="C106" s="97"/>
    </row>
    <row customHeight="1" ht="15.600000000000001">
      <c r="A107" s="96"/>
      <c r="B107" s="96"/>
      <c r="C107" s="97"/>
    </row>
    <row customHeight="1" ht="15.75">
      <c r="A108" s="96"/>
      <c r="B108" s="96"/>
      <c r="C108" s="97"/>
    </row>
    <row customHeight="1" ht="15.75">
      <c r="A109" s="96"/>
      <c r="B109" s="96"/>
      <c r="C109" s="97"/>
    </row>
    <row customHeight="1" ht="15.75">
      <c r="A110" s="96">
        <v>0</v>
      </c>
      <c r="B110" s="96"/>
      <c r="C110" s="97"/>
    </row>
    <row customHeight="1" ht="15.600000000000001">
      <c r="A111" s="96"/>
      <c r="B111" s="96"/>
      <c r="C111" s="97"/>
    </row>
    <row customHeight="1" ht="15.75">
      <c r="A112" s="142">
        <v>6803</v>
      </c>
      <c r="B112" s="96">
        <v>0</v>
      </c>
      <c r="C112" s="97"/>
    </row>
    <row customHeight="1" ht="15.75">
      <c r="A113" s="142">
        <v>3395</v>
      </c>
      <c r="B113" s="96">
        <v>3395</v>
      </c>
      <c r="C113" s="97"/>
    </row>
    <row customHeight="1" ht="15.75">
      <c r="A114" s="142">
        <v>5936</v>
      </c>
      <c r="B114" s="96">
        <v>5936</v>
      </c>
      <c r="C114" s="97"/>
    </row>
    <row customHeight="1" ht="15.600000000000001">
      <c r="A115" s="96"/>
      <c r="B115" s="96"/>
      <c r="C115" s="97"/>
    </row>
    <row customHeight="1" ht="15.75">
      <c r="A116" s="142">
        <v>390</v>
      </c>
      <c r="B116" s="96">
        <v>390.58</v>
      </c>
      <c r="C116" s="97"/>
    </row>
    <row customHeight="1" ht="15.75">
      <c r="A117" s="142">
        <v>331.66</v>
      </c>
      <c r="B117" s="96">
        <v>332</v>
      </c>
      <c r="C117" s="97"/>
    </row>
    <row customHeight="1" ht="15.75">
      <c r="A118" s="142">
        <v>4882</v>
      </c>
      <c r="B118" s="96">
        <v>3931</v>
      </c>
      <c r="C118" s="97"/>
    </row>
    <row customHeight="1" ht="15.600000000000001">
      <c r="A119" s="96"/>
      <c r="B119" s="96"/>
      <c r="C119" s="97"/>
    </row>
    <row customHeight="1" ht="15.75">
      <c r="A120" s="96">
        <v>265639</v>
      </c>
      <c r="B120" s="96"/>
      <c r="C120" s="97"/>
    </row>
    <row customHeight="1" ht="15.75">
      <c r="A121" s="96"/>
      <c r="B121" s="96"/>
      <c r="C121" s="97"/>
    </row>
    <row customHeight="1" ht="15.75">
      <c r="A122" s="96">
        <v>48009.78</v>
      </c>
      <c r="B122" s="96"/>
      <c r="C122" s="97"/>
    </row>
    <row customHeight="1" ht="15.600000000000001">
      <c r="A123" s="96"/>
      <c r="B123" s="96"/>
      <c r="C123" s="97"/>
    </row>
    <row customHeight="1" ht="15.75">
      <c r="A124" s="96">
        <v>24707</v>
      </c>
      <c r="B124" s="96"/>
      <c r="C124" s="97"/>
    </row>
    <row customHeight="1" ht="15.75">
      <c r="A125" s="96"/>
      <c r="B125" s="96"/>
      <c r="C125" s="97"/>
    </row>
    <row customHeight="1" ht="15.75">
      <c r="A126" s="96">
        <v>28990.22</v>
      </c>
      <c r="B126" s="96"/>
      <c r="C126" s="97"/>
    </row>
    <row customHeight="1" ht="15.75">
      <c r="A127" s="96" t="s">
        <v>6</v>
      </c>
      <c r="B127" s="96"/>
      <c r="C127" s="97"/>
    </row>
    <row customHeight="1" ht="15.75">
      <c r="A128" s="96">
        <v>0</v>
      </c>
      <c r="B128" s="96"/>
      <c r="C128" s="97"/>
    </row>
    <row customHeight="1" ht="15.75">
      <c r="A129" s="96">
        <v>14688</v>
      </c>
      <c r="B129" s="96"/>
      <c r="C129" s="97"/>
    </row>
    <row customHeight="1" ht="15.75">
      <c r="A130" s="141">
        <v>427</v>
      </c>
      <c r="B130" s="141"/>
      <c r="C130" s="97"/>
    </row>
    <row customHeight="1" ht="15.75">
      <c r="A131" s="96">
        <v>42674</v>
      </c>
      <c r="B131" s="96"/>
      <c r="C131" s="97"/>
    </row>
    <row customHeight="1" ht="15.75">
      <c r="A132" s="96">
        <v>27887</v>
      </c>
      <c r="B132" s="96"/>
      <c r="C132" s="97"/>
    </row>
    <row customHeight="1" ht="15.75">
      <c r="A133" s="96">
        <v>99188</v>
      </c>
      <c r="B133" s="96"/>
      <c r="C133" s="97"/>
    </row>
    <row customHeight="1" ht="15.75">
      <c r="A134" s="96">
        <v>16826</v>
      </c>
      <c r="B134" s="96"/>
      <c r="C134" s="97"/>
    </row>
    <row customHeight="1" ht="15.75">
      <c r="A135" s="96">
        <v>8809</v>
      </c>
      <c r="B135" s="96"/>
      <c r="C135" s="97"/>
    </row>
    <row customHeight="1" ht="15.75">
      <c r="A136" s="96">
        <v>39858</v>
      </c>
      <c r="B136" s="96"/>
      <c r="C136" s="97"/>
    </row>
    <row customHeight="1" ht="15.75">
      <c r="A137" s="96">
        <v>35569</v>
      </c>
      <c r="B137" s="96"/>
      <c r="C137" s="97"/>
    </row>
    <row customHeight="1" ht="15.75">
      <c r="A138" s="96">
        <v>7612</v>
      </c>
      <c r="B138" s="96"/>
      <c r="C138" s="97"/>
    </row>
    <row customHeight="1" ht="15.75">
      <c r="A139" s="96">
        <v>9857</v>
      </c>
      <c r="B139" s="96"/>
      <c r="C139" s="97"/>
    </row>
    <row customHeight="1" ht="15.75">
      <c r="A140" s="96">
        <v>27750</v>
      </c>
      <c r="B140" s="96"/>
      <c r="C140" s="97"/>
    </row>
    <row customHeight="1" ht="15.75">
      <c r="A141" s="96">
        <v>31235</v>
      </c>
      <c r="B141" s="96"/>
      <c r="C141" s="97"/>
    </row>
    <row customHeight="1" ht="15.75">
      <c r="A142" s="96">
        <v>3322</v>
      </c>
      <c r="B142" s="96"/>
      <c r="C142" s="97"/>
    </row>
    <row customHeight="1" ht="15.75">
      <c r="A143" s="96">
        <v>24353</v>
      </c>
      <c r="B143" s="96"/>
      <c r="C143" s="97"/>
    </row>
    <row customHeight="1" ht="15.75">
      <c r="A144" s="96">
        <v>19779</v>
      </c>
      <c r="B144" s="96"/>
      <c r="C144" s="97"/>
    </row>
    <row customHeight="1" ht="15.75">
      <c r="A145" s="96">
        <v>0</v>
      </c>
      <c r="B145" s="96"/>
      <c r="C145" s="97"/>
    </row>
    <row customHeight="1" ht="15.75">
      <c r="A146" s="96">
        <v>0</v>
      </c>
      <c r="B146" s="96"/>
      <c r="C146" s="97"/>
    </row>
    <row customHeight="1" ht="15.75">
      <c r="A147" s="96"/>
      <c r="B147" s="96"/>
      <c r="C147" s="97"/>
    </row>
    <row customHeight="1" ht="15.75">
      <c r="A148" s="96">
        <v>6405</v>
      </c>
      <c r="B148" s="96"/>
      <c r="C148" s="97"/>
    </row>
    <row customHeight="1" ht="15.75">
      <c r="A149" s="96">
        <v>3452</v>
      </c>
      <c r="B149" s="96"/>
      <c r="C149" s="97"/>
    </row>
    <row customHeight="1" ht="15.75">
      <c r="A150" s="96">
        <v>52469</v>
      </c>
      <c r="B150" s="96"/>
      <c r="C150" s="97"/>
    </row>
    <row customHeight="1" ht="15.75">
      <c r="A151" s="96">
        <v>34322</v>
      </c>
      <c r="B151" s="96"/>
      <c r="C151" s="97"/>
    </row>
    <row customHeight="1" ht="15.75">
      <c r="A152" s="96"/>
      <c r="B152" s="96"/>
      <c r="C152" s="97"/>
    </row>
    <row customHeight="1" ht="15.75">
      <c r="A153" s="96"/>
      <c r="B153" s="96"/>
      <c r="C153" s="97"/>
    </row>
    <row customHeight="1" ht="15.75">
      <c r="A154" s="96"/>
      <c r="B154" s="96"/>
      <c r="C154" s="97"/>
    </row>
    <row customHeight="1" ht="15.75">
      <c r="A155" s="96"/>
      <c r="B155" s="96"/>
      <c r="C155" s="97"/>
    </row>
    <row customHeight="1" ht="15.75">
      <c r="A156" s="96"/>
      <c r="B156" s="96"/>
      <c r="C156" s="97"/>
    </row>
    <row customHeight="1" ht="15.75">
      <c r="A157" s="96"/>
      <c r="B157" s="96" t="s">
        <v>92</v>
      </c>
      <c r="C157" s="97"/>
    </row>
    <row customHeight="1" ht="15.75">
      <c r="A158" s="142">
        <v>959</v>
      </c>
      <c r="B158" s="96">
        <v>0</v>
      </c>
      <c r="C158" s="97"/>
    </row>
    <row customHeight="1" ht="15.75">
      <c r="A159" s="142">
        <v>65</v>
      </c>
      <c r="B159" s="96">
        <v>65.42</v>
      </c>
      <c r="C159" s="97"/>
    </row>
    <row customHeight="1" ht="15.75">
      <c r="A160" s="143">
        <v>38178</v>
      </c>
      <c r="B160" s="96">
        <v>37517</v>
      </c>
      <c r="C160" s="97"/>
    </row>
    <row customHeight="1" ht="15.75">
      <c r="A161" s="96">
        <v>3300</v>
      </c>
      <c r="B161" s="96"/>
      <c r="C161" s="97"/>
    </row>
    <row customHeight="1" ht="15.75">
      <c r="A162" s="96"/>
      <c r="B162" s="96"/>
      <c r="C162" s="97"/>
    </row>
    <row customHeight="1" ht="15.75">
      <c r="A163" s="96"/>
      <c r="B163" s="96"/>
      <c r="C163" s="97"/>
    </row>
    <row customHeight="1" ht="15.75">
      <c r="A164" s="96"/>
      <c r="B164" s="96"/>
      <c r="C164" s="97"/>
    </row>
    <row customHeight="1" ht="15.75">
      <c r="A165" s="96"/>
      <c r="B165" s="96"/>
      <c r="C165" s="97"/>
    </row>
    <row customHeight="1" ht="15.75">
      <c r="A166" s="96"/>
      <c r="B166" s="96"/>
      <c r="C166" s="97"/>
    </row>
    <row customHeight="1" ht="15.75">
      <c r="A167" s="96"/>
      <c r="B167" s="96"/>
      <c r="C167" s="97"/>
    </row>
    <row customHeight="1" ht="15.75">
      <c r="A168" s="96"/>
      <c r="B168" s="96"/>
      <c r="C168" s="97"/>
    </row>
    <row customHeight="1" ht="15.75">
      <c r="A169" s="96"/>
      <c r="B169" s="96"/>
      <c r="C169" s="97"/>
    </row>
    <row customHeight="1" ht="15.75">
      <c r="A170" s="96"/>
      <c r="B170" s="96"/>
      <c r="C170" s="97"/>
    </row>
    <row customHeight="1" ht="15.75">
      <c r="A171" s="96"/>
      <c r="B171" s="96"/>
      <c r="C171" s="97"/>
    </row>
    <row customHeight="1" ht="15.75">
      <c r="A172" s="96"/>
      <c r="B172" s="96"/>
      <c r="C172" s="97"/>
    </row>
    <row customHeight="1" ht="15.75">
      <c r="A173" s="96"/>
      <c r="B173" s="96"/>
      <c r="C173" s="97"/>
    </row>
    <row customHeight="1" ht="15.75">
      <c r="A174" s="96"/>
      <c r="B174" s="96"/>
      <c r="C174" s="97"/>
    </row>
    <row customHeight="1" ht="15.75">
      <c r="A175" s="96"/>
      <c r="B175" s="96"/>
      <c r="C175" s="97"/>
    </row>
    <row customHeight="1" ht="15.75">
      <c r="A176" s="96"/>
      <c r="B176" s="96"/>
      <c r="C176" s="97"/>
    </row>
    <row customHeight="1" ht="15.75">
      <c r="A177" s="96"/>
      <c r="B177" s="96"/>
      <c r="C177" s="97"/>
    </row>
    <row customHeight="1" ht="15.75">
      <c r="A178" s="96">
        <v>1436</v>
      </c>
      <c r="B178" s="96"/>
      <c r="C178" s="97"/>
    </row>
    <row customHeight="1" ht="15.75">
      <c r="A179" s="96">
        <v>4528</v>
      </c>
      <c r="B179" s="96"/>
      <c r="C179" s="97"/>
    </row>
    <row customHeight="1" ht="15.75">
      <c r="A180" s="96">
        <v>949</v>
      </c>
      <c r="B180" s="96"/>
      <c r="C180" s="97"/>
    </row>
    <row customHeight="1" ht="15.75">
      <c r="A181" s="96">
        <v>238</v>
      </c>
      <c r="B181" s="96"/>
      <c r="C181" s="97"/>
    </row>
    <row customHeight="1" ht="15.75">
      <c r="A182" s="96">
        <v>316</v>
      </c>
      <c r="B182" s="96"/>
      <c r="C182" s="97"/>
    </row>
    <row customHeight="1" ht="15.75">
      <c r="A183" s="96">
        <v>733</v>
      </c>
      <c r="B183" s="96"/>
      <c r="C183" s="97"/>
    </row>
    <row customHeight="1" ht="15.75">
      <c r="A184" s="96">
        <v>108</v>
      </c>
      <c r="B184" s="96"/>
      <c r="C184" s="97"/>
    </row>
    <row customHeight="1" ht="15.75">
      <c r="A185" s="96" t="s">
        <v>8</v>
      </c>
      <c r="B185" s="96"/>
      <c r="C185" s="97"/>
    </row>
    <row customHeight="1" ht="15.75">
      <c r="A186" s="96">
        <v>0</v>
      </c>
      <c r="B186" s="96"/>
      <c r="C186" s="97"/>
    </row>
    <row customHeight="1" ht="15.75">
      <c r="A187" s="96">
        <v>7259.45300000001</v>
      </c>
      <c r="B187" s="96"/>
      <c r="C187" s="97"/>
    </row>
    <row customHeight="1" ht="15.75">
      <c r="A188" s="96">
        <v>5788.647</v>
      </c>
      <c r="B188" s="96">
        <v>42482.56</v>
      </c>
      <c r="C188" s="97"/>
    </row>
    <row customHeight="1" ht="15.75">
      <c r="A189" s="141">
        <v>0</v>
      </c>
      <c r="B189" s="141">
        <v>0</v>
      </c>
      <c r="C189" s="97"/>
    </row>
    <row customHeight="1" ht="15.75">
      <c r="A190" s="141">
        <v>0</v>
      </c>
      <c r="B190" s="141">
        <v>0</v>
      </c>
      <c r="C190" s="97"/>
    </row>
    <row customHeight="1" ht="15.75">
      <c r="A191" s="96">
        <v>80285.6</v>
      </c>
      <c r="B191" s="96"/>
      <c r="C191" s="97"/>
    </row>
    <row customHeight="1" ht="15.75">
      <c r="A192" s="96">
        <v>19714.4</v>
      </c>
      <c r="B192" s="96"/>
      <c r="C192" s="97"/>
    </row>
    <row customHeight="1" ht="15.75">
      <c r="A193" s="96">
        <v>29520</v>
      </c>
      <c r="B193" s="96"/>
      <c r="C193" s="97"/>
    </row>
    <row customHeight="1" ht="15.75">
      <c r="A194" s="96">
        <v>13511</v>
      </c>
      <c r="B194" s="96"/>
      <c r="C194" s="97"/>
    </row>
    <row customHeight="1" ht="15.75">
      <c r="A195" s="96">
        <v>4677.44</v>
      </c>
      <c r="B195" s="96"/>
      <c r="C195" s="97"/>
    </row>
    <row customHeight="1" ht="15.75">
      <c r="A196" s="96">
        <v>30663</v>
      </c>
      <c r="B196" s="96"/>
      <c r="C196" s="97"/>
    </row>
    <row customHeight="1" ht="15.75">
      <c r="A197" s="96">
        <v>19337</v>
      </c>
      <c r="B197" s="96"/>
      <c r="C197" s="97"/>
    </row>
    <row customHeight="1" ht="15.75">
      <c r="A198" s="96">
        <v>4039</v>
      </c>
      <c r="B198" s="96"/>
      <c r="C198" s="97"/>
    </row>
    <row customHeight="1" ht="15.75">
      <c r="A199" s="96">
        <v>2766</v>
      </c>
      <c r="B199" s="96"/>
      <c r="C199" s="97"/>
    </row>
    <row customHeight="1" ht="15.75">
      <c r="A200" s="96">
        <v>74515.76</v>
      </c>
      <c r="B200" s="96"/>
      <c r="C200" s="97"/>
    </row>
    <row customHeight="1" ht="15.75">
      <c r="A201" s="96">
        <v>4484.24000000001</v>
      </c>
      <c r="B201" s="96"/>
      <c r="C201" s="97"/>
    </row>
    <row customHeight="1" ht="15.75">
      <c r="A202" s="96">
        <v>416</v>
      </c>
      <c r="B202" s="96"/>
      <c r="C202" s="97"/>
    </row>
    <row customHeight="1" ht="15.75">
      <c r="A203" s="96">
        <v>4814.4</v>
      </c>
      <c r="B203" s="96"/>
      <c r="C203" s="97"/>
    </row>
    <row customHeight="1" ht="15.75">
      <c r="A204" s="96">
        <v>1185.6</v>
      </c>
      <c r="B204" s="96"/>
      <c r="C204" s="97"/>
    </row>
    <row customHeight="1" ht="15.75">
      <c r="A205" s="96">
        <v>4096</v>
      </c>
      <c r="B205" s="96"/>
      <c r="C205" s="97"/>
    </row>
    <row customHeight="1" ht="15.75">
      <c r="A206" s="96">
        <v>5346</v>
      </c>
      <c r="B206" s="96"/>
      <c r="C206" s="97"/>
    </row>
    <row customHeight="1" ht="15.75">
      <c r="A207" s="96">
        <v>86181.65</v>
      </c>
      <c r="B207" s="96"/>
      <c r="C207" s="97"/>
    </row>
    <row customHeight="1" ht="15.75">
      <c r="A208" s="96">
        <v>0</v>
      </c>
      <c r="B208" s="96"/>
      <c r="C208" s="97"/>
    </row>
    <row customHeight="1" ht="15.75">
      <c r="A209" s="96">
        <v>192.9</v>
      </c>
      <c r="B209" s="96"/>
      <c r="C209" s="97"/>
    </row>
    <row customHeight="1" ht="15.75">
      <c r="A210" s="96">
        <v>6959</v>
      </c>
      <c r="B210" s="96"/>
      <c r="C210" s="97"/>
    </row>
    <row customHeight="1" ht="15.75">
      <c r="A211" s="96">
        <v>8041</v>
      </c>
      <c r="B211" s="96"/>
      <c r="C211" s="97"/>
    </row>
    <row customHeight="1" ht="15.75">
      <c r="A212" s="96">
        <v>0</v>
      </c>
      <c r="B212" s="96"/>
      <c r="C212" s="97"/>
    </row>
    <row customHeight="1" ht="15.75">
      <c r="A213" s="96">
        <v>1220</v>
      </c>
      <c r="B213" s="96"/>
      <c r="C213" s="97"/>
    </row>
    <row customHeight="1" ht="15.75">
      <c r="A214" s="96">
        <v>0</v>
      </c>
      <c r="B214" s="96"/>
      <c r="C214" s="97"/>
    </row>
    <row customHeight="1" ht="15.75">
      <c r="A215" s="142">
        <v>731</v>
      </c>
      <c r="B215" s="96">
        <v>731</v>
      </c>
      <c r="C215" s="97"/>
    </row>
    <row customHeight="1" ht="15.75">
      <c r="A216" s="142">
        <v>1905</v>
      </c>
      <c r="B216" s="96">
        <v>958</v>
      </c>
      <c r="C216" s="97"/>
    </row>
    <row customHeight="1" ht="15.75">
      <c r="A217" s="142">
        <v>6723.99</v>
      </c>
      <c r="B217" s="96">
        <v>6723</v>
      </c>
      <c r="C217" s="97"/>
    </row>
    <row customHeight="1" ht="15.75">
      <c r="A218" s="96">
        <v>4276.01</v>
      </c>
      <c r="B218" s="96"/>
      <c r="C218" s="97"/>
    </row>
    <row customHeight="1" ht="15.75">
      <c r="A219" s="96" t="s">
        <v>93</v>
      </c>
      <c r="B219" s="96"/>
      <c r="C219" s="97"/>
    </row>
    <row customHeight="1" ht="15.75">
      <c r="A220" s="96">
        <v>236.55</v>
      </c>
      <c r="B220" s="144"/>
      <c r="C220" s="97"/>
    </row>
    <row customHeight="1" ht="15.75">
      <c r="A221" s="96"/>
      <c r="B221" s="144"/>
      <c r="C221" s="97"/>
    </row>
    <row customHeight="1" ht="15.75">
      <c r="A222" s="96">
        <v>226.98</v>
      </c>
      <c r="B222" s="144"/>
      <c r="C222" s="97"/>
    </row>
    <row customHeight="1" ht="15.75">
      <c r="A223" s="96">
        <v>2158.86</v>
      </c>
      <c r="B223" s="144"/>
      <c r="C223" s="97"/>
    </row>
    <row customHeight="1" ht="15.75">
      <c r="A224" s="96"/>
      <c r="B224" s="144"/>
      <c r="C224" s="97"/>
    </row>
    <row customHeight="1" ht="15.75">
      <c r="A225" s="96">
        <v>178</v>
      </c>
      <c r="B225" s="144"/>
      <c r="C225" s="97"/>
    </row>
    <row customHeight="1" ht="15.75">
      <c r="A226" s="96"/>
      <c r="B226" s="144"/>
      <c r="C226" s="97"/>
    </row>
    <row customHeight="1" ht="15.75">
      <c r="A227" s="96"/>
      <c r="B227" s="144"/>
      <c r="C227" s="97"/>
    </row>
    <row customHeight="1" ht="15.75">
      <c r="A228" s="96">
        <v>19.4</v>
      </c>
      <c r="B228" s="144"/>
      <c r="C228" s="97"/>
    </row>
    <row customHeight="1" ht="15.75">
      <c r="A229" s="96"/>
      <c r="B229" s="144"/>
      <c r="C229" s="97"/>
    </row>
    <row customHeight="1" ht="15.75">
      <c r="A230" s="96"/>
      <c r="B230" s="144"/>
      <c r="C230" s="97"/>
    </row>
    <row customHeight="1" ht="15.75">
      <c r="A231" s="96">
        <f>SUM(B231:B233)</f>
        <v>2645.42</v>
      </c>
      <c r="B231" s="96">
        <v>2645.42</v>
      </c>
      <c r="C231" s="97"/>
    </row>
    <row customHeight="1" ht="15.75">
      <c r="A232" s="96"/>
      <c r="B232" s="96"/>
      <c r="C232" s="97"/>
    </row>
    <row customHeight="1" ht="15.75">
      <c r="A233" s="96"/>
      <c r="B233" s="144"/>
      <c r="C233" s="97"/>
    </row>
    <row customHeight="1" ht="15.75">
      <c r="A234" s="144">
        <v>223.72</v>
      </c>
      <c r="B234" s="144"/>
      <c r="C234" s="97"/>
    </row>
    <row customHeight="1" ht="15.75">
      <c r="A235" s="144">
        <v>32.68</v>
      </c>
      <c r="B235" s="144"/>
      <c r="C235" s="97"/>
    </row>
    <row customHeight="1" ht="15.75">
      <c r="A236" s="96"/>
      <c r="B236" s="144"/>
      <c r="C236" s="97"/>
    </row>
    <row customHeight="1" ht="15.75">
      <c r="A237" s="96"/>
      <c r="B237" s="144"/>
      <c r="C237" s="97"/>
    </row>
    <row customHeight="1" ht="15.75">
      <c r="A238" s="96"/>
      <c r="B238" s="144"/>
      <c r="C238" s="97"/>
    </row>
    <row customHeight="1" ht="15.75">
      <c r="A239" s="96">
        <v>5569.14</v>
      </c>
      <c r="B239" s="144"/>
      <c r="C239" s="97"/>
    </row>
    <row customHeight="1" ht="15.75">
      <c r="A240" s="96"/>
      <c r="B240" s="144"/>
      <c r="C240" s="97"/>
    </row>
    <row customHeight="1" ht="15.75">
      <c r="A241" s="96"/>
      <c r="B241" s="144"/>
      <c r="C241" s="97"/>
    </row>
    <row customHeight="1" ht="15.75">
      <c r="A242" s="144">
        <v>0</v>
      </c>
      <c r="B242" s="96"/>
      <c r="C242" s="97"/>
    </row>
    <row customHeight="1" ht="15.75">
      <c r="A243" s="144"/>
      <c r="B243" s="96"/>
      <c r="C243" s="97"/>
    </row>
    <row customHeight="1" ht="15.75">
      <c r="A244" s="144">
        <v>1002.16928</v>
      </c>
      <c r="B244" s="96"/>
      <c r="C244" s="97"/>
    </row>
    <row customHeight="1" ht="15.75">
      <c r="A245" s="144">
        <v>718</v>
      </c>
      <c r="B245" s="96"/>
      <c r="C245" s="97"/>
    </row>
    <row customHeight="1" ht="15.75">
      <c r="A246" s="96"/>
      <c r="B246" s="96"/>
      <c r="C246" s="97"/>
    </row>
    <row customHeight="1" ht="15.75">
      <c r="A247" s="96" t="s">
        <v>28</v>
      </c>
      <c r="B247" s="96"/>
      <c r="C247" s="97"/>
    </row>
    <row customHeight="1" ht="15.75">
      <c r="A248" s="142">
        <v>1757</v>
      </c>
      <c r="B248" s="96"/>
      <c r="C248" s="97"/>
    </row>
    <row customHeight="1" ht="15.75">
      <c r="A249" s="142">
        <v>465</v>
      </c>
      <c r="B249" s="96"/>
      <c r="C249" s="97"/>
    </row>
    <row customHeight="1" ht="15.75">
      <c r="A250" s="142">
        <v>352</v>
      </c>
      <c r="B250" s="96"/>
      <c r="C250" s="97"/>
    </row>
    <row customHeight="1" ht="15.75">
      <c r="A251" s="142">
        <v>627</v>
      </c>
      <c r="B251" s="96"/>
      <c r="C251" s="97"/>
    </row>
    <row customHeight="1" ht="15.75">
      <c r="A252" s="142">
        <v>1890.827</v>
      </c>
      <c r="B252" s="96"/>
      <c r="C252" s="97"/>
    </row>
    <row customHeight="1" ht="15.75">
      <c r="A253" s="142">
        <v>604</v>
      </c>
      <c r="B253" s="96"/>
      <c r="C253" s="97"/>
    </row>
    <row customHeight="1" ht="15.75">
      <c r="A254" s="142">
        <v>164</v>
      </c>
      <c r="B254" s="96"/>
      <c r="C254" s="97"/>
    </row>
    <row customHeight="1" ht="15.75">
      <c r="A255" s="142">
        <v>671</v>
      </c>
      <c r="B255" s="96"/>
      <c r="C255" s="97"/>
    </row>
    <row customHeight="1" ht="15.75">
      <c r="A256" s="96" t="s">
        <v>94</v>
      </c>
      <c r="B256" s="96"/>
      <c r="C256" s="97"/>
    </row>
    <row customHeight="1" ht="15.75">
      <c r="A257" s="96">
        <v>1.4</v>
      </c>
      <c r="B257" s="96"/>
      <c r="C257" s="97"/>
    </row>
    <row customHeight="1" ht="15.75">
      <c r="A258" s="96">
        <v>0</v>
      </c>
      <c r="B258" s="96"/>
      <c r="C258" s="97"/>
    </row>
    <row customHeight="1" ht="15.75">
      <c r="A259" s="96">
        <v>0</v>
      </c>
      <c r="B259" s="96"/>
      <c r="C259" s="97"/>
    </row>
    <row customHeight="1" ht="15.75">
      <c r="A260" s="96">
        <v>587</v>
      </c>
      <c r="B260" s="96"/>
      <c r="C260" s="97"/>
    </row>
    <row customHeight="1" ht="15.75">
      <c r="A261" s="96"/>
      <c r="B261" s="96"/>
      <c r="C261" s="97"/>
    </row>
    <row customHeight="1" ht="15.75">
      <c r="A262" s="96">
        <v>61.02</v>
      </c>
      <c r="B262" s="96"/>
      <c r="C262" s="97"/>
    </row>
    <row customHeight="1" ht="15.75">
      <c r="A263" s="96">
        <v>369</v>
      </c>
      <c r="B263" s="96"/>
      <c r="C263" s="97"/>
    </row>
    <row customHeight="1" ht="15.75">
      <c r="A264" s="96">
        <v>873</v>
      </c>
      <c r="B264" s="96"/>
      <c r="C264" s="97"/>
    </row>
    <row customHeight="1" ht="15.75">
      <c r="A265" s="96">
        <v>2469</v>
      </c>
      <c r="B265" s="96"/>
      <c r="C265" s="97"/>
    </row>
    <row customHeight="1" ht="15.75">
      <c r="A266" s="96"/>
      <c r="B266" s="96"/>
      <c r="C266" s="97"/>
    </row>
    <row customHeight="1" ht="15.75">
      <c r="A267" s="96">
        <v>72.79</v>
      </c>
      <c r="B267" s="96"/>
      <c r="C267" s="97"/>
    </row>
    <row customHeight="1" ht="15.75">
      <c r="A268" s="96">
        <v>467</v>
      </c>
      <c r="B268" s="96"/>
      <c r="C268" s="97"/>
    </row>
    <row customHeight="1" ht="15.75">
      <c r="A269" s="96">
        <v>750</v>
      </c>
      <c r="B269" s="96"/>
      <c r="C269" s="97"/>
    </row>
    <row customHeight="1" ht="15.75">
      <c r="A270" s="96">
        <v>2918</v>
      </c>
      <c r="B270" s="96"/>
      <c r="C270" s="97"/>
    </row>
    <row customHeight="1" ht="15.75">
      <c r="A271" s="96"/>
      <c r="B271" s="96"/>
      <c r="C271" s="97"/>
    </row>
    <row customHeight="1" ht="15.75">
      <c r="A272" s="96"/>
      <c r="B272" s="96"/>
      <c r="C272" s="97"/>
    </row>
    <row customHeight="1" ht="15.75">
      <c r="A273" s="96">
        <v>121.68</v>
      </c>
      <c r="B273" s="96"/>
      <c r="C273" s="97"/>
    </row>
    <row customHeight="1" ht="15.75">
      <c r="A274" s="96">
        <v>762</v>
      </c>
      <c r="B274" s="96"/>
      <c r="C274" s="97"/>
    </row>
    <row customHeight="1" ht="15.75">
      <c r="A275" s="96">
        <v>1830</v>
      </c>
      <c r="B275" s="96"/>
      <c r="C275" s="97"/>
    </row>
    <row customHeight="1" ht="15.75">
      <c r="A276" s="96">
        <v>4887</v>
      </c>
      <c r="B276" s="96"/>
      <c r="C276" s="97"/>
    </row>
    <row customHeight="1" ht="15.75">
      <c r="A277" s="96"/>
      <c r="B277" s="96"/>
      <c r="C277" s="97"/>
    </row>
    <row customHeight="1" ht="15.75">
      <c r="A278" s="96">
        <v>83.42</v>
      </c>
      <c r="B278" s="96"/>
      <c r="C278" s="97"/>
    </row>
    <row customHeight="1" ht="15.75">
      <c r="A279" s="96">
        <v>521</v>
      </c>
      <c r="B279" s="96"/>
      <c r="C279" s="97"/>
    </row>
    <row customHeight="1" ht="15.75">
      <c r="A280" s="96">
        <v>646</v>
      </c>
      <c r="B280" s="96"/>
      <c r="C280" s="97"/>
    </row>
    <row customHeight="1" ht="15.75">
      <c r="A281" s="96">
        <v>2351</v>
      </c>
      <c r="B281" s="96"/>
      <c r="C281" s="97"/>
    </row>
    <row customHeight="1" ht="15.75">
      <c r="A282" s="96"/>
      <c r="B282" s="96"/>
      <c r="C282" s="97"/>
    </row>
    <row customHeight="1" ht="15.75">
      <c r="A283" s="96">
        <v>928</v>
      </c>
      <c r="B283" s="96"/>
      <c r="C283" s="97"/>
    </row>
    <row customHeight="1" ht="15.75">
      <c r="A284" s="96">
        <v>2712</v>
      </c>
      <c r="B284" s="96"/>
      <c r="C284" s="97"/>
    </row>
    <row customHeight="1" ht="15.75">
      <c r="A285" s="96">
        <v>3218</v>
      </c>
      <c r="B285" s="96"/>
      <c r="C285" s="97"/>
    </row>
    <row customHeight="1" ht="15.75">
      <c r="A286" s="96">
        <v>4771</v>
      </c>
      <c r="B286" s="96"/>
      <c r="C286" s="97"/>
    </row>
    <row customHeight="1" ht="15.75">
      <c r="A287" s="96">
        <v>3597</v>
      </c>
      <c r="B287" s="96"/>
      <c r="C287" s="97"/>
    </row>
    <row customHeight="1" ht="15.75">
      <c r="A288" s="96" t="s">
        <v>7</v>
      </c>
      <c r="B288" s="96"/>
      <c r="C288" s="97"/>
    </row>
    <row customHeight="1" ht="15.75">
      <c r="A289" s="96">
        <v>9800</v>
      </c>
      <c r="B289" s="96"/>
      <c r="C289" s="97"/>
    </row>
    <row customHeight="1" ht="15.75">
      <c r="A290" s="96">
        <v>0</v>
      </c>
      <c r="B290" s="96"/>
      <c r="C290" s="97"/>
    </row>
    <row customHeight="1" ht="15.75">
      <c r="A291" s="96">
        <v>9800</v>
      </c>
      <c r="B291" s="96"/>
      <c r="C291" s="97"/>
    </row>
    <row customHeight="1" ht="15.75">
      <c r="A292" s="96"/>
      <c r="B292" s="96"/>
      <c r="C292" s="97"/>
    </row>
    <row customHeight="1" ht="15.75">
      <c r="A293" s="96">
        <v>27769</v>
      </c>
      <c r="B293" s="96"/>
      <c r="C293" s="97"/>
    </row>
    <row customHeight="1" ht="15.75">
      <c r="A294" s="96">
        <v>113000</v>
      </c>
      <c r="B294" s="96"/>
      <c r="C294" s="97"/>
    </row>
    <row customHeight="1" ht="15.75">
      <c r="A295" s="96"/>
      <c r="B295" s="96"/>
      <c r="C295" s="97"/>
    </row>
    <row customHeight="1" ht="15.75">
      <c r="A296" s="96">
        <v>12261</v>
      </c>
      <c r="B296" s="96"/>
      <c r="C296" s="97"/>
    </row>
    <row customHeight="1" ht="15.75">
      <c r="A297" s="96">
        <f>SUM(B297:B298)</f>
        <v>8574</v>
      </c>
      <c r="B297" s="96">
        <v>4821</v>
      </c>
      <c r="C297" s="97"/>
    </row>
    <row customHeight="1" ht="15.75">
      <c r="A298" s="96"/>
      <c r="B298" s="96">
        <v>3753</v>
      </c>
      <c r="C298" s="97"/>
    </row>
    <row customHeight="1" ht="15.75">
      <c r="A299" s="96"/>
      <c r="B299" s="96"/>
      <c r="C299" s="97"/>
    </row>
    <row customHeight="1" ht="15.75">
      <c r="A300" s="96"/>
      <c r="B300" s="96"/>
      <c r="C300" s="97"/>
    </row>
    <row customHeight="1" ht="15.75">
      <c r="A301" s="96"/>
      <c r="B301" s="96"/>
      <c r="C301" s="97"/>
    </row>
    <row customHeight="1" ht="15.75">
      <c r="A302" s="96">
        <v>14605</v>
      </c>
      <c r="B302" s="96">
        <v>186.86</v>
      </c>
      <c r="C302" s="97"/>
    </row>
    <row customHeight="1" ht="15.75">
      <c r="A303" s="96">
        <v>39000</v>
      </c>
      <c r="B303" s="96">
        <v>1810</v>
      </c>
      <c r="C303" s="97"/>
    </row>
    <row customHeight="1" ht="15.75">
      <c r="A304" s="96"/>
      <c r="B304" s="96"/>
      <c r="C304" s="97"/>
    </row>
    <row customHeight="1" ht="15.75">
      <c r="A305" s="96">
        <v>2596</v>
      </c>
      <c r="B305" s="96"/>
      <c r="C305" s="97"/>
    </row>
    <row customHeight="1" ht="15.75">
      <c r="A306" s="96">
        <f>SUM(B302:B303)</f>
        <v>1996.86</v>
      </c>
      <c r="B306" s="96"/>
      <c r="C306" s="97"/>
    </row>
    <row customHeight="1" ht="15.75">
      <c r="A307" s="96">
        <f>SUM(B307:B308)</f>
        <v>19899</v>
      </c>
      <c r="B307" s="96">
        <v>8078</v>
      </c>
      <c r="C307" s="97"/>
    </row>
    <row customHeight="1" ht="15.75">
      <c r="A308" s="96"/>
      <c r="B308" s="96">
        <v>11821</v>
      </c>
      <c r="C308" s="97"/>
    </row>
    <row customHeight="1" ht="15.75">
      <c r="A309" s="96">
        <f>SUM(B309:B310)</f>
        <v>22200</v>
      </c>
      <c r="B309" s="96">
        <v>12000</v>
      </c>
      <c r="C309" s="97"/>
    </row>
    <row customHeight="1" ht="15.75">
      <c r="A310" s="96"/>
      <c r="B310" s="96">
        <v>10200</v>
      </c>
      <c r="C310" s="97"/>
    </row>
    <row customHeight="1" ht="15.75">
      <c r="A311" s="96">
        <v>2495</v>
      </c>
      <c r="B311" s="96"/>
      <c r="C311" s="97"/>
    </row>
    <row customHeight="1" ht="15.600000000000001">
      <c r="A312" s="96"/>
      <c r="B312" s="96"/>
      <c r="C312" s="97"/>
    </row>
    <row customHeight="1" ht="15.75">
      <c r="A313" s="96">
        <f>SUM(B313:B314)</f>
        <v>1641.94</v>
      </c>
      <c r="B313" s="96">
        <v>59.94</v>
      </c>
      <c r="C313" s="97"/>
    </row>
    <row customHeight="1" ht="15.75">
      <c r="A314" s="96"/>
      <c r="B314" s="96">
        <v>1582</v>
      </c>
      <c r="C314" s="97"/>
    </row>
    <row customHeight="1" ht="15.75">
      <c r="A315" s="96">
        <f>SUM(B315:B316)</f>
        <v>22712</v>
      </c>
      <c r="B315" s="96">
        <v>14159</v>
      </c>
      <c r="C315" s="97"/>
    </row>
    <row customHeight="1" ht="15.75">
      <c r="A316" s="96"/>
      <c r="B316" s="96">
        <v>8553</v>
      </c>
      <c r="C316" s="97"/>
    </row>
    <row customHeight="1" ht="15.75">
      <c r="A317" s="96">
        <f>SUM(B317:B318)</f>
        <v>24000</v>
      </c>
      <c r="B317" s="96">
        <v>13500</v>
      </c>
      <c r="C317" s="97"/>
    </row>
    <row customHeight="1" ht="15.75">
      <c r="A318" s="96"/>
      <c r="B318" s="96">
        <v>10500</v>
      </c>
      <c r="C318" s="97"/>
    </row>
    <row customHeight="1" ht="15.600000000000001">
      <c r="A319" s="96"/>
      <c r="B319" s="96"/>
      <c r="C319" s="97"/>
    </row>
    <row customHeight="1" ht="15.600000000000001">
      <c r="A320" s="96"/>
      <c r="B320" s="96"/>
      <c r="C320" s="97"/>
    </row>
    <row customHeight="1" ht="15.75">
      <c r="A321" s="96"/>
      <c r="B321" s="96"/>
      <c r="C321" s="97"/>
    </row>
    <row customHeight="1" ht="15.75">
      <c r="A322" s="96">
        <v>892.12</v>
      </c>
      <c r="B322" s="96"/>
      <c r="C322" s="97"/>
    </row>
    <row customHeight="1" ht="15.75">
      <c r="A323" s="96"/>
      <c r="B323" s="96"/>
      <c r="C323" s="97"/>
    </row>
    <row customHeight="1" ht="15.75">
      <c r="A324" s="96">
        <v>5434</v>
      </c>
      <c r="B324" s="96"/>
      <c r="C324" s="97"/>
    </row>
    <row customHeight="1" ht="15.75">
      <c r="A325" s="96"/>
      <c r="B325" s="96"/>
      <c r="C325" s="97"/>
    </row>
    <row customHeight="1" ht="15.75">
      <c r="A326" s="96">
        <v>10500</v>
      </c>
      <c r="B326" s="96"/>
      <c r="C326" s="97"/>
    </row>
    <row customHeight="1" ht="15.75">
      <c r="A327" s="96"/>
      <c r="B327" s="96"/>
      <c r="C327" s="97"/>
    </row>
    <row customHeight="1" ht="15.75">
      <c r="A328" s="142">
        <v>473</v>
      </c>
      <c r="B328" s="96">
        <v>473</v>
      </c>
      <c r="C328" s="97"/>
    </row>
    <row customHeight="1" ht="15.75">
      <c r="A329" s="96"/>
      <c r="B329" s="96"/>
      <c r="C329" s="97"/>
    </row>
    <row customHeight="1" ht="15.75">
      <c r="A330" s="142">
        <v>0</v>
      </c>
      <c r="B330" s="96">
        <v>0</v>
      </c>
      <c r="C330" s="97"/>
    </row>
    <row customHeight="1" ht="15.75">
      <c r="A331" s="96"/>
      <c r="B331" s="96"/>
      <c r="C331" s="97"/>
    </row>
    <row customHeight="1" ht="15.75">
      <c r="A332" s="142">
        <v>10985</v>
      </c>
      <c r="B332" s="96">
        <v>10795</v>
      </c>
      <c r="C332" s="97"/>
    </row>
    <row customHeight="1" ht="15.75">
      <c r="A333" s="96">
        <v>12800</v>
      </c>
      <c r="B333" s="96"/>
      <c r="C333" s="97"/>
    </row>
    <row customHeight="1" ht="15.600000000000001">
      <c r="A334" s="96"/>
      <c r="B334" s="96"/>
      <c r="C334" s="97"/>
    </row>
    <row customHeight="1" ht="15.75">
      <c r="A335" s="96">
        <v>622</v>
      </c>
      <c r="B335" s="96"/>
      <c r="C335" s="97"/>
    </row>
    <row customHeight="1" ht="15.75">
      <c r="A336" s="96">
        <v>2360</v>
      </c>
      <c r="B336" s="96"/>
      <c r="C336" s="97"/>
    </row>
    <row customHeight="1" ht="15.600000000000001">
      <c r="A337" s="96"/>
      <c r="B337" s="96"/>
      <c r="C337" s="97"/>
    </row>
    <row customHeight="1" ht="15.75">
      <c r="A338" s="96"/>
      <c r="B338" s="96"/>
      <c r="C338" s="97"/>
    </row>
    <row customHeight="1" ht="15.75">
      <c r="A339" s="96" t="s">
        <v>95</v>
      </c>
      <c r="B339" s="96"/>
      <c r="C339" s="97"/>
    </row>
    <row customHeight="1" ht="15.600000000000001">
      <c r="A340" s="96"/>
      <c r="B340" s="96"/>
      <c r="C340" s="97"/>
    </row>
    <row customHeight="1" ht="15.75">
      <c r="A341" s="96">
        <v>40737</v>
      </c>
      <c r="B341" s="96"/>
      <c r="C341" s="97"/>
    </row>
    <row customHeight="1" ht="15.75">
      <c r="A342" s="96">
        <v>29279</v>
      </c>
      <c r="B342" s="96"/>
      <c r="C342" s="97"/>
    </row>
    <row customHeight="1" ht="15.600000000000001">
      <c r="A343" s="96"/>
      <c r="B343" s="96"/>
      <c r="C343" s="97"/>
    </row>
    <row customHeight="1" ht="15.75">
      <c r="A344" s="96">
        <v>644000</v>
      </c>
      <c r="B344" s="96"/>
      <c r="C344" s="97"/>
    </row>
    <row customHeight="1" ht="15.75">
      <c r="A345" s="96"/>
      <c r="B345" s="96"/>
      <c r="C345" s="97"/>
    </row>
    <row customHeight="1" ht="15.75">
      <c r="A346" s="96"/>
      <c r="B346" s="96"/>
      <c r="C346" s="97"/>
    </row>
    <row customHeight="1" ht="15.600000000000001">
      <c r="A347" s="96"/>
      <c r="B347" s="96"/>
      <c r="C347" s="97"/>
    </row>
    <row customHeight="1" ht="15.75">
      <c r="A348" s="96">
        <v>3431</v>
      </c>
      <c r="B348" s="96"/>
      <c r="C348" s="97"/>
    </row>
    <row customHeight="1" ht="15.600000000000001">
      <c r="A349" s="96"/>
      <c r="B349" s="96"/>
      <c r="C349" s="97"/>
    </row>
    <row customHeight="1" ht="15.75">
      <c r="A350" s="96">
        <v>117720</v>
      </c>
      <c r="B350" s="96"/>
      <c r="C350" s="97"/>
    </row>
    <row customHeight="1" ht="15.75">
      <c r="A351" s="96">
        <v>62067</v>
      </c>
      <c r="B351" s="96"/>
      <c r="C351" s="97"/>
    </row>
    <row customHeight="1" ht="15.75">
      <c r="A352" s="96">
        <v>94349</v>
      </c>
      <c r="B352" s="96"/>
      <c r="C352" s="97"/>
    </row>
    <row customHeight="1" ht="15.600000000000001">
      <c r="A353" s="96"/>
      <c r="B353" s="96"/>
      <c r="C353" s="97"/>
    </row>
    <row customHeight="1" ht="15.75">
      <c r="A354" s="96">
        <v>61644</v>
      </c>
      <c r="B354" s="96"/>
      <c r="C354" s="97"/>
    </row>
    <row customHeight="1" ht="15.75">
      <c r="A355" s="96">
        <v>24621</v>
      </c>
      <c r="B355" s="96"/>
      <c r="C355" s="97"/>
    </row>
    <row customHeight="1" ht="15.75">
      <c r="A356" s="96">
        <v>30175</v>
      </c>
      <c r="B356" s="96"/>
      <c r="C356" s="97"/>
    </row>
    <row customHeight="1" ht="15.600000000000001">
      <c r="A357" s="96"/>
      <c r="B357" s="96"/>
      <c r="C357" s="97"/>
    </row>
    <row customHeight="1" ht="15.600000000000001">
      <c r="A358" s="96"/>
      <c r="B358" s="96"/>
      <c r="C358" s="97"/>
    </row>
    <row customHeight="1" ht="15.75">
      <c r="A359" s="96">
        <v>27887</v>
      </c>
      <c r="B359" s="96"/>
      <c r="C359" s="97"/>
    </row>
    <row customHeight="1" ht="15.600000000000001">
      <c r="A360" s="96"/>
      <c r="B360" s="96"/>
      <c r="C360" s="97"/>
    </row>
    <row customHeight="1" ht="15.75">
      <c r="A361" s="96" t="s">
        <v>96</v>
      </c>
      <c r="B361" s="96"/>
      <c r="C361" s="97"/>
    </row>
    <row customHeight="1" ht="15.75">
      <c r="A362" s="145">
        <v>677.02</v>
      </c>
      <c r="B362" s="96"/>
      <c r="C362" s="97"/>
    </row>
    <row customHeight="1" ht="15.75">
      <c r="A363" s="145">
        <v>4731.32</v>
      </c>
      <c r="B363" s="96"/>
      <c r="C363" s="97"/>
    </row>
    <row customHeight="1" ht="15.75">
      <c r="A364" s="96" t="s">
        <v>97</v>
      </c>
      <c r="B364" s="96"/>
      <c r="C364" s="97"/>
    </row>
    <row customHeight="1" ht="15.75">
      <c r="A365" s="145">
        <v>4731.32</v>
      </c>
      <c r="B365" s="96"/>
      <c r="C365" s="97"/>
    </row>
    <row customHeight="1" ht="15.75">
      <c r="A366" s="96" t="s">
        <v>81</v>
      </c>
      <c r="B366" s="96"/>
      <c r="C366" s="97"/>
    </row>
    <row customHeight="1" ht="15.75">
      <c r="A367" s="145"/>
      <c r="B367" s="96"/>
      <c r="C367" s="97"/>
    </row>
    <row customHeight="1" ht="15.75">
      <c r="A368" s="145"/>
      <c r="B368" s="96"/>
      <c r="C368" s="97"/>
    </row>
    <row customHeight="1" ht="15.75">
      <c r="A369" s="145"/>
      <c r="B369" s="96"/>
      <c r="C369" s="97"/>
    </row>
    <row customHeight="1" ht="15.75">
      <c r="A370" s="145"/>
      <c r="B370" s="96"/>
      <c r="C370" s="97"/>
    </row>
    <row customHeight="1" ht="15.75">
      <c r="A371" s="145"/>
      <c r="B371" s="96"/>
      <c r="C371" s="97"/>
    </row>
  </sheetData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生产信息简表</vt:lpstr>
      <vt:lpstr>取值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王高峰</cp:lastModifiedBy>
  <dcterms:created xsi:type="dcterms:W3CDTF">2020-07-08T00:23:00Z</dcterms:created>
  <dcterms:modified xsi:type="dcterms:W3CDTF">2025-07-24T14:08:20Z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B13736011F13442AB35DF115609CCDEE</vt:lpwstr>
  </property>
  <property fmtid="{D5CDD505-2E9C-101B-9397-08002B2CF9AE}" pid="4" name="KSOReadingLayout">
    <vt:bool>true</vt:bool>
  </property>
</Properties>
</file>