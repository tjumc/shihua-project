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完成情况统计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10" authorId="0">
      <text>
        <r>
          <rPr>
            <sz val="9"/>
            <color indexed="81"/>
            <rFont val="宋体"/>
            <family val="2"/>
          </rPr>
          <t xml:space="preserve">#Input("炼化公司全年生产任务完成情况统计_烷基化装置加工量_月计划",":key{{dw}}")
</t>
        </r>
      </text>
    </comment>
    <comment ref="H16" authorId="0">
      <text>
        <r>
          <rPr>
            <sz val="9"/>
            <color indexed="81"/>
            <rFont val="宋体"/>
            <family val="2"/>
          </rPr>
          <t xml:space="preserve">#Input("炼化公司全年生产任务完成情况统计_0#_年计划",":key{{dw}}")
</t>
        </r>
      </text>
    </comment>
    <comment ref="H17" authorId="0">
      <text>
        <r>
          <rPr>
            <sz val="9"/>
            <color indexed="81"/>
            <rFont val="宋体"/>
            <family val="2"/>
          </rPr>
          <t xml:space="preserve">#Input("炼化公司全年生产任务完成情况统计_10#_年计划",":key{{dw}}")
</t>
        </r>
      </text>
    </comment>
    <comment ref="H18" authorId="0">
      <text>
        <r>
          <rPr>
            <sz val="9"/>
            <color indexed="81"/>
            <rFont val="宋体"/>
            <family val="2"/>
          </rPr>
          <t xml:space="preserve">#Input("炼化公司全年生产任务完成情况统计_20#_年计划",":key{{dw}}")
</t>
        </r>
      </text>
    </comment>
    <comment ref="C32" authorId="0">
      <text>
        <r>
          <rPr>
            <sz val="9"/>
            <color indexed="81"/>
            <rFont val="宋体"/>
            <family val="2"/>
          </rPr>
          <t xml:space="preserve">#Input("全年生产任务情况统计_炼化公司_备注1",":key{{dw}}")
</t>
        </r>
      </text>
    </comment>
    <comment ref="C33" authorId="0">
      <text>
        <r>
          <rPr>
            <sz val="9"/>
            <color indexed="81"/>
            <rFont val="宋体"/>
            <family val="2"/>
          </rPr>
          <t>#Input("全年生产任务情况统计_炼化公司_备注2",":key{{dw}}")</t>
        </r>
      </text>
    </comment>
    <comment ref="C34" authorId="0">
      <text>
        <r>
          <rPr>
            <sz val="9"/>
            <color indexed="81"/>
            <rFont val="宋体"/>
            <family val="2"/>
          </rPr>
          <t>#Input("全年生产任务情况统计_主管领导",":key{{dw}}")</t>
        </r>
      </text>
    </comment>
    <comment ref="F34" authorId="0">
      <text>
        <r>
          <rPr>
            <sz val="9"/>
            <color indexed="81"/>
            <rFont val="宋体"/>
            <family val="2"/>
          </rPr>
          <t>#Input("全年生产任务情况统计报表_部门负责人",":key{{dw}}")</t>
        </r>
      </text>
    </comment>
    <comment ref="I34" authorId="0">
      <text>
        <r>
          <rPr>
            <sz val="9"/>
            <color indexed="81"/>
            <rFont val="宋体"/>
            <family val="2"/>
          </rPr>
          <t xml:space="preserve">#Input("全年生产任务情况统计报表_审核人",":key{{dw}}")
</t>
        </r>
      </text>
    </comment>
    <comment ref="L34" authorId="0">
      <text>
        <r>
          <rPr>
            <sz val="9"/>
            <color indexed="81"/>
            <rFont val="宋体"/>
            <family val="2"/>
          </rPr>
          <t xml:space="preserve">#Input("全年生产任务情况统计报表_编制",":key{{dw}}")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I5" authorId="0">
      <text>
        <r>
          <rPr>
            <sz val="9"/>
            <color indexed="81"/>
            <rFont val="宋体"/>
            <family val="2"/>
          </rPr>
          <t>榆炼厂与1.0不一致</t>
        </r>
      </text>
    </comment>
    <comment ref="I11" authorId="0">
      <text>
        <r>
          <rPr>
            <sz val="9"/>
            <color indexed="81"/>
            <rFont val="宋体"/>
            <family val="2"/>
          </rPr>
          <t xml:space="preserve">榆炼分厂与1.0系统值不同
</t>
        </r>
      </text>
    </comment>
    <comment ref="I14" authorId="0">
      <text>
        <r>
          <rPr>
            <sz val="9"/>
            <color indexed="81"/>
            <rFont val="宋体"/>
            <family val="2"/>
          </rPr>
          <t xml:space="preserve">榆炼、永炼分厂与1.0系统值不同
</t>
        </r>
      </text>
    </comment>
  </commentList>
</comments>
</file>

<file path=xl/sharedStrings.xml><?xml version="1.0" encoding="utf-8"?>
<sst xmlns="http://schemas.openxmlformats.org/spreadsheetml/2006/main" count="216" uniqueCount="84">
  <si>
    <t>全年生产任务完成情况统计</t>
  </si>
  <si>
    <t xml:space="preserve"> 填报单位：炼化公司</t>
  </si>
  <si>
    <t>统计日期：</t>
  </si>
  <si>
    <t>2026-01-06</t>
  </si>
  <si>
    <t>指标名称</t>
  </si>
  <si>
    <t>月计划</t>
  </si>
  <si>
    <t>本日</t>
  </si>
  <si>
    <t>本月</t>
  </si>
  <si>
    <t>至本月底</t>
  </si>
  <si>
    <t>年计划 （万吨）</t>
  </si>
  <si>
    <t>全年累计 加工量 （万吨）</t>
  </si>
  <si>
    <t>全年剩余 加工量 （万吨）</t>
  </si>
  <si>
    <t>至12月底 日处理量 （吨）</t>
  </si>
  <si>
    <t>完成全年任 务的（%）</t>
  </si>
  <si>
    <t>收率（催化收率含回炼油）</t>
  </si>
  <si>
    <t>（万吨）</t>
  </si>
  <si>
    <t>（吨）</t>
  </si>
  <si>
    <t>累计生产 （万吨）</t>
  </si>
  <si>
    <t>剩余加工量 (万吨)</t>
  </si>
  <si>
    <t>日处理量 (吨)</t>
  </si>
  <si>
    <t>年计划</t>
  </si>
  <si>
    <t>本年</t>
  </si>
  <si>
    <t>本月 + -</t>
  </si>
  <si>
    <t>原油加工量</t>
  </si>
  <si>
    <t>渣油加工量</t>
  </si>
  <si>
    <t>重整装置加工量</t>
  </si>
  <si>
    <t>汽油加氢精制加工量</t>
  </si>
  <si>
    <t>柴油加氢精制加工量</t>
  </si>
  <si>
    <t>烷基化装置加工量</t>
  </si>
  <si>
    <t>汽油产量</t>
  </si>
  <si>
    <t>其中：92#</t>
  </si>
  <si>
    <t xml:space="preserve">           95#</t>
  </si>
  <si>
    <t>柴油产量</t>
  </si>
  <si>
    <t>其中：军用柴油</t>
  </si>
  <si>
    <t xml:space="preserve">           0#</t>
  </si>
  <si>
    <t xml:space="preserve">          -10#</t>
  </si>
  <si>
    <t xml:space="preserve">          -20#</t>
  </si>
  <si>
    <t>航煤产量</t>
  </si>
  <si>
    <t>LNG产量</t>
  </si>
  <si>
    <t>苯乙烯产量</t>
  </si>
  <si>
    <t>聚丙烯产量</t>
  </si>
  <si>
    <t>MTBE产量</t>
  </si>
  <si>
    <t>SBA产量</t>
  </si>
  <si>
    <t>烷基化油产量</t>
  </si>
  <si>
    <t>石脑油销量</t>
  </si>
  <si>
    <t>液化气销量</t>
  </si>
  <si>
    <t>1#渣油销售量</t>
  </si>
  <si>
    <t>乙二醇产量</t>
  </si>
  <si>
    <t>BDO产量</t>
  </si>
  <si>
    <t>PT产量</t>
  </si>
  <si>
    <t>备注</t>
  </si>
  <si>
    <t>主管领导：</t>
  </si>
  <si>
    <t>部门负责人：</t>
  </si>
  <si>
    <t>审核人：</t>
  </si>
  <si>
    <t>编制：</t>
  </si>
  <si>
    <t>曹培宽</t>
  </si>
  <si>
    <t>郝新宇</t>
  </si>
  <si>
    <t>陈雄伟</t>
  </si>
  <si>
    <t>王宇辉</t>
  </si>
  <si>
    <t>？？？？？？？全年生产任务情况统计</t>
  </si>
  <si>
    <t>？？编制单位：生产计划部</t>
  </si>
  <si>
    <t>日期：</t>
  </si>
  <si>
    <t>内部数据</t>
  </si>
  <si>
    <t>2026-01-07</t>
  </si>
  <si>
    <t>项？？？？目</t>
  </si>
  <si>
    <t>剩余加工量 ？(万吨)</t>
  </si>
  <si>
    <t>本月 +？-？？？？</t>
  </si>
  <si>
    <t>重整装置处理量</t>
  </si>
  <si>
    <t>汽油加氢精制处理量</t>
  </si>
  <si>
    <t>柴油加氢精制处理量</t>
  </si>
  <si>
    <t>烷基化装置处理量</t>
  </si>
  <si>
    <t>95#</t>
  </si>
  <si>
    <t>0#</t>
  </si>
  <si>
    <t>-10#</t>
  </si>
  <si>
    <t>-20#</t>
  </si>
  <si>
    <t>汽油产量（国Ⅵ）</t>
  </si>
  <si>
    <t xml:space="preserve">92#  </t>
  </si>
  <si>
    <t xml:space="preserve">95#  </t>
  </si>
  <si>
    <t>柴油产量（国Ⅵ）</t>
  </si>
  <si>
    <t>10#</t>
  </si>
  <si>
    <t>20#</t>
  </si>
  <si>
    <t>醋酸仲丁酯</t>
  </si>
  <si>
    <t>异辛烷组分</t>
  </si>
  <si>
    <t>渣油销售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</si>
</sst>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1" formatCode="yyyy\-mm\-dd"/>
    <numFmt numFmtId="172" formatCode="0_ "/>
    <numFmt numFmtId="173" formatCode="yyyy&quot;年&quot;m&quot;月&quot;d&quot;日&quot;;@"/>
    <numFmt numFmtId="174" formatCode="0.00_ "/>
    <numFmt numFmtId="175" formatCode="_(* #,##0.00_);_(* \(#,##0.00\);_(* &quot;-&quot;??_);_(@_)"/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</numFmts>
  <fonts count="3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8"/>
      <color theme="1"/>
      <name val="等线"/>
    </font>
    <font>
      <sz val="11"/>
      <color rgb="FF000000"/>
      <name val="等线"/>
    </font>
    <font>
      <sz val="11"/>
      <color theme="1"/>
      <name val="等线"/>
    </font>
    <font>
      <sz val="11"/>
      <color rgb="FF000000"/>
      <name val="Calibri"/>
      <scheme val="minor"/>
    </font>
    <font>
      <sz val="9"/>
      <color auto="1"/>
      <name val="宋体"/>
    </font>
    <font>
      <sz val="11"/>
      <color rgb="FF006100"/>
      <name val="等线"/>
    </font>
    <font>
      <sz val="12"/>
      <color auto="1"/>
      <name val="等线"/>
    </font>
    <font>
      <b/>
      <sz val="12"/>
      <color auto="1"/>
      <name val="等线"/>
    </font>
    <font>
      <sz val="12"/>
      <color rgb="FF000000"/>
      <name val="等线"/>
    </font>
    <font>
      <sz val="11"/>
      <color auto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49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5" fontId="5" fillId="0" borderId="0" applyFont="0" applyFill="0" applyBorder="0" applyNumberFormat="1">
      <alignment vertical="top"/>
    </xf>
    <xf numFmtId="176" fontId="5" fillId="0" borderId="0" applyFont="0" applyFill="0" applyBorder="0" applyNumberFormat="1">
      <alignment vertical="top"/>
    </xf>
    <xf numFmtId="177" fontId="5" fillId="0" borderId="0" applyFont="0" applyFill="0" applyBorder="0" applyNumberFormat="1">
      <alignment vertical="top"/>
    </xf>
    <xf numFmtId="178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86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5" fontId="5" fillId="0" borderId="0" xfId="28" applyFont="0" applyNumberFormat="1">
      <alignment vertical="top"/>
    </xf>
    <xf numFmtId="176" fontId="5" fillId="0" borderId="0" xfId="29" applyFont="0" applyNumberFormat="1">
      <alignment vertical="top"/>
    </xf>
    <xf numFmtId="177" fontId="5" fillId="0" borderId="0" xfId="30" applyFont="0" applyNumberFormat="1">
      <alignment vertical="top"/>
    </xf>
    <xf numFmtId="178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0" fillId="0" borderId="0" xfId="0" applyFont="1">
      <alignment vertical="center" wrapText="1"/>
    </xf>
    <xf numFmtId="0" fontId="20" fillId="0" borderId="10" xfId="0" applyFont="1" applyBorder="1">
      <alignment horizontal="center" vertical="center" wrapText="1"/>
    </xf>
    <xf numFmtId="0" fontId="21" fillId="0" borderId="11" xfId="0" applyFont="1" applyBorder="1">
      <alignment horizontal="left" vertical="center" wrapText="1"/>
    </xf>
    <xf numFmtId="0" fontId="21" fillId="0" borderId="12" xfId="0" applyFont="1" applyBorder="1">
      <alignment horizontal="left" vertical="center" wrapText="1"/>
    </xf>
    <xf numFmtId="0" fontId="21" fillId="0" borderId="12" xfId="0" applyFont="1" applyBorder="1">
      <alignment horizontal="right" vertical="center" wrapText="1"/>
    </xf>
    <xf numFmtId="171" fontId="21" fillId="0" borderId="12" xfId="0" applyFont="1" applyBorder="1" applyNumberFormat="1">
      <alignment vertical="center" wrapText="1"/>
    </xf>
    <xf numFmtId="0" fontId="22" fillId="0" borderId="13" xfId="0" applyFont="1" applyBorder="1">
      <alignment horizontal="center" vertical="center" wrapText="1"/>
    </xf>
    <xf numFmtId="0" fontId="21" fillId="0" borderId="14" xfId="0" applyFont="1" applyBorder="1">
      <alignment horizontal="center" vertical="center" wrapText="1"/>
    </xf>
    <xf numFmtId="0" fontId="22" fillId="0" borderId="14" xfId="0" applyFont="1" applyBorder="1">
      <alignment horizontal="center" vertical="center" wrapText="1"/>
    </xf>
    <xf numFmtId="0" fontId="22" fillId="0" borderId="13" xfId="0" applyFont="1" applyBorder="1">
      <alignment horizontal="left" vertical="center" wrapText="1"/>
    </xf>
    <xf numFmtId="0" fontId="0" fillId="0" borderId="14" xfId="0" applyFont="1" applyBorder="1"/>
    <xf numFmtId="172" fontId="22" fillId="0" borderId="14" xfId="0" applyFont="1" applyBorder="1" applyNumberFormat="1">
      <alignment horizontal="center" vertical="center" wrapText="1"/>
    </xf>
    <xf numFmtId="0" fontId="0" fillId="0" borderId="14" xfId="0" applyFont="1" applyBorder="1">
      <alignment vertical="center" wrapText="1"/>
    </xf>
    <xf numFmtId="0" fontId="0" fillId="0" borderId="14" xfId="0" applyFont="1" applyBorder="1">
      <alignment wrapText="1"/>
    </xf>
    <xf numFmtId="0" fontId="22" fillId="33" borderId="14" xfId="0" applyFont="1" applyFill="1" applyBorder="1">
      <alignment vertical="center" wrapText="1"/>
    </xf>
    <xf numFmtId="0" fontId="22" fillId="0" borderId="13" xfId="0" applyFont="1" applyBorder="1">
      <alignment horizontal="right" vertical="center" wrapText="1"/>
    </xf>
    <xf numFmtId="172" fontId="23" fillId="0" borderId="14" xfId="0" applyFont="1" applyBorder="1" applyNumberFormat="1">
      <alignment vertical="center"/>
    </xf>
    <xf numFmtId="49" fontId="22" fillId="0" borderId="13" xfId="0" applyFont="1" applyBorder="1" applyNumberFormat="1">
      <alignment horizontal="right" vertical="center" wrapText="1"/>
    </xf>
    <xf numFmtId="49" fontId="22" fillId="0" borderId="13" xfId="0" applyFont="1" applyBorder="1" applyNumberFormat="1">
      <alignment horizontal="left" vertical="center" wrapText="1"/>
    </xf>
    <xf numFmtId="172" fontId="24" fillId="34" borderId="14" xfId="0" applyFont="1" applyFill="1" applyBorder="1" applyNumberFormat="1">
      <alignment vertical="center"/>
    </xf>
    <xf numFmtId="0" fontId="21" fillId="0" borderId="13" xfId="0" applyFont="1" applyBorder="1">
      <alignment horizontal="center" vertical="center" wrapText="1"/>
    </xf>
    <xf numFmtId="0" fontId="22" fillId="0" borderId="15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>
      <alignment wrapText="1"/>
    </xf>
    <xf numFmtId="14" fontId="21" fillId="0" borderId="12" xfId="0" applyFont="1" applyBorder="1" applyNumberFormat="1">
      <alignment vertical="center" wrapText="1"/>
    </xf>
    <xf numFmtId="0" fontId="21" fillId="0" borderId="12" xfId="0" applyFont="1" applyBorder="1">
      <alignment horizontal="center" vertical="center" wrapText="1"/>
    </xf>
    <xf numFmtId="0" fontId="21" fillId="0" borderId="12" xfId="0" applyFont="1" applyBorder="1">
      <alignment vertical="center" wrapText="1"/>
    </xf>
    <xf numFmtId="0" fontId="22" fillId="33" borderId="14" xfId="0" applyFont="1" applyFill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4" xfId="0" applyFont="1" applyBorder="1">
      <alignment vertical="center" wrapText="1"/>
    </xf>
    <xf numFmtId="0" fontId="22" fillId="0" borderId="13" xfId="0" applyFont="1" applyBorder="1">
      <alignment vertical="center" wrapText="1"/>
    </xf>
    <xf numFmtId="0" fontId="20" fillId="0" borderId="0" xfId="0" applyFont="1">
      <alignment horizontal="center" vertical="center" wrapText="1"/>
    </xf>
    <xf numFmtId="0" fontId="21" fillId="0" borderId="0" xfId="0" applyFont="1">
      <alignment horizontal="right" vertical="center" wrapText="1"/>
    </xf>
    <xf numFmtId="0" fontId="21" fillId="0" borderId="0" xfId="0" applyFont="1">
      <alignment horizontal="center" vertical="center" wrapText="1"/>
    </xf>
    <xf numFmtId="0" fontId="21" fillId="0" borderId="17" xfId="0" applyFont="1" applyBorder="1">
      <alignment horizontal="center" vertical="center" wrapText="1"/>
    </xf>
    <xf numFmtId="0" fontId="25" fillId="0" borderId="17" xfId="0" applyFont="1" applyBorder="1">
      <alignment horizontal="center" vertical="center" wrapText="1"/>
    </xf>
    <xf numFmtId="0" fontId="25" fillId="0" borderId="0" xfId="0" applyFont="1">
      <alignment horizontal="center" vertical="center" wrapText="1"/>
    </xf>
    <xf numFmtId="14" fontId="0" fillId="0" borderId="0" xfId="0" applyFont="1" applyNumberFormat="1">
      <alignment vertical="center"/>
    </xf>
    <xf numFmtId="0" fontId="22" fillId="0" borderId="17" xfId="0" applyFont="1" applyBorder="1">
      <alignment horizontal="center" vertical="center" wrapText="1"/>
    </xf>
    <xf numFmtId="0" fontId="22" fillId="0" borderId="0" xfId="0" applyFont="1">
      <alignment horizontal="center" vertical="center" wrapText="1"/>
    </xf>
    <xf numFmtId="0" fontId="22" fillId="0" borderId="17" xfId="0" applyFont="1" applyBorder="1">
      <alignment vertical="center" wrapText="1"/>
    </xf>
    <xf numFmtId="0" fontId="22" fillId="0" borderId="0" xfId="0" applyFont="1">
      <alignment vertical="center" wrapText="1"/>
    </xf>
    <xf numFmtId="0" fontId="22" fillId="0" borderId="18" xfId="0" applyFont="1" applyBorder="1">
      <alignment horizontal="center" vertical="center" wrapText="1"/>
    </xf>
    <xf numFmtId="0" fontId="0" fillId="0" borderId="16" xfId="0" applyFont="1" applyBorder="1"/>
    <xf numFmtId="0" fontId="26" fillId="0" borderId="0" xfId="0" applyFont="1">
      <alignment horizontal="left" vertical="center" wrapText="1"/>
    </xf>
    <xf numFmtId="0" fontId="27" fillId="0" borderId="0" xfId="0" applyFont="1">
      <alignment vertical="center" wrapText="1"/>
    </xf>
    <xf numFmtId="2" fontId="28" fillId="0" borderId="0" xfId="0" applyFont="1" applyNumberFormat="1">
      <alignment horizontal="right" vertical="center"/>
    </xf>
    <xf numFmtId="173" fontId="28" fillId="0" borderId="0" xfId="0" applyFont="1" applyNumberFormat="1">
      <alignment horizontal="left" vertical="center"/>
    </xf>
    <xf numFmtId="0" fontId="22" fillId="0" borderId="19" xfId="0" applyFont="1" applyBorder="1">
      <alignment horizontal="center" vertical="center" wrapText="1"/>
    </xf>
    <xf numFmtId="0" fontId="21" fillId="0" borderId="19" xfId="0" applyFont="1" applyBorder="1">
      <alignment horizontal="center" vertical="center" wrapText="1"/>
    </xf>
    <xf numFmtId="0" fontId="22" fillId="0" borderId="14" xfId="0" applyFont="1" applyBorder="1">
      <alignment horizontal="left" vertical="center" wrapText="1" indent="1"/>
    </xf>
    <xf numFmtId="0" fontId="22" fillId="0" borderId="15" xfId="0" applyFont="1" applyBorder="1">
      <alignment horizontal="left" vertical="center" wrapText="1" indent="1"/>
    </xf>
    <xf numFmtId="172" fontId="22" fillId="0" borderId="15" xfId="0" applyFont="1" applyBorder="1" applyNumberFormat="1">
      <alignment horizontal="center" vertical="center" wrapText="1"/>
    </xf>
    <xf numFmtId="0" fontId="22" fillId="0" borderId="20" xfId="0" applyFont="1" applyBorder="1">
      <alignment horizontal="left" vertical="center" wrapText="1" indent="1"/>
    </xf>
    <xf numFmtId="172" fontId="22" fillId="0" borderId="20" xfId="0" applyFont="1" applyBorder="1" applyNumberFormat="1">
      <alignment horizontal="center" vertical="center" wrapText="1"/>
    </xf>
    <xf numFmtId="49" fontId="22" fillId="0" borderId="14" xfId="0" applyFont="1" applyBorder="1" applyNumberFormat="1">
      <alignment horizontal="left" vertical="center" wrapText="1" indent="1"/>
    </xf>
    <xf numFmtId="0" fontId="29" fillId="34" borderId="0" xfId="0" applyFont="1" applyFill="1">
      <alignment horizontal="right" vertical="center" wrapText="1"/>
    </xf>
    <xf numFmtId="0" fontId="21" fillId="0" borderId="21" xfId="0" applyFont="1" applyBorder="1">
      <alignment horizontal="center" vertical="center"/>
    </xf>
    <xf numFmtId="174" fontId="29" fillId="34" borderId="21" xfId="0" applyFont="1" applyFill="1" applyBorder="1" applyNumberFormat="1">
      <alignment horizontal="center" vertical="center" wrapText="1"/>
    </xf>
    <xf numFmtId="0" fontId="23" fillId="0" borderId="0" xfId="0" applyFont="1">
      <alignment vertical="center" wrapText="1"/>
    </xf>
    <xf numFmtId="174" fontId="22" fillId="0" borderId="14" xfId="0" applyFont="1" applyBorder="1" applyNumberFormat="1">
      <alignment horizontal="center" vertical="center" wrapText="1"/>
    </xf>
    <xf numFmtId="174" fontId="22" fillId="0" borderId="15" xfId="0" applyFont="1" applyBorder="1" applyNumberFormat="1">
      <alignment horizontal="center" vertical="center" wrapText="1"/>
    </xf>
    <xf numFmtId="174" fontId="22" fillId="0" borderId="20" xfId="0" applyFont="1" applyBorder="1" applyNumberFormat="1">
      <alignment horizontal="center" vertical="center" wrapText="1"/>
    </xf>
    <xf numFmtId="0" fontId="29" fillId="34" borderId="21" xfId="0" applyFont="1" applyFill="1" applyBorder="1">
      <alignment horizontal="center" vertical="center" wrapText="1"/>
    </xf>
    <xf numFmtId="0" fontId="22" fillId="0" borderId="20" xfId="0" applyFont="1" applyBorder="1">
      <alignment horizontal="center" vertical="center" wrapText="1"/>
    </xf>
    <xf numFmtId="0" fontId="0" fillId="0" borderId="0" xfId="0" applyFont="1">
      <alignment vertical="center" wrapText="1"/>
    </xf>
    <xf numFmtId="0" fontId="20" fillId="0" borderId="0" xfId="0" applyFont="1">
      <alignment horizontal="center" vertical="center" wrapText="1"/>
    </xf>
    <xf numFmtId="0" fontId="0" fillId="0" borderId="0" xfId="0" applyFont="1">
      <alignment vertical="center" wrapText="1"/>
    </xf>
    <xf numFmtId="0" fontId="26" fillId="0" borderId="0" xfId="0" applyFont="1">
      <alignment horizontal="left" vertical="center" wrapText="1"/>
    </xf>
    <xf numFmtId="0" fontId="27" fillId="0" borderId="0" xfId="0" applyFont="1">
      <alignment vertical="center" wrapText="1"/>
    </xf>
    <xf numFmtId="2" fontId="28" fillId="0" borderId="0" xfId="0" applyFont="1" applyNumberFormat="1">
      <alignment horizontal="right" vertical="center" wrapText="1"/>
    </xf>
    <xf numFmtId="173" fontId="28" fillId="0" borderId="0" xfId="0" applyFont="1" applyNumberFormat="1">
      <alignment horizontal="left" vertical="center" wrapText="1"/>
    </xf>
    <xf numFmtId="0" fontId="23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2" fillId="0" borderId="14" xfId="0" applyFont="1" applyBorder="1">
      <alignment horizontal="center" vertical="center" wrapText="1"/>
    </xf>
    <xf numFmtId="0" fontId="21" fillId="0" borderId="14" xfId="0" applyFont="1" applyBorder="1">
      <alignment horizontal="center" vertical="center" wrapText="1"/>
    </xf>
    <xf numFmtId="0" fontId="22" fillId="0" borderId="19" xfId="0" applyFont="1" applyBorder="1">
      <alignment horizontal="center" vertical="center" wrapText="1"/>
    </xf>
    <xf numFmtId="0" fontId="21" fillId="0" borderId="19" xfId="0" applyFont="1" applyBorder="1">
      <alignment horizontal="center" vertical="center" wrapText="1"/>
    </xf>
    <xf numFmtId="0" fontId="22" fillId="0" borderId="14" xfId="0" applyFont="1" applyBorder="1">
      <alignment horizontal="left" vertical="center" wrapText="1" indent="1"/>
    </xf>
    <xf numFmtId="172" fontId="22" fillId="0" borderId="14" xfId="0" applyFont="1" applyBorder="1" applyNumberFormat="1">
      <alignment horizontal="center" vertical="center" wrapText="1"/>
    </xf>
    <xf numFmtId="174" fontId="22" fillId="0" borderId="14" xfId="0" applyFont="1" applyBorder="1" applyNumberFormat="1">
      <alignment horizontal="center" vertical="center" wrapText="1"/>
    </xf>
    <xf numFmtId="0" fontId="22" fillId="0" borderId="15" xfId="0" applyFont="1" applyBorder="1">
      <alignment horizontal="left" vertical="center" wrapText="1" indent="1"/>
    </xf>
    <xf numFmtId="172" fontId="22" fillId="0" borderId="15" xfId="0" applyFont="1" applyBorder="1" applyNumberFormat="1">
      <alignment horizontal="center" vertical="center" wrapText="1"/>
      <protection locked="0"/>
    </xf>
    <xf numFmtId="172" fontId="22" fillId="0" borderId="15" xfId="0" applyFont="1" applyBorder="1" applyNumberFormat="1">
      <alignment horizontal="center" vertical="center" wrapText="1"/>
    </xf>
    <xf numFmtId="174" fontId="22" fillId="0" borderId="15" xfId="0" applyFont="1" applyBorder="1" applyNumberFormat="1">
      <alignment horizontal="center" vertical="center" wrapText="1"/>
    </xf>
    <xf numFmtId="0" fontId="22" fillId="0" borderId="15" xfId="0" applyFont="1" applyBorder="1">
      <alignment horizontal="center" vertical="center" wrapText="1"/>
    </xf>
    <xf numFmtId="0" fontId="22" fillId="0" borderId="20" xfId="0" applyFont="1" applyBorder="1">
      <alignment horizontal="left" vertical="center" wrapText="1" indent="1"/>
    </xf>
    <xf numFmtId="172" fontId="22" fillId="0" borderId="20" xfId="0" applyFont="1" applyBorder="1" applyNumberFormat="1">
      <alignment horizontal="center" vertical="center" wrapText="1"/>
    </xf>
    <xf numFmtId="174" fontId="22" fillId="0" borderId="20" xfId="0" applyFont="1" applyBorder="1" applyNumberFormat="1">
      <alignment horizontal="center" vertical="center" wrapText="1"/>
    </xf>
    <xf numFmtId="0" fontId="22" fillId="0" borderId="20" xfId="0" applyFont="1" applyBorder="1">
      <alignment horizontal="center" vertical="center" wrapText="1"/>
    </xf>
    <xf numFmtId="172" fontId="22" fillId="0" borderId="14" xfId="0" applyFont="1" applyBorder="1" applyNumberFormat="1">
      <alignment horizontal="center" vertical="center" wrapText="1"/>
      <protection locked="0"/>
    </xf>
    <xf numFmtId="49" fontId="22" fillId="0" borderId="14" xfId="0" applyFont="1" applyBorder="1" applyNumberFormat="1">
      <alignment horizontal="left" vertical="center" wrapText="1" indent="1"/>
    </xf>
    <xf numFmtId="0" fontId="22" fillId="0" borderId="14" xfId="0" applyFont="1" applyBorder="1">
      <alignment horizontal="center" vertical="center" wrapText="1"/>
      <protection locked="0"/>
    </xf>
    <xf numFmtId="0" fontId="29" fillId="34" borderId="0" xfId="0" applyFont="1" applyFill="1">
      <alignment horizontal="right" vertical="center" wrapText="1"/>
    </xf>
    <xf numFmtId="0" fontId="21" fillId="0" borderId="21" xfId="0" applyFont="1" applyBorder="1">
      <alignment horizontal="center" vertical="center" wrapText="1"/>
      <protection locked="0"/>
    </xf>
    <xf numFmtId="174" fontId="29" fillId="34" borderId="21" xfId="0" applyFont="1" applyFill="1" applyBorder="1" applyNumberFormat="1">
      <alignment horizontal="center" vertical="center" wrapText="1"/>
      <protection locked="0"/>
    </xf>
    <xf numFmtId="0" fontId="29" fillId="34" borderId="21" xfId="0" applyFont="1" applyFill="1" applyBorder="1">
      <alignment horizontal="center" vertical="center" wrapText="1"/>
      <protection locked="0"/>
    </xf>
    <xf numFmtId="0" fontId="0" fillId="0" borderId="0" xfId="0" applyFont="1">
      <alignment vertical="center"/>
    </xf>
    <xf numFmtId="0" fontId="20" fillId="0" borderId="10" xfId="0" applyFont="1" applyBorder="1">
      <alignment horizontal="center" vertical="center" wrapText="1"/>
    </xf>
    <xf numFmtId="0" fontId="21" fillId="0" borderId="11" xfId="0" applyFont="1" applyBorder="1">
      <alignment horizontal="left" vertical="center" wrapText="1"/>
    </xf>
    <xf numFmtId="0" fontId="21" fillId="0" borderId="12" xfId="0" applyFont="1" applyBorder="1">
      <alignment horizontal="left" vertical="center" wrapText="1"/>
    </xf>
    <xf numFmtId="0" fontId="21" fillId="0" borderId="12" xfId="0" applyFont="1" applyBorder="1">
      <alignment horizontal="right" vertical="center" wrapText="1"/>
    </xf>
    <xf numFmtId="171" fontId="21" fillId="0" borderId="12" xfId="0" applyFont="1" applyBorder="1" applyNumberFormat="1">
      <alignment vertical="center" wrapText="1"/>
    </xf>
    <xf numFmtId="14" fontId="21" fillId="0" borderId="12" xfId="0" applyFont="1" applyBorder="1" applyNumberFormat="1">
      <alignment vertical="center" wrapText="1"/>
    </xf>
    <xf numFmtId="0" fontId="21" fillId="0" borderId="12" xfId="0" applyFont="1" applyBorder="1">
      <alignment horizontal="center" vertical="center" wrapText="1"/>
    </xf>
    <xf numFmtId="0" fontId="21" fillId="0" borderId="12" xfId="0" applyFont="1" applyBorder="1">
      <alignment vertical="center" wrapText="1"/>
    </xf>
    <xf numFmtId="0" fontId="21" fillId="0" borderId="0" xfId="0" applyFont="1">
      <alignment horizontal="right" vertical="center" wrapText="1"/>
    </xf>
    <xf numFmtId="0" fontId="22" fillId="0" borderId="13" xfId="0" applyFont="1" applyBorder="1">
      <alignment horizontal="center" vertical="center" wrapText="1"/>
    </xf>
    <xf numFmtId="0" fontId="21" fillId="0" borderId="0" xfId="0" applyFont="1">
      <alignment horizontal="center" vertical="center" wrapText="1"/>
    </xf>
    <xf numFmtId="0" fontId="21" fillId="0" borderId="17" xfId="0" applyFont="1" applyBorder="1">
      <alignment horizontal="center" vertical="center" wrapText="1"/>
    </xf>
    <xf numFmtId="0" fontId="22" fillId="0" borderId="13" xfId="0" applyFont="1" applyBorder="1">
      <alignment horizontal="left" vertical="center" wrapText="1"/>
    </xf>
    <xf numFmtId="0" fontId="0" fillId="0" borderId="14" xfId="0" applyFont="1" applyBorder="1">
      <alignment wrapText="1"/>
    </xf>
    <xf numFmtId="0" fontId="22" fillId="33" borderId="14" xfId="0" applyFont="1" applyFill="1" applyBorder="1">
      <alignment horizontal="center" vertical="center" wrapText="1"/>
    </xf>
    <xf numFmtId="0" fontId="25" fillId="0" borderId="17" xfId="0" applyFont="1" applyBorder="1">
      <alignment horizontal="center" vertical="center" wrapText="1"/>
    </xf>
    <xf numFmtId="0" fontId="25" fillId="0" borderId="0" xfId="0" applyFont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0" fillId="0" borderId="14" xfId="0" applyFont="1" applyBorder="1">
      <alignment vertical="center" wrapText="1"/>
    </xf>
    <xf numFmtId="0" fontId="0" fillId="0" borderId="14" xfId="0" applyFont="1" applyBorder="1">
      <alignment wrapText="1"/>
    </xf>
    <xf numFmtId="0" fontId="0" fillId="0" borderId="0" xfId="0" applyFont="1">
      <alignment vertical="center" wrapText="1"/>
    </xf>
    <xf numFmtId="0" fontId="22" fillId="33" borderId="14" xfId="0" applyFont="1" applyFill="1" applyBorder="1">
      <alignment vertical="center" wrapText="1"/>
    </xf>
    <xf numFmtId="0" fontId="22" fillId="0" borderId="13" xfId="0" applyFont="1" applyBorder="1">
      <alignment horizontal="right" vertical="center" wrapText="1"/>
    </xf>
    <xf numFmtId="14" fontId="0" fillId="0" borderId="0" xfId="0" applyFont="1" applyNumberFormat="1">
      <alignment vertical="center" wrapText="1"/>
    </xf>
    <xf numFmtId="172" fontId="23" fillId="0" borderId="14" xfId="0" applyFont="1" applyBorder="1" applyNumberFormat="1">
      <alignment vertical="center" wrapText="1"/>
    </xf>
    <xf numFmtId="49" fontId="22" fillId="0" borderId="13" xfId="0" applyFont="1" applyBorder="1" applyNumberFormat="1">
      <alignment horizontal="right" vertical="center" wrapText="1"/>
    </xf>
    <xf numFmtId="49" fontId="22" fillId="0" borderId="13" xfId="0" applyFont="1" applyBorder="1" applyNumberFormat="1">
      <alignment horizontal="left" vertical="center" wrapText="1"/>
    </xf>
    <xf numFmtId="172" fontId="24" fillId="34" borderId="14" xfId="0" applyFont="1" applyFill="1" applyBorder="1" applyNumberFormat="1">
      <alignment vertical="center" wrapText="1"/>
    </xf>
    <xf numFmtId="0" fontId="22" fillId="0" borderId="17" xfId="0" applyFont="1" applyBorder="1">
      <alignment horizontal="center" vertical="center" wrapText="1"/>
    </xf>
    <xf numFmtId="0" fontId="22" fillId="0" borderId="0" xfId="0" applyFont="1">
      <alignment horizontal="center" vertical="center" wrapText="1"/>
    </xf>
    <xf numFmtId="0" fontId="22" fillId="0" borderId="14" xfId="0" applyFont="1" applyBorder="1">
      <alignment vertical="center" wrapText="1"/>
    </xf>
    <xf numFmtId="0" fontId="22" fillId="0" borderId="17" xfId="0" applyFont="1" applyBorder="1">
      <alignment vertical="center" wrapText="1"/>
    </xf>
    <xf numFmtId="0" fontId="22" fillId="0" borderId="0" xfId="0" applyFont="1">
      <alignment vertical="center" wrapText="1"/>
    </xf>
    <xf numFmtId="0" fontId="22" fillId="0" borderId="18" xfId="0" applyFont="1" applyBorder="1">
      <alignment horizontal="center" vertical="center" wrapText="1"/>
    </xf>
    <xf numFmtId="0" fontId="21" fillId="0" borderId="13" xfId="0" applyFont="1" applyBorder="1">
      <alignment horizontal="center" vertical="center" wrapText="1"/>
    </xf>
    <xf numFmtId="0" fontId="0" fillId="0" borderId="0" xfId="0" applyFont="1">
      <alignment wrapText="1"/>
    </xf>
    <xf numFmtId="0" fontId="22" fillId="0" borderId="13" xfId="0" applyFont="1" applyBorder="1">
      <alignment vertical="center" wrapText="1"/>
    </xf>
    <xf numFmtId="0" fontId="0" fillId="0" borderId="0" xfId="0" applyFont="1">
      <alignment wrapText="1"/>
    </xf>
    <xf numFmtId="0" fontId="0" fillId="0" borderId="16" xfId="0" applyFont="1" applyBorder="1">
      <alignment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4748F58-C1B8-B0A7-5258-68D04D0CA60B}" mc:Ignorable="x14ac xr xr2 xr3">
  <dimension ref="A1:T45"/>
  <sheetViews>
    <sheetView showGridLines="0" workbookViewId="0" tabSelected="1">
      <pane xSplit="2" ySplit="4" topLeftCell="C14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ColWidth="9.00390625" customHeight="1" defaultRowHeight="14.4525"/>
  <cols>
    <col min="1" max="1" style="146" width="2.7109375" customWidth="1"/>
    <col min="2" max="2" style="146" width="22.7109375" customWidth="1"/>
    <col min="3" max="3" style="146" width="13.57421875" customWidth="1"/>
    <col min="4" max="4" style="146" width="10.7109375" customWidth="1"/>
    <col min="5" max="5" style="146" width="11.00390625" customWidth="1"/>
    <col min="6" max="6" style="146" width="11.28125" customWidth="1"/>
    <col min="7" max="7" style="146" width="10.57421875" customWidth="1"/>
    <col min="8" max="8" style="146" width="13.421875" customWidth="1"/>
    <col min="9" max="9" style="146" width="12.00390625" customWidth="1"/>
    <col min="10" max="10" style="146" width="12.28125" customWidth="1"/>
    <col min="11" max="12" style="146" width="11.00390625" customWidth="1"/>
    <col min="18" max="18" style="146" width="9.140625" customWidth="1"/>
    <col min="20" max="20" style="146" width="9.00390625" hidden="1"/>
  </cols>
  <sheetData>
    <row customHeight="1" ht="22.5">
      <c r="A1" s="114"/>
      <c r="B1" s="80" t="s">
        <v>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116"/>
      <c r="T1" s="114"/>
    </row>
    <row customHeight="1" ht="17.25">
      <c r="A2" s="114"/>
      <c r="B2" s="93" t="s">
        <v>1</v>
      </c>
      <c r="C2" s="93"/>
      <c r="D2" s="94"/>
      <c r="E2" s="119"/>
      <c r="F2" s="119"/>
      <c r="G2" s="120"/>
      <c r="H2" s="120"/>
      <c r="I2" s="120"/>
      <c r="J2" s="108"/>
      <c r="K2" s="114"/>
      <c r="L2" s="114"/>
      <c r="M2" s="116"/>
      <c r="N2" s="119" t="s">
        <v>2</v>
      </c>
      <c r="O2" s="119"/>
      <c r="P2" s="120" t="str">
        <f>T2</f>
        <v>2026-01-06</v>
      </c>
      <c r="Q2" s="120"/>
      <c r="R2" s="120"/>
      <c r="S2" s="116"/>
      <c r="T2" s="122" t="s">
        <v>3</v>
      </c>
    </row>
    <row customHeight="1" ht="13.5">
      <c r="A3" s="114"/>
      <c r="B3" s="57" t="s">
        <v>4</v>
      </c>
      <c r="C3" s="56" t="s">
        <v>5</v>
      </c>
      <c r="D3" s="56" t="s">
        <v>6</v>
      </c>
      <c r="E3" s="56" t="s">
        <v>7</v>
      </c>
      <c r="F3" s="56" t="s">
        <v>7</v>
      </c>
      <c r="G3" s="56" t="s">
        <v>8</v>
      </c>
      <c r="H3" s="56" t="s">
        <v>9</v>
      </c>
      <c r="I3" s="56" t="s">
        <v>10</v>
      </c>
      <c r="J3" s="56" t="s">
        <v>11</v>
      </c>
      <c r="K3" s="56" t="s">
        <v>12</v>
      </c>
      <c r="L3" s="56" t="s">
        <v>13</v>
      </c>
      <c r="M3" s="56" t="s">
        <v>14</v>
      </c>
      <c r="N3" s="56"/>
      <c r="O3" s="56"/>
      <c r="P3" s="56"/>
      <c r="Q3" s="56"/>
      <c r="R3" s="56"/>
      <c r="S3" s="116"/>
      <c r="T3" s="114"/>
    </row>
    <row customHeight="1" ht="27.75">
      <c r="A4" s="114"/>
      <c r="B4" s="97"/>
      <c r="C4" s="98" t="s">
        <v>15</v>
      </c>
      <c r="D4" s="97" t="s">
        <v>16</v>
      </c>
      <c r="E4" s="98" t="s">
        <v>17</v>
      </c>
      <c r="F4" s="98" t="s">
        <v>18</v>
      </c>
      <c r="G4" s="98" t="s">
        <v>19</v>
      </c>
      <c r="H4" s="98"/>
      <c r="I4" s="98"/>
      <c r="J4" s="98"/>
      <c r="K4" s="98"/>
      <c r="L4" s="98"/>
      <c r="M4" s="98" t="s">
        <v>20</v>
      </c>
      <c r="N4" s="98" t="s">
        <v>5</v>
      </c>
      <c r="O4" s="98" t="s">
        <v>6</v>
      </c>
      <c r="P4" s="98" t="s">
        <v>7</v>
      </c>
      <c r="Q4" s="98" t="s">
        <v>21</v>
      </c>
      <c r="R4" s="98" t="s">
        <v>22</v>
      </c>
      <c r="S4" s="116"/>
      <c r="T4" s="114"/>
    </row>
    <row customHeight="1" ht="15">
      <c r="A5" s="114"/>
      <c r="B5" s="99" t="s">
        <v>23</v>
      </c>
      <c r="C5" s="60">
        <f>取值!C5</f>
        <v>1180000</v>
      </c>
      <c r="D5" s="60">
        <f>IF(取值!D5=0,"",取值!D5)</f>
        <v>39021</v>
      </c>
      <c r="E5" s="60">
        <f>IF(取值!E5=0,"",取值!E5)</f>
        <v>274136</v>
      </c>
      <c r="F5" s="60">
        <f>_xlfn.IFERROR(IF(取值!F5&lt;0,"",取值!F5),"")</f>
        <v>905864</v>
      </c>
      <c r="G5" s="60">
        <f>IF(取值!G5&lt;0,"",取值!G5)</f>
        <v>37744.3333333333</v>
      </c>
      <c r="H5" s="60">
        <f>14970000</f>
        <v>14970000</v>
      </c>
      <c r="I5" s="60">
        <f>IF(取值!I5=0,"",取值!I5)</f>
        <v>274136</v>
      </c>
      <c r="J5" s="60" t="str">
        <f>_xlfn.IFERROR(IF(取值!J5&lt;0,"",取值!J5),"")</f>
        <v/>
      </c>
      <c r="K5" s="60" t="str">
        <f>IF(取值!K5&lt;0,"",取值!K5)</f>
        <v/>
      </c>
      <c r="L5" s="109" t="str">
        <f>IF(取值!L5=0,"",取值!L5)</f>
        <v/>
      </c>
      <c r="M5" s="109" t="str">
        <f>IF(取值!M5=0,"",取值!M5)</f>
        <v/>
      </c>
      <c r="N5" s="109">
        <f>IF(取值!N5=0,"",取值!N5)</f>
        <v>48.4542372881356</v>
      </c>
      <c r="O5" s="109">
        <f>IF(取值!O5=0,"",取值!O5)</f>
        <v>49.6630019732964</v>
      </c>
      <c r="P5" s="109">
        <f>IF(取值!P5=0,"",取值!P5)</f>
        <v>50.1539381912627</v>
      </c>
      <c r="Q5" s="109">
        <f>IF(取值!Q5=0,"",取值!Q5)</f>
        <v>50.1539381912627</v>
      </c>
      <c r="R5" s="60"/>
      <c r="S5" s="116"/>
      <c r="T5" s="114"/>
    </row>
    <row customHeight="1" ht="15">
      <c r="A6" s="114"/>
      <c r="B6" s="99" t="s">
        <v>24</v>
      </c>
      <c r="C6" s="60">
        <f>取值!C6</f>
        <v>486000</v>
      </c>
      <c r="D6" s="60">
        <f>IF(取值!D6=0,"",取值!D6)</f>
        <v>16887</v>
      </c>
      <c r="E6" s="60">
        <f>IF(取值!E6=0,"",取值!E6)</f>
        <v>116440</v>
      </c>
      <c r="F6" s="60">
        <f>_xlfn.IFERROR(IF(取值!F6&lt;0,"",取值!F6),"")</f>
        <v>369560</v>
      </c>
      <c r="G6" s="60">
        <f>IF(取值!G6&lt;0,"",取值!G6)</f>
        <v>15398.3333333333</v>
      </c>
      <c r="H6" s="60">
        <f>取值!H6</f>
        <v>0</v>
      </c>
      <c r="I6" s="60">
        <f>IF(取值!I6=0,"",取值!I6)</f>
        <v>116440</v>
      </c>
      <c r="J6" s="60" t="str">
        <f>_xlfn.IFERROR(IF(取值!J6&lt;0,"",取值!J6),"")</f>
        <v/>
      </c>
      <c r="K6" s="60" t="str">
        <f>IF(取值!K6&lt;0,"",取值!K6)</f>
        <v/>
      </c>
      <c r="L6" s="109" t="str">
        <f>IF(取值!L6=0,"",取值!L6)</f>
        <v/>
      </c>
      <c r="M6" s="109" t="str">
        <f>IF(取值!M6=0,"",取值!M6)</f>
        <v/>
      </c>
      <c r="N6" s="109">
        <f>IF(取值!N6=0,"",取值!N6)</f>
        <v>86.3246913580247</v>
      </c>
      <c r="O6" s="109">
        <f>IF(取值!O6=0,"",取值!O6)</f>
        <v>65.4258728886477</v>
      </c>
      <c r="P6" s="109">
        <f>IF(取值!P6=0,"",取值!P6)</f>
        <v>86.9805192094122</v>
      </c>
      <c r="Q6" s="109">
        <f>IF(取值!Q6=0,"",取值!Q6)</f>
        <v>86.9805192094122</v>
      </c>
      <c r="R6" s="109"/>
      <c r="S6" s="116"/>
      <c r="T6" s="114"/>
    </row>
    <row customHeight="1" ht="15">
      <c r="A7" s="114"/>
      <c r="B7" s="99" t="s">
        <v>25</v>
      </c>
      <c r="C7" s="60">
        <f>取值!C7</f>
        <v>223000</v>
      </c>
      <c r="D7" s="60">
        <f>IF(取值!D7=0,"",取值!D7)</f>
        <v>8237</v>
      </c>
      <c r="E7" s="60">
        <f>IF(取值!E7=0,"",取值!E7)</f>
        <v>57560</v>
      </c>
      <c r="F7" s="60">
        <f>_xlfn.IFERROR(IF(取值!F7&lt;0,"",取值!F7),"")</f>
        <v>165440</v>
      </c>
      <c r="G7" s="60">
        <f>IF(取值!G7&lt;0,"",取值!G7)</f>
        <v>6893.33333333333</v>
      </c>
      <c r="H7" s="60">
        <f>取值!H7</f>
        <v>0</v>
      </c>
      <c r="I7" s="60">
        <f>IF(取值!I7=0,"",取值!I7)</f>
        <v>57560</v>
      </c>
      <c r="J7" s="60" t="str">
        <f>_xlfn.IFERROR(IF(取值!J7&lt;0,"",取值!J7),"")</f>
        <v/>
      </c>
      <c r="K7" s="60" t="str">
        <f>IF(取值!K7&lt;0,"",取值!K7)</f>
        <v/>
      </c>
      <c r="L7" s="109" t="str">
        <f>IF(取值!L7=0,"",取值!L7)</f>
        <v/>
      </c>
      <c r="M7" s="109" t="str">
        <f>IF(取值!M7=0,"",取值!M7)</f>
        <v/>
      </c>
      <c r="N7" s="109">
        <f>IF(取值!N7=0,"",取值!N7)</f>
        <v>92.4560538116592</v>
      </c>
      <c r="O7" s="109">
        <f>IF(取值!O7=0,"",取值!O7)</f>
        <v>93.2256889644288</v>
      </c>
      <c r="P7" s="109">
        <f>IF(取值!P7=0,"",取值!P7)</f>
        <v>93.2314107018763</v>
      </c>
      <c r="Q7" s="109">
        <f>IF(取值!Q7=0,"",取值!Q7)</f>
        <v>93.2314107018763</v>
      </c>
      <c r="R7" s="109"/>
      <c r="S7" s="116"/>
      <c r="T7" s="114"/>
    </row>
    <row customHeight="1" ht="15">
      <c r="A8" s="114"/>
      <c r="B8" s="99" t="s">
        <v>26</v>
      </c>
      <c r="C8" s="60">
        <f>取值!C8</f>
        <v>228000</v>
      </c>
      <c r="D8" s="60">
        <f>IF(取值!D8=0,"",取值!D8)</f>
        <v>8016</v>
      </c>
      <c r="E8" s="60">
        <f>IF(取值!E8=0,"",取值!E8)</f>
        <v>56420</v>
      </c>
      <c r="F8" s="60">
        <f>_xlfn.IFERROR(IF(取值!F8&lt;0,"",取值!F8),"")</f>
        <v>171580</v>
      </c>
      <c r="G8" s="60">
        <f>IF(取值!G8&lt;0,"",取值!G8)</f>
        <v>7149.16666666667</v>
      </c>
      <c r="H8" s="60">
        <f>取值!H8</f>
        <v>0</v>
      </c>
      <c r="I8" s="60">
        <f>IF(取值!I8=0,"",取值!I8)</f>
        <v>56420</v>
      </c>
      <c r="J8" s="60" t="str">
        <f>_xlfn.IFERROR(IF(取值!J8&lt;0,"",取值!J8),"")</f>
        <v/>
      </c>
      <c r="K8" s="60" t="str">
        <f>IF(取值!K8&lt;0,"",取值!K8)</f>
        <v/>
      </c>
      <c r="L8" s="109" t="str">
        <f>IF(取值!L8=0,"",取值!L8)</f>
        <v/>
      </c>
      <c r="M8" s="109" t="str">
        <f>IF(取值!M8=0,"",取值!M8)</f>
        <v/>
      </c>
      <c r="N8" s="109">
        <f>IF(取值!N8=0,"",取值!N8)</f>
        <v>98.2434210526316</v>
      </c>
      <c r="O8" s="109">
        <f>IF(取值!O8=0,"",取值!O8)</f>
        <v>99.0144710578842</v>
      </c>
      <c r="P8" s="109">
        <f>IF(取值!P8=0,"",取值!P8)</f>
        <v>99.0358029067707</v>
      </c>
      <c r="Q8" s="109">
        <f>IF(取值!Q8=0,"",取值!Q8)</f>
        <v>99.0358029067707</v>
      </c>
      <c r="R8" s="109"/>
      <c r="S8" s="116"/>
      <c r="T8" s="114"/>
    </row>
    <row customHeight="1" ht="15">
      <c r="A9" s="114"/>
      <c r="B9" s="99" t="s">
        <v>27</v>
      </c>
      <c r="C9" s="60">
        <f>取值!C9</f>
        <v>446000</v>
      </c>
      <c r="D9" s="60">
        <f>IF(取值!D9=0,"",取值!D9)</f>
        <v>12136</v>
      </c>
      <c r="E9" s="60">
        <f>IF(取值!E9=0,"",取值!E9)</f>
        <v>91838</v>
      </c>
      <c r="F9" s="60">
        <f>_xlfn.IFERROR(IF(取值!F9&lt;0,"",取值!F9),"")</f>
        <v>354162</v>
      </c>
      <c r="G9" s="60">
        <f>IF(取值!G9&lt;0,"",取值!G9)</f>
        <v>14756.75</v>
      </c>
      <c r="H9" s="60">
        <f>取值!H9</f>
        <v>0</v>
      </c>
      <c r="I9" s="60">
        <f>IF(取值!I9=0,"",取值!I9)</f>
        <v>91838</v>
      </c>
      <c r="J9" s="60" t="str">
        <f>_xlfn.IFERROR(IF(取值!J9&lt;0,"",取值!J9),"")</f>
        <v/>
      </c>
      <c r="K9" s="60" t="str">
        <f>IF(取值!K9&lt;0,"",取值!K9)</f>
        <v/>
      </c>
      <c r="L9" s="109" t="str">
        <f>IF(取值!L9=0,"",取值!L9)</f>
        <v/>
      </c>
      <c r="M9" s="109" t="str">
        <f>IF(取值!M9=0,"",取值!M9)</f>
        <v/>
      </c>
      <c r="N9" s="109">
        <f>IF(取值!N9=0,"",取值!N9)</f>
        <v>98.5878923766816</v>
      </c>
      <c r="O9" s="109">
        <f>IF(取值!O9=0,"",取值!O9)</f>
        <v>99.1512854317732</v>
      </c>
      <c r="P9" s="109">
        <f>IF(取值!P9=0,"",取值!P9)</f>
        <v>99.169189224504</v>
      </c>
      <c r="Q9" s="109">
        <f>IF(取值!Q9=0,"",取值!Q9)</f>
        <v>99.169189224504</v>
      </c>
      <c r="R9" s="109"/>
      <c r="S9" s="116"/>
      <c r="T9" s="114"/>
    </row>
    <row customHeight="1" ht="15">
      <c r="A10" s="114"/>
      <c r="B10" s="100" t="s">
        <v>28</v>
      </c>
      <c r="C10" s="131">
        <f>取值!C10</f>
        <v>27600</v>
      </c>
      <c r="D10" s="101">
        <f>IF(取值!D10=0,"",取值!D10)</f>
        <v>995.2</v>
      </c>
      <c r="E10" s="101">
        <f>IF(取值!E10=0,"",取值!E10)</f>
        <v>7099.4</v>
      </c>
      <c r="F10" s="101">
        <f>_xlfn.IFERROR(IF(取值!F10&lt;0,"",取值!F10),"")</f>
        <v>20500.6</v>
      </c>
      <c r="G10" s="101">
        <f>IF(取值!G10&lt;0,"",取值!G10)</f>
        <v>854.191666666667</v>
      </c>
      <c r="H10" s="101">
        <f>取值!H10</f>
        <v>0</v>
      </c>
      <c r="I10" s="101">
        <f>IF(取值!I10=0,"",取值!I10)</f>
        <v>7099.4</v>
      </c>
      <c r="J10" s="101" t="str">
        <f>_xlfn.IFERROR(IF(取值!J10&lt;0,"",取值!J10),"")</f>
        <v/>
      </c>
      <c r="K10" s="101" t="str">
        <f>IF(取值!K10&lt;0,"",取值!K10)</f>
        <v/>
      </c>
      <c r="L10" s="110" t="str">
        <f>IF(取值!L10=0,"",取值!L10)</f>
        <v/>
      </c>
      <c r="M10" s="101" t="str">
        <f>IF(取值!M10=0,"",取值!M10)</f>
        <v/>
      </c>
      <c r="N10" s="101" t="str">
        <f>IF(取值!N10=0,"",取值!N10)</f>
        <v/>
      </c>
      <c r="O10" s="101" t="str">
        <f>IF(取值!O10=0,"",取值!O10)</f>
        <v/>
      </c>
      <c r="P10" s="101" t="str">
        <f>IF(取值!P10=0,"",取值!P10)</f>
        <v/>
      </c>
      <c r="Q10" s="101" t="str">
        <f>IF(取值!Q10=0,"",取值!Q10)</f>
        <v/>
      </c>
      <c r="R10" s="70"/>
      <c r="S10" s="116"/>
      <c r="T10" s="114"/>
    </row>
    <row customHeight="1" ht="15">
      <c r="A11" s="114"/>
      <c r="B11" s="102" t="s">
        <v>29</v>
      </c>
      <c r="C11" s="103">
        <f>取值!C11</f>
        <v>458000</v>
      </c>
      <c r="D11" s="103">
        <f>IF(取值!D11=0,"",取值!D11)</f>
        <v>7399</v>
      </c>
      <c r="E11" s="103">
        <f>IF(取值!E11=0,"",取值!E11)</f>
        <v>74561</v>
      </c>
      <c r="F11" s="103">
        <f>_xlfn.IFERROR(IF(取值!F11&lt;0,"",取值!F11),"")</f>
        <v>383439</v>
      </c>
      <c r="G11" s="103">
        <f>IF(取值!G11&lt;0,"",取值!G11)</f>
        <v>15976.625</v>
      </c>
      <c r="H11" s="103">
        <f>取值!H11</f>
        <v>0</v>
      </c>
      <c r="I11" s="103">
        <f>IF(取值!I11=0,"",取值!I11)</f>
        <v>74561</v>
      </c>
      <c r="J11" s="103" t="str">
        <f>_xlfn.IFERROR(IF(取值!J11&lt;0,"",取值!J11),"")</f>
        <v/>
      </c>
      <c r="K11" s="103" t="str">
        <f>IF(取值!K11&lt;0,"",取值!K11)</f>
        <v/>
      </c>
      <c r="L11" s="111" t="str">
        <f>IF(取值!L11=0,"",取值!L11)</f>
        <v/>
      </c>
      <c r="M11" s="103" t="str">
        <f>IF(取值!M11=0,"",取值!M11)</f>
        <v/>
      </c>
      <c r="N11" s="103" t="str">
        <f>IF(取值!N11=0,"",取值!N11)</f>
        <v/>
      </c>
      <c r="O11" s="103" t="str">
        <f>IF(取值!O11=0,"",取值!O11)</f>
        <v/>
      </c>
      <c r="P11" s="103" t="str">
        <f>IF(取值!P11=0,"",取值!P11)</f>
        <v/>
      </c>
      <c r="Q11" s="103" t="str">
        <f>IF(取值!Q11=0,"",取值!Q11)</f>
        <v/>
      </c>
      <c r="R11" s="113"/>
      <c r="S11" s="116"/>
      <c r="T11" s="114"/>
    </row>
    <row customHeight="1" ht="15">
      <c r="A12" s="114"/>
      <c r="B12" s="99" t="s">
        <v>30</v>
      </c>
      <c r="C12" s="60">
        <f>取值!C12</f>
        <v>328000</v>
      </c>
      <c r="D12" s="60">
        <f>IF(取值!D12=0,"",取值!D12)</f>
        <v>6565</v>
      </c>
      <c r="E12" s="60">
        <f>IF(取值!E12=0,"",取值!E12)</f>
        <v>47524</v>
      </c>
      <c r="F12" s="60">
        <f>_xlfn.IFERROR(IF(取值!F12&lt;0,"",取值!F12),"")</f>
        <v>280476</v>
      </c>
      <c r="G12" s="60">
        <f>IF(取值!G12&lt;0,"",取值!G12)</f>
        <v>11686.5</v>
      </c>
      <c r="H12" s="60">
        <f>取值!H12</f>
        <v>0</v>
      </c>
      <c r="I12" s="60">
        <f>IF(取值!I12=0,"",取值!I12)</f>
        <v>47524</v>
      </c>
      <c r="J12" s="60" t="str">
        <f>_xlfn.IFERROR(IF(取值!J12&lt;0,"",取值!J12),"")</f>
        <v/>
      </c>
      <c r="K12" s="60" t="str">
        <f>IF(取值!K12&lt;0,"",取值!K12)</f>
        <v/>
      </c>
      <c r="L12" s="109" t="str">
        <f>IF(取值!L12=0,"",取值!L12)</f>
        <v/>
      </c>
      <c r="M12" s="60" t="str">
        <f>IF(取值!M12=0,"",取值!M12)</f>
        <v/>
      </c>
      <c r="N12" s="60" t="str">
        <f>IF(取值!N12=0,"",取值!N12)</f>
        <v/>
      </c>
      <c r="O12" s="60" t="str">
        <f>IF(取值!O12=0,"",取值!O12)</f>
        <v/>
      </c>
      <c r="P12" s="60" t="str">
        <f>IF(取值!P12=0,"",取值!P12)</f>
        <v/>
      </c>
      <c r="Q12" s="60" t="str">
        <f>IF(取值!Q12=0,"",取值!Q12)</f>
        <v/>
      </c>
      <c r="R12" s="57"/>
      <c r="S12" s="116"/>
      <c r="T12" s="114"/>
    </row>
    <row customHeight="1" ht="15">
      <c r="A13" s="114"/>
      <c r="B13" s="99" t="s">
        <v>31</v>
      </c>
      <c r="C13" s="60">
        <f>取值!C13</f>
        <v>130000</v>
      </c>
      <c r="D13" s="60">
        <f>IF(取值!D13=0,"",取值!D13)</f>
        <v>834</v>
      </c>
      <c r="E13" s="60">
        <f>IF(取值!E13=0,"",取值!E13)</f>
        <v>27037</v>
      </c>
      <c r="F13" s="60">
        <f>_xlfn.IFERROR(IF(取值!F13&lt;0,"",取值!F13),"")</f>
        <v>102963</v>
      </c>
      <c r="G13" s="60">
        <f>IF(取值!G13&lt;0,"",取值!G13)</f>
        <v>4290.125</v>
      </c>
      <c r="H13" s="60">
        <f>取值!H13</f>
        <v>0</v>
      </c>
      <c r="I13" s="60">
        <f>IF(取值!I13=0,"",取值!I13)</f>
        <v>27037</v>
      </c>
      <c r="J13" s="60" t="str">
        <f>_xlfn.IFERROR(IF(取值!J13&lt;0,"",取值!J13),"")</f>
        <v/>
      </c>
      <c r="K13" s="60" t="str">
        <f>IF(取值!K13&lt;0,"",取值!K13)</f>
        <v/>
      </c>
      <c r="L13" s="109" t="str">
        <f>IF(取值!L13=0,"",取值!L13)</f>
        <v/>
      </c>
      <c r="M13" s="60" t="str">
        <f>IF(取值!M13=0,"",取值!M13)</f>
        <v/>
      </c>
      <c r="N13" s="60" t="str">
        <f>IF(取值!N13=0,"",取值!N13)</f>
        <v/>
      </c>
      <c r="O13" s="60" t="str">
        <f>IF(取值!O13=0,"",取值!O13)</f>
        <v/>
      </c>
      <c r="P13" s="60" t="str">
        <f>IF(取值!P13=0,"",取值!P13)</f>
        <v/>
      </c>
      <c r="Q13" s="60" t="str">
        <f>IF(取值!Q13=0,"",取值!Q13)</f>
        <v/>
      </c>
      <c r="R13" s="57"/>
      <c r="S13" s="116"/>
      <c r="T13" s="114"/>
    </row>
    <row customHeight="1" ht="15">
      <c r="A14" s="114"/>
      <c r="B14" s="99" t="s">
        <v>32</v>
      </c>
      <c r="C14" s="60">
        <f>取值!C14</f>
        <v>408000</v>
      </c>
      <c r="D14" s="60">
        <f>IF(取值!D14=0,"",取值!D14)</f>
        <v>15469</v>
      </c>
      <c r="E14" s="60">
        <f>IF(取值!E14=0,"",取值!E14)</f>
        <v>83308</v>
      </c>
      <c r="F14" s="60">
        <f>_xlfn.IFERROR(IF(取值!F14&lt;0,"",取值!F14),"")</f>
        <v>324692</v>
      </c>
      <c r="G14" s="60">
        <f>IF(取值!G14&lt;0,"",取值!G14)</f>
        <v>13528.8333333333</v>
      </c>
      <c r="H14" s="60">
        <f>取值!H14</f>
        <v>0</v>
      </c>
      <c r="I14" s="60">
        <f>IF(取值!I14=0,"",取值!I14)</f>
        <v>83308</v>
      </c>
      <c r="J14" s="60" t="str">
        <f>_xlfn.IFERROR(IF(取值!J14&lt;0,"",取值!J14),"")</f>
        <v/>
      </c>
      <c r="K14" s="60" t="str">
        <f>IF(取值!K14&lt;0,"",取值!K14)</f>
        <v/>
      </c>
      <c r="L14" s="109" t="str">
        <f>IF(取值!L14=0,"",取值!L14)</f>
        <v/>
      </c>
      <c r="M14" s="60" t="str">
        <f>IF(取值!M14=0,"",取值!M14)</f>
        <v/>
      </c>
      <c r="N14" s="60" t="str">
        <f>IF(取值!N14=0,"",取值!N14)</f>
        <v/>
      </c>
      <c r="O14" s="60" t="str">
        <f>IF(取值!O14=0,"",取值!O14)</f>
        <v/>
      </c>
      <c r="P14" s="60" t="str">
        <f>IF(取值!P14=0,"",取值!P14)</f>
        <v/>
      </c>
      <c r="Q14" s="60" t="str">
        <f>IF(取值!Q14=0,"",取值!Q14)</f>
        <v/>
      </c>
      <c r="R14" s="57"/>
      <c r="S14" s="116"/>
      <c r="T14" s="114"/>
    </row>
    <row customHeight="1" ht="15">
      <c r="A15" s="114"/>
      <c r="B15" s="99" t="s">
        <v>33</v>
      </c>
      <c r="C15" s="60">
        <f>取值!C15</f>
        <v>0</v>
      </c>
      <c r="D15" s="60" t="str">
        <f>IF(取值!D15=0,"",取值!D15)</f>
        <v/>
      </c>
      <c r="E15" s="60" t="str">
        <f>IF(取值!E15=0,"",取值!E15)</f>
        <v/>
      </c>
      <c r="F15" s="60" t="str">
        <f>_xlfn.IFERROR(IF(取值!F15&lt;0,"",取值!F15),"")</f>
        <v/>
      </c>
      <c r="G15" s="60" t="str">
        <f>IF(取值!G15&lt;0,"",取值!G15)</f>
        <v/>
      </c>
      <c r="H15" s="60">
        <f>取值!H15</f>
        <v>0</v>
      </c>
      <c r="I15" s="60" t="str">
        <f>IF(取值!I15=0,"",取值!I15)</f>
        <v/>
      </c>
      <c r="J15" s="60">
        <f>_xlfn.IFERROR(IF(取值!J15&lt;0,"",取值!J15),"")</f>
        <v>0</v>
      </c>
      <c r="K15" s="60">
        <f>IF(取值!K15&lt;0,"",取值!K15)</f>
        <v>0</v>
      </c>
      <c r="L15" s="109" t="str">
        <f>IF(取值!L15=0,"",取值!L15)</f>
        <v/>
      </c>
      <c r="M15" s="60" t="str">
        <f>IF(取值!M15=0,"",取值!M15)</f>
        <v/>
      </c>
      <c r="N15" s="60" t="str">
        <f>IF(取值!N15=0,"",取值!N15)</f>
        <v/>
      </c>
      <c r="O15" s="60" t="str">
        <f>IF(取值!O15=0,"",取值!O15)</f>
        <v/>
      </c>
      <c r="P15" s="60" t="str">
        <f>IF(取值!P15=0,"",取值!P15)</f>
        <v/>
      </c>
      <c r="Q15" s="60" t="str">
        <f>IF(取值!Q15=0,"",取值!Q15)</f>
        <v/>
      </c>
      <c r="R15" s="57"/>
      <c r="S15" s="116"/>
      <c r="T15" s="114"/>
    </row>
    <row customHeight="1" ht="15">
      <c r="A16" s="114"/>
      <c r="B16" s="99" t="s">
        <v>34</v>
      </c>
      <c r="C16" s="60">
        <f>取值!C16</f>
        <v>0</v>
      </c>
      <c r="D16" s="60">
        <f>IF(取值!D16=0,"",取值!D16)</f>
        <v>2075</v>
      </c>
      <c r="E16" s="60">
        <f>IF(取值!E16=0,"",取值!E16)</f>
        <v>28295</v>
      </c>
      <c r="F16" s="60" t="str">
        <f>_xlfn.IFERROR(IF(取值!F16&lt;0,"",取值!F16),"")</f>
        <v/>
      </c>
      <c r="G16" s="60" t="str">
        <f>IF(取值!G16&lt;0,"",取值!G16)</f>
        <v/>
      </c>
      <c r="H16" s="139"/>
      <c r="I16" s="60">
        <f>IF(取值!I16=0,"",取值!I16)</f>
        <v>28295</v>
      </c>
      <c r="J16" s="60">
        <f>_xlfn.IFERROR(IF(取值!J16&lt;0,"",取值!J16),"")</f>
        <v>4871705</v>
      </c>
      <c r="K16" s="60">
        <f>IF(取值!K16&lt;0,"",取值!K16)</f>
        <v>13608.1145251397</v>
      </c>
      <c r="L16" s="109">
        <f>IF(取值!L16=0,"",取值!L16)</f>
        <v>0.577448979591837</v>
      </c>
      <c r="M16" s="60" t="str">
        <f>IF(取值!M16=0,"",取值!M16)</f>
        <v/>
      </c>
      <c r="N16" s="60" t="str">
        <f>IF(取值!N16=0,"",取值!N16)</f>
        <v/>
      </c>
      <c r="O16" s="60" t="str">
        <f>IF(取值!O16=0,"",取值!O16)</f>
        <v/>
      </c>
      <c r="P16" s="60" t="str">
        <f>IF(取值!P16=0,"",取值!P16)</f>
        <v/>
      </c>
      <c r="Q16" s="60" t="str">
        <f>IF(取值!Q16=0,"",取值!Q16)</f>
        <v/>
      </c>
      <c r="R16" s="57"/>
      <c r="S16" s="116"/>
      <c r="T16" s="114"/>
    </row>
    <row customHeight="1" ht="15">
      <c r="A17" s="114"/>
      <c r="B17" s="104" t="s">
        <v>35</v>
      </c>
      <c r="C17" s="60">
        <f>取值!C17</f>
        <v>30000</v>
      </c>
      <c r="D17" s="60">
        <f>IF(取值!D17=0,"",取值!D17)</f>
        <v>3500</v>
      </c>
      <c r="E17" s="60">
        <f>IF(取值!E17=0,"",取值!E17)</f>
        <v>3500</v>
      </c>
      <c r="F17" s="60">
        <f>_xlfn.IFERROR(IF(取值!F17&lt;0,"",取值!F17),"")</f>
        <v>26500</v>
      </c>
      <c r="G17" s="60" t="str">
        <f>IF(取值!G17&lt;0,"",取值!G17)</f>
        <v/>
      </c>
      <c r="H17" s="139"/>
      <c r="I17" s="60">
        <f>IF(取值!I17=0,"",取值!I17)</f>
        <v>3500</v>
      </c>
      <c r="J17" s="60">
        <f>_xlfn.IFERROR(IF(取值!J17&lt;0,"",取值!J17),"")</f>
        <v>76500</v>
      </c>
      <c r="K17" s="60">
        <f>IF(取值!K17&lt;0,"",取值!K17)</f>
        <v>213.687150837989</v>
      </c>
      <c r="L17" s="109">
        <f>IF(取值!L17=0,"",取值!L17)</f>
        <v>4.375</v>
      </c>
      <c r="M17" s="60" t="str">
        <f>IF(取值!M17=0,"",取值!M17)</f>
        <v/>
      </c>
      <c r="N17" s="60" t="str">
        <f>IF(取值!N17=0,"",取值!N17)</f>
        <v/>
      </c>
      <c r="O17" s="60" t="str">
        <f>IF(取值!O17=0,"",取值!O17)</f>
        <v/>
      </c>
      <c r="P17" s="60" t="str">
        <f>IF(取值!P17=0,"",取值!P17)</f>
        <v/>
      </c>
      <c r="Q17" s="60" t="str">
        <f>IF(取值!Q17=0,"",取值!Q17)</f>
        <v/>
      </c>
      <c r="R17" s="57"/>
      <c r="S17" s="116"/>
      <c r="T17" s="114"/>
    </row>
    <row customHeight="1" ht="15">
      <c r="A18" s="114"/>
      <c r="B18" s="104" t="s">
        <v>36</v>
      </c>
      <c r="C18" s="60">
        <f>取值!C18</f>
        <v>30000</v>
      </c>
      <c r="D18" s="60">
        <f>IF(取值!D18=0,"",取值!D18)</f>
        <v>1352</v>
      </c>
      <c r="E18" s="60">
        <f>IF(取值!E18=0,"",取值!E18)</f>
        <v>1352</v>
      </c>
      <c r="F18" s="60">
        <f>_xlfn.IFERROR(IF(取值!F18&lt;0,"",取值!F18),"")</f>
        <v>28648</v>
      </c>
      <c r="G18" s="60" t="str">
        <f>IF(取值!G18&lt;0,"",取值!G18)</f>
        <v/>
      </c>
      <c r="H18" s="139"/>
      <c r="I18" s="60">
        <f>IF(取值!I18=0,"",取值!I18)</f>
        <v>1352</v>
      </c>
      <c r="J18" s="60">
        <f>_xlfn.IFERROR(IF(取值!J18&lt;0,"",取值!J18),"")</f>
        <v>48648</v>
      </c>
      <c r="K18" s="60">
        <f>IF(取值!K18&lt;0,"",取值!K18)</f>
        <v>135.888268156425</v>
      </c>
      <c r="L18" s="109">
        <f>IF(取值!L18=0,"",取值!L18)</f>
        <v>2.704</v>
      </c>
      <c r="M18" s="60" t="str">
        <f>IF(取值!M18=0,"",取值!M18)</f>
        <v/>
      </c>
      <c r="N18" s="60" t="str">
        <f>IF(取值!N18=0,"",取值!N18)</f>
        <v/>
      </c>
      <c r="O18" s="60" t="str">
        <f>IF(取值!O18=0,"",取值!O18)</f>
        <v/>
      </c>
      <c r="P18" s="60" t="str">
        <f>IF(取值!P18=0,"",取值!P18)</f>
        <v/>
      </c>
      <c r="Q18" s="60" t="str">
        <f>IF(取值!Q18=0,"",取值!Q18)</f>
        <v/>
      </c>
      <c r="R18" s="57"/>
      <c r="S18" s="116"/>
      <c r="T18" s="114"/>
    </row>
    <row customHeight="1" ht="15">
      <c r="A19" s="114"/>
      <c r="B19" s="104" t="s">
        <v>37</v>
      </c>
      <c r="C19" s="60">
        <f>取值!C19</f>
        <v>43899.604</v>
      </c>
      <c r="D19" s="60">
        <f>IF(取值!D19=0,"",取值!D19)</f>
        <v>1204</v>
      </c>
      <c r="E19" s="60">
        <f>IF(取值!E19=0,"",取值!E19)</f>
        <v>9331</v>
      </c>
      <c r="F19" s="60">
        <f>_xlfn.IFERROR(IF(取值!F19&lt;0,"",取值!F19),"")</f>
        <v>34568.604</v>
      </c>
      <c r="G19" s="60" t="str">
        <f>IF(取值!G19&lt;0,"",取值!G19)</f>
        <v/>
      </c>
      <c r="H19" s="60">
        <f>取值!H19</f>
        <v>0</v>
      </c>
      <c r="I19" s="60">
        <f>IF(取值!I19=0,"",取值!I19)</f>
        <v>9331</v>
      </c>
      <c r="J19" s="60" t="str">
        <f>_xlfn.IFERROR(IF(取值!J19&lt;0,"",取值!J19),"")</f>
        <v/>
      </c>
      <c r="K19" s="60" t="str">
        <f>IF(取值!K19&lt;0,"",取值!K19)</f>
        <v/>
      </c>
      <c r="L19" s="109" t="str">
        <f>IF(取值!L19=0,"",取值!L19)</f>
        <v/>
      </c>
      <c r="M19" s="60" t="str">
        <f>IF(取值!M19=0,"",取值!M19)</f>
        <v/>
      </c>
      <c r="N19" s="60" t="str">
        <f>IF(取值!N19=0,"",取值!N19)</f>
        <v/>
      </c>
      <c r="O19" s="60" t="str">
        <f>IF(取值!O19=0,"",取值!O19)</f>
        <v/>
      </c>
      <c r="P19" s="60" t="str">
        <f>IF(取值!P19=0,"",取值!P19)</f>
        <v/>
      </c>
      <c r="Q19" s="60" t="str">
        <f>IF(取值!Q19=0,"",取值!Q19)</f>
        <v/>
      </c>
      <c r="R19" s="57"/>
      <c r="S19" s="116"/>
      <c r="T19" s="114"/>
    </row>
    <row customHeight="1" ht="15">
      <c r="A20" s="114"/>
      <c r="B20" s="104" t="s">
        <v>38</v>
      </c>
      <c r="C20" s="60">
        <f>取值!C20</f>
        <v>120000</v>
      </c>
      <c r="D20" s="60">
        <f>IF(取值!D20=0,"",取值!D20)</f>
        <v>2119</v>
      </c>
      <c r="E20" s="60">
        <f>IF(取值!E20=0,"",取值!E20)</f>
        <v>15226</v>
      </c>
      <c r="F20" s="60">
        <f>_xlfn.IFERROR(IF(取值!F20&lt;0,"",取值!F20),"")</f>
        <v>104774</v>
      </c>
      <c r="G20" s="60">
        <f>IF(取值!G20&lt;0,"",取值!G20)</f>
        <v>4365.58333333333</v>
      </c>
      <c r="H20" s="60">
        <f>取值!H20</f>
        <v>0</v>
      </c>
      <c r="I20" s="60">
        <f>IF(取值!I20=0,"",取值!I20)</f>
        <v>15226</v>
      </c>
      <c r="J20" s="60" t="str">
        <f>_xlfn.IFERROR(IF(取值!J20&lt;0,"",取值!J20),"")</f>
        <v/>
      </c>
      <c r="K20" s="60" t="str">
        <f>IF(取值!K20&lt;0,"",取值!K20)</f>
        <v/>
      </c>
      <c r="L20" s="109" t="str">
        <f>IF(取值!L20=0,"",取值!L20)</f>
        <v/>
      </c>
      <c r="M20" s="60" t="str">
        <f>IF(取值!M20=0,"",取值!M20)</f>
        <v/>
      </c>
      <c r="N20" s="60" t="str">
        <f>IF(取值!N20=0,"",取值!N20)</f>
        <v/>
      </c>
      <c r="O20" s="60" t="str">
        <f>IF(取值!O20=0,"",取值!O20)</f>
        <v/>
      </c>
      <c r="P20" s="60" t="str">
        <f>IF(取值!P20=0,"",取值!P20)</f>
        <v/>
      </c>
      <c r="Q20" s="60" t="str">
        <f>IF(取值!Q20=0,"",取值!Q20)</f>
        <v/>
      </c>
      <c r="R20" s="57"/>
      <c r="S20" s="116"/>
      <c r="T20" s="114"/>
    </row>
    <row customHeight="1" ht="15">
      <c r="A21" s="114"/>
      <c r="B21" s="99" t="s">
        <v>39</v>
      </c>
      <c r="C21" s="60">
        <f>取值!C21</f>
        <v>4600.36</v>
      </c>
      <c r="D21" s="60">
        <f>IF(取值!D21=0,"",取值!D21)</f>
        <v>151</v>
      </c>
      <c r="E21" s="60">
        <f>IF(取值!E21=0,"",取值!E21)</f>
        <v>1075</v>
      </c>
      <c r="F21" s="60">
        <f>_xlfn.IFERROR(IF(取值!F21&lt;0,"",取值!F21),"")</f>
        <v>3525.36</v>
      </c>
      <c r="G21" s="60">
        <f>IF(取值!G21&lt;0,"",取值!G21)</f>
        <v>146.89</v>
      </c>
      <c r="H21" s="60">
        <f>取值!H21</f>
        <v>0</v>
      </c>
      <c r="I21" s="60">
        <f>IF(取值!I21=0,"",取值!I21)</f>
        <v>1075</v>
      </c>
      <c r="J21" s="60" t="str">
        <f>_xlfn.IFERROR(IF(取值!J21&lt;0,"",取值!J21),"")</f>
        <v/>
      </c>
      <c r="K21" s="60" t="str">
        <f>IF(取值!K21&lt;0,"",取值!K21)</f>
        <v/>
      </c>
      <c r="L21" s="109" t="str">
        <f>IF(取值!L21=0,"",取值!L21)</f>
        <v/>
      </c>
      <c r="M21" s="60" t="str">
        <f>IF(取值!M21=0,"",取值!M21)</f>
        <v/>
      </c>
      <c r="N21" s="60" t="str">
        <f>IF(取值!N21=0,"",取值!N21)</f>
        <v/>
      </c>
      <c r="O21" s="60" t="str">
        <f>IF(取值!O21=0,"",取值!O21)</f>
        <v/>
      </c>
      <c r="P21" s="60" t="str">
        <f>IF(取值!P21=0,"",取值!P21)</f>
        <v/>
      </c>
      <c r="Q21" s="60" t="str">
        <f>IF(取值!Q21=0,"",取值!Q21)</f>
        <v/>
      </c>
      <c r="R21" s="57"/>
      <c r="S21" s="116"/>
      <c r="T21" s="114"/>
    </row>
    <row customHeight="1" ht="15">
      <c r="A22" s="114"/>
      <c r="B22" s="99" t="s">
        <v>40</v>
      </c>
      <c r="C22" s="60">
        <f>取值!C22</f>
        <v>26499.939</v>
      </c>
      <c r="D22" s="60">
        <f>IF(取值!D22=0,"",取值!D22)</f>
        <v>914.56</v>
      </c>
      <c r="E22" s="60">
        <f>IF(取值!E22=0,"",取值!E22)</f>
        <v>6369.06</v>
      </c>
      <c r="F22" s="60">
        <f>_xlfn.IFERROR(IF(取值!F22&lt;0,"",取值!F22),"")</f>
        <v>20130.879</v>
      </c>
      <c r="G22" s="60">
        <f>IF(取值!G22&lt;0,"",取值!G22)</f>
        <v>838.786625</v>
      </c>
      <c r="H22" s="60">
        <f>取值!H22</f>
        <v>0</v>
      </c>
      <c r="I22" s="60">
        <f>IF(取值!I22=0,"",取值!I22)</f>
        <v>6369.06</v>
      </c>
      <c r="J22" s="60" t="str">
        <f>_xlfn.IFERROR(IF(取值!J22&lt;0,"",取值!J22),"")</f>
        <v/>
      </c>
      <c r="K22" s="60" t="str">
        <f>IF(取值!K22&lt;0,"",取值!K22)</f>
        <v/>
      </c>
      <c r="L22" s="109" t="str">
        <f>IF(取值!L22=0,"",取值!L22)</f>
        <v/>
      </c>
      <c r="M22" s="60" t="str">
        <f>IF(取值!M22=0,"",取值!M22)</f>
        <v/>
      </c>
      <c r="N22" s="60" t="str">
        <f>IF(取值!N22=0,"",取值!N22)</f>
        <v/>
      </c>
      <c r="O22" s="60" t="str">
        <f>IF(取值!O22=0,"",取值!O22)</f>
        <v/>
      </c>
      <c r="P22" s="60" t="str">
        <f>IF(取值!P22=0,"",取值!P22)</f>
        <v/>
      </c>
      <c r="Q22" s="60" t="str">
        <f>IF(取值!Q22=0,"",取值!Q22)</f>
        <v/>
      </c>
      <c r="R22" s="57"/>
      <c r="S22" s="116"/>
      <c r="T22" s="114"/>
    </row>
    <row customHeight="1" ht="15">
      <c r="A23" s="114"/>
      <c r="B23" s="99" t="s">
        <v>41</v>
      </c>
      <c r="C23" s="60">
        <f>取值!C23</f>
        <v>26800</v>
      </c>
      <c r="D23" s="60">
        <f>IF(取值!D23=0,"",取值!D23)</f>
        <v>943</v>
      </c>
      <c r="E23" s="60">
        <f>IF(取值!E23=0,"",取值!E23)</f>
        <v>6694</v>
      </c>
      <c r="F23" s="60">
        <f>_xlfn.IFERROR(IF(取值!F23&lt;0,"",取值!F23),"")</f>
        <v>20106</v>
      </c>
      <c r="G23" s="60">
        <f>IF(取值!G23&lt;0,"",取值!G23)</f>
        <v>837.75</v>
      </c>
      <c r="H23" s="60">
        <f>取值!H23</f>
        <v>0</v>
      </c>
      <c r="I23" s="60">
        <f>IF(取值!I23=0,"",取值!I23)</f>
        <v>6694</v>
      </c>
      <c r="J23" s="60" t="str">
        <f>_xlfn.IFERROR(IF(取值!J23&lt;0,"",取值!J23),"")</f>
        <v/>
      </c>
      <c r="K23" s="60" t="str">
        <f>IF(取值!K23&lt;0,"",取值!K23)</f>
        <v/>
      </c>
      <c r="L23" s="109" t="str">
        <f>IF(取值!L23=0,"",取值!L23)</f>
        <v/>
      </c>
      <c r="M23" s="60" t="str">
        <f>IF(取值!M23=0,"",取值!M23)</f>
        <v/>
      </c>
      <c r="N23" s="60" t="str">
        <f>IF(取值!N23=0,"",取值!N23)</f>
        <v/>
      </c>
      <c r="O23" s="60" t="str">
        <f>IF(取值!O23=0,"",取值!O23)</f>
        <v/>
      </c>
      <c r="P23" s="60" t="str">
        <f>IF(取值!P23=0,"",取值!P23)</f>
        <v/>
      </c>
      <c r="Q23" s="60" t="str">
        <f>IF(取值!Q23=0,"",取值!Q23)</f>
        <v/>
      </c>
      <c r="R23" s="57"/>
      <c r="S23" s="116"/>
      <c r="T23" s="114"/>
    </row>
    <row customHeight="1" ht="15">
      <c r="A24" s="114"/>
      <c r="B24" s="99" t="s">
        <v>42</v>
      </c>
      <c r="C24" s="60">
        <f>取值!C24</f>
        <v>5100.027</v>
      </c>
      <c r="D24" s="60">
        <f>IF(取值!D24=0,"",取值!D24)</f>
        <v>169</v>
      </c>
      <c r="E24" s="60">
        <f>IF(取值!E24=0,"",取值!E24)</f>
        <v>1128</v>
      </c>
      <c r="F24" s="60">
        <f>_xlfn.IFERROR(IF(取值!F24&lt;0,"",取值!F24),"")</f>
        <v>3972.027</v>
      </c>
      <c r="G24" s="60">
        <f>IF(取值!G24&lt;0,"",取值!G24)</f>
        <v>165.501125</v>
      </c>
      <c r="H24" s="60">
        <f>取值!H24</f>
        <v>0</v>
      </c>
      <c r="I24" s="60">
        <f>IF(取值!I24=0,"",取值!I24)</f>
        <v>1128</v>
      </c>
      <c r="J24" s="60" t="str">
        <f>_xlfn.IFERROR(IF(取值!J24&lt;0,"",取值!J24),"")</f>
        <v/>
      </c>
      <c r="K24" s="60" t="str">
        <f>IF(取值!K24&lt;0,"",取值!K24)</f>
        <v/>
      </c>
      <c r="L24" s="109" t="str">
        <f>IF(取值!L24=0,"",取值!L24)</f>
        <v/>
      </c>
      <c r="M24" s="60" t="str">
        <f>IF(取值!M24=0,"",取值!M24)</f>
        <v/>
      </c>
      <c r="N24" s="60" t="str">
        <f>IF(取值!N24=0,"",取值!N24)</f>
        <v/>
      </c>
      <c r="O24" s="60" t="str">
        <f>IF(取值!O24=0,"",取值!O24)</f>
        <v/>
      </c>
      <c r="P24" s="60" t="str">
        <f>IF(取值!P24=0,"",取值!P24)</f>
        <v/>
      </c>
      <c r="Q24" s="60" t="str">
        <f>IF(取值!Q24=0,"",取值!Q24)</f>
        <v/>
      </c>
      <c r="R24" s="57"/>
      <c r="S24" s="116"/>
      <c r="T24" s="114"/>
    </row>
    <row customHeight="1" ht="15">
      <c r="A25" s="114"/>
      <c r="B25" s="99" t="s">
        <v>43</v>
      </c>
      <c r="C25" s="60">
        <f>取值!C25</f>
        <v>18000.055</v>
      </c>
      <c r="D25" s="60">
        <f>IF(取值!D25=0,"",取值!D25)</f>
        <v>604</v>
      </c>
      <c r="E25" s="60">
        <f>IF(取值!E25=0,"",取值!E25)</f>
        <v>4379</v>
      </c>
      <c r="F25" s="60">
        <f>_xlfn.IFERROR(IF(取值!F25&lt;0,"",取值!F25),"")</f>
        <v>13621.055</v>
      </c>
      <c r="G25" s="60">
        <f>IF(取值!G25&lt;0,"",取值!G25)</f>
        <v>567.543958333333</v>
      </c>
      <c r="H25" s="60">
        <f>取值!H25</f>
        <v>0</v>
      </c>
      <c r="I25" s="60">
        <f>IF(取值!I25=0,"",取值!I25)</f>
        <v>4379</v>
      </c>
      <c r="J25" s="60" t="str">
        <f>_xlfn.IFERROR(IF(取值!J25&lt;0,"",取值!J25),"")</f>
        <v/>
      </c>
      <c r="K25" s="60" t="str">
        <f>IF(取值!K25&lt;0,"",取值!K25)</f>
        <v/>
      </c>
      <c r="L25" s="109" t="str">
        <f>IF(取值!L25=0,"",取值!L25)</f>
        <v/>
      </c>
      <c r="M25" s="60" t="str">
        <f>IF(取值!M25=0,"",取值!M25)</f>
        <v/>
      </c>
      <c r="N25" s="60" t="str">
        <f>IF(取值!N25=0,"",取值!N25)</f>
        <v/>
      </c>
      <c r="O25" s="60" t="str">
        <f>IF(取值!O25=0,"",取值!O25)</f>
        <v/>
      </c>
      <c r="P25" s="60" t="str">
        <f>IF(取值!P25=0,"",取值!P25)</f>
        <v/>
      </c>
      <c r="Q25" s="60" t="str">
        <f>IF(取值!Q25=0,"",取值!Q25)</f>
        <v/>
      </c>
      <c r="R25" s="57"/>
      <c r="S25" s="116"/>
      <c r="T25" s="114"/>
    </row>
    <row customHeight="1" ht="15">
      <c r="A26" s="114"/>
      <c r="B26" s="99" t="s">
        <v>44</v>
      </c>
      <c r="C26" s="60">
        <f>取值!C26</f>
        <v>0</v>
      </c>
      <c r="D26" s="60" t="str">
        <f>IF(取值!D26=0,"",取值!D26)</f>
        <v/>
      </c>
      <c r="E26" s="60" t="str">
        <f>IF(取值!E26=0,"",取值!E26)</f>
        <v/>
      </c>
      <c r="F26" s="60" t="str">
        <f>_xlfn.IFERROR(IF(取值!F26&lt;0,"",取值!F26),"")</f>
        <v/>
      </c>
      <c r="G26" s="60" t="str">
        <f>IF(取值!G26&lt;0,"",取值!G26)</f>
        <v/>
      </c>
      <c r="H26" s="60">
        <f>取值!H26</f>
        <v>0</v>
      </c>
      <c r="I26" s="60" t="str">
        <f>IF(取值!I26=0,"",取值!I26)</f>
        <v/>
      </c>
      <c r="J26" s="60" t="str">
        <f>_xlfn.IFERROR(IF(取值!J26&lt;0,"",取值!J26),"")</f>
        <v/>
      </c>
      <c r="K26" s="60" t="str">
        <f>IF(取值!K26&lt;0,"",取值!K26)</f>
        <v/>
      </c>
      <c r="L26" s="109" t="str">
        <f>IF(取值!L26=0,"",取值!L26)</f>
        <v/>
      </c>
      <c r="M26" s="60" t="str">
        <f>IF(取值!M26=0,"",取值!M26)</f>
        <v/>
      </c>
      <c r="N26" s="60" t="str">
        <f>IF(取值!N26=0,"",取值!N26)</f>
        <v/>
      </c>
      <c r="O26" s="60" t="str">
        <f>IF(取值!O26=0,"",取值!O26)</f>
        <v/>
      </c>
      <c r="P26" s="60" t="str">
        <f>IF(取值!P26=0,"",取值!P26)</f>
        <v/>
      </c>
      <c r="Q26" s="60" t="str">
        <f>IF(取值!Q26=0,"",取值!Q26)</f>
        <v/>
      </c>
      <c r="R26" s="57"/>
      <c r="S26" s="116"/>
      <c r="T26" s="114"/>
    </row>
    <row customHeight="1" ht="15">
      <c r="A27" s="114"/>
      <c r="B27" s="99" t="s">
        <v>45</v>
      </c>
      <c r="C27" s="60">
        <f>取值!C27</f>
        <v>0</v>
      </c>
      <c r="D27" s="60">
        <f>IF(取值!D27=0,"",取值!D27)</f>
        <v>1917.48</v>
      </c>
      <c r="E27" s="60">
        <f>IF(取值!E27=0,"",取值!E27)</f>
        <v>10122.14</v>
      </c>
      <c r="F27" s="60" t="str">
        <f>_xlfn.IFERROR(IF(取值!F27&lt;0,"",取值!F27),"")</f>
        <v/>
      </c>
      <c r="G27" s="60" t="str">
        <f>IF(取值!G27&lt;0,"",取值!G27)</f>
        <v/>
      </c>
      <c r="H27" s="60">
        <f>取值!H27</f>
        <v>0</v>
      </c>
      <c r="I27" s="60">
        <f>IF(取值!I27=0,"",取值!I27)</f>
        <v>10122.14</v>
      </c>
      <c r="J27" s="60" t="str">
        <f>_xlfn.IFERROR(IF(取值!J27&lt;0,"",取值!J27),"")</f>
        <v/>
      </c>
      <c r="K27" s="60" t="str">
        <f>IF(取值!K27&lt;0,"",取值!K27)</f>
        <v/>
      </c>
      <c r="L27" s="109" t="str">
        <f>IF(取值!L27=0,"",取值!L27)</f>
        <v/>
      </c>
      <c r="M27" s="60" t="str">
        <f>IF(取值!M27=0,"",取值!M27)</f>
        <v/>
      </c>
      <c r="N27" s="60" t="str">
        <f>IF(取值!N27=0,"",取值!N27)</f>
        <v/>
      </c>
      <c r="O27" s="60" t="str">
        <f>IF(取值!O27=0,"",取值!O27)</f>
        <v/>
      </c>
      <c r="P27" s="60" t="str">
        <f>IF(取值!P27=0,"",取值!P27)</f>
        <v/>
      </c>
      <c r="Q27" s="60" t="str">
        <f>IF(取值!Q27=0,"",取值!Q27)</f>
        <v/>
      </c>
      <c r="R27" s="57"/>
      <c r="S27" s="116"/>
      <c r="T27" s="114"/>
    </row>
    <row customHeight="1" ht="15">
      <c r="A28" s="114"/>
      <c r="B28" s="99" t="s">
        <v>46</v>
      </c>
      <c r="C28" s="60">
        <f>取值!C28</f>
        <v>120000</v>
      </c>
      <c r="D28" s="60">
        <f>IF(取值!D28=0,"",取值!D28)</f>
        <v>3906</v>
      </c>
      <c r="E28" s="60">
        <f>IF(取值!E28=0,"",取值!E28)</f>
        <v>25627</v>
      </c>
      <c r="F28" s="60">
        <f>_xlfn.IFERROR(IF(取值!F28&lt;0,"",取值!F28),"")</f>
        <v>94373</v>
      </c>
      <c r="G28" s="60">
        <f>IF(取值!G28&lt;0,"",取值!G28)</f>
        <v>3932.20833333333</v>
      </c>
      <c r="H28" s="60">
        <f>取值!H28</f>
        <v>0</v>
      </c>
      <c r="I28" s="60">
        <f>IF(取值!I28=0,"",取值!I28)</f>
        <v>25627</v>
      </c>
      <c r="J28" s="60" t="str">
        <f>_xlfn.IFERROR(IF(取值!J28&lt;0,"",取值!J28),"")</f>
        <v/>
      </c>
      <c r="K28" s="60" t="str">
        <f>IF(取值!K28&lt;0,"",取值!K28)</f>
        <v/>
      </c>
      <c r="L28" s="109" t="str">
        <f>IF(取值!L28=0,"",取值!L28)</f>
        <v/>
      </c>
      <c r="M28" s="60" t="str">
        <f>IF(取值!M28=0,"",取值!M28)</f>
        <v/>
      </c>
      <c r="N28" s="60" t="str">
        <f>IF(取值!N28=0,"",取值!N28)</f>
        <v/>
      </c>
      <c r="O28" s="60" t="str">
        <f>IF(取值!O28=0,"",取值!O28)</f>
        <v/>
      </c>
      <c r="P28" s="60" t="str">
        <f>IF(取值!P28=0,"",取值!P28)</f>
        <v/>
      </c>
      <c r="Q28" s="60" t="str">
        <f>IF(取值!Q28=0,"",取值!Q28)</f>
        <v/>
      </c>
      <c r="R28" s="57"/>
      <c r="S28" s="116"/>
      <c r="T28" s="114"/>
    </row>
    <row customHeight="1" ht="15">
      <c r="A29" s="114"/>
      <c r="B29" s="99" t="s">
        <v>47</v>
      </c>
      <c r="C29" s="60">
        <f>取值!C29</f>
        <v>5000</v>
      </c>
      <c r="D29" s="60">
        <f>IF(取值!D29=0,"",取值!D29)</f>
        <v>190</v>
      </c>
      <c r="E29" s="60">
        <f>IF(取值!E29=0,"",取值!E29)</f>
        <v>1488</v>
      </c>
      <c r="F29" s="60">
        <f>_xlfn.IFERROR(IF(取值!F29&lt;0,"",取值!F29),"")</f>
        <v>3512</v>
      </c>
      <c r="G29" s="60">
        <f>IF(取值!G29&lt;0,"",取值!G29)</f>
        <v>146.333333333333</v>
      </c>
      <c r="H29" s="60">
        <f>取值!H29</f>
        <v>0</v>
      </c>
      <c r="I29" s="60">
        <f>IF(取值!I29=0,"",取值!I29)</f>
        <v>1488</v>
      </c>
      <c r="J29" s="60" t="str">
        <f>_xlfn.IFERROR(IF(取值!J29&lt;0,"",取值!J29),"")</f>
        <v/>
      </c>
      <c r="K29" s="60" t="str">
        <f>IF(取值!K29&lt;0,"",取值!K29)</f>
        <v/>
      </c>
      <c r="L29" s="109" t="str">
        <f>IF(取值!L29=0,"",取值!L29)</f>
        <v/>
      </c>
      <c r="M29" s="60" t="str">
        <f>IF(取值!M29=0,"",取值!M29)</f>
        <v/>
      </c>
      <c r="N29" s="60" t="str">
        <f>IF(取值!N29=0,"",取值!N29)</f>
        <v/>
      </c>
      <c r="O29" s="60" t="str">
        <f>IF(取值!O29=0,"",取值!O29)</f>
        <v/>
      </c>
      <c r="P29" s="60" t="str">
        <f>IF(取值!P29=0,"",取值!P29)</f>
        <v/>
      </c>
      <c r="Q29" s="60" t="str">
        <f>IF(取值!Q29=0,"",取值!Q29)</f>
        <v/>
      </c>
      <c r="R29" s="57"/>
      <c r="S29" s="116"/>
      <c r="T29" s="114"/>
    </row>
    <row customHeight="1" ht="15">
      <c r="A30" s="114"/>
      <c r="B30" s="99" t="s">
        <v>48</v>
      </c>
      <c r="C30" s="60">
        <f>取值!C30</f>
        <v>5000</v>
      </c>
      <c r="D30" s="60">
        <f>IF(取值!D30=0,"",取值!D30)</f>
        <v>202</v>
      </c>
      <c r="E30" s="60">
        <f>IF(取值!E30=0,"",取值!E30)</f>
        <v>1461.2782355786</v>
      </c>
      <c r="F30" s="60">
        <f>_xlfn.IFERROR(IF(取值!F30&lt;0,"",取值!F30),"")</f>
        <v>3538.7217644214</v>
      </c>
      <c r="G30" s="60">
        <f>IF(取值!G30&lt;0,"",取值!G30)</f>
        <v>147.446740184225</v>
      </c>
      <c r="H30" s="60">
        <f>取值!H30</f>
        <v>0</v>
      </c>
      <c r="I30" s="60">
        <f>IF(取值!I30=0,"",取值!I30)</f>
        <v>1461.2782355786</v>
      </c>
      <c r="J30" s="60" t="str">
        <f>_xlfn.IFERROR(IF(取值!J30&lt;0,"",取值!J30),"")</f>
        <v/>
      </c>
      <c r="K30" s="60" t="str">
        <f>IF(取值!K30&lt;0,"",取值!K30)</f>
        <v/>
      </c>
      <c r="L30" s="109" t="str">
        <f>IF(取值!L30=0,"",取值!L30)</f>
        <v/>
      </c>
      <c r="M30" s="60" t="str">
        <f>IF(取值!M30=0,"",取值!M30)</f>
        <v/>
      </c>
      <c r="N30" s="60" t="str">
        <f>IF(取值!N30=0,"",取值!N30)</f>
        <v/>
      </c>
      <c r="O30" s="60" t="str">
        <f>IF(取值!O30=0,"",取值!O30)</f>
        <v/>
      </c>
      <c r="P30" s="60" t="str">
        <f>IF(取值!P30=0,"",取值!P30)</f>
        <v/>
      </c>
      <c r="Q30" s="60" t="str">
        <f>IF(取值!Q30=0,"",取值!Q30)</f>
        <v/>
      </c>
      <c r="R30" s="57"/>
      <c r="S30" s="116"/>
      <c r="T30" s="114"/>
    </row>
    <row customHeight="1" ht="15">
      <c r="A31" s="114"/>
      <c r="B31" s="99" t="s">
        <v>49</v>
      </c>
      <c r="C31" s="60">
        <f>取值!C31</f>
        <v>0</v>
      </c>
      <c r="D31" s="60" t="str">
        <f>IF(取值!D31=0,"",取值!D31)</f>
        <v/>
      </c>
      <c r="E31" s="60" t="str">
        <f>IF(取值!E31=0,"",取值!E31)</f>
        <v/>
      </c>
      <c r="F31" s="60">
        <f>_xlfn.IFERROR(IF(取值!F31&lt;0,"",取值!F31),"")</f>
        <v>0</v>
      </c>
      <c r="G31" s="60">
        <f>IF(取值!G31&lt;0,"",取值!G31)</f>
        <v>0</v>
      </c>
      <c r="H31" s="60">
        <f>取值!H31</f>
        <v>0</v>
      </c>
      <c r="I31" s="60" t="str">
        <f>IF(取值!I31=0,"",取值!I31)</f>
        <v/>
      </c>
      <c r="J31" s="60">
        <f>_xlfn.IFERROR(IF(取值!J31&lt;0,"",取值!J31),"")</f>
        <v>0</v>
      </c>
      <c r="K31" s="60">
        <f>IF(取值!K31&lt;0,"",取值!K31)</f>
        <v>0</v>
      </c>
      <c r="L31" s="109" t="str">
        <f>IF(取值!L31=0,"",取值!L31)</f>
        <v/>
      </c>
      <c r="M31" s="60" t="str">
        <f>IF(取值!M31=0,"",取值!M31)</f>
        <v/>
      </c>
      <c r="N31" s="60" t="str">
        <f>IF(取值!N31=0,"",取值!N31)</f>
        <v/>
      </c>
      <c r="O31" s="60" t="str">
        <f>IF(取值!O31=0,"",取值!O31)</f>
        <v/>
      </c>
      <c r="P31" s="60" t="str">
        <f>IF(取值!P31=0,"",取值!P31)</f>
        <v/>
      </c>
      <c r="Q31" s="60" t="str">
        <f>IF(取值!Q31=0,"",取值!Q31)</f>
        <v/>
      </c>
      <c r="R31" s="57"/>
      <c r="S31" s="116"/>
      <c r="T31" s="114"/>
    </row>
    <row customHeight="1" ht="14.25">
      <c r="A32" s="114"/>
      <c r="B32" s="56" t="s">
        <v>50</v>
      </c>
      <c r="C32" s="141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116"/>
      <c r="T32" s="114"/>
    </row>
    <row customHeight="1" ht="15.75">
      <c r="A33" s="114"/>
      <c r="B33" s="56"/>
      <c r="C33" s="141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116"/>
      <c r="T33" s="114"/>
    </row>
    <row customHeight="1" ht="15">
      <c r="A34" s="114"/>
      <c r="B34" s="105" t="s">
        <v>51</v>
      </c>
      <c r="C34" s="143" t="str">
        <f>C36</f>
        <v>曹培宽</v>
      </c>
      <c r="D34" s="105" t="s">
        <v>52</v>
      </c>
      <c r="E34" s="105"/>
      <c r="F34" s="144" t="str">
        <f>F36</f>
        <v>郝新宇</v>
      </c>
      <c r="G34" s="114"/>
      <c r="H34" s="105" t="s">
        <v>53</v>
      </c>
      <c r="I34" s="145" t="str">
        <f>H36</f>
        <v>陈雄伟</v>
      </c>
      <c r="J34" s="114"/>
      <c r="K34" s="105" t="s">
        <v>54</v>
      </c>
      <c r="L34" s="143" t="str">
        <f>K36</f>
        <v>王宇辉</v>
      </c>
      <c r="M34" s="116"/>
      <c r="N34" s="116"/>
      <c r="O34" s="116"/>
      <c r="P34" s="116"/>
      <c r="Q34" s="116"/>
      <c r="R34" s="114"/>
      <c r="S34" s="116"/>
      <c r="T34" s="114"/>
    </row>
    <row customHeight="1" ht="14.452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6"/>
      <c r="N35" s="116"/>
      <c r="O35" s="116"/>
      <c r="P35" s="116"/>
      <c r="Q35" s="116"/>
      <c r="R35" s="114"/>
      <c r="S35" s="116"/>
      <c r="T35" s="114"/>
    </row>
    <row customHeight="1" ht="14.25" hidden="1">
      <c r="A36" s="114"/>
      <c r="B36" s="114"/>
      <c r="C36" s="114" t="s">
        <v>55</v>
      </c>
      <c r="D36" s="114"/>
      <c r="E36" s="114"/>
      <c r="F36" s="114" t="s">
        <v>56</v>
      </c>
      <c r="G36" s="114"/>
      <c r="H36" s="114" t="s">
        <v>57</v>
      </c>
      <c r="I36" s="114"/>
      <c r="J36" s="114"/>
      <c r="K36" s="114" t="s">
        <v>58</v>
      </c>
      <c r="L36" s="114"/>
      <c r="M36" s="116"/>
      <c r="N36" s="116"/>
      <c r="O36" s="116"/>
      <c r="P36" s="116"/>
      <c r="Q36" s="116"/>
      <c r="R36" s="114"/>
      <c r="S36" s="116"/>
      <c r="T36" s="114"/>
    </row>
    <row customHeight="1" ht="14.25" hidden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6"/>
      <c r="N37" s="116"/>
      <c r="O37" s="116"/>
      <c r="P37" s="116"/>
      <c r="Q37" s="116"/>
      <c r="R37" s="114"/>
      <c r="S37" s="116"/>
      <c r="T37" s="114"/>
    </row>
    <row customHeight="1" ht="14.2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6"/>
      <c r="N38" s="116"/>
      <c r="O38" s="116"/>
      <c r="P38" s="116"/>
      <c r="Q38" s="116"/>
      <c r="R38" s="114"/>
      <c r="S38" s="116"/>
      <c r="T38" s="114"/>
    </row>
    <row customHeight="1" ht="14.452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6"/>
      <c r="N39" s="116"/>
      <c r="O39" s="116"/>
      <c r="P39" s="116"/>
      <c r="Q39" s="116"/>
      <c r="R39" s="114"/>
      <c r="S39" s="116"/>
      <c r="T39" s="114"/>
    </row>
    <row customHeight="1" ht="14.452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6"/>
      <c r="N40" s="116"/>
      <c r="O40" s="116"/>
      <c r="P40" s="116"/>
      <c r="Q40" s="116"/>
      <c r="R40" s="114"/>
      <c r="S40" s="116"/>
      <c r="T40" s="114"/>
    </row>
    <row customHeight="1" ht="14.452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6"/>
      <c r="N41" s="116"/>
      <c r="O41" s="116"/>
      <c r="P41" s="116"/>
      <c r="Q41" s="116"/>
      <c r="R41" s="114"/>
      <c r="S41" s="116"/>
      <c r="T41" s="114"/>
    </row>
    <row customHeight="1" ht="14.452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6"/>
      <c r="N42" s="116"/>
      <c r="O42" s="116"/>
      <c r="P42" s="116"/>
      <c r="Q42" s="116"/>
      <c r="R42" s="114"/>
      <c r="S42" s="116"/>
      <c r="T42" s="114"/>
    </row>
    <row customHeight="1" ht="14.452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6"/>
      <c r="N43" s="116"/>
      <c r="O43" s="116"/>
      <c r="P43" s="116"/>
      <c r="Q43" s="116"/>
      <c r="R43" s="114"/>
      <c r="S43" s="116"/>
      <c r="T43" s="114"/>
    </row>
    <row customHeight="1" ht="14.452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6"/>
      <c r="N44" s="116"/>
      <c r="O44" s="116"/>
      <c r="P44" s="116"/>
      <c r="Q44" s="116"/>
      <c r="R44" s="114"/>
      <c r="S44" s="116"/>
      <c r="T44" s="114"/>
    </row>
    <row customHeight="1" ht="14.452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6"/>
      <c r="N45" s="116"/>
      <c r="O45" s="116"/>
      <c r="P45" s="116"/>
      <c r="Q45" s="116"/>
      <c r="R45" s="114"/>
      <c r="S45" s="116"/>
      <c r="T45" s="114"/>
    </row>
  </sheetData>
  <mergeCells count="17">
    <mergeCell ref="B1:R1"/>
    <mergeCell ref="B2:C2"/>
    <mergeCell ref="E2:F2"/>
    <mergeCell ref="G2:I2"/>
    <mergeCell ref="N2:O2"/>
    <mergeCell ref="P2:R2"/>
    <mergeCell ref="M3:R3"/>
    <mergeCell ref="C32:R32"/>
    <mergeCell ref="C33:R33"/>
    <mergeCell ref="D34:E34"/>
    <mergeCell ref="B3:B4"/>
    <mergeCell ref="B32:B33"/>
    <mergeCell ref="H3:H4"/>
    <mergeCell ref="I3:I4"/>
    <mergeCell ref="J3:J4"/>
    <mergeCell ref="K3:K4"/>
    <mergeCell ref="L3:L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7720E38-33D8-E568-A688-F485A55CFC3E}" mc:Ignorable="x14ac xr xr2 xr3">
  <dimension ref="A1:V157"/>
  <sheetViews>
    <sheetView topLeftCell="A57" workbookViewId="0">
      <selection activeCell="R75" sqref="Q75:R75"/>
    </sheetView>
  </sheetViews>
  <sheetFormatPr defaultColWidth="9.00390625" customHeight="1" defaultRowHeight="14.4525"/>
  <cols>
    <col min="2" max="2" style="146" width="24.421875" customWidth="1"/>
    <col min="3" max="3" style="146" width="26.00390625" customWidth="1"/>
    <col min="4" max="4" style="146" width="9.140625" customWidth="1"/>
    <col min="6" max="7" style="146" width="9.140625" customWidth="1"/>
    <col min="8" max="8" style="146" width="10.00390625" customWidth="1"/>
    <col min="10" max="12" style="146" width="9.140625" customWidth="1"/>
    <col min="18" max="18" style="146" width="10.28125" customWidth="1"/>
    <col min="19" max="19" style="146" width="9.140625" customWidth="1"/>
  </cols>
  <sheetData>
    <row customHeight="1" ht="22.5">
      <c r="A1" s="116"/>
      <c r="B1" s="50" t="s">
        <v>59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80"/>
      <c r="T1" s="116"/>
      <c r="U1" s="116"/>
      <c r="V1" s="116"/>
    </row>
    <row customHeight="1" ht="27.75">
      <c r="A2" s="116"/>
      <c r="B2" s="51" t="s">
        <v>60</v>
      </c>
      <c r="C2" s="51"/>
      <c r="D2" s="52"/>
      <c r="E2" s="52"/>
      <c r="F2" s="52"/>
      <c r="G2" s="53" t="s">
        <v>61</v>
      </c>
      <c r="H2" s="54" t="s">
        <v>3</v>
      </c>
      <c r="I2" s="73"/>
      <c r="J2" s="74"/>
      <c r="K2" s="74"/>
      <c r="L2" s="52" t="s">
        <v>62</v>
      </c>
      <c r="M2" s="52"/>
      <c r="N2" s="75"/>
      <c r="O2" s="75" t="s">
        <v>63</v>
      </c>
      <c r="P2" s="75"/>
      <c r="Q2" s="75"/>
      <c r="R2" s="75"/>
      <c r="S2" s="81"/>
      <c r="T2" s="116"/>
      <c r="U2" s="116"/>
      <c r="V2" s="116"/>
    </row>
    <row customHeight="1" ht="14.25">
      <c r="A3" s="116"/>
      <c r="B3" s="55" t="s">
        <v>64</v>
      </c>
      <c r="C3" s="56" t="s">
        <v>5</v>
      </c>
      <c r="D3" s="56" t="s">
        <v>6</v>
      </c>
      <c r="E3" s="56" t="s">
        <v>7</v>
      </c>
      <c r="F3" s="56" t="s">
        <v>7</v>
      </c>
      <c r="G3" s="56" t="s">
        <v>8</v>
      </c>
      <c r="H3" s="56" t="s">
        <v>9</v>
      </c>
      <c r="I3" s="56" t="s">
        <v>10</v>
      </c>
      <c r="J3" s="56" t="s">
        <v>11</v>
      </c>
      <c r="K3" s="56" t="s">
        <v>12</v>
      </c>
      <c r="L3" s="56" t="s">
        <v>13</v>
      </c>
      <c r="M3" s="56" t="s">
        <v>14</v>
      </c>
      <c r="N3" s="56"/>
      <c r="O3" s="56"/>
      <c r="P3" s="56"/>
      <c r="Q3" s="56"/>
      <c r="R3" s="56"/>
      <c r="S3" s="82"/>
      <c r="T3" s="116"/>
      <c r="U3" s="116"/>
      <c r="V3" s="116"/>
    </row>
    <row customHeight="1" ht="27.75">
      <c r="A4" s="116"/>
      <c r="B4" s="55"/>
      <c r="C4" s="56" t="s">
        <v>15</v>
      </c>
      <c r="D4" s="57" t="s">
        <v>16</v>
      </c>
      <c r="E4" s="56" t="s">
        <v>17</v>
      </c>
      <c r="F4" s="56" t="s">
        <v>65</v>
      </c>
      <c r="G4" s="56" t="s">
        <v>19</v>
      </c>
      <c r="H4" s="56"/>
      <c r="I4" s="56"/>
      <c r="J4" s="56"/>
      <c r="K4" s="56"/>
      <c r="L4" s="56"/>
      <c r="M4" s="56" t="s">
        <v>20</v>
      </c>
      <c r="N4" s="56" t="s">
        <v>5</v>
      </c>
      <c r="O4" s="56" t="s">
        <v>6</v>
      </c>
      <c r="P4" s="56" t="s">
        <v>7</v>
      </c>
      <c r="Q4" s="56" t="s">
        <v>21</v>
      </c>
      <c r="R4" s="83" t="s">
        <v>66</v>
      </c>
      <c r="S4" s="82"/>
      <c r="T4" s="116"/>
      <c r="U4" s="116"/>
      <c r="V4" s="116"/>
    </row>
    <row customHeight="1" ht="15">
      <c r="A5" s="116"/>
      <c r="B5" s="58" t="s">
        <v>23</v>
      </c>
      <c r="C5" s="114">
        <v>1180000</v>
      </c>
      <c r="D5" s="57">
        <f>_xlfn.IFERROR(SUM(D48:D50),"")</f>
        <v>39021</v>
      </c>
      <c r="E5" s="57">
        <f>_xlfn.IFERROR(SUM(E48:E50),"")</f>
        <v>274136</v>
      </c>
      <c r="F5" s="57">
        <f>C5-E5</f>
        <v>905864</v>
      </c>
      <c r="G5" s="57">
        <f>_xlfn.IFERROR(F5/S5,"")</f>
        <v>37744.3333333333</v>
      </c>
      <c r="H5" s="160"/>
      <c r="I5" s="76">
        <f>_xlfn.IFERROR(SUM(I48:I50),"")</f>
        <v>274136</v>
      </c>
      <c r="J5" s="57">
        <f>H5-I5</f>
        <v>-274136</v>
      </c>
      <c r="K5" s="57">
        <f>_xlfn.IFERROR(J5/T13,"")</f>
        <v>-765.743016759777</v>
      </c>
      <c r="L5" s="57" t="str">
        <f>_xlfn.IFERROR(I5/H5*100,"")</f>
        <v/>
      </c>
      <c r="M5" s="160"/>
      <c r="N5" s="116">
        <v>48.45423728813559</v>
      </c>
      <c r="O5" s="57">
        <f>_xlfn.IFERROR((O36*D48+O37*D49+O38*D50)/(D48+D49+D50),"")</f>
        <v>49.6630019732964</v>
      </c>
      <c r="P5" s="57">
        <f>_xlfn.IFERROR((P36*E48+P37*E49+P38*E50)/(E48+E49+E50),"")</f>
        <v>50.1539381912627</v>
      </c>
      <c r="Q5" s="57">
        <f>_xlfn.IFERROR((Q36*I48+Q37*I49+Q38*I50)/(I48+I49+I50),"")</f>
        <v>50.1539381912627</v>
      </c>
      <c r="R5" s="84">
        <f>P5-N5</f>
        <v>1.69970090312711</v>
      </c>
      <c r="S5" s="85">
        <f>T5-U5</f>
        <v>24</v>
      </c>
      <c r="T5" s="116">
        <f>DAY(EOMONTH(H2,0))</f>
        <v>31</v>
      </c>
      <c r="U5" s="52">
        <f>DAY(O2)</f>
        <v>7</v>
      </c>
      <c r="V5" s="52"/>
    </row>
    <row customHeight="1" ht="15">
      <c r="A6" s="116"/>
      <c r="B6" s="58" t="s">
        <v>24</v>
      </c>
      <c r="C6" s="60">
        <v>486000</v>
      </c>
      <c r="D6" s="57">
        <f>_xlfn.IFERROR(SUM(D52:D54),"")</f>
        <v>16887</v>
      </c>
      <c r="E6" s="57">
        <f>_xlfn.IFERROR(SUM(E52:E54),"")</f>
        <v>116440</v>
      </c>
      <c r="F6" s="57">
        <f>C6-E6</f>
        <v>369560</v>
      </c>
      <c r="G6" s="57">
        <f>_xlfn.IFERROR(F6/S5,"")</f>
        <v>15398.3333333333</v>
      </c>
      <c r="H6" s="60"/>
      <c r="I6" s="57">
        <f>_xlfn.IFERROR(SUM(I52:I54),"")</f>
        <v>116440</v>
      </c>
      <c r="J6" s="57">
        <f>H6-I6</f>
        <v>-116440</v>
      </c>
      <c r="K6" s="57">
        <f>_xlfn.IFERROR(J6/T13,"")</f>
        <v>-325.251396648045</v>
      </c>
      <c r="L6" s="57" t="str">
        <f>_xlfn.IFERROR(I6/H6*100,"")</f>
        <v/>
      </c>
      <c r="M6" s="160"/>
      <c r="N6" s="122">
        <f>N35+N36</f>
        <v>86.3246913580247</v>
      </c>
      <c r="O6" s="77">
        <f>_xlfn.IFERROR(((O56+O59)*O63+(O57+O61)*O64+(O58+O60)*O65)/(O63+O64+O65),"")</f>
        <v>65.4258728886477</v>
      </c>
      <c r="P6" s="77">
        <f>_xlfn.IFERROR(((P56+P59)*P63+(P57+P60)*P64+(P58+P61)*P65)/(P63+P64+P65),"")</f>
        <v>86.9805192094122</v>
      </c>
      <c r="Q6" s="77">
        <f>_xlfn.IFERROR(((Q56+Q59)*Q63+(Q57+Q60)*Q64+(Q58+Q61)*Q65)/(Q63+Q64+Q65),"")</f>
        <v>86.9805192094122</v>
      </c>
      <c r="R6" s="84">
        <f>P6-N6</f>
        <v>0.6558278513875</v>
      </c>
      <c r="S6" s="114"/>
      <c r="T6" s="116"/>
      <c r="U6" s="116"/>
      <c r="V6" s="116"/>
    </row>
    <row s="49" customFormat="1" customHeight="1" ht="29.25">
      <c r="A7" s="49"/>
      <c r="B7" s="58" t="s">
        <v>67</v>
      </c>
      <c r="C7" s="61">
        <f>B35</f>
        <v>223000</v>
      </c>
      <c r="D7" s="57">
        <f>_xlfn.IFERROR(SUM(D36:D38),"")</f>
        <v>8237</v>
      </c>
      <c r="E7" s="57">
        <f>_xlfn.IFERROR(SUM(E36:E38),"")</f>
        <v>57560</v>
      </c>
      <c r="F7" s="57">
        <f>IF(C7-E7=0,"",C7-E7)</f>
        <v>165440</v>
      </c>
      <c r="G7" s="57">
        <f>_xlfn.IFERROR(F7/S5,"")</f>
        <v>6893.33333333333</v>
      </c>
      <c r="H7" s="62"/>
      <c r="I7" s="57">
        <f>_xlfn.IFERROR(SUM(I36:I38),"")</f>
        <v>57560</v>
      </c>
      <c r="J7" s="57">
        <f>H7-I7</f>
        <v>-57560</v>
      </c>
      <c r="K7" s="57">
        <f>_xlfn.IFERROR(J7/T13,"")</f>
        <v>-160.782122905028</v>
      </c>
      <c r="L7" s="57" t="str">
        <f>_xlfn.IFERROR(I7/H7*100,"")</f>
        <v/>
      </c>
      <c r="M7" s="62"/>
      <c r="N7" s="49">
        <v>92.45605381165919</v>
      </c>
      <c r="O7" s="57">
        <f>_xlfn.IFERROR((O48*D36+O49*D37+O50*D38)/(D36+D37+D38),"")</f>
        <v>93.2256889644288</v>
      </c>
      <c r="P7" s="57">
        <f>_xlfn.IFERROR((P48*E36+P49*E37+P50*E38)/(E36+E37+E38),"")</f>
        <v>93.2314107018763</v>
      </c>
      <c r="Q7" s="57">
        <f>_xlfn.IFERROR((Q48*I36+Q49*I37+Q50*I38)/(I36+I37+I38),"")</f>
        <v>93.2314107018763</v>
      </c>
      <c r="R7" s="84">
        <f>P7-N7</f>
        <v>0.775356890217111</v>
      </c>
      <c r="S7" s="114"/>
      <c r="T7" s="49"/>
      <c r="U7" s="49"/>
      <c r="V7" s="49"/>
    </row>
    <row customHeight="1" ht="15">
      <c r="A8" s="116"/>
      <c r="B8" s="58" t="s">
        <v>68</v>
      </c>
      <c r="C8" s="62">
        <v>228000</v>
      </c>
      <c r="D8" s="57">
        <f>_xlfn.IFERROR(SUM(D40:D42),"")</f>
        <v>8016</v>
      </c>
      <c r="E8" s="57">
        <f>_xlfn.IFERROR(SUM(E40:E42),"")</f>
        <v>56420</v>
      </c>
      <c r="F8" s="57">
        <f>C8-E8</f>
        <v>171580</v>
      </c>
      <c r="G8" s="57">
        <f>_xlfn.IFERROR(F8/S5,"")</f>
        <v>7149.16666666667</v>
      </c>
      <c r="H8" s="160"/>
      <c r="I8" s="57">
        <f>_xlfn.IFERROR(SUM(I40:I42),"")</f>
        <v>56420</v>
      </c>
      <c r="J8" s="57">
        <f>H8-I8</f>
        <v>-56420</v>
      </c>
      <c r="K8" s="57">
        <f>_xlfn.IFERROR(J8/T13,"")</f>
        <v>-157.597765363129</v>
      </c>
      <c r="L8" s="57" t="str">
        <f>_xlfn.IFERROR(I8/H8*100,"")</f>
        <v/>
      </c>
      <c r="M8" s="160"/>
      <c r="N8" s="122">
        <v>98.24342105263158</v>
      </c>
      <c r="O8" s="57">
        <f>_xlfn.IFERROR((O44*D40+O45*D41+O46*D42)/(D40+D41+D42),"")</f>
        <v>99.0144710578842</v>
      </c>
      <c r="P8" s="57">
        <f>_xlfn.IFERROR((P44*E40+P45*E41+P46*E42)/(E40+E41+E42),"")</f>
        <v>99.0358029067707</v>
      </c>
      <c r="Q8" s="57">
        <f>_xlfn.IFERROR((Q44*I40+Q45*I41+Q46*I42)/(I40+I41+I42),"")</f>
        <v>99.0358029067707</v>
      </c>
      <c r="R8" s="84">
        <f>P8-N8</f>
        <v>0.792381854139123</v>
      </c>
      <c r="S8" s="114"/>
      <c r="T8" s="116"/>
      <c r="U8" s="116"/>
      <c r="V8" s="116"/>
    </row>
    <row customHeight="1" ht="15">
      <c r="A9" s="116"/>
      <c r="B9" s="58" t="s">
        <v>69</v>
      </c>
      <c r="C9" s="62">
        <v>446000</v>
      </c>
      <c r="D9" s="57">
        <f>_xlfn.IFERROR(SUM(D44:D46),"")</f>
        <v>12136</v>
      </c>
      <c r="E9" s="57">
        <f>_xlfn.IFERROR(SUM(E44:E46),"")</f>
        <v>91838</v>
      </c>
      <c r="F9" s="57">
        <f>C9-E9</f>
        <v>354162</v>
      </c>
      <c r="G9" s="57">
        <f>_xlfn.IFERROR(F9/S5,"")</f>
        <v>14756.75</v>
      </c>
      <c r="H9" s="160"/>
      <c r="I9" s="57">
        <f>_xlfn.IFERROR(SUM(I44:I46),"")</f>
        <v>91838</v>
      </c>
      <c r="J9" s="57">
        <f>H9-I9</f>
        <v>-91838</v>
      </c>
      <c r="K9" s="57">
        <f>_xlfn.IFERROR(J9/T13,"")</f>
        <v>-256.530726256983</v>
      </c>
      <c r="L9" s="57" t="str">
        <f>_xlfn.IFERROR(I9/H9*100,"")</f>
        <v/>
      </c>
      <c r="M9" s="160"/>
      <c r="N9" s="116">
        <v>98.58789237668161</v>
      </c>
      <c r="O9" s="57">
        <f>_xlfn.IFERROR((O52*D44+O53*D45+O54*D46)/(D44+D45+D46),"")</f>
        <v>99.1512854317732</v>
      </c>
      <c r="P9" s="57">
        <f>_xlfn.IFERROR((P52*E44+P53*E45+P54*E46)/(E44+E45+E46),"")</f>
        <v>99.169189224504</v>
      </c>
      <c r="Q9" s="57">
        <f>_xlfn.IFERROR((Q52*I44+Q53*I45+Q54*I46)/(I44+I45+I46),"")</f>
        <v>99.169189224504</v>
      </c>
      <c r="R9" s="84">
        <f>P9-N9</f>
        <v>0.581296847822387</v>
      </c>
      <c r="S9" s="114"/>
      <c r="T9" s="116"/>
      <c r="U9" s="116"/>
      <c r="V9" s="116"/>
    </row>
    <row customHeight="1" ht="15">
      <c r="A10" s="116"/>
      <c r="B10" s="58" t="s">
        <v>70</v>
      </c>
      <c r="C10" s="63">
        <v>27600</v>
      </c>
      <c r="D10" s="57">
        <f>_xlfn.IFERROR(D56,"")</f>
        <v>995.2</v>
      </c>
      <c r="E10" s="57">
        <f>_xlfn.IFERROR(E56,"")</f>
        <v>7099.4</v>
      </c>
      <c r="F10" s="57">
        <f>C10-E10</f>
        <v>20500.6</v>
      </c>
      <c r="G10" s="57">
        <f>_xlfn.IFERROR(F10/S5,"")</f>
        <v>854.191666666667</v>
      </c>
      <c r="H10" s="160"/>
      <c r="I10" s="57">
        <f>_xlfn.IFERROR(I56,"")</f>
        <v>7099.4</v>
      </c>
      <c r="J10" s="57">
        <f>H10-I10</f>
        <v>-7099.4</v>
      </c>
      <c r="K10" s="57">
        <f>_xlfn.IFERROR(J10/T13,"")</f>
        <v>-19.8307262569832</v>
      </c>
      <c r="L10" s="57" t="str">
        <f>_xlfn.IFERROR(I10/H10*100,"")</f>
        <v/>
      </c>
      <c r="M10" s="56"/>
      <c r="N10" s="56"/>
      <c r="O10" s="57"/>
      <c r="P10" s="57"/>
      <c r="Q10" s="57"/>
      <c r="R10" s="84"/>
      <c r="S10" s="114"/>
      <c r="T10" s="116"/>
      <c r="U10" s="116"/>
      <c r="V10" s="116"/>
    </row>
    <row customHeight="1" ht="15">
      <c r="A11" s="116"/>
      <c r="B11" s="58" t="s">
        <v>29</v>
      </c>
      <c r="C11" s="62">
        <v>458000</v>
      </c>
      <c r="D11" s="57">
        <f>_xlfn.IFERROR(SUM(D59:D64),"")</f>
        <v>7399</v>
      </c>
      <c r="E11" s="57">
        <f>_xlfn.IFERROR(SUM(E59:E64),"")</f>
        <v>74561</v>
      </c>
      <c r="F11" s="57">
        <f>C11-E11</f>
        <v>383439</v>
      </c>
      <c r="G11" s="57">
        <f>_xlfn.IFERROR(F11/S5,"")</f>
        <v>15976.625</v>
      </c>
      <c r="H11" s="160"/>
      <c r="I11" s="76">
        <f>_xlfn.IFERROR(SUM(I59:I64),"")</f>
        <v>74561</v>
      </c>
      <c r="J11" s="57">
        <f>H11-I11</f>
        <v>-74561</v>
      </c>
      <c r="K11" s="57">
        <f>_xlfn.IFERROR(J11/T13,"")</f>
        <v>-208.27094972067</v>
      </c>
      <c r="L11" s="57" t="str">
        <f>_xlfn.IFERROR(I11/H11*100,"")</f>
        <v/>
      </c>
      <c r="M11" s="56"/>
      <c r="N11" s="56"/>
      <c r="O11" s="57"/>
      <c r="P11" s="57"/>
      <c r="Q11" s="116"/>
      <c r="R11" s="84"/>
      <c r="S11" s="114"/>
      <c r="T11" s="116"/>
      <c r="U11" s="116"/>
      <c r="V11" s="116"/>
    </row>
    <row customHeight="1" ht="15">
      <c r="A12" s="116"/>
      <c r="B12" s="64" t="s">
        <v>30</v>
      </c>
      <c r="C12" s="62">
        <v>328000</v>
      </c>
      <c r="D12" s="57">
        <f>_xlfn.IFERROR(SUM(D73:D75),"")</f>
        <v>6565</v>
      </c>
      <c r="E12" s="57">
        <f>_xlfn.IFERROR(SUM(E73:E75),"")</f>
        <v>47524</v>
      </c>
      <c r="F12" s="57">
        <f>C12-E12</f>
        <v>280476</v>
      </c>
      <c r="G12" s="57">
        <f>_xlfn.IFERROR(F12/S5,"")</f>
        <v>11686.5</v>
      </c>
      <c r="H12" s="160"/>
      <c r="I12" s="57">
        <f>_xlfn.IFERROR(SUM(I73:I75),"")</f>
        <v>47524</v>
      </c>
      <c r="J12" s="57">
        <f>H12-I12</f>
        <v>-47524</v>
      </c>
      <c r="K12" s="57">
        <f>_xlfn.IFERROR(J12/T13,"")</f>
        <v>-132.748603351955</v>
      </c>
      <c r="L12" s="57" t="str">
        <f>_xlfn.IFERROR(I12/H12*100,"")</f>
        <v/>
      </c>
      <c r="M12" s="56"/>
      <c r="N12" s="56"/>
      <c r="O12" s="57"/>
      <c r="P12" s="57"/>
      <c r="Q12" s="57"/>
      <c r="R12" s="84"/>
      <c r="S12" s="114"/>
      <c r="T12" s="116"/>
      <c r="U12" s="116"/>
      <c r="V12" s="116"/>
    </row>
    <row customHeight="1" ht="15">
      <c r="A13" s="116"/>
      <c r="B13" s="64" t="s">
        <v>71</v>
      </c>
      <c r="C13" s="62">
        <v>130000</v>
      </c>
      <c r="D13" s="57">
        <f>_xlfn.IFERROR(SUM(D77:D78),"")</f>
        <v>834</v>
      </c>
      <c r="E13" s="57">
        <f>_xlfn.IFERROR(SUM(E77:E78),"")</f>
        <v>27037</v>
      </c>
      <c r="F13" s="57">
        <f>C13-E13</f>
        <v>102963</v>
      </c>
      <c r="G13" s="57">
        <f>_xlfn.IFERROR(F13/S5,"")</f>
        <v>4290.125</v>
      </c>
      <c r="H13" s="160"/>
      <c r="I13" s="57">
        <f>_xlfn.IFERROR(SUM(I77:I78),"")</f>
        <v>27037</v>
      </c>
      <c r="J13" s="57">
        <f>H13-I13</f>
        <v>-27037</v>
      </c>
      <c r="K13" s="57">
        <f>_xlfn.IFERROR(J13/T13,"")</f>
        <v>-75.5223463687151</v>
      </c>
      <c r="L13" s="57" t="str">
        <f>_xlfn.IFERROR(I13/H13*100,"")</f>
        <v/>
      </c>
      <c r="M13" s="56"/>
      <c r="N13" s="56"/>
      <c r="O13" s="57"/>
      <c r="P13" s="57"/>
      <c r="Q13" s="57"/>
      <c r="R13" s="84"/>
      <c r="S13" s="170" t="str">
        <f>DATE(YEAR(H2),12,31)</f>
        <v>46387</v>
      </c>
      <c r="T13" s="116">
        <f>DATEDIF(O2,S13,"d")</f>
        <v>358</v>
      </c>
      <c r="U13" s="116"/>
      <c r="V13" s="116"/>
    </row>
    <row customHeight="1" ht="15">
      <c r="A14" s="116"/>
      <c r="B14" s="58" t="s">
        <v>32</v>
      </c>
      <c r="C14" s="62">
        <v>408000</v>
      </c>
      <c r="D14" s="57">
        <f>_xlfn.IFERROR(SUM(D80:D87),"")</f>
        <v>15469</v>
      </c>
      <c r="E14" s="57">
        <f>_xlfn.IFERROR(SUM(E80:E87),"")</f>
        <v>83308</v>
      </c>
      <c r="F14" s="57">
        <f>C14-E14</f>
        <v>324692</v>
      </c>
      <c r="G14" s="57">
        <f>_xlfn.IFERROR(F14/S5,"")</f>
        <v>13528.8333333333</v>
      </c>
      <c r="H14" s="160"/>
      <c r="I14" s="76">
        <f>_xlfn.IFERROR(SUM(I80:I87),"")</f>
        <v>83308</v>
      </c>
      <c r="J14" s="57">
        <f>H14-I14</f>
        <v>-83308</v>
      </c>
      <c r="K14" s="57">
        <f>_xlfn.IFERROR(J14/T13,"")</f>
        <v>-232.703910614525</v>
      </c>
      <c r="L14" s="57" t="str">
        <f>_xlfn.IFERROR(I14/H14*100,"")</f>
        <v/>
      </c>
      <c r="M14" s="56"/>
      <c r="N14" s="56"/>
      <c r="O14" s="57"/>
      <c r="P14" s="57"/>
      <c r="Q14" s="57"/>
      <c r="R14" s="84"/>
      <c r="S14" s="114"/>
      <c r="T14" s="116"/>
      <c r="U14" s="116"/>
      <c r="V14" s="116"/>
    </row>
    <row customHeight="1" ht="15">
      <c r="A15" s="116"/>
      <c r="B15" s="64" t="s">
        <v>33</v>
      </c>
      <c r="C15" s="62"/>
      <c r="D15" s="57"/>
      <c r="E15" s="57"/>
      <c r="F15" s="57" t="str">
        <f>IF(C15-E15=0,"",C15-E15)</f>
        <v/>
      </c>
      <c r="G15" s="57" t="str">
        <f>_xlfn.IFERROR(IF(F15/S5=0,"",F15/S5),"")</f>
        <v/>
      </c>
      <c r="H15" s="160"/>
      <c r="I15" s="57"/>
      <c r="J15" s="57">
        <f>H15-I15</f>
        <v>0</v>
      </c>
      <c r="K15" s="57">
        <f>_xlfn.IFERROR(J15/T13,"")</f>
        <v>0</v>
      </c>
      <c r="L15" s="57" t="str">
        <f>_xlfn.IFERROR(I15/H15*100,"")</f>
        <v/>
      </c>
      <c r="M15" s="56"/>
      <c r="N15" s="56"/>
      <c r="O15" s="57"/>
      <c r="P15" s="57"/>
      <c r="Q15" s="57"/>
      <c r="R15" s="84"/>
      <c r="S15" s="114"/>
      <c r="T15" s="116"/>
      <c r="U15" s="116"/>
      <c r="V15" s="116"/>
    </row>
    <row customHeight="1" ht="15">
      <c r="A16" s="116"/>
      <c r="B16" s="64" t="s">
        <v>72</v>
      </c>
      <c r="C16" s="171"/>
      <c r="D16" s="57">
        <f>_xlfn.IFERROR(SUM(D91:D93),"")</f>
        <v>2075</v>
      </c>
      <c r="E16" s="57">
        <f>_xlfn.IFERROR(SUM(E91:E93),"")</f>
        <v>28295</v>
      </c>
      <c r="F16" s="57">
        <f>C16-E16</f>
        <v>-28295</v>
      </c>
      <c r="G16" s="57">
        <f>_xlfn.IFERROR(F16/S5,"")</f>
        <v>-1178.95833333333</v>
      </c>
      <c r="H16" s="63">
        <v>4900000</v>
      </c>
      <c r="I16" s="57">
        <f>_xlfn.IFERROR(SUM(I91:I93),"")</f>
        <v>28295</v>
      </c>
      <c r="J16" s="57">
        <f>H16-I16</f>
        <v>4871705</v>
      </c>
      <c r="K16" s="57">
        <f>_xlfn.IFERROR(J16/T13,"")</f>
        <v>13608.1145251397</v>
      </c>
      <c r="L16" s="57">
        <f>_xlfn.IFERROR(I16/H16*100,"")</f>
        <v>0.577448979591837</v>
      </c>
      <c r="M16" s="56"/>
      <c r="N16" s="56"/>
      <c r="O16" s="57"/>
      <c r="P16" s="57"/>
      <c r="Q16" s="57"/>
      <c r="R16" s="84"/>
      <c r="S16" s="85"/>
      <c r="T16" s="116"/>
      <c r="U16" s="116"/>
      <c r="V16" s="116"/>
    </row>
    <row customHeight="1" ht="15">
      <c r="A17" s="116"/>
      <c r="B17" s="66" t="s">
        <v>73</v>
      </c>
      <c r="C17" s="171">
        <v>30000</v>
      </c>
      <c r="D17" s="57">
        <f>_xlfn.IFERROR(SUM(D95:D97),"")</f>
        <v>3500</v>
      </c>
      <c r="E17" s="57">
        <f>_xlfn.IFERROR(SUM(E95:E97),"")</f>
        <v>3500</v>
      </c>
      <c r="F17" s="57">
        <f>IF(C17-E17=0,"",C17-E17)</f>
        <v>26500</v>
      </c>
      <c r="G17" s="57" t="str">
        <f>_xlfn.IFERROR(IF(F17/S7=0,"",F17/S7),"")</f>
        <v/>
      </c>
      <c r="H17" s="63">
        <v>80000</v>
      </c>
      <c r="I17" s="57">
        <f>_xlfn.IFERROR(SUM(I95:I97),"")</f>
        <v>3500</v>
      </c>
      <c r="J17" s="57">
        <f>H17-I17</f>
        <v>76500</v>
      </c>
      <c r="K17" s="57">
        <f>_xlfn.IFERROR(J17/T13,"")</f>
        <v>213.687150837989</v>
      </c>
      <c r="L17" s="57">
        <f>_xlfn.IFERROR(I17/H17*100,"")</f>
        <v>4.375</v>
      </c>
      <c r="M17" s="56"/>
      <c r="N17" s="56"/>
      <c r="O17" s="57"/>
      <c r="P17" s="57"/>
      <c r="Q17" s="57"/>
      <c r="R17" s="84"/>
      <c r="S17" s="85"/>
      <c r="T17" s="116"/>
      <c r="U17" s="116"/>
      <c r="V17" s="116"/>
    </row>
    <row customHeight="1" ht="15">
      <c r="A18" s="116"/>
      <c r="B18" s="66" t="s">
        <v>74</v>
      </c>
      <c r="C18" s="171">
        <v>30000</v>
      </c>
      <c r="D18" s="57">
        <f>_xlfn.IFERROR(SUM(D99:D100),"")</f>
        <v>1352</v>
      </c>
      <c r="E18" s="57">
        <f>_xlfn.IFERROR(SUM(E99:E100),"")</f>
        <v>1352</v>
      </c>
      <c r="F18" s="57">
        <f>IF(C18-E18=0,"",C18-E18)</f>
        <v>28648</v>
      </c>
      <c r="G18" s="57" t="str">
        <f>_xlfn.IFERROR(IF(F18/S8=0,"",F18/S8),"")</f>
        <v/>
      </c>
      <c r="H18" s="63">
        <v>50000</v>
      </c>
      <c r="I18" s="57">
        <f>_xlfn.IFERROR(SUM(I99:I100),"")</f>
        <v>1352</v>
      </c>
      <c r="J18" s="57">
        <f>H18-I18</f>
        <v>48648</v>
      </c>
      <c r="K18" s="57">
        <f>_xlfn.IFERROR(J18/T13,"")</f>
        <v>135.888268156425</v>
      </c>
      <c r="L18" s="57">
        <f>_xlfn.IFERROR(I18/H18*100,"")</f>
        <v>2.704</v>
      </c>
      <c r="M18" s="56"/>
      <c r="N18" s="56"/>
      <c r="O18" s="57"/>
      <c r="P18" s="57"/>
      <c r="Q18" s="57"/>
      <c r="R18" s="84"/>
      <c r="S18" s="85"/>
      <c r="T18" s="116"/>
      <c r="U18" s="116"/>
      <c r="V18" s="116"/>
    </row>
    <row customHeight="1" ht="15">
      <c r="A19" s="116"/>
      <c r="B19" s="67" t="s">
        <v>37</v>
      </c>
      <c r="C19" s="62">
        <v>43899.604</v>
      </c>
      <c r="D19" s="57">
        <f>SUM(D155:D157)</f>
        <v>1204</v>
      </c>
      <c r="E19" s="57">
        <f>SUM(E155:E157)</f>
        <v>9331</v>
      </c>
      <c r="F19" s="57">
        <f>C19-E19</f>
        <v>34568.604</v>
      </c>
      <c r="G19" s="57" t="str">
        <f>_xlfn.IFERROR(F19/S19,"")</f>
        <v/>
      </c>
      <c r="H19" s="160"/>
      <c r="I19" s="57">
        <f>SUM(I155:I157)</f>
        <v>9331</v>
      </c>
      <c r="J19" s="57">
        <f>H19-I19</f>
        <v>-9331</v>
      </c>
      <c r="K19" s="57">
        <f>_xlfn.IFERROR(J19/T13,"")</f>
        <v>-26.0642458100559</v>
      </c>
      <c r="L19" s="57" t="str">
        <f>_xlfn.IFERROR(I19/H19*100,"")</f>
        <v/>
      </c>
      <c r="M19" s="56"/>
      <c r="N19" s="56"/>
      <c r="O19" s="57"/>
      <c r="P19" s="57"/>
      <c r="Q19" s="57"/>
      <c r="R19" s="84"/>
      <c r="S19" s="85"/>
      <c r="T19" s="116"/>
      <c r="U19" s="116"/>
      <c r="V19" s="116"/>
    </row>
    <row customHeight="1" ht="15">
      <c r="A20" s="116"/>
      <c r="B20" s="67" t="s">
        <v>38</v>
      </c>
      <c r="C20" s="57">
        <f>_xlfn.IFERROR(C38,"")</f>
        <v>120000</v>
      </c>
      <c r="D20" s="57">
        <f>_xlfn.IFERROR(SUM(D144:D148),"")</f>
        <v>2119</v>
      </c>
      <c r="E20" s="57">
        <f>_xlfn.IFERROR(SUM(E144:E148),"")</f>
        <v>15226</v>
      </c>
      <c r="F20" s="57">
        <f>C20-E20</f>
        <v>104774</v>
      </c>
      <c r="G20" s="57">
        <f>_xlfn.IFERROR(F20/S5,"")</f>
        <v>4365.58333333333</v>
      </c>
      <c r="H20" s="57">
        <f>_xlfn.IFERROR(H35,"")</f>
        <v>0</v>
      </c>
      <c r="I20" s="57">
        <f>_xlfn.IFERROR(SUM(I144:I148),"")</f>
        <v>15226</v>
      </c>
      <c r="J20" s="57">
        <f>H20-I20</f>
        <v>-15226</v>
      </c>
      <c r="K20" s="57">
        <f>_xlfn.IFERROR(J20/T13,"")</f>
        <v>-42.5307262569832</v>
      </c>
      <c r="L20" s="57" t="str">
        <f>_xlfn.IFERROR(I20/H20*100,"")</f>
        <v/>
      </c>
      <c r="M20" s="56"/>
      <c r="N20" s="56"/>
      <c r="O20" s="57"/>
      <c r="P20" s="57"/>
      <c r="Q20" s="57"/>
      <c r="R20" s="84"/>
      <c r="S20" s="85"/>
      <c r="T20" s="116"/>
      <c r="U20" s="116"/>
      <c r="V20" s="116"/>
    </row>
    <row customHeight="1" ht="15">
      <c r="A21" s="116"/>
      <c r="B21" s="58" t="s">
        <v>39</v>
      </c>
      <c r="C21" s="62">
        <v>4600.36</v>
      </c>
      <c r="D21" s="57">
        <f>_xlfn.IFERROR(D104,"")</f>
        <v>151</v>
      </c>
      <c r="E21" s="57">
        <f>_xlfn.IFERROR(E104,"")</f>
        <v>1075</v>
      </c>
      <c r="F21" s="57">
        <f>C21-E21</f>
        <v>3525.36</v>
      </c>
      <c r="G21" s="57">
        <f>_xlfn.IFERROR(F21/S5,"")</f>
        <v>146.89</v>
      </c>
      <c r="H21" s="174"/>
      <c r="I21" s="57">
        <f>_xlfn.IFERROR(I104,"")</f>
        <v>1075</v>
      </c>
      <c r="J21" s="57">
        <f>H21-I21</f>
        <v>-1075</v>
      </c>
      <c r="K21" s="57">
        <f>_xlfn.IFERROR(J21/T13,"")</f>
        <v>-3.00279329608939</v>
      </c>
      <c r="L21" s="57" t="str">
        <f>_xlfn.IFERROR(I21/H21*100,"")</f>
        <v/>
      </c>
      <c r="M21" s="57"/>
      <c r="N21" s="57"/>
      <c r="O21" s="57"/>
      <c r="P21" s="57"/>
      <c r="Q21" s="57"/>
      <c r="R21" s="87"/>
      <c r="S21" s="88"/>
      <c r="T21" s="116"/>
      <c r="U21" s="116"/>
      <c r="V21" s="116"/>
    </row>
    <row customHeight="1" ht="15">
      <c r="A22" s="116"/>
      <c r="B22" s="58" t="s">
        <v>40</v>
      </c>
      <c r="C22" s="62">
        <v>26499.939</v>
      </c>
      <c r="D22" s="57">
        <f>_xlfn.IFERROR(SUM(D106:D107),"")</f>
        <v>914.56</v>
      </c>
      <c r="E22" s="57">
        <f>_xlfn.IFERROR(SUM(E106:E107),"")</f>
        <v>6369.06</v>
      </c>
      <c r="F22" s="57">
        <f>C22-E22</f>
        <v>20130.879</v>
      </c>
      <c r="G22" s="57">
        <f>_xlfn.IFERROR(F22/S5,"")</f>
        <v>838.786625</v>
      </c>
      <c r="H22" s="174"/>
      <c r="I22" s="57">
        <f>_xlfn.IFERROR(SUM(I106:I107),"")</f>
        <v>6369.06</v>
      </c>
      <c r="J22" s="57">
        <f>H22-I22</f>
        <v>-6369.06</v>
      </c>
      <c r="K22" s="57">
        <f>_xlfn.IFERROR(J22/T13,"")</f>
        <v>-17.7906703910615</v>
      </c>
      <c r="L22" s="57" t="str">
        <f>_xlfn.IFERROR(I22/H22*100,"")</f>
        <v/>
      </c>
      <c r="M22" s="78"/>
      <c r="N22" s="78"/>
      <c r="O22" s="78"/>
      <c r="P22" s="78"/>
      <c r="Q22" s="78"/>
      <c r="R22" s="89"/>
      <c r="S22" s="90"/>
      <c r="T22" s="116"/>
      <c r="U22" s="116"/>
      <c r="V22" s="116"/>
    </row>
    <row customHeight="1" ht="15">
      <c r="A23" s="116"/>
      <c r="B23" s="58" t="s">
        <v>41</v>
      </c>
      <c r="C23" s="62">
        <v>26800</v>
      </c>
      <c r="D23" s="57">
        <f>_xlfn.IFERROR(SUM(D109:D111),"")</f>
        <v>943</v>
      </c>
      <c r="E23" s="57">
        <f>_xlfn.IFERROR(SUM(E109:E111),"")</f>
        <v>6694</v>
      </c>
      <c r="F23" s="57">
        <f>C23-E23</f>
        <v>20106</v>
      </c>
      <c r="G23" s="57">
        <f>_xlfn.IFERROR(F23/S5,"")</f>
        <v>837.75</v>
      </c>
      <c r="H23" s="174"/>
      <c r="I23" s="57">
        <f>_xlfn.IFERROR(SUM(I109:I111),"")</f>
        <v>6694</v>
      </c>
      <c r="J23" s="57">
        <f>H23-I23</f>
        <v>-6694</v>
      </c>
      <c r="K23" s="57">
        <f>_xlfn.IFERROR(J23/T13,"")</f>
        <v>-18.6983240223464</v>
      </c>
      <c r="L23" s="57" t="str">
        <f>_xlfn.IFERROR(I23/H23*100,"")</f>
        <v/>
      </c>
      <c r="M23" s="78"/>
      <c r="N23" s="78"/>
      <c r="O23" s="78"/>
      <c r="P23" s="78"/>
      <c r="Q23" s="78"/>
      <c r="R23" s="89"/>
      <c r="S23" s="90"/>
      <c r="T23" s="116"/>
      <c r="U23" s="116"/>
      <c r="V23" s="116"/>
    </row>
    <row customHeight="1" ht="15">
      <c r="A24" s="116"/>
      <c r="B24" s="58" t="s">
        <v>42</v>
      </c>
      <c r="C24" s="62">
        <v>5100.027</v>
      </c>
      <c r="D24" s="57">
        <f>_xlfn.IFERROR(D113,"")</f>
        <v>169</v>
      </c>
      <c r="E24" s="57">
        <f>_xlfn.IFERROR(E113,"")</f>
        <v>1128</v>
      </c>
      <c r="F24" s="57">
        <f>C24-E24</f>
        <v>3972.027</v>
      </c>
      <c r="G24" s="57">
        <f>_xlfn.IFERROR(F24/S5,"")</f>
        <v>165.501125</v>
      </c>
      <c r="H24" s="174"/>
      <c r="I24" s="57">
        <f>_xlfn.IFERROR(I113,"")</f>
        <v>1128</v>
      </c>
      <c r="J24" s="57">
        <f>H24-I24</f>
        <v>-1128</v>
      </c>
      <c r="K24" s="57">
        <f>_xlfn.IFERROR(J24/T13,"")</f>
        <v>-3.15083798882682</v>
      </c>
      <c r="L24" s="57" t="str">
        <f>_xlfn.IFERROR(I24/H24*100,"")</f>
        <v/>
      </c>
      <c r="M24" s="78"/>
      <c r="N24" s="78"/>
      <c r="O24" s="78"/>
      <c r="P24" s="78"/>
      <c r="Q24" s="78"/>
      <c r="R24" s="89"/>
      <c r="S24" s="90"/>
      <c r="T24" s="116"/>
      <c r="U24" s="116"/>
      <c r="V24" s="116"/>
    </row>
    <row customHeight="1" ht="15">
      <c r="A25" s="116"/>
      <c r="B25" s="58" t="s">
        <v>43</v>
      </c>
      <c r="C25" s="62">
        <v>18000.055</v>
      </c>
      <c r="D25" s="57">
        <f>_xlfn.IFERROR(D115,"")</f>
        <v>604</v>
      </c>
      <c r="E25" s="57">
        <f>_xlfn.IFERROR(E115,"")</f>
        <v>4379</v>
      </c>
      <c r="F25" s="57">
        <f>C25-E25</f>
        <v>13621.055</v>
      </c>
      <c r="G25" s="57">
        <f>_xlfn.IFERROR(F25/S5,"")</f>
        <v>567.543958333333</v>
      </c>
      <c r="H25" s="174"/>
      <c r="I25" s="57">
        <f>_xlfn.IFERROR(I115,"")</f>
        <v>4379</v>
      </c>
      <c r="J25" s="57">
        <f>H25-I25</f>
        <v>-4379</v>
      </c>
      <c r="K25" s="57">
        <f>_xlfn.IFERROR(J25/T13,"")</f>
        <v>-12.231843575419</v>
      </c>
      <c r="L25" s="57" t="str">
        <f>_xlfn.IFERROR(I25/H25*100,"")</f>
        <v/>
      </c>
      <c r="M25" s="78"/>
      <c r="N25" s="78"/>
      <c r="O25" s="78"/>
      <c r="P25" s="78"/>
      <c r="Q25" s="78"/>
      <c r="R25" s="89"/>
      <c r="S25" s="90"/>
      <c r="T25" s="116"/>
      <c r="U25" s="116"/>
      <c r="V25" s="116"/>
    </row>
    <row customHeight="1" ht="15">
      <c r="A26" s="116"/>
      <c r="B26" s="58" t="s">
        <v>44</v>
      </c>
      <c r="C26" s="62"/>
      <c r="D26" s="57"/>
      <c r="E26" s="57"/>
      <c r="F26" s="57" t="str">
        <f>IF(C26-E26=0,"",C26-E26)</f>
        <v/>
      </c>
      <c r="G26" s="57" t="str">
        <f>_xlfn.IFERROR(IF(F26/S16=0,"",F26/S16),"")</f>
        <v/>
      </c>
      <c r="H26" s="114"/>
      <c r="I26" s="57"/>
      <c r="J26" s="57" t="str">
        <f>IF(H26-I26=0,"",H26-I26)</f>
        <v/>
      </c>
      <c r="K26" s="57" t="str">
        <f>_xlfn.IFERROR(IF(J26/T16=0,"",J26/T16),"")</f>
        <v/>
      </c>
      <c r="L26" s="57" t="str">
        <f>_xlfn.IFERROR(I26/H26*100,"")</f>
        <v/>
      </c>
      <c r="M26" s="78"/>
      <c r="N26" s="78"/>
      <c r="O26" s="78"/>
      <c r="P26" s="78"/>
      <c r="Q26" s="78"/>
      <c r="R26" s="89"/>
      <c r="S26" s="90"/>
      <c r="T26" s="116"/>
      <c r="U26" s="116"/>
      <c r="V26" s="116"/>
    </row>
    <row customHeight="1" ht="15">
      <c r="A27" s="116"/>
      <c r="B27" s="58" t="s">
        <v>45</v>
      </c>
      <c r="C27" s="62">
        <f>SUM(C35:C36)</f>
        <v>0</v>
      </c>
      <c r="D27" s="57">
        <f>_xlfn.IFERROR(SUM(D117:D130),"")</f>
        <v>1917.48</v>
      </c>
      <c r="E27" s="57">
        <f>_xlfn.IFERROR(SUM(E117:E130),"")</f>
        <v>10122.14</v>
      </c>
      <c r="F27" s="57">
        <f>C27-E27</f>
        <v>-10122.14</v>
      </c>
      <c r="G27" s="57">
        <f>_xlfn.IFERROR(F27/S5,"")</f>
        <v>-421.755833333333</v>
      </c>
      <c r="H27" s="174"/>
      <c r="I27" s="57">
        <f>_xlfn.IFERROR(SUM(I117:I130),"")</f>
        <v>10122.14</v>
      </c>
      <c r="J27" s="57">
        <f>H27-I27</f>
        <v>-10122.14</v>
      </c>
      <c r="K27" s="57">
        <f>_xlfn.IFERROR(J27/T13,"")</f>
        <v>-28.2741340782123</v>
      </c>
      <c r="L27" s="57" t="str">
        <f>_xlfn.IFERROR(I27/H27*100,"")</f>
        <v/>
      </c>
      <c r="M27" s="78"/>
      <c r="N27" s="78"/>
      <c r="O27" s="78"/>
      <c r="P27" s="78"/>
      <c r="Q27" s="78"/>
      <c r="R27" s="89"/>
      <c r="S27" s="90"/>
      <c r="T27" s="116"/>
      <c r="U27" s="116"/>
      <c r="V27" s="116"/>
    </row>
    <row customHeight="1" ht="15">
      <c r="A28" s="116"/>
      <c r="B28" s="58" t="s">
        <v>46</v>
      </c>
      <c r="C28" s="62">
        <v>120000</v>
      </c>
      <c r="D28" s="57">
        <f>_xlfn.IFERROR(SUM(D132:D134),"")</f>
        <v>3906</v>
      </c>
      <c r="E28" s="57">
        <f>_xlfn.IFERROR(SUM(E132:E134),"")</f>
        <v>25627</v>
      </c>
      <c r="F28" s="57">
        <f>C28-E28</f>
        <v>94373</v>
      </c>
      <c r="G28" s="57">
        <f>_xlfn.IFERROR(F28/S5,"")</f>
        <v>3932.20833333333</v>
      </c>
      <c r="H28" s="174"/>
      <c r="I28" s="57">
        <f>_xlfn.IFERROR(SUM(I132:I134),"")</f>
        <v>25627</v>
      </c>
      <c r="J28" s="57">
        <f>H28-I28</f>
        <v>-25627</v>
      </c>
      <c r="K28" s="57">
        <f>_xlfn.IFERROR(J28/T13,"")</f>
        <v>-71.5837988826816</v>
      </c>
      <c r="L28" s="57" t="str">
        <f>_xlfn.IFERROR(I28/H28*100,"")</f>
        <v/>
      </c>
      <c r="M28" s="57"/>
      <c r="N28" s="57"/>
      <c r="O28" s="57"/>
      <c r="P28" s="57"/>
      <c r="Q28" s="57"/>
      <c r="R28" s="87"/>
      <c r="S28" s="88"/>
      <c r="T28" s="116"/>
      <c r="U28" s="116"/>
      <c r="V28" s="116"/>
    </row>
    <row customHeight="1" ht="15">
      <c r="A29" s="116"/>
      <c r="B29" s="58" t="s">
        <v>47</v>
      </c>
      <c r="C29" s="62">
        <v>5000</v>
      </c>
      <c r="D29" s="57">
        <f>_xlfn.IFERROR(SUM(D151:D153),"")</f>
        <v>190</v>
      </c>
      <c r="E29" s="57">
        <f>_xlfn.IFERROR(SUM(E151:E153),"")</f>
        <v>1488</v>
      </c>
      <c r="F29" s="57">
        <f>C29-E29</f>
        <v>3512</v>
      </c>
      <c r="G29" s="57">
        <f>_xlfn.IFERROR(F29/S5,"")</f>
        <v>146.333333333333</v>
      </c>
      <c r="H29" s="174"/>
      <c r="I29" s="57">
        <f>_xlfn.IFERROR(SUM(I151:I153),"")</f>
        <v>1488</v>
      </c>
      <c r="J29" s="57">
        <f>H29-I29</f>
        <v>-1488</v>
      </c>
      <c r="K29" s="57">
        <f>_xlfn.IFERROR(J29/T13,"")</f>
        <v>-4.15642458100559</v>
      </c>
      <c r="L29" s="57" t="str">
        <f>_xlfn.IFERROR(I29/H29*100,"")</f>
        <v/>
      </c>
      <c r="M29" s="57"/>
      <c r="N29" s="57"/>
      <c r="O29" s="57"/>
      <c r="P29" s="57"/>
      <c r="Q29" s="57"/>
      <c r="R29" s="91"/>
      <c r="S29" s="88"/>
      <c r="T29" s="116"/>
      <c r="U29" s="116"/>
      <c r="V29" s="116"/>
    </row>
    <row customHeight="1" ht="15">
      <c r="A30" s="116"/>
      <c r="B30" s="58" t="s">
        <v>48</v>
      </c>
      <c r="C30" s="62">
        <v>5000</v>
      </c>
      <c r="D30" s="57">
        <f>_xlfn.IFERROR(D138,"")</f>
        <v>202</v>
      </c>
      <c r="E30" s="57">
        <f>_xlfn.IFERROR(E138,"")</f>
        <v>1461.2782355786</v>
      </c>
      <c r="F30" s="57">
        <f>C30-E30</f>
        <v>3538.7217644214</v>
      </c>
      <c r="G30" s="57">
        <f>_xlfn.IFERROR(F30/S5,"")</f>
        <v>147.446740184225</v>
      </c>
      <c r="H30" s="174"/>
      <c r="I30" s="57">
        <f>_xlfn.IFERROR(I138,"")</f>
        <v>1461.2782355786</v>
      </c>
      <c r="J30" s="57">
        <f>H30-I30</f>
        <v>-1461.2782355786</v>
      </c>
      <c r="K30" s="57">
        <f>_xlfn.IFERROR(J30/T13,"")</f>
        <v>-4.08178278094581</v>
      </c>
      <c r="L30" s="57" t="str">
        <f>_xlfn.IFERROR(I30/H30*100,"")</f>
        <v/>
      </c>
      <c r="M30" s="57"/>
      <c r="N30" s="57"/>
      <c r="O30" s="57"/>
      <c r="P30" s="57"/>
      <c r="Q30" s="57"/>
      <c r="R30" s="91"/>
      <c r="S30" s="88"/>
      <c r="T30" s="116"/>
      <c r="U30" s="116"/>
      <c r="V30" s="116"/>
    </row>
    <row customHeight="1" ht="15">
      <c r="A31" s="116"/>
      <c r="B31" s="58" t="s">
        <v>49</v>
      </c>
      <c r="C31" s="62">
        <v>0</v>
      </c>
      <c r="D31" s="57">
        <f>_xlfn.IFERROR(SUM(D140:D141),"")</f>
        <v>0</v>
      </c>
      <c r="E31" s="57">
        <f>_xlfn.IFERROR(SUM(E140:E141),"")</f>
        <v>0</v>
      </c>
      <c r="F31" s="57">
        <f>C31-E31</f>
        <v>0</v>
      </c>
      <c r="G31" s="57">
        <f>_xlfn.IFERROR(F31/S5,"")</f>
        <v>0</v>
      </c>
      <c r="H31" s="174"/>
      <c r="I31" s="57">
        <f>_xlfn.IFERROR(SUM(I140:I141),"")</f>
        <v>0</v>
      </c>
      <c r="J31" s="57">
        <f>H31-I31</f>
        <v>0</v>
      </c>
      <c r="K31" s="57">
        <f>_xlfn.IFERROR(J31/T13,"")</f>
        <v>0</v>
      </c>
      <c r="L31" s="57" t="str">
        <f>_xlfn.IFERROR(I31/H31*100,"")</f>
        <v/>
      </c>
      <c r="M31" s="57"/>
      <c r="N31" s="57"/>
      <c r="O31" s="57"/>
      <c r="P31" s="57"/>
      <c r="Q31" s="57"/>
      <c r="R31" s="91"/>
      <c r="S31" s="88"/>
      <c r="T31" s="116"/>
      <c r="U31" s="116"/>
      <c r="V31" s="116"/>
    </row>
    <row customHeight="1" ht="14.25">
      <c r="A32" s="116"/>
      <c r="B32" s="69" t="s">
        <v>50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88"/>
      <c r="T32" s="116"/>
      <c r="U32" s="116"/>
      <c r="V32" s="116"/>
    </row>
    <row customHeight="1" ht="15">
      <c r="A33" s="116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88"/>
      <c r="T33" s="116"/>
      <c r="U33" s="116"/>
      <c r="V33" s="116"/>
    </row>
    <row customHeight="1" ht="14.4525">
      <c r="A34" s="116"/>
      <c r="B34" s="114"/>
      <c r="C34" s="114"/>
      <c r="D34" s="114"/>
      <c r="E34" s="116"/>
      <c r="F34" s="114"/>
      <c r="G34" s="114"/>
      <c r="H34" s="114"/>
      <c r="I34" s="116"/>
      <c r="J34" s="114"/>
      <c r="K34" s="114"/>
      <c r="L34" s="114"/>
      <c r="M34" s="116"/>
      <c r="N34" s="116"/>
      <c r="O34" s="116"/>
      <c r="P34" s="116"/>
      <c r="Q34" s="116"/>
      <c r="R34" s="114"/>
      <c r="S34" s="114"/>
      <c r="T34" s="116"/>
      <c r="U34" s="116"/>
      <c r="V34" s="116"/>
    </row>
    <row customHeight="1" ht="14.25">
      <c r="A35" s="116"/>
      <c r="B35" s="114">
        <v>223000</v>
      </c>
      <c r="C35" s="62"/>
      <c r="D35" s="182" t="s">
        <v>67</v>
      </c>
      <c r="E35" s="182" t="s">
        <v>67</v>
      </c>
      <c r="F35" s="114"/>
      <c r="G35" s="114"/>
      <c r="H35" s="114"/>
      <c r="I35" s="182" t="s">
        <v>67</v>
      </c>
      <c r="J35" s="114"/>
      <c r="K35" s="114"/>
      <c r="L35" s="114"/>
      <c r="M35" s="116"/>
      <c r="N35" s="116">
        <v>69.22407407407407</v>
      </c>
      <c r="O35" s="116" t="s">
        <v>23</v>
      </c>
      <c r="P35" s="116" t="s">
        <v>23</v>
      </c>
      <c r="Q35" s="116" t="s">
        <v>23</v>
      </c>
      <c r="R35" s="114"/>
      <c r="S35" s="114"/>
      <c r="T35" s="116"/>
      <c r="U35" s="116"/>
      <c r="V35" s="116"/>
    </row>
    <row customHeight="1" ht="14.25">
      <c r="A36" s="116"/>
      <c r="B36" s="114"/>
      <c r="C36" s="62"/>
      <c r="D36" s="182">
        <v>617</v>
      </c>
      <c r="E36" s="182">
        <v>4266</v>
      </c>
      <c r="F36" s="114"/>
      <c r="G36" s="114"/>
      <c r="H36" s="114"/>
      <c r="I36" s="182">
        <v>4266</v>
      </c>
      <c r="J36" s="114"/>
      <c r="K36" s="79"/>
      <c r="L36" s="114"/>
      <c r="M36" s="116"/>
      <c r="N36" s="116">
        <v>17.100617283950616</v>
      </c>
      <c r="O36" s="116">
        <v>48.3002496136931</v>
      </c>
      <c r="P36" s="116">
        <v>48.5474006116208</v>
      </c>
      <c r="Q36" s="116">
        <v>48.5474006116208</v>
      </c>
      <c r="R36" s="114"/>
      <c r="S36" s="114"/>
      <c r="T36" s="116"/>
      <c r="U36" s="116"/>
      <c r="V36" s="116"/>
    </row>
    <row customHeight="1" ht="14.25">
      <c r="A37" s="116"/>
      <c r="B37" s="114"/>
      <c r="C37" s="114"/>
      <c r="D37" s="182">
        <v>3340</v>
      </c>
      <c r="E37" s="182">
        <v>23339</v>
      </c>
      <c r="F37" s="114"/>
      <c r="G37" s="114"/>
      <c r="H37" s="114"/>
      <c r="I37" s="182">
        <v>23339</v>
      </c>
      <c r="J37" s="114"/>
      <c r="K37" s="79"/>
      <c r="L37" s="114"/>
      <c r="M37" s="116"/>
      <c r="N37" s="116"/>
      <c r="O37" s="116">
        <v>49.0428540352404</v>
      </c>
      <c r="P37" s="116">
        <v>49.1211110574057</v>
      </c>
      <c r="Q37" s="116">
        <v>49.1211110574057</v>
      </c>
      <c r="R37" s="114"/>
      <c r="S37" s="114"/>
      <c r="T37" s="116"/>
      <c r="U37" s="116"/>
      <c r="V37" s="116"/>
    </row>
    <row customHeight="1" ht="14.25">
      <c r="A38" s="116"/>
      <c r="B38" s="114"/>
      <c r="C38" s="114">
        <v>120000</v>
      </c>
      <c r="D38" s="72">
        <v>4280</v>
      </c>
      <c r="E38" s="72">
        <v>29955</v>
      </c>
      <c r="F38" s="114"/>
      <c r="G38" s="114"/>
      <c r="H38" s="114"/>
      <c r="I38" s="72">
        <v>29955</v>
      </c>
      <c r="J38" s="114"/>
      <c r="K38" s="79"/>
      <c r="L38" s="114"/>
      <c r="M38" s="116"/>
      <c r="N38" s="116"/>
      <c r="O38" s="116">
        <v>51.8652411352973</v>
      </c>
      <c r="P38" s="116">
        <v>52.8378679159291</v>
      </c>
      <c r="Q38" s="116">
        <v>52.8378679159291</v>
      </c>
      <c r="R38" s="114"/>
      <c r="S38" s="114"/>
      <c r="T38" s="116"/>
      <c r="U38" s="116"/>
      <c r="V38" s="116"/>
    </row>
    <row customHeight="1" ht="14.25">
      <c r="A39" s="116"/>
      <c r="B39" s="114"/>
      <c r="C39" s="114"/>
      <c r="D39" s="182" t="s">
        <v>68</v>
      </c>
      <c r="E39" s="182" t="s">
        <v>68</v>
      </c>
      <c r="F39" s="114"/>
      <c r="G39" s="114"/>
      <c r="H39" s="114"/>
      <c r="I39" s="182" t="s">
        <v>68</v>
      </c>
      <c r="J39" s="114"/>
      <c r="K39" s="79"/>
      <c r="L39" s="114"/>
      <c r="M39" s="116"/>
      <c r="N39" s="116"/>
      <c r="O39" s="116" t="s">
        <v>24</v>
      </c>
      <c r="P39" s="116" t="s">
        <v>24</v>
      </c>
      <c r="Q39" s="116" t="s">
        <v>24</v>
      </c>
      <c r="R39" s="114"/>
      <c r="S39" s="114"/>
      <c r="T39" s="116"/>
      <c r="U39" s="116"/>
      <c r="V39" s="116"/>
    </row>
    <row customHeight="1" ht="14.25">
      <c r="A40" s="116"/>
      <c r="B40" s="114"/>
      <c r="C40" s="114"/>
      <c r="D40" s="182">
        <v>1806</v>
      </c>
      <c r="E40" s="182">
        <v>12962</v>
      </c>
      <c r="F40" s="114"/>
      <c r="G40" s="114"/>
      <c r="H40" s="114"/>
      <c r="I40" s="182">
        <v>12962</v>
      </c>
      <c r="J40" s="114"/>
      <c r="K40" s="79"/>
      <c r="L40" s="114"/>
      <c r="M40" s="116"/>
      <c r="N40" s="116"/>
      <c r="O40" s="116"/>
      <c r="P40" s="116"/>
      <c r="Q40" s="116"/>
      <c r="R40" s="114"/>
      <c r="S40" s="114"/>
      <c r="T40" s="116"/>
      <c r="U40" s="116"/>
      <c r="V40" s="116"/>
    </row>
    <row customHeight="1" ht="14.25">
      <c r="A41" s="116"/>
      <c r="B41" s="114"/>
      <c r="C41" s="114"/>
      <c r="D41" s="182">
        <v>2061</v>
      </c>
      <c r="E41" s="182">
        <v>14313</v>
      </c>
      <c r="F41" s="114"/>
      <c r="G41" s="114"/>
      <c r="H41" s="114"/>
      <c r="I41" s="182">
        <v>14313</v>
      </c>
      <c r="J41" s="114"/>
      <c r="K41" s="114"/>
      <c r="L41" s="114"/>
      <c r="M41" s="116"/>
      <c r="N41" s="116"/>
      <c r="O41" s="116"/>
      <c r="P41" s="116"/>
      <c r="Q41" s="116"/>
      <c r="R41" s="114"/>
      <c r="S41" s="114"/>
      <c r="T41" s="116"/>
      <c r="U41" s="116"/>
      <c r="V41" s="116"/>
    </row>
    <row customHeight="1" ht="14.25">
      <c r="A42" s="116"/>
      <c r="B42" s="114"/>
      <c r="C42" s="114"/>
      <c r="D42" s="182">
        <v>4149</v>
      </c>
      <c r="E42" s="182">
        <v>29145</v>
      </c>
      <c r="F42" s="114"/>
      <c r="G42" s="114"/>
      <c r="H42" s="114"/>
      <c r="I42" s="182">
        <v>29145</v>
      </c>
      <c r="J42" s="114"/>
      <c r="K42" s="114"/>
      <c r="L42" s="114"/>
      <c r="M42" s="116"/>
      <c r="N42" s="116"/>
      <c r="O42" s="116"/>
      <c r="P42" s="116"/>
      <c r="Q42" s="116"/>
      <c r="R42" s="114"/>
      <c r="S42" s="114"/>
      <c r="T42" s="116"/>
      <c r="U42" s="116"/>
      <c r="V42" s="116"/>
    </row>
    <row customHeight="1" ht="14.25">
      <c r="A43" s="116"/>
      <c r="B43" s="114"/>
      <c r="C43" s="114"/>
      <c r="D43" s="182" t="s">
        <v>69</v>
      </c>
      <c r="E43" s="182" t="s">
        <v>69</v>
      </c>
      <c r="F43" s="114"/>
      <c r="G43" s="114"/>
      <c r="H43" s="114"/>
      <c r="I43" s="182" t="s">
        <v>69</v>
      </c>
      <c r="J43" s="114"/>
      <c r="K43" s="114"/>
      <c r="L43" s="114"/>
      <c r="M43" s="116"/>
      <c r="N43" s="116"/>
      <c r="O43" s="116" t="s">
        <v>68</v>
      </c>
      <c r="P43" s="116" t="s">
        <v>68</v>
      </c>
      <c r="Q43" s="116" t="s">
        <v>68</v>
      </c>
      <c r="R43" s="114"/>
      <c r="S43" s="114"/>
      <c r="T43" s="116"/>
      <c r="U43" s="116"/>
      <c r="V43" s="116"/>
    </row>
    <row customHeight="1" ht="14.25">
      <c r="A44" s="116"/>
      <c r="B44" s="114"/>
      <c r="C44" s="114"/>
      <c r="D44" s="182">
        <v>2830</v>
      </c>
      <c r="E44" s="182">
        <v>23859</v>
      </c>
      <c r="F44" s="114"/>
      <c r="G44" s="114"/>
      <c r="H44" s="114"/>
      <c r="I44" s="182">
        <v>23859</v>
      </c>
      <c r="J44" s="114"/>
      <c r="K44" s="114"/>
      <c r="L44" s="114"/>
      <c r="M44" s="116"/>
      <c r="N44" s="116"/>
      <c r="O44" s="116">
        <v>98.8925802879291</v>
      </c>
      <c r="P44" s="116">
        <v>98.889060330196</v>
      </c>
      <c r="Q44" s="116">
        <v>98.889060330196</v>
      </c>
      <c r="R44" s="114"/>
      <c r="S44" s="114"/>
      <c r="T44" s="116"/>
      <c r="U44" s="116"/>
      <c r="V44" s="116"/>
    </row>
    <row customHeight="1" ht="14.25">
      <c r="A45" s="116"/>
      <c r="B45" s="114"/>
      <c r="C45" s="114"/>
      <c r="D45" s="182">
        <v>4425</v>
      </c>
      <c r="E45" s="182">
        <v>33634</v>
      </c>
      <c r="F45" s="114"/>
      <c r="G45" s="114"/>
      <c r="H45" s="114"/>
      <c r="I45" s="182">
        <v>33634</v>
      </c>
      <c r="J45" s="114"/>
      <c r="K45" s="114"/>
      <c r="L45" s="114"/>
      <c r="M45" s="116"/>
      <c r="N45" s="116"/>
      <c r="O45" s="116">
        <v>99.2236778262979</v>
      </c>
      <c r="P45" s="116">
        <v>99.22448124083</v>
      </c>
      <c r="Q45" s="116">
        <v>99.22448124083</v>
      </c>
      <c r="R45" s="114"/>
      <c r="S45" s="114"/>
      <c r="T45" s="116"/>
      <c r="U45" s="116"/>
      <c r="V45" s="116"/>
    </row>
    <row customHeight="1" ht="14.25">
      <c r="A46" s="116"/>
      <c r="B46" s="114"/>
      <c r="C46" s="114"/>
      <c r="D46" s="182">
        <v>4881</v>
      </c>
      <c r="E46" s="182">
        <v>34345</v>
      </c>
      <c r="F46" s="114"/>
      <c r="G46" s="114"/>
      <c r="H46" s="114"/>
      <c r="I46" s="182">
        <v>34345</v>
      </c>
      <c r="J46" s="114"/>
      <c r="K46" s="114"/>
      <c r="L46" s="114"/>
      <c r="M46" s="116"/>
      <c r="N46" s="116"/>
      <c r="O46" s="116">
        <v>98.9636056881176</v>
      </c>
      <c r="P46" s="116">
        <v>99.0084062446389</v>
      </c>
      <c r="Q46" s="116">
        <v>99.0084062446389</v>
      </c>
      <c r="R46" s="114"/>
      <c r="S46" s="114"/>
      <c r="T46" s="116"/>
      <c r="U46" s="116"/>
      <c r="V46" s="116"/>
    </row>
    <row customHeight="1" ht="14.25">
      <c r="A47" s="116"/>
      <c r="B47" s="114"/>
      <c r="C47" s="114"/>
      <c r="D47" s="182" t="s">
        <v>23</v>
      </c>
      <c r="E47" s="182" t="s">
        <v>23</v>
      </c>
      <c r="F47" s="114"/>
      <c r="G47" s="114"/>
      <c r="H47" s="114"/>
      <c r="I47" s="182" t="s">
        <v>23</v>
      </c>
      <c r="J47" s="114"/>
      <c r="K47" s="114"/>
      <c r="L47" s="114"/>
      <c r="M47" s="116"/>
      <c r="N47" s="116"/>
      <c r="O47" s="116" t="s">
        <v>67</v>
      </c>
      <c r="P47" s="116" t="s">
        <v>67</v>
      </c>
      <c r="Q47" s="116" t="s">
        <v>67</v>
      </c>
      <c r="R47" s="114"/>
      <c r="S47" s="114"/>
      <c r="T47" s="116"/>
      <c r="U47" s="116"/>
      <c r="V47" s="116"/>
    </row>
    <row customHeight="1" ht="14.25">
      <c r="A48" s="116"/>
      <c r="B48" s="114"/>
      <c r="C48" s="114"/>
      <c r="D48" s="182">
        <v>16826</v>
      </c>
      <c r="E48" s="182">
        <v>117720</v>
      </c>
      <c r="F48" s="114"/>
      <c r="G48" s="114"/>
      <c r="H48" s="114"/>
      <c r="I48" s="182">
        <v>117720</v>
      </c>
      <c r="J48" s="114"/>
      <c r="K48" s="114"/>
      <c r="L48" s="114"/>
      <c r="M48" s="116"/>
      <c r="N48" s="116"/>
      <c r="O48" s="116">
        <v>93.354943273906</v>
      </c>
      <c r="P48" s="116">
        <v>93.4599156118144</v>
      </c>
      <c r="Q48" s="116">
        <v>93.4599156118144</v>
      </c>
      <c r="R48" s="114"/>
      <c r="S48" s="114"/>
      <c r="T48" s="116"/>
      <c r="U48" s="116"/>
      <c r="V48" s="116"/>
    </row>
    <row customHeight="1" ht="14.25">
      <c r="A49" s="116"/>
      <c r="B49" s="114"/>
      <c r="C49" s="114"/>
      <c r="D49" s="182">
        <v>9194</v>
      </c>
      <c r="E49" s="182">
        <v>62067</v>
      </c>
      <c r="F49" s="114"/>
      <c r="G49" s="114"/>
      <c r="H49" s="114"/>
      <c r="I49" s="182">
        <v>62067</v>
      </c>
      <c r="J49" s="114"/>
      <c r="K49" s="114"/>
      <c r="L49" s="114"/>
      <c r="M49" s="116"/>
      <c r="N49" s="116"/>
      <c r="O49" s="116">
        <v>93.0239520958084</v>
      </c>
      <c r="P49" s="116">
        <v>93.2087921504777</v>
      </c>
      <c r="Q49" s="116">
        <v>93.2087921504777</v>
      </c>
      <c r="R49" s="114"/>
      <c r="S49" s="114"/>
      <c r="T49" s="116"/>
      <c r="U49" s="116"/>
      <c r="V49" s="116"/>
    </row>
    <row customHeight="1" ht="14.25">
      <c r="A50" s="116"/>
      <c r="B50" s="114"/>
      <c r="C50" s="114"/>
      <c r="D50" s="182">
        <v>13001</v>
      </c>
      <c r="E50" s="182">
        <v>94349</v>
      </c>
      <c r="F50" s="114"/>
      <c r="G50" s="114"/>
      <c r="H50" s="114"/>
      <c r="I50" s="182">
        <v>94349</v>
      </c>
      <c r="J50" s="114"/>
      <c r="K50" s="114"/>
      <c r="L50" s="114"/>
      <c r="M50" s="116"/>
      <c r="N50" s="116"/>
      <c r="O50" s="116">
        <v>93.3644859813084</v>
      </c>
      <c r="P50" s="116">
        <v>93.2164914037723</v>
      </c>
      <c r="Q50" s="116">
        <v>93.2164914037723</v>
      </c>
      <c r="R50" s="114"/>
      <c r="S50" s="114"/>
      <c r="T50" s="116"/>
      <c r="U50" s="116"/>
      <c r="V50" s="116"/>
    </row>
    <row customHeight="1" ht="14.25">
      <c r="A51" s="116"/>
      <c r="B51" s="114"/>
      <c r="C51" s="114"/>
      <c r="D51" s="114" t="s">
        <v>24</v>
      </c>
      <c r="E51" s="116" t="s">
        <v>24</v>
      </c>
      <c r="F51" s="114"/>
      <c r="G51" s="114"/>
      <c r="H51" s="114"/>
      <c r="I51" s="116" t="s">
        <v>24</v>
      </c>
      <c r="J51" s="114"/>
      <c r="K51" s="114"/>
      <c r="L51" s="114"/>
      <c r="M51" s="116"/>
      <c r="N51" s="116"/>
      <c r="O51" s="116" t="s">
        <v>69</v>
      </c>
      <c r="P51" s="116" t="s">
        <v>69</v>
      </c>
      <c r="Q51" s="116" t="s">
        <v>69</v>
      </c>
      <c r="R51" s="114"/>
      <c r="S51" s="114"/>
      <c r="T51" s="116"/>
      <c r="U51" s="116"/>
      <c r="V51" s="116"/>
    </row>
    <row customHeight="1" ht="14.25">
      <c r="A52" s="116"/>
      <c r="B52" s="114"/>
      <c r="C52" s="114"/>
      <c r="D52" s="114">
        <v>8809</v>
      </c>
      <c r="E52" s="116">
        <v>61644</v>
      </c>
      <c r="F52" s="114"/>
      <c r="G52" s="114"/>
      <c r="H52" s="114"/>
      <c r="I52" s="116">
        <v>61644</v>
      </c>
      <c r="J52" s="114"/>
      <c r="K52" s="114"/>
      <c r="L52" s="114"/>
      <c r="M52" s="116"/>
      <c r="N52" s="116"/>
      <c r="O52" s="116">
        <v>99.0812720848056</v>
      </c>
      <c r="P52" s="116">
        <v>99.2078460958129</v>
      </c>
      <c r="Q52" s="116">
        <v>99.2078460958129</v>
      </c>
      <c r="R52" s="114"/>
      <c r="S52" s="114"/>
      <c r="T52" s="116"/>
      <c r="U52" s="116"/>
      <c r="V52" s="116"/>
    </row>
    <row customHeight="1" ht="14.25">
      <c r="A53" s="116"/>
      <c r="B53" s="114"/>
      <c r="C53" s="114"/>
      <c r="D53" s="114">
        <v>3431</v>
      </c>
      <c r="E53" s="116">
        <v>24621</v>
      </c>
      <c r="F53" s="114"/>
      <c r="G53" s="114"/>
      <c r="H53" s="114"/>
      <c r="I53" s="116">
        <v>24621</v>
      </c>
      <c r="J53" s="114"/>
      <c r="K53" s="114"/>
      <c r="L53" s="114"/>
      <c r="M53" s="116"/>
      <c r="N53" s="116"/>
      <c r="O53" s="116">
        <v>99.0282485875707</v>
      </c>
      <c r="P53" s="116">
        <v>99.1675090682049</v>
      </c>
      <c r="Q53" s="116">
        <v>99.1675090682049</v>
      </c>
      <c r="R53" s="114"/>
      <c r="S53" s="114"/>
      <c r="T53" s="116"/>
      <c r="U53" s="116"/>
      <c r="V53" s="116"/>
    </row>
    <row customHeight="1" ht="14.25">
      <c r="A54" s="116"/>
      <c r="B54" s="114"/>
      <c r="C54" s="114"/>
      <c r="D54" s="114">
        <v>4647</v>
      </c>
      <c r="E54" s="116">
        <v>30175</v>
      </c>
      <c r="F54" s="114"/>
      <c r="G54" s="114"/>
      <c r="H54" s="114"/>
      <c r="I54" s="116">
        <v>30175</v>
      </c>
      <c r="J54" s="114"/>
      <c r="K54" s="114"/>
      <c r="L54" s="114"/>
      <c r="M54" s="116"/>
      <c r="N54" s="116"/>
      <c r="O54" s="116">
        <v>99.3034214300348</v>
      </c>
      <c r="P54" s="116">
        <v>99.1439802009026</v>
      </c>
      <c r="Q54" s="116">
        <v>99.1439802009026</v>
      </c>
      <c r="R54" s="114"/>
      <c r="S54" s="114"/>
      <c r="T54" s="116"/>
      <c r="U54" s="116"/>
      <c r="V54" s="116"/>
    </row>
    <row customHeight="1" ht="14.25">
      <c r="A55" s="116"/>
      <c r="B55" s="114"/>
      <c r="C55" s="114"/>
      <c r="D55" s="114" t="s">
        <v>70</v>
      </c>
      <c r="E55" s="116" t="s">
        <v>70</v>
      </c>
      <c r="F55" s="114"/>
      <c r="G55" s="114"/>
      <c r="H55" s="114"/>
      <c r="I55" s="116" t="s">
        <v>70</v>
      </c>
      <c r="J55" s="114"/>
      <c r="K55" s="114"/>
      <c r="L55" s="114"/>
      <c r="M55" s="116"/>
      <c r="N55" s="116"/>
      <c r="O55" s="116" t="s">
        <v>24</v>
      </c>
      <c r="P55" s="116" t="s">
        <v>24</v>
      </c>
      <c r="Q55" s="116" t="s">
        <v>24</v>
      </c>
      <c r="R55" s="114"/>
      <c r="S55" s="114"/>
      <c r="T55" s="116"/>
      <c r="U55" s="116"/>
      <c r="V55" s="116"/>
    </row>
    <row customHeight="1" ht="14.25">
      <c r="A56" s="116"/>
      <c r="B56" s="114"/>
      <c r="C56" s="114"/>
      <c r="D56" s="114">
        <v>995.2</v>
      </c>
      <c r="E56" s="116">
        <v>7099.4</v>
      </c>
      <c r="F56" s="114"/>
      <c r="G56" s="114"/>
      <c r="H56" s="114"/>
      <c r="I56" s="116">
        <v>7099.4</v>
      </c>
      <c r="J56" s="114"/>
      <c r="K56" s="114"/>
      <c r="L56" s="114"/>
      <c r="M56" s="116"/>
      <c r="N56" s="116"/>
      <c r="O56" s="116">
        <v>48.3002496136931</v>
      </c>
      <c r="P56" s="116">
        <v>71.4520547945205</v>
      </c>
      <c r="Q56" s="116">
        <v>71.4520547945205</v>
      </c>
      <c r="R56" s="114"/>
      <c r="S56" s="114"/>
      <c r="T56" s="116"/>
      <c r="U56" s="116"/>
      <c r="V56" s="116"/>
    </row>
    <row customHeight="1" ht="14.25">
      <c r="A57" s="116"/>
      <c r="B57" s="114"/>
      <c r="C57" s="114"/>
      <c r="D57" s="114"/>
      <c r="E57" s="116"/>
      <c r="F57" s="114"/>
      <c r="G57" s="114"/>
      <c r="H57" s="114"/>
      <c r="I57" s="116"/>
      <c r="J57" s="114"/>
      <c r="K57" s="114"/>
      <c r="L57" s="114"/>
      <c r="M57" s="116"/>
      <c r="N57" s="116"/>
      <c r="O57" s="116">
        <v>49.0428540352404</v>
      </c>
      <c r="P57" s="116">
        <v>71.197096134416</v>
      </c>
      <c r="Q57" s="116">
        <v>71.197096134416</v>
      </c>
      <c r="R57" s="114"/>
      <c r="S57" s="114"/>
      <c r="T57" s="116"/>
      <c r="U57" s="116"/>
      <c r="V57" s="116"/>
    </row>
    <row customHeight="1" ht="14.25">
      <c r="A58" s="116"/>
      <c r="B58" s="114"/>
      <c r="C58" s="114"/>
      <c r="D58" s="182" t="s">
        <v>75</v>
      </c>
      <c r="E58" s="182" t="s">
        <v>75</v>
      </c>
      <c r="F58" s="114"/>
      <c r="G58" s="114"/>
      <c r="H58" s="114"/>
      <c r="I58" s="182" t="s">
        <v>75</v>
      </c>
      <c r="J58" s="114"/>
      <c r="K58" s="114"/>
      <c r="L58" s="114"/>
      <c r="M58" s="116"/>
      <c r="N58" s="116"/>
      <c r="O58" s="116">
        <v>51.8652411352973</v>
      </c>
      <c r="P58" s="116">
        <v>70.180081327051</v>
      </c>
      <c r="Q58" s="116">
        <v>70.180081327051</v>
      </c>
      <c r="R58" s="114"/>
      <c r="S58" s="114"/>
      <c r="T58" s="116"/>
      <c r="U58" s="116"/>
      <c r="V58" s="116"/>
    </row>
    <row customHeight="1" ht="14.25">
      <c r="A59" s="116"/>
      <c r="B59" s="114"/>
      <c r="C59" s="114"/>
      <c r="D59" s="182">
        <v>834</v>
      </c>
      <c r="E59" s="182">
        <v>43275</v>
      </c>
      <c r="F59" s="114"/>
      <c r="G59" s="114"/>
      <c r="H59" s="114"/>
      <c r="I59" s="182">
        <v>43275</v>
      </c>
      <c r="J59" s="114"/>
      <c r="K59" s="114"/>
      <c r="L59" s="114"/>
      <c r="M59" s="116"/>
      <c r="N59" s="116"/>
      <c r="O59" s="116">
        <v>16.1948798917334</v>
      </c>
      <c r="P59" s="116">
        <v>16.4464141821112</v>
      </c>
      <c r="Q59" s="116">
        <v>16.4464141821112</v>
      </c>
      <c r="R59" s="114"/>
      <c r="S59" s="114"/>
      <c r="T59" s="116"/>
      <c r="U59" s="116"/>
      <c r="V59" s="116"/>
    </row>
    <row customHeight="1" ht="14.25">
      <c r="A60" s="116"/>
      <c r="B60" s="114"/>
      <c r="C60" s="114"/>
      <c r="D60" s="182">
        <v>0</v>
      </c>
      <c r="E60" s="182">
        <v>0</v>
      </c>
      <c r="F60" s="114"/>
      <c r="G60" s="114"/>
      <c r="H60" s="114"/>
      <c r="I60" s="182">
        <v>0</v>
      </c>
      <c r="J60" s="114"/>
      <c r="K60" s="114"/>
      <c r="L60" s="114"/>
      <c r="M60" s="116"/>
      <c r="N60" s="116"/>
      <c r="O60" s="116">
        <v>15.0745328574428</v>
      </c>
      <c r="P60" s="116">
        <v>16.023650039292</v>
      </c>
      <c r="Q60" s="116">
        <v>16.023650039292</v>
      </c>
      <c r="R60" s="114"/>
      <c r="S60" s="114"/>
      <c r="T60" s="116"/>
      <c r="U60" s="116"/>
      <c r="V60" s="116"/>
    </row>
    <row customHeight="1" ht="14.25">
      <c r="A61" s="116"/>
      <c r="B61" s="114"/>
      <c r="C61" s="114"/>
      <c r="D61" s="182">
        <v>0</v>
      </c>
      <c r="E61" s="182">
        <v>0</v>
      </c>
      <c r="F61" s="114"/>
      <c r="G61" s="114"/>
      <c r="H61" s="114"/>
      <c r="I61" s="182">
        <v>0</v>
      </c>
      <c r="J61" s="114"/>
      <c r="K61" s="114"/>
      <c r="L61" s="114"/>
      <c r="M61" s="116"/>
      <c r="N61" s="116"/>
      <c r="O61" s="116">
        <v>16.6622019823198</v>
      </c>
      <c r="P61" s="116">
        <v>14.7550506680436</v>
      </c>
      <c r="Q61" s="116">
        <v>14.7550506680436</v>
      </c>
      <c r="R61" s="114"/>
      <c r="S61" s="114"/>
      <c r="T61" s="116"/>
      <c r="U61" s="116"/>
      <c r="V61" s="116"/>
    </row>
    <row customHeight="1" ht="14.25">
      <c r="A62" s="116"/>
      <c r="B62" s="114"/>
      <c r="C62" s="114"/>
      <c r="D62" s="182">
        <v>3565</v>
      </c>
      <c r="E62" s="182">
        <v>17294</v>
      </c>
      <c r="F62" s="114"/>
      <c r="G62" s="114"/>
      <c r="H62" s="114"/>
      <c r="I62" s="182">
        <v>17294</v>
      </c>
      <c r="J62" s="114"/>
      <c r="K62" s="114"/>
      <c r="L62" s="114"/>
      <c r="M62" s="116"/>
      <c r="N62" s="116"/>
      <c r="O62" s="116"/>
      <c r="P62" s="116"/>
      <c r="Q62" s="116"/>
      <c r="R62" s="114"/>
      <c r="S62" s="114"/>
      <c r="T62" s="116"/>
      <c r="U62" s="116"/>
      <c r="V62" s="116"/>
    </row>
    <row customHeight="1" ht="14.25">
      <c r="A63" s="116"/>
      <c r="B63" s="114"/>
      <c r="C63" s="114"/>
      <c r="D63" s="182">
        <v>3000</v>
      </c>
      <c r="E63" s="182">
        <v>8500</v>
      </c>
      <c r="F63" s="114"/>
      <c r="G63" s="114"/>
      <c r="H63" s="114"/>
      <c r="I63" s="182">
        <v>8500</v>
      </c>
      <c r="J63" s="114"/>
      <c r="K63" s="114"/>
      <c r="L63" s="114"/>
      <c r="M63" s="116"/>
      <c r="N63" s="116"/>
      <c r="O63" s="116">
        <v>8867</v>
      </c>
      <c r="P63" s="116">
        <v>62050</v>
      </c>
      <c r="Q63" s="116">
        <v>62050</v>
      </c>
      <c r="R63" s="114"/>
      <c r="S63" s="114"/>
      <c r="T63" s="116"/>
      <c r="U63" s="116"/>
      <c r="V63" s="116"/>
    </row>
    <row customHeight="1" ht="14.25">
      <c r="A64" s="116"/>
      <c r="B64" s="114"/>
      <c r="C64" s="114"/>
      <c r="D64" s="182">
        <v>0</v>
      </c>
      <c r="E64" s="182">
        <v>5492</v>
      </c>
      <c r="F64" s="114"/>
      <c r="G64" s="114"/>
      <c r="H64" s="114"/>
      <c r="I64" s="182">
        <v>5492</v>
      </c>
      <c r="J64" s="114"/>
      <c r="K64" s="114"/>
      <c r="L64" s="114"/>
      <c r="M64" s="116"/>
      <c r="N64" s="116"/>
      <c r="O64" s="116">
        <v>3733</v>
      </c>
      <c r="P64" s="116">
        <v>26723</v>
      </c>
      <c r="Q64" s="116">
        <v>26723</v>
      </c>
      <c r="R64" s="114"/>
      <c r="S64" s="114"/>
      <c r="T64" s="116"/>
      <c r="U64" s="116"/>
      <c r="V64" s="116"/>
    </row>
    <row customHeight="1" ht="14.25">
      <c r="A65" s="116"/>
      <c r="B65" s="114"/>
      <c r="C65" s="114"/>
      <c r="D65" s="182"/>
      <c r="E65" s="182"/>
      <c r="F65" s="114"/>
      <c r="G65" s="114"/>
      <c r="H65" s="114"/>
      <c r="I65" s="182"/>
      <c r="J65" s="114"/>
      <c r="K65" s="114"/>
      <c r="L65" s="114"/>
      <c r="M65" s="116"/>
      <c r="N65" s="116"/>
      <c r="O65" s="116">
        <v>4763</v>
      </c>
      <c r="P65" s="116">
        <v>30986</v>
      </c>
      <c r="Q65" s="116">
        <v>30986</v>
      </c>
      <c r="R65" s="114"/>
      <c r="S65" s="114"/>
      <c r="T65" s="116"/>
      <c r="U65" s="116"/>
      <c r="V65" s="116"/>
    </row>
    <row customHeight="1" ht="14.25">
      <c r="A66" s="116"/>
      <c r="B66" s="114"/>
      <c r="C66" s="114"/>
      <c r="D66" s="182"/>
      <c r="E66" s="182"/>
      <c r="F66" s="114"/>
      <c r="G66" s="114"/>
      <c r="H66" s="114"/>
      <c r="I66" s="182"/>
      <c r="J66" s="114"/>
      <c r="K66" s="114"/>
      <c r="L66" s="114"/>
      <c r="M66" s="116"/>
      <c r="N66" s="116"/>
      <c r="O66" s="116"/>
      <c r="P66" s="116"/>
      <c r="Q66" s="116"/>
      <c r="R66" s="114"/>
      <c r="S66" s="114"/>
      <c r="T66" s="116"/>
      <c r="U66" s="116"/>
      <c r="V66" s="116"/>
    </row>
    <row customHeight="1" ht="14.25">
      <c r="A67" s="116"/>
      <c r="B67" s="114"/>
      <c r="C67" s="114"/>
      <c r="D67" s="182"/>
      <c r="E67" s="182"/>
      <c r="F67" s="114"/>
      <c r="G67" s="114"/>
      <c r="H67" s="114"/>
      <c r="I67" s="182"/>
      <c r="J67" s="114"/>
      <c r="K67" s="114"/>
      <c r="L67" s="114"/>
      <c r="M67" s="116"/>
      <c r="N67" s="116"/>
      <c r="O67" s="116"/>
      <c r="P67" s="116"/>
      <c r="Q67" s="116"/>
      <c r="R67" s="114"/>
      <c r="S67" s="114"/>
      <c r="T67" s="116"/>
      <c r="U67" s="116"/>
      <c r="V67" s="116"/>
    </row>
    <row customHeight="1" ht="14.25">
      <c r="A68" s="116"/>
      <c r="B68" s="114"/>
      <c r="C68" s="114"/>
      <c r="D68" s="182"/>
      <c r="E68" s="182"/>
      <c r="F68" s="114"/>
      <c r="G68" s="114"/>
      <c r="H68" s="114"/>
      <c r="I68" s="182"/>
      <c r="J68" s="114"/>
      <c r="K68" s="114"/>
      <c r="L68" s="114"/>
      <c r="M68" s="116"/>
      <c r="N68" s="116"/>
      <c r="O68" s="116"/>
      <c r="P68" s="116"/>
      <c r="Q68" s="116"/>
      <c r="R68" s="114"/>
      <c r="S68" s="114"/>
      <c r="T68" s="116"/>
      <c r="U68" s="116"/>
      <c r="V68" s="116"/>
    </row>
    <row customHeight="1" ht="14.25">
      <c r="A69" s="116"/>
      <c r="B69" s="114"/>
      <c r="C69" s="114"/>
      <c r="D69" s="182"/>
      <c r="E69" s="182"/>
      <c r="F69" s="114"/>
      <c r="G69" s="114"/>
      <c r="H69" s="114"/>
      <c r="I69" s="182"/>
      <c r="J69" s="114"/>
      <c r="K69" s="114"/>
      <c r="L69" s="114"/>
      <c r="M69" s="116"/>
      <c r="N69" s="116"/>
      <c r="O69" s="116"/>
      <c r="P69" s="116"/>
      <c r="Q69" s="116"/>
      <c r="R69" s="114"/>
      <c r="S69" s="114"/>
      <c r="T69" s="116"/>
      <c r="U69" s="116"/>
      <c r="V69" s="116"/>
    </row>
    <row customHeight="1" ht="14.25">
      <c r="A70" s="116"/>
      <c r="B70" s="114"/>
      <c r="C70" s="114"/>
      <c r="D70" s="182"/>
      <c r="E70" s="182"/>
      <c r="F70" s="114"/>
      <c r="G70" s="114"/>
      <c r="H70" s="114"/>
      <c r="I70" s="182"/>
      <c r="J70" s="114"/>
      <c r="K70" s="114"/>
      <c r="L70" s="114"/>
      <c r="M70" s="116"/>
      <c r="N70" s="116"/>
      <c r="O70" s="116"/>
      <c r="P70" s="116"/>
      <c r="Q70" s="116"/>
      <c r="R70" s="114"/>
      <c r="S70" s="114"/>
      <c r="T70" s="116"/>
      <c r="U70" s="116"/>
      <c r="V70" s="116"/>
    </row>
    <row customHeight="1" ht="14.25">
      <c r="A71" s="116"/>
      <c r="B71" s="114"/>
      <c r="C71" s="114"/>
      <c r="D71" s="182"/>
      <c r="E71" s="182"/>
      <c r="F71" s="114"/>
      <c r="G71" s="114"/>
      <c r="H71" s="114"/>
      <c r="I71" s="182"/>
      <c r="J71" s="114"/>
      <c r="K71" s="114"/>
      <c r="L71" s="114"/>
      <c r="M71" s="116"/>
      <c r="N71" s="116"/>
      <c r="O71" s="116"/>
      <c r="P71" s="116"/>
      <c r="Q71" s="116"/>
      <c r="R71" s="114"/>
      <c r="S71" s="114"/>
      <c r="T71" s="116"/>
      <c r="U71" s="116"/>
      <c r="V71" s="116"/>
    </row>
    <row customHeight="1" ht="14.25">
      <c r="A72" s="116"/>
      <c r="B72" s="114"/>
      <c r="C72" s="114"/>
      <c r="D72" s="182" t="s">
        <v>76</v>
      </c>
      <c r="E72" s="182" t="s">
        <v>76</v>
      </c>
      <c r="F72" s="114"/>
      <c r="G72" s="114"/>
      <c r="H72" s="114"/>
      <c r="I72" s="182" t="s">
        <v>76</v>
      </c>
      <c r="J72" s="114"/>
      <c r="K72" s="114"/>
      <c r="L72" s="114"/>
      <c r="M72" s="116"/>
      <c r="N72" s="116"/>
      <c r="O72" s="116"/>
      <c r="P72" s="116"/>
      <c r="Q72" s="116"/>
      <c r="R72" s="114"/>
      <c r="S72" s="114"/>
      <c r="T72" s="116"/>
      <c r="U72" s="116"/>
      <c r="V72" s="116"/>
    </row>
    <row customHeight="1" ht="14.25">
      <c r="A73" s="116"/>
      <c r="B73" s="114"/>
      <c r="C73" s="114"/>
      <c r="D73" s="182">
        <v>0</v>
      </c>
      <c r="E73" s="182">
        <v>21730</v>
      </c>
      <c r="F73" s="114"/>
      <c r="G73" s="114"/>
      <c r="H73" s="114"/>
      <c r="I73" s="182">
        <v>21730</v>
      </c>
      <c r="J73" s="114"/>
      <c r="K73" s="114"/>
      <c r="L73" s="114"/>
      <c r="M73" s="116"/>
      <c r="N73" s="116"/>
      <c r="O73" s="116"/>
      <c r="P73" s="116"/>
      <c r="Q73" s="116"/>
      <c r="R73" s="114"/>
      <c r="S73" s="114"/>
      <c r="T73" s="116"/>
      <c r="U73" s="116"/>
      <c r="V73" s="116"/>
    </row>
    <row customHeight="1" ht="14.25">
      <c r="A74" s="116"/>
      <c r="B74" s="114"/>
      <c r="C74" s="114"/>
      <c r="D74" s="182">
        <v>3565</v>
      </c>
      <c r="E74" s="182">
        <v>17294</v>
      </c>
      <c r="F74" s="114"/>
      <c r="G74" s="114"/>
      <c r="H74" s="114"/>
      <c r="I74" s="182">
        <v>17294</v>
      </c>
      <c r="J74" s="114"/>
      <c r="K74" s="114"/>
      <c r="L74" s="114"/>
      <c r="M74" s="116"/>
      <c r="N74" s="116"/>
      <c r="O74" s="116"/>
      <c r="P74" s="116"/>
      <c r="Q74" s="116"/>
      <c r="R74" s="114"/>
      <c r="S74" s="114"/>
      <c r="T74" s="116"/>
      <c r="U74" s="116"/>
      <c r="V74" s="116"/>
    </row>
    <row customHeight="1" ht="14.25">
      <c r="A75" s="116"/>
      <c r="B75" s="114"/>
      <c r="C75" s="114"/>
      <c r="D75" s="182">
        <v>3000</v>
      </c>
      <c r="E75" s="182">
        <v>8500</v>
      </c>
      <c r="F75" s="114"/>
      <c r="G75" s="114"/>
      <c r="H75" s="114"/>
      <c r="I75" s="182">
        <v>8500</v>
      </c>
      <c r="J75" s="114"/>
      <c r="K75" s="114"/>
      <c r="L75" s="114"/>
      <c r="M75" s="116"/>
      <c r="N75" s="116"/>
      <c r="O75" s="116"/>
      <c r="P75" s="116"/>
      <c r="Q75" s="116"/>
      <c r="R75" s="114"/>
      <c r="S75" s="114"/>
      <c r="T75" s="116"/>
      <c r="U75" s="116"/>
      <c r="V75" s="116"/>
    </row>
    <row customHeight="1" ht="14.25">
      <c r="A76" s="116"/>
      <c r="B76" s="114"/>
      <c r="C76" s="114"/>
      <c r="D76" s="182" t="s">
        <v>77</v>
      </c>
      <c r="E76" s="182" t="s">
        <v>77</v>
      </c>
      <c r="F76" s="114"/>
      <c r="G76" s="114"/>
      <c r="H76" s="114"/>
      <c r="I76" s="182" t="s">
        <v>77</v>
      </c>
      <c r="J76" s="114"/>
      <c r="K76" s="114"/>
      <c r="L76" s="114"/>
      <c r="M76" s="116"/>
      <c r="N76" s="116"/>
      <c r="O76" s="116"/>
      <c r="P76" s="116"/>
      <c r="Q76" s="116"/>
      <c r="R76" s="114"/>
      <c r="S76" s="114"/>
      <c r="T76" s="116"/>
      <c r="U76" s="116"/>
      <c r="V76" s="116"/>
    </row>
    <row customHeight="1" ht="14.25">
      <c r="A77" s="116"/>
      <c r="B77" s="114"/>
      <c r="C77" s="114"/>
      <c r="D77" s="182">
        <v>834</v>
      </c>
      <c r="E77" s="182">
        <v>21545</v>
      </c>
      <c r="F77" s="114"/>
      <c r="G77" s="114"/>
      <c r="H77" s="114"/>
      <c r="I77" s="182">
        <v>21545</v>
      </c>
      <c r="J77" s="114"/>
      <c r="K77" s="114"/>
      <c r="L77" s="114"/>
      <c r="M77" s="116"/>
      <c r="N77" s="116"/>
      <c r="O77" s="116"/>
      <c r="P77" s="116"/>
      <c r="Q77" s="116"/>
      <c r="R77" s="114"/>
      <c r="S77" s="114"/>
      <c r="T77" s="116"/>
      <c r="U77" s="116"/>
      <c r="V77" s="116"/>
    </row>
    <row customHeight="1" ht="14.25">
      <c r="A78" s="116"/>
      <c r="B78" s="114"/>
      <c r="C78" s="114"/>
      <c r="D78" s="182">
        <v>0</v>
      </c>
      <c r="E78" s="182">
        <v>5492</v>
      </c>
      <c r="F78" s="114"/>
      <c r="G78" s="114"/>
      <c r="H78" s="114"/>
      <c r="I78" s="182">
        <v>5492</v>
      </c>
      <c r="J78" s="114"/>
      <c r="K78" s="114"/>
      <c r="L78" s="114"/>
      <c r="M78" s="116"/>
      <c r="N78" s="116"/>
      <c r="O78" s="116"/>
      <c r="P78" s="116"/>
      <c r="Q78" s="116"/>
      <c r="R78" s="114"/>
      <c r="S78" s="114"/>
      <c r="T78" s="116"/>
      <c r="U78" s="116"/>
      <c r="V78" s="116"/>
    </row>
    <row customHeight="1" ht="14.25">
      <c r="A79" s="116"/>
      <c r="B79" s="114"/>
      <c r="C79" s="114"/>
      <c r="D79" s="182" t="s">
        <v>78</v>
      </c>
      <c r="E79" s="182" t="s">
        <v>78</v>
      </c>
      <c r="F79" s="114"/>
      <c r="G79" s="114"/>
      <c r="H79" s="114"/>
      <c r="I79" s="182" t="s">
        <v>78</v>
      </c>
      <c r="J79" s="114"/>
      <c r="K79" s="114"/>
      <c r="L79" s="114"/>
      <c r="M79" s="116"/>
      <c r="N79" s="116"/>
      <c r="O79" s="116"/>
      <c r="P79" s="116"/>
      <c r="Q79" s="116"/>
      <c r="R79" s="114"/>
      <c r="S79" s="114"/>
      <c r="T79" s="116"/>
      <c r="U79" s="116"/>
      <c r="V79" s="116"/>
    </row>
    <row customHeight="1" ht="14.25">
      <c r="A80" s="116"/>
      <c r="B80" s="114"/>
      <c r="C80" s="114"/>
      <c r="D80" s="182">
        <v>8542</v>
      </c>
      <c r="E80" s="182">
        <v>50161</v>
      </c>
      <c r="F80" s="114"/>
      <c r="G80" s="114"/>
      <c r="H80" s="114"/>
      <c r="I80" s="182">
        <v>50161</v>
      </c>
      <c r="J80" s="114"/>
      <c r="K80" s="114"/>
      <c r="L80" s="114"/>
      <c r="M80" s="116"/>
      <c r="N80" s="116"/>
      <c r="O80" s="116"/>
      <c r="P80" s="116"/>
      <c r="Q80" s="116"/>
      <c r="R80" s="114"/>
      <c r="S80" s="114"/>
      <c r="T80" s="116"/>
      <c r="U80" s="116"/>
      <c r="V80" s="116"/>
    </row>
    <row customHeight="1" ht="14.25">
      <c r="A81" s="116"/>
      <c r="B81" s="114"/>
      <c r="C81" s="114"/>
      <c r="D81" s="182">
        <v>2075</v>
      </c>
      <c r="E81" s="182">
        <v>18295</v>
      </c>
      <c r="F81" s="114"/>
      <c r="G81" s="114"/>
      <c r="H81" s="114"/>
      <c r="I81" s="182">
        <v>18295</v>
      </c>
      <c r="J81" s="114"/>
      <c r="K81" s="114"/>
      <c r="L81" s="114"/>
      <c r="M81" s="116"/>
      <c r="N81" s="116"/>
      <c r="O81" s="116"/>
      <c r="P81" s="116"/>
      <c r="Q81" s="116"/>
      <c r="R81" s="114"/>
      <c r="S81" s="114"/>
      <c r="T81" s="116"/>
      <c r="U81" s="116"/>
      <c r="V81" s="116"/>
    </row>
    <row customHeight="1" ht="14.25">
      <c r="A82" s="116"/>
      <c r="B82" s="114"/>
      <c r="C82" s="114"/>
      <c r="D82" s="182">
        <v>0</v>
      </c>
      <c r="E82" s="182">
        <v>0</v>
      </c>
      <c r="F82" s="114"/>
      <c r="G82" s="114"/>
      <c r="H82" s="114"/>
      <c r="I82" s="182">
        <v>0</v>
      </c>
      <c r="J82" s="114"/>
      <c r="K82" s="114"/>
      <c r="L82" s="114"/>
      <c r="M82" s="116"/>
      <c r="N82" s="116"/>
      <c r="O82" s="116"/>
      <c r="P82" s="116"/>
      <c r="Q82" s="116"/>
      <c r="R82" s="114"/>
      <c r="S82" s="114"/>
      <c r="T82" s="116"/>
      <c r="U82" s="116"/>
      <c r="V82" s="116"/>
    </row>
    <row customHeight="1" ht="14.25">
      <c r="A83" s="116"/>
      <c r="B83" s="114"/>
      <c r="C83" s="114"/>
      <c r="D83" s="182">
        <v>1352</v>
      </c>
      <c r="E83" s="182">
        <v>1352</v>
      </c>
      <c r="F83" s="114"/>
      <c r="G83" s="114"/>
      <c r="H83" s="114"/>
      <c r="I83" s="182">
        <v>1352</v>
      </c>
      <c r="J83" s="114"/>
      <c r="K83" s="114"/>
      <c r="L83" s="114"/>
      <c r="M83" s="116"/>
      <c r="N83" s="116"/>
      <c r="O83" s="116"/>
      <c r="P83" s="116"/>
      <c r="Q83" s="116"/>
      <c r="R83" s="114"/>
      <c r="S83" s="114"/>
      <c r="T83" s="116"/>
      <c r="U83" s="116"/>
      <c r="V83" s="116"/>
    </row>
    <row customHeight="1" ht="14.25">
      <c r="A84" s="116"/>
      <c r="B84" s="114"/>
      <c r="C84" s="114"/>
      <c r="D84" s="182">
        <v>0</v>
      </c>
      <c r="E84" s="182">
        <v>0</v>
      </c>
      <c r="F84" s="114"/>
      <c r="G84" s="114"/>
      <c r="H84" s="114"/>
      <c r="I84" s="182">
        <v>0</v>
      </c>
      <c r="J84" s="114"/>
      <c r="K84" s="114"/>
      <c r="L84" s="114"/>
      <c r="M84" s="116"/>
      <c r="N84" s="116"/>
      <c r="O84" s="116"/>
      <c r="P84" s="116"/>
      <c r="Q84" s="116"/>
      <c r="R84" s="114"/>
      <c r="S84" s="114"/>
      <c r="T84" s="116"/>
      <c r="U84" s="116"/>
      <c r="V84" s="116"/>
    </row>
    <row customHeight="1" ht="14.25">
      <c r="A85" s="116"/>
      <c r="B85" s="114"/>
      <c r="C85" s="114"/>
      <c r="D85" s="182">
        <v>0</v>
      </c>
      <c r="E85" s="182">
        <v>10000</v>
      </c>
      <c r="F85" s="114"/>
      <c r="G85" s="114"/>
      <c r="H85" s="114"/>
      <c r="I85" s="182">
        <v>10000</v>
      </c>
      <c r="J85" s="114"/>
      <c r="K85" s="114"/>
      <c r="L85" s="114"/>
      <c r="M85" s="116"/>
      <c r="N85" s="116"/>
      <c r="O85" s="116"/>
      <c r="P85" s="116"/>
      <c r="Q85" s="116"/>
      <c r="R85" s="114"/>
      <c r="S85" s="114"/>
      <c r="T85" s="116"/>
      <c r="U85" s="116"/>
      <c r="V85" s="116"/>
    </row>
    <row customHeight="1" ht="14.25">
      <c r="A86" s="116"/>
      <c r="B86" s="114"/>
      <c r="C86" s="114"/>
      <c r="D86" s="182">
        <v>3500</v>
      </c>
      <c r="E86" s="182">
        <v>3500</v>
      </c>
      <c r="F86" s="114"/>
      <c r="G86" s="114"/>
      <c r="H86" s="114"/>
      <c r="I86" s="182">
        <v>3500</v>
      </c>
      <c r="J86" s="114"/>
      <c r="K86" s="114"/>
      <c r="L86" s="114"/>
      <c r="M86" s="116"/>
      <c r="N86" s="116"/>
      <c r="O86" s="116"/>
      <c r="P86" s="116"/>
      <c r="Q86" s="116"/>
      <c r="R86" s="114"/>
      <c r="S86" s="114"/>
      <c r="T86" s="116"/>
      <c r="U86" s="116"/>
      <c r="V86" s="116"/>
    </row>
    <row customHeight="1" ht="14.25">
      <c r="A87" s="116"/>
      <c r="B87" s="114"/>
      <c r="C87" s="114"/>
      <c r="D87" s="182"/>
      <c r="E87" s="182"/>
      <c r="F87" s="114"/>
      <c r="G87" s="114"/>
      <c r="H87" s="114"/>
      <c r="I87" s="182"/>
      <c r="J87" s="114"/>
      <c r="K87" s="114"/>
      <c r="L87" s="114"/>
      <c r="M87" s="116"/>
      <c r="N87" s="116"/>
      <c r="O87" s="116"/>
      <c r="P87" s="116"/>
      <c r="Q87" s="116"/>
      <c r="R87" s="114"/>
      <c r="S87" s="114"/>
      <c r="T87" s="116"/>
      <c r="U87" s="116"/>
      <c r="V87" s="116"/>
    </row>
    <row customHeight="1" ht="14.25">
      <c r="A88" s="116"/>
      <c r="B88" s="114"/>
      <c r="C88" s="114"/>
      <c r="D88" s="182"/>
      <c r="E88" s="182"/>
      <c r="F88" s="114"/>
      <c r="G88" s="114"/>
      <c r="H88" s="114"/>
      <c r="I88" s="182"/>
      <c r="J88" s="114"/>
      <c r="K88" s="114"/>
      <c r="L88" s="114"/>
      <c r="M88" s="116"/>
      <c r="N88" s="116"/>
      <c r="O88" s="116"/>
      <c r="P88" s="116"/>
      <c r="Q88" s="116"/>
      <c r="R88" s="114"/>
      <c r="S88" s="114"/>
      <c r="T88" s="116"/>
      <c r="U88" s="116"/>
      <c r="V88" s="116"/>
    </row>
    <row customHeight="1" ht="14.25">
      <c r="A89" s="116"/>
      <c r="B89" s="114"/>
      <c r="C89" s="114"/>
      <c r="D89" s="182"/>
      <c r="E89" s="182"/>
      <c r="F89" s="114"/>
      <c r="G89" s="114"/>
      <c r="H89" s="114"/>
      <c r="I89" s="182"/>
      <c r="J89" s="114"/>
      <c r="K89" s="114"/>
      <c r="L89" s="114"/>
      <c r="M89" s="116"/>
      <c r="N89" s="116"/>
      <c r="O89" s="116"/>
      <c r="P89" s="116"/>
      <c r="Q89" s="116"/>
      <c r="R89" s="114"/>
      <c r="S89" s="114"/>
      <c r="T89" s="116"/>
      <c r="U89" s="116"/>
      <c r="V89" s="116"/>
    </row>
    <row customHeight="1" ht="14.25">
      <c r="A90" s="116"/>
      <c r="B90" s="114"/>
      <c r="C90" s="114"/>
      <c r="D90" s="114" t="s">
        <v>72</v>
      </c>
      <c r="E90" s="116" t="s">
        <v>72</v>
      </c>
      <c r="F90" s="114"/>
      <c r="G90" s="114"/>
      <c r="H90" s="114"/>
      <c r="I90" s="116" t="s">
        <v>72</v>
      </c>
      <c r="J90" s="114"/>
      <c r="K90" s="114"/>
      <c r="L90" s="114"/>
      <c r="M90" s="116"/>
      <c r="N90" s="116"/>
      <c r="O90" s="116"/>
      <c r="P90" s="116"/>
      <c r="Q90" s="116"/>
      <c r="R90" s="114"/>
      <c r="S90" s="114"/>
      <c r="T90" s="116"/>
      <c r="U90" s="116"/>
      <c r="V90" s="116"/>
    </row>
    <row customHeight="1" ht="14.25">
      <c r="A91" s="116"/>
      <c r="B91" s="114"/>
      <c r="C91" s="114"/>
      <c r="D91" s="114"/>
      <c r="E91" s="116"/>
      <c r="F91" s="114"/>
      <c r="G91" s="114"/>
      <c r="H91" s="114"/>
      <c r="I91" s="116"/>
      <c r="J91" s="114"/>
      <c r="K91" s="114"/>
      <c r="L91" s="114"/>
      <c r="M91" s="116"/>
      <c r="N91" s="116"/>
      <c r="O91" s="116"/>
      <c r="P91" s="116"/>
      <c r="Q91" s="116"/>
      <c r="R91" s="114"/>
      <c r="S91" s="114"/>
      <c r="T91" s="116"/>
      <c r="U91" s="116"/>
      <c r="V91" s="116"/>
    </row>
    <row customHeight="1" ht="14.25">
      <c r="A92" s="116"/>
      <c r="B92" s="114"/>
      <c r="C92" s="114"/>
      <c r="D92" s="114">
        <v>2075</v>
      </c>
      <c r="E92" s="116">
        <v>18295</v>
      </c>
      <c r="F92" s="114"/>
      <c r="G92" s="114"/>
      <c r="H92" s="114"/>
      <c r="I92" s="116">
        <v>18295</v>
      </c>
      <c r="J92" s="114"/>
      <c r="K92" s="114"/>
      <c r="L92" s="114"/>
      <c r="M92" s="116"/>
      <c r="N92" s="116"/>
      <c r="O92" s="116"/>
      <c r="P92" s="116"/>
      <c r="Q92" s="116"/>
      <c r="R92" s="114"/>
      <c r="S92" s="114"/>
      <c r="T92" s="116"/>
      <c r="U92" s="116"/>
      <c r="V92" s="116"/>
    </row>
    <row customHeight="1" ht="14.25">
      <c r="A93" s="116"/>
      <c r="B93" s="114"/>
      <c r="C93" s="114"/>
      <c r="D93" s="114">
        <v>0</v>
      </c>
      <c r="E93" s="116">
        <v>10000</v>
      </c>
      <c r="F93" s="114"/>
      <c r="G93" s="114"/>
      <c r="H93" s="114"/>
      <c r="I93" s="116">
        <v>10000</v>
      </c>
      <c r="J93" s="114"/>
      <c r="K93" s="114"/>
      <c r="L93" s="114"/>
      <c r="M93" s="116"/>
      <c r="N93" s="116"/>
      <c r="O93" s="116"/>
      <c r="P93" s="116"/>
      <c r="Q93" s="116"/>
      <c r="R93" s="114"/>
      <c r="S93" s="114"/>
      <c r="T93" s="116"/>
      <c r="U93" s="116"/>
      <c r="V93" s="116"/>
    </row>
    <row customHeight="1" ht="14.25">
      <c r="A94" s="116"/>
      <c r="B94" s="114"/>
      <c r="C94" s="114"/>
      <c r="D94" s="114" t="s">
        <v>79</v>
      </c>
      <c r="E94" s="116" t="s">
        <v>79</v>
      </c>
      <c r="F94" s="114"/>
      <c r="G94" s="114"/>
      <c r="H94" s="114"/>
      <c r="I94" s="116" t="s">
        <v>79</v>
      </c>
      <c r="J94" s="114"/>
      <c r="K94" s="114"/>
      <c r="L94" s="114"/>
      <c r="M94" s="116"/>
      <c r="N94" s="116"/>
      <c r="O94" s="116"/>
      <c r="P94" s="116"/>
      <c r="Q94" s="116"/>
      <c r="R94" s="114"/>
      <c r="S94" s="114"/>
      <c r="T94" s="116"/>
      <c r="U94" s="116"/>
      <c r="V94" s="116"/>
    </row>
    <row customHeight="1" ht="14.25">
      <c r="A95" s="116"/>
      <c r="B95" s="114"/>
      <c r="C95" s="114"/>
      <c r="D95" s="114">
        <v>0</v>
      </c>
      <c r="E95" s="116">
        <v>0</v>
      </c>
      <c r="F95" s="114"/>
      <c r="G95" s="114"/>
      <c r="H95" s="114"/>
      <c r="I95" s="116">
        <v>0</v>
      </c>
      <c r="J95" s="114"/>
      <c r="K95" s="114"/>
      <c r="L95" s="114"/>
      <c r="M95" s="116"/>
      <c r="N95" s="116"/>
      <c r="O95" s="116"/>
      <c r="P95" s="116"/>
      <c r="Q95" s="116"/>
      <c r="R95" s="114"/>
      <c r="S95" s="114"/>
      <c r="T95" s="116"/>
      <c r="U95" s="116"/>
      <c r="V95" s="116"/>
    </row>
    <row customHeight="1" ht="14.25">
      <c r="A96" s="116"/>
      <c r="B96" s="114"/>
      <c r="C96" s="114"/>
      <c r="D96" s="114">
        <v>0</v>
      </c>
      <c r="E96" s="116">
        <v>0</v>
      </c>
      <c r="F96" s="114"/>
      <c r="G96" s="114"/>
      <c r="H96" s="114"/>
      <c r="I96" s="116">
        <v>0</v>
      </c>
      <c r="J96" s="114"/>
      <c r="K96" s="114"/>
      <c r="L96" s="114"/>
      <c r="M96" s="116"/>
      <c r="N96" s="116"/>
      <c r="O96" s="116"/>
      <c r="P96" s="116"/>
      <c r="Q96" s="116"/>
      <c r="R96" s="114"/>
      <c r="S96" s="114"/>
      <c r="T96" s="116"/>
      <c r="U96" s="116"/>
      <c r="V96" s="116"/>
    </row>
    <row customHeight="1" ht="14.25">
      <c r="A97" s="116"/>
      <c r="B97" s="114"/>
      <c r="C97" s="114"/>
      <c r="D97" s="114">
        <v>3500</v>
      </c>
      <c r="E97" s="116">
        <v>3500</v>
      </c>
      <c r="F97" s="114"/>
      <c r="G97" s="114"/>
      <c r="H97" s="114"/>
      <c r="I97" s="116">
        <v>3500</v>
      </c>
      <c r="J97" s="114"/>
      <c r="K97" s="114"/>
      <c r="L97" s="114"/>
      <c r="M97" s="116"/>
      <c r="N97" s="116"/>
      <c r="O97" s="116"/>
      <c r="P97" s="116"/>
      <c r="Q97" s="116"/>
      <c r="R97" s="114"/>
      <c r="S97" s="114"/>
      <c r="T97" s="116"/>
      <c r="U97" s="116"/>
      <c r="V97" s="116"/>
    </row>
    <row customHeight="1" ht="14.25">
      <c r="A98" s="116"/>
      <c r="B98" s="114"/>
      <c r="C98" s="114"/>
      <c r="D98" s="114" t="s">
        <v>80</v>
      </c>
      <c r="E98" s="116" t="s">
        <v>80</v>
      </c>
      <c r="F98" s="114"/>
      <c r="G98" s="114"/>
      <c r="H98" s="114"/>
      <c r="I98" s="116" t="s">
        <v>80</v>
      </c>
      <c r="J98" s="114"/>
      <c r="K98" s="114"/>
      <c r="L98" s="114"/>
      <c r="M98" s="116"/>
      <c r="N98" s="116"/>
      <c r="O98" s="116"/>
      <c r="P98" s="116"/>
      <c r="Q98" s="116"/>
      <c r="R98" s="114"/>
      <c r="S98" s="114"/>
      <c r="T98" s="116"/>
      <c r="U98" s="116"/>
      <c r="V98" s="116"/>
    </row>
    <row customHeight="1" ht="14.25">
      <c r="A99" s="116"/>
      <c r="B99" s="114"/>
      <c r="C99" s="114"/>
      <c r="D99" s="114">
        <v>1352</v>
      </c>
      <c r="E99" s="116">
        <v>1352</v>
      </c>
      <c r="F99" s="114"/>
      <c r="G99" s="114"/>
      <c r="H99" s="114"/>
      <c r="I99" s="116">
        <v>1352</v>
      </c>
      <c r="J99" s="114"/>
      <c r="K99" s="114"/>
      <c r="L99" s="114"/>
      <c r="M99" s="116"/>
      <c r="N99" s="116"/>
      <c r="O99" s="116"/>
      <c r="P99" s="116"/>
      <c r="Q99" s="116"/>
      <c r="R99" s="114"/>
      <c r="S99" s="114"/>
      <c r="T99" s="116"/>
      <c r="U99" s="116"/>
      <c r="V99" s="116"/>
    </row>
    <row customHeight="1" ht="14.25">
      <c r="A100" s="116"/>
      <c r="B100" s="114"/>
      <c r="C100" s="114"/>
      <c r="D100" s="114"/>
      <c r="E100" s="116"/>
      <c r="F100" s="114"/>
      <c r="G100" s="114"/>
      <c r="H100" s="114"/>
      <c r="I100" s="116"/>
      <c r="J100" s="114"/>
      <c r="K100" s="114"/>
      <c r="L100" s="114"/>
      <c r="M100" s="116"/>
      <c r="N100" s="116"/>
      <c r="O100" s="116"/>
      <c r="P100" s="116"/>
      <c r="Q100" s="116"/>
      <c r="R100" s="114"/>
      <c r="S100" s="114"/>
      <c r="T100" s="116"/>
      <c r="U100" s="116"/>
      <c r="V100" s="116"/>
    </row>
    <row customHeight="1" ht="14.25">
      <c r="A101" s="116"/>
      <c r="B101" s="114"/>
      <c r="C101" s="114"/>
      <c r="D101" s="114" t="s">
        <v>37</v>
      </c>
      <c r="E101" s="116" t="s">
        <v>37</v>
      </c>
      <c r="F101" s="114"/>
      <c r="G101" s="114"/>
      <c r="H101" s="114"/>
      <c r="I101" s="116" t="s">
        <v>37</v>
      </c>
      <c r="J101" s="114"/>
      <c r="K101" s="114"/>
      <c r="L101" s="114"/>
      <c r="M101" s="116"/>
      <c r="N101" s="116"/>
      <c r="O101" s="116"/>
      <c r="P101" s="116"/>
      <c r="Q101" s="116"/>
      <c r="R101" s="114"/>
      <c r="S101" s="114"/>
      <c r="T101" s="116"/>
      <c r="U101" s="116"/>
      <c r="V101" s="116"/>
    </row>
    <row customHeight="1" ht="14.25">
      <c r="A102" s="116"/>
      <c r="B102" s="114"/>
      <c r="C102" s="114"/>
      <c r="D102" s="185"/>
      <c r="E102" s="185"/>
      <c r="F102" s="114"/>
      <c r="G102" s="114"/>
      <c r="H102" s="114"/>
      <c r="I102" s="185"/>
      <c r="J102" s="114"/>
      <c r="K102" s="114"/>
      <c r="L102" s="114"/>
      <c r="M102" s="116"/>
      <c r="N102" s="116"/>
      <c r="O102" s="116"/>
      <c r="P102" s="116"/>
      <c r="Q102" s="116"/>
      <c r="R102" s="114"/>
      <c r="S102" s="114"/>
      <c r="T102" s="116"/>
      <c r="U102" s="116"/>
      <c r="V102" s="116"/>
    </row>
    <row customHeight="1" ht="14.25">
      <c r="A103" s="116"/>
      <c r="B103" s="114"/>
      <c r="C103" s="114"/>
      <c r="D103" s="114" t="s">
        <v>39</v>
      </c>
      <c r="E103" s="116" t="s">
        <v>39</v>
      </c>
      <c r="F103" s="114"/>
      <c r="G103" s="114"/>
      <c r="H103" s="114"/>
      <c r="I103" s="116" t="s">
        <v>39</v>
      </c>
      <c r="J103" s="114"/>
      <c r="K103" s="114"/>
      <c r="L103" s="114"/>
      <c r="M103" s="116"/>
      <c r="N103" s="116"/>
      <c r="O103" s="116"/>
      <c r="P103" s="116"/>
      <c r="Q103" s="116"/>
      <c r="R103" s="114"/>
      <c r="S103" s="114"/>
      <c r="T103" s="116"/>
      <c r="U103" s="116"/>
      <c r="V103" s="116"/>
    </row>
    <row customHeight="1" ht="14.25">
      <c r="A104" s="116"/>
      <c r="B104" s="114"/>
      <c r="C104" s="114"/>
      <c r="D104" s="114">
        <v>151</v>
      </c>
      <c r="E104" s="116">
        <v>1075</v>
      </c>
      <c r="F104" s="114"/>
      <c r="G104" s="114"/>
      <c r="H104" s="114"/>
      <c r="I104" s="116">
        <v>1075</v>
      </c>
      <c r="J104" s="114"/>
      <c r="K104" s="114"/>
      <c r="L104" s="114"/>
      <c r="M104" s="116"/>
      <c r="N104" s="116"/>
      <c r="O104" s="116"/>
      <c r="P104" s="116"/>
      <c r="Q104" s="116"/>
      <c r="R104" s="114"/>
      <c r="S104" s="114"/>
      <c r="T104" s="116"/>
      <c r="U104" s="116"/>
      <c r="V104" s="116"/>
    </row>
    <row customHeight="1" ht="14.25">
      <c r="A105" s="116"/>
      <c r="B105" s="114"/>
      <c r="C105" s="114"/>
      <c r="D105" s="114" t="s">
        <v>40</v>
      </c>
      <c r="E105" s="116" t="s">
        <v>40</v>
      </c>
      <c r="F105" s="114"/>
      <c r="G105" s="114"/>
      <c r="H105" s="114"/>
      <c r="I105" s="116" t="s">
        <v>40</v>
      </c>
      <c r="J105" s="114"/>
      <c r="K105" s="114"/>
      <c r="L105" s="114"/>
      <c r="M105" s="116"/>
      <c r="N105" s="116"/>
      <c r="O105" s="116"/>
      <c r="P105" s="116"/>
      <c r="Q105" s="116"/>
      <c r="R105" s="114"/>
      <c r="S105" s="114"/>
      <c r="T105" s="116"/>
      <c r="U105" s="116"/>
      <c r="V105" s="116"/>
    </row>
    <row customHeight="1" ht="14.25">
      <c r="A106" s="116"/>
      <c r="B106" s="114"/>
      <c r="C106" s="114"/>
      <c r="D106" s="182">
        <v>305</v>
      </c>
      <c r="E106" s="182">
        <v>2100</v>
      </c>
      <c r="F106" s="114"/>
      <c r="G106" s="114"/>
      <c r="H106" s="114"/>
      <c r="I106" s="182">
        <v>2100</v>
      </c>
      <c r="J106" s="114"/>
      <c r="K106" s="114"/>
      <c r="L106" s="114"/>
      <c r="M106" s="116"/>
      <c r="N106" s="116"/>
      <c r="O106" s="116"/>
      <c r="P106" s="116"/>
      <c r="Q106" s="116"/>
      <c r="R106" s="114"/>
      <c r="S106" s="114"/>
      <c r="T106" s="116"/>
      <c r="U106" s="116"/>
      <c r="V106" s="116"/>
    </row>
    <row customHeight="1" ht="14.25">
      <c r="A107" s="116"/>
      <c r="B107" s="114"/>
      <c r="C107" s="114"/>
      <c r="D107" s="182">
        <v>609.56</v>
      </c>
      <c r="E107" s="182">
        <v>4269.06</v>
      </c>
      <c r="F107" s="114"/>
      <c r="G107" s="114"/>
      <c r="H107" s="114"/>
      <c r="I107" s="182">
        <v>4269.06</v>
      </c>
      <c r="J107" s="114"/>
      <c r="K107" s="114"/>
      <c r="L107" s="114"/>
      <c r="M107" s="116"/>
      <c r="N107" s="116"/>
      <c r="O107" s="116"/>
      <c r="P107" s="116"/>
      <c r="Q107" s="116"/>
      <c r="R107" s="114"/>
      <c r="S107" s="114"/>
      <c r="T107" s="116"/>
      <c r="U107" s="116"/>
      <c r="V107" s="116"/>
    </row>
    <row customHeight="1" ht="14.25">
      <c r="A108" s="116"/>
      <c r="B108" s="114"/>
      <c r="C108" s="114"/>
      <c r="D108" s="114" t="s">
        <v>41</v>
      </c>
      <c r="E108" s="116" t="s">
        <v>41</v>
      </c>
      <c r="F108" s="114"/>
      <c r="G108" s="114"/>
      <c r="H108" s="114"/>
      <c r="I108" s="116" t="s">
        <v>41</v>
      </c>
      <c r="J108" s="114"/>
      <c r="K108" s="114"/>
      <c r="L108" s="114"/>
      <c r="M108" s="116"/>
      <c r="N108" s="116"/>
      <c r="O108" s="116"/>
      <c r="P108" s="116"/>
      <c r="Q108" s="116"/>
      <c r="R108" s="114"/>
      <c r="S108" s="114"/>
      <c r="T108" s="116"/>
      <c r="U108" s="116"/>
      <c r="V108" s="116"/>
    </row>
    <row customHeight="1" ht="14.25">
      <c r="A109" s="116"/>
      <c r="B109" s="114"/>
      <c r="C109" s="114"/>
      <c r="D109" s="114">
        <v>108</v>
      </c>
      <c r="E109" s="116">
        <v>688</v>
      </c>
      <c r="F109" s="114"/>
      <c r="G109" s="114"/>
      <c r="H109" s="114"/>
      <c r="I109" s="116">
        <v>688</v>
      </c>
      <c r="J109" s="114"/>
      <c r="K109" s="114"/>
      <c r="L109" s="114"/>
      <c r="M109" s="116"/>
      <c r="N109" s="116"/>
      <c r="O109" s="116"/>
      <c r="P109" s="116"/>
      <c r="Q109" s="116"/>
      <c r="R109" s="114"/>
      <c r="S109" s="114"/>
      <c r="T109" s="116"/>
      <c r="U109" s="116"/>
      <c r="V109" s="116"/>
    </row>
    <row customHeight="1" ht="14.25">
      <c r="A110" s="116"/>
      <c r="B110" s="114"/>
      <c r="C110" s="114"/>
      <c r="D110" s="114">
        <v>0</v>
      </c>
      <c r="E110" s="116">
        <v>0</v>
      </c>
      <c r="F110" s="114"/>
      <c r="G110" s="114"/>
      <c r="H110" s="114"/>
      <c r="I110" s="116">
        <v>0</v>
      </c>
      <c r="J110" s="114"/>
      <c r="K110" s="114"/>
      <c r="L110" s="114"/>
      <c r="M110" s="116"/>
      <c r="N110" s="116"/>
      <c r="O110" s="116"/>
      <c r="P110" s="116"/>
      <c r="Q110" s="116"/>
      <c r="R110" s="114"/>
      <c r="S110" s="114"/>
      <c r="T110" s="116"/>
      <c r="U110" s="116"/>
      <c r="V110" s="116"/>
    </row>
    <row customHeight="1" ht="14.25">
      <c r="A111" s="116"/>
      <c r="B111" s="114"/>
      <c r="C111" s="114"/>
      <c r="D111" s="114">
        <v>835</v>
      </c>
      <c r="E111" s="116">
        <v>6006</v>
      </c>
      <c r="F111" s="114"/>
      <c r="G111" s="114"/>
      <c r="H111" s="114"/>
      <c r="I111" s="116">
        <v>6006</v>
      </c>
      <c r="J111" s="114"/>
      <c r="K111" s="114"/>
      <c r="L111" s="114"/>
      <c r="M111" s="116"/>
      <c r="N111" s="116"/>
      <c r="O111" s="116"/>
      <c r="P111" s="116"/>
      <c r="Q111" s="116"/>
      <c r="R111" s="114"/>
      <c r="S111" s="114"/>
      <c r="T111" s="116"/>
      <c r="U111" s="116"/>
      <c r="V111" s="116"/>
    </row>
    <row customHeight="1" ht="14.25">
      <c r="A112" s="116"/>
      <c r="B112" s="114"/>
      <c r="C112" s="114"/>
      <c r="D112" s="182" t="s">
        <v>81</v>
      </c>
      <c r="E112" s="182" t="s">
        <v>81</v>
      </c>
      <c r="F112" s="114"/>
      <c r="G112" s="114"/>
      <c r="H112" s="114"/>
      <c r="I112" s="182" t="s">
        <v>81</v>
      </c>
      <c r="J112" s="114"/>
      <c r="K112" s="114"/>
      <c r="L112" s="114"/>
      <c r="M112" s="116"/>
      <c r="N112" s="116"/>
      <c r="O112" s="116"/>
      <c r="P112" s="116"/>
      <c r="Q112" s="116"/>
      <c r="R112" s="114"/>
      <c r="S112" s="114"/>
      <c r="T112" s="116"/>
      <c r="U112" s="116"/>
      <c r="V112" s="116"/>
    </row>
    <row customHeight="1" ht="14.25">
      <c r="A113" s="116"/>
      <c r="B113" s="114"/>
      <c r="C113" s="114"/>
      <c r="D113" s="182">
        <v>169</v>
      </c>
      <c r="E113" s="182">
        <v>1128</v>
      </c>
      <c r="F113" s="114"/>
      <c r="G113" s="114"/>
      <c r="H113" s="114"/>
      <c r="I113" s="182">
        <v>1128</v>
      </c>
      <c r="J113" s="114"/>
      <c r="K113" s="114"/>
      <c r="L113" s="114"/>
      <c r="M113" s="116"/>
      <c r="N113" s="116"/>
      <c r="O113" s="116"/>
      <c r="P113" s="116"/>
      <c r="Q113" s="116"/>
      <c r="R113" s="114"/>
      <c r="S113" s="114"/>
      <c r="T113" s="116"/>
      <c r="U113" s="116"/>
      <c r="V113" s="116"/>
    </row>
    <row customHeight="1" ht="14.25">
      <c r="A114" s="116"/>
      <c r="B114" s="114"/>
      <c r="C114" s="114"/>
      <c r="D114" s="182" t="s">
        <v>82</v>
      </c>
      <c r="E114" s="182" t="s">
        <v>82</v>
      </c>
      <c r="F114" s="114"/>
      <c r="G114" s="114"/>
      <c r="H114" s="114"/>
      <c r="I114" s="182" t="s">
        <v>82</v>
      </c>
      <c r="J114" s="114"/>
      <c r="K114" s="114"/>
      <c r="L114" s="114"/>
      <c r="M114" s="116"/>
      <c r="N114" s="116"/>
      <c r="O114" s="116"/>
      <c r="P114" s="116"/>
      <c r="Q114" s="116"/>
      <c r="R114" s="114"/>
      <c r="S114" s="114"/>
      <c r="T114" s="116"/>
      <c r="U114" s="116"/>
      <c r="V114" s="116"/>
    </row>
    <row customHeight="1" ht="14.25">
      <c r="A115" s="116"/>
      <c r="B115" s="114"/>
      <c r="C115" s="114"/>
      <c r="D115" s="182">
        <v>604</v>
      </c>
      <c r="E115" s="182">
        <v>4379</v>
      </c>
      <c r="F115" s="114"/>
      <c r="G115" s="114"/>
      <c r="H115" s="114"/>
      <c r="I115" s="182">
        <v>4379</v>
      </c>
      <c r="J115" s="114"/>
      <c r="K115" s="114"/>
      <c r="L115" s="114"/>
      <c r="M115" s="116"/>
      <c r="N115" s="116"/>
      <c r="O115" s="116"/>
      <c r="P115" s="116"/>
      <c r="Q115" s="116"/>
      <c r="R115" s="114"/>
      <c r="S115" s="114"/>
      <c r="T115" s="116"/>
      <c r="U115" s="116"/>
      <c r="V115" s="116"/>
    </row>
    <row customHeight="1" ht="14.25">
      <c r="A116" s="116"/>
      <c r="B116" s="114"/>
      <c r="C116" s="114"/>
      <c r="D116" s="114" t="s">
        <v>45</v>
      </c>
      <c r="E116" s="116" t="s">
        <v>45</v>
      </c>
      <c r="F116" s="114"/>
      <c r="G116" s="114"/>
      <c r="H116" s="114"/>
      <c r="I116" s="116" t="s">
        <v>45</v>
      </c>
      <c r="J116" s="114"/>
      <c r="K116" s="114"/>
      <c r="L116" s="114"/>
      <c r="M116" s="116"/>
      <c r="N116" s="116"/>
      <c r="O116" s="116"/>
      <c r="P116" s="116"/>
      <c r="Q116" s="116"/>
      <c r="R116" s="114"/>
      <c r="S116" s="114"/>
      <c r="T116" s="116"/>
      <c r="U116" s="116"/>
      <c r="V116" s="116"/>
    </row>
    <row customHeight="1" ht="14.25">
      <c r="A117" s="116"/>
      <c r="B117" s="114"/>
      <c r="C117" s="114"/>
      <c r="D117" s="114"/>
      <c r="E117" s="116"/>
      <c r="F117" s="114"/>
      <c r="G117" s="114"/>
      <c r="H117" s="114"/>
      <c r="I117" s="116"/>
      <c r="J117" s="114"/>
      <c r="K117" s="114"/>
      <c r="L117" s="114"/>
      <c r="M117" s="116"/>
      <c r="N117" s="116"/>
      <c r="O117" s="116"/>
      <c r="P117" s="116"/>
      <c r="Q117" s="116"/>
      <c r="R117" s="114"/>
      <c r="S117" s="114"/>
      <c r="T117" s="116"/>
      <c r="U117" s="116"/>
      <c r="V117" s="116"/>
    </row>
    <row customHeight="1" ht="14.25">
      <c r="A118" s="116"/>
      <c r="B118" s="114"/>
      <c r="C118" s="114"/>
      <c r="D118" s="114">
        <v>603.42</v>
      </c>
      <c r="E118" s="116">
        <v>3562.92</v>
      </c>
      <c r="F118" s="114"/>
      <c r="G118" s="114"/>
      <c r="H118" s="114"/>
      <c r="I118" s="116">
        <v>3562.92</v>
      </c>
      <c r="J118" s="114"/>
      <c r="K118" s="114"/>
      <c r="L118" s="114"/>
      <c r="M118" s="116"/>
      <c r="N118" s="116"/>
      <c r="O118" s="116"/>
      <c r="P118" s="116"/>
      <c r="Q118" s="116"/>
      <c r="R118" s="114"/>
      <c r="S118" s="114"/>
      <c r="T118" s="116"/>
      <c r="U118" s="116"/>
      <c r="V118" s="116"/>
    </row>
    <row customHeight="1" ht="14.25">
      <c r="A119" s="116"/>
      <c r="B119" s="114"/>
      <c r="C119" s="114"/>
      <c r="D119" s="114">
        <v>75.06</v>
      </c>
      <c r="E119" s="116">
        <v>932.22</v>
      </c>
      <c r="F119" s="114"/>
      <c r="G119" s="114"/>
      <c r="H119" s="114"/>
      <c r="I119" s="116">
        <v>932.22</v>
      </c>
      <c r="J119" s="114"/>
      <c r="K119" s="114"/>
      <c r="L119" s="114"/>
      <c r="M119" s="116"/>
      <c r="N119" s="116"/>
      <c r="O119" s="116"/>
      <c r="P119" s="116"/>
      <c r="Q119" s="116"/>
      <c r="R119" s="114"/>
      <c r="S119" s="114"/>
      <c r="T119" s="116"/>
      <c r="U119" s="116"/>
      <c r="V119" s="116"/>
    </row>
    <row customHeight="1" ht="14.25">
      <c r="A120" s="116"/>
      <c r="B120" s="114"/>
      <c r="C120" s="114"/>
      <c r="D120" s="114"/>
      <c r="E120" s="116"/>
      <c r="F120" s="114"/>
      <c r="G120" s="114"/>
      <c r="H120" s="114"/>
      <c r="I120" s="116"/>
      <c r="J120" s="114"/>
      <c r="K120" s="114"/>
      <c r="L120" s="114"/>
      <c r="M120" s="116"/>
      <c r="N120" s="116"/>
      <c r="O120" s="116"/>
      <c r="P120" s="116"/>
      <c r="Q120" s="116"/>
      <c r="R120" s="114"/>
      <c r="S120" s="114"/>
      <c r="T120" s="116"/>
      <c r="U120" s="116"/>
      <c r="V120" s="116"/>
    </row>
    <row customHeight="1" ht="14.25">
      <c r="A121" s="116"/>
      <c r="B121" s="114"/>
      <c r="C121" s="114"/>
      <c r="D121" s="114">
        <v>0</v>
      </c>
      <c r="E121" s="116">
        <v>0</v>
      </c>
      <c r="F121" s="114"/>
      <c r="G121" s="114"/>
      <c r="H121" s="114"/>
      <c r="I121" s="116">
        <v>0</v>
      </c>
      <c r="J121" s="114"/>
      <c r="K121" s="114"/>
      <c r="L121" s="114"/>
      <c r="M121" s="116"/>
      <c r="N121" s="116"/>
      <c r="O121" s="116"/>
      <c r="P121" s="116"/>
      <c r="Q121" s="116"/>
      <c r="R121" s="114"/>
      <c r="S121" s="114"/>
      <c r="T121" s="116"/>
      <c r="U121" s="116"/>
      <c r="V121" s="116"/>
    </row>
    <row customHeight="1" ht="14.25">
      <c r="A122" s="116"/>
      <c r="B122" s="114"/>
      <c r="C122" s="114"/>
      <c r="D122" s="114">
        <v>0</v>
      </c>
      <c r="E122" s="116">
        <v>0</v>
      </c>
      <c r="F122" s="114"/>
      <c r="G122" s="114"/>
      <c r="H122" s="114"/>
      <c r="I122" s="116">
        <v>0</v>
      </c>
      <c r="J122" s="114"/>
      <c r="K122" s="114"/>
      <c r="L122" s="114"/>
      <c r="M122" s="116"/>
      <c r="N122" s="116"/>
      <c r="O122" s="116"/>
      <c r="P122" s="116"/>
      <c r="Q122" s="116"/>
      <c r="R122" s="114"/>
      <c r="S122" s="114"/>
      <c r="T122" s="116"/>
      <c r="U122" s="116"/>
      <c r="V122" s="116"/>
    </row>
    <row customHeight="1" ht="14.25">
      <c r="A123" s="116"/>
      <c r="B123" s="114"/>
      <c r="C123" s="114"/>
      <c r="D123" s="114">
        <v>104</v>
      </c>
      <c r="E123" s="116">
        <v>318</v>
      </c>
      <c r="F123" s="114"/>
      <c r="G123" s="114"/>
      <c r="H123" s="114"/>
      <c r="I123" s="116">
        <v>318</v>
      </c>
      <c r="J123" s="114"/>
      <c r="K123" s="114"/>
      <c r="L123" s="114"/>
      <c r="M123" s="116"/>
      <c r="N123" s="116"/>
      <c r="O123" s="116"/>
      <c r="P123" s="116"/>
      <c r="Q123" s="116"/>
      <c r="R123" s="114"/>
      <c r="S123" s="114"/>
      <c r="T123" s="116"/>
      <c r="U123" s="116"/>
      <c r="V123" s="116"/>
    </row>
    <row customHeight="1" ht="14.25">
      <c r="A124" s="116"/>
      <c r="B124" s="114"/>
      <c r="C124" s="114"/>
      <c r="D124" s="114">
        <v>0</v>
      </c>
      <c r="E124" s="116">
        <v>250</v>
      </c>
      <c r="F124" s="114"/>
      <c r="G124" s="114"/>
      <c r="H124" s="114"/>
      <c r="I124" s="116">
        <v>250</v>
      </c>
      <c r="J124" s="114"/>
      <c r="K124" s="114"/>
      <c r="L124" s="114"/>
      <c r="M124" s="116"/>
      <c r="N124" s="116"/>
      <c r="O124" s="116"/>
      <c r="P124" s="116"/>
      <c r="Q124" s="116"/>
      <c r="R124" s="114"/>
      <c r="S124" s="114"/>
      <c r="T124" s="116"/>
      <c r="U124" s="116"/>
      <c r="V124" s="116"/>
    </row>
    <row customHeight="1" ht="14.25">
      <c r="A125" s="116"/>
      <c r="B125" s="114"/>
      <c r="C125" s="114"/>
      <c r="D125" s="114">
        <v>514</v>
      </c>
      <c r="E125" s="116">
        <v>866</v>
      </c>
      <c r="F125" s="114"/>
      <c r="G125" s="114"/>
      <c r="H125" s="114"/>
      <c r="I125" s="116">
        <v>866</v>
      </c>
      <c r="J125" s="114"/>
      <c r="K125" s="114"/>
      <c r="L125" s="114"/>
      <c r="M125" s="116"/>
      <c r="N125" s="116"/>
      <c r="O125" s="116"/>
      <c r="P125" s="116"/>
      <c r="Q125" s="116"/>
      <c r="R125" s="114"/>
      <c r="S125" s="114"/>
      <c r="T125" s="116"/>
      <c r="U125" s="116"/>
      <c r="V125" s="116"/>
    </row>
    <row customHeight="1" ht="14.25">
      <c r="A126" s="116"/>
      <c r="B126" s="114"/>
      <c r="C126" s="114"/>
      <c r="D126" s="114">
        <v>305</v>
      </c>
      <c r="E126" s="116">
        <v>2327</v>
      </c>
      <c r="F126" s="114"/>
      <c r="G126" s="114"/>
      <c r="H126" s="114"/>
      <c r="I126" s="116">
        <v>2327</v>
      </c>
      <c r="J126" s="114"/>
      <c r="K126" s="114"/>
      <c r="L126" s="114"/>
      <c r="M126" s="116"/>
      <c r="N126" s="116"/>
      <c r="O126" s="116"/>
      <c r="P126" s="116"/>
      <c r="Q126" s="116"/>
      <c r="R126" s="114"/>
      <c r="S126" s="114"/>
      <c r="T126" s="116"/>
      <c r="U126" s="116"/>
      <c r="V126" s="116"/>
    </row>
    <row customHeight="1" ht="14.25">
      <c r="A127" s="116"/>
      <c r="B127" s="114"/>
      <c r="C127" s="114"/>
      <c r="D127" s="114"/>
      <c r="E127" s="116"/>
      <c r="F127" s="114"/>
      <c r="G127" s="114"/>
      <c r="H127" s="114"/>
      <c r="I127" s="116"/>
      <c r="J127" s="114"/>
      <c r="K127" s="114"/>
      <c r="L127" s="114"/>
      <c r="M127" s="116"/>
      <c r="N127" s="116"/>
      <c r="O127" s="116"/>
      <c r="P127" s="116"/>
      <c r="Q127" s="116"/>
      <c r="R127" s="114"/>
      <c r="S127" s="114"/>
      <c r="T127" s="116"/>
      <c r="U127" s="116"/>
      <c r="V127" s="116"/>
    </row>
    <row customHeight="1" ht="14.25">
      <c r="A128" s="116"/>
      <c r="B128" s="114"/>
      <c r="C128" s="114"/>
      <c r="D128" s="114">
        <v>0</v>
      </c>
      <c r="E128" s="116">
        <v>0</v>
      </c>
      <c r="F128" s="114"/>
      <c r="G128" s="114"/>
      <c r="H128" s="114"/>
      <c r="I128" s="116">
        <v>0</v>
      </c>
      <c r="J128" s="114"/>
      <c r="K128" s="114"/>
      <c r="L128" s="114"/>
      <c r="M128" s="116"/>
      <c r="N128" s="116"/>
      <c r="O128" s="116"/>
      <c r="P128" s="116"/>
      <c r="Q128" s="116"/>
      <c r="R128" s="114"/>
      <c r="S128" s="114"/>
      <c r="T128" s="116"/>
      <c r="U128" s="116"/>
      <c r="V128" s="116"/>
    </row>
    <row customHeight="1" ht="14.25">
      <c r="A129" s="116"/>
      <c r="B129" s="114"/>
      <c r="C129" s="114"/>
      <c r="D129" s="114"/>
      <c r="E129" s="116"/>
      <c r="F129" s="114"/>
      <c r="G129" s="114"/>
      <c r="H129" s="114"/>
      <c r="I129" s="116"/>
      <c r="J129" s="114"/>
      <c r="K129" s="114"/>
      <c r="L129" s="114"/>
      <c r="M129" s="116"/>
      <c r="N129" s="116"/>
      <c r="O129" s="116"/>
      <c r="P129" s="116"/>
      <c r="Q129" s="116"/>
      <c r="R129" s="114"/>
      <c r="S129" s="114"/>
      <c r="T129" s="116"/>
      <c r="U129" s="116"/>
      <c r="V129" s="116"/>
    </row>
    <row customHeight="1" ht="14.25">
      <c r="A130" s="116"/>
      <c r="B130" s="114"/>
      <c r="C130" s="114"/>
      <c r="D130" s="114">
        <v>316</v>
      </c>
      <c r="E130" s="116">
        <v>1866</v>
      </c>
      <c r="F130" s="114"/>
      <c r="G130" s="114"/>
      <c r="H130" s="114"/>
      <c r="I130" s="116">
        <v>1866</v>
      </c>
      <c r="J130" s="114"/>
      <c r="K130" s="114"/>
      <c r="L130" s="114"/>
      <c r="M130" s="116"/>
      <c r="N130" s="116"/>
      <c r="O130" s="116"/>
      <c r="P130" s="116"/>
      <c r="Q130" s="116"/>
      <c r="R130" s="114"/>
      <c r="S130" s="114"/>
      <c r="T130" s="116"/>
      <c r="U130" s="116"/>
      <c r="V130" s="116"/>
    </row>
    <row customHeight="1" ht="14.25">
      <c r="A131" s="116"/>
      <c r="B131" s="114"/>
      <c r="C131" s="114"/>
      <c r="D131" s="182" t="s">
        <v>83</v>
      </c>
      <c r="E131" s="182" t="s">
        <v>83</v>
      </c>
      <c r="F131" s="114"/>
      <c r="G131" s="114"/>
      <c r="H131" s="114"/>
      <c r="I131" s="182" t="s">
        <v>83</v>
      </c>
      <c r="J131" s="114"/>
      <c r="K131" s="114"/>
      <c r="L131" s="114"/>
      <c r="M131" s="116"/>
      <c r="N131" s="116"/>
      <c r="O131" s="116"/>
      <c r="P131" s="116"/>
      <c r="Q131" s="116"/>
      <c r="R131" s="114"/>
      <c r="S131" s="114"/>
      <c r="T131" s="116"/>
      <c r="U131" s="116"/>
      <c r="V131" s="116"/>
    </row>
    <row customHeight="1" ht="14.25">
      <c r="A132" s="116"/>
      <c r="B132" s="114"/>
      <c r="C132" s="114"/>
      <c r="D132" s="182">
        <v>0</v>
      </c>
      <c r="E132" s="182">
        <v>0</v>
      </c>
      <c r="F132" s="114"/>
      <c r="G132" s="114"/>
      <c r="H132" s="114"/>
      <c r="I132" s="182">
        <v>0</v>
      </c>
      <c r="J132" s="114"/>
      <c r="K132" s="114"/>
      <c r="L132" s="114"/>
      <c r="M132" s="116"/>
      <c r="N132" s="116"/>
      <c r="O132" s="116"/>
      <c r="P132" s="116"/>
      <c r="Q132" s="116"/>
      <c r="R132" s="114"/>
      <c r="S132" s="114"/>
      <c r="T132" s="116"/>
      <c r="U132" s="116"/>
      <c r="V132" s="116"/>
    </row>
    <row customHeight="1" ht="14.25">
      <c r="A133" s="116"/>
      <c r="B133" s="114"/>
      <c r="C133" s="114"/>
      <c r="D133" s="182">
        <v>1476</v>
      </c>
      <c r="E133" s="182">
        <v>8741</v>
      </c>
      <c r="F133" s="114"/>
      <c r="G133" s="114"/>
      <c r="H133" s="114"/>
      <c r="I133" s="182">
        <v>8741</v>
      </c>
      <c r="J133" s="114"/>
      <c r="K133" s="114"/>
      <c r="L133" s="114"/>
      <c r="M133" s="116"/>
      <c r="N133" s="116"/>
      <c r="O133" s="116"/>
      <c r="P133" s="116"/>
      <c r="Q133" s="116"/>
      <c r="R133" s="114"/>
      <c r="S133" s="114"/>
      <c r="T133" s="116"/>
      <c r="U133" s="116"/>
      <c r="V133" s="116"/>
    </row>
    <row customHeight="1" ht="14.25">
      <c r="A134" s="116"/>
      <c r="B134" s="114"/>
      <c r="C134" s="114"/>
      <c r="D134" s="182">
        <v>2430</v>
      </c>
      <c r="E134" s="182">
        <v>16886</v>
      </c>
      <c r="F134" s="114"/>
      <c r="G134" s="114"/>
      <c r="H134" s="114"/>
      <c r="I134" s="182">
        <v>16886</v>
      </c>
      <c r="J134" s="114"/>
      <c r="K134" s="114"/>
      <c r="L134" s="114"/>
      <c r="M134" s="116"/>
      <c r="N134" s="116"/>
      <c r="O134" s="116"/>
      <c r="P134" s="116"/>
      <c r="Q134" s="116"/>
      <c r="R134" s="114"/>
      <c r="S134" s="114"/>
      <c r="T134" s="116"/>
      <c r="U134" s="116"/>
      <c r="V134" s="116"/>
    </row>
    <row customHeight="1" ht="14.25">
      <c r="A135" s="116"/>
      <c r="B135" s="114"/>
      <c r="C135" s="114"/>
      <c r="D135" s="114" t="s">
        <v>38</v>
      </c>
      <c r="E135" s="116" t="s">
        <v>38</v>
      </c>
      <c r="F135" s="114"/>
      <c r="G135" s="114"/>
      <c r="H135" s="114"/>
      <c r="I135" s="116" t="s">
        <v>38</v>
      </c>
      <c r="J135" s="114"/>
      <c r="K135" s="114"/>
      <c r="L135" s="114"/>
      <c r="M135" s="116"/>
      <c r="N135" s="116"/>
      <c r="O135" s="116"/>
      <c r="P135" s="116"/>
      <c r="Q135" s="116"/>
      <c r="R135" s="114"/>
      <c r="S135" s="114"/>
      <c r="T135" s="116"/>
      <c r="U135" s="116"/>
      <c r="V135" s="116"/>
    </row>
    <row customHeight="1" ht="14.25">
      <c r="A136" s="116"/>
      <c r="B136" s="114"/>
      <c r="C136" s="114"/>
      <c r="D136" s="182">
        <v>575296</v>
      </c>
      <c r="E136" s="182">
        <v>8210352</v>
      </c>
      <c r="F136" s="114"/>
      <c r="G136" s="114"/>
      <c r="H136" s="114"/>
      <c r="I136" s="182">
        <v>8210352</v>
      </c>
      <c r="J136" s="114"/>
      <c r="K136" s="114"/>
      <c r="L136" s="114"/>
      <c r="M136" s="116"/>
      <c r="N136" s="116"/>
      <c r="O136" s="116"/>
      <c r="P136" s="116"/>
      <c r="Q136" s="116"/>
      <c r="R136" s="114"/>
      <c r="S136" s="114"/>
      <c r="T136" s="116"/>
      <c r="U136" s="116"/>
      <c r="V136" s="116"/>
    </row>
    <row customHeight="1" ht="14.25">
      <c r="A137" s="116"/>
      <c r="B137" s="114"/>
      <c r="C137" s="114"/>
      <c r="D137" s="114" t="s">
        <v>48</v>
      </c>
      <c r="E137" s="116" t="s">
        <v>48</v>
      </c>
      <c r="F137" s="114"/>
      <c r="G137" s="114"/>
      <c r="H137" s="114"/>
      <c r="I137" s="116" t="s">
        <v>48</v>
      </c>
      <c r="J137" s="114"/>
      <c r="K137" s="114"/>
      <c r="L137" s="114"/>
      <c r="M137" s="116"/>
      <c r="N137" s="116"/>
      <c r="O137" s="116"/>
      <c r="P137" s="116"/>
      <c r="Q137" s="116"/>
      <c r="R137" s="114"/>
      <c r="S137" s="114"/>
      <c r="T137" s="116"/>
      <c r="U137" s="116"/>
      <c r="V137" s="116"/>
    </row>
    <row customHeight="1" ht="14.25">
      <c r="A138" s="116"/>
      <c r="B138" s="58"/>
      <c r="C138" s="114"/>
      <c r="D138" s="182">
        <v>202</v>
      </c>
      <c r="E138" s="182">
        <v>1461.278235578598</v>
      </c>
      <c r="F138" s="114"/>
      <c r="G138" s="114"/>
      <c r="H138" s="114"/>
      <c r="I138" s="182">
        <v>1461.278235578598</v>
      </c>
      <c r="J138" s="114"/>
      <c r="K138" s="114"/>
      <c r="L138" s="114"/>
      <c r="M138" s="116"/>
      <c r="N138" s="116"/>
      <c r="O138" s="116"/>
      <c r="P138" s="116"/>
      <c r="Q138" s="116"/>
      <c r="R138" s="114"/>
      <c r="S138" s="114"/>
      <c r="T138" s="116"/>
      <c r="U138" s="116"/>
      <c r="V138" s="116"/>
    </row>
    <row customHeight="1" ht="14.25">
      <c r="A139" s="116"/>
      <c r="B139" s="58"/>
      <c r="C139" s="114"/>
      <c r="D139" s="114" t="s">
        <v>49</v>
      </c>
      <c r="E139" s="116" t="s">
        <v>49</v>
      </c>
      <c r="F139" s="114"/>
      <c r="G139" s="114"/>
      <c r="H139" s="114"/>
      <c r="I139" s="116" t="s">
        <v>49</v>
      </c>
      <c r="J139" s="114"/>
      <c r="K139" s="114"/>
      <c r="L139" s="114"/>
      <c r="M139" s="116"/>
      <c r="N139" s="116"/>
      <c r="O139" s="116"/>
      <c r="P139" s="116"/>
      <c r="Q139" s="116"/>
      <c r="R139" s="114"/>
      <c r="S139" s="114"/>
      <c r="T139" s="116"/>
      <c r="U139" s="116"/>
      <c r="V139" s="116"/>
    </row>
    <row customHeight="1" ht="14.25">
      <c r="A140" s="116"/>
      <c r="B140" s="114"/>
      <c r="C140" s="114"/>
      <c r="D140" s="182">
        <v>0</v>
      </c>
      <c r="E140" s="182">
        <v>0</v>
      </c>
      <c r="F140" s="114"/>
      <c r="G140" s="114"/>
      <c r="H140" s="114"/>
      <c r="I140" s="182">
        <v>0</v>
      </c>
      <c r="J140" s="114"/>
      <c r="K140" s="114"/>
      <c r="L140" s="114"/>
      <c r="M140" s="116"/>
      <c r="N140" s="116"/>
      <c r="O140" s="116"/>
      <c r="P140" s="116"/>
      <c r="Q140" s="116"/>
      <c r="R140" s="114"/>
      <c r="S140" s="114"/>
      <c r="T140" s="116"/>
      <c r="U140" s="116"/>
      <c r="V140" s="116"/>
    </row>
    <row customHeight="1" ht="14.25">
      <c r="A141" s="116"/>
      <c r="B141" s="114"/>
      <c r="C141" s="114"/>
      <c r="D141" s="182">
        <v>0</v>
      </c>
      <c r="E141" s="182">
        <v>0</v>
      </c>
      <c r="F141" s="114"/>
      <c r="G141" s="114"/>
      <c r="H141" s="114"/>
      <c r="I141" s="182">
        <v>0</v>
      </c>
      <c r="J141" s="114"/>
      <c r="K141" s="114"/>
      <c r="L141" s="114"/>
      <c r="M141" s="116"/>
      <c r="N141" s="116"/>
      <c r="O141" s="116"/>
      <c r="P141" s="116"/>
      <c r="Q141" s="116"/>
      <c r="R141" s="114"/>
      <c r="S141" s="114"/>
      <c r="T141" s="116"/>
      <c r="U141" s="116"/>
      <c r="V141" s="116"/>
    </row>
    <row customHeight="1" ht="14.25">
      <c r="A142" s="116"/>
      <c r="B142" s="114"/>
      <c r="C142" s="114"/>
      <c r="D142" s="114"/>
      <c r="E142" s="116"/>
      <c r="F142" s="114"/>
      <c r="G142" s="114"/>
      <c r="H142" s="114"/>
      <c r="I142" s="116"/>
      <c r="J142" s="114"/>
      <c r="K142" s="114"/>
      <c r="L142" s="114"/>
      <c r="M142" s="116"/>
      <c r="N142" s="116"/>
      <c r="O142" s="116"/>
      <c r="P142" s="116"/>
      <c r="Q142" s="116"/>
      <c r="R142" s="114"/>
      <c r="S142" s="114"/>
      <c r="T142" s="116"/>
      <c r="U142" s="116"/>
      <c r="V142" s="116"/>
    </row>
    <row customHeight="1" ht="14.25">
      <c r="A143" s="116"/>
      <c r="B143" s="114"/>
      <c r="C143" s="114"/>
      <c r="D143" s="114" t="s">
        <v>38</v>
      </c>
      <c r="E143" s="116" t="s">
        <v>38</v>
      </c>
      <c r="F143" s="114"/>
      <c r="G143" s="114"/>
      <c r="H143" s="114"/>
      <c r="I143" s="116" t="s">
        <v>38</v>
      </c>
      <c r="J143" s="114"/>
      <c r="K143" s="114"/>
      <c r="L143" s="114"/>
      <c r="M143" s="116"/>
      <c r="N143" s="116"/>
      <c r="O143" s="116"/>
      <c r="P143" s="116"/>
      <c r="Q143" s="116"/>
      <c r="R143" s="114"/>
      <c r="S143" s="114"/>
      <c r="T143" s="116"/>
      <c r="U143" s="116"/>
      <c r="V143" s="116"/>
    </row>
    <row customHeight="1" ht="14.25">
      <c r="A144" s="116"/>
      <c r="B144" s="114"/>
      <c r="C144" s="114"/>
      <c r="D144" s="182">
        <v>0</v>
      </c>
      <c r="E144" s="182">
        <v>928</v>
      </c>
      <c r="F144" s="114"/>
      <c r="G144" s="114"/>
      <c r="H144" s="114"/>
      <c r="I144" s="182">
        <v>928</v>
      </c>
      <c r="J144" s="114"/>
      <c r="K144" s="114"/>
      <c r="L144" s="114"/>
      <c r="M144" s="116"/>
      <c r="N144" s="116"/>
      <c r="O144" s="116"/>
      <c r="P144" s="116"/>
      <c r="Q144" s="116"/>
      <c r="R144" s="114"/>
      <c r="S144" s="114"/>
      <c r="T144" s="116"/>
      <c r="U144" s="116"/>
      <c r="V144" s="116"/>
    </row>
    <row customHeight="1" ht="14.25">
      <c r="A145" s="116"/>
      <c r="B145" s="114"/>
      <c r="C145" s="114"/>
      <c r="D145" s="182">
        <v>369</v>
      </c>
      <c r="E145" s="182">
        <v>2712</v>
      </c>
      <c r="F145" s="114"/>
      <c r="G145" s="114"/>
      <c r="H145" s="114"/>
      <c r="I145" s="182">
        <v>2712</v>
      </c>
      <c r="J145" s="114"/>
      <c r="K145" s="114"/>
      <c r="L145" s="114"/>
      <c r="M145" s="116"/>
      <c r="N145" s="116"/>
      <c r="O145" s="116"/>
      <c r="P145" s="116"/>
      <c r="Q145" s="116"/>
      <c r="R145" s="114"/>
      <c r="S145" s="114"/>
      <c r="T145" s="116"/>
      <c r="U145" s="116"/>
      <c r="V145" s="116"/>
    </row>
    <row customHeight="1" ht="14.25">
      <c r="A146" s="116"/>
      <c r="B146" s="114"/>
      <c r="C146" s="114"/>
      <c r="D146" s="182">
        <v>467</v>
      </c>
      <c r="E146" s="182">
        <v>3218</v>
      </c>
      <c r="F146" s="114"/>
      <c r="G146" s="114"/>
      <c r="H146" s="114"/>
      <c r="I146" s="182">
        <v>3218</v>
      </c>
      <c r="J146" s="114"/>
      <c r="K146" s="114"/>
      <c r="L146" s="114"/>
      <c r="M146" s="116"/>
      <c r="N146" s="116"/>
      <c r="O146" s="116"/>
      <c r="P146" s="116"/>
      <c r="Q146" s="116"/>
      <c r="R146" s="114"/>
      <c r="S146" s="114"/>
      <c r="T146" s="116"/>
      <c r="U146" s="116"/>
      <c r="V146" s="116"/>
    </row>
    <row customHeight="1" ht="14.25">
      <c r="A147" s="116"/>
      <c r="B147" s="114"/>
      <c r="C147" s="114"/>
      <c r="D147" s="182">
        <v>762</v>
      </c>
      <c r="E147" s="182">
        <v>4771</v>
      </c>
      <c r="F147" s="114"/>
      <c r="G147" s="114"/>
      <c r="H147" s="114"/>
      <c r="I147" s="182">
        <v>4771</v>
      </c>
      <c r="J147" s="114"/>
      <c r="K147" s="114"/>
      <c r="L147" s="114"/>
      <c r="M147" s="116"/>
      <c r="N147" s="116"/>
      <c r="O147" s="116"/>
      <c r="P147" s="116"/>
      <c r="Q147" s="116"/>
      <c r="R147" s="114"/>
      <c r="S147" s="114"/>
      <c r="T147" s="116"/>
      <c r="U147" s="116"/>
      <c r="V147" s="116"/>
    </row>
    <row customHeight="1" ht="14.25">
      <c r="A148" s="116"/>
      <c r="B148" s="114"/>
      <c r="C148" s="114"/>
      <c r="D148" s="182">
        <v>521</v>
      </c>
      <c r="E148" s="182">
        <v>3597</v>
      </c>
      <c r="F148" s="114"/>
      <c r="G148" s="114"/>
      <c r="H148" s="114"/>
      <c r="I148" s="182">
        <v>3597</v>
      </c>
      <c r="J148" s="114"/>
      <c r="K148" s="114"/>
      <c r="L148" s="114"/>
      <c r="M148" s="116"/>
      <c r="N148" s="116"/>
      <c r="O148" s="116"/>
      <c r="P148" s="116"/>
      <c r="Q148" s="116"/>
      <c r="R148" s="114"/>
      <c r="S148" s="114"/>
      <c r="T148" s="116"/>
      <c r="U148" s="116"/>
      <c r="V148" s="116"/>
    </row>
    <row customHeight="1" ht="14.4525">
      <c r="A149" s="116"/>
      <c r="B149" s="114"/>
      <c r="C149" s="114"/>
      <c r="D149" s="114"/>
      <c r="E149" s="116"/>
      <c r="F149" s="114"/>
      <c r="G149" s="114"/>
      <c r="H149" s="114"/>
      <c r="I149" s="116"/>
      <c r="J149" s="114"/>
      <c r="K149" s="114"/>
      <c r="L149" s="114"/>
      <c r="M149" s="116"/>
      <c r="N149" s="116"/>
      <c r="O149" s="116"/>
      <c r="P149" s="116"/>
      <c r="Q149" s="116"/>
      <c r="R149" s="114"/>
      <c r="S149" s="114"/>
      <c r="T149" s="116"/>
      <c r="U149" s="116"/>
      <c r="V149" s="116"/>
    </row>
    <row customHeight="1" ht="14.25">
      <c r="A150" s="116"/>
      <c r="B150" s="114"/>
      <c r="C150" s="114"/>
      <c r="D150" s="114" t="s">
        <v>47</v>
      </c>
      <c r="E150" s="116" t="s">
        <v>47</v>
      </c>
      <c r="F150" s="114"/>
      <c r="G150" s="114"/>
      <c r="H150" s="114"/>
      <c r="I150" s="116" t="s">
        <v>47</v>
      </c>
      <c r="J150" s="114"/>
      <c r="K150" s="114"/>
      <c r="L150" s="114"/>
      <c r="M150" s="116"/>
      <c r="N150" s="116"/>
      <c r="O150" s="116"/>
      <c r="P150" s="116"/>
      <c r="Q150" s="116"/>
      <c r="R150" s="114"/>
      <c r="S150" s="114"/>
      <c r="T150" s="116"/>
      <c r="U150" s="116"/>
      <c r="V150" s="116"/>
    </row>
    <row customHeight="1" ht="14.25">
      <c r="A151" s="116"/>
      <c r="B151" s="114"/>
      <c r="C151" s="114"/>
      <c r="D151" s="182">
        <v>178</v>
      </c>
      <c r="E151" s="182">
        <v>1391</v>
      </c>
      <c r="F151" s="114"/>
      <c r="G151" s="114"/>
      <c r="H151" s="114"/>
      <c r="I151" s="182">
        <v>1391</v>
      </c>
      <c r="J151" s="114"/>
      <c r="K151" s="114"/>
      <c r="L151" s="114"/>
      <c r="M151" s="116"/>
      <c r="N151" s="116"/>
      <c r="O151" s="116"/>
      <c r="P151" s="116"/>
      <c r="Q151" s="116"/>
      <c r="R151" s="114"/>
      <c r="S151" s="114"/>
      <c r="T151" s="116"/>
      <c r="U151" s="116"/>
      <c r="V151" s="116"/>
    </row>
    <row customHeight="1" ht="14.25">
      <c r="A152" s="116"/>
      <c r="B152" s="114"/>
      <c r="C152" s="114"/>
      <c r="D152" s="182">
        <v>0</v>
      </c>
      <c r="E152" s="182">
        <v>0</v>
      </c>
      <c r="F152" s="114"/>
      <c r="G152" s="114"/>
      <c r="H152" s="114"/>
      <c r="I152" s="182">
        <v>0</v>
      </c>
      <c r="J152" s="114"/>
      <c r="K152" s="114"/>
      <c r="L152" s="114"/>
      <c r="M152" s="116"/>
      <c r="N152" s="116"/>
      <c r="O152" s="116"/>
      <c r="P152" s="116"/>
      <c r="Q152" s="116"/>
      <c r="R152" s="114"/>
      <c r="S152" s="114"/>
      <c r="T152" s="116"/>
      <c r="U152" s="116"/>
      <c r="V152" s="116"/>
    </row>
    <row customHeight="1" ht="14.25">
      <c r="A153" s="116"/>
      <c r="B153" s="114"/>
      <c r="C153" s="114"/>
      <c r="D153" s="182">
        <v>12</v>
      </c>
      <c r="E153" s="182">
        <v>97</v>
      </c>
      <c r="F153" s="114"/>
      <c r="G153" s="114"/>
      <c r="H153" s="114"/>
      <c r="I153" s="182">
        <v>97</v>
      </c>
      <c r="J153" s="114"/>
      <c r="K153" s="114"/>
      <c r="L153" s="114"/>
      <c r="M153" s="116"/>
      <c r="N153" s="116"/>
      <c r="O153" s="116"/>
      <c r="P153" s="116"/>
      <c r="Q153" s="116"/>
      <c r="R153" s="114"/>
      <c r="S153" s="114"/>
      <c r="T153" s="116"/>
      <c r="U153" s="116"/>
      <c r="V153" s="116"/>
    </row>
    <row customHeight="1" ht="14.4525">
      <c r="A154" s="116"/>
      <c r="B154" s="114"/>
      <c r="C154" s="114"/>
      <c r="D154" s="114"/>
      <c r="E154" s="116"/>
      <c r="F154" s="114"/>
      <c r="G154" s="114"/>
      <c r="H154" s="114"/>
      <c r="I154" s="116"/>
      <c r="J154" s="114"/>
      <c r="K154" s="114"/>
      <c r="L154" s="114"/>
      <c r="M154" s="116"/>
      <c r="N154" s="116"/>
      <c r="O154" s="116"/>
      <c r="P154" s="116"/>
      <c r="Q154" s="116"/>
      <c r="R154" s="114"/>
      <c r="S154" s="114"/>
      <c r="T154" s="116"/>
      <c r="U154" s="116"/>
      <c r="V154" s="116"/>
    </row>
    <row customHeight="1" ht="14.25">
      <c r="A155" s="116"/>
      <c r="B155" s="114"/>
      <c r="C155" s="114"/>
      <c r="D155" s="114">
        <v>0</v>
      </c>
      <c r="E155" s="116">
        <v>0</v>
      </c>
      <c r="F155" s="114"/>
      <c r="G155" s="114"/>
      <c r="H155" s="114"/>
      <c r="I155" s="116">
        <v>0</v>
      </c>
      <c r="J155" s="114"/>
      <c r="K155" s="114"/>
      <c r="L155" s="114"/>
      <c r="M155" s="116"/>
      <c r="N155" s="116"/>
      <c r="O155" s="116"/>
      <c r="P155" s="116"/>
      <c r="Q155" s="116"/>
      <c r="R155" s="114"/>
      <c r="S155" s="114"/>
      <c r="T155" s="116"/>
      <c r="U155" s="116"/>
      <c r="V155" s="116"/>
    </row>
    <row customHeight="1" ht="14.25">
      <c r="A156" s="116"/>
      <c r="B156" s="114"/>
      <c r="C156" s="114"/>
      <c r="D156" s="114">
        <v>473</v>
      </c>
      <c r="E156" s="116">
        <v>3395</v>
      </c>
      <c r="F156" s="114"/>
      <c r="G156" s="114"/>
      <c r="H156" s="114"/>
      <c r="I156" s="116">
        <v>3395</v>
      </c>
      <c r="J156" s="114"/>
      <c r="K156" s="114"/>
      <c r="L156" s="114"/>
      <c r="M156" s="116"/>
      <c r="N156" s="116"/>
      <c r="O156" s="116"/>
      <c r="P156" s="116"/>
      <c r="Q156" s="116"/>
      <c r="R156" s="114"/>
      <c r="S156" s="114"/>
      <c r="T156" s="116"/>
      <c r="U156" s="116"/>
      <c r="V156" s="116"/>
    </row>
    <row customHeight="1" ht="14.25">
      <c r="A157" s="116"/>
      <c r="B157" s="114"/>
      <c r="C157" s="114"/>
      <c r="D157" s="114">
        <v>731</v>
      </c>
      <c r="E157" s="116">
        <v>5936</v>
      </c>
      <c r="F157" s="114"/>
      <c r="G157" s="114"/>
      <c r="H157" s="114"/>
      <c r="I157" s="116">
        <v>5936</v>
      </c>
      <c r="J157" s="114"/>
      <c r="K157" s="114"/>
      <c r="L157" s="114"/>
      <c r="M157" s="116"/>
      <c r="N157" s="116"/>
      <c r="O157" s="116"/>
      <c r="P157" s="116"/>
      <c r="Q157" s="116"/>
      <c r="R157" s="114"/>
      <c r="S157" s="114"/>
      <c r="T157" s="116"/>
      <c r="U157" s="116"/>
      <c r="V157" s="116"/>
    </row>
  </sheetData>
  <mergeCells count="14">
    <mergeCell ref="B1:R1"/>
    <mergeCell ref="B2:C2"/>
    <mergeCell ref="L2:M2"/>
    <mergeCell ref="M3:R3"/>
    <mergeCell ref="U5:V5"/>
    <mergeCell ref="C32:R32"/>
    <mergeCell ref="C33:R33"/>
    <mergeCell ref="B3:B4"/>
    <mergeCell ref="B32:B33"/>
    <mergeCell ref="H3:H4"/>
    <mergeCell ref="I3:I4"/>
    <mergeCell ref="J3:J4"/>
    <mergeCell ref="K3:K4"/>
    <mergeCell ref="L3:L4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全年生产任务完成情况统计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shjb</dc:creator>
  <cp:lastModifiedBy>WPS_1176973267</cp:lastModifiedBy>
  <dcterms:created xsi:type="dcterms:W3CDTF">2022-04-13T09:45:00Z</dcterms:created>
  <dcterms:modified xsi:type="dcterms:W3CDTF">2024-10-21T15:02:36Z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004D0A3D04494C92A687BB9D697F15DD_13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true</vt:bool>
  </property>
</Properties>
</file>