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延安炼油厂装置生产完成情况表（五）" sheetId="1" r:id="rId2"/>
    <sheet name="取值" sheetId="2" state="hidden" r:id="rId3"/>
  </sheets>
  <calcPr calcId="0" iterate="0" iterateCount="100" iterateDelta="0.001"/>
</workbook>
</file>

<file path=xl/comments1.xml><?xml version="1.0" encoding="utf-8"?>
<comments xmlns="http://schemas.openxmlformats.org/spreadsheetml/2006/main">
  <authors>
    <author>Author</author>
  </authors>
  <commentList>
    <comment ref="D6" authorId="0">
      <text>
        <r>
          <rPr>
            <b/>
            <sz val="9"/>
            <color indexed="81"/>
            <rFont val="宋体"/>
            <family val="2"/>
          </rPr>
          <t>#Input("延炼_生产计划部_延炼装置生产完成情况表5_7万醋酸仲丁酯装置_原料处理量",":key{{dw}}",":read")</t>
        </r>
      </text>
    </comment>
    <comment ref="L6" authorId="0">
      <text>
        <r>
          <rPr>
            <b/>
            <sz val="9"/>
            <color indexed="81"/>
            <rFont val="宋体"/>
            <family val="2"/>
          </rPr>
          <t>#Input("延炼_生产计划部_延炼装置生产完成情况表5_50万航煤加氢装置_原料处理量",":key{{dw}}",":read")</t>
        </r>
      </text>
    </comment>
    <comment ref="D7" authorId="0">
      <text>
        <r>
          <rPr>
            <b/>
            <sz val="9"/>
            <color indexed="81"/>
            <rFont val="宋体"/>
            <family val="2"/>
          </rPr>
          <t>#Input("延炼_生产计划部_延炼装置生产完成情况表5_7万醋酸仲丁酯装置_醚后C4",":key{{dw}}",":read")</t>
        </r>
      </text>
    </comment>
    <comment ref="L7" authorId="0">
      <text>
        <r>
          <rPr>
            <b/>
            <sz val="9"/>
            <color indexed="81"/>
            <rFont val="宋体"/>
            <family val="2"/>
          </rPr>
          <t>#Input("延炼_生产计划部_延炼装置生产完成情况表5_50万航煤加氢装置_常一线",":key{{dw}}",":read")</t>
        </r>
      </text>
    </comment>
    <comment ref="D8" authorId="0">
      <text>
        <r>
          <rPr>
            <b/>
            <sz val="9"/>
            <color indexed="81"/>
            <rFont val="宋体"/>
            <family val="2"/>
          </rPr>
          <t>#Input("延炼_生产计划部_延炼装置生产完成情况表5_7万醋酸仲丁酯装置_醋酸",":key{{dw}}",":read")</t>
        </r>
      </text>
    </comment>
    <comment ref="L8" authorId="0">
      <text>
        <r>
          <rPr>
            <b/>
            <sz val="9"/>
            <color indexed="81"/>
            <rFont val="宋体"/>
            <family val="2"/>
          </rPr>
          <t>#Input("延炼_生产计划部_延炼装置生产完成情况表5_50万航煤加氢装置_氢气",":key{{dw}}",":read")</t>
        </r>
      </text>
    </comment>
    <comment ref="D9" authorId="0">
      <text>
        <r>
          <rPr>
            <b/>
            <sz val="9"/>
            <color indexed="81"/>
            <rFont val="宋体"/>
            <family val="2"/>
          </rPr>
          <t>#Input("延炼_生产计划部_延炼装置生产完成情况表5_7万醋酸仲丁酯装置_醋酸仲丁酯（SBA）",":key{{dw}}",":read")</t>
        </r>
      </text>
    </comment>
    <comment ref="L9" authorId="0">
      <text>
        <r>
          <rPr>
            <b/>
            <sz val="9"/>
            <color indexed="81"/>
            <rFont val="宋体"/>
            <family val="2"/>
          </rPr>
          <t>#Input("延炼_生产计划部_延炼装置生产完成情况表5_50万航煤加氢装置_3#喷气燃料",":key{{dw}}",":read")</t>
        </r>
      </text>
    </comment>
    <comment ref="D10" authorId="0">
      <text>
        <r>
          <rPr>
            <b/>
            <sz val="9"/>
            <color indexed="81"/>
            <rFont val="宋体"/>
            <family val="2"/>
          </rPr>
          <t>#Input("延炼_生产计划部_延炼装置生产完成情况表5_7万醋酸仲丁酯装置_酯后C4",":key{{dw}}",":read")</t>
        </r>
      </text>
    </comment>
    <comment ref="L10" authorId="0">
      <text>
        <r>
          <rPr>
            <b/>
            <sz val="9"/>
            <color indexed="81"/>
            <rFont val="宋体"/>
            <family val="2"/>
          </rPr>
          <t>#Input("延炼_生产计划部_延炼装置生产完成情况表5_50万航煤加氢装置_石脑油",":key{{dw}}",":read")</t>
        </r>
      </text>
    </comment>
    <comment ref="D11" authorId="0">
      <text>
        <r>
          <rPr>
            <b/>
            <sz val="9"/>
            <color indexed="81"/>
            <rFont val="宋体"/>
            <family val="2"/>
          </rPr>
          <t>#Input("延炼_生产计划部_延炼装置生产完成情况表5_7万醋酸仲丁酯装置_次品SBA",":key{{dw}}",":read")</t>
        </r>
      </text>
    </comment>
    <comment ref="L11" authorId="0">
      <text>
        <r>
          <rPr>
            <b/>
            <sz val="9"/>
            <color indexed="81"/>
            <rFont val="宋体"/>
            <family val="2"/>
          </rPr>
          <t>#Input("延炼_生产计划部_延炼装置生产完成情况表5_50万航煤加氢装置_酸性气",":key{{dw}}",":read")</t>
        </r>
      </text>
    </comment>
    <comment ref="D12" authorId="0">
      <text>
        <r>
          <rPr>
            <b/>
            <sz val="9"/>
            <color indexed="81"/>
            <rFont val="宋体"/>
            <family val="2"/>
          </rPr>
          <t>#Input("延炼_生产计划部_延炼装置生产完成情况表5_7万醋酸仲丁酯装置_粗酯",":key{{dw}}",":read")</t>
        </r>
      </text>
    </comment>
    <comment ref="L12" authorId="0">
      <text>
        <r>
          <rPr>
            <b/>
            <sz val="9"/>
            <color indexed="81"/>
            <rFont val="宋体"/>
            <family val="2"/>
          </rPr>
          <t>#Input("延炼_生产计划部_延炼装置生产完成情况表5_50万航煤加氢装置_酸性水",":key{{dw}}",":read")</t>
        </r>
      </text>
    </comment>
    <comment ref="D13" authorId="0">
      <text>
        <r>
          <rPr>
            <b/>
            <sz val="9"/>
            <color indexed="81"/>
            <rFont val="宋体"/>
            <family val="2"/>
          </rPr>
          <t>#Input("延炼_生产计划部_延炼装置生产完成情况表5_7万醋酸仲丁酯装置_C12",":key{{dw}}",":read")</t>
        </r>
      </text>
    </comment>
    <comment ref="L13" authorId="0">
      <text>
        <r>
          <rPr>
            <b/>
            <sz val="9"/>
            <color indexed="81"/>
            <rFont val="宋体"/>
            <family val="2"/>
          </rPr>
          <t>#Input("延炼_生产计划部_延炼装置生产完成情况表5_50万航煤加氢装置_污油",":key{{dw}}",":read")</t>
        </r>
      </text>
    </comment>
    <comment ref="D14" authorId="0">
      <text>
        <r>
          <rPr>
            <b/>
            <sz val="9"/>
            <color indexed="81"/>
            <rFont val="宋体"/>
            <family val="2"/>
          </rPr>
          <t>#Input("延炼_生产计划部_延炼装置生产完成情况表5_7万醋酸仲丁酯装置_损失量",":key{{dw}}",":read")</t>
        </r>
      </text>
    </comment>
    <comment ref="L14" authorId="0">
      <text>
        <r>
          <rPr>
            <b/>
            <sz val="9"/>
            <color indexed="81"/>
            <rFont val="宋体"/>
            <family val="2"/>
          </rPr>
          <t>#Input("延炼_生产计划部_延炼装置生产完成情况表5_50万航煤加氢装置_不合格3#喷气燃料",":key{{dw}}",":read")</t>
        </r>
      </text>
    </comment>
    <comment ref="L15" authorId="0">
      <text>
        <r>
          <rPr>
            <b/>
            <sz val="9"/>
            <color indexed="81"/>
            <rFont val="宋体"/>
            <family val="2"/>
          </rPr>
          <t>#Input("延炼_生产计划部_延炼装置生产完成情况表5_50万航煤加氢装置_损失量",":key{{dw}}",":read")</t>
        </r>
      </text>
    </comment>
    <comment ref="D30" authorId="0">
      <text>
        <r>
          <rPr>
            <b/>
            <sz val="9"/>
            <color indexed="81"/>
            <rFont val="宋体"/>
            <family val="2"/>
          </rPr>
          <t>#Input("延炼_延安炼油厂装置生产完成情况表（五）_单位负责人",":key{{dw}}")</t>
        </r>
      </text>
    </comment>
    <comment ref="K30" authorId="0">
      <text>
        <r>
          <rPr>
            <b/>
            <sz val="9"/>
            <color indexed="81"/>
            <rFont val="宋体"/>
            <family val="2"/>
          </rPr>
          <t>#Input("延炼_延安炼油厂装置生产完成情况表（五）_填报人",":key{{dw}}")</t>
        </r>
      </text>
    </comment>
  </commentList>
</comments>
</file>

<file path=xl/sharedStrings.xml><?xml version="1.0" encoding="utf-8"?>
<sst xmlns="http://schemas.openxmlformats.org/spreadsheetml/2006/main" count="310" uniqueCount="45">
  <si>
    <t>延安炼油厂装置生产完成情况表（五）</t>
  </si>
  <si>
    <t>填报单位：生产计划部</t>
  </si>
  <si>
    <t>日期：</t>
  </si>
  <si>
    <t>2025-12</t>
  </si>
  <si>
    <t>陕油延炼计统YB106-5表</t>
  </si>
  <si>
    <t>装置名称</t>
  </si>
  <si>
    <t>指标名称</t>
  </si>
  <si>
    <t>产量（吨）</t>
  </si>
  <si>
    <t>收率（％）</t>
  </si>
  <si>
    <t>去年同期</t>
  </si>
  <si>
    <t>本 月</t>
  </si>
  <si>
    <t>累 计</t>
  </si>
  <si>
    <t>平 均</t>
  </si>
  <si>
    <t>产 量</t>
  </si>
  <si>
    <t>收 率</t>
  </si>
  <si>
    <t>7
万
吨
醋
酸
仲
丁
酯
装
置</t>
  </si>
  <si>
    <t>原料处理量</t>
  </si>
  <si>
    <t>/</t>
  </si>
  <si>
    <t>50
万
吨
航
煤
加
氢
装
置</t>
  </si>
  <si>
    <t>其中：醚后C4</t>
  </si>
  <si>
    <t xml:space="preserve">  其中：常一线</t>
  </si>
  <si>
    <t xml:space="preserve">      醋酸</t>
  </si>
  <si>
    <t xml:space="preserve">        氢气</t>
  </si>
  <si>
    <t>醋酸仲丁酯（SBA）</t>
  </si>
  <si>
    <t>3#喷气燃料</t>
  </si>
  <si>
    <t>酯后C4</t>
  </si>
  <si>
    <t>石脑油</t>
  </si>
  <si>
    <t>次品SBA</t>
  </si>
  <si>
    <t>酸性气</t>
  </si>
  <si>
    <t>粗酯</t>
  </si>
  <si>
    <t>酸性水</t>
  </si>
  <si>
    <t>C12</t>
  </si>
  <si>
    <t>污油</t>
  </si>
  <si>
    <t>损失量</t>
  </si>
  <si>
    <t>航煤组分油</t>
  </si>
  <si>
    <t/>
  </si>
  <si>
    <t>单位领导：</t>
  </si>
  <si>
    <t>王静</t>
  </si>
  <si>
    <t>填报人：</t>
  </si>
  <si>
    <t>黄宏飞</t>
  </si>
  <si>
    <t>报出日期：</t>
  </si>
  <si>
    <t>报表生成时间：</t>
  </si>
  <si>
    <t xml:space="preserve"> 8:00:00</t>
  </si>
  <si>
    <t>YL_SC_ALL_YearSum</t>
  </si>
  <si>
    <t>YL_SC_Year_Compare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</si>
</sst>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  <numFmt numFmtId="171" formatCode="0_ "/>
    <numFmt numFmtId="172" formatCode="0.00_ "/>
    <numFmt numFmtId="173" formatCode="yyyy\-mm\-dd"/>
  </numFmts>
  <fonts count="23">
    <font>
      <sz val="11"/>
      <color theme="1"/>
      <name val="Calibri"/>
      <scheme val="minor"/>
    </font>
    <font>
      <sz val="11"/>
      <color theme="0"/>
      <name val="Calibri"/>
      <scheme val="minor"/>
    </font>
    <font>
      <sz val="11"/>
      <color rgb="FF9C0006"/>
      <name val="Calibri"/>
      <scheme val="minor"/>
    </font>
    <font>
      <b/>
      <sz val="11"/>
      <color rgb="FFFA7D00"/>
      <name val="Calibri"/>
      <scheme val="minor"/>
    </font>
    <font>
      <b/>
      <sz val="11"/>
      <color theme="0"/>
      <name val="Calibri"/>
      <scheme val="minor"/>
    </font>
    <font>
      <sz val="11"/>
      <color indexed="0"/>
      <name val="Calibri"/>
      <family val="2"/>
    </font>
    <font>
      <i/>
      <sz val="11"/>
      <color rgb="FF7F7F7F"/>
      <name val="Calibri"/>
      <scheme val="minor"/>
    </font>
    <font>
      <sz val="11"/>
      <color rgb="FF006100"/>
      <name val="Calibri"/>
      <scheme val="min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b/>
      <sz val="11"/>
      <color theme="3"/>
      <name val="Calibri"/>
      <scheme val="minor"/>
    </font>
    <font>
      <sz val="11"/>
      <color rgb="FF3F3F76"/>
      <name val="Calibri"/>
      <scheme val="minor"/>
    </font>
    <font>
      <sz val="11"/>
      <color rgb="FFFA7D00"/>
      <name val="Calibri"/>
      <scheme val="minor"/>
    </font>
    <font>
      <sz val="11"/>
      <color rgb="FF9C6500"/>
      <name val="Calibri"/>
      <scheme val="minor"/>
    </font>
    <font>
      <b/>
      <sz val="11"/>
      <color rgb="FF3F3F3F"/>
      <name val="Calibri"/>
      <scheme val="minor"/>
    </font>
    <font>
      <b/>
      <sz val="18"/>
      <color theme="3"/>
      <name val="Calibri Light"/>
      <scheme val="major"/>
    </font>
    <font>
      <b/>
      <sz val="11"/>
      <color theme="1"/>
      <name val="Calibri"/>
      <scheme val="minor"/>
    </font>
    <font>
      <sz val="11"/>
      <color rgb="FFFF0000"/>
      <name val="Calibri"/>
      <scheme val="minor"/>
    </font>
    <font>
      <sz val="10"/>
      <color auto="1"/>
      <name val="Arial"/>
    </font>
    <font>
      <sz val="11"/>
      <color theme="1"/>
      <name val="等线"/>
    </font>
    <font>
      <sz val="11"/>
      <color rgb="FF000000"/>
      <name val="Calibri"/>
      <scheme val="minor"/>
    </font>
    <font>
      <b/>
      <sz val="18"/>
      <color theme="1"/>
      <name val="等线"/>
    </font>
    <font>
      <sz val="11"/>
      <color rgb="FF000000"/>
      <name val="等线"/>
    </font>
  </fonts>
  <fills count="33">
    <fill>
      <patternFill patternType="none"/>
    </fill>
    <fill>
      <patternFill patternType="gray125"/>
    </fill>
    <fill>
      <patternFill patternType="solid">
        <fgColor theme="4" tint="0.8"/>
      </patternFill>
    </fill>
    <fill>
      <patternFill patternType="solid">
        <fgColor theme="5" tint="0.8"/>
      </patternFill>
    </fill>
    <fill>
      <patternFill patternType="solid">
        <fgColor theme="6" tint="0.8"/>
      </patternFill>
    </fill>
    <fill>
      <patternFill patternType="solid">
        <fgColor theme="7" tint="0.8"/>
      </patternFill>
    </fill>
    <fill>
      <patternFill patternType="solid">
        <fgColor theme="8" tint="0.8"/>
      </patternFill>
    </fill>
    <fill>
      <patternFill patternType="solid">
        <fgColor theme="9" tint="0.8"/>
      </patternFill>
    </fill>
    <fill>
      <patternFill patternType="solid">
        <fgColor theme="4" tint="0.6"/>
      </patternFill>
    </fill>
    <fill>
      <patternFill patternType="solid">
        <fgColor theme="5" tint="0.6"/>
      </patternFill>
    </fill>
    <fill>
      <patternFill patternType="solid">
        <fgColor theme="6" tint="0.6"/>
      </patternFill>
    </fill>
    <fill>
      <patternFill patternType="solid">
        <fgColor theme="7" tint="0.6"/>
      </patternFill>
    </fill>
    <fill>
      <patternFill patternType="solid">
        <fgColor theme="8" tint="0.6"/>
      </patternFill>
    </fill>
    <fill>
      <patternFill patternType="solid">
        <fgColor theme="9" tint="0.6"/>
      </patternFill>
    </fill>
    <fill>
      <patternFill patternType="solid">
        <fgColor theme="4" tint="0.4"/>
      </patternFill>
    </fill>
    <fill>
      <patternFill patternType="solid">
        <fgColor theme="5" tint="0.4"/>
      </patternFill>
    </fill>
    <fill>
      <patternFill patternType="solid">
        <fgColor theme="6" tint="0.4"/>
      </patternFill>
    </fill>
    <fill>
      <patternFill patternType="solid">
        <fgColor theme="7" tint="0.4"/>
      </patternFill>
    </fill>
    <fill>
      <patternFill patternType="solid">
        <fgColor theme="8" tint="0.4"/>
      </patternFill>
    </fill>
    <fill>
      <patternFill patternType="solid">
        <fgColor theme="9" tint="0.4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32">
    <border>
      <left/>
      <right/>
      <top/>
      <bottom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thick">
        <color theme="4"/>
      </bottom>
    </border>
    <border>
      <left/>
      <right/>
      <top/>
      <bottom style="thick">
        <color theme="4" tint="0.5"/>
      </bottom>
    </border>
    <border>
      <left/>
      <right/>
      <top/>
      <bottom style="medium">
        <color theme="4" tint="0.4"/>
      </bottom>
    </border>
    <border>
      <left/>
      <right/>
      <top/>
      <bottom style="double">
        <color rgb="FFFF8001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/>
      <right/>
      <top style="medium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medium">
        <color rgb="FF000000"/>
      </left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 style="medium">
        <color rgb="FF000000"/>
      </right>
      <top style="thin">
        <color rgb="FF000000"/>
      </top>
      <bottom/>
    </border>
    <border>
      <left style="medium">
        <color rgb="FF000000"/>
      </left>
      <right/>
      <top style="thin">
        <color rgb="FF000000"/>
      </top>
      <bottom/>
    </border>
  </borders>
  <cellStyleXfs count="48">
    <xf numFmtId="0" fontId="0" fillId="0" borderId="0" applyFont="1" applyFill="0" applyBorder="0"/>
    <xf numFmtId="0" fontId="0" fillId="2" borderId="0" applyFont="1" applyFill="1" applyBorder="0">
      <alignment vertical="top"/>
    </xf>
    <xf numFmtId="0" fontId="0" fillId="3" borderId="0" applyFont="1" applyFill="1" applyBorder="0">
      <alignment vertical="top"/>
    </xf>
    <xf numFmtId="0" fontId="0" fillId="4" borderId="0" applyFont="1" applyFill="1" applyBorder="0">
      <alignment vertical="top"/>
    </xf>
    <xf numFmtId="0" fontId="0" fillId="5" borderId="0" applyFont="1" applyFill="1" applyBorder="0">
      <alignment vertical="top"/>
    </xf>
    <xf numFmtId="0" fontId="0" fillId="6" borderId="0" applyFont="1" applyFill="1" applyBorder="0">
      <alignment vertical="top"/>
    </xf>
    <xf numFmtId="0" fontId="0" fillId="7" borderId="0" applyFont="1" applyFill="1" applyBorder="0">
      <alignment vertical="top"/>
    </xf>
    <xf numFmtId="0" fontId="0" fillId="8" borderId="0" applyFont="1" applyFill="1" applyBorder="0">
      <alignment vertical="top"/>
    </xf>
    <xf numFmtId="0" fontId="0" fillId="9" borderId="0" applyFont="1" applyFill="1" applyBorder="0">
      <alignment vertical="top"/>
    </xf>
    <xf numFmtId="0" fontId="0" fillId="10" borderId="0" applyFont="1" applyFill="1" applyBorder="0">
      <alignment vertical="top"/>
    </xf>
    <xf numFmtId="0" fontId="0" fillId="11" borderId="0" applyFont="1" applyFill="1" applyBorder="0">
      <alignment vertical="top"/>
    </xf>
    <xf numFmtId="0" fontId="0" fillId="12" borderId="0" applyFont="1" applyFill="1" applyBorder="0">
      <alignment vertical="top"/>
    </xf>
    <xf numFmtId="0" fontId="0" fillId="13" borderId="0" applyFont="1" applyFill="1" applyBorder="0">
      <alignment vertical="top"/>
    </xf>
    <xf numFmtId="0" fontId="1" fillId="14" borderId="0" applyFont="1" applyFill="1" applyBorder="0">
      <alignment vertical="top"/>
    </xf>
    <xf numFmtId="0" fontId="1" fillId="15" borderId="0" applyFont="1" applyFill="1" applyBorder="0">
      <alignment vertical="top"/>
    </xf>
    <xf numFmtId="0" fontId="1" fillId="16" borderId="0" applyFont="1" applyFill="1" applyBorder="0">
      <alignment vertical="top"/>
    </xf>
    <xf numFmtId="0" fontId="1" fillId="17" borderId="0" applyFont="1" applyFill="1" applyBorder="0">
      <alignment vertical="top"/>
    </xf>
    <xf numFmtId="0" fontId="1" fillId="18" borderId="0" applyFont="1" applyFill="1" applyBorder="0">
      <alignment vertical="top"/>
    </xf>
    <xf numFmtId="0" fontId="1" fillId="19" borderId="0" applyFont="1" applyFill="1" applyBorder="0">
      <alignment vertical="top"/>
    </xf>
    <xf numFmtId="0" fontId="1" fillId="20" borderId="0" applyFont="1" applyFill="1" applyBorder="0">
      <alignment vertical="top"/>
    </xf>
    <xf numFmtId="0" fontId="1" fillId="21" borderId="0" applyFont="1" applyFill="1" applyBorder="0">
      <alignment vertical="top"/>
    </xf>
    <xf numFmtId="0" fontId="1" fillId="22" borderId="0" applyFont="1" applyFill="1" applyBorder="0">
      <alignment vertical="top"/>
    </xf>
    <xf numFmtId="0" fontId="1" fillId="23" borderId="0" applyFont="1" applyFill="1" applyBorder="0">
      <alignment vertical="top"/>
    </xf>
    <xf numFmtId="0" fontId="1" fillId="24" borderId="0" applyFont="1" applyFill="1" applyBorder="0">
      <alignment vertical="top"/>
    </xf>
    <xf numFmtId="0" fontId="1" fillId="25" borderId="0" applyFont="1" applyFill="1" applyBorder="0">
      <alignment vertical="top"/>
    </xf>
    <xf numFmtId="0" fontId="2" fillId="26" borderId="0" applyFont="1" applyFill="1" applyBorder="0">
      <alignment vertical="top"/>
    </xf>
    <xf numFmtId="0" fontId="3" fillId="27" borderId="1" applyFont="1" applyFill="1" applyBorder="1">
      <alignment vertical="top"/>
    </xf>
    <xf numFmtId="0" fontId="4" fillId="28" borderId="2" applyFont="1" applyFill="1" applyBorder="1">
      <alignment vertical="top"/>
    </xf>
    <xf numFmtId="43" fontId="5" fillId="0" borderId="0" applyFont="0" applyFill="0" applyBorder="0" applyNumberFormat="1">
      <alignment vertical="top"/>
    </xf>
    <xf numFmtId="41" fontId="5" fillId="0" borderId="0" applyFont="0" applyFill="0" applyBorder="0" applyNumberFormat="1">
      <alignment vertical="top"/>
    </xf>
    <xf numFmtId="44" fontId="5" fillId="0" borderId="0" applyFont="0" applyFill="0" applyBorder="0" applyNumberFormat="1">
      <alignment vertical="top"/>
    </xf>
    <xf numFmtId="42" fontId="5" fillId="0" borderId="0" applyFont="0" applyFill="0" applyBorder="0" applyNumberFormat="1">
      <alignment vertical="top"/>
    </xf>
    <xf numFmtId="0" fontId="6" fillId="0" borderId="0" applyFont="1" applyFill="0" applyBorder="0">
      <alignment vertical="top"/>
    </xf>
    <xf numFmtId="0" fontId="7" fillId="29" borderId="0" applyFont="1" applyFill="1" applyBorder="0">
      <alignment vertical="top"/>
    </xf>
    <xf numFmtId="0" fontId="8" fillId="0" borderId="3" applyFont="1" applyFill="0" applyBorder="1">
      <alignment vertical="top"/>
    </xf>
    <xf numFmtId="0" fontId="9" fillId="0" borderId="4" applyFont="1" applyFill="0" applyBorder="1">
      <alignment vertical="top"/>
    </xf>
    <xf numFmtId="0" fontId="10" fillId="0" borderId="5" applyFont="1" applyFill="0" applyBorder="1">
      <alignment vertical="top"/>
    </xf>
    <xf numFmtId="0" fontId="10" fillId="0" borderId="0" applyFont="1" applyFill="0" applyBorder="0">
      <alignment vertical="top"/>
    </xf>
    <xf numFmtId="0" fontId="11" fillId="30" borderId="1" applyFont="1" applyFill="1" applyBorder="1">
      <alignment vertical="top"/>
    </xf>
    <xf numFmtId="0" fontId="12" fillId="0" borderId="6" applyFont="1" applyFill="0" applyBorder="1">
      <alignment vertical="top"/>
    </xf>
    <xf numFmtId="0" fontId="13" fillId="31" borderId="0" applyFont="1" applyFill="1" applyBorder="0">
      <alignment vertical="top"/>
    </xf>
    <xf numFmtId="0" fontId="5" fillId="32" borderId="7" applyFont="0" applyFill="1" applyBorder="1">
      <alignment vertical="top"/>
    </xf>
    <xf numFmtId="0" fontId="14" fillId="27" borderId="8" applyFont="1" applyFill="1" applyBorder="1">
      <alignment vertical="top"/>
    </xf>
    <xf numFmtId="9" fontId="5" fillId="0" borderId="0" applyFont="0" applyFill="0" applyBorder="0" applyNumberFormat="1">
      <alignment vertical="top"/>
    </xf>
    <xf numFmtId="0" fontId="15" fillId="0" borderId="0" applyFont="1" applyFill="0" applyBorder="0">
      <alignment vertical="top"/>
    </xf>
    <xf numFmtId="0" fontId="16" fillId="0" borderId="9" applyFont="1" applyFill="0" applyBorder="1">
      <alignment vertical="top"/>
    </xf>
    <xf numFmtId="0" fontId="17" fillId="0" borderId="0" applyFont="1" applyFill="0" applyBorder="0">
      <alignment vertical="top"/>
    </xf>
    <xf numFmtId="0" fontId="18" fillId="0" borderId="0" applyFont="1" applyFill="0" applyBorder="0"/>
  </cellStyleXfs>
  <cellXfs count="161">
    <xf numFmtId="0" fontId="0" fillId="0" borderId="0" xfId="0" applyFont="1"/>
    <xf numFmtId="0" fontId="0" fillId="2" borderId="0" xfId="1" applyFont="1" applyFill="1">
      <alignment vertical="top"/>
    </xf>
    <xf numFmtId="0" fontId="0" fillId="3" borderId="0" xfId="2" applyFont="1" applyFill="1">
      <alignment vertical="top"/>
    </xf>
    <xf numFmtId="0" fontId="0" fillId="4" borderId="0" xfId="3" applyFont="1" applyFill="1">
      <alignment vertical="top"/>
    </xf>
    <xf numFmtId="0" fontId="0" fillId="5" borderId="0" xfId="4" applyFont="1" applyFill="1">
      <alignment vertical="top"/>
    </xf>
    <xf numFmtId="0" fontId="0" fillId="6" borderId="0" xfId="5" applyFont="1" applyFill="1">
      <alignment vertical="top"/>
    </xf>
    <xf numFmtId="0" fontId="0" fillId="7" borderId="0" xfId="6" applyFont="1" applyFill="1">
      <alignment vertical="top"/>
    </xf>
    <xf numFmtId="0" fontId="0" fillId="8" borderId="0" xfId="7" applyFont="1" applyFill="1">
      <alignment vertical="top"/>
    </xf>
    <xf numFmtId="0" fontId="0" fillId="9" borderId="0" xfId="8" applyFont="1" applyFill="1">
      <alignment vertical="top"/>
    </xf>
    <xf numFmtId="0" fontId="0" fillId="10" borderId="0" xfId="9" applyFont="1" applyFill="1">
      <alignment vertical="top"/>
    </xf>
    <xf numFmtId="0" fontId="0" fillId="11" borderId="0" xfId="10" applyFont="1" applyFill="1">
      <alignment vertical="top"/>
    </xf>
    <xf numFmtId="0" fontId="0" fillId="12" borderId="0" xfId="11" applyFont="1" applyFill="1">
      <alignment vertical="top"/>
    </xf>
    <xf numFmtId="0" fontId="0" fillId="13" borderId="0" xfId="12" applyFont="1" applyFill="1">
      <alignment vertical="top"/>
    </xf>
    <xf numFmtId="0" fontId="1" fillId="14" borderId="0" xfId="13" applyFont="1" applyFill="1">
      <alignment vertical="top"/>
    </xf>
    <xf numFmtId="0" fontId="1" fillId="15" borderId="0" xfId="14" applyFont="1" applyFill="1">
      <alignment vertical="top"/>
    </xf>
    <xf numFmtId="0" fontId="1" fillId="16" borderId="0" xfId="15" applyFont="1" applyFill="1">
      <alignment vertical="top"/>
    </xf>
    <xf numFmtId="0" fontId="1" fillId="17" borderId="0" xfId="16" applyFont="1" applyFill="1">
      <alignment vertical="top"/>
    </xf>
    <xf numFmtId="0" fontId="1" fillId="18" borderId="0" xfId="17" applyFont="1" applyFill="1">
      <alignment vertical="top"/>
    </xf>
    <xf numFmtId="0" fontId="1" fillId="19" borderId="0" xfId="18" applyFont="1" applyFill="1">
      <alignment vertical="top"/>
    </xf>
    <xf numFmtId="0" fontId="1" fillId="20" borderId="0" xfId="19" applyFont="1" applyFill="1">
      <alignment vertical="top"/>
    </xf>
    <xf numFmtId="0" fontId="1" fillId="21" borderId="0" xfId="20" applyFont="1" applyFill="1">
      <alignment vertical="top"/>
    </xf>
    <xf numFmtId="0" fontId="1" fillId="22" borderId="0" xfId="21" applyFont="1" applyFill="1">
      <alignment vertical="top"/>
    </xf>
    <xf numFmtId="0" fontId="1" fillId="23" borderId="0" xfId="22" applyFont="1" applyFill="1">
      <alignment vertical="top"/>
    </xf>
    <xf numFmtId="0" fontId="1" fillId="24" borderId="0" xfId="23" applyFont="1" applyFill="1">
      <alignment vertical="top"/>
    </xf>
    <xf numFmtId="0" fontId="1" fillId="25" borderId="0" xfId="24" applyFont="1" applyFill="1">
      <alignment vertical="top"/>
    </xf>
    <xf numFmtId="0" fontId="2" fillId="26" borderId="0" xfId="25" applyFont="1" applyFill="1">
      <alignment vertical="top"/>
    </xf>
    <xf numFmtId="0" fontId="3" fillId="27" borderId="1" xfId="26" applyFont="1" applyFill="1" applyBorder="1">
      <alignment vertical="top"/>
    </xf>
    <xf numFmtId="0" fontId="4" fillId="28" borderId="2" xfId="27" applyFont="1" applyFill="1" applyBorder="1">
      <alignment vertical="top"/>
    </xf>
    <xf numFmtId="43" fontId="5" fillId="0" borderId="0" xfId="28" applyFont="0" applyNumberFormat="1">
      <alignment vertical="top"/>
    </xf>
    <xf numFmtId="41" fontId="5" fillId="0" borderId="0" xfId="29" applyFont="0" applyNumberFormat="1">
      <alignment vertical="top"/>
    </xf>
    <xf numFmtId="44" fontId="5" fillId="0" borderId="0" xfId="30" applyFont="0" applyNumberFormat="1">
      <alignment vertical="top"/>
    </xf>
    <xf numFmtId="42" fontId="5" fillId="0" borderId="0" xfId="31" applyFont="0" applyNumberFormat="1">
      <alignment vertical="top"/>
    </xf>
    <xf numFmtId="0" fontId="6" fillId="0" borderId="0" xfId="32" applyFont="1">
      <alignment vertical="top"/>
    </xf>
    <xf numFmtId="0" fontId="7" fillId="29" borderId="0" xfId="33" applyFont="1" applyFill="1">
      <alignment vertical="top"/>
    </xf>
    <xf numFmtId="0" fontId="8" fillId="0" borderId="3" xfId="34" applyFont="1" applyBorder="1">
      <alignment vertical="top"/>
    </xf>
    <xf numFmtId="0" fontId="9" fillId="0" borderId="4" xfId="35" applyFont="1" applyBorder="1">
      <alignment vertical="top"/>
    </xf>
    <xf numFmtId="0" fontId="10" fillId="0" borderId="5" xfId="36" applyFont="1" applyBorder="1">
      <alignment vertical="top"/>
    </xf>
    <xf numFmtId="0" fontId="10" fillId="0" borderId="0" xfId="37" applyFont="1">
      <alignment vertical="top"/>
    </xf>
    <xf numFmtId="0" fontId="11" fillId="30" borderId="1" xfId="38" applyFont="1" applyFill="1" applyBorder="1">
      <alignment vertical="top"/>
    </xf>
    <xf numFmtId="0" fontId="12" fillId="0" borderId="6" xfId="39" applyFont="1" applyBorder="1">
      <alignment vertical="top"/>
    </xf>
    <xf numFmtId="0" fontId="13" fillId="31" borderId="0" xfId="40" applyFont="1" applyFill="1">
      <alignment vertical="top"/>
    </xf>
    <xf numFmtId="0" fontId="5" fillId="32" borderId="7" xfId="41" applyFont="0" applyFill="1" applyBorder="1">
      <alignment vertical="top"/>
    </xf>
    <xf numFmtId="0" fontId="14" fillId="27" borderId="8" xfId="42" applyFont="1" applyFill="1" applyBorder="1">
      <alignment vertical="top"/>
    </xf>
    <xf numFmtId="9" fontId="5" fillId="0" borderId="0" xfId="43" applyFont="0" applyNumberFormat="1">
      <alignment vertical="top"/>
    </xf>
    <xf numFmtId="0" fontId="15" fillId="0" borderId="0" xfId="44" applyFont="1">
      <alignment vertical="top"/>
    </xf>
    <xf numFmtId="0" fontId="16" fillId="0" borderId="9" xfId="45" applyFont="1" applyBorder="1">
      <alignment vertical="top"/>
    </xf>
    <xf numFmtId="0" fontId="17" fillId="0" borderId="0" xfId="46" applyFont="1">
      <alignment vertical="top"/>
    </xf>
    <xf numFmtId="0" fontId="18" fillId="0" borderId="0" xfId="47" applyFont="1"/>
    <xf numFmtId="0" fontId="19" fillId="0" borderId="10" xfId="0" applyFont="1" applyBorder="1">
      <alignment horizontal="center" vertical="center"/>
    </xf>
    <xf numFmtId="0" fontId="19" fillId="0" borderId="11" xfId="0" applyFont="1" applyBorder="1">
      <alignment horizontal="center" vertical="center"/>
    </xf>
    <xf numFmtId="0" fontId="19" fillId="0" borderId="10" xfId="0" applyFont="1" applyBorder="1">
      <alignment vertical="center"/>
    </xf>
    <xf numFmtId="171" fontId="19" fillId="7" borderId="10" xfId="0" applyFont="1" applyFill="1" applyBorder="1" applyNumberFormat="1">
      <alignment horizontal="right" vertical="center"/>
    </xf>
    <xf numFmtId="171" fontId="19" fillId="0" borderId="10" xfId="0" applyFont="1" applyBorder="1" applyNumberFormat="1">
      <alignment horizontal="right" vertical="center"/>
    </xf>
    <xf numFmtId="172" fontId="19" fillId="0" borderId="10" xfId="0" applyFont="1" applyBorder="1" applyNumberFormat="1">
      <alignment vertical="center"/>
    </xf>
    <xf numFmtId="172" fontId="19" fillId="0" borderId="11" xfId="0" applyFont="1" applyBorder="1" applyNumberFormat="1">
      <alignment vertical="center"/>
    </xf>
    <xf numFmtId="0" fontId="0" fillId="0" borderId="12" xfId="0" applyFont="1" applyBorder="1">
      <alignment vertical="center"/>
    </xf>
    <xf numFmtId="0" fontId="0" fillId="0" borderId="10" xfId="0" applyFont="1" applyBorder="1">
      <alignment vertical="center"/>
    </xf>
    <xf numFmtId="0" fontId="0" fillId="0" borderId="11" xfId="0" applyFont="1" applyBorder="1">
      <alignment vertical="center"/>
    </xf>
    <xf numFmtId="0" fontId="0" fillId="0" borderId="13" xfId="0" applyFont="1" applyBorder="1">
      <alignment vertical="center"/>
    </xf>
    <xf numFmtId="0" fontId="0" fillId="0" borderId="14" xfId="0" applyFont="1" applyBorder="1">
      <alignment vertical="center"/>
    </xf>
    <xf numFmtId="0" fontId="0" fillId="0" borderId="15" xfId="0" applyFont="1" applyBorder="1">
      <alignment vertical="center"/>
    </xf>
    <xf numFmtId="171" fontId="19" fillId="0" borderId="10" xfId="0" applyFont="1" applyBorder="1" applyNumberFormat="1">
      <alignment horizontal="right" vertical="center"/>
    </xf>
    <xf numFmtId="0" fontId="19" fillId="0" borderId="16" xfId="0" applyFont="1" applyBorder="1">
      <alignment vertical="center"/>
    </xf>
    <xf numFmtId="171" fontId="19" fillId="7" borderId="16" xfId="0" applyFont="1" applyFill="1" applyBorder="1" applyNumberFormat="1">
      <alignment horizontal="right" vertical="center"/>
    </xf>
    <xf numFmtId="172" fontId="19" fillId="0" borderId="16" xfId="0" applyFont="1" applyBorder="1" applyNumberFormat="1">
      <alignment vertical="center"/>
    </xf>
    <xf numFmtId="172" fontId="19" fillId="0" borderId="17" xfId="0" applyFont="1" applyBorder="1" applyNumberFormat="1">
      <alignment vertical="center"/>
    </xf>
    <xf numFmtId="0" fontId="19" fillId="0" borderId="0" xfId="0" applyFont="1"/>
    <xf numFmtId="0" fontId="19" fillId="0" borderId="18" xfId="0" applyFont="1" applyBorder="1"/>
    <xf numFmtId="0" fontId="19" fillId="0" borderId="18" xfId="0" applyFont="1" applyBorder="1">
      <alignment horizontal="right" vertical="center"/>
    </xf>
    <xf numFmtId="0" fontId="19" fillId="7" borderId="18" xfId="0" applyFont="1" applyFill="1" applyBorder="1">
      <alignment horizontal="left" vertical="center"/>
    </xf>
    <xf numFmtId="0" fontId="20" fillId="0" borderId="0" xfId="0" applyFont="1">
      <alignment vertical="top"/>
    </xf>
    <xf numFmtId="173" fontId="20" fillId="0" borderId="0" xfId="0" applyFont="1" applyNumberFormat="1">
      <alignment vertical="top"/>
    </xf>
    <xf numFmtId="173" fontId="0" fillId="0" borderId="0" xfId="0" applyFont="1" applyNumberFormat="1"/>
    <xf numFmtId="0" fontId="19" fillId="0" borderId="18" xfId="0" applyFont="1" applyBorder="1">
      <alignment horizontal="right" vertical="center"/>
    </xf>
    <xf numFmtId="173" fontId="19" fillId="0" borderId="18" xfId="0" applyFont="1" applyBorder="1" applyNumberFormat="1">
      <alignment horizontal="left" vertical="center"/>
    </xf>
    <xf numFmtId="0" fontId="19" fillId="0" borderId="19" xfId="0" applyFont="1" applyBorder="1">
      <alignment horizontal="center" vertical="center"/>
    </xf>
    <xf numFmtId="0" fontId="19" fillId="0" borderId="20" xfId="0" applyFont="1" applyBorder="1">
      <alignment horizontal="center" vertical="center"/>
    </xf>
    <xf numFmtId="0" fontId="19" fillId="0" borderId="21" xfId="0" applyFont="1" applyBorder="1">
      <alignment horizontal="center" vertical="center" wrapText="1"/>
    </xf>
    <xf numFmtId="0" fontId="19" fillId="0" borderId="22" xfId="0" applyFont="1" applyBorder="1">
      <alignment horizontal="center" vertical="center"/>
    </xf>
    <xf numFmtId="0" fontId="19" fillId="0" borderId="16" xfId="0" applyFont="1" applyBorder="1">
      <alignment horizontal="center" vertical="center" wrapText="1"/>
    </xf>
    <xf numFmtId="0" fontId="19" fillId="0" borderId="23" xfId="0" applyFont="1" applyBorder="1">
      <alignment horizontal="center" vertical="center"/>
    </xf>
    <xf numFmtId="0" fontId="21" fillId="0" borderId="24" xfId="0" applyFont="1" applyBorder="1">
      <alignment horizontal="center" vertical="center"/>
    </xf>
    <xf numFmtId="0" fontId="21" fillId="0" borderId="18" xfId="0" applyFont="1" applyBorder="1">
      <alignment horizontal="center" vertical="center"/>
    </xf>
    <xf numFmtId="0" fontId="21" fillId="0" borderId="25" xfId="0" applyFont="1" applyBorder="1">
      <alignment horizontal="center" vertical="center"/>
    </xf>
    <xf numFmtId="0" fontId="19" fillId="0" borderId="21" xfId="0" applyFont="1" applyBorder="1">
      <alignment horizontal="center" vertical="center"/>
    </xf>
    <xf numFmtId="0" fontId="19" fillId="0" borderId="26" xfId="0" applyFont="1" applyBorder="1">
      <alignment horizontal="center" vertical="center"/>
    </xf>
    <xf numFmtId="0" fontId="19" fillId="0" borderId="16" xfId="0" applyFont="1" applyBorder="1">
      <alignment horizontal="center" vertical="center"/>
    </xf>
    <xf numFmtId="0" fontId="19" fillId="0" borderId="27" xfId="0" applyFont="1" applyBorder="1">
      <alignment horizontal="center" vertical="center"/>
    </xf>
    <xf numFmtId="0" fontId="19" fillId="0" borderId="28" xfId="0" applyFont="1" applyBorder="1">
      <alignment horizontal="center" vertical="center"/>
    </xf>
    <xf numFmtId="0" fontId="19" fillId="0" borderId="29" xfId="0" applyFont="1" applyBorder="1">
      <alignment horizontal="right" vertical="center"/>
    </xf>
    <xf numFmtId="0" fontId="19" fillId="0" borderId="30" xfId="0" applyFont="1" applyBorder="1">
      <alignment horizontal="right" vertical="center"/>
    </xf>
    <xf numFmtId="2" fontId="22" fillId="0" borderId="29" xfId="47" applyFont="1" applyBorder="1" applyNumberFormat="1">
      <alignment horizontal="left" vertical="center"/>
    </xf>
    <xf numFmtId="0" fontId="19" fillId="0" borderId="31" xfId="0" applyFont="1" applyBorder="1">
      <alignment horizontal="left" vertical="center"/>
    </xf>
    <xf numFmtId="0" fontId="19" fillId="0" borderId="29" xfId="0" applyFont="1" applyBorder="1">
      <alignment horizontal="left" vertical="center"/>
    </xf>
    <xf numFmtId="0" fontId="0" fillId="0" borderId="0" xfId="0" applyFont="1">
      <alignment wrapText="1"/>
    </xf>
    <xf numFmtId="0" fontId="0" fillId="0" borderId="0" xfId="0" applyFont="1">
      <alignment wrapText="1"/>
    </xf>
    <xf numFmtId="0" fontId="21" fillId="0" borderId="24" xfId="0" applyFont="1" applyBorder="1">
      <alignment horizontal="center" vertical="center" wrapText="1"/>
    </xf>
    <xf numFmtId="0" fontId="21" fillId="0" borderId="18" xfId="0" applyFont="1" applyBorder="1">
      <alignment horizontal="center" vertical="center" wrapText="1"/>
    </xf>
    <xf numFmtId="0" fontId="21" fillId="0" borderId="25" xfId="0" applyFont="1" applyBorder="1">
      <alignment horizontal="center" vertical="center" wrapText="1"/>
    </xf>
    <xf numFmtId="0" fontId="19" fillId="0" borderId="31" xfId="0" applyFont="1" applyBorder="1">
      <alignment horizontal="left" vertical="center" wrapText="1"/>
    </xf>
    <xf numFmtId="0" fontId="19" fillId="0" borderId="29" xfId="0" applyFont="1" applyBorder="1">
      <alignment horizontal="left" vertical="center" wrapText="1"/>
    </xf>
    <xf numFmtId="0" fontId="19" fillId="0" borderId="29" xfId="0" applyFont="1" applyBorder="1">
      <alignment horizontal="right" vertical="center" wrapText="1"/>
    </xf>
    <xf numFmtId="2" fontId="22" fillId="0" borderId="29" xfId="0" applyFont="1" applyBorder="1" applyNumberFormat="1">
      <alignment horizontal="left" vertical="center" wrapText="1"/>
    </xf>
    <xf numFmtId="0" fontId="19" fillId="0" borderId="30" xfId="0" applyFont="1" applyBorder="1">
      <alignment horizontal="right" vertical="center" wrapText="1"/>
    </xf>
    <xf numFmtId="0" fontId="19" fillId="0" borderId="21" xfId="0" applyFont="1" applyBorder="1">
      <alignment horizontal="center" vertical="center" wrapText="1"/>
    </xf>
    <xf numFmtId="0" fontId="19" fillId="0" borderId="16" xfId="0" applyFont="1" applyBorder="1">
      <alignment horizontal="center" vertical="center" wrapText="1"/>
    </xf>
    <xf numFmtId="0" fontId="19" fillId="0" borderId="19" xfId="0" applyFont="1" applyBorder="1">
      <alignment horizontal="center" vertical="center" wrapText="1"/>
    </xf>
    <xf numFmtId="0" fontId="19" fillId="0" borderId="28" xfId="0" applyFont="1" applyBorder="1">
      <alignment horizontal="center" vertical="center" wrapText="1"/>
    </xf>
    <xf numFmtId="0" fontId="19" fillId="0" borderId="20" xfId="0" applyFont="1" applyBorder="1">
      <alignment horizontal="center" vertical="center" wrapText="1"/>
    </xf>
    <xf numFmtId="0" fontId="19" fillId="0" borderId="26" xfId="0" applyFont="1" applyBorder="1">
      <alignment horizontal="center" vertical="center" wrapText="1"/>
    </xf>
    <xf numFmtId="0" fontId="19" fillId="0" borderId="27" xfId="0" applyFont="1" applyBorder="1">
      <alignment horizontal="center" vertical="center" wrapText="1"/>
    </xf>
    <xf numFmtId="0" fontId="19" fillId="0" borderId="10" xfId="0" applyFont="1" applyBorder="1">
      <alignment horizontal="center" vertical="center" wrapText="1"/>
    </xf>
    <xf numFmtId="0" fontId="19" fillId="0" borderId="11" xfId="0" applyFont="1" applyBorder="1">
      <alignment horizontal="center" vertical="center" wrapText="1"/>
    </xf>
    <xf numFmtId="0" fontId="19" fillId="0" borderId="21" xfId="0" applyFont="1" applyBorder="1">
      <alignment horizontal="center" vertical="center" wrapText="1"/>
    </xf>
    <xf numFmtId="0" fontId="19" fillId="0" borderId="10" xfId="0" applyFont="1" applyBorder="1">
      <alignment vertical="center" wrapText="1"/>
    </xf>
    <xf numFmtId="171" fontId="19" fillId="7" borderId="10" xfId="0" applyFont="1" applyFill="1" applyBorder="1" applyNumberFormat="1">
      <alignment horizontal="right" vertical="center" wrapText="1"/>
    </xf>
    <xf numFmtId="171" fontId="19" fillId="0" borderId="10" xfId="0" applyFont="1" applyBorder="1" applyNumberFormat="1">
      <alignment horizontal="right" vertical="center" wrapText="1"/>
    </xf>
    <xf numFmtId="0" fontId="19" fillId="0" borderId="16" xfId="0" applyFont="1" applyBorder="1">
      <alignment horizontal="center" vertical="center" wrapText="1"/>
    </xf>
    <xf numFmtId="171" fontId="19" fillId="0" borderId="10" xfId="0" applyFont="1" applyBorder="1" applyNumberFormat="1">
      <alignment horizontal="right" vertical="center" wrapText="1"/>
    </xf>
    <xf numFmtId="0" fontId="19" fillId="0" borderId="22" xfId="0" applyFont="1" applyBorder="1">
      <alignment horizontal="center" vertical="center" wrapText="1"/>
    </xf>
    <xf numFmtId="0" fontId="19" fillId="0" borderId="23" xfId="0" applyFont="1" applyBorder="1">
      <alignment horizontal="center" vertical="center" wrapText="1"/>
    </xf>
    <xf numFmtId="172" fontId="19" fillId="0" borderId="10" xfId="0" applyFont="1" applyBorder="1" applyNumberFormat="1">
      <alignment vertical="center" wrapText="1"/>
    </xf>
    <xf numFmtId="172" fontId="19" fillId="0" borderId="11" xfId="0" applyFont="1" applyBorder="1" applyNumberFormat="1">
      <alignment vertical="center" wrapText="1"/>
    </xf>
    <xf numFmtId="0" fontId="19" fillId="0" borderId="16" xfId="0" applyFont="1" applyBorder="1">
      <alignment vertical="center" wrapText="1"/>
    </xf>
    <xf numFmtId="171" fontId="19" fillId="7" borderId="16" xfId="0" applyFont="1" applyFill="1" applyBorder="1" applyNumberFormat="1">
      <alignment horizontal="right" vertical="center" wrapText="1"/>
    </xf>
    <xf numFmtId="172" fontId="19" fillId="0" borderId="16" xfId="0" applyFont="1" applyBorder="1" applyNumberFormat="1">
      <alignment vertical="center" wrapText="1"/>
    </xf>
    <xf numFmtId="172" fontId="19" fillId="0" borderId="17" xfId="0" applyFont="1" applyBorder="1" applyNumberFormat="1">
      <alignment vertical="center" wrapText="1"/>
    </xf>
    <xf numFmtId="0" fontId="0" fillId="0" borderId="12" xfId="0" applyFont="1" applyBorder="1">
      <alignment vertical="center" wrapText="1"/>
    </xf>
    <xf numFmtId="0" fontId="0" fillId="0" borderId="10" xfId="0" applyFont="1" applyBorder="1">
      <alignment vertical="center" wrapText="1"/>
    </xf>
    <xf numFmtId="0" fontId="0" fillId="0" borderId="11" xfId="0" applyFont="1" applyBorder="1">
      <alignment vertical="center" wrapText="1"/>
    </xf>
    <xf numFmtId="0" fontId="0" fillId="0" borderId="13" xfId="0" applyFont="1" applyBorder="1">
      <alignment vertical="center" wrapText="1"/>
    </xf>
    <xf numFmtId="0" fontId="0" fillId="0" borderId="14" xfId="0" applyFont="1" applyBorder="1">
      <alignment vertical="center" wrapText="1"/>
    </xf>
    <xf numFmtId="0" fontId="0" fillId="0" borderId="15" xfId="0" applyFont="1" applyBorder="1">
      <alignment vertical="center" wrapText="1"/>
    </xf>
    <xf numFmtId="0" fontId="0" fillId="0" borderId="0" xfId="0" applyFont="1"/>
    <xf numFmtId="0" fontId="19" fillId="0" borderId="18" xfId="0" applyFont="1" applyBorder="1">
      <alignment wrapText="1"/>
    </xf>
    <xf numFmtId="0" fontId="19" fillId="0" borderId="18" xfId="0" applyFont="1" applyBorder="1">
      <alignment horizontal="right" vertical="center" wrapText="1"/>
    </xf>
    <xf numFmtId="0" fontId="19" fillId="7" borderId="18" xfId="0" applyFont="1" applyFill="1" applyBorder="1">
      <alignment horizontal="left" vertical="center" wrapText="1"/>
      <protection locked="0"/>
    </xf>
    <xf numFmtId="0" fontId="19" fillId="0" borderId="0" xfId="0" applyFont="1">
      <alignment wrapText="1"/>
    </xf>
    <xf numFmtId="0" fontId="19" fillId="0" borderId="18" xfId="0" applyFont="1" applyBorder="1">
      <alignment horizontal="right" vertical="center" wrapText="1"/>
    </xf>
    <xf numFmtId="173" fontId="19" fillId="0" borderId="18" xfId="0" applyFont="1" applyBorder="1" applyNumberFormat="1">
      <alignment horizontal="left" vertical="center" wrapText="1"/>
    </xf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>
      <alignment wrapText="1"/>
    </xf>
    <xf numFmtId="0" fontId="20" fillId="0" borderId="0" xfId="0" applyFont="1">
      <alignment vertical="top" wrapText="1"/>
    </xf>
    <xf numFmtId="173" fontId="20" fillId="0" borderId="0" xfId="0" applyFont="1" applyNumberFormat="1">
      <alignment vertical="top" wrapText="1"/>
    </xf>
    <xf numFmtId="173" fontId="0" fillId="0" borderId="0" xfId="0" applyFont="1" applyNumberFormat="1">
      <alignment wrapText="1"/>
    </xf>
    <xf numFmtId="0" fontId="0" fillId="0" borderId="0" xfId="0" applyFont="1">
      <alignment wrapText="1"/>
    </xf>
    <xf numFmtId="0" fontId="0" fillId="0" borderId="0" xfId="0" applyFont="1">
      <alignment wrapText="1"/>
    </xf>
  </cellXfs>
  <cellStyles count="48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Comma" xfId="28" builtinId="3"/>
    <cellStyle name="Comma [0]" xfId="29" builtinId="6"/>
    <cellStyle name="Currency" xfId="30" builtinId="4"/>
    <cellStyle name="Currency [0]" xfId="31" builtinId="7"/>
    <cellStyle name="Explanatory Text" xfId="32" builtinId="53"/>
    <cellStyle name="Good" xfId="33" builtinId="26"/>
    <cellStyle name="Heading 1" xfId="34" builtinId="16"/>
    <cellStyle name="Heading 2" xfId="35" builtinId="17"/>
    <cellStyle name="Heading 3" xfId="36" builtinId="18"/>
    <cellStyle name="Heading 4" xfId="37" builtinId="19"/>
    <cellStyle name="Input" xfId="38" builtinId="20"/>
    <cellStyle name="Linked Cell" xfId="39" builtinId="24"/>
    <cellStyle name="Neutral" xfId="40" builtinId="28"/>
    <cellStyle name="Note" xfId="41" builtinId="10"/>
    <cellStyle name="Output" xfId="42" builtinId="21"/>
    <cellStyle name="Percent" xfId="43" builtinId="5"/>
    <cellStyle name="Title" xfId="44" builtinId="15"/>
    <cellStyle name="Total" xfId="45" builtinId="25"/>
    <cellStyle name="Warning Text" xfId="46" builtinId="11"/>
    <cellStyle name="常规 2" xfId="47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dr="http://schemas.openxmlformats.org/drawingml/2006/spreadsheetDrawing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EFBB2FD8-5D28-1B48-1148-8E5AEA99DBB8}" mc:Ignorable="x14ac xr xr2 xr3">
  <sheetPr>
    <pageSetUpPr fitToPage="1"/>
  </sheetPr>
  <dimension ref="A1:Q30"/>
  <sheetViews>
    <sheetView defaultGridColor="0" colorId="31" topLeftCell="A1" showGridLines="0" workbookViewId="0" tabSelected="1">
      <pane ySplit="5" topLeftCell="A6" activePane="bottomLeft" state="frozen"/>
      <selection pane="bottomLeft" activeCell="A1" sqref="A1"/>
    </sheetView>
  </sheetViews>
  <sheetFormatPr customHeight="1" defaultRowHeight="14.100000000000001"/>
  <cols>
    <col min="1" max="1" style="140" width="2.7109375" customWidth="1"/>
    <col min="3" max="3" style="141" width="20.57421875" customWidth="1"/>
    <col min="4" max="4" style="142" width="10.57421875" customWidth="1"/>
    <col min="5" max="5" style="143" width="10.57421875" customWidth="1"/>
    <col min="6" max="6" style="144" width="10.57421875" customWidth="1"/>
    <col min="7" max="7" style="145" width="10.57421875" customWidth="1"/>
    <col min="8" max="8" style="146" width="10.57421875" customWidth="1"/>
    <col min="9" max="9" style="147" width="10.57421875" customWidth="1"/>
    <col min="11" max="11" style="148" width="20.57421875" customWidth="1"/>
    <col min="12" max="12" style="149" width="10.57421875" customWidth="1"/>
    <col min="13" max="13" style="150" width="10.57421875" customWidth="1"/>
    <col min="14" max="14" style="151" width="10.57421875" customWidth="1"/>
    <col min="15" max="15" style="152" width="10.57421875" customWidth="1"/>
    <col min="16" max="16" style="153" width="10.57421875" customWidth="1"/>
    <col min="17" max="17" style="154" width="10.57421875" customWidth="1"/>
  </cols>
  <sheetData>
    <row customHeight="1" ht="2.25">
      <c r="A1" s="94"/>
      <c r="B1" s="95"/>
      <c r="C1" s="94"/>
      <c r="D1" s="94"/>
      <c r="E1" s="94"/>
      <c r="F1" s="94"/>
      <c r="G1" s="94"/>
      <c r="H1" s="94"/>
      <c r="I1" s="94"/>
      <c r="J1" s="95"/>
      <c r="K1" s="94"/>
      <c r="L1" s="94"/>
      <c r="M1" s="94"/>
      <c r="N1" s="94"/>
      <c r="O1" s="94"/>
      <c r="P1" s="94"/>
      <c r="Q1" s="94"/>
    </row>
    <row customHeight="1" ht="27.75">
      <c r="A2" s="94"/>
      <c r="B2" s="96" t="s">
        <v>0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8"/>
    </row>
    <row customHeight="1" ht="20.25">
      <c r="A3" s="94"/>
      <c r="B3" s="99" t="s">
        <v>1</v>
      </c>
      <c r="C3" s="100"/>
      <c r="D3" s="100"/>
      <c r="E3" s="100"/>
      <c r="F3" s="101" t="s">
        <v>2</v>
      </c>
      <c r="G3" s="101"/>
      <c r="H3" s="101"/>
      <c r="I3" s="102" t="s">
        <v>3</v>
      </c>
      <c r="J3" s="102"/>
      <c r="K3" s="102"/>
      <c r="L3" s="101" t="s">
        <v>4</v>
      </c>
      <c r="M3" s="101"/>
      <c r="N3" s="101"/>
      <c r="O3" s="101"/>
      <c r="P3" s="101"/>
      <c r="Q3" s="103"/>
    </row>
    <row customHeight="1" ht="20.25">
      <c r="A4" s="94"/>
      <c r="B4" s="104" t="s">
        <v>5</v>
      </c>
      <c r="C4" s="105" t="s">
        <v>6</v>
      </c>
      <c r="D4" s="106" t="s">
        <v>7</v>
      </c>
      <c r="E4" s="107"/>
      <c r="F4" s="106" t="s">
        <v>8</v>
      </c>
      <c r="G4" s="107"/>
      <c r="H4" s="106" t="s">
        <v>9</v>
      </c>
      <c r="I4" s="107"/>
      <c r="J4" s="105" t="s">
        <v>5</v>
      </c>
      <c r="K4" s="105" t="s">
        <v>6</v>
      </c>
      <c r="L4" s="106" t="s">
        <v>7</v>
      </c>
      <c r="M4" s="107"/>
      <c r="N4" s="106" t="s">
        <v>8</v>
      </c>
      <c r="O4" s="107"/>
      <c r="P4" s="106" t="s">
        <v>9</v>
      </c>
      <c r="Q4" s="108"/>
    </row>
    <row customHeight="1" ht="20.25">
      <c r="A5" s="94"/>
      <c r="B5" s="109"/>
      <c r="C5" s="110"/>
      <c r="D5" s="111" t="s">
        <v>10</v>
      </c>
      <c r="E5" s="111" t="s">
        <v>11</v>
      </c>
      <c r="F5" s="111" t="s">
        <v>10</v>
      </c>
      <c r="G5" s="111" t="s">
        <v>12</v>
      </c>
      <c r="H5" s="111" t="s">
        <v>13</v>
      </c>
      <c r="I5" s="111" t="s">
        <v>14</v>
      </c>
      <c r="J5" s="110"/>
      <c r="K5" s="110"/>
      <c r="L5" s="111" t="s">
        <v>10</v>
      </c>
      <c r="M5" s="111" t="s">
        <v>11</v>
      </c>
      <c r="N5" s="111" t="s">
        <v>10</v>
      </c>
      <c r="O5" s="111" t="s">
        <v>12</v>
      </c>
      <c r="P5" s="111" t="s">
        <v>13</v>
      </c>
      <c r="Q5" s="112" t="s">
        <v>14</v>
      </c>
    </row>
    <row customHeight="1" ht="20.25">
      <c r="A6" s="94"/>
      <c r="B6" s="77" t="s">
        <v>15</v>
      </c>
      <c r="C6" s="114" t="s">
        <v>16</v>
      </c>
      <c r="D6" s="115">
        <f>_xlfn.IFERROR(SUM(D7:D8),"")</f>
        <v>13281</v>
      </c>
      <c r="E6" s="116">
        <f>_xlfn.IFERROR(SUM(D6,取值!E6),"")</f>
        <v>141630</v>
      </c>
      <c r="F6" s="111" t="s">
        <v>17</v>
      </c>
      <c r="G6" s="111" t="s">
        <v>17</v>
      </c>
      <c r="H6" s="116">
        <f>取值!H6</f>
        <v>13103</v>
      </c>
      <c r="I6" s="111" t="s">
        <v>17</v>
      </c>
      <c r="J6" s="79" t="s">
        <v>18</v>
      </c>
      <c r="K6" s="114" t="s">
        <v>16</v>
      </c>
      <c r="L6" s="115">
        <f>_xlfn.IFERROR(SUM(L7,L8),"")</f>
        <v>30590</v>
      </c>
      <c r="M6" s="118">
        <f>_xlfn.IFERROR(SUM(L6,取值!M5),"")</f>
        <v>223858</v>
      </c>
      <c r="N6" s="111" t="s">
        <v>17</v>
      </c>
      <c r="O6" s="111" t="s">
        <v>17</v>
      </c>
      <c r="P6" s="118">
        <f>取值!P5</f>
        <v>0</v>
      </c>
      <c r="Q6" s="112" t="s">
        <v>17</v>
      </c>
    </row>
    <row customHeight="1" ht="20.25">
      <c r="A7" s="94"/>
      <c r="B7" s="119"/>
      <c r="C7" s="114" t="s">
        <v>19</v>
      </c>
      <c r="D7" s="115">
        <f>取值!D7</f>
        <v>10450</v>
      </c>
      <c r="E7" s="118">
        <f>_xlfn.IFERROR(SUM(D7,取值!E7),"")</f>
        <v>113631</v>
      </c>
      <c r="F7" s="111" t="s">
        <v>17</v>
      </c>
      <c r="G7" s="111" t="s">
        <v>17</v>
      </c>
      <c r="H7" s="118">
        <f>取值!H7</f>
        <v>10204</v>
      </c>
      <c r="I7" s="111" t="s">
        <v>17</v>
      </c>
      <c r="J7" s="120"/>
      <c r="K7" s="114" t="s">
        <v>20</v>
      </c>
      <c r="L7" s="115">
        <f>取值!L5</f>
        <v>30528</v>
      </c>
      <c r="M7" s="118">
        <f>_xlfn.IFERROR(SUM(L7,取值!M6),"")</f>
        <v>223400</v>
      </c>
      <c r="N7" s="111" t="s">
        <v>17</v>
      </c>
      <c r="O7" s="111" t="s">
        <v>17</v>
      </c>
      <c r="P7" s="118">
        <f>取值!P6</f>
        <v>0</v>
      </c>
      <c r="Q7" s="112" t="s">
        <v>17</v>
      </c>
    </row>
    <row customHeight="1" ht="20.25">
      <c r="A8" s="94"/>
      <c r="B8" s="119"/>
      <c r="C8" s="114" t="s">
        <v>21</v>
      </c>
      <c r="D8" s="115">
        <f>取值!D8</f>
        <v>2831</v>
      </c>
      <c r="E8" s="118">
        <f>_xlfn.IFERROR(SUM(D8,取值!E8),"")</f>
        <v>27999</v>
      </c>
      <c r="F8" s="111" t="s">
        <v>17</v>
      </c>
      <c r="G8" s="111" t="s">
        <v>17</v>
      </c>
      <c r="H8" s="118">
        <f>取值!H8</f>
        <v>2899</v>
      </c>
      <c r="I8" s="111" t="s">
        <v>17</v>
      </c>
      <c r="J8" s="120"/>
      <c r="K8" s="114" t="s">
        <v>22</v>
      </c>
      <c r="L8" s="115">
        <f>取值!L6</f>
        <v>62</v>
      </c>
      <c r="M8" s="118">
        <f>_xlfn.IFERROR(SUM(L8,取值!M7),"")</f>
        <v>458</v>
      </c>
      <c r="N8" s="111" t="s">
        <v>17</v>
      </c>
      <c r="O8" s="111" t="s">
        <v>17</v>
      </c>
      <c r="P8" s="118">
        <f>取值!P7</f>
        <v>0</v>
      </c>
      <c r="Q8" s="112" t="s">
        <v>17</v>
      </c>
    </row>
    <row customHeight="1" ht="20.25">
      <c r="A9" s="94"/>
      <c r="B9" s="119"/>
      <c r="C9" s="114" t="s">
        <v>23</v>
      </c>
      <c r="D9" s="115">
        <f>取值!D9</f>
        <v>5091</v>
      </c>
      <c r="E9" s="118">
        <f>_xlfn.IFERROR(SUM(D9,取值!E9),"")</f>
        <v>52640</v>
      </c>
      <c r="F9" s="121">
        <f>_xlfn.IFERROR(D9/D6*100,0)</f>
        <v>38.3329568556585</v>
      </c>
      <c r="G9" s="121">
        <f>_xlfn.IFERROR(E9/E6*100,0)</f>
        <v>37.167266822001</v>
      </c>
      <c r="H9" s="118">
        <f>取值!H9</f>
        <v>5494</v>
      </c>
      <c r="I9" s="121">
        <f>_xlfn.IFERROR(H9/H6*100,0)</f>
        <v>41.9293291612608</v>
      </c>
      <c r="J9" s="120"/>
      <c r="K9" s="114" t="s">
        <v>24</v>
      </c>
      <c r="L9" s="115">
        <f>取值!L7</f>
        <v>0</v>
      </c>
      <c r="M9" s="118">
        <f>_xlfn.IFERROR(SUM(L9,取值!M8),"")</f>
        <v>0</v>
      </c>
      <c r="N9" s="121">
        <f>_xlfn.IFERROR(L9/L6*100,0)</f>
        <v>0</v>
      </c>
      <c r="O9" s="121">
        <f>_xlfn.IFERROR(M9/M6*100,0)</f>
        <v>0</v>
      </c>
      <c r="P9" s="118">
        <f>取值!P8</f>
        <v>0</v>
      </c>
      <c r="Q9" s="122">
        <f>_xlfn.IFERROR(P9/P6*100,0)</f>
        <v>0</v>
      </c>
    </row>
    <row customHeight="1" ht="20.25">
      <c r="A10" s="94"/>
      <c r="B10" s="119"/>
      <c r="C10" s="114" t="s">
        <v>25</v>
      </c>
      <c r="D10" s="115">
        <f>取值!D10</f>
        <v>7389</v>
      </c>
      <c r="E10" s="118">
        <f>_xlfn.IFERROR(SUM(D10,取值!E10),"")</f>
        <v>84872</v>
      </c>
      <c r="F10" s="121">
        <f>_xlfn.IFERROR(D10/D6*100,0)</f>
        <v>55.635870792862</v>
      </c>
      <c r="G10" s="121">
        <f>_xlfn.IFERROR(E10/E6*100,0)</f>
        <v>59.9251570994846</v>
      </c>
      <c r="H10" s="118">
        <f>取值!H10</f>
        <v>7385</v>
      </c>
      <c r="I10" s="121">
        <f>_xlfn.IFERROR(H10/H6*100,0)</f>
        <v>56.3611386705335</v>
      </c>
      <c r="J10" s="120"/>
      <c r="K10" s="114" t="s">
        <v>26</v>
      </c>
      <c r="L10" s="115">
        <f>取值!L8</f>
        <v>669</v>
      </c>
      <c r="M10" s="118">
        <f>_xlfn.IFERROR(SUM(L10,取值!M9),"")</f>
        <v>4472</v>
      </c>
      <c r="N10" s="121">
        <f>_xlfn.IFERROR(L10/L6*100,0)</f>
        <v>2.18698921216084</v>
      </c>
      <c r="O10" s="121">
        <f>_xlfn.IFERROR(M10/M6*100,0)</f>
        <v>1.99769496734537</v>
      </c>
      <c r="P10" s="118">
        <f>取值!P9</f>
        <v>0</v>
      </c>
      <c r="Q10" s="122">
        <f>_xlfn.IFERROR(P10/P6*100,0)</f>
        <v>0</v>
      </c>
    </row>
    <row customHeight="1" ht="20.25">
      <c r="A11" s="94"/>
      <c r="B11" s="119"/>
      <c r="C11" s="114" t="s">
        <v>27</v>
      </c>
      <c r="D11" s="115">
        <f>取值!D11</f>
        <v>0</v>
      </c>
      <c r="E11" s="118">
        <f>_xlfn.IFERROR(SUM(D11,取值!E11),"")</f>
        <v>0</v>
      </c>
      <c r="F11" s="121">
        <f>_xlfn.IFERROR(D11/D6*100,0)</f>
        <v>0</v>
      </c>
      <c r="G11" s="121">
        <f>_xlfn.IFERROR(E11/E6*100,0)</f>
        <v>0</v>
      </c>
      <c r="H11" s="118">
        <f>取值!H11</f>
        <v>0</v>
      </c>
      <c r="I11" s="121">
        <f>_xlfn.IFERROR(H11/H6*100,0)</f>
        <v>0</v>
      </c>
      <c r="J11" s="120"/>
      <c r="K11" s="114" t="s">
        <v>28</v>
      </c>
      <c r="L11" s="115">
        <f>取值!L9</f>
        <v>0</v>
      </c>
      <c r="M11" s="118">
        <f>_xlfn.IFERROR(SUM(L11,取值!M10),"")</f>
        <v>0</v>
      </c>
      <c r="N11" s="121">
        <f>_xlfn.IFERROR(L11/L6*100,0)</f>
        <v>0</v>
      </c>
      <c r="O11" s="121">
        <f>_xlfn.IFERROR(M11/M6*100,0)</f>
        <v>0</v>
      </c>
      <c r="P11" s="118">
        <f>取值!P10</f>
        <v>0</v>
      </c>
      <c r="Q11" s="122">
        <f>_xlfn.IFERROR(P11/P6*100,0)</f>
        <v>0</v>
      </c>
    </row>
    <row customHeight="1" ht="20.25">
      <c r="A12" s="94"/>
      <c r="B12" s="119"/>
      <c r="C12" s="114" t="s">
        <v>29</v>
      </c>
      <c r="D12" s="115">
        <f>取值!D12</f>
        <v>191</v>
      </c>
      <c r="E12" s="118">
        <f>_xlfn.IFERROR(SUM(D12,取值!E12),"")</f>
        <v>1109</v>
      </c>
      <c r="F12" s="121">
        <f>_xlfn.IFERROR(D12/D6*100,0)</f>
        <v>1.43814471801822</v>
      </c>
      <c r="G12" s="121">
        <f>_xlfn.IFERROR(E12/E6*100,0)</f>
        <v>0.78302619501518</v>
      </c>
      <c r="H12" s="118">
        <f>取值!H12</f>
        <v>90</v>
      </c>
      <c r="I12" s="121">
        <f>_xlfn.IFERROR(H12/H6*100,0)</f>
        <v>0.686865603296955</v>
      </c>
      <c r="J12" s="120"/>
      <c r="K12" s="114" t="s">
        <v>30</v>
      </c>
      <c r="L12" s="115">
        <f>取值!L10</f>
        <v>0</v>
      </c>
      <c r="M12" s="118">
        <f>_xlfn.IFERROR(SUM(L12,取值!M11),"")</f>
        <v>0</v>
      </c>
      <c r="N12" s="121">
        <f>_xlfn.IFERROR(L12/L6*100,0)</f>
        <v>0</v>
      </c>
      <c r="O12" s="121">
        <f>_xlfn.IFERROR(M12/M6*100,0)</f>
        <v>0</v>
      </c>
      <c r="P12" s="118">
        <f>取值!P11</f>
        <v>0</v>
      </c>
      <c r="Q12" s="122">
        <f>_xlfn.IFERROR(P12/P6*100,0)</f>
        <v>0</v>
      </c>
    </row>
    <row customHeight="1" ht="20.25">
      <c r="A13" s="94"/>
      <c r="B13" s="119"/>
      <c r="C13" s="114" t="s">
        <v>31</v>
      </c>
      <c r="D13" s="115">
        <f>取值!D13</f>
        <v>18</v>
      </c>
      <c r="E13" s="118">
        <f>_xlfn.IFERROR(SUM(D13,取值!E13),"")</f>
        <v>158</v>
      </c>
      <c r="F13" s="121">
        <f>_xlfn.IFERROR(D13/D6*100,0)</f>
        <v>0.135531962954597</v>
      </c>
      <c r="G13" s="121">
        <f>_xlfn.IFERROR(E13/E6*100,0)</f>
        <v>0.111558285673939</v>
      </c>
      <c r="H13" s="118">
        <f>取值!H13</f>
        <v>10</v>
      </c>
      <c r="I13" s="121">
        <f>_xlfn.IFERROR(H13/H6*100,0)</f>
        <v>0.0763184003663283</v>
      </c>
      <c r="J13" s="120"/>
      <c r="K13" s="114" t="s">
        <v>32</v>
      </c>
      <c r="L13" s="115">
        <f>取值!L11</f>
        <v>0</v>
      </c>
      <c r="M13" s="118">
        <f>_xlfn.IFERROR(SUM(L13,取值!M12),"")</f>
        <v>0</v>
      </c>
      <c r="N13" s="121">
        <f>_xlfn.IFERROR(L13/L6*100,0)</f>
        <v>0</v>
      </c>
      <c r="O13" s="121">
        <f>_xlfn.IFERROR(M13/M6*100,0)</f>
        <v>0</v>
      </c>
      <c r="P13" s="118">
        <f>取值!P12</f>
        <v>0</v>
      </c>
      <c r="Q13" s="122">
        <f>_xlfn.IFERROR(P13/P6*100,0)</f>
        <v>0</v>
      </c>
    </row>
    <row customHeight="1" ht="20.25">
      <c r="A14" s="94"/>
      <c r="B14" s="119"/>
      <c r="C14" s="114" t="s">
        <v>33</v>
      </c>
      <c r="D14" s="115">
        <f>_xlfn.IFERROR(D6-SUM(D9:D13),"")</f>
        <v>592</v>
      </c>
      <c r="E14" s="118">
        <f>_xlfn.IFERROR(SUM(D14,取值!E14),"")</f>
        <v>2851</v>
      </c>
      <c r="F14" s="121">
        <f>_xlfn.IFERROR(D14/D6*100,0)</f>
        <v>4.45749567050674</v>
      </c>
      <c r="G14" s="121">
        <f>_xlfn.IFERROR(E14/E6*100,0)</f>
        <v>2.01299159782532</v>
      </c>
      <c r="H14" s="118">
        <f>取值!H14</f>
        <v>124</v>
      </c>
      <c r="I14" s="121">
        <f>_xlfn.IFERROR(H14/H6*100,0)</f>
        <v>0.946348164542471</v>
      </c>
      <c r="J14" s="120"/>
      <c r="K14" s="114" t="s">
        <v>34</v>
      </c>
      <c r="L14" s="115">
        <f>取值!L12</f>
        <v>29765</v>
      </c>
      <c r="M14" s="118">
        <f>_xlfn.IFERROR(SUM(L14,取值!M13),"")</f>
        <v>218258</v>
      </c>
      <c r="N14" s="121">
        <f>_xlfn.IFERROR(L14/L6*100,0)</f>
        <v>97.3030402092187</v>
      </c>
      <c r="O14" s="121">
        <f>_xlfn.IFERROR(M14/M6*100,0)</f>
        <v>97.4984141732705</v>
      </c>
      <c r="P14" s="118">
        <f>取值!P13</f>
        <v>0</v>
      </c>
      <c r="Q14" s="122">
        <f>_xlfn.IFERROR(P14/P6*100,0)</f>
        <v>0</v>
      </c>
    </row>
    <row customHeight="1" ht="20.25">
      <c r="A15" s="94"/>
      <c r="B15" s="119"/>
      <c r="C15" s="123" t="s">
        <v>35</v>
      </c>
      <c r="D15" s="123" t="s">
        <v>35</v>
      </c>
      <c r="E15" s="123" t="s">
        <v>35</v>
      </c>
      <c r="F15" s="123" t="s">
        <v>35</v>
      </c>
      <c r="G15" s="123" t="s">
        <v>35</v>
      </c>
      <c r="H15" s="123" t="s">
        <v>35</v>
      </c>
      <c r="I15" s="123" t="s">
        <v>35</v>
      </c>
      <c r="J15" s="120"/>
      <c r="K15" s="123" t="s">
        <v>33</v>
      </c>
      <c r="L15" s="124">
        <f>_xlfn.IFERROR(L6-SUM(L9:L14),"")</f>
        <v>156</v>
      </c>
      <c r="M15" s="118">
        <f>_xlfn.IFERROR(SUM(L15,取值!M14),"")</f>
        <v>1128</v>
      </c>
      <c r="N15" s="125">
        <f>_xlfn.IFERROR(L15/L6*100,0)</f>
        <v>0.509970578620464</v>
      </c>
      <c r="O15" s="125">
        <f>_xlfn.IFERROR(M15/M6*100,0)</f>
        <v>0.503890859384074</v>
      </c>
      <c r="P15" s="118">
        <f>取值!P14</f>
        <v>0</v>
      </c>
      <c r="Q15" s="126">
        <f>_xlfn.IFERROR(P15/P6*100,0)</f>
        <v>0</v>
      </c>
    </row>
    <row customHeight="1" ht="20.25">
      <c r="A16" s="94"/>
      <c r="B16" s="127" t="s">
        <v>35</v>
      </c>
      <c r="C16" s="128" t="s">
        <v>35</v>
      </c>
      <c r="D16" s="128" t="s">
        <v>35</v>
      </c>
      <c r="E16" s="128" t="s">
        <v>35</v>
      </c>
      <c r="F16" s="128" t="s">
        <v>35</v>
      </c>
      <c r="G16" s="128" t="s">
        <v>35</v>
      </c>
      <c r="H16" s="128" t="s">
        <v>35</v>
      </c>
      <c r="I16" s="128" t="s">
        <v>35</v>
      </c>
      <c r="J16" s="128" t="s">
        <v>35</v>
      </c>
      <c r="K16" s="128" t="s">
        <v>35</v>
      </c>
      <c r="L16" s="128" t="s">
        <v>35</v>
      </c>
      <c r="M16" s="128" t="s">
        <v>35</v>
      </c>
      <c r="N16" s="128" t="s">
        <v>35</v>
      </c>
      <c r="O16" s="128" t="s">
        <v>35</v>
      </c>
      <c r="P16" s="128" t="s">
        <v>35</v>
      </c>
      <c r="Q16" s="129" t="s">
        <v>35</v>
      </c>
    </row>
    <row customHeight="1" ht="20.25">
      <c r="A17" s="94"/>
      <c r="B17" s="127" t="s">
        <v>35</v>
      </c>
      <c r="C17" s="128" t="s">
        <v>35</v>
      </c>
      <c r="D17" s="128" t="s">
        <v>35</v>
      </c>
      <c r="E17" s="128" t="s">
        <v>35</v>
      </c>
      <c r="F17" s="128" t="s">
        <v>35</v>
      </c>
      <c r="G17" s="128" t="s">
        <v>35</v>
      </c>
      <c r="H17" s="128" t="s">
        <v>35</v>
      </c>
      <c r="I17" s="128" t="s">
        <v>35</v>
      </c>
      <c r="J17" s="128" t="s">
        <v>35</v>
      </c>
      <c r="K17" s="128" t="s">
        <v>35</v>
      </c>
      <c r="L17" s="128" t="s">
        <v>35</v>
      </c>
      <c r="M17" s="128" t="s">
        <v>35</v>
      </c>
      <c r="N17" s="128" t="s">
        <v>35</v>
      </c>
      <c r="O17" s="128" t="s">
        <v>35</v>
      </c>
      <c r="P17" s="128" t="s">
        <v>35</v>
      </c>
      <c r="Q17" s="129" t="s">
        <v>35</v>
      </c>
    </row>
    <row customHeight="1" ht="20.25">
      <c r="A18" s="94"/>
      <c r="B18" s="127" t="s">
        <v>35</v>
      </c>
      <c r="C18" s="128" t="s">
        <v>35</v>
      </c>
      <c r="D18" s="128" t="s">
        <v>35</v>
      </c>
      <c r="E18" s="128" t="s">
        <v>35</v>
      </c>
      <c r="F18" s="128" t="s">
        <v>35</v>
      </c>
      <c r="G18" s="128" t="s">
        <v>35</v>
      </c>
      <c r="H18" s="128" t="s">
        <v>35</v>
      </c>
      <c r="I18" s="128" t="s">
        <v>35</v>
      </c>
      <c r="J18" s="128" t="s">
        <v>35</v>
      </c>
      <c r="K18" s="128" t="s">
        <v>35</v>
      </c>
      <c r="L18" s="128" t="s">
        <v>35</v>
      </c>
      <c r="M18" s="128" t="s">
        <v>35</v>
      </c>
      <c r="N18" s="128" t="s">
        <v>35</v>
      </c>
      <c r="O18" s="128" t="s">
        <v>35</v>
      </c>
      <c r="P18" s="128" t="s">
        <v>35</v>
      </c>
      <c r="Q18" s="129" t="s">
        <v>35</v>
      </c>
    </row>
    <row customHeight="1" ht="20.25">
      <c r="A19" s="94"/>
      <c r="B19" s="127" t="s">
        <v>35</v>
      </c>
      <c r="C19" s="128" t="s">
        <v>35</v>
      </c>
      <c r="D19" s="128" t="s">
        <v>35</v>
      </c>
      <c r="E19" s="128" t="s">
        <v>35</v>
      </c>
      <c r="F19" s="128" t="s">
        <v>35</v>
      </c>
      <c r="G19" s="128" t="s">
        <v>35</v>
      </c>
      <c r="H19" s="128" t="s">
        <v>35</v>
      </c>
      <c r="I19" s="128" t="s">
        <v>35</v>
      </c>
      <c r="J19" s="128" t="s">
        <v>35</v>
      </c>
      <c r="K19" s="128" t="s">
        <v>35</v>
      </c>
      <c r="L19" s="128" t="s">
        <v>35</v>
      </c>
      <c r="M19" s="128" t="s">
        <v>35</v>
      </c>
      <c r="N19" s="128" t="s">
        <v>35</v>
      </c>
      <c r="O19" s="128" t="s">
        <v>35</v>
      </c>
      <c r="P19" s="128" t="s">
        <v>35</v>
      </c>
      <c r="Q19" s="129" t="s">
        <v>35</v>
      </c>
    </row>
    <row customHeight="1" ht="20.25">
      <c r="A20" s="94"/>
      <c r="B20" s="127" t="s">
        <v>35</v>
      </c>
      <c r="C20" s="128" t="s">
        <v>35</v>
      </c>
      <c r="D20" s="128" t="s">
        <v>35</v>
      </c>
      <c r="E20" s="128" t="s">
        <v>35</v>
      </c>
      <c r="F20" s="128" t="s">
        <v>35</v>
      </c>
      <c r="G20" s="128" t="s">
        <v>35</v>
      </c>
      <c r="H20" s="128" t="s">
        <v>35</v>
      </c>
      <c r="I20" s="128" t="s">
        <v>35</v>
      </c>
      <c r="J20" s="128" t="s">
        <v>35</v>
      </c>
      <c r="K20" s="128" t="s">
        <v>35</v>
      </c>
      <c r="L20" s="128" t="s">
        <v>35</v>
      </c>
      <c r="M20" s="128" t="s">
        <v>35</v>
      </c>
      <c r="N20" s="128" t="s">
        <v>35</v>
      </c>
      <c r="O20" s="128" t="s">
        <v>35</v>
      </c>
      <c r="P20" s="128" t="s">
        <v>35</v>
      </c>
      <c r="Q20" s="129" t="s">
        <v>35</v>
      </c>
    </row>
    <row customHeight="1" ht="20.25">
      <c r="A21" s="94"/>
      <c r="B21" s="127" t="s">
        <v>35</v>
      </c>
      <c r="C21" s="128" t="s">
        <v>35</v>
      </c>
      <c r="D21" s="128" t="s">
        <v>35</v>
      </c>
      <c r="E21" s="128" t="s">
        <v>35</v>
      </c>
      <c r="F21" s="128" t="s">
        <v>35</v>
      </c>
      <c r="G21" s="128" t="s">
        <v>35</v>
      </c>
      <c r="H21" s="128" t="s">
        <v>35</v>
      </c>
      <c r="I21" s="128" t="s">
        <v>35</v>
      </c>
      <c r="J21" s="128" t="s">
        <v>35</v>
      </c>
      <c r="K21" s="128"/>
      <c r="L21" s="128" t="s">
        <v>35</v>
      </c>
      <c r="M21" s="128" t="s">
        <v>35</v>
      </c>
      <c r="N21" s="128" t="s">
        <v>35</v>
      </c>
      <c r="O21" s="128" t="s">
        <v>35</v>
      </c>
      <c r="P21" s="128" t="s">
        <v>35</v>
      </c>
      <c r="Q21" s="129" t="s">
        <v>35</v>
      </c>
    </row>
    <row customHeight="1" ht="20.25">
      <c r="A22" s="94"/>
      <c r="B22" s="127" t="s">
        <v>35</v>
      </c>
      <c r="C22" s="128" t="s">
        <v>35</v>
      </c>
      <c r="D22" s="128" t="s">
        <v>35</v>
      </c>
      <c r="E22" s="128" t="s">
        <v>35</v>
      </c>
      <c r="F22" s="128" t="s">
        <v>35</v>
      </c>
      <c r="G22" s="128" t="s">
        <v>35</v>
      </c>
      <c r="H22" s="128" t="s">
        <v>35</v>
      </c>
      <c r="I22" s="128" t="s">
        <v>35</v>
      </c>
      <c r="J22" s="128" t="s">
        <v>35</v>
      </c>
      <c r="K22" s="128" t="s">
        <v>35</v>
      </c>
      <c r="L22" s="128" t="s">
        <v>35</v>
      </c>
      <c r="M22" s="128" t="s">
        <v>35</v>
      </c>
      <c r="N22" s="128" t="s">
        <v>35</v>
      </c>
      <c r="O22" s="128" t="s">
        <v>35</v>
      </c>
      <c r="P22" s="128" t="s">
        <v>35</v>
      </c>
      <c r="Q22" s="129" t="s">
        <v>35</v>
      </c>
    </row>
    <row customHeight="1" ht="20.25">
      <c r="A23" s="94"/>
      <c r="B23" s="127" t="s">
        <v>35</v>
      </c>
      <c r="C23" s="128" t="s">
        <v>35</v>
      </c>
      <c r="D23" s="128" t="s">
        <v>35</v>
      </c>
      <c r="E23" s="128" t="s">
        <v>35</v>
      </c>
      <c r="F23" s="128" t="s">
        <v>35</v>
      </c>
      <c r="G23" s="128" t="s">
        <v>35</v>
      </c>
      <c r="H23" s="128" t="s">
        <v>35</v>
      </c>
      <c r="I23" s="128" t="s">
        <v>35</v>
      </c>
      <c r="J23" s="128" t="s">
        <v>35</v>
      </c>
      <c r="K23" s="128" t="s">
        <v>35</v>
      </c>
      <c r="L23" s="128" t="s">
        <v>35</v>
      </c>
      <c r="M23" s="128" t="s">
        <v>35</v>
      </c>
      <c r="N23" s="128" t="s">
        <v>35</v>
      </c>
      <c r="O23" s="128" t="s">
        <v>35</v>
      </c>
      <c r="P23" s="128" t="s">
        <v>35</v>
      </c>
      <c r="Q23" s="129" t="s">
        <v>35</v>
      </c>
    </row>
    <row customHeight="1" ht="20.25">
      <c r="A24" s="94"/>
      <c r="B24" s="127" t="s">
        <v>35</v>
      </c>
      <c r="C24" s="128" t="s">
        <v>35</v>
      </c>
      <c r="D24" s="128" t="s">
        <v>35</v>
      </c>
      <c r="E24" s="128" t="s">
        <v>35</v>
      </c>
      <c r="F24" s="128" t="s">
        <v>35</v>
      </c>
      <c r="G24" s="128" t="s">
        <v>35</v>
      </c>
      <c r="H24" s="128" t="s">
        <v>35</v>
      </c>
      <c r="I24" s="128" t="s">
        <v>35</v>
      </c>
      <c r="J24" s="128" t="s">
        <v>35</v>
      </c>
      <c r="K24" s="128" t="s">
        <v>35</v>
      </c>
      <c r="L24" s="128" t="s">
        <v>35</v>
      </c>
      <c r="M24" s="128" t="s">
        <v>35</v>
      </c>
      <c r="N24" s="128" t="s">
        <v>35</v>
      </c>
      <c r="O24" s="128" t="s">
        <v>35</v>
      </c>
      <c r="P24" s="128" t="s">
        <v>35</v>
      </c>
      <c r="Q24" s="129" t="s">
        <v>35</v>
      </c>
    </row>
    <row customHeight="1" ht="20.25">
      <c r="A25" s="94"/>
      <c r="B25" s="127" t="s">
        <v>35</v>
      </c>
      <c r="C25" s="128" t="s">
        <v>35</v>
      </c>
      <c r="D25" s="128" t="s">
        <v>35</v>
      </c>
      <c r="E25" s="128" t="s">
        <v>35</v>
      </c>
      <c r="F25" s="128" t="s">
        <v>35</v>
      </c>
      <c r="G25" s="128" t="s">
        <v>35</v>
      </c>
      <c r="H25" s="128" t="s">
        <v>35</v>
      </c>
      <c r="I25" s="128" t="s">
        <v>35</v>
      </c>
      <c r="J25" s="128" t="s">
        <v>35</v>
      </c>
      <c r="K25" s="128" t="s">
        <v>35</v>
      </c>
      <c r="L25" s="128" t="s">
        <v>35</v>
      </c>
      <c r="M25" s="128" t="s">
        <v>35</v>
      </c>
      <c r="N25" s="128" t="s">
        <v>35</v>
      </c>
      <c r="O25" s="128" t="s">
        <v>35</v>
      </c>
      <c r="P25" s="128" t="s">
        <v>35</v>
      </c>
      <c r="Q25" s="129" t="s">
        <v>35</v>
      </c>
    </row>
    <row customHeight="1" ht="20.25">
      <c r="A26" s="94"/>
      <c r="B26" s="127" t="s">
        <v>35</v>
      </c>
      <c r="C26" s="128" t="s">
        <v>35</v>
      </c>
      <c r="D26" s="128" t="s">
        <v>35</v>
      </c>
      <c r="E26" s="128" t="s">
        <v>35</v>
      </c>
      <c r="F26" s="128" t="s">
        <v>35</v>
      </c>
      <c r="G26" s="128" t="s">
        <v>35</v>
      </c>
      <c r="H26" s="128" t="s">
        <v>35</v>
      </c>
      <c r="I26" s="128" t="s">
        <v>35</v>
      </c>
      <c r="J26" s="128" t="s">
        <v>35</v>
      </c>
      <c r="K26" s="128" t="s">
        <v>35</v>
      </c>
      <c r="L26" s="128" t="s">
        <v>35</v>
      </c>
      <c r="M26" s="128" t="s">
        <v>35</v>
      </c>
      <c r="N26" s="128" t="s">
        <v>35</v>
      </c>
      <c r="O26" s="128" t="s">
        <v>35</v>
      </c>
      <c r="P26" s="128" t="s">
        <v>35</v>
      </c>
      <c r="Q26" s="129" t="s">
        <v>35</v>
      </c>
    </row>
    <row customHeight="1" ht="20.25">
      <c r="A27" s="94"/>
      <c r="B27" s="127" t="s">
        <v>35</v>
      </c>
      <c r="C27" s="128" t="s">
        <v>35</v>
      </c>
      <c r="D27" s="128" t="s">
        <v>35</v>
      </c>
      <c r="E27" s="128" t="s">
        <v>35</v>
      </c>
      <c r="F27" s="128" t="s">
        <v>35</v>
      </c>
      <c r="G27" s="128" t="s">
        <v>35</v>
      </c>
      <c r="H27" s="128" t="s">
        <v>35</v>
      </c>
      <c r="I27" s="128" t="s">
        <v>35</v>
      </c>
      <c r="J27" s="128" t="s">
        <v>35</v>
      </c>
      <c r="K27" s="128" t="s">
        <v>35</v>
      </c>
      <c r="L27" s="128" t="s">
        <v>35</v>
      </c>
      <c r="M27" s="128" t="s">
        <v>35</v>
      </c>
      <c r="N27" s="128" t="s">
        <v>35</v>
      </c>
      <c r="O27" s="128" t="s">
        <v>35</v>
      </c>
      <c r="P27" s="128" t="s">
        <v>35</v>
      </c>
      <c r="Q27" s="129" t="s">
        <v>35</v>
      </c>
    </row>
    <row customHeight="1" ht="20.25">
      <c r="A28" s="94"/>
      <c r="B28" s="127" t="s">
        <v>35</v>
      </c>
      <c r="C28" s="128" t="s">
        <v>35</v>
      </c>
      <c r="D28" s="128" t="s">
        <v>35</v>
      </c>
      <c r="E28" s="128" t="s">
        <v>35</v>
      </c>
      <c r="F28" s="128" t="s">
        <v>35</v>
      </c>
      <c r="G28" s="128" t="s">
        <v>35</v>
      </c>
      <c r="H28" s="128" t="s">
        <v>35</v>
      </c>
      <c r="I28" s="128" t="s">
        <v>35</v>
      </c>
      <c r="J28" s="128" t="s">
        <v>35</v>
      </c>
      <c r="K28" s="128" t="s">
        <v>35</v>
      </c>
      <c r="L28" s="128" t="s">
        <v>35</v>
      </c>
      <c r="M28" s="128" t="s">
        <v>35</v>
      </c>
      <c r="N28" s="128" t="s">
        <v>35</v>
      </c>
      <c r="O28" s="128" t="s">
        <v>35</v>
      </c>
      <c r="P28" s="128" t="s">
        <v>35</v>
      </c>
      <c r="Q28" s="129" t="s">
        <v>35</v>
      </c>
    </row>
    <row customHeight="1" ht="20.25">
      <c r="A29" s="94"/>
      <c r="B29" s="130" t="s">
        <v>35</v>
      </c>
      <c r="C29" s="131" t="s">
        <v>35</v>
      </c>
      <c r="D29" s="131" t="s">
        <v>35</v>
      </c>
      <c r="E29" s="131" t="s">
        <v>35</v>
      </c>
      <c r="F29" s="131" t="s">
        <v>35</v>
      </c>
      <c r="G29" s="131" t="s">
        <v>35</v>
      </c>
      <c r="H29" s="131" t="s">
        <v>35</v>
      </c>
      <c r="I29" s="131" t="s">
        <v>35</v>
      </c>
      <c r="J29" s="131" t="s">
        <v>35</v>
      </c>
      <c r="K29" s="131" t="s">
        <v>35</v>
      </c>
      <c r="L29" s="131" t="s">
        <v>35</v>
      </c>
      <c r="M29" s="131" t="s">
        <v>35</v>
      </c>
      <c r="N29" s="131" t="s">
        <v>35</v>
      </c>
      <c r="O29" s="131" t="s">
        <v>35</v>
      </c>
      <c r="P29" s="131" t="s">
        <v>35</v>
      </c>
      <c r="Q29" s="132" t="s">
        <v>35</v>
      </c>
    </row>
    <row s="133" customFormat="1" customHeight="1" ht="20.25">
      <c r="A30" s="94"/>
      <c r="B30" s="134"/>
      <c r="C30" s="135" t="s">
        <v>36</v>
      </c>
      <c r="D30" s="136" t="s">
        <v>37</v>
      </c>
      <c r="E30" s="134"/>
      <c r="F30" s="134"/>
      <c r="G30" s="134"/>
      <c r="H30" s="137"/>
      <c r="I30" s="138" t="s">
        <v>38</v>
      </c>
      <c r="J30" s="138"/>
      <c r="K30" s="136" t="s">
        <v>39</v>
      </c>
      <c r="L30" s="134"/>
      <c r="M30" s="134"/>
      <c r="N30" s="138" t="s">
        <v>40</v>
      </c>
      <c r="O30" s="138"/>
      <c r="P30" s="139">
        <f>_xlfn.IFERROR(取值!B3,"")</f>
        <v>46022</v>
      </c>
      <c r="Q30" s="139"/>
    </row>
  </sheetData>
  <mergeCells count="20">
    <mergeCell ref="B2:Q2"/>
    <mergeCell ref="B4:B5"/>
    <mergeCell ref="C4:C5"/>
    <mergeCell ref="D4:E4"/>
    <mergeCell ref="F4:G4"/>
    <mergeCell ref="H4:I4"/>
    <mergeCell ref="J4:J5"/>
    <mergeCell ref="K4:K5"/>
    <mergeCell ref="L4:M4"/>
    <mergeCell ref="N4:O4"/>
    <mergeCell ref="L3:Q3"/>
    <mergeCell ref="I3:K3"/>
    <mergeCell ref="F3:H3"/>
    <mergeCell ref="B3:E3"/>
    <mergeCell ref="I30:J30"/>
    <mergeCell ref="N30:O30"/>
    <mergeCell ref="P30:Q30"/>
    <mergeCell ref="P4:Q4"/>
    <mergeCell ref="B6:B15"/>
    <mergeCell ref="J6:J15"/>
  </mergeCells>
  <pageMargins left="0.71" right="0.71" top="1.15" bottom="0.75" header="0.31" footer="0.31"/>
  <pageSetup paperSize="9" scale="70" pageOrder="downThenOver" orientation="landscape"/>
  <headerFooter>
    <oddHeader>&amp;L&amp;C&amp;R</oddHeader>
    <oddFooter>&amp;L&amp;C&amp;R</oddFooter>
    <evenHeader>&amp;L&amp;C&amp;R</evenHeader>
    <evenFooter>&amp;L&amp;C&amp;R</even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8030629D-D306-DE8E-7BF8-FF963AA2E958}" mc:Ignorable="x14ac xr xr2 xr3">
  <dimension ref="A1:P18"/>
  <sheetViews>
    <sheetView defaultGridColor="0" colorId="31" topLeftCell="A1" workbookViewId="0">
      <selection activeCell="A1" sqref="A1"/>
    </sheetView>
  </sheetViews>
  <sheetFormatPr customHeight="1" defaultRowHeight="14.100000000000001"/>
  <sheetData>
    <row customHeight="1" ht="14.25">
      <c r="A1" s="155" t="s">
        <v>41</v>
      </c>
      <c r="B1" s="156" t="s">
        <v>3</v>
      </c>
      <c r="C1" s="155" t="s">
        <v>42</v>
      </c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</row>
    <row customHeight="1" ht="14.25">
      <c r="A2" s="95"/>
      <c r="B2" s="157" t="str">
        <f>EDATE(B1,1)</f>
        <v>46023</v>
      </c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</row>
    <row customHeight="1" ht="14.25">
      <c r="A3" s="95"/>
      <c r="B3" s="158">
        <f>B2-1</f>
        <v>46022</v>
      </c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  <c r="O3" s="95"/>
      <c r="P3" s="95"/>
    </row>
    <row customHeight="1" ht="14.25">
      <c r="A4" s="95"/>
      <c r="B4" s="95"/>
      <c r="C4" s="95"/>
      <c r="D4" s="95"/>
      <c r="E4" s="95"/>
      <c r="F4" s="95"/>
      <c r="G4" s="95"/>
      <c r="H4" s="95"/>
      <c r="I4" s="95"/>
      <c r="J4" s="95"/>
      <c r="K4" s="95"/>
      <c r="L4" s="95"/>
      <c r="M4" s="159" t="s">
        <v>43</v>
      </c>
      <c r="N4" s="95"/>
      <c r="O4" s="95"/>
      <c r="P4" s="159" t="s">
        <v>44</v>
      </c>
    </row>
    <row customHeight="1" ht="14.25">
      <c r="A5" s="95"/>
      <c r="B5" s="95"/>
      <c r="C5" s="95"/>
      <c r="D5" s="95"/>
      <c r="E5" s="159" t="s">
        <v>43</v>
      </c>
      <c r="F5" s="95"/>
      <c r="G5" s="95"/>
      <c r="H5" s="159" t="s">
        <v>44</v>
      </c>
      <c r="I5" s="95"/>
      <c r="J5" s="95"/>
      <c r="K5" s="95"/>
      <c r="L5" s="160">
        <v>30528</v>
      </c>
      <c r="M5" s="159">
        <v>193268</v>
      </c>
      <c r="N5" s="95"/>
      <c r="O5" s="95"/>
      <c r="P5" s="159">
        <v>0</v>
      </c>
    </row>
    <row customHeight="1" ht="14.25">
      <c r="A6" s="95"/>
      <c r="B6" s="95"/>
      <c r="C6" s="95"/>
      <c r="D6" s="95"/>
      <c r="E6" s="159">
        <v>128349</v>
      </c>
      <c r="F6" s="95"/>
      <c r="G6" s="95"/>
      <c r="H6" s="159">
        <v>13103</v>
      </c>
      <c r="I6" s="95"/>
      <c r="J6" s="95"/>
      <c r="K6" s="95"/>
      <c r="L6" s="95">
        <v>62</v>
      </c>
      <c r="M6" s="159">
        <v>192872</v>
      </c>
      <c r="N6" s="95"/>
      <c r="O6" s="95"/>
      <c r="P6" s="159">
        <v>0</v>
      </c>
    </row>
    <row customHeight="1" ht="14.25">
      <c r="A7" s="95"/>
      <c r="B7" s="95"/>
      <c r="C7" s="95"/>
      <c r="D7" s="95">
        <v>10450</v>
      </c>
      <c r="E7" s="159">
        <v>103181</v>
      </c>
      <c r="F7" s="95"/>
      <c r="G7" s="95"/>
      <c r="H7" s="159">
        <v>10204</v>
      </c>
      <c r="I7" s="95"/>
      <c r="J7" s="95"/>
      <c r="K7" s="95"/>
      <c r="L7" s="95">
        <v>0</v>
      </c>
      <c r="M7" s="159">
        <v>396</v>
      </c>
      <c r="N7" s="95"/>
      <c r="O7" s="95"/>
      <c r="P7" s="159">
        <v>0</v>
      </c>
    </row>
    <row customHeight="1" ht="14.25">
      <c r="A8" s="95"/>
      <c r="B8" s="95"/>
      <c r="C8" s="95"/>
      <c r="D8" s="95">
        <v>2831</v>
      </c>
      <c r="E8" s="159">
        <v>25168</v>
      </c>
      <c r="F8" s="95"/>
      <c r="G8" s="95"/>
      <c r="H8" s="159">
        <v>2899</v>
      </c>
      <c r="I8" s="95"/>
      <c r="J8" s="95"/>
      <c r="K8" s="95"/>
      <c r="L8" s="95">
        <v>669</v>
      </c>
      <c r="M8" s="159">
        <v>0</v>
      </c>
      <c r="N8" s="95"/>
      <c r="O8" s="95"/>
      <c r="P8" s="159">
        <v>0</v>
      </c>
    </row>
    <row customHeight="1" ht="14.25">
      <c r="A9" s="95"/>
      <c r="B9" s="95"/>
      <c r="C9" s="95"/>
      <c r="D9" s="95">
        <v>5091</v>
      </c>
      <c r="E9" s="159">
        <v>47549</v>
      </c>
      <c r="F9" s="95"/>
      <c r="G9" s="95"/>
      <c r="H9" s="159">
        <v>5494</v>
      </c>
      <c r="I9" s="95"/>
      <c r="J9" s="95"/>
      <c r="K9" s="95"/>
      <c r="L9" s="95">
        <v>0</v>
      </c>
      <c r="M9" s="159">
        <v>3803</v>
      </c>
      <c r="N9" s="95"/>
      <c r="O9" s="95"/>
      <c r="P9" s="159">
        <v>0</v>
      </c>
    </row>
    <row customHeight="1" ht="14.25">
      <c r="A10" s="95"/>
      <c r="B10" s="95"/>
      <c r="C10" s="95"/>
      <c r="D10" s="95">
        <v>7389</v>
      </c>
      <c r="E10" s="159">
        <v>77483</v>
      </c>
      <c r="F10" s="95"/>
      <c r="G10" s="95"/>
      <c r="H10" s="159">
        <v>7385</v>
      </c>
      <c r="I10" s="95"/>
      <c r="J10" s="95"/>
      <c r="K10" s="95"/>
      <c r="L10" s="95">
        <v>0</v>
      </c>
      <c r="M10" s="159">
        <v>0</v>
      </c>
      <c r="N10" s="95"/>
      <c r="O10" s="95"/>
      <c r="P10" s="159">
        <v>0</v>
      </c>
    </row>
    <row customHeight="1" ht="14.25">
      <c r="A11" s="95"/>
      <c r="B11" s="95"/>
      <c r="C11" s="95"/>
      <c r="D11" s="95">
        <v>0</v>
      </c>
      <c r="E11" s="159">
        <v>0</v>
      </c>
      <c r="F11" s="95"/>
      <c r="G11" s="95"/>
      <c r="H11" s="159">
        <v>0</v>
      </c>
      <c r="I11" s="95"/>
      <c r="J11" s="95"/>
      <c r="K11" s="95"/>
      <c r="L11" s="95">
        <v>0</v>
      </c>
      <c r="M11" s="159">
        <v>0</v>
      </c>
      <c r="N11" s="95"/>
      <c r="O11" s="95"/>
      <c r="P11" s="159">
        <v>0</v>
      </c>
    </row>
    <row customHeight="1" ht="14.25">
      <c r="A12" s="95"/>
      <c r="B12" s="95"/>
      <c r="C12" s="95"/>
      <c r="D12" s="95">
        <v>191</v>
      </c>
      <c r="E12" s="159">
        <v>918</v>
      </c>
      <c r="F12" s="95"/>
      <c r="G12" s="95"/>
      <c r="H12" s="159">
        <v>90</v>
      </c>
      <c r="I12" s="95"/>
      <c r="J12" s="95"/>
      <c r="K12" s="95"/>
      <c r="L12" s="95">
        <v>29765</v>
      </c>
      <c r="M12" s="159">
        <v>0</v>
      </c>
      <c r="N12" s="95"/>
      <c r="O12" s="95"/>
      <c r="P12" s="159">
        <v>0</v>
      </c>
    </row>
    <row customHeight="1" ht="14.25">
      <c r="A13" s="95"/>
      <c r="B13" s="95"/>
      <c r="C13" s="95"/>
      <c r="D13" s="95">
        <v>18</v>
      </c>
      <c r="E13" s="159">
        <v>140</v>
      </c>
      <c r="F13" s="95"/>
      <c r="G13" s="95"/>
      <c r="H13" s="159">
        <v>10</v>
      </c>
      <c r="I13" s="95"/>
      <c r="J13" s="95"/>
      <c r="K13" s="95"/>
      <c r="L13" s="95"/>
      <c r="M13" s="159">
        <v>188493</v>
      </c>
      <c r="N13" s="95"/>
      <c r="O13" s="95"/>
      <c r="P13" s="159">
        <v>0</v>
      </c>
    </row>
    <row customHeight="1" ht="14.25">
      <c r="A14" s="95"/>
      <c r="B14" s="95"/>
      <c r="C14" s="95"/>
      <c r="D14" s="95"/>
      <c r="E14" s="159">
        <v>2259</v>
      </c>
      <c r="F14" s="95"/>
      <c r="G14" s="95"/>
      <c r="H14" s="159">
        <v>124</v>
      </c>
      <c r="I14" s="95"/>
      <c r="J14" s="95"/>
      <c r="K14" s="95"/>
      <c r="L14" s="95"/>
      <c r="M14" s="159">
        <v>972</v>
      </c>
      <c r="N14" s="95"/>
      <c r="O14" s="95"/>
      <c r="P14" s="159">
        <v>0</v>
      </c>
    </row>
    <row customHeight="1" ht="14.25">
      <c r="A15" s="95"/>
      <c r="B15" s="95"/>
      <c r="C15" s="95"/>
      <c r="D15" s="95"/>
      <c r="E15" s="95"/>
      <c r="F15" s="95"/>
      <c r="G15" s="95"/>
      <c r="H15" s="95"/>
      <c r="I15" s="95"/>
      <c r="J15" s="95"/>
      <c r="K15" s="95"/>
      <c r="L15" s="95"/>
      <c r="M15" s="95"/>
      <c r="N15" s="95"/>
      <c r="O15" s="95"/>
      <c r="P15" s="95"/>
    </row>
    <row customHeight="1" ht="14.100000000000001">
      <c r="A16" s="95"/>
      <c r="B16" s="95"/>
      <c r="C16" s="95"/>
      <c r="D16" s="95"/>
      <c r="E16" s="95"/>
      <c r="F16" s="95"/>
      <c r="G16" s="95"/>
      <c r="H16" s="95"/>
      <c r="I16" s="95"/>
      <c r="J16" s="95"/>
      <c r="K16" s="95"/>
      <c r="L16" s="95"/>
      <c r="M16" s="95"/>
      <c r="N16" s="95"/>
      <c r="O16" s="95"/>
      <c r="P16" s="95"/>
    </row>
    <row customHeight="1" ht="14.25">
      <c r="A17" s="95"/>
      <c r="B17" s="95"/>
      <c r="C17" s="95"/>
      <c r="D17" s="159" t="s">
        <v>37</v>
      </c>
      <c r="E17" s="95"/>
      <c r="F17" s="95"/>
      <c r="G17" s="95"/>
      <c r="H17" s="95"/>
      <c r="I17" s="95"/>
      <c r="J17" s="95"/>
      <c r="K17" s="95"/>
      <c r="L17" s="95"/>
      <c r="M17" s="95"/>
      <c r="N17" s="95"/>
      <c r="O17" s="95"/>
      <c r="P17" s="95"/>
    </row>
    <row customHeight="1" ht="14.25">
      <c r="A18" s="95"/>
      <c r="B18" s="95"/>
      <c r="C18" s="95"/>
      <c r="D18" s="159" t="s">
        <v>39</v>
      </c>
      <c r="E18" s="95"/>
      <c r="F18" s="95"/>
      <c r="G18" s="95"/>
      <c r="H18" s="95"/>
      <c r="I18" s="95"/>
      <c r="J18" s="95"/>
      <c r="K18" s="95"/>
      <c r="L18" s="95"/>
      <c r="M18" s="95"/>
      <c r="N18" s="95"/>
      <c r="O18" s="95"/>
      <c r="P18" s="95"/>
    </row>
  </sheetData>
  <pageMargins left="0.70" right="0.70" top="0.75" bottom="0.75" header="0.30" footer="0.30"/>
  <pageSetup paperSize="9" pageOrder="downThenOver"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延安炼油厂装置生产完成情况表（五）</vt:lpstr>
      <vt:lpstr>取值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c3</cp:lastModifiedBy>
  <cp:lastPrinted>2022-05-27T03:29:12Z</cp:lastPrinted>
  <dcterms:created xsi:type="dcterms:W3CDTF">2015-06-05T18:19:34Z</dcterms:created>
  <dcterms:modified xsi:type="dcterms:W3CDTF">2022-06-30T09:01:48Z</dcterms:modified>
</cp:coreProperties>
</file>