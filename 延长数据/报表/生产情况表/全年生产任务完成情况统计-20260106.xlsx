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全年生产任务完成情况统计" sheetId="1" r:id="rId2"/>
    <sheet name="取值" sheetId="2" state="hidden" r:id="rId3"/>
    <sheet name="计划取值" sheetId="3" state="hidden" r:id="rId4"/>
  </sheets>
  <calcPr calcId="0" iterate="0" iterateCount="100" iterateDelta="0.001"/>
</workbook>
</file>

<file path=xl/sharedStrings.xml><?xml version="1.0" encoding="utf-8"?>
<sst xmlns="http://schemas.openxmlformats.org/spreadsheetml/2006/main" count="136" uniqueCount="84">
  <si>
    <t>日期:</t>
  </si>
  <si>
    <t>2026-01-06</t>
  </si>
  <si>
    <t>项目</t>
  </si>
  <si>
    <t>月计划</t>
  </si>
  <si>
    <t>当日加工量</t>
  </si>
  <si>
    <t>月累计</t>
  </si>
  <si>
    <t>本月剩余</t>
  </si>
  <si>
    <t>至月底日</t>
  </si>
  <si>
    <t>完成月任务的（%）</t>
  </si>
  <si>
    <t>1-12月份</t>
  </si>
  <si>
    <t>去年同期值
（吨）</t>
  </si>
  <si>
    <t>增（+）</t>
  </si>
  <si>
    <t>全年计划</t>
  </si>
  <si>
    <t>全年剩余加工量
（吨）</t>
  </si>
  <si>
    <t>至12月底日处理量
（吨）</t>
  </si>
  <si>
    <t>完成全年任务的（%）</t>
  </si>
  <si>
    <t>当日收率</t>
  </si>
  <si>
    <t>年累计</t>
  </si>
  <si>
    <t>（吨）</t>
  </si>
  <si>
    <t>生产
(吨)</t>
  </si>
  <si>
    <t>加工量
（吨）</t>
  </si>
  <si>
    <t>处理量
（吨）</t>
  </si>
  <si>
    <t>累计加工量
（吨）</t>
  </si>
  <si>
    <t>减（-）</t>
  </si>
  <si>
    <t>（%）</t>
  </si>
  <si>
    <t>120万吨/年重整装置加工量</t>
  </si>
  <si>
    <t>柴油加氢精制装置加工量</t>
  </si>
  <si>
    <t xml:space="preserve"> 其中:140万吨/年柴油加氢装置</t>
  </si>
  <si>
    <t xml:space="preserve">      240万吨/年柴油加氢精制装置</t>
  </si>
  <si>
    <t>180万吨/年汽油精制装置加工量</t>
  </si>
  <si>
    <t>60万吨/年气体分馏装置加工量</t>
  </si>
  <si>
    <t>MTBE产量</t>
  </si>
  <si>
    <t>其中:12万吨装置</t>
  </si>
  <si>
    <t>25万吨装置</t>
  </si>
  <si>
    <t>苯产量</t>
  </si>
  <si>
    <t>聚丙烯产量</t>
  </si>
  <si>
    <t>异辛烷组分产量</t>
  </si>
  <si>
    <t>油品名称</t>
  </si>
  <si>
    <t>常压石脑油</t>
  </si>
  <si>
    <t>催化柴油</t>
  </si>
  <si>
    <t>丙烯</t>
  </si>
  <si>
    <t>气分碳四</t>
  </si>
  <si>
    <t>饱和液化气</t>
  </si>
  <si>
    <t>丙烷</t>
  </si>
  <si>
    <t>醚（酯）后C4</t>
  </si>
  <si>
    <t>聚丙烯</t>
  </si>
  <si>
    <t>MTBE</t>
  </si>
  <si>
    <t>异辛烷组分</t>
  </si>
  <si>
    <t>库存</t>
  </si>
  <si>
    <t>空量</t>
  </si>
  <si>
    <t>备  注</t>
  </si>
  <si>
    <t>距</t>
  </si>
  <si>
    <t>还有</t>
  </si>
  <si>
    <t>天</t>
  </si>
  <si>
    <t>去年同期值（万吨）</t>
  </si>
  <si>
    <t>全年剩余加工量（万吨）</t>
  </si>
  <si>
    <t>至12月底日处理量（吨）</t>
  </si>
  <si>
    <t>当日原料</t>
  </si>
  <si>
    <t>月累计收率</t>
  </si>
  <si>
    <t>当月原料</t>
  </si>
  <si>
    <t>年累计加工</t>
  </si>
  <si>
    <t>当年原料</t>
  </si>
  <si>
    <t>（万吨）</t>
  </si>
  <si>
    <t>生产(万吨)</t>
  </si>
  <si>
    <t>加工量（万吨）</t>
  </si>
  <si>
    <t>处理量（吨）</t>
  </si>
  <si>
    <t>累计加工量（万吨）</t>
  </si>
  <si>
    <t>120万吨/年重整装置</t>
  </si>
  <si>
    <t>140万吨、240万吨/柴油加氢精制装置加工量</t>
  </si>
  <si>
    <t>180万吨/年汽油精制装置</t>
  </si>
  <si>
    <t>60万吨/年气体分馏装置</t>
  </si>
  <si>
    <t>60万吨/年液化气精制装置</t>
  </si>
  <si>
    <t>12万吨/年MTBE产量</t>
  </si>
  <si>
    <t>20万吨/年苯抽提产量</t>
  </si>
  <si>
    <t>20万吨/年聚丙烯产量</t>
  </si>
  <si>
    <t>烷基化油产量</t>
  </si>
  <si>
    <t>20万吨/年烷基化装置加工量</t>
  </si>
  <si>
    <t>30万吨/年混合脱氢装置加工量</t>
  </si>
  <si>
    <t>25万吨/年MTBE装置加工量</t>
  </si>
  <si>
    <t>2026-01-30</t>
  </si>
  <si>
    <t>2026-12-30</t>
  </si>
  <si>
    <t>报表生产时间:</t>
  </si>
  <si>
    <t>2026-01-07</t>
  </si>
  <si>
    <t>年全年生产任务完成情况统计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</si>
</sst>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#0"/>
    <numFmt numFmtId="172" formatCode="yyyy\-mm\-dd"/>
    <numFmt numFmtId="173" formatCode="0;\-0"/>
    <numFmt numFmtId="174" formatCode="#"/>
  </numFmts>
  <fonts count="25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000000"/>
      <name val="等线"/>
    </font>
    <font>
      <sz val="11"/>
      <color rgb="FF000000"/>
      <name val="Calibri"/>
      <scheme val="minor"/>
    </font>
    <font>
      <sz val="6"/>
      <color rgb="FF505050"/>
      <name val="Segoe UI"/>
    </font>
    <font>
      <b/>
      <sz val="18"/>
      <color rgb="FF000000"/>
      <name val="等线"/>
    </font>
    <font>
      <sz val="11"/>
      <color theme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FFFF"/>
      </patternFill>
    </fill>
  </fills>
  <borders count="38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theme="1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theme="1"/>
      </left>
      <right/>
      <top style="thin">
        <color rgb="FF000000"/>
      </top>
      <bottom style="thin">
        <color rgb="FF000000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rgb="FF000000"/>
      </bottom>
    </border>
    <border>
      <left/>
      <right style="thin">
        <color theme="1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1"/>
      </right>
      <top/>
      <bottom style="thin">
        <color rgb="FF000000"/>
      </bottom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theme="1"/>
      </right>
      <top/>
      <bottom/>
    </border>
    <border>
      <left/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theme="1"/>
      </right>
      <top style="thin">
        <color rgb="FF000000"/>
      </top>
      <bottom/>
    </border>
    <border>
      <left style="thin">
        <color theme="1"/>
      </left>
      <right/>
      <top style="thin">
        <color theme="1"/>
      </top>
      <bottom/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 style="thin">
        <color theme="1"/>
      </left>
      <right/>
      <top/>
      <bottom/>
    </border>
    <border>
      <left style="thin">
        <color theme="1"/>
      </left>
      <right style="thin">
        <color rgb="FF000000"/>
      </right>
      <top/>
      <bottom style="thin">
        <color rgb="FF000000"/>
      </bottom>
    </border>
    <border>
      <left style="thin">
        <color theme="1"/>
      </left>
      <right/>
      <top style="thin">
        <color rgb="FF000000"/>
      </top>
      <bottom style="thin">
        <color theme="1"/>
      </bottom>
    </border>
    <border>
      <left style="thin">
        <color rgb="FF000000"/>
      </left>
      <right/>
      <top style="thin">
        <color rgb="FF000000"/>
      </top>
      <bottom/>
    </border>
  </borders>
  <cellStyleXfs count="49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352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49" fontId="20" fillId="0" borderId="10" xfId="0" applyFont="1" applyBorder="1" applyNumberFormat="1">
      <alignment horizontal="center" vertical="center"/>
    </xf>
    <xf numFmtId="0" fontId="0" fillId="0" borderId="10" xfId="0" applyFont="1" applyBorder="1">
      <alignment horizontal="left" vertical="center" shrinkToFit="1"/>
    </xf>
    <xf numFmtId="49" fontId="20" fillId="0" borderId="10" xfId="0" applyFont="1" applyBorder="1" applyNumberFormat="1">
      <alignment horizontal="left" vertical="center" shrinkToFit="1"/>
    </xf>
    <xf numFmtId="171" fontId="20" fillId="0" borderId="10" xfId="0" applyFont="1" applyBorder="1" applyNumberFormat="1">
      <alignment horizontal="center" vertical="center" shrinkToFit="1"/>
    </xf>
    <xf numFmtId="49" fontId="20" fillId="0" borderId="10" xfId="0" applyFont="1" applyBorder="1" applyNumberFormat="1">
      <alignment horizontal="right" vertical="center" shrinkToFit="1"/>
    </xf>
    <xf numFmtId="0" fontId="0" fillId="0" borderId="11" xfId="0" applyFont="1" applyBorder="1">
      <alignment vertical="center"/>
    </xf>
    <xf numFmtId="49" fontId="21" fillId="0" borderId="10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 shrinkToFit="1"/>
    </xf>
    <xf numFmtId="49" fontId="21" fillId="0" borderId="13" xfId="0" applyFont="1" applyBorder="1" applyNumberFormat="1">
      <alignment horizontal="left" vertical="center" shrinkToFit="1"/>
    </xf>
    <xf numFmtId="0" fontId="0" fillId="0" borderId="10" xfId="0" applyFont="1" applyBorder="1"/>
    <xf numFmtId="49" fontId="21" fillId="0" borderId="13" xfId="0" applyFont="1" applyBorder="1" applyNumberFormat="1">
      <alignment horizontal="right" vertical="center" shrinkToFit="1"/>
    </xf>
    <xf numFmtId="0" fontId="0" fillId="0" borderId="0" xfId="0" applyFont="1">
      <alignment horizontal="left" shrinkToFit="1"/>
    </xf>
    <xf numFmtId="0" fontId="0" fillId="0" borderId="0" xfId="0" applyFont="1">
      <alignment shrinkToFit="1"/>
    </xf>
    <xf numFmtId="49" fontId="21" fillId="0" borderId="14" xfId="0" applyFont="1" applyBorder="1" applyNumberFormat="1">
      <alignment horizontal="left" vertical="center" shrinkToFit="1"/>
    </xf>
    <xf numFmtId="0" fontId="0" fillId="33" borderId="0" xfId="0" applyFont="1" applyFill="1"/>
    <xf numFmtId="0" fontId="0" fillId="34" borderId="0" xfId="0" applyFont="1" applyFill="1"/>
    <xf numFmtId="1" fontId="0" fillId="0" borderId="0" xfId="0" applyFont="1" applyNumberFormat="1"/>
    <xf numFmtId="1" fontId="20" fillId="0" borderId="13" xfId="0" applyFont="1" applyBorder="1" applyNumberFormat="1">
      <alignment horizontal="left" vertical="center"/>
    </xf>
    <xf numFmtId="49" fontId="20" fillId="0" borderId="15" xfId="0" applyFont="1" applyBorder="1" applyNumberFormat="1">
      <alignment horizontal="center" vertical="center"/>
    </xf>
    <xf numFmtId="1" fontId="20" fillId="0" borderId="15" xfId="0" applyFont="1" applyBorder="1" applyNumberFormat="1">
      <alignment horizontal="center" vertical="center"/>
    </xf>
    <xf numFmtId="49" fontId="20" fillId="0" borderId="12" xfId="0" applyFont="1" applyBorder="1" applyNumberFormat="1">
      <alignment horizontal="center" vertical="center"/>
    </xf>
    <xf numFmtId="49" fontId="20" fillId="0" borderId="12" xfId="0" applyFont="1" applyBorder="1" applyNumberFormat="1">
      <alignment horizontal="center" vertical="center" wrapText="1"/>
    </xf>
    <xf numFmtId="1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 shrinkToFit="1"/>
    </xf>
    <xf numFmtId="49" fontId="20" fillId="34" borderId="16" xfId="0" applyFont="1" applyFill="1" applyBorder="1" applyNumberFormat="1">
      <alignment horizontal="left" vertical="center" shrinkToFit="1"/>
    </xf>
    <xf numFmtId="171" fontId="20" fillId="2" borderId="10" xfId="0" applyFont="1" applyFill="1" applyBorder="1" applyNumberFormat="1">
      <alignment horizontal="center" vertical="center" shrinkToFit="1"/>
    </xf>
    <xf numFmtId="1" fontId="20" fillId="2" borderId="10" xfId="0" applyFont="1" applyFill="1" applyBorder="1" applyNumberFormat="1">
      <alignment horizontal="center" vertical="center" shrinkToFit="1"/>
    </xf>
    <xf numFmtId="10" fontId="20" fillId="0" borderId="10" xfId="0" applyFont="1" applyBorder="1" applyNumberFormat="1">
      <alignment horizontal="center" vertical="center" shrinkToFit="1"/>
    </xf>
    <xf numFmtId="171" fontId="20" fillId="34" borderId="10" xfId="0" applyFont="1" applyFill="1" applyBorder="1" applyNumberFormat="1">
      <alignment horizontal="center" vertical="center" shrinkToFit="1"/>
    </xf>
    <xf numFmtId="49" fontId="20" fillId="34" borderId="16" xfId="0" applyFont="1" applyFill="1" applyBorder="1" applyNumberFormat="1">
      <alignment horizontal="right" vertical="center" shrinkToFit="1"/>
    </xf>
    <xf numFmtId="1" fontId="20" fillId="0" borderId="0" xfId="0" applyFont="1" applyNumberFormat="1">
      <alignment horizontal="left" vertical="center"/>
    </xf>
    <xf numFmtId="49" fontId="20" fillId="0" borderId="17" xfId="0" applyFont="1" applyBorder="1" applyNumberFormat="1">
      <alignment horizontal="center" vertical="center"/>
    </xf>
    <xf numFmtId="172" fontId="20" fillId="35" borderId="17" xfId="0" applyFont="1" applyFill="1" applyBorder="1" applyNumberFormat="1">
      <alignment horizontal="center" vertical="center" shrinkToFit="1"/>
    </xf>
    <xf numFmtId="49" fontId="20" fillId="35" borderId="17" xfId="0" applyFont="1" applyFill="1" applyBorder="1" applyNumberFormat="1">
      <alignment horizontal="center" vertical="center"/>
    </xf>
    <xf numFmtId="1" fontId="20" fillId="35" borderId="17" xfId="0" applyFont="1" applyFill="1" applyBorder="1" applyNumberFormat="1">
      <alignment horizontal="center" vertical="center"/>
    </xf>
    <xf numFmtId="49" fontId="20" fillId="0" borderId="11" xfId="0" applyFont="1" applyBorder="1" applyNumberFormat="1">
      <alignment horizontal="center" vertical="center"/>
    </xf>
    <xf numFmtId="173" fontId="20" fillId="0" borderId="10" xfId="0" applyFont="1" applyBorder="1" applyNumberFormat="1">
      <alignment horizontal="center" vertical="center" shrinkToFit="1"/>
    </xf>
    <xf numFmtId="1" fontId="20" fillId="0" borderId="10" xfId="0" applyFont="1" applyBorder="1" applyNumberFormat="1">
      <alignment horizontal="center" vertical="center" shrinkToFit="1"/>
    </xf>
    <xf numFmtId="10" fontId="20" fillId="2" borderId="18" xfId="0" applyFont="1" applyFill="1" applyBorder="1" applyNumberFormat="1">
      <alignment horizontal="center" vertical="center" shrinkToFit="1"/>
    </xf>
    <xf numFmtId="1" fontId="20" fillId="0" borderId="17" xfId="0" applyFont="1" applyBorder="1" applyNumberFormat="1">
      <alignment horizontal="center" vertical="center"/>
    </xf>
    <xf numFmtId="0" fontId="20" fillId="0" borderId="19" xfId="0" applyFont="1" applyBorder="1">
      <alignment horizontal="right" vertical="center"/>
    </xf>
    <xf numFmtId="0" fontId="0" fillId="0" borderId="20" xfId="0" applyFont="1" applyBorder="1"/>
    <xf numFmtId="0" fontId="20" fillId="0" borderId="21" xfId="0" applyFont="1" applyBorder="1">
      <alignment horizontal="right" vertical="center"/>
    </xf>
    <xf numFmtId="0" fontId="20" fillId="0" borderId="13" xfId="0" applyFont="1" applyBorder="1">
      <alignment horizontal="left" vertical="center"/>
    </xf>
    <xf numFmtId="0" fontId="20" fillId="0" borderId="22" xfId="0" applyFont="1" applyBorder="1">
      <alignment horizontal="left" vertical="center"/>
    </xf>
    <xf numFmtId="0" fontId="0" fillId="0" borderId="21" xfId="0" applyFont="1" applyBorder="1"/>
    <xf numFmtId="20" fontId="20" fillId="0" borderId="23" xfId="0" applyFont="1" applyBorder="1" applyNumberFormat="1">
      <alignment horizontal="left" vertical="center"/>
    </xf>
    <xf numFmtId="49" fontId="20" fillId="0" borderId="15" xfId="0" applyFont="1" applyBorder="1" applyNumberFormat="1">
      <alignment horizontal="center" vertical="center"/>
    </xf>
    <xf numFmtId="49" fontId="20" fillId="0" borderId="24" xfId="0" applyFont="1" applyBorder="1" applyNumberFormat="1">
      <alignment horizontal="center" vertical="center"/>
    </xf>
    <xf numFmtId="49" fontId="20" fillId="0" borderId="12" xfId="0" applyFont="1" applyBorder="1" applyNumberFormat="1">
      <alignment horizontal="center" vertical="center"/>
    </xf>
    <xf numFmtId="49" fontId="20" fillId="0" borderId="12" xfId="0" applyFont="1" applyBorder="1" applyNumberFormat="1">
      <alignment horizontal="center" vertical="center" wrapText="1"/>
    </xf>
    <xf numFmtId="49" fontId="20" fillId="0" borderId="11" xfId="0" applyFont="1" applyBorder="1" applyNumberFormat="1">
      <alignment horizontal="center" vertical="center"/>
    </xf>
    <xf numFmtId="49" fontId="20" fillId="34" borderId="16" xfId="0" applyFont="1" applyFill="1" applyBorder="1" applyNumberFormat="1">
      <alignment horizontal="left" vertical="center" shrinkToFit="1"/>
    </xf>
    <xf numFmtId="171" fontId="20" fillId="2" borderId="10" xfId="0" applyFont="1" applyFill="1" applyBorder="1" applyNumberFormat="1">
      <alignment horizontal="center" vertical="center" shrinkToFit="1"/>
    </xf>
    <xf numFmtId="171" fontId="20" fillId="0" borderId="10" xfId="0" applyFont="1" applyBorder="1" applyNumberFormat="1">
      <alignment horizontal="center" vertical="center" shrinkToFit="1"/>
    </xf>
    <xf numFmtId="10" fontId="20" fillId="0" borderId="10" xfId="0" applyFont="1" applyBorder="1" applyNumberFormat="1">
      <alignment horizontal="center" vertical="center" shrinkToFit="1"/>
    </xf>
    <xf numFmtId="173" fontId="20" fillId="0" borderId="10" xfId="0" applyFont="1" applyBorder="1" applyNumberFormat="1">
      <alignment horizontal="center" vertical="center" shrinkToFit="1"/>
    </xf>
    <xf numFmtId="10" fontId="20" fillId="2" borderId="18" xfId="0" applyFont="1" applyFill="1" applyBorder="1" applyNumberFormat="1">
      <alignment horizontal="center" vertical="center" shrinkToFit="1"/>
    </xf>
    <xf numFmtId="10" fontId="20" fillId="34" borderId="18" xfId="0" applyFont="1" applyFill="1" applyBorder="1" applyNumberFormat="1">
      <alignment horizontal="center" vertical="center" shrinkToFit="1"/>
    </xf>
    <xf numFmtId="10" fontId="20" fillId="34" borderId="25" xfId="0" applyFont="1" applyFill="1" applyBorder="1" applyNumberFormat="1">
      <alignment horizontal="center" vertical="center" shrinkToFit="1"/>
    </xf>
    <xf numFmtId="171" fontId="20" fillId="34" borderId="10" xfId="0" applyFont="1" applyFill="1" applyBorder="1" applyNumberFormat="1">
      <alignment horizontal="center" vertical="center" shrinkToFit="1"/>
    </xf>
    <xf numFmtId="49" fontId="20" fillId="34" borderId="16" xfId="0" applyFont="1" applyFill="1" applyBorder="1" applyNumberFormat="1">
      <alignment horizontal="right" vertical="center" shrinkToFit="1"/>
    </xf>
    <xf numFmtId="0" fontId="20" fillId="0" borderId="26" xfId="0" applyFont="1" applyBorder="1">
      <alignment horizontal="left" vertical="center"/>
    </xf>
    <xf numFmtId="0" fontId="20" fillId="0" borderId="0" xfId="0" applyFont="1">
      <alignment horizontal="left" vertical="center"/>
    </xf>
    <xf numFmtId="0" fontId="0" fillId="0" borderId="27" xfId="0" applyFont="1" applyBorder="1"/>
    <xf numFmtId="0" fontId="0" fillId="0" borderId="17" xfId="0" applyFont="1" applyBorder="1"/>
    <xf numFmtId="49" fontId="20" fillId="0" borderId="17" xfId="0" applyFont="1" applyBorder="1" applyNumberFormat="1">
      <alignment horizontal="center" vertical="center"/>
    </xf>
    <xf numFmtId="172" fontId="20" fillId="35" borderId="17" xfId="0" applyFont="1" applyFill="1" applyBorder="1" applyNumberFormat="1">
      <alignment horizontal="center" vertical="center" shrinkToFit="1"/>
    </xf>
    <xf numFmtId="49" fontId="20" fillId="35" borderId="17" xfId="0" applyFont="1" applyFill="1" applyBorder="1" applyNumberFormat="1">
      <alignment horizontal="center" vertical="center"/>
    </xf>
    <xf numFmtId="0" fontId="20" fillId="0" borderId="17" xfId="0" applyFont="1" applyBorder="1">
      <alignment horizontal="center" vertical="center"/>
    </xf>
    <xf numFmtId="174" fontId="20" fillId="35" borderId="17" xfId="0" applyFont="1" applyFill="1" applyBorder="1" applyNumberFormat="1">
      <alignment horizontal="center" vertical="center"/>
    </xf>
    <xf numFmtId="49" fontId="20" fillId="0" borderId="28" xfId="0" applyFont="1" applyBorder="1" applyNumberFormat="1">
      <alignment horizontal="center" vertical="center"/>
    </xf>
    <xf numFmtId="0" fontId="0" fillId="0" borderId="11" xfId="0" applyFont="1" applyBorder="1">
      <alignment vertical="center"/>
    </xf>
    <xf numFmtId="49" fontId="21" fillId="0" borderId="10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/>
    </xf>
    <xf numFmtId="49" fontId="21" fillId="0" borderId="13" xfId="0" applyFont="1" applyBorder="1" applyNumberFormat="1">
      <alignment horizontal="left" vertical="center" shrinkToFit="1"/>
    </xf>
    <xf numFmtId="0" fontId="0" fillId="0" borderId="10" xfId="0" applyFont="1" applyBorder="1"/>
    <xf numFmtId="0" fontId="0" fillId="0" borderId="10" xfId="0" applyFont="1" applyBorder="1">
      <alignment horizontal="left" vertical="center" shrinkToFit="1"/>
    </xf>
    <xf numFmtId="0" fontId="0" fillId="0" borderId="10" xfId="0" applyFont="1" applyBorder="1">
      <alignment shrinkToFit="1"/>
    </xf>
    <xf numFmtId="0" fontId="0" fillId="0" borderId="10" xfId="0" applyFont="1" applyBorder="1">
      <alignment horizontal="left" shrinkToFit="1"/>
    </xf>
    <xf numFmtId="49" fontId="21" fillId="0" borderId="13" xfId="0" applyFont="1" applyBorder="1" applyNumberFormat="1">
      <alignment horizontal="right" vertical="center" shrinkToFit="1"/>
    </xf>
    <xf numFmtId="0" fontId="0" fillId="0" borderId="0" xfId="0" applyFont="1">
      <alignment horizontal="left" shrinkToFit="1"/>
    </xf>
    <xf numFmtId="49" fontId="21" fillId="0" borderId="14" xfId="0" applyFont="1" applyBorder="1" applyNumberFormat="1">
      <alignment horizontal="left" vertical="center" shrinkToFit="1"/>
    </xf>
    <xf numFmtId="0" fontId="22" fillId="0" borderId="0" xfId="0" applyFont="1"/>
    <xf numFmtId="20" fontId="0" fillId="0" borderId="0" xfId="0" applyFont="1" applyNumberFormat="1">
      <alignment horizontal="left" vertical="center"/>
    </xf>
    <xf numFmtId="49" fontId="20" fillId="0" borderId="15" xfId="0" applyFont="1" applyBorder="1" applyNumberFormat="1">
      <alignment horizontal="left" vertical="center" shrinkToFit="1"/>
    </xf>
    <xf numFmtId="49" fontId="20" fillId="0" borderId="10" xfId="0" applyFont="1" applyBorder="1" applyNumberFormat="1">
      <alignment horizontal="left" vertical="center" shrinkToFit="1"/>
    </xf>
    <xf numFmtId="49" fontId="20" fillId="0" borderId="10" xfId="0" applyFont="1" applyBorder="1" applyNumberFormat="1">
      <alignment horizontal="right" vertical="center" shrinkToFit="1"/>
    </xf>
    <xf numFmtId="49" fontId="20" fillId="34" borderId="29" xfId="0" applyFont="1" applyFill="1" applyBorder="1" applyNumberFormat="1">
      <alignment horizontal="left" vertical="center" shrinkToFit="1"/>
    </xf>
    <xf numFmtId="171" fontId="20" fillId="2" borderId="12" xfId="0" applyFont="1" applyFill="1" applyBorder="1" applyNumberFormat="1">
      <alignment horizontal="center" vertical="center" shrinkToFit="1"/>
    </xf>
    <xf numFmtId="171" fontId="20" fillId="34" borderId="12" xfId="0" applyFont="1" applyFill="1" applyBorder="1" applyNumberFormat="1">
      <alignment horizontal="center" vertical="center" shrinkToFit="1"/>
    </xf>
    <xf numFmtId="171" fontId="20" fillId="0" borderId="12" xfId="0" applyFont="1" applyBorder="1" applyNumberFormat="1">
      <alignment horizontal="center" vertical="center" shrinkToFit="1"/>
    </xf>
    <xf numFmtId="1" fontId="20" fillId="2" borderId="12" xfId="0" applyFont="1" applyFill="1" applyBorder="1" applyNumberFormat="1">
      <alignment horizontal="center" vertical="center" shrinkToFit="1"/>
    </xf>
    <xf numFmtId="10" fontId="20" fillId="0" borderId="12" xfId="0" applyFont="1" applyBorder="1" applyNumberFormat="1">
      <alignment horizontal="center" vertical="center" shrinkToFit="1"/>
    </xf>
    <xf numFmtId="173" fontId="20" fillId="0" borderId="12" xfId="0" applyFont="1" applyBorder="1" applyNumberFormat="1">
      <alignment horizontal="center" vertical="center" shrinkToFit="1"/>
    </xf>
    <xf numFmtId="1" fontId="20" fillId="0" borderId="12" xfId="0" applyFont="1" applyBorder="1" applyNumberFormat="1">
      <alignment horizontal="center" vertical="center" shrinkToFit="1"/>
    </xf>
    <xf numFmtId="10" fontId="20" fillId="2" borderId="30" xfId="0" applyFont="1" applyFill="1" applyBorder="1" applyNumberFormat="1">
      <alignment horizontal="center" vertical="center" shrinkToFit="1"/>
    </xf>
    <xf numFmtId="10" fontId="20" fillId="34" borderId="30" xfId="0" applyFont="1" applyFill="1" applyBorder="1" applyNumberFormat="1">
      <alignment horizontal="center" vertical="center" shrinkToFit="1"/>
    </xf>
    <xf numFmtId="49" fontId="20" fillId="34" borderId="10" xfId="0" applyFont="1" applyFill="1" applyBorder="1" applyNumberFormat="1">
      <alignment horizontal="center" vertical="center" shrinkToFit="1"/>
    </xf>
    <xf numFmtId="171" fontId="20" fillId="2" borderId="10" xfId="0" applyFont="1" applyFill="1" applyBorder="1" applyNumberFormat="1">
      <alignment horizontal="center" vertical="center" shrinkToFit="1"/>
    </xf>
    <xf numFmtId="1" fontId="20" fillId="0" borderId="10" xfId="0" applyFont="1" applyBorder="1" applyNumberFormat="1">
      <alignment horizontal="center" vertical="center" shrinkToFit="1"/>
    </xf>
    <xf numFmtId="10" fontId="20" fillId="2" borderId="10" xfId="0" applyFont="1" applyFill="1" applyBorder="1" applyNumberFormat="1">
      <alignment horizontal="center" vertical="center" shrinkToFit="1"/>
    </xf>
    <xf numFmtId="10" fontId="20" fillId="34" borderId="10" xfId="0" applyFont="1" applyFill="1" applyBorder="1" applyNumberFormat="1">
      <alignment horizontal="center" vertical="center" shrinkToFit="1"/>
    </xf>
    <xf numFmtId="0" fontId="0" fillId="0" borderId="10" xfId="0" applyFont="1" applyBorder="1"/>
    <xf numFmtId="171" fontId="20" fillId="34" borderId="10" xfId="0" applyFont="1" applyFill="1" applyBorder="1" applyNumberFormat="1">
      <alignment horizontal="center" vertical="center" shrinkToFit="1"/>
    </xf>
    <xf numFmtId="10" fontId="20" fillId="34" borderId="10" xfId="0" applyFont="1" applyFill="1" applyBorder="1" applyNumberFormat="1">
      <alignment horizontal="center" vertical="center" shrinkToFit="1"/>
    </xf>
    <xf numFmtId="171" fontId="20" fillId="2" borderId="10" xfId="0" applyFont="1" applyFill="1" applyBorder="1" applyNumberFormat="1">
      <alignment horizontal="center" vertical="center" shrinkToFit="1"/>
    </xf>
    <xf numFmtId="1" fontId="20" fillId="2" borderId="10" xfId="0" applyFont="1" applyFill="1" applyBorder="1" applyNumberFormat="1">
      <alignment horizontal="center" vertical="center" shrinkToFit="1"/>
    </xf>
    <xf numFmtId="0" fontId="23" fillId="0" borderId="31" xfId="0" applyFont="1" applyBorder="1">
      <alignment horizontal="center" vertical="center"/>
    </xf>
    <xf numFmtId="0" fontId="23" fillId="0" borderId="32" xfId="0" applyFont="1" applyBorder="1">
      <alignment horizontal="center" vertical="center"/>
    </xf>
    <xf numFmtId="0" fontId="23" fillId="0" borderId="33" xfId="0" applyFont="1" applyBorder="1">
      <alignment horizontal="center" vertical="center"/>
    </xf>
    <xf numFmtId="0" fontId="23" fillId="0" borderId="34" xfId="0" applyFont="1" applyBorder="1">
      <alignment horizontal="center" vertical="center"/>
    </xf>
    <xf numFmtId="0" fontId="23" fillId="0" borderId="0" xfId="0" applyFont="1">
      <alignment horizontal="center" vertical="center"/>
    </xf>
    <xf numFmtId="0" fontId="23" fillId="0" borderId="27" xfId="0" applyFont="1" applyBorder="1">
      <alignment horizontal="center" vertical="center"/>
    </xf>
    <xf numFmtId="0" fontId="24" fillId="0" borderId="13" xfId="0" applyFont="1" applyBorder="1">
      <alignment horizontal="left" vertical="center"/>
    </xf>
    <xf numFmtId="0" fontId="20" fillId="0" borderId="21" xfId="0" applyFont="1" applyBorder="1">
      <alignment horizontal="right" vertical="center"/>
    </xf>
    <xf numFmtId="49" fontId="20" fillId="0" borderId="35" xfId="0" applyFont="1" applyBorder="1" applyNumberFormat="1">
      <alignment horizontal="center" vertical="center"/>
    </xf>
    <xf numFmtId="49" fontId="20" fillId="0" borderId="29" xfId="0" applyFont="1" applyBorder="1" applyNumberFormat="1">
      <alignment horizontal="center" vertical="center"/>
    </xf>
    <xf numFmtId="49" fontId="20" fillId="0" borderId="36" xfId="0" applyFont="1" applyBorder="1" applyNumberFormat="1">
      <alignment horizontal="center" vertical="center"/>
    </xf>
    <xf numFmtId="49" fontId="20" fillId="0" borderId="15" xfId="0" applyFont="1" applyBorder="1" applyNumberFormat="1">
      <alignment horizontal="center" vertical="center" wrapText="1" shrinkToFit="1"/>
    </xf>
    <xf numFmtId="49" fontId="20" fillId="0" borderId="12" xfId="0" applyFont="1" applyBorder="1" applyNumberFormat="1">
      <alignment horizontal="center" vertical="center" wrapText="1" shrinkToFit="1"/>
    </xf>
    <xf numFmtId="1" fontId="20" fillId="0" borderId="15" xfId="0" applyFont="1" applyBorder="1" applyNumberFormat="1">
      <alignment horizontal="center" vertical="center" wrapText="1" shrinkToFit="1"/>
    </xf>
    <xf numFmtId="1" fontId="20" fillId="0" borderId="12" xfId="0" applyFont="1" applyBorder="1" applyNumberFormat="1">
      <alignment horizontal="center" vertical="center" wrapText="1" shrinkToFit="1"/>
    </xf>
    <xf numFmtId="49" fontId="20" fillId="0" borderId="37" xfId="0" applyFont="1" applyBorder="1" applyNumberFormat="1">
      <alignment horizontal="center" vertical="center" wrapText="1" shrinkToFit="1"/>
    </xf>
    <xf numFmtId="49" fontId="21" fillId="0" borderId="10" xfId="0" applyFont="1" applyBorder="1" applyNumberFormat="1">
      <alignment horizontal="center" vertical="center" wrapText="1" shrinkToFit="1"/>
    </xf>
    <xf numFmtId="49" fontId="21" fillId="0" borderId="12" xfId="0" applyFont="1" applyBorder="1" applyNumberFormat="1">
      <alignment horizontal="center" vertical="center" wrapText="1" shrinkToFit="1"/>
    </xf>
    <xf numFmtId="49" fontId="21" fillId="0" borderId="14" xfId="0" applyFont="1" applyBorder="1" applyNumberFormat="1">
      <alignment horizontal="center" vertical="center"/>
    </xf>
    <xf numFmtId="49" fontId="20" fillId="0" borderId="10" xfId="0" applyFont="1" applyBorder="1" applyNumberFormat="1">
      <alignment horizontal="center" vertical="center"/>
    </xf>
    <xf numFmtId="0" fontId="0" fillId="0" borderId="0" xfId="0" applyFont="1">
      <alignment shrinkToFit="1"/>
    </xf>
    <xf numFmtId="0" fontId="0" fillId="0" borderId="0" xfId="0" applyFont="1">
      <alignment wrapText="1"/>
    </xf>
    <xf numFmtId="1" fontId="0" fillId="0" borderId="0" xfId="0" applyFont="1" applyNumberFormat="1">
      <alignment wrapText="1"/>
    </xf>
    <xf numFmtId="0" fontId="23" fillId="0" borderId="31" xfId="0" applyFont="1" applyBorder="1">
      <alignment horizontal="center" vertical="center" wrapText="1"/>
    </xf>
    <xf numFmtId="0" fontId="23" fillId="0" borderId="32" xfId="0" applyFont="1" applyBorder="1">
      <alignment horizontal="center" vertical="center" wrapText="1"/>
    </xf>
    <xf numFmtId="0" fontId="23" fillId="0" borderId="33" xfId="0" applyFont="1" applyBorder="1">
      <alignment horizontal="center" vertical="center" wrapText="1"/>
    </xf>
    <xf numFmtId="0" fontId="23" fillId="0" borderId="34" xfId="0" applyFont="1" applyBorder="1">
      <alignment horizontal="center" vertical="center" wrapText="1"/>
    </xf>
    <xf numFmtId="0" fontId="23" fillId="0" borderId="0" xfId="0" applyFont="1">
      <alignment horizontal="center" vertical="center" wrapText="1"/>
    </xf>
    <xf numFmtId="0" fontId="23" fillId="0" borderId="27" xfId="0" applyFont="1" applyBorder="1">
      <alignment horizontal="center" vertical="center" wrapText="1"/>
    </xf>
    <xf numFmtId="0" fontId="20" fillId="0" borderId="19" xfId="0" applyFont="1" applyBorder="1">
      <alignment horizontal="right" vertical="center" wrapText="1"/>
    </xf>
    <xf numFmtId="0" fontId="0" fillId="0" borderId="20" xfId="0" applyFont="1" applyBorder="1">
      <alignment wrapText="1"/>
    </xf>
    <xf numFmtId="0" fontId="20" fillId="0" borderId="21" xfId="0" applyFont="1" applyBorder="1">
      <alignment horizontal="right" vertical="center" wrapText="1"/>
    </xf>
    <xf numFmtId="0" fontId="24" fillId="0" borderId="13" xfId="0" applyFont="1" applyBorder="1">
      <alignment horizontal="left" vertical="center" wrapText="1"/>
    </xf>
    <xf numFmtId="1" fontId="20" fillId="0" borderId="13" xfId="0" applyFont="1" applyBorder="1" applyNumberFormat="1">
      <alignment horizontal="left" vertical="center" wrapText="1"/>
    </xf>
    <xf numFmtId="0" fontId="20" fillId="0" borderId="13" xfId="0" applyFont="1" applyBorder="1">
      <alignment horizontal="left" vertical="center" wrapText="1"/>
    </xf>
    <xf numFmtId="0" fontId="20" fillId="0" borderId="22" xfId="0" applyFont="1" applyBorder="1">
      <alignment horizontal="left" vertical="center" wrapText="1"/>
    </xf>
    <xf numFmtId="0" fontId="0" fillId="0" borderId="21" xfId="0" applyFont="1" applyBorder="1">
      <alignment wrapText="1"/>
    </xf>
    <xf numFmtId="0" fontId="20" fillId="0" borderId="21" xfId="0" applyFont="1" applyBorder="1">
      <alignment horizontal="right" vertical="center" wrapText="1"/>
    </xf>
    <xf numFmtId="20" fontId="20" fillId="0" borderId="23" xfId="0" applyFont="1" applyBorder="1" applyNumberFormat="1">
      <alignment horizontal="left" vertical="center" wrapText="1"/>
    </xf>
    <xf numFmtId="49" fontId="20" fillId="0" borderId="35" xfId="0" applyFont="1" applyBorder="1" applyNumberFormat="1">
      <alignment horizontal="center" vertical="center" wrapText="1"/>
    </xf>
    <xf numFmtId="49" fontId="20" fillId="0" borderId="15" xfId="0" applyFont="1" applyBorder="1" applyNumberFormat="1">
      <alignment horizontal="center" vertical="center" wrapText="1"/>
    </xf>
    <xf numFmtId="49" fontId="20" fillId="0" borderId="15" xfId="0" applyFont="1" applyBorder="1" applyNumberFormat="1">
      <alignment horizontal="center" vertical="center" wrapText="1"/>
    </xf>
    <xf numFmtId="1" fontId="20" fillId="0" borderId="15" xfId="0" applyFont="1" applyBorder="1" applyNumberFormat="1">
      <alignment horizontal="center" vertical="center" wrapText="1"/>
    </xf>
    <xf numFmtId="49" fontId="20" fillId="0" borderId="15" xfId="0" applyFont="1" applyBorder="1" applyNumberFormat="1">
      <alignment horizontal="center" vertical="center" wrapText="1" shrinkToFit="1"/>
    </xf>
    <xf numFmtId="1" fontId="20" fillId="0" borderId="15" xfId="0" applyFont="1" applyBorder="1" applyNumberFormat="1">
      <alignment horizontal="center" vertical="center" wrapText="1" shrinkToFit="1"/>
    </xf>
    <xf numFmtId="49" fontId="20" fillId="0" borderId="24" xfId="0" applyFont="1" applyBorder="1" applyNumberFormat="1">
      <alignment horizontal="center" vertical="center" wrapText="1"/>
    </xf>
    <xf numFmtId="49" fontId="20" fillId="0" borderId="29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/>
    </xf>
    <xf numFmtId="1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 shrinkToFit="1"/>
    </xf>
    <xf numFmtId="49" fontId="20" fillId="0" borderId="12" xfId="0" applyFont="1" applyBorder="1" applyNumberFormat="1">
      <alignment horizontal="center" vertical="center" wrapText="1" shrinkToFit="1"/>
    </xf>
    <xf numFmtId="1" fontId="20" fillId="0" borderId="12" xfId="0" applyFont="1" applyBorder="1" applyNumberFormat="1">
      <alignment horizontal="center" vertical="center" wrapText="1" shrinkToFit="1"/>
    </xf>
    <xf numFmtId="49" fontId="20" fillId="0" borderId="37" xfId="0" applyFont="1" applyBorder="1" applyNumberFormat="1">
      <alignment horizontal="center" vertical="center" wrapText="1" shrinkToFit="1"/>
    </xf>
    <xf numFmtId="49" fontId="20" fillId="0" borderId="11" xfId="0" applyFont="1" applyBorder="1" applyNumberFormat="1">
      <alignment horizontal="center" vertical="center" wrapText="1"/>
    </xf>
    <xf numFmtId="49" fontId="20" fillId="0" borderId="11" xfId="0" applyFont="1" applyBorder="1" applyNumberFormat="1">
      <alignment horizontal="center" vertical="center" wrapText="1"/>
    </xf>
    <xf numFmtId="49" fontId="20" fillId="34" borderId="16" xfId="0" applyFont="1" applyFill="1" applyBorder="1" applyNumberFormat="1">
      <alignment horizontal="left" vertical="center" wrapText="1" shrinkToFit="1"/>
    </xf>
    <xf numFmtId="171" fontId="20" fillId="2" borderId="10" xfId="0" applyFont="1" applyFill="1" applyBorder="1" applyNumberFormat="1">
      <alignment horizontal="center" vertical="center" wrapText="1" shrinkToFit="1"/>
    </xf>
    <xf numFmtId="171" fontId="20" fillId="0" borderId="10" xfId="0" applyFont="1" applyBorder="1" applyNumberFormat="1">
      <alignment horizontal="center" vertical="center" wrapText="1" shrinkToFit="1"/>
    </xf>
    <xf numFmtId="171" fontId="20" fillId="2" borderId="10" xfId="0" applyFont="1" applyFill="1" applyBorder="1" applyNumberFormat="1">
      <alignment horizontal="center" vertical="center" wrapText="1" shrinkToFit="1"/>
    </xf>
    <xf numFmtId="171" fontId="20" fillId="0" borderId="10" xfId="0" applyFont="1" applyBorder="1" applyNumberFormat="1">
      <alignment horizontal="center" vertical="center" wrapText="1" shrinkToFit="1"/>
    </xf>
    <xf numFmtId="1" fontId="20" fillId="2" borderId="10" xfId="0" applyFont="1" applyFill="1" applyBorder="1" applyNumberFormat="1">
      <alignment horizontal="center" vertical="center" wrapText="1" shrinkToFit="1"/>
    </xf>
    <xf numFmtId="10" fontId="20" fillId="0" borderId="10" xfId="0" applyFont="1" applyBorder="1" applyNumberFormat="1">
      <alignment horizontal="center" vertical="center" wrapText="1" shrinkToFit="1"/>
    </xf>
    <xf numFmtId="173" fontId="20" fillId="0" borderId="10" xfId="0" applyFont="1" applyBorder="1" applyNumberFormat="1">
      <alignment horizontal="center" vertical="center" wrapText="1" shrinkToFit="1"/>
    </xf>
    <xf numFmtId="1" fontId="20" fillId="0" borderId="10" xfId="0" applyFont="1" applyBorder="1" applyNumberFormat="1">
      <alignment horizontal="center" vertical="center" wrapText="1" shrinkToFit="1"/>
    </xf>
    <xf numFmtId="10" fontId="20" fillId="2" borderId="18" xfId="0" applyFont="1" applyFill="1" applyBorder="1" applyNumberFormat="1">
      <alignment horizontal="center" vertical="center" wrapText="1" shrinkToFit="1"/>
    </xf>
    <xf numFmtId="10" fontId="20" fillId="34" borderId="18" xfId="0" applyFont="1" applyFill="1" applyBorder="1" applyNumberFormat="1">
      <alignment horizontal="center" vertical="center" wrapText="1" shrinkToFit="1"/>
    </xf>
    <xf numFmtId="10" fontId="20" fillId="2" borderId="18" xfId="0" applyFont="1" applyFill="1" applyBorder="1" applyNumberFormat="1">
      <alignment horizontal="center" vertical="center" wrapText="1" shrinkToFit="1"/>
    </xf>
    <xf numFmtId="10" fontId="20" fillId="34" borderId="25" xfId="0" applyFont="1" applyFill="1" applyBorder="1" applyNumberFormat="1">
      <alignment horizontal="center" vertical="center" wrapText="1" shrinkToFit="1"/>
    </xf>
    <xf numFmtId="49" fontId="20" fillId="34" borderId="16" xfId="0" applyFont="1" applyFill="1" applyBorder="1" applyNumberFormat="1">
      <alignment horizontal="left" vertical="center" wrapText="1" shrinkToFit="1"/>
    </xf>
    <xf numFmtId="171" fontId="20" fillId="34" borderId="10" xfId="0" applyFont="1" applyFill="1" applyBorder="1" applyNumberFormat="1">
      <alignment horizontal="center" vertical="center" wrapText="1" shrinkToFit="1"/>
    </xf>
    <xf numFmtId="10" fontId="20" fillId="0" borderId="10" xfId="0" applyFont="1" applyBorder="1" applyNumberFormat="1">
      <alignment horizontal="center" vertical="center" wrapText="1" shrinkToFit="1"/>
    </xf>
    <xf numFmtId="173" fontId="20" fillId="0" borderId="10" xfId="0" applyFont="1" applyBorder="1" applyNumberFormat="1">
      <alignment horizontal="center" vertical="center" wrapText="1" shrinkToFit="1"/>
    </xf>
    <xf numFmtId="49" fontId="20" fillId="34" borderId="16" xfId="0" applyFont="1" applyFill="1" applyBorder="1" applyNumberFormat="1">
      <alignment horizontal="right" vertical="center" wrapText="1" shrinkToFit="1"/>
    </xf>
    <xf numFmtId="49" fontId="20" fillId="34" borderId="16" xfId="0" applyFont="1" applyFill="1" applyBorder="1" applyNumberFormat="1">
      <alignment horizontal="right" vertical="center" wrapText="1" shrinkToFit="1"/>
    </xf>
    <xf numFmtId="171" fontId="20" fillId="34" borderId="10" xfId="0" applyFont="1" applyFill="1" applyBorder="1" applyNumberFormat="1">
      <alignment horizontal="center" vertical="center" wrapText="1" shrinkToFit="1"/>
    </xf>
    <xf numFmtId="49" fontId="20" fillId="34" borderId="29" xfId="0" applyFont="1" applyFill="1" applyBorder="1" applyNumberFormat="1">
      <alignment horizontal="left" vertical="center" wrapText="1" shrinkToFit="1"/>
    </xf>
    <xf numFmtId="171" fontId="20" fillId="2" borderId="12" xfId="0" applyFont="1" applyFill="1" applyBorder="1" applyNumberFormat="1">
      <alignment horizontal="center" vertical="center" wrapText="1" shrinkToFit="1"/>
    </xf>
    <xf numFmtId="171" fontId="20" fillId="34" borderId="12" xfId="0" applyFont="1" applyFill="1" applyBorder="1" applyNumberFormat="1">
      <alignment horizontal="center" vertical="center" wrapText="1" shrinkToFit="1"/>
    </xf>
    <xf numFmtId="171" fontId="20" fillId="0" borderId="12" xfId="0" applyFont="1" applyBorder="1" applyNumberFormat="1">
      <alignment horizontal="center" vertical="center" wrapText="1" shrinkToFit="1"/>
    </xf>
    <xf numFmtId="1" fontId="20" fillId="2" borderId="12" xfId="0" applyFont="1" applyFill="1" applyBorder="1" applyNumberFormat="1">
      <alignment horizontal="center" vertical="center" wrapText="1" shrinkToFit="1"/>
    </xf>
    <xf numFmtId="10" fontId="20" fillId="0" borderId="12" xfId="0" applyFont="1" applyBorder="1" applyNumberFormat="1">
      <alignment horizontal="center" vertical="center" wrapText="1" shrinkToFit="1"/>
    </xf>
    <xf numFmtId="173" fontId="20" fillId="0" borderId="12" xfId="0" applyFont="1" applyBorder="1" applyNumberFormat="1">
      <alignment horizontal="center" vertical="center" wrapText="1" shrinkToFit="1"/>
    </xf>
    <xf numFmtId="1" fontId="20" fillId="0" borderId="12" xfId="0" applyFont="1" applyBorder="1" applyNumberFormat="1">
      <alignment horizontal="center" vertical="center" wrapText="1" shrinkToFit="1"/>
    </xf>
    <xf numFmtId="10" fontId="20" fillId="2" borderId="30" xfId="0" applyFont="1" applyFill="1" applyBorder="1" applyNumberFormat="1">
      <alignment horizontal="center" vertical="center" wrapText="1" shrinkToFit="1"/>
    </xf>
    <xf numFmtId="10" fontId="20" fillId="34" borderId="30" xfId="0" applyFont="1" applyFill="1" applyBorder="1" applyNumberFormat="1">
      <alignment horizontal="center" vertical="center" wrapText="1" shrinkToFit="1"/>
    </xf>
    <xf numFmtId="0" fontId="0" fillId="0" borderId="0" xfId="0" applyFont="1"/>
    <xf numFmtId="49" fontId="20" fillId="34" borderId="10" xfId="0" applyFont="1" applyFill="1" applyBorder="1" applyNumberFormat="1">
      <alignment horizontal="center" vertical="center" wrapText="1" shrinkToFit="1"/>
    </xf>
    <xf numFmtId="171" fontId="20" fillId="2" borderId="10" xfId="0" applyFont="1" applyFill="1" applyBorder="1" applyNumberFormat="1">
      <alignment horizontal="center" vertical="center" wrapText="1" shrinkToFit="1"/>
    </xf>
    <xf numFmtId="1" fontId="20" fillId="0" borderId="10" xfId="0" applyFont="1" applyBorder="1" applyNumberFormat="1">
      <alignment horizontal="center" vertical="center" wrapText="1" shrinkToFit="1"/>
    </xf>
    <xf numFmtId="10" fontId="20" fillId="2" borderId="10" xfId="0" applyFont="1" applyFill="1" applyBorder="1" applyNumberFormat="1">
      <alignment horizontal="center" vertical="center" wrapText="1" shrinkToFit="1"/>
    </xf>
    <xf numFmtId="10" fontId="20" fillId="34" borderId="10" xfId="0" applyFont="1" applyFill="1" applyBorder="1" applyNumberFormat="1">
      <alignment horizontal="center" vertical="center" wrapText="1" shrinkToFit="1"/>
    </xf>
    <xf numFmtId="0" fontId="0" fillId="0" borderId="0" xfId="0" applyFont="1"/>
    <xf numFmtId="171" fontId="20" fillId="34" borderId="10" xfId="0" applyFont="1" applyFill="1" applyBorder="1" applyNumberFormat="1">
      <alignment horizontal="center" vertical="center" wrapText="1" shrinkToFit="1"/>
    </xf>
    <xf numFmtId="171" fontId="20" fillId="2" borderId="10" xfId="0" applyFont="1" applyFill="1" applyBorder="1" applyNumberFormat="1">
      <alignment horizontal="center" vertical="center" wrapText="1" shrinkToFit="1"/>
    </xf>
    <xf numFmtId="0" fontId="0" fillId="0" borderId="0" xfId="0" applyFont="1"/>
    <xf numFmtId="1" fontId="20" fillId="2" borderId="10" xfId="0" applyFont="1" applyFill="1" applyBorder="1" applyNumberFormat="1">
      <alignment horizontal="center" vertical="center" wrapText="1" shrinkToFit="1"/>
    </xf>
    <xf numFmtId="10" fontId="20" fillId="34" borderId="10" xfId="0" applyFont="1" applyFill="1" applyBorder="1" applyNumberFormat="1">
      <alignment horizontal="center" vertical="center" wrapText="1" shrinkToFit="1"/>
    </xf>
    <xf numFmtId="0" fontId="20" fillId="0" borderId="26" xfId="0" applyFont="1" applyBorder="1">
      <alignment horizontal="left" vertical="center" wrapText="1"/>
    </xf>
    <xf numFmtId="0" fontId="20" fillId="0" borderId="0" xfId="0" applyFont="1">
      <alignment horizontal="left" vertical="center" wrapText="1"/>
    </xf>
    <xf numFmtId="1" fontId="20" fillId="0" borderId="0" xfId="0" applyFont="1" applyNumberFormat="1">
      <alignment horizontal="left" vertical="center" wrapText="1"/>
    </xf>
    <xf numFmtId="0" fontId="0" fillId="0" borderId="27" xfId="0" applyFont="1" applyBorder="1">
      <alignment wrapText="1"/>
    </xf>
    <xf numFmtId="49" fontId="20" fillId="0" borderId="36" xfId="0" applyFont="1" applyBorder="1" applyNumberFormat="1">
      <alignment horizontal="center" vertical="center" wrapText="1"/>
    </xf>
    <xf numFmtId="0" fontId="0" fillId="0" borderId="17" xfId="0" applyFont="1" applyBorder="1">
      <alignment wrapText="1"/>
    </xf>
    <xf numFmtId="49" fontId="20" fillId="0" borderId="17" xfId="0" applyFont="1" applyBorder="1" applyNumberFormat="1">
      <alignment horizontal="center" vertical="center" wrapText="1"/>
    </xf>
    <xf numFmtId="172" fontId="20" fillId="35" borderId="17" xfId="0" applyFont="1" applyFill="1" applyBorder="1" applyNumberFormat="1">
      <alignment horizontal="center" vertical="center" wrapText="1" shrinkToFit="1"/>
    </xf>
    <xf numFmtId="49" fontId="20" fillId="35" borderId="17" xfId="0" applyFont="1" applyFill="1" applyBorder="1" applyNumberFormat="1">
      <alignment horizontal="center" vertical="center" wrapText="1"/>
    </xf>
    <xf numFmtId="1" fontId="20" fillId="35" borderId="17" xfId="0" applyFont="1" applyFill="1" applyBorder="1" applyNumberFormat="1">
      <alignment horizontal="center" vertical="center" wrapText="1"/>
    </xf>
    <xf numFmtId="49" fontId="20" fillId="0" borderId="17" xfId="0" applyFont="1" applyBorder="1" applyNumberFormat="1">
      <alignment horizontal="center" vertical="center" wrapText="1"/>
    </xf>
    <xf numFmtId="0" fontId="20" fillId="0" borderId="17" xfId="0" applyFont="1" applyBorder="1">
      <alignment horizontal="center" vertical="center" wrapText="1"/>
    </xf>
    <xf numFmtId="1" fontId="20" fillId="0" borderId="17" xfId="0" applyFont="1" applyBorder="1" applyNumberFormat="1">
      <alignment horizontal="center" vertical="center" wrapText="1"/>
    </xf>
    <xf numFmtId="172" fontId="20" fillId="35" borderId="17" xfId="0" applyFont="1" applyFill="1" applyBorder="1" applyNumberFormat="1">
      <alignment horizontal="center" vertical="center" wrapText="1" shrinkToFit="1"/>
    </xf>
    <xf numFmtId="49" fontId="20" fillId="35" borderId="17" xfId="0" applyFont="1" applyFill="1" applyBorder="1" applyNumberFormat="1">
      <alignment horizontal="center" vertical="center" wrapText="1"/>
    </xf>
    <xf numFmtId="174" fontId="20" fillId="35" borderId="17" xfId="0" applyFont="1" applyFill="1" applyBorder="1" applyNumberFormat="1">
      <alignment horizontal="center" vertical="center" wrapText="1"/>
    </xf>
    <xf numFmtId="49" fontId="20" fillId="0" borderId="28" xfId="0" applyFont="1" applyBorder="1" applyNumberForma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11" xfId="0" applyFont="1" applyBorder="1">
      <alignment vertical="center" wrapText="1"/>
    </xf>
    <xf numFmtId="49" fontId="21" fillId="0" borderId="14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horizontal="center" vertical="center" wrapText="1" shrinkToFit="1"/>
    </xf>
    <xf numFmtId="0" fontId="0" fillId="0" borderId="0" xfId="0" applyFont="1">
      <alignment wrapText="1"/>
    </xf>
    <xf numFmtId="49" fontId="21" fillId="0" borderId="12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 shrinkToFit="1"/>
    </xf>
    <xf numFmtId="49" fontId="21" fillId="0" borderId="12" xfId="0" applyFont="1" applyBorder="1" applyNumberFormat="1">
      <alignment horizontal="center" vertical="center" wrapText="1" shrinkToFit="1"/>
    </xf>
    <xf numFmtId="0" fontId="0" fillId="0" borderId="0" xfId="0" applyFont="1">
      <alignment wrapText="1"/>
    </xf>
    <xf numFmtId="0" fontId="0" fillId="0" borderId="11" xfId="0" applyFont="1" applyBorder="1">
      <alignment vertical="center" wrapText="1"/>
    </xf>
    <xf numFmtId="49" fontId="21" fillId="0" borderId="13" xfId="0" applyFont="1" applyBorder="1" applyNumberFormat="1">
      <alignment horizontal="left" vertical="center" wrapText="1" shrinkToFit="1"/>
    </xf>
    <xf numFmtId="0" fontId="0" fillId="0" borderId="10" xfId="0" applyFont="1" applyBorder="1">
      <alignment wrapText="1"/>
    </xf>
    <xf numFmtId="0" fontId="0" fillId="0" borderId="10" xfId="0" applyFont="1" applyBorder="1">
      <alignment wrapText="1"/>
    </xf>
    <xf numFmtId="0" fontId="0" fillId="0" borderId="10" xfId="0" applyFont="1" applyBorder="1">
      <alignment horizontal="left" vertical="center" wrapText="1" shrinkToFit="1"/>
    </xf>
    <xf numFmtId="0" fontId="0" fillId="0" borderId="10" xfId="0" applyFont="1" applyBorder="1">
      <alignment wrapText="1" shrinkToFit="1"/>
    </xf>
    <xf numFmtId="0" fontId="0" fillId="0" borderId="10" xfId="0" applyFont="1" applyBorder="1">
      <alignment horizontal="left" vertical="center" wrapText="1" shrinkToFit="1"/>
    </xf>
    <xf numFmtId="0" fontId="0" fillId="33" borderId="0" xfId="0" applyFont="1" applyFill="1">
      <alignment wrapText="1"/>
    </xf>
    <xf numFmtId="49" fontId="21" fillId="0" borderId="13" xfId="0" applyFont="1" applyBorder="1" applyNumberFormat="1">
      <alignment horizontal="left" vertical="center" wrapText="1" shrinkToFit="1"/>
    </xf>
    <xf numFmtId="0" fontId="0" fillId="0" borderId="10" xfId="0" applyFont="1" applyBorder="1">
      <alignment horizontal="left" wrapText="1" shrinkToFit="1"/>
    </xf>
    <xf numFmtId="49" fontId="21" fillId="0" borderId="13" xfId="0" applyFont="1" applyBorder="1" applyNumberFormat="1">
      <alignment horizontal="right" vertical="center" wrapText="1" shrinkToFit="1"/>
    </xf>
    <xf numFmtId="0" fontId="0" fillId="0" borderId="0" xfId="0" applyFont="1">
      <alignment horizontal="left" wrapText="1" shrinkToFit="1"/>
    </xf>
    <xf numFmtId="0" fontId="0" fillId="0" borderId="0" xfId="0" applyFont="1">
      <alignment horizontal="left" wrapText="1" shrinkToFit="1"/>
    </xf>
    <xf numFmtId="49" fontId="21" fillId="0" borderId="13" xfId="0" applyFont="1" applyBorder="1" applyNumberFormat="1">
      <alignment horizontal="right" vertical="center" wrapText="1" shrinkToFit="1"/>
    </xf>
    <xf numFmtId="0" fontId="0" fillId="34" borderId="0" xfId="0" applyFont="1" applyFill="1">
      <alignment wrapText="1"/>
    </xf>
    <xf numFmtId="0" fontId="0" fillId="0" borderId="0" xfId="0" applyFont="1">
      <alignment wrapText="1" shrinkToFit="1"/>
    </xf>
    <xf numFmtId="0" fontId="0" fillId="0" borderId="0" xfId="0" applyFont="1">
      <alignment wrapText="1"/>
    </xf>
    <xf numFmtId="0" fontId="0" fillId="0" borderId="0" xfId="0" applyFont="1">
      <alignment wrapText="1" shrinkToFit="1"/>
    </xf>
    <xf numFmtId="0" fontId="0" fillId="0" borderId="0" xfId="0" applyFont="1">
      <alignment wrapText="1"/>
    </xf>
    <xf numFmtId="49" fontId="21" fillId="0" borderId="14" xfId="0" applyFont="1" applyBorder="1" applyNumberFormat="1">
      <alignment horizontal="left" vertical="center" wrapText="1" shrinkToFit="1"/>
    </xf>
    <xf numFmtId="0" fontId="0" fillId="0" borderId="10" xfId="0" applyFont="1" applyBorder="1">
      <alignment wrapText="1"/>
    </xf>
    <xf numFmtId="49" fontId="21" fillId="0" borderId="14" xfId="0" applyFont="1" applyBorder="1" applyNumberFormat="1">
      <alignment horizontal="left" vertical="center" wrapText="1" shrinkToFit="1"/>
    </xf>
    <xf numFmtId="0" fontId="22" fillId="0" borderId="0" xfId="0" applyFont="1">
      <alignment wrapText="1"/>
    </xf>
    <xf numFmtId="20" fontId="0" fillId="0" borderId="0" xfId="0" applyFont="1" applyNumberFormat="1">
      <alignment horizontal="lef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49" fontId="20" fillId="0" borderId="10" xfId="0" applyFont="1" applyBorder="1" applyNumberFormat="1">
      <alignment horizontal="center" vertical="center" wrapText="1"/>
    </xf>
    <xf numFmtId="49" fontId="20" fillId="0" borderId="10" xfId="0" applyFont="1" applyBorder="1" applyNumberFormat="1">
      <alignment horizontal="center" vertical="center" wrapText="1"/>
    </xf>
    <xf numFmtId="49" fontId="20" fillId="0" borderId="15" xfId="0" applyFont="1" applyBorder="1" applyNumberFormat="1">
      <alignment horizontal="left" vertical="center" wrapText="1" shrinkToFit="1"/>
    </xf>
    <xf numFmtId="49" fontId="20" fillId="0" borderId="10" xfId="0" applyFont="1" applyBorder="1" applyNumberFormat="1">
      <alignment horizontal="left" vertical="center" wrapText="1" shrinkToFit="1"/>
    </xf>
    <xf numFmtId="49" fontId="20" fillId="0" borderId="10" xfId="0" applyFont="1" applyBorder="1" applyNumberFormat="1">
      <alignment horizontal="right" vertical="center" wrapText="1" shrinkToFit="1"/>
    </xf>
    <xf numFmtId="49" fontId="20" fillId="0" borderId="10" xfId="0" applyFont="1" applyBorder="1" applyNumberFormat="1">
      <alignment horizontal="right" vertical="center" wrapText="1" shrinkToFit="1"/>
    </xf>
    <xf numFmtId="49" fontId="20" fillId="0" borderId="10" xfId="0" applyFont="1" applyBorder="1" applyNumberFormat="1">
      <alignment horizontal="left" vertical="center" wrapText="1" shrinkToFit="1"/>
    </xf>
    <xf numFmtId="0" fontId="0" fillId="0" borderId="0" xfId="0" applyFont="1"/>
    <xf numFmtId="0" fontId="0" fillId="0" borderId="0" xfId="0" applyFont="1"/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DEC7708-39E8-0048-51E8-0709A3189218}" mc:Ignorable="x14ac xr xr2 xr3">
  <dimension ref="A1:R23"/>
  <sheetViews>
    <sheetView defaultGridColor="0" colorId="31" showGridLines="0" zoomScale="90" workbookViewId="0" tabSelected="1">
      <pane xSplit="2" ySplit="6" topLeftCell="C7" activePane="bottomRight" state="frozen"/>
      <selection pane="bottomLeft" activeCell="A7" sqref="A7"/>
      <selection pane="topRight" activeCell="C1" sqref="C1"/>
      <selection pane="bottomRight" activeCell="A1" sqref="A1"/>
    </sheetView>
  </sheetViews>
  <sheetFormatPr defaultColWidth="9.00390625" customHeight="1" defaultRowHeight="13.950000000000001"/>
  <cols>
    <col min="1" max="1" style="275" width="2.57421875" customWidth="1"/>
    <col min="2" max="2" style="276" width="39.8515625" customWidth="1"/>
    <col min="3" max="3" style="277" width="12.57421875" customWidth="1"/>
    <col min="4" max="4" style="278" width="12.57421875" customWidth="1"/>
    <col min="5" max="5" style="279" width="12.57421875" customWidth="1"/>
    <col min="6" max="6" style="280" width="12.57421875" customWidth="1"/>
    <col min="7" max="7" style="66" width="12.57421875" customWidth="1"/>
    <col min="8" max="8" style="281" width="12.57421875" customWidth="1"/>
    <col min="9" max="9" style="282" width="15.57421875" customWidth="1"/>
    <col min="10" max="10" style="283" width="12.57421875" customWidth="1"/>
    <col min="11" max="11" style="284" width="12.57421875" customWidth="1"/>
    <col min="12" max="12" style="285" width="12.57421875" customWidth="1"/>
    <col min="13" max="13" style="286" width="12.57421875" customWidth="1"/>
    <col min="14" max="14" style="66" width="12.57421875" customWidth="1"/>
    <col min="15" max="15" style="287" width="12.57421875" customWidth="1"/>
    <col min="16" max="16" style="288" width="12.57421875" customWidth="1"/>
    <col min="17" max="17" style="289" width="12.57421875" customWidth="1"/>
    <col min="18" max="18" style="290" width="12.57421875" customWidth="1"/>
  </cols>
  <sheetData>
    <row customHeight="1" ht="2.25">
      <c r="A1" s="179"/>
      <c r="B1" s="179"/>
      <c r="C1" s="179"/>
      <c r="D1" s="179"/>
      <c r="E1" s="179"/>
      <c r="F1" s="179"/>
      <c r="G1" s="180"/>
      <c r="H1" s="179"/>
      <c r="I1" s="179"/>
      <c r="J1" s="179"/>
      <c r="K1" s="179"/>
      <c r="L1" s="179"/>
      <c r="M1" s="179"/>
      <c r="N1" s="180"/>
      <c r="O1" s="179"/>
      <c r="P1" s="179"/>
      <c r="Q1" s="179"/>
      <c r="R1" s="179"/>
    </row>
    <row customHeight="1" ht="14.25">
      <c r="A2" s="179"/>
      <c r="B2" s="181" t="str">
        <f>取值!B55</f>
        <v>2026年全年生产任务完成情况统计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3"/>
    </row>
    <row customHeight="1" ht="14.25">
      <c r="A3" s="179"/>
      <c r="B3" s="184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6"/>
    </row>
    <row customHeight="1" ht="14.25">
      <c r="A4" s="179"/>
      <c r="B4" s="187"/>
      <c r="C4" s="188"/>
      <c r="D4" s="189" t="s">
        <v>0</v>
      </c>
      <c r="E4" s="190" t="s">
        <v>1</v>
      </c>
      <c r="F4" s="190"/>
      <c r="G4" s="191"/>
      <c r="H4" s="192"/>
      <c r="I4" s="192"/>
      <c r="J4" s="192"/>
      <c r="K4" s="193"/>
      <c r="L4" s="194"/>
      <c r="M4" s="194"/>
      <c r="N4" s="195" t="str">
        <f>取值!B50&amp;取值!B51</f>
        <v>报表生产时间:2026-01-07</v>
      </c>
      <c r="O4" s="195"/>
      <c r="P4" s="195"/>
      <c r="Q4" s="195"/>
      <c r="R4" s="196" t="str">
        <f>取值!B52</f>
        <v>0.3333333333333333</v>
      </c>
    </row>
    <row customHeight="1" ht="14.25">
      <c r="A5" s="179"/>
      <c r="B5" s="197" t="s">
        <v>2</v>
      </c>
      <c r="C5" s="198" t="s">
        <v>3</v>
      </c>
      <c r="D5" s="199" t="s">
        <v>4</v>
      </c>
      <c r="E5" s="199" t="s">
        <v>5</v>
      </c>
      <c r="F5" s="199" t="s">
        <v>6</v>
      </c>
      <c r="G5" s="200" t="s">
        <v>7</v>
      </c>
      <c r="H5" s="169" t="s">
        <v>8</v>
      </c>
      <c r="I5" s="199" t="s">
        <v>9</v>
      </c>
      <c r="J5" s="169" t="s">
        <v>10</v>
      </c>
      <c r="K5" s="199" t="s">
        <v>11</v>
      </c>
      <c r="L5" s="199" t="s">
        <v>12</v>
      </c>
      <c r="M5" s="169" t="s">
        <v>13</v>
      </c>
      <c r="N5" s="171" t="s">
        <v>14</v>
      </c>
      <c r="O5" s="169" t="s">
        <v>15</v>
      </c>
      <c r="P5" s="199" t="s">
        <v>16</v>
      </c>
      <c r="Q5" s="199" t="s">
        <v>5</v>
      </c>
      <c r="R5" s="203" t="s">
        <v>17</v>
      </c>
    </row>
    <row customHeight="1" ht="27.75">
      <c r="A6" s="179"/>
      <c r="B6" s="204"/>
      <c r="C6" s="205" t="s">
        <v>18</v>
      </c>
      <c r="D6" s="206" t="s">
        <v>18</v>
      </c>
      <c r="E6" s="100" t="s">
        <v>19</v>
      </c>
      <c r="F6" s="71" t="s">
        <v>20</v>
      </c>
      <c r="G6" s="72" t="s">
        <v>21</v>
      </c>
      <c r="H6" s="170"/>
      <c r="I6" s="73" t="s">
        <v>22</v>
      </c>
      <c r="J6" s="170"/>
      <c r="K6" s="206" t="s">
        <v>23</v>
      </c>
      <c r="L6" s="206" t="s">
        <v>18</v>
      </c>
      <c r="M6" s="170"/>
      <c r="N6" s="172"/>
      <c r="O6" s="173"/>
      <c r="P6" s="214" t="s">
        <v>24</v>
      </c>
      <c r="Q6" s="215" t="s">
        <v>24</v>
      </c>
      <c r="R6" s="215" t="s">
        <v>24</v>
      </c>
    </row>
    <row customHeight="1" ht="30">
      <c r="A7" s="179"/>
      <c r="B7" s="216" t="s">
        <v>25</v>
      </c>
      <c r="C7" s="217">
        <f>计划取值!B5</f>
        <v>120000.000388416</v>
      </c>
      <c r="D7" s="218">
        <f>取值!D3</f>
        <v>4280</v>
      </c>
      <c r="E7" s="219">
        <f>取值!E3</f>
        <v>29955</v>
      </c>
      <c r="F7" s="220">
        <f>IF(_xlfn.IFERROR(C7-E7,"error")&lt;0,0,_xlfn.IFERROR(C7-E7,"error"))</f>
        <v>90045.000388416</v>
      </c>
      <c r="G7" s="221">
        <f>_xlfn.IFERROR(IF($G$23=0,F7,F7/$G$23),0)</f>
        <v>3751.875016184</v>
      </c>
      <c r="H7" s="222">
        <f>_xlfn.IFERROR(E7/C7,"error")</f>
        <v>0.249624999192014</v>
      </c>
      <c r="I7" s="219">
        <f>取值!I3</f>
        <v>29955</v>
      </c>
      <c r="J7" s="220">
        <f>取值!J3</f>
        <v>27351</v>
      </c>
      <c r="K7" s="219">
        <f>_xlfn.IFERROR(I7-J7,"error")</f>
        <v>2604</v>
      </c>
      <c r="L7" s="223">
        <f>计划取值!D5</f>
        <v>0</v>
      </c>
      <c r="M7" s="219">
        <f>IF(_xlfn.IFERROR(L7-I7,"error")&lt;0,0,_xlfn.IFERROR(L7-I7,"error"))</f>
        <v>0</v>
      </c>
      <c r="N7" s="224">
        <f>_xlfn.IFERROR(M7/Q23,"error")</f>
        <v>0</v>
      </c>
      <c r="O7" s="225" t="str">
        <f>_xlfn.IFERROR(I7/L7,"")</f>
        <v/>
      </c>
      <c r="P7" s="226">
        <f>ROUND(取值!P3/100,4)</f>
        <v>0.9336</v>
      </c>
      <c r="Q7" s="227">
        <f>ROUND(取值!R3/100,4)</f>
        <v>0.9322</v>
      </c>
      <c r="R7" s="228">
        <f>ROUND(取值!T3/100,4)</f>
        <v>0.9322</v>
      </c>
    </row>
    <row customHeight="1" ht="30">
      <c r="A8" s="179"/>
      <c r="B8" s="229" t="s">
        <v>26</v>
      </c>
      <c r="C8" s="219">
        <f>SUM(C9,C10)</f>
        <v>196000.0033608</v>
      </c>
      <c r="D8" s="230">
        <f>_xlfn.IFERROR(SUM(D9,D10),"error")</f>
        <v>7176</v>
      </c>
      <c r="E8" s="219">
        <f>_xlfn.IFERROR(SUM(E9,E10),"error")</f>
        <v>51266</v>
      </c>
      <c r="F8" s="220">
        <f>IF(_xlfn.IFERROR(C8-E8,"error")&lt;0,0,_xlfn.IFERROR(C8-E8,"error"))</f>
        <v>144734.0033608</v>
      </c>
      <c r="G8" s="221">
        <f>_xlfn.IFERROR(IF($G$23=0,F8,F8/$G$23),0)</f>
        <v>6030.58347336667</v>
      </c>
      <c r="H8" s="231">
        <f>_xlfn.IFERROR(E8/C8,"error")</f>
        <v>0.261561220004822</v>
      </c>
      <c r="I8" s="219">
        <f>_xlfn.IFERROR(SUM(I9,I10),"error")</f>
        <v>51266</v>
      </c>
      <c r="J8" s="220">
        <f>_xlfn.IFERROR(SUM(J9,J10),"error")</f>
        <v>58114</v>
      </c>
      <c r="K8" s="219">
        <f>_xlfn.IFERROR(I8-J8,"error")</f>
        <v>-6848</v>
      </c>
      <c r="L8" s="232">
        <f>SUM(L9,L10)</f>
        <v>0</v>
      </c>
      <c r="M8" s="219">
        <f>IF(_xlfn.IFERROR(L8-I8,"error")&lt;0,0,_xlfn.IFERROR(L8-I8,"error"))</f>
        <v>0</v>
      </c>
      <c r="N8" s="224">
        <f>_xlfn.IFERROR(M8/Q23,"error")</f>
        <v>0</v>
      </c>
      <c r="O8" s="227" t="str">
        <f>_xlfn.IFERROR(I8/L8,"")</f>
        <v/>
      </c>
      <c r="P8" s="226">
        <f>ROUND(取值!P6/100,4)</f>
        <v>0.9944</v>
      </c>
      <c r="Q8" s="227">
        <f>ROUND(取值!R6/100,4)</f>
        <v>0.9934</v>
      </c>
      <c r="R8" s="228">
        <f>ROUND(取值!T6/100,4)</f>
        <v>0.9934</v>
      </c>
    </row>
    <row customHeight="1" ht="30">
      <c r="A9" s="179"/>
      <c r="B9" s="233" t="s">
        <v>27</v>
      </c>
      <c r="C9" s="219">
        <f>计划取值!B7</f>
        <v>68000.0032008</v>
      </c>
      <c r="D9" s="220">
        <f>取值!D7</f>
        <v>2295</v>
      </c>
      <c r="E9" s="219">
        <f>_xlfn.IFERROR(SUM(取值!E7,取值!E8,取值!E9),"error")</f>
        <v>16921</v>
      </c>
      <c r="F9" s="220">
        <f>IF(_xlfn.IFERROR(C9-E9,"error")&lt;0,0,_xlfn.IFERROR(C9-E9,"error"))</f>
        <v>51079.0032008</v>
      </c>
      <c r="G9" s="221">
        <f>_xlfn.IFERROR(IF($G$23=0,F9,F9/$G$23),0)</f>
        <v>2128.29180003333</v>
      </c>
      <c r="H9" s="231">
        <f>_xlfn.IFERROR(E9/C9,"error")</f>
        <v>0.248838223581156</v>
      </c>
      <c r="I9" s="219">
        <f>_xlfn.IFERROR(SUM(取值!I7,取值!I8,取值!I9),"error")</f>
        <v>16921</v>
      </c>
      <c r="J9" s="220">
        <f>_xlfn.IFERROR(SUM(取值!J7,取值!J8,取值!J9),"error")</f>
        <v>21303</v>
      </c>
      <c r="K9" s="219">
        <f>_xlfn.IFERROR(I9-J9,"error")</f>
        <v>-4382</v>
      </c>
      <c r="L9" s="232">
        <f>计划取值!D7</f>
        <v>0</v>
      </c>
      <c r="M9" s="219">
        <f>IF(_xlfn.IFERROR(L9-I9,"error")&lt;0,0,_xlfn.IFERROR(L9-I9,"error"))</f>
        <v>0</v>
      </c>
      <c r="N9" s="224">
        <f>_xlfn.IFERROR(M9/Q23,"error")</f>
        <v>0</v>
      </c>
      <c r="O9" s="227" t="str">
        <f>_xlfn.IFERROR(I9/L9,"")</f>
        <v/>
      </c>
      <c r="P9" s="226">
        <f>ROUND(取值!P7/100,4)</f>
        <v>0.9974</v>
      </c>
      <c r="Q9" s="227">
        <f>ROUND(取值!R7/100,4)</f>
        <v>0.9973</v>
      </c>
      <c r="R9" s="228">
        <f>ROUND(取值!T7/100,4)</f>
        <v>0.9973</v>
      </c>
    </row>
    <row customHeight="1" ht="30">
      <c r="A10" s="179"/>
      <c r="B10" s="234" t="s">
        <v>28</v>
      </c>
      <c r="C10" s="219">
        <f>计划取值!B8</f>
        <v>128000.00016</v>
      </c>
      <c r="D10" s="235">
        <f>_xlfn.IFERROR(SUM(取值!D11,取值!D12),"error")</f>
        <v>4881</v>
      </c>
      <c r="E10" s="219">
        <f>_xlfn.IFERROR(SUM(取值!E11,取值!E12),"error")</f>
        <v>34345</v>
      </c>
      <c r="F10" s="220">
        <f>IF(_xlfn.IFERROR(C10-E10,"error")&lt;0,0,_xlfn.IFERROR(C10-E10,"error"))</f>
        <v>93655.00016</v>
      </c>
      <c r="G10" s="221">
        <f>_xlfn.IFERROR(IF($G$23=0,F10,F10/$G$23),0)</f>
        <v>3902.29167333333</v>
      </c>
      <c r="H10" s="231">
        <f>_xlfn.IFERROR(E10/C10,"error")</f>
        <v>0.2683203121646</v>
      </c>
      <c r="I10" s="219">
        <f>_xlfn.IFERROR(SUM(取值!I11,取值!I12),"error")</f>
        <v>34345</v>
      </c>
      <c r="J10" s="220">
        <f>_xlfn.IFERROR(SUM(取值!J11,取值!J12),"error")</f>
        <v>36811</v>
      </c>
      <c r="K10" s="219">
        <f>_xlfn.IFERROR(I10-J10,"error")</f>
        <v>-2466</v>
      </c>
      <c r="L10" s="232">
        <f>计划取值!D8</f>
        <v>0</v>
      </c>
      <c r="M10" s="219">
        <f>IF(_xlfn.IFERROR(L10-I10,"error")&lt;0,0,_xlfn.IFERROR(L10-I10,"error"))</f>
        <v>0</v>
      </c>
      <c r="N10" s="224">
        <f>_xlfn.IFERROR(M10/Q23,"error")</f>
        <v>0</v>
      </c>
      <c r="O10" s="227" t="str">
        <f>_xlfn.IFERROR(I10/L10,"")</f>
        <v/>
      </c>
      <c r="P10" s="226">
        <f>ROUND(取值!P11/100,4)</f>
        <v>0.993</v>
      </c>
      <c r="Q10" s="227">
        <f>ROUND(取值!R11/100,4)</f>
        <v>0.9914</v>
      </c>
      <c r="R10" s="228">
        <f>ROUND(取值!T11/100,4)</f>
        <v>0.9914</v>
      </c>
    </row>
    <row customHeight="1" ht="30">
      <c r="A11" s="179"/>
      <c r="B11" s="229" t="s">
        <v>29</v>
      </c>
      <c r="C11" s="219">
        <f>计划取值!B9</f>
        <v>117000</v>
      </c>
      <c r="D11" s="235">
        <f>_xlfn.IFERROR(SUM(取值!D13,取值!D14,取值!D15),"error")</f>
        <v>4149</v>
      </c>
      <c r="E11" s="219">
        <f>_xlfn.IFERROR(SUM(取值!E13,取值!E14,取值!E15),"error")</f>
        <v>29145</v>
      </c>
      <c r="F11" s="220">
        <f>IF(_xlfn.IFERROR(C11-E11,"error")&lt;0,0,_xlfn.IFERROR(C11-E11,"error"))</f>
        <v>87855</v>
      </c>
      <c r="G11" s="221">
        <f>_xlfn.IFERROR(IF($G$23=0,F11,F11/$G$23),0)</f>
        <v>3660.625</v>
      </c>
      <c r="H11" s="231">
        <f>_xlfn.IFERROR(E11/C11,"error")</f>
        <v>0.249102564102564</v>
      </c>
      <c r="I11" s="219">
        <f>_xlfn.IFERROR(SUM(取值!I13,取值!I14,取值!I15),"error")</f>
        <v>29145</v>
      </c>
      <c r="J11" s="220">
        <f>_xlfn.IFERROR(SUM(取值!J13,取值!J14,取值!J15),"error")</f>
        <v>28625</v>
      </c>
      <c r="K11" s="219">
        <f>_xlfn.IFERROR(I11-J11,"error")</f>
        <v>520</v>
      </c>
      <c r="L11" s="232">
        <f>计划取值!D9</f>
        <v>0</v>
      </c>
      <c r="M11" s="219">
        <f>IF(_xlfn.IFERROR(L11-I11,"error")&lt;0,0,_xlfn.IFERROR(L11-I11,"error"))</f>
        <v>0</v>
      </c>
      <c r="N11" s="224">
        <f>_xlfn.IFERROR(M11/Q23,"error")</f>
        <v>0</v>
      </c>
      <c r="O11" s="227" t="str">
        <f>_xlfn.IFERROR(I11/L11,"")</f>
        <v/>
      </c>
      <c r="P11" s="226">
        <f>ROUND(取值!P13/100,4)</f>
        <v>0.9896</v>
      </c>
      <c r="Q11" s="227">
        <f>ROUND(取值!R13/100,4)</f>
        <v>0.9901</v>
      </c>
      <c r="R11" s="228">
        <f>ROUND(取值!T13/100,4)</f>
        <v>0.9901</v>
      </c>
    </row>
    <row customHeight="1" ht="30">
      <c r="A12" s="179"/>
      <c r="B12" s="229" t="s">
        <v>30</v>
      </c>
      <c r="C12" s="219">
        <f>计划取值!B10</f>
        <v>56000.0045944567</v>
      </c>
      <c r="D12" s="235">
        <f>_xlfn.IFERROR(SUM(取值!D18,取值!D19),"error")</f>
        <v>1730</v>
      </c>
      <c r="E12" s="219">
        <f>_xlfn.IFERROR(SUM(取值!E18,取值!E19),"error")</f>
        <v>12354</v>
      </c>
      <c r="F12" s="220">
        <f>IF(_xlfn.IFERROR(C12-E12,"error")&lt;0,0,_xlfn.IFERROR(C12-E12,"error"))</f>
        <v>43646.0045944567</v>
      </c>
      <c r="G12" s="221">
        <f>_xlfn.IFERROR(IF($G$23=0,F12,F12/$G$23),0)</f>
        <v>1818.58352476903</v>
      </c>
      <c r="H12" s="231">
        <f>_xlfn.IFERROR(E12/C12,"error")</f>
        <v>0.220607124757681</v>
      </c>
      <c r="I12" s="219">
        <f>_xlfn.IFERROR(SUM(取值!I18,取值!I19),"error")</f>
        <v>12354</v>
      </c>
      <c r="J12" s="220">
        <f>_xlfn.IFERROR(SUM(取值!J18,取值!J19),"error")</f>
        <v>12963</v>
      </c>
      <c r="K12" s="219">
        <f>_xlfn.IFERROR(I12-J12,"error")</f>
        <v>-609</v>
      </c>
      <c r="L12" s="232">
        <f>计划取值!D10</f>
        <v>0</v>
      </c>
      <c r="M12" s="219">
        <f>IF(_xlfn.IFERROR(L12-I12,"error")&lt;0,0,_xlfn.IFERROR(L12-I12,"error"))</f>
        <v>0</v>
      </c>
      <c r="N12" s="224">
        <f>_xlfn.IFERROR(M12/Q23,"error")</f>
        <v>0</v>
      </c>
      <c r="O12" s="227" t="str">
        <f>_xlfn.IFERROR(I12/L12,"")</f>
        <v/>
      </c>
      <c r="P12" s="226">
        <f>ROUND(取值!P16/100,4)</f>
        <v>0.978</v>
      </c>
      <c r="Q12" s="227">
        <f>ROUND(取值!R16/100,4)</f>
        <v>0.9795</v>
      </c>
      <c r="R12" s="228">
        <f>ROUND(取值!T16/100,4)</f>
        <v>0.9795</v>
      </c>
    </row>
    <row customHeight="1" ht="30">
      <c r="A13" s="179"/>
      <c r="B13" s="229" t="s">
        <v>31</v>
      </c>
      <c r="C13" s="219">
        <f>SUM(C14,C15)</f>
        <v>24052.6509808268</v>
      </c>
      <c r="D13" s="235">
        <f>SUM(D14,D15)</f>
        <v>835</v>
      </c>
      <c r="E13" s="219">
        <f>SUM(E14,E15)</f>
        <v>6006</v>
      </c>
      <c r="F13" s="220">
        <f>IF(_xlfn.IFERROR(C13-E13,"error")&lt;0,0,_xlfn.IFERROR(C13-E13,"error"))</f>
        <v>18046.6509808268</v>
      </c>
      <c r="G13" s="221">
        <f>IF(_xlfn.IFERROR(IF($G$23=0,C13-E13,(C13-E13)/$G$23),"error")&lt;0,0,_xlfn.IFERROR(IF($G$23=0,C13-E13,(C13-E13)/$G$23),"error"))</f>
        <v>751.943790867783</v>
      </c>
      <c r="H13" s="231">
        <f>_xlfn.IFERROR(E13/C13,"error")</f>
        <v>0.249702205581729</v>
      </c>
      <c r="I13" s="219">
        <f>SUM(I14,I15)</f>
        <v>6006</v>
      </c>
      <c r="J13" s="220">
        <f>SUM(J14,J15)</f>
        <v>2828</v>
      </c>
      <c r="K13" s="219">
        <f>SUM(K14:K15)</f>
        <v>3178</v>
      </c>
      <c r="L13" s="220">
        <f>SUM(L14,L15)</f>
        <v>0</v>
      </c>
      <c r="M13" s="219">
        <f>SUM(M14,M15)</f>
        <v>0</v>
      </c>
      <c r="N13" s="224">
        <f>SUM(N14,N15)</f>
        <v>0</v>
      </c>
      <c r="O13" s="227" t="str">
        <f>_xlfn.IFERROR(I13/L13,"")</f>
        <v/>
      </c>
      <c r="P13" s="226"/>
      <c r="Q13" s="227"/>
      <c r="R13" s="228"/>
    </row>
    <row customHeight="1" ht="30">
      <c r="A14" s="179"/>
      <c r="B14" s="234" t="s">
        <v>32</v>
      </c>
      <c r="C14" s="219">
        <f>_xlfn.IFERROR(计划取值!B12,"")</f>
        <v>6411.39012601522</v>
      </c>
      <c r="D14" s="235">
        <f>取值!D20</f>
        <v>164</v>
      </c>
      <c r="E14" s="219">
        <f>取值!E20</f>
        <v>1166</v>
      </c>
      <c r="F14" s="220">
        <f>IF(_xlfn.IFERROR(C14-E14,"error")&lt;0,0,_xlfn.IFERROR(C14-E14,"error"))</f>
        <v>5245.39012601522</v>
      </c>
      <c r="G14" s="221">
        <f>_xlfn.IFERROR(IF($G$23=0,F14,F14/$G$23),0)</f>
        <v>218.557921917301</v>
      </c>
      <c r="H14" s="231">
        <f>_xlfn.IFERROR(E14/C14,"error")</f>
        <v>0.181863835624161</v>
      </c>
      <c r="I14" s="219">
        <f>取值!I20</f>
        <v>1166</v>
      </c>
      <c r="J14" s="220">
        <f>取值!J20</f>
        <v>1410</v>
      </c>
      <c r="K14" s="219">
        <f>_xlfn.IFERROR(I14-J14,"error")</f>
        <v>-244</v>
      </c>
      <c r="L14" s="232">
        <f>_xlfn.IFERROR(计划取值!D12*计划取值!E12/100,"")</f>
        <v>0</v>
      </c>
      <c r="M14" s="219">
        <f>IF(_xlfn.IFERROR(L14-I14,"error")&lt;0,0,_xlfn.IFERROR(L14-I14,"error"))</f>
        <v>0</v>
      </c>
      <c r="N14" s="224">
        <f>_xlfn.IFERROR(M14/Q23,"error")</f>
        <v>0</v>
      </c>
      <c r="O14" s="227" t="str">
        <f>_xlfn.IFERROR(I14/L14,"")</f>
        <v/>
      </c>
      <c r="P14" s="226">
        <f>取值!P20</f>
        <v>0.1572</v>
      </c>
      <c r="Q14" s="227">
        <f>取值!R20</f>
        <v>0.1567</v>
      </c>
      <c r="R14" s="228">
        <f>ROUND(取值!T20/100,4)</f>
        <v>0.1567</v>
      </c>
    </row>
    <row customHeight="1" ht="30">
      <c r="A15" s="179"/>
      <c r="B15" s="234" t="s">
        <v>33</v>
      </c>
      <c r="C15" s="219">
        <f>_xlfn.IFERROR(计划取值!B13,"")</f>
        <v>17641.2608548116</v>
      </c>
      <c r="D15" s="235">
        <f>取值!D41</f>
        <v>671</v>
      </c>
      <c r="E15" s="219">
        <f>取值!E41</f>
        <v>4840</v>
      </c>
      <c r="F15" s="220">
        <f>IF(_xlfn.IFERROR(C15-E15,"error")&lt;0,0,_xlfn.IFERROR(C15-E15,"error"))</f>
        <v>12801.2608548116</v>
      </c>
      <c r="G15" s="221">
        <f>_xlfn.IFERROR(IF($G$23=0,F15,F15/$G$23),0)</f>
        <v>533.385868950483</v>
      </c>
      <c r="H15" s="231">
        <f>_xlfn.IFERROR(E15/C15,"error")</f>
        <v>0.274356807023796</v>
      </c>
      <c r="I15" s="219">
        <f>取值!I41</f>
        <v>4840</v>
      </c>
      <c r="J15" s="220">
        <f>取值!J41</f>
        <v>1418</v>
      </c>
      <c r="K15" s="219">
        <f>_xlfn.IFERROR(I15-J15,"error")</f>
        <v>3422</v>
      </c>
      <c r="L15" s="232">
        <f>_xlfn.IFERROR(计划取值!D13*计划取值!E13/100,"")</f>
        <v>0</v>
      </c>
      <c r="M15" s="219">
        <f>IF(_xlfn.IFERROR(L15-I15,"error")&lt;0,0,_xlfn.IFERROR(L15-I15,"error"))</f>
        <v>0</v>
      </c>
      <c r="N15" s="224">
        <f>_xlfn.IFERROR(M15/Q23,"error")</f>
        <v>0</v>
      </c>
      <c r="O15" s="227" t="str">
        <f>_xlfn.IFERROR(I15/L15,"")</f>
        <v/>
      </c>
      <c r="P15" s="226">
        <f>取值!P41</f>
        <v>0.4855</v>
      </c>
      <c r="Q15" s="227">
        <f>取值!R41</f>
        <v>0.4888</v>
      </c>
      <c r="R15" s="228">
        <f>ROUND(取值!T41/100,4)</f>
        <v>0.4888</v>
      </c>
    </row>
    <row customHeight="1" ht="30">
      <c r="A16" s="179"/>
      <c r="B16" s="229" t="s">
        <v>34</v>
      </c>
      <c r="C16" s="219">
        <f>_xlfn.IFERROR(计划取值!B14*计划取值!C14/100,"")</f>
        <v>4350.00001408008</v>
      </c>
      <c r="D16" s="220">
        <f>取值!D23</f>
        <v>183</v>
      </c>
      <c r="E16" s="219">
        <f>取值!E23</f>
        <v>1308</v>
      </c>
      <c r="F16" s="220">
        <f>IF(_xlfn.IFERROR(C16-E16,"error")&lt;0,0,_xlfn.IFERROR(C16-E16,"error"))</f>
        <v>3042.00001408008</v>
      </c>
      <c r="G16" s="221">
        <f>_xlfn.IFERROR(IF($G$23=0,F16,F16/$G$23),0)</f>
        <v>126.75000058667</v>
      </c>
      <c r="H16" s="231">
        <f>_xlfn.IFERROR(E16/C16,"error")</f>
        <v>0.300689654199142</v>
      </c>
      <c r="I16" s="219">
        <f>取值!I23</f>
        <v>1308</v>
      </c>
      <c r="J16" s="220">
        <f>取值!J23</f>
        <v>1011</v>
      </c>
      <c r="K16" s="219">
        <f>_xlfn.IFERROR(I16-J16,"error")</f>
        <v>297</v>
      </c>
      <c r="L16" s="232">
        <f>_xlfn.IFERROR(计划取值!D14*计划取值!E14/100,"")</f>
        <v>0</v>
      </c>
      <c r="M16" s="219">
        <f>IF(_xlfn.IFERROR(L16-I16,"error")&lt;0,0,_xlfn.IFERROR(L16-I16,"error"))</f>
        <v>0</v>
      </c>
      <c r="N16" s="224">
        <f>_xlfn.IFERROR(M16/Q23,"error")</f>
        <v>0</v>
      </c>
      <c r="O16" s="227" t="str">
        <f>_xlfn.IFERROR(I16/L16,"")</f>
        <v/>
      </c>
      <c r="P16" s="226">
        <f>取值!P23</f>
        <v>0.3274</v>
      </c>
      <c r="Q16" s="227">
        <f>取值!R23</f>
        <v>0.329</v>
      </c>
      <c r="R16" s="228">
        <f>ROUND(取值!T23/100,4)</f>
        <v>0.329</v>
      </c>
    </row>
    <row customHeight="1" ht="30">
      <c r="A17" s="179"/>
      <c r="B17" s="229" t="s">
        <v>35</v>
      </c>
      <c r="C17" s="219">
        <f>_xlfn.IFERROR(计划取值!B15*计划取值!C15/100,"")</f>
        <v>17499.9963470857</v>
      </c>
      <c r="D17" s="235">
        <f>取值!D24</f>
        <v>609.56</v>
      </c>
      <c r="E17" s="219">
        <f>取值!E24</f>
        <v>4269.06</v>
      </c>
      <c r="F17" s="220">
        <f>IF(_xlfn.IFERROR(C17-E17,"error")&lt;0,0,_xlfn.IFERROR(C17-E17,"error"))</f>
        <v>13230.9363470857</v>
      </c>
      <c r="G17" s="221">
        <f>_xlfn.IFERROR(IF($G$23=0,F17,F17/$G$23),0)</f>
        <v>551.289014461904</v>
      </c>
      <c r="H17" s="231">
        <f>_xlfn.IFERROR(E17/C17,"error")</f>
        <v>0.243946336635146</v>
      </c>
      <c r="I17" s="219">
        <f>取值!I24</f>
        <v>4269</v>
      </c>
      <c r="J17" s="220">
        <f>取值!J24</f>
        <v>4198.58</v>
      </c>
      <c r="K17" s="219">
        <f>_xlfn.IFERROR(I17-J17,"error")</f>
        <v>70.4200000000001</v>
      </c>
      <c r="L17" s="232">
        <f>_xlfn.IFERROR(计划取值!D15*计划取值!E15/100,"")</f>
        <v>0</v>
      </c>
      <c r="M17" s="219">
        <f>IF(_xlfn.IFERROR(L17-I17,"error")&lt;0,0,_xlfn.IFERROR(L17-I17,"error"))</f>
        <v>0</v>
      </c>
      <c r="N17" s="224">
        <f>_xlfn.IFERROR(M17/Q23,"error")</f>
        <v>0</v>
      </c>
      <c r="O17" s="227" t="str">
        <f>_xlfn.IFERROR(I17/L17,"")</f>
        <v/>
      </c>
      <c r="P17" s="226">
        <f>取值!P24</f>
        <v>0.9722</v>
      </c>
      <c r="Q17" s="227">
        <f>取值!R24</f>
        <v>0.97</v>
      </c>
      <c r="R17" s="228">
        <f>ROUND(取值!T24/100,4)</f>
        <v>0.97</v>
      </c>
    </row>
    <row customHeight="1" ht="30">
      <c r="A18" s="179"/>
      <c r="B18" s="236" t="s">
        <v>36</v>
      </c>
      <c r="C18" s="237">
        <f>_xlfn.IFERROR(计划取值!B16*计划取值!C16/100,"")</f>
        <v>18000.0015</v>
      </c>
      <c r="D18" s="238">
        <f>取值!D33</f>
        <v>604</v>
      </c>
      <c r="E18" s="237">
        <f>取值!E33</f>
        <v>4379</v>
      </c>
      <c r="F18" s="239">
        <f>IF(_xlfn.IFERROR(C18-E18,"error")&lt;0,0,_xlfn.IFERROR(C18-E18,"error"))</f>
        <v>13621.0015</v>
      </c>
      <c r="G18" s="240">
        <f>_xlfn.IFERROR(IF($G$23=0,F18,F18/$G$23),0)</f>
        <v>567.541729166667</v>
      </c>
      <c r="H18" s="241">
        <f>_xlfn.IFERROR(E18/C18,"error")</f>
        <v>0.243277757504631</v>
      </c>
      <c r="I18" s="237">
        <f>取值!I33</f>
        <v>4379</v>
      </c>
      <c r="J18" s="239">
        <f>取值!J33</f>
        <v>4638</v>
      </c>
      <c r="K18" s="237">
        <f>_xlfn.IFERROR(I18-J18,"error")</f>
        <v>-259</v>
      </c>
      <c r="L18" s="242">
        <f>_xlfn.IFERROR(计划取值!D16*计划取值!E16/100,"")</f>
        <v>0</v>
      </c>
      <c r="M18" s="237">
        <f>IF(_xlfn.IFERROR(L18-I18,"error")&lt;0,0,_xlfn.IFERROR(L18-I18,"error"))</f>
        <v>0</v>
      </c>
      <c r="N18" s="243">
        <f>_xlfn.IFERROR(M18/Q23,"error")</f>
        <v>0</v>
      </c>
      <c r="O18" s="244" t="str">
        <f>_xlfn.IFERROR(I18/L18,"")</f>
        <v/>
      </c>
      <c r="P18" s="245">
        <f>取值!P33</f>
        <v>0.6069</v>
      </c>
      <c r="Q18" s="244">
        <f>取值!R33</f>
        <v>0.6168</v>
      </c>
      <c r="R18" s="245">
        <f>取值!T33</f>
        <v>0.6168</v>
      </c>
    </row>
    <row s="246" customFormat="1" customHeight="1" ht="30">
      <c r="A19" s="179"/>
      <c r="B19" s="247" t="s">
        <v>37</v>
      </c>
      <c r="C19" s="247" t="s">
        <v>38</v>
      </c>
      <c r="D19" s="247" t="s">
        <v>39</v>
      </c>
      <c r="E19" s="247" t="s">
        <v>40</v>
      </c>
      <c r="F19" s="247" t="s">
        <v>41</v>
      </c>
      <c r="G19" s="247" t="s">
        <v>42</v>
      </c>
      <c r="H19" s="247" t="s">
        <v>43</v>
      </c>
      <c r="I19" s="247" t="s">
        <v>44</v>
      </c>
      <c r="J19" s="247" t="s">
        <v>45</v>
      </c>
      <c r="K19" s="247" t="s">
        <v>46</v>
      </c>
      <c r="L19" s="247" t="s">
        <v>47</v>
      </c>
      <c r="M19" s="248"/>
      <c r="N19" s="249"/>
      <c r="O19" s="250"/>
      <c r="P19" s="251"/>
      <c r="Q19" s="250"/>
      <c r="R19" s="251"/>
    </row>
    <row s="252" customFormat="1" customHeight="1" ht="30">
      <c r="A20" s="179"/>
      <c r="B20" s="247" t="s">
        <v>48</v>
      </c>
      <c r="C20" s="237">
        <f>取值!A59</f>
        <v>10616.681</v>
      </c>
      <c r="D20" s="253">
        <f>取值!B59</f>
        <v>7929.863</v>
      </c>
      <c r="E20" s="254">
        <f>取值!C59</f>
        <v>1890.827</v>
      </c>
      <c r="F20" s="253">
        <f>取值!D59</f>
        <v>892.903</v>
      </c>
      <c r="G20" s="254">
        <f>取值!E59</f>
        <v>699.488</v>
      </c>
      <c r="H20" s="253">
        <f>取值!F59</f>
        <v>1017.629</v>
      </c>
      <c r="I20" s="254">
        <f>取值!G59</f>
        <v>1154.289</v>
      </c>
      <c r="J20" s="253">
        <f>取值!H59</f>
        <v>597</v>
      </c>
      <c r="K20" s="254">
        <f>ROUND(取值!I59,0)+ROUND(取值!I58,0)</f>
        <v>3446</v>
      </c>
      <c r="L20" s="253">
        <f>取值!J59</f>
        <v>5770.289</v>
      </c>
      <c r="M20" s="248"/>
      <c r="N20" s="249"/>
      <c r="O20" s="250"/>
      <c r="P20" s="251"/>
      <c r="Q20" s="250"/>
      <c r="R20" s="251"/>
    </row>
    <row s="255" customFormat="1" customHeight="1" ht="30">
      <c r="A21" s="179"/>
      <c r="B21" s="247" t="s">
        <v>49</v>
      </c>
      <c r="C21" s="248"/>
      <c r="D21" s="253"/>
      <c r="E21" s="254"/>
      <c r="F21" s="253"/>
      <c r="G21" s="256"/>
      <c r="H21" s="257"/>
      <c r="I21" s="254"/>
      <c r="J21" s="253"/>
      <c r="K21" s="254">
        <f>取值!B65</f>
        <v>2995.428</v>
      </c>
      <c r="L21" s="253">
        <f>取值!A65</f>
        <v>729.711</v>
      </c>
      <c r="M21" s="248"/>
      <c r="N21" s="249"/>
      <c r="O21" s="250"/>
      <c r="P21" s="251"/>
      <c r="Q21" s="250"/>
      <c r="R21" s="251"/>
    </row>
    <row customHeight="1" ht="14.25">
      <c r="A22" s="179"/>
      <c r="B22" s="197" t="s">
        <v>50</v>
      </c>
      <c r="C22" s="258"/>
      <c r="D22" s="259"/>
      <c r="E22" s="259"/>
      <c r="F22" s="259"/>
      <c r="G22" s="260"/>
      <c r="H22" s="259"/>
      <c r="I22" s="259"/>
      <c r="J22" s="259"/>
      <c r="K22" s="259"/>
      <c r="L22" s="259"/>
      <c r="M22" s="259"/>
      <c r="N22" s="260"/>
      <c r="O22" s="259"/>
      <c r="P22" s="179"/>
      <c r="Q22" s="179"/>
      <c r="R22" s="261"/>
    </row>
    <row customHeight="1" ht="14.25">
      <c r="A23" s="179"/>
      <c r="B23" s="262"/>
      <c r="C23" s="263"/>
      <c r="D23" s="264" t="s">
        <v>51</v>
      </c>
      <c r="E23" s="265" t="str">
        <f>取值!B48</f>
        <v>2026-01-30</v>
      </c>
      <c r="F23" s="266" t="s">
        <v>52</v>
      </c>
      <c r="G23" s="267">
        <f>取值!B46</f>
        <v>24</v>
      </c>
      <c r="H23" s="268" t="s">
        <v>53</v>
      </c>
      <c r="I23" s="269"/>
      <c r="J23" s="269"/>
      <c r="K23" s="263"/>
      <c r="L23" s="263"/>
      <c r="M23" s="263"/>
      <c r="N23" s="270" t="s">
        <v>51</v>
      </c>
      <c r="O23" s="271" t="str">
        <f>取值!B49</f>
        <v>2026-12-30</v>
      </c>
      <c r="P23" s="272" t="s">
        <v>52</v>
      </c>
      <c r="Q23" s="273">
        <f>取值!B47</f>
        <v>358</v>
      </c>
      <c r="R23" s="274" t="s">
        <v>53</v>
      </c>
    </row>
  </sheetData>
  <mergeCells count="10">
    <mergeCell ref="B2:R3"/>
    <mergeCell ref="E4:F4"/>
    <mergeCell ref="N4:Q4"/>
    <mergeCell ref="B5:B6"/>
    <mergeCell ref="B22:B23"/>
    <mergeCell ref="H5:H6"/>
    <mergeCell ref="J5:J6"/>
    <mergeCell ref="M5:M6"/>
    <mergeCell ref="N5:N6"/>
    <mergeCell ref="O5:O6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D262C8-0F08-A28B-119E-4DADB30ADE88}" mc:Ignorable="x14ac xr xr2 xr3">
  <dimension ref="A1:V69"/>
  <sheetViews>
    <sheetView defaultGridColor="0" colorId="31" zoomScale="70" workbookViewId="0">
      <pane xSplit="2" ySplit="2" topLeftCell="C3" activePane="bottomRight" state="frozen"/>
      <selection pane="bottomLeft" activeCell="A3" sqref="A3"/>
      <selection pane="topRight" activeCell="C1" sqref="C1"/>
      <selection pane="bottomRight" activeCell="I14" sqref="I14"/>
    </sheetView>
  </sheetViews>
  <sheetFormatPr defaultColWidth="9.00390625" customHeight="1" defaultRowHeight="13.950000000000001"/>
  <cols>
    <col min="1" max="1" style="326" width="42.421875" customWidth="1"/>
    <col min="2" max="2" style="327" width="39.140625" customWidth="1"/>
    <col min="3" max="3" style="328" width="10.140625" customWidth="1"/>
    <col min="4" max="4" style="329" width="11.421875" customWidth="1"/>
    <col min="5" max="5" style="330" width="10.140625" customWidth="1"/>
    <col min="6" max="6" style="331" width="10.140625" customWidth="1"/>
    <col min="7" max="7" style="332" width="10.140625" customWidth="1"/>
    <col min="8" max="8" style="333" width="10.140625" customWidth="1"/>
    <col min="9" max="9" style="334" width="10.140625" customWidth="1"/>
    <col min="10" max="10" style="335" width="10.140625" customWidth="1"/>
    <col min="11" max="11" style="336" width="10.140625" customWidth="1"/>
    <col min="12" max="12" style="337" width="10.140625" customWidth="1"/>
    <col min="13" max="13" style="338" width="10.140625" customWidth="1"/>
    <col min="14" max="14" style="339" width="10.140625" customWidth="1"/>
    <col min="15" max="15" style="340" width="10.140625" customWidth="1"/>
    <col min="17" max="17" style="341" width="8.7109375" customWidth="1"/>
    <col min="19" max="19" style="342" width="8.7109375" customWidth="1"/>
  </cols>
  <sheetData>
    <row customHeight="1" ht="14.25">
      <c r="A1" s="291"/>
      <c r="B1" s="292" t="s">
        <v>2</v>
      </c>
      <c r="C1" s="123" t="s">
        <v>3</v>
      </c>
      <c r="D1" s="55" t="s">
        <v>4</v>
      </c>
      <c r="E1" s="55" t="s">
        <v>5</v>
      </c>
      <c r="F1" s="55" t="s">
        <v>6</v>
      </c>
      <c r="G1" s="55" t="s">
        <v>7</v>
      </c>
      <c r="H1" s="174" t="s">
        <v>8</v>
      </c>
      <c r="I1" s="55" t="s">
        <v>9</v>
      </c>
      <c r="J1" s="174" t="s">
        <v>54</v>
      </c>
      <c r="K1" s="55" t="s">
        <v>11</v>
      </c>
      <c r="L1" s="55" t="s">
        <v>12</v>
      </c>
      <c r="M1" s="174" t="s">
        <v>55</v>
      </c>
      <c r="N1" s="174" t="s">
        <v>56</v>
      </c>
      <c r="O1" s="174" t="s">
        <v>15</v>
      </c>
      <c r="P1" s="296" t="s">
        <v>16</v>
      </c>
      <c r="Q1" s="296" t="s">
        <v>57</v>
      </c>
      <c r="R1" s="296" t="s">
        <v>58</v>
      </c>
      <c r="S1" s="296" t="s">
        <v>59</v>
      </c>
      <c r="T1" s="296" t="s">
        <v>17</v>
      </c>
      <c r="U1" s="296" t="s">
        <v>60</v>
      </c>
      <c r="V1" s="296" t="s">
        <v>61</v>
      </c>
    </row>
    <row customHeight="1" ht="27.75">
      <c r="A2" s="291"/>
      <c r="B2" s="292"/>
      <c r="C2" s="124" t="s">
        <v>62</v>
      </c>
      <c r="D2" s="56"/>
      <c r="E2" s="56" t="s">
        <v>63</v>
      </c>
      <c r="F2" s="56" t="s">
        <v>64</v>
      </c>
      <c r="G2" s="56" t="s">
        <v>65</v>
      </c>
      <c r="H2" s="175"/>
      <c r="I2" s="57" t="s">
        <v>66</v>
      </c>
      <c r="J2" s="175"/>
      <c r="K2" s="56" t="s">
        <v>23</v>
      </c>
      <c r="L2" s="56" t="s">
        <v>62</v>
      </c>
      <c r="M2" s="175"/>
      <c r="N2" s="175"/>
      <c r="O2" s="175"/>
      <c r="P2" s="301"/>
      <c r="Q2" s="179"/>
      <c r="R2" s="301"/>
      <c r="S2" s="179"/>
      <c r="T2" s="301"/>
      <c r="U2" s="301"/>
      <c r="V2" s="301"/>
    </row>
    <row customHeight="1" ht="14.25">
      <c r="A3" s="302" t="s">
        <v>67</v>
      </c>
      <c r="B3" s="303" t="s">
        <v>67</v>
      </c>
      <c r="C3" s="304"/>
      <c r="D3" s="305">
        <v>4280</v>
      </c>
      <c r="E3" s="306">
        <v>29955</v>
      </c>
      <c r="F3" s="307"/>
      <c r="G3" s="307"/>
      <c r="H3" s="307"/>
      <c r="I3" s="308">
        <v>29955</v>
      </c>
      <c r="J3" s="308">
        <v>27351</v>
      </c>
      <c r="K3" s="307"/>
      <c r="L3" s="307"/>
      <c r="M3" s="307"/>
      <c r="N3" s="307"/>
      <c r="O3" s="307"/>
      <c r="P3" s="309">
        <v>93.3644859813084</v>
      </c>
      <c r="Q3" s="179"/>
      <c r="R3" s="309">
        <v>93.2164914037723</v>
      </c>
      <c r="S3" s="179"/>
      <c r="T3" s="309">
        <v>93.2164914037723</v>
      </c>
      <c r="U3" s="301"/>
      <c r="V3" s="301"/>
    </row>
    <row customHeight="1" ht="14.25">
      <c r="A4" s="291"/>
      <c r="B4" s="310"/>
      <c r="C4" s="304"/>
      <c r="D4" s="304"/>
      <c r="E4" s="308"/>
      <c r="F4" s="307"/>
      <c r="G4" s="307"/>
      <c r="H4" s="307"/>
      <c r="I4" s="308"/>
      <c r="J4" s="308"/>
      <c r="K4" s="307"/>
      <c r="L4" s="307"/>
      <c r="M4" s="307"/>
      <c r="N4" s="307"/>
      <c r="O4" s="307"/>
      <c r="P4" s="301"/>
      <c r="Q4" s="179"/>
      <c r="R4" s="301"/>
      <c r="S4" s="179"/>
      <c r="T4" s="301"/>
      <c r="U4" s="301"/>
      <c r="V4" s="301"/>
    </row>
    <row customHeight="1" ht="14.25">
      <c r="A5" s="302" t="s">
        <v>26</v>
      </c>
      <c r="B5" s="310"/>
      <c r="C5" s="304"/>
      <c r="D5" s="304"/>
      <c r="E5" s="308"/>
      <c r="F5" s="307"/>
      <c r="G5" s="307"/>
      <c r="H5" s="307"/>
      <c r="I5" s="308"/>
      <c r="J5" s="308"/>
      <c r="K5" s="307"/>
      <c r="L5" s="307"/>
      <c r="M5" s="307"/>
      <c r="N5" s="307"/>
      <c r="O5" s="307"/>
      <c r="P5" s="301"/>
      <c r="Q5" s="179"/>
      <c r="R5" s="301"/>
      <c r="S5" s="179"/>
      <c r="T5" s="301"/>
      <c r="U5" s="301"/>
      <c r="V5" s="301"/>
    </row>
    <row customHeight="1" ht="14.25">
      <c r="A6" s="302" t="s">
        <v>27</v>
      </c>
      <c r="B6" s="310" t="s">
        <v>68</v>
      </c>
      <c r="C6" s="304"/>
      <c r="D6" s="304"/>
      <c r="E6" s="311"/>
      <c r="F6" s="307"/>
      <c r="G6" s="307"/>
      <c r="H6" s="307"/>
      <c r="I6" s="311"/>
      <c r="J6" s="311"/>
      <c r="K6" s="307"/>
      <c r="L6" s="307"/>
      <c r="M6" s="307"/>
      <c r="N6" s="307"/>
      <c r="O6" s="307"/>
      <c r="P6" s="309">
        <v>99.4425863991081</v>
      </c>
      <c r="Q6" s="179"/>
      <c r="R6" s="309">
        <v>99.3367924160262</v>
      </c>
      <c r="S6" s="179"/>
      <c r="T6" s="309">
        <v>99.3367924160262</v>
      </c>
      <c r="U6" s="301"/>
      <c r="V6" s="301"/>
    </row>
    <row customHeight="1" ht="14.25">
      <c r="A7" s="302" t="s">
        <v>28</v>
      </c>
      <c r="B7" s="312" t="s">
        <v>27</v>
      </c>
      <c r="C7" s="304"/>
      <c r="D7" s="305">
        <f>_xlfn.IFERROR(SUM(D8:D10),0)</f>
        <v>2295</v>
      </c>
      <c r="E7" s="313">
        <v>15902</v>
      </c>
      <c r="F7" s="307"/>
      <c r="G7" s="307"/>
      <c r="H7" s="307"/>
      <c r="I7" s="314">
        <v>15902</v>
      </c>
      <c r="J7" s="314">
        <v>20605</v>
      </c>
      <c r="K7" s="307"/>
      <c r="L7" s="307"/>
      <c r="M7" s="307"/>
      <c r="N7" s="307"/>
      <c r="O7" s="307"/>
      <c r="P7" s="309">
        <v>99.7385620915033</v>
      </c>
      <c r="Q7" s="179"/>
      <c r="R7" s="309">
        <v>99.7281484545831</v>
      </c>
      <c r="S7" s="179"/>
      <c r="T7" s="309">
        <v>99.7281484545831</v>
      </c>
      <c r="U7" s="301"/>
      <c r="V7" s="301"/>
    </row>
    <row customHeight="1" ht="14.25">
      <c r="A8" s="291"/>
      <c r="B8" s="315"/>
      <c r="C8" s="304"/>
      <c r="D8" s="305">
        <v>2156</v>
      </c>
      <c r="E8" s="314">
        <v>486</v>
      </c>
      <c r="F8" s="307"/>
      <c r="G8" s="307"/>
      <c r="H8" s="307"/>
      <c r="I8" s="314">
        <v>486</v>
      </c>
      <c r="J8" s="314">
        <v>276</v>
      </c>
      <c r="K8" s="307"/>
      <c r="L8" s="307"/>
      <c r="M8" s="307"/>
      <c r="N8" s="307"/>
      <c r="O8" s="307"/>
      <c r="P8" s="301"/>
      <c r="Q8" s="179"/>
      <c r="R8" s="301"/>
      <c r="S8" s="179"/>
      <c r="T8" s="301"/>
      <c r="U8" s="301"/>
      <c r="V8" s="301"/>
    </row>
    <row customHeight="1" ht="14.25">
      <c r="A9" s="291"/>
      <c r="B9" s="315"/>
      <c r="C9" s="304"/>
      <c r="D9" s="305">
        <v>60</v>
      </c>
      <c r="E9" s="314">
        <v>533</v>
      </c>
      <c r="F9" s="307"/>
      <c r="G9" s="307"/>
      <c r="H9" s="307"/>
      <c r="I9" s="314">
        <v>533</v>
      </c>
      <c r="J9" s="314">
        <v>422</v>
      </c>
      <c r="K9" s="307"/>
      <c r="L9" s="307"/>
      <c r="M9" s="307"/>
      <c r="N9" s="307"/>
      <c r="O9" s="307"/>
      <c r="P9" s="301"/>
      <c r="Q9" s="179"/>
      <c r="R9" s="301"/>
      <c r="S9" s="179"/>
      <c r="T9" s="301"/>
      <c r="U9" s="301"/>
      <c r="V9" s="301"/>
    </row>
    <row customHeight="1" ht="14.25">
      <c r="A10" s="291"/>
      <c r="B10" s="315"/>
      <c r="C10" s="304"/>
      <c r="D10" s="305">
        <v>79</v>
      </c>
      <c r="E10" s="314"/>
      <c r="F10" s="307"/>
      <c r="G10" s="307"/>
      <c r="H10" s="307"/>
      <c r="I10" s="314"/>
      <c r="J10" s="314"/>
      <c r="K10" s="307"/>
      <c r="L10" s="307"/>
      <c r="M10" s="307"/>
      <c r="N10" s="307"/>
      <c r="O10" s="307"/>
      <c r="P10" s="316"/>
      <c r="Q10" s="179"/>
      <c r="R10" s="301"/>
      <c r="S10" s="179"/>
      <c r="T10" s="301"/>
      <c r="U10" s="301"/>
      <c r="V10" s="301"/>
    </row>
    <row customHeight="1" ht="14.25">
      <c r="A11" s="291"/>
      <c r="B11" s="315" t="s">
        <v>28</v>
      </c>
      <c r="C11" s="304"/>
      <c r="D11" s="305">
        <v>4871</v>
      </c>
      <c r="E11" s="314">
        <v>34284</v>
      </c>
      <c r="F11" s="307"/>
      <c r="G11" s="307"/>
      <c r="H11" s="307"/>
      <c r="I11" s="314">
        <v>34284</v>
      </c>
      <c r="J11" s="314">
        <v>36758</v>
      </c>
      <c r="K11" s="307"/>
      <c r="L11" s="307"/>
      <c r="M11" s="307"/>
      <c r="N11" s="307"/>
      <c r="O11" s="307"/>
      <c r="P11" s="309">
        <v>99.3034214300348</v>
      </c>
      <c r="Q11" s="179"/>
      <c r="R11" s="309">
        <v>99.1439802009026</v>
      </c>
      <c r="S11" s="179"/>
      <c r="T11" s="309">
        <v>99.1439802009026</v>
      </c>
      <c r="U11" s="301"/>
      <c r="V11" s="301"/>
    </row>
    <row customHeight="1" ht="14.25">
      <c r="A12" s="291"/>
      <c r="B12" s="315"/>
      <c r="C12" s="304"/>
      <c r="D12" s="305">
        <v>10</v>
      </c>
      <c r="E12" s="314">
        <v>61</v>
      </c>
      <c r="F12" s="307"/>
      <c r="G12" s="307"/>
      <c r="H12" s="307"/>
      <c r="I12" s="314">
        <v>61</v>
      </c>
      <c r="J12" s="314">
        <v>53</v>
      </c>
      <c r="K12" s="307"/>
      <c r="L12" s="307"/>
      <c r="M12" s="307"/>
      <c r="N12" s="307"/>
      <c r="O12" s="307"/>
      <c r="P12" s="301"/>
      <c r="Q12" s="179"/>
      <c r="R12" s="301"/>
      <c r="S12" s="179"/>
      <c r="T12" s="301"/>
      <c r="U12" s="301"/>
      <c r="V12" s="301"/>
    </row>
    <row customHeight="1" ht="14.25">
      <c r="A13" s="302" t="s">
        <v>69</v>
      </c>
      <c r="B13" s="310" t="s">
        <v>69</v>
      </c>
      <c r="C13" s="304"/>
      <c r="D13" s="305">
        <v>4135</v>
      </c>
      <c r="E13" s="317">
        <v>29053</v>
      </c>
      <c r="F13" s="307"/>
      <c r="G13" s="307"/>
      <c r="H13" s="307"/>
      <c r="I13" s="318">
        <v>29145</v>
      </c>
      <c r="J13" s="319">
        <v>28553</v>
      </c>
      <c r="K13" s="307"/>
      <c r="L13" s="307"/>
      <c r="M13" s="307"/>
      <c r="N13" s="307"/>
      <c r="O13" s="307"/>
      <c r="P13" s="309">
        <v>98.9636056881176</v>
      </c>
      <c r="Q13" s="179"/>
      <c r="R13" s="309">
        <v>99.0084062446389</v>
      </c>
      <c r="S13" s="179"/>
      <c r="T13" s="309">
        <v>99.0084062446389</v>
      </c>
      <c r="U13" s="301"/>
      <c r="V13" s="301"/>
    </row>
    <row customHeight="1" ht="14.25">
      <c r="A14" s="291"/>
      <c r="B14" s="310"/>
      <c r="C14" s="304"/>
      <c r="D14" s="305">
        <v>14</v>
      </c>
      <c r="E14" s="317">
        <v>92</v>
      </c>
      <c r="F14" s="307"/>
      <c r="G14" s="307"/>
      <c r="H14" s="307"/>
      <c r="I14" s="319"/>
      <c r="J14" s="319">
        <v>46</v>
      </c>
      <c r="K14" s="307"/>
      <c r="L14" s="307"/>
      <c r="M14" s="307"/>
      <c r="N14" s="307"/>
      <c r="O14" s="307"/>
      <c r="P14" s="301"/>
      <c r="Q14" s="179"/>
      <c r="R14" s="301"/>
      <c r="S14" s="179"/>
      <c r="T14" s="301"/>
      <c r="U14" s="301"/>
      <c r="V14" s="301"/>
    </row>
    <row customHeight="1" ht="14.25">
      <c r="A15" s="291"/>
      <c r="B15" s="310"/>
      <c r="C15" s="304"/>
      <c r="D15" s="305">
        <v>0</v>
      </c>
      <c r="E15" s="317">
        <v>0</v>
      </c>
      <c r="F15" s="307"/>
      <c r="G15" s="307"/>
      <c r="H15" s="307"/>
      <c r="I15" s="319"/>
      <c r="J15" s="319">
        <v>26</v>
      </c>
      <c r="K15" s="307"/>
      <c r="L15" s="307"/>
      <c r="M15" s="307"/>
      <c r="N15" s="307"/>
      <c r="O15" s="307"/>
      <c r="P15" s="301"/>
      <c r="Q15" s="179"/>
      <c r="R15" s="301"/>
      <c r="S15" s="179"/>
      <c r="T15" s="301"/>
      <c r="U15" s="301"/>
      <c r="V15" s="301"/>
    </row>
    <row customHeight="1" ht="14.25">
      <c r="A16" s="302" t="s">
        <v>70</v>
      </c>
      <c r="B16" s="310" t="s">
        <v>71</v>
      </c>
      <c r="C16" s="304"/>
      <c r="D16" s="179"/>
      <c r="E16" s="319">
        <v>10912</v>
      </c>
      <c r="F16" s="307"/>
      <c r="G16" s="307"/>
      <c r="H16" s="307"/>
      <c r="I16" s="319">
        <v>10912</v>
      </c>
      <c r="J16" s="319">
        <v>12156</v>
      </c>
      <c r="K16" s="307"/>
      <c r="L16" s="307"/>
      <c r="M16" s="307"/>
      <c r="N16" s="307"/>
      <c r="O16" s="307"/>
      <c r="P16" s="309">
        <v>97.8034682080925</v>
      </c>
      <c r="Q16" s="179"/>
      <c r="R16" s="309">
        <v>97.9520802978792</v>
      </c>
      <c r="S16" s="179"/>
      <c r="T16" s="309">
        <v>97.9520802978792</v>
      </c>
      <c r="U16" s="301"/>
      <c r="V16" s="301"/>
    </row>
    <row customHeight="1" ht="14.25">
      <c r="A17" s="291"/>
      <c r="B17" s="310"/>
      <c r="C17" s="304"/>
      <c r="D17" s="179"/>
      <c r="E17" s="319">
        <v>840</v>
      </c>
      <c r="F17" s="307"/>
      <c r="G17" s="307"/>
      <c r="H17" s="307"/>
      <c r="I17" s="319">
        <v>840</v>
      </c>
      <c r="J17" s="319">
        <v>702</v>
      </c>
      <c r="K17" s="307"/>
      <c r="L17" s="307"/>
      <c r="M17" s="307"/>
      <c r="N17" s="307"/>
      <c r="O17" s="307"/>
      <c r="P17" s="301"/>
      <c r="Q17" s="179"/>
      <c r="R17" s="301"/>
      <c r="S17" s="179"/>
      <c r="T17" s="301"/>
      <c r="U17" s="301"/>
      <c r="V17" s="301"/>
    </row>
    <row customHeight="1" ht="14.25">
      <c r="A18" s="291"/>
      <c r="B18" s="310" t="s">
        <v>70</v>
      </c>
      <c r="C18" s="179"/>
      <c r="D18" s="305">
        <v>1730</v>
      </c>
      <c r="E18" s="319">
        <v>12354</v>
      </c>
      <c r="F18" s="319"/>
      <c r="G18" s="319"/>
      <c r="H18" s="319"/>
      <c r="I18" s="319">
        <v>12354</v>
      </c>
      <c r="J18" s="319">
        <v>12963</v>
      </c>
      <c r="K18" s="319"/>
      <c r="L18" s="319"/>
      <c r="M18" s="319"/>
      <c r="N18" s="319"/>
      <c r="O18" s="319"/>
      <c r="P18" s="301"/>
      <c r="Q18" s="179"/>
      <c r="R18" s="301"/>
      <c r="S18" s="179"/>
      <c r="T18" s="301"/>
      <c r="U18" s="301"/>
      <c r="V18" s="301"/>
    </row>
    <row customHeight="1" ht="14.25">
      <c r="A19" s="291"/>
      <c r="B19" s="310"/>
      <c r="C19" s="179"/>
      <c r="D19" s="305">
        <v>0</v>
      </c>
      <c r="E19" s="319">
        <v>0</v>
      </c>
      <c r="F19" s="319"/>
      <c r="G19" s="319"/>
      <c r="H19" s="319"/>
      <c r="I19" s="319">
        <v>0</v>
      </c>
      <c r="J19" s="319">
        <v>0</v>
      </c>
      <c r="K19" s="319"/>
      <c r="L19" s="319"/>
      <c r="M19" s="319"/>
      <c r="N19" s="319"/>
      <c r="O19" s="319"/>
      <c r="P19" s="296">
        <f>ROUND(SUM(D20,D41)/SUM(Q20,Q41),4)</f>
        <v>0.3443</v>
      </c>
      <c r="Q19" s="179"/>
      <c r="R19" s="296">
        <f>ROUND(SUM(E20,E41)/SUM(S20,S41),4)</f>
        <v>0.3463</v>
      </c>
      <c r="S19" s="179"/>
      <c r="T19" s="296">
        <f>ROUND(SUM(U20,U41)/SUM(V20,V41),4)</f>
      </c>
      <c r="U19" s="301"/>
      <c r="V19" s="301"/>
    </row>
    <row customHeight="1" ht="14.25">
      <c r="A20" s="302" t="s">
        <v>31</v>
      </c>
      <c r="B20" s="310" t="s">
        <v>72</v>
      </c>
      <c r="C20" s="179"/>
      <c r="D20" s="305">
        <v>164</v>
      </c>
      <c r="E20" s="319">
        <v>1166</v>
      </c>
      <c r="F20" s="319"/>
      <c r="G20" s="319"/>
      <c r="H20" s="319"/>
      <c r="I20" s="319">
        <v>1166</v>
      </c>
      <c r="J20" s="319">
        <v>1410</v>
      </c>
      <c r="K20" s="319"/>
      <c r="L20" s="319"/>
      <c r="M20" s="319"/>
      <c r="N20" s="319"/>
      <c r="O20" s="319"/>
      <c r="P20" s="301">
        <f>ROUND(D20/Q20,4)</f>
        <v>0.1572</v>
      </c>
      <c r="Q20" s="320">
        <f>SUM(Q21:Q22)</f>
        <v>1043</v>
      </c>
      <c r="R20" s="301">
        <f>ROUND(E20/S20,4)</f>
        <v>0.1567</v>
      </c>
      <c r="S20" s="179">
        <f>SUM(S21:S22)</f>
        <v>7442</v>
      </c>
      <c r="T20" s="309">
        <v>15.6678312281645</v>
      </c>
      <c r="U20" s="301"/>
      <c r="V20" s="301">
        <f>SUM(V21:V22)</f>
        <v>0</v>
      </c>
    </row>
    <row customHeight="1" ht="14.25">
      <c r="A21" s="302" t="s">
        <v>32</v>
      </c>
      <c r="B21" s="310"/>
      <c r="C21" s="179"/>
      <c r="D21" s="179"/>
      <c r="E21" s="319"/>
      <c r="F21" s="319"/>
      <c r="G21" s="319"/>
      <c r="H21" s="319"/>
      <c r="I21" s="319"/>
      <c r="J21" s="319"/>
      <c r="K21" s="319"/>
      <c r="L21" s="319"/>
      <c r="M21" s="319"/>
      <c r="N21" s="319"/>
      <c r="O21" s="319"/>
      <c r="P21" s="301"/>
      <c r="Q21" s="305">
        <v>981</v>
      </c>
      <c r="R21" s="301"/>
      <c r="S21" s="319">
        <v>7012</v>
      </c>
      <c r="T21" s="301"/>
      <c r="U21" s="301"/>
      <c r="V21" s="301"/>
    </row>
    <row customHeight="1" ht="14.25">
      <c r="A22" s="291"/>
      <c r="B22" s="310"/>
      <c r="C22" s="179"/>
      <c r="D22" s="179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01"/>
      <c r="Q22" s="305">
        <v>62</v>
      </c>
      <c r="R22" s="301"/>
      <c r="S22" s="319">
        <v>430</v>
      </c>
      <c r="T22" s="301"/>
      <c r="U22" s="301"/>
      <c r="V22" s="301"/>
    </row>
    <row customHeight="1" ht="14.25">
      <c r="A23" s="302" t="s">
        <v>34</v>
      </c>
      <c r="B23" s="310" t="s">
        <v>73</v>
      </c>
      <c r="C23" s="179"/>
      <c r="D23" s="305">
        <v>183</v>
      </c>
      <c r="E23" s="319">
        <v>1308</v>
      </c>
      <c r="F23" s="319"/>
      <c r="G23" s="319"/>
      <c r="H23" s="319"/>
      <c r="I23" s="319">
        <v>1308</v>
      </c>
      <c r="J23" s="319">
        <v>1011</v>
      </c>
      <c r="K23" s="319"/>
      <c r="L23" s="319"/>
      <c r="M23" s="319"/>
      <c r="N23" s="319"/>
      <c r="O23" s="319"/>
      <c r="P23" s="301">
        <f>ROUND(D23/Q23,4)</f>
        <v>0.3274</v>
      </c>
      <c r="Q23" s="305">
        <v>559</v>
      </c>
      <c r="R23" s="301">
        <f>ROUND(E23/S23,4)</f>
        <v>0.329</v>
      </c>
      <c r="S23" s="319">
        <v>3976</v>
      </c>
      <c r="T23" s="309">
        <v>32.897384305835</v>
      </c>
      <c r="U23" s="301"/>
      <c r="V23" s="301"/>
    </row>
    <row customHeight="1" ht="14.25">
      <c r="A24" s="302" t="s">
        <v>35</v>
      </c>
      <c r="B24" s="310" t="s">
        <v>74</v>
      </c>
      <c r="C24" s="179"/>
      <c r="D24" s="305">
        <v>609.56</v>
      </c>
      <c r="E24" s="319">
        <v>4269.06</v>
      </c>
      <c r="F24" s="319"/>
      <c r="G24" s="319"/>
      <c r="H24" s="319"/>
      <c r="I24" s="179">
        <f>ROUND(SUM(H25:H32),0)</f>
        <v>4269</v>
      </c>
      <c r="J24" s="319">
        <v>4198.58</v>
      </c>
      <c r="K24" s="319"/>
      <c r="L24" s="319"/>
      <c r="M24" s="319"/>
      <c r="N24" s="319"/>
      <c r="O24" s="319"/>
      <c r="P24" s="301">
        <f>ROUND(D24/Q24,4)</f>
        <v>0.9722</v>
      </c>
      <c r="Q24" s="305">
        <v>627</v>
      </c>
      <c r="R24" s="301">
        <f>ROUND(E24/S24,4)</f>
        <v>0.97</v>
      </c>
      <c r="S24" s="319">
        <v>4401</v>
      </c>
      <c r="T24" s="309">
        <v>97.0020449897751</v>
      </c>
      <c r="U24" s="301"/>
      <c r="V24" s="301"/>
    </row>
    <row customHeight="1" ht="14.25">
      <c r="A25" s="291"/>
      <c r="B25" s="310"/>
      <c r="C25" s="179"/>
      <c r="D25" s="304"/>
      <c r="E25" s="319"/>
      <c r="F25" s="319"/>
      <c r="G25" s="319"/>
      <c r="H25" s="319">
        <f>ROUND(I25,0)</f>
        <v>4232</v>
      </c>
      <c r="I25" s="319">
        <v>4232</v>
      </c>
      <c r="J25" s="319"/>
      <c r="K25" s="319"/>
      <c r="L25" s="319"/>
      <c r="M25" s="319"/>
      <c r="N25" s="319"/>
      <c r="O25" s="319"/>
      <c r="P25" s="301"/>
      <c r="Q25" s="179"/>
      <c r="R25" s="301"/>
      <c r="S25" s="319"/>
      <c r="T25" s="301"/>
      <c r="U25" s="301"/>
      <c r="V25" s="301"/>
    </row>
    <row customHeight="1" ht="14.25">
      <c r="A26" s="291"/>
      <c r="B26" s="310"/>
      <c r="C26" s="179"/>
      <c r="D26" s="304"/>
      <c r="E26" s="319"/>
      <c r="F26" s="319"/>
      <c r="G26" s="319"/>
      <c r="H26" s="319">
        <f>ROUND(I26,0)</f>
        <v>0</v>
      </c>
      <c r="I26" s="319">
        <v>0</v>
      </c>
      <c r="J26" s="319"/>
      <c r="K26" s="319"/>
      <c r="L26" s="319"/>
      <c r="M26" s="319"/>
      <c r="N26" s="319"/>
      <c r="O26" s="319"/>
      <c r="P26" s="301"/>
      <c r="Q26" s="179"/>
      <c r="R26" s="301"/>
      <c r="S26" s="319"/>
      <c r="T26" s="301"/>
      <c r="U26" s="301"/>
      <c r="V26" s="301"/>
    </row>
    <row customHeight="1" ht="14.25">
      <c r="A27" s="291"/>
      <c r="B27" s="310"/>
      <c r="C27" s="179"/>
      <c r="D27" s="304"/>
      <c r="E27" s="319"/>
      <c r="F27" s="319"/>
      <c r="G27" s="319"/>
      <c r="H27" s="319">
        <f>ROUND(I27,0)</f>
        <v>37</v>
      </c>
      <c r="I27" s="319">
        <v>37.06</v>
      </c>
      <c r="J27" s="319"/>
      <c r="K27" s="319"/>
      <c r="L27" s="319"/>
      <c r="M27" s="319"/>
      <c r="N27" s="319"/>
      <c r="O27" s="319"/>
      <c r="P27" s="301"/>
      <c r="Q27" s="179"/>
      <c r="R27" s="301"/>
      <c r="S27" s="319"/>
      <c r="T27" s="301"/>
      <c r="U27" s="301"/>
      <c r="V27" s="301"/>
    </row>
    <row customHeight="1" ht="14.25">
      <c r="A28" s="291"/>
      <c r="B28" s="310"/>
      <c r="C28" s="179"/>
      <c r="D28" s="304"/>
      <c r="E28" s="319"/>
      <c r="F28" s="319"/>
      <c r="G28" s="319"/>
      <c r="H28" s="319">
        <f>ROUND(I28,0)</f>
        <v>0</v>
      </c>
      <c r="I28" s="319">
        <v>0</v>
      </c>
      <c r="J28" s="319"/>
      <c r="K28" s="319"/>
      <c r="L28" s="319"/>
      <c r="M28" s="319"/>
      <c r="N28" s="319"/>
      <c r="O28" s="319"/>
      <c r="P28" s="301"/>
      <c r="Q28" s="179"/>
      <c r="R28" s="301"/>
      <c r="S28" s="319"/>
      <c r="T28" s="301"/>
      <c r="U28" s="301"/>
      <c r="V28" s="301"/>
    </row>
    <row customHeight="1" ht="14.25">
      <c r="A29" s="291"/>
      <c r="B29" s="310"/>
      <c r="C29" s="179"/>
      <c r="D29" s="304"/>
      <c r="E29" s="319"/>
      <c r="F29" s="319"/>
      <c r="G29" s="319"/>
      <c r="H29" s="319">
        <f>ROUND(I29,0)</f>
        <v>0</v>
      </c>
      <c r="I29" s="319">
        <v>0</v>
      </c>
      <c r="J29" s="319"/>
      <c r="K29" s="319"/>
      <c r="L29" s="319"/>
      <c r="M29" s="319"/>
      <c r="N29" s="319"/>
      <c r="O29" s="319"/>
      <c r="P29" s="301"/>
      <c r="Q29" s="179"/>
      <c r="R29" s="301"/>
      <c r="S29" s="319"/>
      <c r="T29" s="301"/>
      <c r="U29" s="301"/>
      <c r="V29" s="301"/>
    </row>
    <row customHeight="1" ht="14.25">
      <c r="A30" s="291"/>
      <c r="B30" s="310"/>
      <c r="C30" s="179"/>
      <c r="D30" s="304"/>
      <c r="E30" s="319"/>
      <c r="F30" s="319"/>
      <c r="G30" s="319"/>
      <c r="H30" s="319">
        <f>ROUND(I30,0)</f>
        <v>0</v>
      </c>
      <c r="I30" s="319">
        <v>0</v>
      </c>
      <c r="J30" s="319"/>
      <c r="K30" s="319"/>
      <c r="L30" s="319"/>
      <c r="M30" s="319"/>
      <c r="N30" s="319"/>
      <c r="O30" s="319"/>
      <c r="P30" s="301"/>
      <c r="Q30" s="179"/>
      <c r="R30" s="301"/>
      <c r="S30" s="319"/>
      <c r="T30" s="301"/>
      <c r="U30" s="301"/>
      <c r="V30" s="301"/>
    </row>
    <row customHeight="1" ht="14.25">
      <c r="A31" s="291"/>
      <c r="B31" s="310"/>
      <c r="C31" s="179"/>
      <c r="D31" s="304"/>
      <c r="E31" s="319"/>
      <c r="F31" s="319"/>
      <c r="G31" s="319"/>
      <c r="H31" s="319">
        <f>ROUND(I31,0)</f>
        <v>0</v>
      </c>
      <c r="I31" s="319">
        <v>0</v>
      </c>
      <c r="J31" s="319"/>
      <c r="K31" s="319"/>
      <c r="L31" s="319"/>
      <c r="M31" s="319"/>
      <c r="N31" s="319"/>
      <c r="O31" s="319"/>
      <c r="P31" s="301"/>
      <c r="Q31" s="179"/>
      <c r="R31" s="301"/>
      <c r="S31" s="319"/>
      <c r="T31" s="301"/>
      <c r="U31" s="301"/>
      <c r="V31" s="301"/>
    </row>
    <row customHeight="1" ht="14.25">
      <c r="A32" s="291"/>
      <c r="B32" s="310"/>
      <c r="C32" s="179"/>
      <c r="D32" s="304"/>
      <c r="E32" s="319"/>
      <c r="F32" s="319"/>
      <c r="G32" s="319"/>
      <c r="H32" s="319">
        <f>ROUND(I32,0)</f>
        <v>0</v>
      </c>
      <c r="I32" s="319">
        <v>0</v>
      </c>
      <c r="J32" s="319"/>
      <c r="K32" s="319"/>
      <c r="L32" s="319"/>
      <c r="M32" s="319"/>
      <c r="N32" s="319"/>
      <c r="O32" s="319"/>
      <c r="P32" s="301"/>
      <c r="Q32" s="179"/>
      <c r="R32" s="301"/>
      <c r="S32" s="319"/>
      <c r="T32" s="301"/>
      <c r="U32" s="301"/>
      <c r="V32" s="301"/>
    </row>
    <row customHeight="1" ht="14.25">
      <c r="A33" s="302" t="s">
        <v>75</v>
      </c>
      <c r="B33" s="321" t="s">
        <v>76</v>
      </c>
      <c r="C33" s="179"/>
      <c r="D33" s="322">
        <v>604</v>
      </c>
      <c r="E33" s="319">
        <v>4379</v>
      </c>
      <c r="F33" s="319"/>
      <c r="G33" s="319"/>
      <c r="H33" s="319"/>
      <c r="I33" s="319">
        <v>4379</v>
      </c>
      <c r="J33" s="319">
        <v>4638</v>
      </c>
      <c r="K33" s="319"/>
      <c r="L33" s="319"/>
      <c r="M33" s="319"/>
      <c r="N33" s="319"/>
      <c r="O33" s="319"/>
      <c r="P33" s="301">
        <f>ROUND(D33/Q33,4)</f>
        <v>0.6069</v>
      </c>
      <c r="Q33" s="179">
        <f>SUM(Q34:Q37)</f>
        <v>995.2</v>
      </c>
      <c r="R33" s="301">
        <f>ROUND(E33/S33,4)</f>
        <v>0.6168</v>
      </c>
      <c r="S33" s="179">
        <f>SUM(S34:S37)</f>
        <v>7099.4</v>
      </c>
      <c r="T33" s="301">
        <f>ROUND(U33/V33,4)</f>
        <v>0.6168</v>
      </c>
      <c r="U33" s="301">
        <v>4379</v>
      </c>
      <c r="V33" s="301">
        <f>SUM(V34:V37)</f>
        <v>7099.4</v>
      </c>
    </row>
    <row customHeight="1" ht="14.25">
      <c r="A34" s="291"/>
      <c r="B34" s="323"/>
      <c r="C34" s="179"/>
      <c r="D34" s="17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01"/>
      <c r="Q34" s="305">
        <v>995</v>
      </c>
      <c r="R34" s="301"/>
      <c r="S34" s="319">
        <v>7098</v>
      </c>
      <c r="T34" s="301"/>
      <c r="U34" s="301"/>
      <c r="V34" s="301">
        <v>7098</v>
      </c>
    </row>
    <row customHeight="1" ht="14.25">
      <c r="A35" s="291"/>
      <c r="B35" s="323"/>
      <c r="C35" s="179"/>
      <c r="D35" s="17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01"/>
      <c r="Q35" s="305">
        <v>0.2</v>
      </c>
      <c r="R35" s="301"/>
      <c r="S35" s="319">
        <v>1.4</v>
      </c>
      <c r="T35" s="301"/>
      <c r="U35" s="301"/>
      <c r="V35" s="301">
        <v>1.4</v>
      </c>
    </row>
    <row customHeight="1" ht="14.25">
      <c r="A36" s="291"/>
      <c r="B36" s="323"/>
      <c r="C36" s="179"/>
      <c r="D36" s="17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01"/>
      <c r="Q36" s="305">
        <v>0</v>
      </c>
      <c r="R36" s="301"/>
      <c r="S36" s="319">
        <v>0</v>
      </c>
      <c r="T36" s="301"/>
      <c r="U36" s="301"/>
      <c r="V36" s="301">
        <v>0</v>
      </c>
    </row>
    <row customHeight="1" ht="14.25">
      <c r="A37" s="302" t="s">
        <v>77</v>
      </c>
      <c r="B37" s="323" t="s">
        <v>77</v>
      </c>
      <c r="C37" s="179"/>
      <c r="D37" s="179"/>
      <c r="E37" s="319">
        <v>1997</v>
      </c>
      <c r="F37" s="319"/>
      <c r="G37" s="319"/>
      <c r="H37" s="319"/>
      <c r="I37" s="319">
        <v>1997</v>
      </c>
      <c r="J37" s="319">
        <v>818</v>
      </c>
      <c r="K37" s="319"/>
      <c r="L37" s="319"/>
      <c r="M37" s="319"/>
      <c r="N37" s="319"/>
      <c r="O37" s="319"/>
      <c r="P37" s="301"/>
      <c r="Q37" s="305">
        <v>0</v>
      </c>
      <c r="R37" s="301"/>
      <c r="S37" s="319">
        <v>0</v>
      </c>
      <c r="T37" s="301"/>
      <c r="U37" s="301"/>
      <c r="V37" s="301">
        <v>0</v>
      </c>
    </row>
    <row customHeight="1" ht="14.25">
      <c r="A38" s="291"/>
      <c r="B38" s="323"/>
      <c r="C38" s="179"/>
      <c r="D38" s="179"/>
      <c r="E38" s="319">
        <v>2658</v>
      </c>
      <c r="F38" s="319"/>
      <c r="G38" s="319"/>
      <c r="H38" s="319"/>
      <c r="I38" s="319">
        <v>2658</v>
      </c>
      <c r="J38" s="319">
        <v>1004</v>
      </c>
      <c r="K38" s="319"/>
      <c r="L38" s="319"/>
      <c r="M38" s="319"/>
      <c r="N38" s="319"/>
      <c r="O38" s="319"/>
      <c r="P38" s="301"/>
      <c r="Q38" s="179"/>
      <c r="R38" s="301"/>
      <c r="S38" s="179"/>
      <c r="T38" s="301"/>
      <c r="U38" s="301"/>
      <c r="V38" s="301"/>
    </row>
    <row customHeight="1" ht="14.25">
      <c r="A39" s="291"/>
      <c r="B39" s="323"/>
      <c r="C39" s="179"/>
      <c r="D39" s="179"/>
      <c r="E39" s="319">
        <v>3347</v>
      </c>
      <c r="F39" s="319"/>
      <c r="G39" s="319"/>
      <c r="H39" s="319"/>
      <c r="I39" s="319">
        <v>3347</v>
      </c>
      <c r="J39" s="319">
        <v>893</v>
      </c>
      <c r="K39" s="319"/>
      <c r="L39" s="319"/>
      <c r="M39" s="319"/>
      <c r="N39" s="319"/>
      <c r="O39" s="319"/>
      <c r="P39" s="301"/>
      <c r="Q39" s="179"/>
      <c r="R39" s="301"/>
      <c r="S39" s="179"/>
      <c r="T39" s="301"/>
      <c r="U39" s="301"/>
      <c r="V39" s="301"/>
    </row>
    <row customHeight="1" ht="14.25">
      <c r="A40" s="291"/>
      <c r="B40" s="323"/>
      <c r="C40" s="179"/>
      <c r="D40" s="179"/>
      <c r="E40" s="319">
        <v>4663</v>
      </c>
      <c r="F40" s="319"/>
      <c r="G40" s="319"/>
      <c r="H40" s="319"/>
      <c r="I40" s="319">
        <v>4663</v>
      </c>
      <c r="J40" s="319">
        <v>2057</v>
      </c>
      <c r="K40" s="319"/>
      <c r="L40" s="319"/>
      <c r="M40" s="319"/>
      <c r="N40" s="319"/>
      <c r="O40" s="319"/>
      <c r="P40" s="301"/>
      <c r="Q40" s="179"/>
      <c r="R40" s="301"/>
      <c r="S40" s="179"/>
      <c r="T40" s="301"/>
      <c r="U40" s="301"/>
      <c r="V40" s="301"/>
    </row>
    <row customHeight="1" ht="14.25">
      <c r="A41" s="302" t="s">
        <v>33</v>
      </c>
      <c r="B41" s="323" t="s">
        <v>78</v>
      </c>
      <c r="C41" s="179"/>
      <c r="D41" s="305">
        <v>671</v>
      </c>
      <c r="E41" s="319">
        <v>4840</v>
      </c>
      <c r="F41" s="319"/>
      <c r="G41" s="319"/>
      <c r="H41" s="319"/>
      <c r="I41" s="319">
        <v>4840</v>
      </c>
      <c r="J41" s="319">
        <v>1418</v>
      </c>
      <c r="K41" s="319"/>
      <c r="L41" s="319"/>
      <c r="M41" s="319"/>
      <c r="N41" s="319"/>
      <c r="O41" s="319"/>
      <c r="P41" s="301">
        <f>ROUND(D41/Q41,4)</f>
        <v>0.4855</v>
      </c>
      <c r="Q41" s="179">
        <f>SUM(Q42:Q45)</f>
        <v>1382</v>
      </c>
      <c r="R41" s="301">
        <f>ROUND(E41/S41,4)</f>
        <v>0.4888</v>
      </c>
      <c r="S41" s="179">
        <f>SUM(S42:S45)</f>
        <v>9901</v>
      </c>
      <c r="T41" s="309">
        <v>48.8839511160489</v>
      </c>
      <c r="U41" s="301"/>
      <c r="V41" s="301">
        <f>SUM(V42:V45)</f>
        <v>0</v>
      </c>
    </row>
    <row customHeight="1" ht="14.25">
      <c r="A42" s="179"/>
      <c r="B42" s="179"/>
      <c r="C42" s="179"/>
      <c r="D42" s="17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01"/>
      <c r="Q42" s="305">
        <v>957</v>
      </c>
      <c r="R42" s="301"/>
      <c r="S42" s="305">
        <v>6860</v>
      </c>
      <c r="T42" s="301"/>
      <c r="U42" s="301"/>
      <c r="V42" s="305"/>
    </row>
    <row customHeight="1" ht="14.25">
      <c r="A43" s="179"/>
      <c r="B43" s="179"/>
      <c r="C43" s="179"/>
      <c r="D43" s="17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01"/>
      <c r="Q43" s="305">
        <v>0</v>
      </c>
      <c r="R43" s="301"/>
      <c r="S43" s="305">
        <v>0</v>
      </c>
      <c r="T43" s="301"/>
      <c r="U43" s="301"/>
      <c r="V43" s="305"/>
    </row>
    <row customHeight="1" ht="14.25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301"/>
      <c r="Q44" s="305">
        <v>241</v>
      </c>
      <c r="R44" s="301"/>
      <c r="S44" s="305">
        <v>1753</v>
      </c>
      <c r="T44" s="301"/>
      <c r="U44" s="301"/>
      <c r="V44" s="305"/>
    </row>
    <row customHeight="1" ht="14.25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301"/>
      <c r="Q45" s="305">
        <v>184</v>
      </c>
      <c r="R45" s="301"/>
      <c r="S45" s="305">
        <v>1288</v>
      </c>
      <c r="T45" s="301"/>
      <c r="U45" s="301"/>
      <c r="V45" s="305"/>
    </row>
    <row customHeight="1" ht="14.25">
      <c r="A46" s="179"/>
      <c r="B46" s="179">
        <v>24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301"/>
      <c r="Q46" s="179"/>
      <c r="R46" s="301"/>
      <c r="S46" s="179"/>
      <c r="T46" s="301"/>
      <c r="U46" s="301"/>
      <c r="V46" s="301"/>
    </row>
    <row customHeight="1" ht="14.25">
      <c r="A47" s="179"/>
      <c r="B47" s="179">
        <v>358</v>
      </c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301"/>
      <c r="Q47" s="179"/>
      <c r="R47" s="301"/>
      <c r="S47" s="179"/>
      <c r="T47" s="301"/>
      <c r="U47" s="301"/>
      <c r="V47" s="301"/>
    </row>
    <row customHeight="1" ht="14.25">
      <c r="A48" s="179"/>
      <c r="B48" s="179" t="s">
        <v>79</v>
      </c>
      <c r="C48" s="324"/>
      <c r="D48" s="324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301"/>
      <c r="Q48" s="179"/>
      <c r="R48" s="301"/>
      <c r="S48" s="179"/>
      <c r="T48" s="301"/>
      <c r="U48" s="301"/>
      <c r="V48" s="301"/>
    </row>
    <row customHeight="1" ht="14.25">
      <c r="A49" s="179"/>
      <c r="B49" s="179" t="s">
        <v>80</v>
      </c>
      <c r="C49" s="324"/>
      <c r="D49" s="324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301"/>
      <c r="Q49" s="179"/>
      <c r="R49" s="301"/>
      <c r="S49" s="179"/>
      <c r="T49" s="301"/>
      <c r="U49" s="301"/>
      <c r="V49" s="301"/>
    </row>
    <row customHeight="1" ht="14.25">
      <c r="A50" s="179"/>
      <c r="B50" s="179" t="s">
        <v>81</v>
      </c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301"/>
      <c r="Q50" s="179"/>
      <c r="R50" s="301"/>
      <c r="S50" s="179"/>
      <c r="T50" s="301"/>
      <c r="U50" s="301"/>
      <c r="V50" s="301"/>
    </row>
    <row customHeight="1" ht="14.25">
      <c r="A51" s="179"/>
      <c r="B51" s="179" t="s">
        <v>82</v>
      </c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301"/>
      <c r="Q51" s="179"/>
      <c r="R51" s="301"/>
      <c r="S51" s="179"/>
      <c r="T51" s="301"/>
      <c r="U51" s="301"/>
      <c r="V51" s="301"/>
    </row>
    <row customHeight="1" ht="14.25">
      <c r="A52" s="179"/>
      <c r="B52" s="325">
        <v>0.3333333333333333</v>
      </c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301"/>
      <c r="Q52" s="179"/>
      <c r="R52" s="301"/>
      <c r="S52" s="179"/>
      <c r="T52" s="301"/>
      <c r="U52" s="301"/>
      <c r="V52" s="301"/>
    </row>
    <row customHeight="1" ht="14.25">
      <c r="A53" s="179"/>
      <c r="B53" s="179" t="s">
        <v>83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301"/>
      <c r="Q53" s="179"/>
      <c r="R53" s="301"/>
      <c r="S53" s="179"/>
      <c r="T53" s="301"/>
      <c r="U53" s="301"/>
      <c r="V53" s="301"/>
    </row>
    <row customHeight="1" ht="14.25">
      <c r="A54" s="179"/>
      <c r="B54" s="179" t="str">
        <f>LEFT(B51,4)</f>
        <v>2026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301"/>
      <c r="Q54" s="179"/>
      <c r="R54" s="301"/>
      <c r="S54" s="179"/>
      <c r="T54" s="301"/>
      <c r="U54" s="301"/>
      <c r="V54" s="301"/>
    </row>
    <row customHeight="1" ht="14.25">
      <c r="A55" s="179"/>
      <c r="B55" s="179" t="str">
        <f>B54&amp;B53</f>
        <v>2026年全年生产任务完成情况统计</v>
      </c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301"/>
      <c r="Q55" s="179"/>
      <c r="R55" s="301"/>
      <c r="S55" s="179"/>
      <c r="T55" s="301"/>
      <c r="U55" s="301"/>
      <c r="V55" s="301"/>
    </row>
    <row customHeight="1" ht="13.95000000000000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301"/>
      <c r="Q56" s="179"/>
      <c r="R56" s="301"/>
      <c r="S56" s="179"/>
      <c r="T56" s="301"/>
      <c r="U56" s="301"/>
      <c r="V56" s="301"/>
    </row>
    <row customHeight="1" ht="13.95000000000000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301"/>
      <c r="Q57" s="179"/>
      <c r="R57" s="301"/>
      <c r="S57" s="179"/>
      <c r="T57" s="301"/>
      <c r="U57" s="301"/>
      <c r="V57" s="301"/>
    </row>
    <row customHeight="1" ht="14.25">
      <c r="A58" s="179"/>
      <c r="B58" s="179"/>
      <c r="C58" s="179"/>
      <c r="D58" s="179"/>
      <c r="E58" s="179"/>
      <c r="F58" s="179"/>
      <c r="G58" s="179"/>
      <c r="H58" s="179"/>
      <c r="I58" s="322">
        <v>1576.622</v>
      </c>
      <c r="J58" s="179"/>
      <c r="K58" s="179"/>
      <c r="L58" s="179"/>
      <c r="M58" s="179"/>
      <c r="N58" s="179"/>
      <c r="O58" s="179"/>
      <c r="P58" s="301"/>
      <c r="Q58" s="179"/>
      <c r="R58" s="301"/>
      <c r="S58" s="179"/>
      <c r="T58" s="301"/>
      <c r="U58" s="301"/>
      <c r="V58" s="301"/>
    </row>
    <row customHeight="1" ht="14.25">
      <c r="A59" s="322">
        <v>10616.681</v>
      </c>
      <c r="B59" s="322">
        <v>7929.863</v>
      </c>
      <c r="C59" s="322">
        <v>1890.827</v>
      </c>
      <c r="D59" s="322">
        <v>892.903</v>
      </c>
      <c r="E59" s="322">
        <v>699.488</v>
      </c>
      <c r="F59" s="322">
        <v>1017.629</v>
      </c>
      <c r="G59" s="322">
        <v>1154.289</v>
      </c>
      <c r="H59" s="322">
        <v>597</v>
      </c>
      <c r="I59" s="322">
        <v>1868.95</v>
      </c>
      <c r="J59" s="322">
        <v>5770.289</v>
      </c>
      <c r="K59" s="179"/>
      <c r="L59" s="179"/>
      <c r="M59" s="179"/>
      <c r="N59" s="179"/>
      <c r="O59" s="179"/>
      <c r="P59" s="301"/>
      <c r="Q59" s="179"/>
      <c r="R59" s="301"/>
      <c r="S59" s="179"/>
      <c r="T59" s="301"/>
      <c r="U59" s="301"/>
      <c r="V59" s="301"/>
    </row>
    <row customHeight="1" ht="13.95000000000000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301"/>
      <c r="Q60" s="179"/>
      <c r="R60" s="301"/>
      <c r="S60" s="179"/>
      <c r="T60" s="301"/>
      <c r="U60" s="301"/>
      <c r="V60" s="301"/>
    </row>
    <row customHeight="1" ht="13.95000000000000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301"/>
      <c r="Q61" s="179"/>
      <c r="R61" s="301"/>
      <c r="S61" s="179"/>
      <c r="T61" s="301"/>
      <c r="U61" s="301"/>
      <c r="V61" s="301"/>
    </row>
    <row customHeight="1" ht="13.95000000000000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301"/>
      <c r="Q62" s="179"/>
      <c r="R62" s="301"/>
      <c r="S62" s="179"/>
      <c r="T62" s="301"/>
      <c r="U62" s="301"/>
      <c r="V62" s="301"/>
    </row>
    <row customHeight="1" ht="13.95000000000000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301"/>
      <c r="Q63" s="179"/>
      <c r="R63" s="301"/>
      <c r="S63" s="179"/>
      <c r="T63" s="301"/>
      <c r="U63" s="301"/>
      <c r="V63" s="301"/>
    </row>
    <row customHeight="1" ht="13.95000000000000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301"/>
      <c r="Q64" s="179"/>
      <c r="R64" s="301"/>
      <c r="S64" s="179"/>
      <c r="T64" s="301"/>
      <c r="U64" s="301"/>
      <c r="V64" s="301"/>
    </row>
    <row customHeight="1" ht="14.25">
      <c r="A65" s="179">
        <f>A66+A68+A67</f>
        <v>729.711</v>
      </c>
      <c r="B65" s="179">
        <f>B66+B67+B68+B69</f>
        <v>2995.428</v>
      </c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301"/>
      <c r="Q65" s="179"/>
      <c r="R65" s="301"/>
      <c r="S65" s="179"/>
      <c r="T65" s="301"/>
      <c r="U65" s="301"/>
      <c r="V65" s="301"/>
    </row>
    <row customHeight="1" ht="14.25">
      <c r="A66" s="322">
        <v>621.426</v>
      </c>
      <c r="B66" s="322">
        <v>98.5060000000001</v>
      </c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301"/>
      <c r="Q66" s="179"/>
      <c r="R66" s="301"/>
      <c r="S66" s="179"/>
      <c r="T66" s="301"/>
      <c r="U66" s="301"/>
      <c r="V66" s="301"/>
    </row>
    <row customHeight="1" ht="14.25">
      <c r="A67" s="322">
        <v>61.8180000000002</v>
      </c>
      <c r="B67" s="322">
        <v>873.544</v>
      </c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301"/>
      <c r="Q67" s="179"/>
      <c r="R67" s="301"/>
      <c r="S67" s="179"/>
      <c r="T67" s="301"/>
      <c r="U67" s="301"/>
      <c r="V67" s="301"/>
    </row>
    <row customHeight="1" ht="14.25">
      <c r="A68" s="322">
        <v>46.4670000000001</v>
      </c>
      <c r="B68" s="322">
        <v>929.713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301"/>
      <c r="Q68" s="179"/>
      <c r="R68" s="301"/>
      <c r="S68" s="179"/>
      <c r="T68" s="301"/>
      <c r="U68" s="301"/>
      <c r="V68" s="301"/>
    </row>
    <row customHeight="1" ht="14.25">
      <c r="A69" s="179"/>
      <c r="B69" s="322">
        <v>1093.665</v>
      </c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301"/>
      <c r="Q69" s="179"/>
      <c r="R69" s="301"/>
      <c r="S69" s="179"/>
      <c r="T69" s="301"/>
      <c r="U69" s="301"/>
      <c r="V69" s="301"/>
    </row>
  </sheetData>
  <mergeCells count="6">
    <mergeCell ref="O1:O2"/>
    <mergeCell ref="B1:B2"/>
    <mergeCell ref="H1:H2"/>
    <mergeCell ref="J1:J2"/>
    <mergeCell ref="M1:M2"/>
    <mergeCell ref="N1:N2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D45C421-F088-95DB-69C1-8A764674372C}" mc:Ignorable="x14ac xr xr2 xr3">
  <dimension ref="A1:E91"/>
  <sheetViews>
    <sheetView topLeftCell="A1" workbookViewId="0">
      <selection activeCell="B13" sqref="B13"/>
    </sheetView>
  </sheetViews>
  <sheetFormatPr defaultColWidth="9.00390625" customHeight="1" defaultRowHeight="13.950000000000001"/>
  <cols>
    <col min="1" max="1" style="350" width="40.00390625" customWidth="1"/>
    <col min="2" max="2" style="351" width="24.421875" customWidth="1"/>
  </cols>
  <sheetData>
    <row customHeight="1" ht="13.950000000000001">
      <c r="A1" s="179"/>
      <c r="B1" s="179"/>
      <c r="C1" s="301"/>
      <c r="D1" s="301"/>
      <c r="E1" s="301"/>
    </row>
    <row customHeight="1" ht="13.950000000000001">
      <c r="A2" s="179"/>
      <c r="B2" s="179"/>
      <c r="C2" s="301"/>
      <c r="D2" s="301"/>
      <c r="E2" s="301"/>
    </row>
    <row customHeight="1" ht="14.25">
      <c r="A3" s="343" t="s">
        <v>2</v>
      </c>
      <c r="B3" s="344" t="s">
        <v>3</v>
      </c>
      <c r="C3" s="301"/>
      <c r="D3" s="301"/>
      <c r="E3" s="301"/>
    </row>
    <row customHeight="1" ht="14.25">
      <c r="A4" s="343"/>
      <c r="B4" s="344" t="s">
        <v>62</v>
      </c>
      <c r="C4" s="301"/>
      <c r="D4" s="301"/>
      <c r="E4" s="301"/>
    </row>
    <row customHeight="1" ht="14.25">
      <c r="A5" s="345" t="s">
        <v>25</v>
      </c>
      <c r="B5" s="308">
        <v>120000.000388416</v>
      </c>
      <c r="C5" s="301"/>
      <c r="D5" s="308"/>
      <c r="E5" s="301"/>
    </row>
    <row customHeight="1" ht="14.25">
      <c r="A6" s="346" t="s">
        <v>26</v>
      </c>
      <c r="B6" s="220"/>
      <c r="C6" s="301"/>
      <c r="D6" s="301"/>
      <c r="E6" s="301"/>
    </row>
    <row customHeight="1" ht="14.25">
      <c r="A7" s="347" t="s">
        <v>27</v>
      </c>
      <c r="B7" s="308">
        <v>68000.0032008</v>
      </c>
      <c r="C7" s="301"/>
      <c r="D7" s="308"/>
      <c r="E7" s="301"/>
    </row>
    <row customHeight="1" ht="14.25">
      <c r="A8" s="348" t="s">
        <v>28</v>
      </c>
      <c r="B8" s="308">
        <v>128000.00016</v>
      </c>
      <c r="C8" s="301"/>
      <c r="D8" s="308"/>
      <c r="E8" s="301"/>
    </row>
    <row customHeight="1" ht="14.25">
      <c r="A9" s="349" t="s">
        <v>29</v>
      </c>
      <c r="B9" s="308">
        <v>117000</v>
      </c>
      <c r="C9" s="301"/>
      <c r="D9" s="308"/>
      <c r="E9" s="301"/>
    </row>
    <row customHeight="1" ht="14.25">
      <c r="A10" s="349" t="s">
        <v>30</v>
      </c>
      <c r="B10" s="308">
        <v>56000.0045944567</v>
      </c>
      <c r="C10" s="301"/>
      <c r="D10" s="308"/>
      <c r="E10" s="301"/>
    </row>
    <row customHeight="1" ht="14.25">
      <c r="A11" s="349" t="s">
        <v>31</v>
      </c>
      <c r="B11" s="220"/>
      <c r="C11" s="301"/>
      <c r="D11" s="308"/>
      <c r="E11" s="301"/>
    </row>
    <row customHeight="1" ht="14.25">
      <c r="A12" s="348" t="s">
        <v>32</v>
      </c>
      <c r="B12" s="308">
        <v>6411.39012601522</v>
      </c>
      <c r="C12" s="308">
        <v>18.5</v>
      </c>
      <c r="D12" s="308"/>
      <c r="E12" s="308"/>
    </row>
    <row customHeight="1" ht="14.25">
      <c r="A13" s="348" t="s">
        <v>33</v>
      </c>
      <c r="B13" s="308">
        <v>17641.2608548116</v>
      </c>
      <c r="C13" s="308">
        <v>46.4</v>
      </c>
      <c r="D13" s="308"/>
      <c r="E13" s="308"/>
    </row>
    <row customHeight="1" ht="14.25">
      <c r="A14" s="349" t="s">
        <v>34</v>
      </c>
      <c r="B14" s="308">
        <v>15000.000048552</v>
      </c>
      <c r="C14" s="308">
        <v>29</v>
      </c>
      <c r="D14" s="308"/>
      <c r="E14" s="308"/>
    </row>
    <row customHeight="1" ht="14.25">
      <c r="A15" s="349" t="s">
        <v>35</v>
      </c>
      <c r="B15" s="308">
        <v>18134.7112405033</v>
      </c>
      <c r="C15" s="308">
        <v>96.5</v>
      </c>
      <c r="D15" s="308"/>
      <c r="E15" s="308"/>
    </row>
    <row customHeight="1" ht="14.25">
      <c r="A16" s="349" t="s">
        <v>75</v>
      </c>
      <c r="B16" s="308">
        <v>27692.31</v>
      </c>
      <c r="C16" s="308">
        <v>65</v>
      </c>
      <c r="D16" s="308"/>
      <c r="E16" s="308"/>
    </row>
    <row customHeight="1" ht="14.25">
      <c r="A17" s="179"/>
      <c r="B17" s="179"/>
      <c r="C17" s="301"/>
      <c r="D17" s="301"/>
      <c r="E17" s="301"/>
    </row>
    <row customHeight="1" ht="14.25">
      <c r="A18" s="179"/>
      <c r="B18" s="179"/>
      <c r="C18" s="301"/>
      <c r="D18" s="301"/>
      <c r="E18" s="301"/>
    </row>
    <row customHeight="1" ht="14.25">
      <c r="A19" s="179"/>
      <c r="B19" s="179"/>
      <c r="C19" s="301"/>
      <c r="D19" s="301"/>
      <c r="E19" s="301"/>
    </row>
    <row customHeight="1" ht="14.25">
      <c r="A20" s="179"/>
      <c r="B20" s="179"/>
      <c r="C20" s="301"/>
      <c r="D20" s="301"/>
      <c r="E20" s="301"/>
    </row>
    <row customHeight="1" ht="14.25">
      <c r="A21" s="179"/>
      <c r="B21" s="179"/>
      <c r="C21" s="301"/>
      <c r="D21" s="301"/>
      <c r="E21" s="301"/>
    </row>
    <row customHeight="1" ht="14.25">
      <c r="A22" s="179"/>
      <c r="B22" s="179"/>
      <c r="C22" s="301"/>
      <c r="D22" s="301"/>
      <c r="E22" s="301"/>
    </row>
    <row customHeight="1" ht="14.25">
      <c r="A23" s="179"/>
      <c r="B23" s="179"/>
      <c r="C23" s="301"/>
      <c r="D23" s="301"/>
      <c r="E23" s="301"/>
    </row>
    <row customHeight="1" ht="14.25">
      <c r="A24" s="179"/>
      <c r="B24" s="179"/>
      <c r="C24" s="301"/>
      <c r="D24" s="301"/>
      <c r="E24" s="301"/>
    </row>
    <row customHeight="1" ht="14.25">
      <c r="A25" s="179"/>
      <c r="B25" s="179"/>
      <c r="C25" s="301"/>
      <c r="D25" s="301"/>
      <c r="E25" s="301"/>
    </row>
    <row customHeight="1" ht="14.25">
      <c r="A26" s="179"/>
      <c r="B26" s="179"/>
      <c r="C26" s="301"/>
      <c r="D26" s="301"/>
      <c r="E26" s="301"/>
    </row>
    <row customHeight="1" ht="14.25">
      <c r="A27" s="179"/>
      <c r="B27" s="179"/>
      <c r="C27" s="301"/>
      <c r="D27" s="301"/>
      <c r="E27" s="301"/>
    </row>
    <row customHeight="1" ht="14.25">
      <c r="A28" s="179"/>
      <c r="B28" s="179"/>
      <c r="C28" s="301"/>
      <c r="D28" s="301"/>
      <c r="E28" s="301"/>
    </row>
    <row customHeight="1" ht="14.25">
      <c r="A29" s="179"/>
      <c r="B29" s="179"/>
      <c r="C29" s="301"/>
      <c r="D29" s="301"/>
      <c r="E29" s="301"/>
    </row>
    <row customHeight="1" ht="14.25">
      <c r="A30" s="179"/>
      <c r="B30" s="179"/>
      <c r="C30" s="301"/>
      <c r="D30" s="301"/>
      <c r="E30" s="301"/>
    </row>
    <row customHeight="1" ht="14.25">
      <c r="A31" s="179"/>
      <c r="B31" s="179"/>
      <c r="C31" s="301"/>
      <c r="D31" s="301"/>
      <c r="E31" s="301"/>
    </row>
    <row customHeight="1" ht="14.25">
      <c r="A32" s="179"/>
      <c r="B32" s="179"/>
      <c r="C32" s="301"/>
      <c r="D32" s="301"/>
      <c r="E32" s="301"/>
    </row>
    <row customHeight="1" ht="14.25">
      <c r="A33" s="179"/>
      <c r="B33" s="179"/>
      <c r="C33" s="301"/>
      <c r="D33" s="301"/>
      <c r="E33" s="301"/>
    </row>
    <row customHeight="1" ht="14.25">
      <c r="A34" s="179"/>
      <c r="B34" s="179"/>
      <c r="C34" s="301"/>
      <c r="D34" s="301"/>
      <c r="E34" s="301"/>
    </row>
    <row customHeight="1" ht="14.25">
      <c r="A35" s="179"/>
      <c r="B35" s="179"/>
      <c r="C35" s="301"/>
      <c r="D35" s="301"/>
      <c r="E35" s="301"/>
    </row>
    <row customHeight="1" ht="14.25">
      <c r="A36" s="179"/>
      <c r="B36" s="179"/>
      <c r="C36" s="301"/>
      <c r="D36" s="301"/>
      <c r="E36" s="301"/>
    </row>
    <row customHeight="1" ht="14.25">
      <c r="A37" s="179"/>
      <c r="B37" s="179"/>
      <c r="C37" s="301"/>
      <c r="D37" s="301"/>
      <c r="E37" s="301"/>
    </row>
    <row customHeight="1" ht="14.25">
      <c r="A38" s="179"/>
      <c r="B38" s="179"/>
      <c r="C38" s="301"/>
      <c r="D38" s="301"/>
      <c r="E38" s="301"/>
    </row>
    <row customHeight="1" ht="14.25">
      <c r="A39" s="179"/>
      <c r="B39" s="179"/>
      <c r="C39" s="301"/>
      <c r="D39" s="301"/>
      <c r="E39" s="301"/>
    </row>
    <row customHeight="1" ht="14.25">
      <c r="A40" s="179"/>
      <c r="B40" s="179"/>
      <c r="C40" s="301"/>
      <c r="D40" s="301"/>
      <c r="E40" s="301"/>
    </row>
    <row customHeight="1" ht="14.25">
      <c r="A41" s="179"/>
      <c r="B41" s="179"/>
      <c r="C41" s="301"/>
      <c r="D41" s="301"/>
      <c r="E41" s="301"/>
    </row>
    <row customHeight="1" ht="14.25">
      <c r="A42" s="179"/>
      <c r="B42" s="179"/>
      <c r="C42" s="301"/>
      <c r="D42" s="301"/>
      <c r="E42" s="301"/>
    </row>
    <row customHeight="1" ht="14.25">
      <c r="A43" s="179"/>
      <c r="B43" s="179"/>
      <c r="C43" s="301"/>
      <c r="D43" s="301"/>
      <c r="E43" s="301"/>
    </row>
    <row customHeight="1" ht="14.25">
      <c r="A44" s="179"/>
      <c r="B44" s="179"/>
      <c r="C44" s="301"/>
      <c r="D44" s="301"/>
      <c r="E44" s="301"/>
    </row>
    <row customHeight="1" ht="14.25">
      <c r="A45" s="179"/>
      <c r="B45" s="179"/>
      <c r="C45" s="301"/>
      <c r="D45" s="301"/>
      <c r="E45" s="301"/>
    </row>
    <row customHeight="1" ht="14.25">
      <c r="A46" s="179"/>
      <c r="B46" s="179"/>
      <c r="C46" s="301"/>
      <c r="D46" s="301"/>
      <c r="E46" s="301"/>
    </row>
    <row customHeight="1" ht="14.25">
      <c r="A47" s="179"/>
      <c r="B47" s="179"/>
      <c r="C47" s="301"/>
      <c r="D47" s="301"/>
      <c r="E47" s="301"/>
    </row>
    <row customHeight="1" ht="14.25">
      <c r="A48" s="179"/>
      <c r="B48" s="179"/>
      <c r="C48" s="301"/>
      <c r="D48" s="301"/>
      <c r="E48" s="301"/>
    </row>
    <row customHeight="1" ht="14.25">
      <c r="A49" s="179"/>
      <c r="B49" s="179"/>
      <c r="C49" s="301"/>
      <c r="D49" s="301"/>
      <c r="E49" s="301"/>
    </row>
    <row customHeight="1" ht="14.25">
      <c r="A50" s="179"/>
      <c r="B50" s="179"/>
      <c r="C50" s="301"/>
      <c r="D50" s="301"/>
      <c r="E50" s="301"/>
    </row>
    <row customHeight="1" ht="14.25">
      <c r="A51" s="179"/>
      <c r="B51" s="179"/>
      <c r="C51" s="301"/>
      <c r="D51" s="301"/>
      <c r="E51" s="301"/>
    </row>
    <row customHeight="1" ht="14.25">
      <c r="A52" s="179"/>
      <c r="B52" s="179"/>
      <c r="C52" s="301"/>
      <c r="D52" s="301"/>
      <c r="E52" s="301"/>
    </row>
    <row customHeight="1" ht="14.25">
      <c r="A53" s="179"/>
      <c r="B53" s="179"/>
      <c r="C53" s="301"/>
      <c r="D53" s="301"/>
      <c r="E53" s="301"/>
    </row>
    <row customHeight="1" ht="14.25">
      <c r="A54" s="179"/>
      <c r="B54" s="179"/>
      <c r="C54" s="301"/>
      <c r="D54" s="301"/>
      <c r="E54" s="301"/>
    </row>
    <row customHeight="1" ht="14.25">
      <c r="A55" s="179"/>
      <c r="B55" s="179"/>
      <c r="C55" s="301"/>
      <c r="D55" s="301"/>
      <c r="E55" s="301"/>
    </row>
    <row customHeight="1" ht="14.25">
      <c r="A56" s="179"/>
      <c r="B56" s="179"/>
      <c r="C56" s="301"/>
      <c r="D56" s="301"/>
      <c r="E56" s="301"/>
    </row>
    <row customHeight="1" ht="14.25">
      <c r="A57" s="179"/>
      <c r="B57" s="179"/>
      <c r="C57" s="301"/>
      <c r="D57" s="301"/>
      <c r="E57" s="301"/>
    </row>
    <row customHeight="1" ht="14.25">
      <c r="A58" s="179"/>
      <c r="B58" s="179"/>
      <c r="C58" s="301"/>
      <c r="D58" s="301"/>
      <c r="E58" s="301"/>
    </row>
    <row customHeight="1" ht="14.25">
      <c r="A59" s="179"/>
      <c r="B59" s="179"/>
      <c r="C59" s="301"/>
      <c r="D59" s="301"/>
      <c r="E59" s="301"/>
    </row>
    <row customHeight="1" ht="14.25">
      <c r="A60" s="179"/>
      <c r="B60" s="179"/>
      <c r="C60" s="301"/>
      <c r="D60" s="301"/>
      <c r="E60" s="301"/>
    </row>
    <row customHeight="1" ht="14.25">
      <c r="A61" s="179"/>
      <c r="B61" s="179"/>
      <c r="C61" s="301"/>
      <c r="D61" s="301"/>
      <c r="E61" s="301"/>
    </row>
    <row customHeight="1" ht="14.25">
      <c r="A62" s="179"/>
      <c r="B62" s="179"/>
      <c r="C62" s="301"/>
      <c r="D62" s="301"/>
      <c r="E62" s="301"/>
    </row>
    <row customHeight="1" ht="14.25">
      <c r="A63" s="179"/>
      <c r="B63" s="179"/>
      <c r="C63" s="301"/>
      <c r="D63" s="301"/>
      <c r="E63" s="301"/>
    </row>
    <row customHeight="1" ht="14.25">
      <c r="A64" s="179"/>
      <c r="B64" s="179"/>
      <c r="C64" s="301"/>
      <c r="D64" s="301"/>
      <c r="E64" s="301"/>
    </row>
    <row customHeight="1" ht="14.25">
      <c r="A65" s="179"/>
      <c r="B65" s="179"/>
      <c r="C65" s="301"/>
      <c r="D65" s="301"/>
      <c r="E65" s="301"/>
    </row>
    <row customHeight="1" ht="14.25">
      <c r="A66" s="179"/>
      <c r="B66" s="179"/>
      <c r="C66" s="301"/>
      <c r="D66" s="301"/>
      <c r="E66" s="301"/>
    </row>
    <row customHeight="1" ht="14.25">
      <c r="A67" s="179"/>
      <c r="B67" s="179"/>
      <c r="C67" s="301"/>
      <c r="D67" s="301"/>
      <c r="E67" s="301"/>
    </row>
    <row customHeight="1" ht="14.25">
      <c r="A68" s="179"/>
      <c r="B68" s="179"/>
      <c r="C68" s="301"/>
      <c r="D68" s="301"/>
      <c r="E68" s="301"/>
    </row>
    <row customHeight="1" ht="14.25">
      <c r="A69" s="179"/>
      <c r="B69" s="179"/>
      <c r="C69" s="301"/>
      <c r="D69" s="301"/>
      <c r="E69" s="301"/>
    </row>
    <row customHeight="1" ht="14.25">
      <c r="A70" s="179"/>
      <c r="B70" s="179"/>
      <c r="C70" s="301"/>
      <c r="D70" s="301"/>
      <c r="E70" s="301"/>
    </row>
    <row customHeight="1" ht="14.25">
      <c r="A71" s="179"/>
      <c r="B71" s="179"/>
      <c r="C71" s="301"/>
      <c r="D71" s="301"/>
      <c r="E71" s="301"/>
    </row>
    <row customHeight="1" ht="14.25">
      <c r="A72" s="179"/>
      <c r="B72" s="179"/>
      <c r="C72" s="301"/>
      <c r="D72" s="301"/>
      <c r="E72" s="301"/>
    </row>
    <row customHeight="1" ht="14.25">
      <c r="A73" s="179"/>
      <c r="B73" s="179"/>
      <c r="C73" s="301"/>
      <c r="D73" s="301"/>
      <c r="E73" s="301"/>
    </row>
    <row customHeight="1" ht="14.25">
      <c r="A74" s="179"/>
      <c r="B74" s="179"/>
      <c r="C74" s="301"/>
      <c r="D74" s="301"/>
      <c r="E74" s="301"/>
    </row>
    <row customHeight="1" ht="14.25">
      <c r="A75" s="179"/>
      <c r="B75" s="179"/>
      <c r="C75" s="301"/>
      <c r="D75" s="301"/>
      <c r="E75" s="301"/>
    </row>
    <row customHeight="1" ht="14.25">
      <c r="A76" s="179"/>
      <c r="B76" s="179"/>
      <c r="C76" s="301"/>
      <c r="D76" s="301"/>
      <c r="E76" s="301"/>
    </row>
    <row customHeight="1" ht="14.25">
      <c r="A77" s="179"/>
      <c r="B77" s="179"/>
      <c r="C77" s="301"/>
      <c r="D77" s="301"/>
      <c r="E77" s="301"/>
    </row>
    <row customHeight="1" ht="14.25">
      <c r="A78" s="179"/>
      <c r="B78" s="179"/>
      <c r="C78" s="301"/>
      <c r="D78" s="301"/>
      <c r="E78" s="301"/>
    </row>
    <row customHeight="1" ht="14.25">
      <c r="A79" s="179"/>
      <c r="B79" s="179"/>
      <c r="C79" s="301"/>
      <c r="D79" s="301"/>
      <c r="E79" s="301"/>
    </row>
    <row customHeight="1" ht="14.25">
      <c r="A80" s="179"/>
      <c r="B80" s="179"/>
      <c r="C80" s="301"/>
      <c r="D80" s="301"/>
      <c r="E80" s="301"/>
    </row>
    <row customHeight="1" ht="14.25">
      <c r="A81" s="179"/>
      <c r="B81" s="179"/>
      <c r="C81" s="301"/>
      <c r="D81" s="301"/>
      <c r="E81" s="301"/>
    </row>
    <row customHeight="1" ht="14.25">
      <c r="A82" s="179"/>
      <c r="B82" s="179"/>
      <c r="C82" s="301"/>
      <c r="D82" s="301"/>
      <c r="E82" s="301"/>
    </row>
    <row customHeight="1" ht="14.25">
      <c r="A83" s="179"/>
      <c r="B83" s="179"/>
      <c r="C83" s="301"/>
      <c r="D83" s="301"/>
      <c r="E83" s="301"/>
    </row>
    <row customHeight="1" ht="14.25">
      <c r="A84" s="179"/>
      <c r="B84" s="179"/>
      <c r="C84" s="301"/>
      <c r="D84" s="301"/>
      <c r="E84" s="301"/>
    </row>
    <row customHeight="1" ht="14.25">
      <c r="A85" s="179"/>
      <c r="B85" s="179"/>
      <c r="C85" s="301"/>
      <c r="D85" s="301"/>
      <c r="E85" s="301"/>
    </row>
    <row customHeight="1" ht="14.25">
      <c r="A86" s="179"/>
      <c r="B86" s="179"/>
      <c r="C86" s="301"/>
      <c r="D86" s="301"/>
      <c r="E86" s="301"/>
    </row>
    <row customHeight="1" ht="14.25">
      <c r="A87" s="179"/>
      <c r="B87" s="179"/>
      <c r="C87" s="301"/>
      <c r="D87" s="301"/>
      <c r="E87" s="301"/>
    </row>
    <row customHeight="1" ht="14.25">
      <c r="A88" s="179"/>
      <c r="B88" s="179"/>
      <c r="C88" s="301"/>
      <c r="D88" s="301"/>
      <c r="E88" s="301"/>
    </row>
    <row customHeight="1" ht="14.25">
      <c r="A89" s="179"/>
      <c r="B89" s="179"/>
      <c r="C89" s="301"/>
      <c r="D89" s="301"/>
      <c r="E89" s="301"/>
    </row>
    <row customHeight="1" ht="14.25">
      <c r="A90" s="179"/>
      <c r="B90" s="179"/>
      <c r="C90" s="301"/>
      <c r="D90" s="301"/>
      <c r="E90" s="301"/>
    </row>
    <row customHeight="1" ht="14.25">
      <c r="A91" s="179"/>
      <c r="B91" s="179"/>
      <c r="C91" s="301"/>
      <c r="D91" s="301"/>
      <c r="E91" s="301"/>
    </row>
  </sheetData>
  <mergeCells count="1">
    <mergeCell ref="A3:A4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全年生产任务完成情况统计</vt:lpstr>
      <vt:lpstr>取值</vt:lpstr>
      <vt:lpstr>计划取值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2015-06-05T18:19:00Z</dcterms:created>
  <dcterms:modified xsi:type="dcterms:W3CDTF">2024-10-17T08:03:02Z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2F009618FF9345E5A2B23D891831ABDF_12</vt:lpwstr>
  </property>
  <property fmtid="{D5CDD505-2E9C-101B-9397-08002B2CF9AE}" pid="3" name="KSOProductBuildVer">
    <vt:lpwstr>2052-11.1.0.14309</vt:lpwstr>
  </property>
</Properties>
</file>