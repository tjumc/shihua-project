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全年生产任务情况统计" sheetId="1" r:id="rId2"/>
    <sheet name="取值" sheetId="2" state="hidden" r:id="rId3"/>
  </sheets>
  <calcPr calcId="0" iterate="0" iterateCount="100" iterateDelta="0.001"/>
</workbook>
</file>

<file path=xl/comments1.xml><?xml version="1.0" encoding="utf-8"?>
<comments xmlns="http://schemas.openxmlformats.org/spreadsheetml/2006/main">
  <authors>
    <author>Author</author>
  </authors>
  <commentList>
    <comment ref="D5" authorId="0">
      <text>
        <r>
          <rPr>
            <b/>
            <sz val="9"/>
            <color indexed="81"/>
            <rFont val="宋体"/>
            <family val="2"/>
          </rPr>
          <t>#Input("油田气科技公司_生产计划部_全年生产任务情况表_BDO产量转储运_本日",":key{{dw}}",":read")</t>
        </r>
      </text>
    </comment>
    <comment ref="D7" authorId="0">
      <text>
        <r>
          <rPr>
            <b/>
            <sz val="9"/>
            <color indexed="81"/>
            <rFont val="宋体"/>
            <family val="2"/>
          </rPr>
          <t>#Input("油田气科技公司_生产计划部_全年生产任务情况表_PT1800产量_本日",":key{{dw}}",":read")</t>
        </r>
      </text>
    </comment>
    <comment ref="D8" authorId="0">
      <text>
        <r>
          <rPr>
            <sz val="9"/>
            <color indexed="81"/>
            <rFont val="Arial"/>
            <family val="2"/>
          </rPr>
          <t xml:space="preserve">#Input("油田气科技公司_生产计划部_全年生产任务情况表_PT1800产量客标_本日",":key{{dw}}",":read")
</t>
        </r>
      </text>
    </comment>
    <comment ref="D9" authorId="0">
      <text>
        <r>
          <rPr>
            <sz val="9"/>
            <color indexed="81"/>
            <rFont val="Arial"/>
            <family val="2"/>
          </rPr>
          <t xml:space="preserve">#Input("油田气科技公司_生产计划部_全年生产任务情况表_PT2000产量_本日",":key{{dw}}",":read")
</t>
        </r>
      </text>
    </comment>
    <comment ref="D10" authorId="0">
      <text>
        <r>
          <rPr>
            <b/>
            <sz val="9"/>
            <color indexed="81"/>
            <rFont val="宋体"/>
            <family val="2"/>
          </rPr>
          <t>#Input("油田气科技公司_生产计划部_全年生产任务情况表_PT2000产量客标_本日",":key{{dw}}",":read")</t>
        </r>
      </text>
    </comment>
    <comment ref="D12" authorId="0">
      <text>
        <r>
          <rPr>
            <b/>
            <sz val="9"/>
            <color indexed="81"/>
            <rFont val="宋体"/>
            <family val="2"/>
          </rPr>
          <t>#Input("油田气科技公司_生产计划部_全年生产任务情况表_聚酯级乙二醇产量_本日",":key{{dw}}",":read")</t>
        </r>
      </text>
    </comment>
    <comment ref="D13" authorId="0">
      <text>
        <r>
          <rPr>
            <b/>
            <sz val="9"/>
            <color indexed="81"/>
            <rFont val="宋体"/>
            <family val="2"/>
          </rPr>
          <t>#Input("油田气科技公司_生产计划部_全年生产任务情况表_工业级乙二醇产量_本日",":key{{dw}}",":read")</t>
        </r>
      </text>
    </comment>
    <comment ref="D14" authorId="0">
      <text>
        <r>
          <rPr>
            <sz val="9"/>
            <color indexed="81"/>
            <rFont val="Arial"/>
            <family val="2"/>
          </rPr>
          <t xml:space="preserve">#Input("油田气科技公司_生产计划部_全年生产任务情况表_轻质多元醇产量_本日",":key{{dw}}",":read")
</t>
        </r>
      </text>
    </comment>
    <comment ref="D15" authorId="0">
      <text>
        <r>
          <rPr>
            <sz val="9"/>
            <color indexed="81"/>
            <rFont val="Arial"/>
            <family val="2"/>
          </rPr>
          <t xml:space="preserve">#Input("油田气科技公司_生产计划部_全年生产任务情况表_重质多元醇产量_本日",":key{{dw}}",":read")
</t>
        </r>
      </text>
    </comment>
    <comment ref="A16" authorId="0">
      <text>
        <r>
          <rPr>
            <sz val="9"/>
            <color indexed="81"/>
            <rFont val="宋体"/>
            <family val="2"/>
          </rPr>
          <t xml:space="preserve">#Input("油田气科技公司_生产计划部_全年生产任务情况表_备注",":key{{dw}}")
</t>
        </r>
      </text>
    </comment>
    <comment ref="C18" authorId="0">
      <text>
        <r>
          <rPr>
            <sz val="9"/>
            <color indexed="81"/>
            <rFont val="Arial"/>
            <family val="2"/>
          </rPr>
          <t>#Input("油田气科技公司_生产计划部_全年生产任务情况表_备注_审核人",":key{{dw}}")</t>
        </r>
      </text>
    </comment>
    <comment ref="L18" authorId="0">
      <text>
        <r>
          <rPr>
            <b/>
            <sz val="9"/>
            <color indexed="81"/>
            <rFont val="宋体"/>
            <family val="2"/>
          </rPr>
          <t>#Input("油田气科技公司_生产计划部_全年生产任务情况表_备注_填报人",":key{{dw}}")</t>
        </r>
      </text>
    </comment>
  </commentList>
</comments>
</file>

<file path=xl/sharedStrings.xml><?xml version="1.0" encoding="utf-8"?>
<sst xmlns="http://schemas.openxmlformats.org/spreadsheetml/2006/main" count="111" uniqueCount="79">
  <si>
    <t>全年生产任务情况统计</t>
  </si>
  <si>
    <t>编辑单位：生产计划部</t>
  </si>
  <si>
    <t>项目</t>
  </si>
  <si>
    <t>月计划</t>
  </si>
  <si>
    <t>本日</t>
  </si>
  <si>
    <t>本月</t>
  </si>
  <si>
    <t>至本月底</t>
  </si>
  <si>
    <t>年计划
(t)</t>
  </si>
  <si>
    <t>全年累计加工量
(t)</t>
  </si>
  <si>
    <t>全年剩余加工量
(t)</t>
  </si>
  <si>
    <t>至12月底日处理量
(t)</t>
  </si>
  <si>
    <t>完成全年任务的
(%)</t>
  </si>
  <si>
    <t>t</t>
  </si>
  <si>
    <t>累计生产(t)</t>
  </si>
  <si>
    <t>剩余加工量(t)</t>
  </si>
  <si>
    <t>日处理量(t)</t>
  </si>
  <si>
    <t>BDO产量</t>
  </si>
  <si>
    <t>PTMEG产量</t>
  </si>
  <si>
    <t>PTMEG1800</t>
  </si>
  <si>
    <t>国标</t>
  </si>
  <si>
    <t>行标</t>
  </si>
  <si>
    <t>PTMEG2000</t>
  </si>
  <si>
    <t>乙二醇产量</t>
  </si>
  <si>
    <t xml:space="preserve">           聚酯级乙二醇</t>
  </si>
  <si>
    <t xml:space="preserve">          工业级乙二醇</t>
  </si>
  <si>
    <t xml:space="preserve">          轻质多元醇</t>
  </si>
  <si>
    <t xml:space="preserve">          重质多元醇</t>
  </si>
  <si>
    <t>审核人：</t>
  </si>
  <si>
    <t>填报人：</t>
  </si>
  <si>
    <t>产品名称</t>
  </si>
  <si>
    <t>产量</t>
  </si>
  <si>
    <t>累计</t>
  </si>
  <si>
    <t>BDO（销售）</t>
  </si>
  <si>
    <t>PTMEG</t>
  </si>
  <si>
    <t>副产油</t>
  </si>
  <si>
    <t>聚脂级乙二醇</t>
  </si>
  <si>
    <t>轻质多元醇</t>
  </si>
  <si>
    <t>重质多元醇</t>
  </si>
  <si>
    <t>混合醇</t>
  </si>
  <si>
    <t>报表生成时间：</t>
  </si>
  <si>
    <t>2026-01-07</t>
  </si>
  <si>
    <t xml:space="preserve"> 8:00:00</t>
  </si>
  <si>
    <t>年计划
(万吨)</t>
  </si>
  <si>
    <t>全年累计加工量
(万吨)</t>
  </si>
  <si>
    <t>单耗</t>
  </si>
  <si>
    <t>天然气加工量</t>
  </si>
  <si>
    <t>乙炔产量</t>
  </si>
  <si>
    <t>乙炔单耗</t>
  </si>
  <si>
    <t>甲醇加工量</t>
  </si>
  <si>
    <t>甲醛单耗</t>
  </si>
  <si>
    <t>甲醛产量</t>
  </si>
  <si>
    <t>BDO单耗</t>
  </si>
  <si>
    <t>乙炔加工量</t>
  </si>
  <si>
    <t>PT单耗</t>
  </si>
  <si>
    <t>BDO产量（二部）</t>
  </si>
  <si>
    <t>EG单耗</t>
  </si>
  <si>
    <t>BDO产量（转储运）</t>
  </si>
  <si>
    <t>BDO加工量</t>
  </si>
  <si>
    <t>综合能耗</t>
  </si>
  <si>
    <t>PT1800国标</t>
  </si>
  <si>
    <t>收率本日</t>
  </si>
  <si>
    <t>收率本月</t>
  </si>
  <si>
    <t>收率本年</t>
  </si>
  <si>
    <t>PT1800客标</t>
  </si>
  <si>
    <t>PT2000国标</t>
  </si>
  <si>
    <t>PT2000客标</t>
  </si>
  <si>
    <t>CO加工量</t>
  </si>
  <si>
    <t>聚酯级乙二醇</t>
  </si>
  <si>
    <t>工业级乙二醇</t>
  </si>
  <si>
    <t>BDO销售量</t>
  </si>
  <si>
    <t>PT销售量</t>
  </si>
  <si>
    <t>PT1800</t>
  </si>
  <si>
    <t>PT2000</t>
  </si>
  <si>
    <t>聚酯级乙二醇销售量</t>
  </si>
  <si>
    <t>工业级乙二醇销售量</t>
  </si>
  <si>
    <t>轻质多元醇销售量</t>
  </si>
  <si>
    <t>混合醇销售量</t>
  </si>
  <si>
    <t>副产油销售量</t>
  </si>
  <si>
    <r>
      <t>qn_cl_</t>
    </r>
    <r>
      <rPr>
        <charset val="134"/>
        <color theme="1"/>
        <family val="3"/>
        <rFont val="Calibri"/>
        <scheme val="minor"/>
        <sz val="11"/>
      </rPr>
      <t>lj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</si>
</sst>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1" formatCode="_(* #,##0_);_(* (#,##0);_(* &quot;-&quot;_);_(@_)"/>
    <numFmt numFmtId="42" formatCode="_(&quot;$&quot;* #,##0_);_(&quot;$&quot;* (#,##0);_(&quot;$&quot;* &quot;-&quot;_);_(@_)"/>
    <numFmt numFmtId="43" formatCode="_(* #,##0.00_);_(* (#,##0.00);_(* &quot;-&quot;??_);_(@_)"/>
    <numFmt numFmtId="44" formatCode="_(&quot;$&quot;* #,##0.00_);_(&quot;$&quot;* (#,##0.00);_(&quot;$&quot;* &quot;-&quot;??_);_(@_)"/>
    <numFmt numFmtId="171" formatCode="0.00_);[Red]\(0.00\)"/>
    <numFmt numFmtId="172" formatCode="0.00_ "/>
  </numFmts>
  <fonts count="27">
    <font>
      <sz val="11"/>
      <color theme="1"/>
      <name val="Calibri"/>
      <scheme val="minor"/>
    </font>
    <font>
      <sz val="11"/>
      <color theme="0"/>
      <name val="Calibri"/>
      <scheme val="minor"/>
    </font>
    <font>
      <sz val="11"/>
      <color rgb="FF9C0006"/>
      <name val="Calibri"/>
      <scheme val="minor"/>
    </font>
    <font>
      <b/>
      <sz val="11"/>
      <color rgb="FFFA7D00"/>
      <name val="Calibri"/>
      <scheme val="minor"/>
    </font>
    <font>
      <b/>
      <sz val="11"/>
      <color theme="0"/>
      <name val="Calibri"/>
      <scheme val="minor"/>
    </font>
    <font>
      <sz val="11"/>
      <color indexed="0"/>
      <name val="Calibri"/>
      <family val="2"/>
    </font>
    <font>
      <i/>
      <sz val="11"/>
      <color rgb="FF7F7F7F"/>
      <name val="Calibri"/>
      <scheme val="minor"/>
    </font>
    <font>
      <sz val="11"/>
      <color rgb="FF006100"/>
      <name val="Calibri"/>
      <scheme val="minor"/>
    </font>
    <font>
      <b/>
      <sz val="15"/>
      <color theme="3"/>
      <name val="Calibri"/>
      <scheme val="minor"/>
    </font>
    <font>
      <b/>
      <sz val="13"/>
      <color theme="3"/>
      <name val="Calibri"/>
      <scheme val="minor"/>
    </font>
    <font>
      <b/>
      <sz val="11"/>
      <color theme="3"/>
      <name val="Calibri"/>
      <scheme val="minor"/>
    </font>
    <font>
      <sz val="11"/>
      <color rgb="FF3F3F76"/>
      <name val="Calibri"/>
      <scheme val="minor"/>
    </font>
    <font>
      <sz val="11"/>
      <color rgb="FFFA7D00"/>
      <name val="Calibri"/>
      <scheme val="minor"/>
    </font>
    <font>
      <sz val="11"/>
      <color rgb="FF9C6500"/>
      <name val="Calibri"/>
      <scheme val="minor"/>
    </font>
    <font>
      <b/>
      <sz val="11"/>
      <color rgb="FF3F3F3F"/>
      <name val="Calibri"/>
      <scheme val="minor"/>
    </font>
    <font>
      <b/>
      <sz val="18"/>
      <color theme="3"/>
      <name val="Cambria"/>
      <scheme val="major"/>
    </font>
    <font>
      <b/>
      <sz val="11"/>
      <color theme="1"/>
      <name val="Calibri"/>
      <scheme val="minor"/>
    </font>
    <font>
      <sz val="11"/>
      <color rgb="FFFF0000"/>
      <name val="Calibri"/>
      <scheme val="minor"/>
    </font>
    <font>
      <u/>
      <sz val="11"/>
      <color rgb="FF0000FF"/>
      <name val="Calibri"/>
      <scheme val="minor"/>
    </font>
    <font>
      <u/>
      <sz val="11"/>
      <color rgb="FF800080"/>
      <name val="Calibri"/>
      <scheme val="minor"/>
    </font>
    <font>
      <sz val="11"/>
      <color theme="1"/>
      <name val="等线"/>
    </font>
    <font>
      <sz val="9"/>
      <color rgb="FF505050"/>
      <name val="Segoe UI"/>
    </font>
    <font>
      <b/>
      <sz val="22"/>
      <color theme="1"/>
      <name val="等线"/>
    </font>
    <font>
      <b/>
      <sz val="10"/>
      <color rgb="FF000000"/>
      <name val="等线"/>
    </font>
    <font>
      <sz val="10"/>
      <color theme="1"/>
      <name val="等线"/>
    </font>
    <font>
      <b/>
      <sz val="10"/>
      <color auto="1"/>
      <name val="等线"/>
    </font>
    <font>
      <b/>
      <sz val="11"/>
      <color theme="1"/>
      <name val="等线"/>
    </font>
  </fonts>
  <fills count="38">
    <fill>
      <patternFill patternType="none"/>
    </fill>
    <fill>
      <patternFill patternType="gray125"/>
    </fill>
    <fill>
      <patternFill patternType="solid">
        <fgColor theme="4" tint="0.8"/>
      </patternFill>
    </fill>
    <fill>
      <patternFill patternType="solid">
        <fgColor theme="5" tint="0.8"/>
      </patternFill>
    </fill>
    <fill>
      <patternFill patternType="solid">
        <fgColor theme="6" tint="0.8"/>
      </patternFill>
    </fill>
    <fill>
      <patternFill patternType="solid">
        <fgColor theme="7" tint="0.8"/>
      </patternFill>
    </fill>
    <fill>
      <patternFill patternType="solid">
        <fgColor theme="8" tint="0.8"/>
      </patternFill>
    </fill>
    <fill>
      <patternFill patternType="solid">
        <fgColor theme="9" tint="0.8"/>
      </patternFill>
    </fill>
    <fill>
      <patternFill patternType="solid">
        <fgColor theme="4" tint="0.6"/>
      </patternFill>
    </fill>
    <fill>
      <patternFill patternType="solid">
        <fgColor theme="5" tint="0.6"/>
      </patternFill>
    </fill>
    <fill>
      <patternFill patternType="solid">
        <fgColor theme="6" tint="0.6"/>
      </patternFill>
    </fill>
    <fill>
      <patternFill patternType="solid">
        <fgColor theme="7" tint="0.6"/>
      </patternFill>
    </fill>
    <fill>
      <patternFill patternType="solid">
        <fgColor theme="8" tint="0.6"/>
      </patternFill>
    </fill>
    <fill>
      <patternFill patternType="solid">
        <fgColor theme="9" tint="0.6"/>
      </patternFill>
    </fill>
    <fill>
      <patternFill patternType="solid">
        <fgColor theme="4" tint="0.4"/>
      </patternFill>
    </fill>
    <fill>
      <patternFill patternType="solid">
        <fgColor theme="5" tint="0.4"/>
      </patternFill>
    </fill>
    <fill>
      <patternFill patternType="solid">
        <fgColor theme="6" tint="0.4"/>
      </patternFill>
    </fill>
    <fill>
      <patternFill patternType="solid">
        <fgColor theme="7" tint="0.4"/>
      </patternFill>
    </fill>
    <fill>
      <patternFill patternType="solid">
        <fgColor theme="8" tint="0.4"/>
      </patternFill>
    </fill>
    <fill>
      <patternFill patternType="solid">
        <fgColor theme="9" tint="0.4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FF00"/>
      </patternFill>
    </fill>
    <fill>
      <patternFill patternType="solid">
        <fgColor theme="0"/>
      </patternFill>
    </fill>
    <fill>
      <patternFill patternType="solid">
        <fgColor rgb="FF92D050"/>
      </patternFill>
    </fill>
    <fill>
      <patternFill patternType="solid">
        <fgColor rgb="FF00B0F0"/>
      </patternFill>
    </fill>
    <fill>
      <patternFill patternType="solid">
        <fgColor rgb="FFFFC000"/>
      </patternFill>
    </fill>
  </fills>
  <borders count="14">
    <border>
      <left/>
      <right/>
      <top/>
      <bottom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thick">
        <color theme="4"/>
      </bottom>
    </border>
    <border>
      <left/>
      <right/>
      <top/>
      <bottom style="thick">
        <color theme="4" tint="0.5"/>
      </bottom>
    </border>
    <border>
      <left/>
      <right/>
      <top/>
      <bottom style="medium">
        <color theme="4" tint="0.4"/>
      </bottom>
    </border>
    <border>
      <left/>
      <right/>
      <top/>
      <bottom style="double">
        <color rgb="FFFF8001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/>
      <right/>
      <top style="thin">
        <color theme="4"/>
      </top>
      <bottom style="double">
        <color theme="4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/>
    </border>
  </borders>
  <cellStyleXfs count="49">
    <xf numFmtId="0" fontId="0" fillId="0" borderId="0" applyFont="1" applyFill="0" applyBorder="0"/>
    <xf numFmtId="0" fontId="0" fillId="2" borderId="0" applyFont="1" applyFill="1" applyBorder="0">
      <alignment vertical="top"/>
    </xf>
    <xf numFmtId="0" fontId="0" fillId="3" borderId="0" applyFont="1" applyFill="1" applyBorder="0">
      <alignment vertical="top"/>
    </xf>
    <xf numFmtId="0" fontId="0" fillId="4" borderId="0" applyFont="1" applyFill="1" applyBorder="0">
      <alignment vertical="top"/>
    </xf>
    <xf numFmtId="0" fontId="0" fillId="5" borderId="0" applyFont="1" applyFill="1" applyBorder="0">
      <alignment vertical="top"/>
    </xf>
    <xf numFmtId="0" fontId="0" fillId="6" borderId="0" applyFont="1" applyFill="1" applyBorder="0">
      <alignment vertical="top"/>
    </xf>
    <xf numFmtId="0" fontId="0" fillId="7" borderId="0" applyFont="1" applyFill="1" applyBorder="0">
      <alignment vertical="top"/>
    </xf>
    <xf numFmtId="0" fontId="0" fillId="8" borderId="0" applyFont="1" applyFill="1" applyBorder="0">
      <alignment vertical="top"/>
    </xf>
    <xf numFmtId="0" fontId="0" fillId="9" borderId="0" applyFont="1" applyFill="1" applyBorder="0">
      <alignment vertical="top"/>
    </xf>
    <xf numFmtId="0" fontId="0" fillId="10" borderId="0" applyFont="1" applyFill="1" applyBorder="0">
      <alignment vertical="top"/>
    </xf>
    <xf numFmtId="0" fontId="0" fillId="11" borderId="0" applyFont="1" applyFill="1" applyBorder="0">
      <alignment vertical="top"/>
    </xf>
    <xf numFmtId="0" fontId="0" fillId="12" borderId="0" applyFont="1" applyFill="1" applyBorder="0">
      <alignment vertical="top"/>
    </xf>
    <xf numFmtId="0" fontId="0" fillId="13" borderId="0" applyFont="1" applyFill="1" applyBorder="0">
      <alignment vertical="top"/>
    </xf>
    <xf numFmtId="0" fontId="1" fillId="14" borderId="0" applyFont="1" applyFill="1" applyBorder="0">
      <alignment vertical="top"/>
    </xf>
    <xf numFmtId="0" fontId="1" fillId="15" borderId="0" applyFont="1" applyFill="1" applyBorder="0">
      <alignment vertical="top"/>
    </xf>
    <xf numFmtId="0" fontId="1" fillId="16" borderId="0" applyFont="1" applyFill="1" applyBorder="0">
      <alignment vertical="top"/>
    </xf>
    <xf numFmtId="0" fontId="1" fillId="17" borderId="0" applyFont="1" applyFill="1" applyBorder="0">
      <alignment vertical="top"/>
    </xf>
    <xf numFmtId="0" fontId="1" fillId="18" borderId="0" applyFont="1" applyFill="1" applyBorder="0">
      <alignment vertical="top"/>
    </xf>
    <xf numFmtId="0" fontId="1" fillId="19" borderId="0" applyFont="1" applyFill="1" applyBorder="0">
      <alignment vertical="top"/>
    </xf>
    <xf numFmtId="0" fontId="1" fillId="20" borderId="0" applyFont="1" applyFill="1" applyBorder="0">
      <alignment vertical="top"/>
    </xf>
    <xf numFmtId="0" fontId="1" fillId="21" borderId="0" applyFont="1" applyFill="1" applyBorder="0">
      <alignment vertical="top"/>
    </xf>
    <xf numFmtId="0" fontId="1" fillId="22" borderId="0" applyFont="1" applyFill="1" applyBorder="0">
      <alignment vertical="top"/>
    </xf>
    <xf numFmtId="0" fontId="1" fillId="23" borderId="0" applyFont="1" applyFill="1" applyBorder="0">
      <alignment vertical="top"/>
    </xf>
    <xf numFmtId="0" fontId="1" fillId="24" borderId="0" applyFont="1" applyFill="1" applyBorder="0">
      <alignment vertical="top"/>
    </xf>
    <xf numFmtId="0" fontId="1" fillId="25" borderId="0" applyFont="1" applyFill="1" applyBorder="0">
      <alignment vertical="top"/>
    </xf>
    <xf numFmtId="0" fontId="2" fillId="26" borderId="0" applyFont="1" applyFill="1" applyBorder="0">
      <alignment vertical="top"/>
    </xf>
    <xf numFmtId="0" fontId="3" fillId="27" borderId="1" applyFont="1" applyFill="1" applyBorder="1">
      <alignment vertical="top"/>
    </xf>
    <xf numFmtId="0" fontId="4" fillId="28" borderId="2" applyFont="1" applyFill="1" applyBorder="1">
      <alignment vertical="top"/>
    </xf>
    <xf numFmtId="43" fontId="5" fillId="0" borderId="0" applyFont="0" applyFill="0" applyBorder="0" applyNumberFormat="1">
      <alignment vertical="top"/>
    </xf>
    <xf numFmtId="41" fontId="5" fillId="0" borderId="0" applyFont="0" applyFill="0" applyBorder="0" applyNumberFormat="1">
      <alignment vertical="top"/>
    </xf>
    <xf numFmtId="44" fontId="5" fillId="0" borderId="0" applyFont="0" applyFill="0" applyBorder="0" applyNumberFormat="1">
      <alignment vertical="top"/>
    </xf>
    <xf numFmtId="42" fontId="5" fillId="0" borderId="0" applyFont="0" applyFill="0" applyBorder="0" applyNumberFormat="1">
      <alignment vertical="top"/>
    </xf>
    <xf numFmtId="0" fontId="6" fillId="0" borderId="0" applyFont="1" applyFill="0" applyBorder="0">
      <alignment vertical="top"/>
    </xf>
    <xf numFmtId="0" fontId="7" fillId="29" borderId="0" applyFont="1" applyFill="1" applyBorder="0">
      <alignment vertical="top"/>
    </xf>
    <xf numFmtId="0" fontId="8" fillId="0" borderId="3" applyFont="1" applyFill="0" applyBorder="1">
      <alignment vertical="top"/>
    </xf>
    <xf numFmtId="0" fontId="9" fillId="0" borderId="4" applyFont="1" applyFill="0" applyBorder="1">
      <alignment vertical="top"/>
    </xf>
    <xf numFmtId="0" fontId="10" fillId="0" borderId="5" applyFont="1" applyFill="0" applyBorder="1">
      <alignment vertical="top"/>
    </xf>
    <xf numFmtId="0" fontId="10" fillId="0" borderId="0" applyFont="1" applyFill="0" applyBorder="0">
      <alignment vertical="top"/>
    </xf>
    <xf numFmtId="0" fontId="11" fillId="30" borderId="1" applyFont="1" applyFill="1" applyBorder="1">
      <alignment vertical="top"/>
    </xf>
    <xf numFmtId="0" fontId="12" fillId="0" borderId="6" applyFont="1" applyFill="0" applyBorder="1">
      <alignment vertical="top"/>
    </xf>
    <xf numFmtId="0" fontId="13" fillId="31" borderId="0" applyFont="1" applyFill="1" applyBorder="0">
      <alignment vertical="top"/>
    </xf>
    <xf numFmtId="0" fontId="5" fillId="32" borderId="7" applyFont="0" applyFill="1" applyBorder="1">
      <alignment vertical="top"/>
    </xf>
    <xf numFmtId="0" fontId="14" fillId="27" borderId="8" applyFont="1" applyFill="1" applyBorder="1">
      <alignment vertical="top"/>
    </xf>
    <xf numFmtId="9" fontId="5" fillId="0" borderId="0" applyFont="0" applyFill="0" applyBorder="0" applyNumberFormat="1">
      <alignment vertical="top"/>
    </xf>
    <xf numFmtId="0" fontId="15" fillId="0" borderId="0" applyFont="1" applyFill="0" applyBorder="0">
      <alignment vertical="top"/>
    </xf>
    <xf numFmtId="0" fontId="16" fillId="0" borderId="9" applyFont="1" applyFill="0" applyBorder="1">
      <alignment vertical="top"/>
    </xf>
    <xf numFmtId="0" fontId="17" fillId="0" borderId="0" applyFont="1" applyFill="0" applyBorder="0">
      <alignment vertical="top"/>
    </xf>
    <xf numFmtId="0" fontId="18" fillId="0" borderId="0" applyFont="1" applyFill="0" applyBorder="0">
      <alignment vertical="top"/>
    </xf>
    <xf numFmtId="0" fontId="19" fillId="0" borderId="0" applyFont="1" applyFill="0" applyBorder="0">
      <alignment vertical="top"/>
    </xf>
  </cellStyleXfs>
  <cellXfs count="172">
    <xf numFmtId="0" fontId="0" fillId="0" borderId="0" xfId="0" applyFont="1"/>
    <xf numFmtId="0" fontId="0" fillId="2" borderId="0" xfId="1" applyFont="1" applyFill="1">
      <alignment vertical="top"/>
    </xf>
    <xf numFmtId="0" fontId="0" fillId="3" borderId="0" xfId="2" applyFont="1" applyFill="1">
      <alignment vertical="top"/>
    </xf>
    <xf numFmtId="0" fontId="0" fillId="4" borderId="0" xfId="3" applyFont="1" applyFill="1">
      <alignment vertical="top"/>
    </xf>
    <xf numFmtId="0" fontId="0" fillId="5" borderId="0" xfId="4" applyFont="1" applyFill="1">
      <alignment vertical="top"/>
    </xf>
    <xf numFmtId="0" fontId="0" fillId="6" borderId="0" xfId="5" applyFont="1" applyFill="1">
      <alignment vertical="top"/>
    </xf>
    <xf numFmtId="0" fontId="0" fillId="7" borderId="0" xfId="6" applyFont="1" applyFill="1">
      <alignment vertical="top"/>
    </xf>
    <xf numFmtId="0" fontId="0" fillId="8" borderId="0" xfId="7" applyFont="1" applyFill="1">
      <alignment vertical="top"/>
    </xf>
    <xf numFmtId="0" fontId="0" fillId="9" borderId="0" xfId="8" applyFont="1" applyFill="1">
      <alignment vertical="top"/>
    </xf>
    <xf numFmtId="0" fontId="0" fillId="10" borderId="0" xfId="9" applyFont="1" applyFill="1">
      <alignment vertical="top"/>
    </xf>
    <xf numFmtId="0" fontId="0" fillId="11" borderId="0" xfId="10" applyFont="1" applyFill="1">
      <alignment vertical="top"/>
    </xf>
    <xf numFmtId="0" fontId="0" fillId="12" borderId="0" xfId="11" applyFont="1" applyFill="1">
      <alignment vertical="top"/>
    </xf>
    <xf numFmtId="0" fontId="0" fillId="13" borderId="0" xfId="12" applyFont="1" applyFill="1">
      <alignment vertical="top"/>
    </xf>
    <xf numFmtId="0" fontId="1" fillId="14" borderId="0" xfId="13" applyFont="1" applyFill="1">
      <alignment vertical="top"/>
    </xf>
    <xf numFmtId="0" fontId="1" fillId="15" borderId="0" xfId="14" applyFont="1" applyFill="1">
      <alignment vertical="top"/>
    </xf>
    <xf numFmtId="0" fontId="1" fillId="16" borderId="0" xfId="15" applyFont="1" applyFill="1">
      <alignment vertical="top"/>
    </xf>
    <xf numFmtId="0" fontId="1" fillId="17" borderId="0" xfId="16" applyFont="1" applyFill="1">
      <alignment vertical="top"/>
    </xf>
    <xf numFmtId="0" fontId="1" fillId="18" borderId="0" xfId="17" applyFont="1" applyFill="1">
      <alignment vertical="top"/>
    </xf>
    <xf numFmtId="0" fontId="1" fillId="19" borderId="0" xfId="18" applyFont="1" applyFill="1">
      <alignment vertical="top"/>
    </xf>
    <xf numFmtId="0" fontId="1" fillId="20" borderId="0" xfId="19" applyFont="1" applyFill="1">
      <alignment vertical="top"/>
    </xf>
    <xf numFmtId="0" fontId="1" fillId="21" borderId="0" xfId="20" applyFont="1" applyFill="1">
      <alignment vertical="top"/>
    </xf>
    <xf numFmtId="0" fontId="1" fillId="22" borderId="0" xfId="21" applyFont="1" applyFill="1">
      <alignment vertical="top"/>
    </xf>
    <xf numFmtId="0" fontId="1" fillId="23" borderId="0" xfId="22" applyFont="1" applyFill="1">
      <alignment vertical="top"/>
    </xf>
    <xf numFmtId="0" fontId="1" fillId="24" borderId="0" xfId="23" applyFont="1" applyFill="1">
      <alignment vertical="top"/>
    </xf>
    <xf numFmtId="0" fontId="1" fillId="25" borderId="0" xfId="24" applyFont="1" applyFill="1">
      <alignment vertical="top"/>
    </xf>
    <xf numFmtId="0" fontId="2" fillId="26" borderId="0" xfId="25" applyFont="1" applyFill="1">
      <alignment vertical="top"/>
    </xf>
    <xf numFmtId="0" fontId="3" fillId="27" borderId="1" xfId="26" applyFont="1" applyFill="1" applyBorder="1">
      <alignment vertical="top"/>
    </xf>
    <xf numFmtId="0" fontId="4" fillId="28" borderId="2" xfId="27" applyFont="1" applyFill="1" applyBorder="1">
      <alignment vertical="top"/>
    </xf>
    <xf numFmtId="43" fontId="5" fillId="0" borderId="0" xfId="28" applyFont="0" applyNumberFormat="1">
      <alignment vertical="top"/>
    </xf>
    <xf numFmtId="41" fontId="5" fillId="0" borderId="0" xfId="29" applyFont="0" applyNumberFormat="1">
      <alignment vertical="top"/>
    </xf>
    <xf numFmtId="44" fontId="5" fillId="0" borderId="0" xfId="30" applyFont="0" applyNumberFormat="1">
      <alignment vertical="top"/>
    </xf>
    <xf numFmtId="42" fontId="5" fillId="0" borderId="0" xfId="31" applyFont="0" applyNumberFormat="1">
      <alignment vertical="top"/>
    </xf>
    <xf numFmtId="0" fontId="6" fillId="0" borderId="0" xfId="32" applyFont="1">
      <alignment vertical="top"/>
    </xf>
    <xf numFmtId="0" fontId="7" fillId="29" borderId="0" xfId="33" applyFont="1" applyFill="1">
      <alignment vertical="top"/>
    </xf>
    <xf numFmtId="0" fontId="8" fillId="0" borderId="3" xfId="34" applyFont="1" applyBorder="1">
      <alignment vertical="top"/>
    </xf>
    <xf numFmtId="0" fontId="9" fillId="0" borderId="4" xfId="35" applyFont="1" applyBorder="1">
      <alignment vertical="top"/>
    </xf>
    <xf numFmtId="0" fontId="10" fillId="0" borderId="5" xfId="36" applyFont="1" applyBorder="1">
      <alignment vertical="top"/>
    </xf>
    <xf numFmtId="0" fontId="10" fillId="0" borderId="0" xfId="37" applyFont="1">
      <alignment vertical="top"/>
    </xf>
    <xf numFmtId="0" fontId="11" fillId="30" borderId="1" xfId="38" applyFont="1" applyFill="1" applyBorder="1">
      <alignment vertical="top"/>
    </xf>
    <xf numFmtId="0" fontId="12" fillId="0" borderId="6" xfId="39" applyFont="1" applyBorder="1">
      <alignment vertical="top"/>
    </xf>
    <xf numFmtId="0" fontId="13" fillId="31" borderId="0" xfId="40" applyFont="1" applyFill="1">
      <alignment vertical="top"/>
    </xf>
    <xf numFmtId="0" fontId="5" fillId="32" borderId="7" xfId="41" applyFont="0" applyFill="1" applyBorder="1">
      <alignment vertical="top"/>
    </xf>
    <xf numFmtId="0" fontId="14" fillId="27" borderId="8" xfId="42" applyFont="1" applyFill="1" applyBorder="1">
      <alignment vertical="top"/>
    </xf>
    <xf numFmtId="9" fontId="5" fillId="0" borderId="0" xfId="43" applyFont="0" applyNumberFormat="1">
      <alignment vertical="top"/>
    </xf>
    <xf numFmtId="0" fontId="15" fillId="0" borderId="0" xfId="44" applyFont="1">
      <alignment vertical="top"/>
    </xf>
    <xf numFmtId="0" fontId="16" fillId="0" borderId="9" xfId="45" applyFont="1" applyBorder="1">
      <alignment vertical="top"/>
    </xf>
    <xf numFmtId="0" fontId="17" fillId="0" borderId="0" xfId="46" applyFont="1">
      <alignment vertical="top"/>
    </xf>
    <xf numFmtId="0" fontId="18" fillId="0" borderId="0" xfId="47" applyFont="1">
      <alignment vertical="top"/>
    </xf>
    <xf numFmtId="0" fontId="19" fillId="0" borderId="0" xfId="48" applyFont="1">
      <alignment vertical="top"/>
    </xf>
    <xf numFmtId="0" fontId="20" fillId="0" borderId="10" xfId="0" applyFont="1" applyBorder="1">
      <alignment horizontal="center" vertical="center"/>
    </xf>
    <xf numFmtId="0" fontId="20" fillId="0" borderId="10" xfId="0" applyFont="1" applyBorder="1">
      <alignment horizontal="left" vertical="center"/>
    </xf>
    <xf numFmtId="0" fontId="20" fillId="0" borderId="10" xfId="0" applyFont="1" applyBorder="1"/>
    <xf numFmtId="0" fontId="0" fillId="33" borderId="0" xfId="0" applyFont="1" applyFill="1"/>
    <xf numFmtId="0" fontId="16" fillId="0" borderId="0" xfId="0" applyFont="1">
      <alignment horizontal="center"/>
    </xf>
    <xf numFmtId="0" fontId="20" fillId="0" borderId="0" xfId="0" applyFont="1"/>
    <xf numFmtId="0" fontId="21" fillId="0" borderId="0" xfId="0" applyFont="1"/>
    <xf numFmtId="0" fontId="22" fillId="0" borderId="0" xfId="0" applyFont="1"/>
    <xf numFmtId="0" fontId="20" fillId="0" borderId="11" xfId="0" applyFont="1" applyBorder="1">
      <alignment horizontal="center" vertical="center"/>
    </xf>
    <xf numFmtId="171" fontId="20" fillId="4" borderId="11" xfId="0" applyFont="1" applyFill="1" applyBorder="1" applyNumberFormat="1">
      <alignment horizontal="center" vertical="center"/>
    </xf>
    <xf numFmtId="171" fontId="20" fillId="4" borderId="10" xfId="0" applyFont="1" applyFill="1" applyBorder="1" applyNumberFormat="1">
      <alignment horizontal="center" vertical="center"/>
    </xf>
    <xf numFmtId="172" fontId="20" fillId="4" borderId="10" xfId="0" applyFont="1" applyFill="1" applyBorder="1" applyNumberFormat="1">
      <alignment horizontal="center" vertical="center"/>
    </xf>
    <xf numFmtId="171" fontId="20" fillId="0" borderId="10" xfId="0" applyFont="1" applyBorder="1" applyNumberFormat="1">
      <alignment horizontal="center" vertical="center"/>
    </xf>
    <xf numFmtId="0" fontId="20" fillId="0" borderId="11" xfId="0" applyFont="1" applyBorder="1">
      <alignment horizontal="center" vertical="center"/>
    </xf>
    <xf numFmtId="171" fontId="20" fillId="4" borderId="11" xfId="0" applyFont="1" applyFill="1" applyBorder="1" applyNumberFormat="1">
      <alignment horizontal="center" vertical="center"/>
    </xf>
    <xf numFmtId="171" fontId="20" fillId="4" borderId="10" xfId="0" applyFont="1" applyFill="1" applyBorder="1" applyNumberFormat="1">
      <alignment horizontal="center" vertical="center"/>
    </xf>
    <xf numFmtId="172" fontId="20" fillId="4" borderId="10" xfId="0" applyFont="1" applyFill="1" applyBorder="1" applyNumberFormat="1">
      <alignment horizontal="center" vertical="center"/>
    </xf>
    <xf numFmtId="171" fontId="20" fillId="0" borderId="11" xfId="0" applyFont="1" applyBorder="1" applyNumberFormat="1">
      <alignment horizontal="center" vertical="center"/>
    </xf>
    <xf numFmtId="171" fontId="20" fillId="0" borderId="10" xfId="0" applyFont="1" applyBorder="1" applyNumberFormat="1">
      <alignment horizontal="center" vertical="center"/>
    </xf>
    <xf numFmtId="0" fontId="20" fillId="0" borderId="0" xfId="0" applyFont="1">
      <alignment horizontal="left" vertical="center"/>
    </xf>
    <xf numFmtId="0" fontId="20" fillId="0" borderId="0" xfId="0" applyFont="1"/>
    <xf numFmtId="0" fontId="20" fillId="0" borderId="0" xfId="0" applyFont="1">
      <alignment horizontal="right" vertical="center"/>
    </xf>
    <xf numFmtId="0" fontId="0" fillId="0" borderId="0" xfId="0" applyFont="1">
      <alignment horizontal="left" vertical="center"/>
    </xf>
    <xf numFmtId="20" fontId="0" fillId="0" borderId="0" xfId="0" applyFont="1" applyNumberFormat="1"/>
    <xf numFmtId="0" fontId="20" fillId="0" borderId="10" xfId="0" applyFont="1" applyBorder="1"/>
    <xf numFmtId="0" fontId="20" fillId="33" borderId="10" xfId="0" applyFont="1" applyFill="1" applyBorder="1">
      <alignment horizontal="left" vertical="center"/>
    </xf>
    <xf numFmtId="0" fontId="0" fillId="33" borderId="0" xfId="0" applyFont="1" applyFill="1"/>
    <xf numFmtId="2" fontId="23" fillId="0" borderId="10" xfId="0" applyFont="1" applyBorder="1" applyNumberFormat="1">
      <alignment horizontal="center" vertical="center"/>
    </xf>
    <xf numFmtId="2" fontId="23" fillId="0" borderId="10" xfId="0" applyFont="1" applyBorder="1" applyNumberFormat="1">
      <alignment horizontal="center" vertical="top"/>
    </xf>
    <xf numFmtId="0" fontId="0" fillId="33" borderId="0" xfId="0" applyFont="1" applyFill="1"/>
    <xf numFmtId="0" fontId="24" fillId="0" borderId="10" xfId="0" applyFont="1" applyBorder="1">
      <alignment horizontal="center" vertical="center"/>
    </xf>
    <xf numFmtId="2" fontId="24" fillId="0" borderId="10" xfId="0" applyFont="1" applyBorder="1" applyNumberFormat="1">
      <alignment horizontal="center" vertical="center"/>
    </xf>
    <xf numFmtId="2" fontId="25" fillId="2" borderId="10" xfId="0" applyFont="1" applyFill="1" applyBorder="1" applyNumberFormat="1">
      <alignment horizontal="center" vertical="center" wrapText="1"/>
    </xf>
    <xf numFmtId="0" fontId="22" fillId="0" borderId="0" xfId="0" applyFont="1">
      <alignment horizontal="center"/>
    </xf>
    <xf numFmtId="0" fontId="20" fillId="0" borderId="0" xfId="0" applyFont="1">
      <alignment horizontal="center" vertical="center"/>
    </xf>
    <xf numFmtId="0" fontId="20" fillId="0" borderId="12" xfId="0" applyFont="1" applyBorder="1">
      <alignment horizontal="center" vertical="center"/>
    </xf>
    <xf numFmtId="0" fontId="20" fillId="0" borderId="12" xfId="0" applyFont="1" applyBorder="1">
      <alignment horizontal="center"/>
    </xf>
    <xf numFmtId="0" fontId="26" fillId="34" borderId="10" xfId="0" applyFont="1" applyFill="1" applyBorder="1">
      <alignment horizontal="center" vertical="center"/>
    </xf>
    <xf numFmtId="0" fontId="26" fillId="0" borderId="10" xfId="0" applyFont="1" applyBorder="1">
      <alignment horizontal="center" vertical="center"/>
    </xf>
    <xf numFmtId="0" fontId="26" fillId="0" borderId="10" xfId="0" applyFont="1" applyBorder="1">
      <alignment horizontal="left" vertical="center"/>
    </xf>
    <xf numFmtId="0" fontId="20" fillId="0" borderId="10" xfId="0" applyFont="1" applyBorder="1">
      <alignment horizontal="center" vertical="center" wrapText="1"/>
    </xf>
    <xf numFmtId="0" fontId="20" fillId="0" borderId="10" xfId="0" applyFont="1" applyBorder="1">
      <alignment horizontal="center" vertical="center"/>
    </xf>
    <xf numFmtId="0" fontId="20" fillId="0" borderId="10" xfId="0" applyFont="1" applyBorder="1">
      <alignment horizontal="left" vertical="center"/>
    </xf>
    <xf numFmtId="0" fontId="20" fillId="0" borderId="13" xfId="0" applyFont="1" applyBorder="1">
      <alignment horizontal="right" vertical="center"/>
    </xf>
    <xf numFmtId="0" fontId="20" fillId="0" borderId="11" xfId="0" applyFont="1" applyBorder="1">
      <alignment horizontal="left" vertical="center"/>
    </xf>
    <xf numFmtId="0" fontId="24" fillId="0" borderId="10" xfId="0" applyFont="1" applyBorder="1">
      <alignment horizontal="center" vertical="center"/>
    </xf>
    <xf numFmtId="0" fontId="0" fillId="35" borderId="0" xfId="0" applyFont="1" applyFill="1">
      <alignment horizontal="center"/>
    </xf>
    <xf numFmtId="0" fontId="0" fillId="36" borderId="0" xfId="0" applyFont="1" applyFill="1">
      <alignment horizontal="center"/>
    </xf>
    <xf numFmtId="0" fontId="0" fillId="37" borderId="0" xfId="0" applyFont="1" applyFill="1">
      <alignment horizontal="center"/>
    </xf>
    <xf numFmtId="0" fontId="0" fillId="33" borderId="0" xfId="0" applyFont="1" applyFill="1">
      <alignment horizontal="center"/>
    </xf>
    <xf numFmtId="0" fontId="22" fillId="0" borderId="0" xfId="0" applyFont="1">
      <alignment wrapText="1"/>
    </xf>
    <xf numFmtId="0" fontId="22" fillId="0" borderId="0" xfId="0" applyFont="1">
      <alignment horizontal="center" wrapText="1"/>
    </xf>
    <xf numFmtId="0" fontId="20" fillId="0" borderId="0" xfId="0" applyFont="1">
      <alignment wrapText="1"/>
    </xf>
    <xf numFmtId="0" fontId="20" fillId="0" borderId="0" xfId="0" applyFont="1">
      <alignment horizontal="center" vertical="center" wrapText="1"/>
    </xf>
    <xf numFmtId="0" fontId="20" fillId="0" borderId="12" xfId="0" applyFont="1" applyBorder="1">
      <alignment horizontal="center" vertical="center" wrapText="1"/>
    </xf>
    <xf numFmtId="0" fontId="20" fillId="0" borderId="12" xfId="0" applyFont="1" applyBorder="1">
      <alignment horizontal="center" wrapText="1"/>
    </xf>
    <xf numFmtId="0" fontId="20" fillId="0" borderId="10" xfId="0" applyFont="1" applyBorder="1">
      <alignment horizontal="center" vertical="center" wrapText="1"/>
    </xf>
    <xf numFmtId="0" fontId="20" fillId="0" borderId="11" xfId="0" applyFont="1" applyBorder="1">
      <alignment horizontal="center" vertical="center" wrapText="1"/>
    </xf>
    <xf numFmtId="0" fontId="20" fillId="0" borderId="10" xfId="0" applyFont="1" applyBorder="1">
      <alignment horizontal="center" vertical="center" wrapText="1"/>
    </xf>
    <xf numFmtId="0" fontId="20" fillId="0" borderId="10" xfId="0" applyFont="1" applyBorder="1">
      <alignment horizontal="center" vertical="center" wrapText="1"/>
    </xf>
    <xf numFmtId="0" fontId="20" fillId="0" borderId="11" xfId="0" applyFont="1" applyBorder="1">
      <alignment horizontal="center" vertical="center" wrapText="1"/>
    </xf>
    <xf numFmtId="0" fontId="26" fillId="34" borderId="10" xfId="0" applyFont="1" applyFill="1" applyBorder="1">
      <alignment horizontal="center" vertical="center" wrapText="1"/>
    </xf>
    <xf numFmtId="171" fontId="20" fillId="4" borderId="11" xfId="0" applyFont="1" applyFill="1" applyBorder="1" applyNumberFormat="1">
      <alignment horizontal="center" vertical="center" wrapText="1"/>
    </xf>
    <xf numFmtId="171" fontId="20" fillId="4" borderId="10" xfId="0" applyFont="1" applyFill="1" applyBorder="1" applyNumberFormat="1">
      <alignment horizontal="center" vertical="center" wrapText="1"/>
    </xf>
    <xf numFmtId="172" fontId="20" fillId="4" borderId="10" xfId="0" applyFont="1" applyFill="1" applyBorder="1" applyNumberFormat="1">
      <alignment horizontal="center" vertical="center" wrapText="1"/>
    </xf>
    <xf numFmtId="172" fontId="20" fillId="4" borderId="10" xfId="0" applyFont="1" applyFill="1" applyBorder="1" applyNumberFormat="1">
      <alignment horizontal="center" vertical="center" wrapText="1"/>
    </xf>
    <xf numFmtId="171" fontId="20" fillId="4" borderId="10" xfId="0" applyFont="1" applyFill="1" applyBorder="1" applyNumberFormat="1">
      <alignment horizontal="center" vertical="center" wrapText="1"/>
    </xf>
    <xf numFmtId="0" fontId="26" fillId="0" borderId="10" xfId="0" applyFont="1" applyBorder="1">
      <alignment horizontal="center" vertical="center" wrapText="1"/>
    </xf>
    <xf numFmtId="0" fontId="26" fillId="0" borderId="10" xfId="0" applyFont="1" applyBorder="1">
      <alignment horizontal="left" vertical="center" wrapText="1"/>
    </xf>
    <xf numFmtId="171" fontId="20" fillId="4" borderId="11" xfId="0" applyFont="1" applyFill="1" applyBorder="1" applyNumberFormat="1">
      <alignment horizontal="center" vertical="center" wrapText="1"/>
    </xf>
    <xf numFmtId="171" fontId="20" fillId="0" borderId="11" xfId="0" applyFont="1" applyBorder="1" applyNumberFormat="1">
      <alignment horizontal="center" vertical="center" wrapText="1"/>
    </xf>
    <xf numFmtId="171" fontId="20" fillId="0" borderId="10" xfId="0" applyFont="1" applyBorder="1" applyNumberFormat="1">
      <alignment horizontal="center" vertical="center" wrapText="1"/>
    </xf>
    <xf numFmtId="171" fontId="20" fillId="0" borderId="10" xfId="0" applyFont="1" applyBorder="1" applyNumberFormat="1">
      <alignment horizontal="center" vertical="center" wrapText="1"/>
    </xf>
    <xf numFmtId="0" fontId="20" fillId="0" borderId="10" xfId="0" applyFont="1" applyBorder="1">
      <alignment horizontal="left" vertical="center" wrapText="1"/>
    </xf>
    <xf numFmtId="0" fontId="20" fillId="0" borderId="10" xfId="0" applyFont="1" applyBorder="1">
      <alignment horizontal="left" vertical="center" wrapText="1"/>
      <protection locked="0"/>
    </xf>
    <xf numFmtId="0" fontId="20" fillId="0" borderId="11" xfId="0" applyFont="1" applyBorder="1">
      <alignment horizontal="left" vertical="center" wrapText="1"/>
    </xf>
    <xf numFmtId="0" fontId="20" fillId="0" borderId="13" xfId="0" applyFont="1" applyBorder="1">
      <alignment horizontal="right" vertical="center" wrapText="1"/>
    </xf>
    <xf numFmtId="0" fontId="20" fillId="0" borderId="0" xfId="0" applyFont="1">
      <alignment horizontal="left" vertical="center" wrapText="1"/>
      <protection locked="0"/>
    </xf>
    <xf numFmtId="0" fontId="0" fillId="0" borderId="0" xfId="0" applyFont="1">
      <alignment wrapText="1"/>
    </xf>
    <xf numFmtId="0" fontId="20" fillId="0" borderId="0" xfId="0" applyFont="1">
      <alignment wrapText="1"/>
    </xf>
    <xf numFmtId="0" fontId="20" fillId="0" borderId="0" xfId="0" applyFont="1">
      <alignment horizontal="right" vertical="center" wrapText="1"/>
    </xf>
    <xf numFmtId="0" fontId="0" fillId="0" borderId="0" xfId="0" applyFont="1">
      <alignment horizontal="left" vertical="center" wrapText="1"/>
      <protection locked="0"/>
    </xf>
    <xf numFmtId="0" fontId="0" fillId="0" borderId="0" xfId="0" applyFont="1">
      <alignment wrapText="1"/>
    </xf>
    <xf numFmtId="2" fontId="25" fillId="2" borderId="10" xfId="0" applyFont="1" applyFill="1" applyBorder="1" applyNumberFormat="1">
      <alignment horizontal="center" vertical="center" wrapText="1"/>
    </xf>
    <xf numFmtId="0" fontId="24" fillId="0" borderId="10" xfId="0" applyFont="1" applyBorder="1">
      <alignment horizontal="center" vertical="center" wrapText="1"/>
    </xf>
    <xf numFmtId="2" fontId="23" fillId="0" borderId="10" xfId="0" applyFont="1" applyBorder="1" applyNumberFormat="1">
      <alignment horizontal="center" vertical="center" wrapText="1"/>
    </xf>
    <xf numFmtId="2" fontId="24" fillId="0" borderId="10" xfId="0" applyFont="1" applyBorder="1" applyNumberFormat="1">
      <alignment horizontal="center" vertical="center" wrapText="1"/>
    </xf>
    <xf numFmtId="2" fontId="23" fillId="0" borderId="10" xfId="0" applyFont="1" applyBorder="1" applyNumberFormat="1">
      <alignment horizontal="center" vertical="top" wrapText="1"/>
    </xf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>
      <alignment wrapText="1"/>
    </xf>
    <xf numFmtId="20" fontId="0" fillId="0" borderId="0" xfId="0" applyFont="1" applyNumberFormat="1">
      <alignment wrapText="1"/>
    </xf>
    <xf numFmtId="0" fontId="20" fillId="0" borderId="10" xfId="0" applyFont="1" applyBorder="1">
      <alignment horizontal="left" vertical="center" wrapText="1"/>
    </xf>
    <xf numFmtId="0" fontId="0" fillId="0" borderId="0" xfId="0" applyFont="1">
      <alignment wrapText="1"/>
    </xf>
    <xf numFmtId="0" fontId="20" fillId="0" borderId="10" xfId="0" applyFont="1" applyBorder="1">
      <alignment wrapText="1"/>
    </xf>
    <xf numFmtId="0" fontId="20" fillId="0" borderId="10" xfId="0" applyFont="1" applyBorder="1">
      <alignment wrapText="1"/>
    </xf>
    <xf numFmtId="0" fontId="20" fillId="33" borderId="10" xfId="0" applyFont="1" applyFill="1" applyBorder="1">
      <alignment horizontal="left" vertical="center" wrapText="1"/>
    </xf>
    <xf numFmtId="0" fontId="0" fillId="33" borderId="0" xfId="0" applyFont="1" applyFill="1">
      <alignment wrapText="1"/>
    </xf>
    <xf numFmtId="0" fontId="0" fillId="33" borderId="0" xfId="0" applyFont="1" applyFill="1">
      <alignment wrapText="1"/>
    </xf>
    <xf numFmtId="0" fontId="0" fillId="33" borderId="0" xfId="0" applyFont="1" applyFill="1">
      <alignment wrapText="1"/>
    </xf>
    <xf numFmtId="0" fontId="20" fillId="0" borderId="0" xfId="0" applyFont="1">
      <alignment wrapText="1"/>
    </xf>
    <xf numFmtId="0" fontId="16" fillId="0" borderId="0" xfId="0" applyFont="1">
      <alignment horizontal="center" wrapText="1"/>
    </xf>
    <xf numFmtId="0" fontId="0" fillId="33" borderId="0" xfId="0" applyFont="1" applyFill="1">
      <alignment horizontal="center" wrapText="1"/>
    </xf>
    <xf numFmtId="0" fontId="0" fillId="35" borderId="0" xfId="0" applyFont="1" applyFill="1">
      <alignment horizontal="center" wrapText="1"/>
    </xf>
    <xf numFmtId="0" fontId="0" fillId="36" borderId="0" xfId="0" applyFont="1" applyFill="1">
      <alignment horizontal="center" wrapText="1"/>
    </xf>
    <xf numFmtId="0" fontId="0" fillId="37" borderId="0" xfId="0" applyFont="1" applyFill="1">
      <alignment horizontal="center" wrapText="1"/>
    </xf>
    <xf numFmtId="0" fontId="0" fillId="0" borderId="0" xfId="0" applyFont="1">
      <alignment wrapText="1"/>
    </xf>
    <xf numFmtId="0" fontId="21" fillId="0" borderId="0" xfId="0" applyFont="1">
      <alignment wrapText="1"/>
    </xf>
    <xf numFmtId="0" fontId="24" fillId="0" borderId="10" xfId="0" applyFont="1" applyBorder="1">
      <alignment horizontal="center" vertical="center" wrapText="1"/>
    </xf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</cellXfs>
  <cellStyles count="49">
    <cellStyle name="Normal" xfId="0" builtinId="0"/>
    <cellStyle name="20% - Accent1" xfId="1" builtinId="30"/>
    <cellStyle name="20% - Accent2" xfId="2" builtinId="34"/>
    <cellStyle name="20% - Accent3" xfId="3" builtinId="38"/>
    <cellStyle name="20% - Accent4" xfId="4" builtinId="42"/>
    <cellStyle name="20% - Accent5" xfId="5" builtinId="46"/>
    <cellStyle name="20% - Accent6" xfId="6" builtinId="50"/>
    <cellStyle name="40% - Accent1" xfId="7" builtinId="31"/>
    <cellStyle name="40% - Accent2" xfId="8" builtinId="35"/>
    <cellStyle name="40% - Accent3" xfId="9" builtinId="39"/>
    <cellStyle name="40% - Accent4" xfId="10" builtinId="43"/>
    <cellStyle name="40% - Accent5" xfId="11" builtinId="47"/>
    <cellStyle name="40% - Accent6" xfId="12" builtinId="51"/>
    <cellStyle name="60% - Accent1" xfId="13" builtinId="32"/>
    <cellStyle name="60% - Accent2" xfId="14" builtinId="36"/>
    <cellStyle name="60% - Accent3" xfId="15" builtinId="40"/>
    <cellStyle name="60% - Accent4" xfId="16" builtinId="44"/>
    <cellStyle name="60% - Accent5" xfId="17" builtinId="48"/>
    <cellStyle name="60% - Accent6" xfId="18" builtinId="52"/>
    <cellStyle name="Accent1" xfId="19" builtinId="29"/>
    <cellStyle name="Accent2" xfId="20" builtinId="33"/>
    <cellStyle name="Accent3" xfId="21" builtinId="37"/>
    <cellStyle name="Accent4" xfId="22" builtinId="41"/>
    <cellStyle name="Accent5" xfId="23" builtinId="45"/>
    <cellStyle name="Accent6" xfId="24" builtinId="49"/>
    <cellStyle name="Bad" xfId="25" builtinId="27"/>
    <cellStyle name="Calculation" xfId="26" builtinId="22"/>
    <cellStyle name="Check Cell" xfId="27" builtinId="23"/>
    <cellStyle name="Comma" xfId="28" builtinId="3"/>
    <cellStyle name="Comma [0]" xfId="29" builtinId="6"/>
    <cellStyle name="Currency" xfId="30" builtinId="4"/>
    <cellStyle name="Currency [0]" xfId="31" builtinId="7"/>
    <cellStyle name="Explanatory Text" xfId="32" builtinId="53"/>
    <cellStyle name="Good" xfId="33" builtinId="26"/>
    <cellStyle name="Heading 1" xfId="34" builtinId="16"/>
    <cellStyle name="Heading 2" xfId="35" builtinId="17"/>
    <cellStyle name="Heading 3" xfId="36" builtinId="18"/>
    <cellStyle name="Heading 4" xfId="37" builtinId="19"/>
    <cellStyle name="Input" xfId="38" builtinId="20"/>
    <cellStyle name="Linked Cell" xfId="39" builtinId="24"/>
    <cellStyle name="Neutral" xfId="40" builtinId="28"/>
    <cellStyle name="Note" xfId="41" builtinId="10"/>
    <cellStyle name="Output" xfId="42" builtinId="21"/>
    <cellStyle name="Percent" xfId="43" builtinId="5"/>
    <cellStyle name="Title" xfId="44" builtinId="15"/>
    <cellStyle name="Total" xfId="45" builtinId="25"/>
    <cellStyle name="Warning Text" xfId="46" builtinId="11"/>
    <cellStyle name="超链接" xfId="47"/>
    <cellStyle name="已访问的超链接" xfId="48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dr="http://schemas.openxmlformats.org/drawingml/2006/spreadsheetDrawing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2F72414D-AE57-A5D8-5368-A38973E2DE68}" mc:Ignorable="x14ac xr xr2 xr3">
  <dimension ref="A1:N28"/>
  <sheetViews>
    <sheetView topLeftCell="A1" showGridLines="0" workbookViewId="0" tabSelected="1">
      <selection activeCell="A1" sqref="A1"/>
    </sheetView>
  </sheetViews>
  <sheetFormatPr defaultColWidth="9.00390625" customHeight="1" defaultRowHeight="13.5"/>
  <cols>
    <col min="1" max="1" style="137" width="15.7109375" customWidth="1"/>
    <col min="2" max="2" style="138" width="8.140625" customWidth="1"/>
    <col min="3" max="3" style="139" width="13.57421875" customWidth="1"/>
    <col min="4" max="4" style="140" width="13.57421875" customWidth="1"/>
    <col min="5" max="5" style="141" width="13.57421875" customWidth="1"/>
    <col min="6" max="6" style="142" width="13.57421875" customWidth="1"/>
    <col min="7" max="7" style="143" width="13.57421875" customWidth="1"/>
    <col min="8" max="8" style="144" width="13.57421875" customWidth="1"/>
    <col min="9" max="9" style="145" width="15.140625" customWidth="1"/>
    <col min="10" max="10" style="146" width="15.140625" customWidth="1"/>
    <col min="11" max="11" style="147" width="17.421875" customWidth="1"/>
    <col min="12" max="12" style="148" width="15.140625" customWidth="1"/>
  </cols>
  <sheetData>
    <row s="56" customFormat="1" customHeight="1" ht="27.75">
      <c r="A1" s="99"/>
      <c r="B1" s="100" t="s">
        <v>0</v>
      </c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99"/>
      <c r="N1" s="99"/>
    </row>
    <row s="69" customFormat="1" customHeight="1" ht="18">
      <c r="A2" s="101"/>
      <c r="B2" s="102" t="s">
        <v>1</v>
      </c>
      <c r="C2" s="103"/>
      <c r="D2" s="101"/>
      <c r="E2" s="101"/>
      <c r="F2" s="101"/>
      <c r="G2" s="101"/>
      <c r="H2" s="101"/>
      <c r="I2" s="101"/>
      <c r="J2" s="104" t="str">
        <f>取值!A1&amp;取值!B1&amp;取值!C1</f>
        <v>报表生成时间：2026-01-07 8:00:00</v>
      </c>
      <c r="K2" s="104"/>
      <c r="L2" s="104"/>
      <c r="M2" s="101"/>
      <c r="N2" s="101"/>
    </row>
    <row s="69" customFormat="1" customHeight="1" ht="18">
      <c r="A3" s="105" t="s">
        <v>2</v>
      </c>
      <c r="B3" s="105"/>
      <c r="C3" s="106" t="s">
        <v>3</v>
      </c>
      <c r="D3" s="107" t="s">
        <v>4</v>
      </c>
      <c r="E3" s="107" t="s">
        <v>5</v>
      </c>
      <c r="F3" s="107" t="s">
        <v>5</v>
      </c>
      <c r="G3" s="107" t="s">
        <v>6</v>
      </c>
      <c r="H3" s="89" t="s">
        <v>7</v>
      </c>
      <c r="I3" s="89" t="s">
        <v>8</v>
      </c>
      <c r="J3" s="89" t="s">
        <v>9</v>
      </c>
      <c r="K3" s="89" t="s">
        <v>10</v>
      </c>
      <c r="L3" s="89" t="s">
        <v>11</v>
      </c>
      <c r="M3" s="101"/>
      <c r="N3" s="101"/>
    </row>
    <row s="69" customFormat="1" customHeight="1" ht="18">
      <c r="A4" s="105"/>
      <c r="B4" s="105"/>
      <c r="C4" s="109" t="s">
        <v>12</v>
      </c>
      <c r="D4" s="107" t="s">
        <v>12</v>
      </c>
      <c r="E4" s="107" t="s">
        <v>13</v>
      </c>
      <c r="F4" s="107" t="s">
        <v>14</v>
      </c>
      <c r="G4" s="107" t="s">
        <v>15</v>
      </c>
      <c r="H4" s="89"/>
      <c r="I4" s="89"/>
      <c r="J4" s="89"/>
      <c r="K4" s="89"/>
      <c r="L4" s="105"/>
      <c r="M4" s="101"/>
      <c r="N4" s="101"/>
    </row>
    <row s="69" customFormat="1" customHeight="1" ht="18">
      <c r="A5" s="110" t="s">
        <v>16</v>
      </c>
      <c r="B5" s="110"/>
      <c r="C5" s="111">
        <f>取值!B10</f>
        <v>5000</v>
      </c>
      <c r="D5" s="112">
        <f>取值!C11</f>
        <v>201</v>
      </c>
      <c r="E5" s="113">
        <f>_xlfn.IFERROR(SUM(D5,取值!D11),"")</f>
        <v>1403.2</v>
      </c>
      <c r="F5" s="114">
        <f>_xlfn.IFERROR(C5-E5,"")</f>
        <v>3596.8</v>
      </c>
      <c r="G5" s="114">
        <f>_xlfn.IFERROR(F5/取值!F5,"")</f>
        <v>149.866666666667</v>
      </c>
      <c r="H5" s="115">
        <f>取值!G10</f>
        <v>0</v>
      </c>
      <c r="I5" s="115">
        <f>_xlfn.IFERROR(SUM(取值!H11,E5),"")</f>
        <v>1403.2</v>
      </c>
      <c r="J5" s="115">
        <f>_xlfn.IFERROR(H5-I5,"")</f>
        <v>-1403.2</v>
      </c>
      <c r="K5" s="115">
        <f>_xlfn.IFERROR(J5/取值!F6,"")</f>
        <v>-3.9195530726257</v>
      </c>
      <c r="L5" s="115" t="str">
        <f>_xlfn.IFERROR(I5/H5*100,"")</f>
        <v/>
      </c>
      <c r="M5" s="101"/>
      <c r="N5" s="101"/>
    </row>
    <row s="69" customFormat="1" customHeight="1" ht="18">
      <c r="A6" s="116" t="s">
        <v>17</v>
      </c>
      <c r="B6" s="117"/>
      <c r="C6" s="118">
        <f>取值!B13</f>
        <v>0</v>
      </c>
      <c r="D6" s="115">
        <f>取值!C13</f>
        <v>0</v>
      </c>
      <c r="E6" s="114">
        <f>_xlfn.IFERROR(SUM(E7:E10),"")</f>
        <v>0</v>
      </c>
      <c r="F6" s="114">
        <f>_xlfn.IFERROR(C6-E6,"")</f>
        <v>0</v>
      </c>
      <c r="G6" s="114">
        <f>_xlfn.IFERROR(F6/取值!F5,"")</f>
        <v>0</v>
      </c>
      <c r="H6" s="115">
        <f>取值!G13</f>
        <v>0</v>
      </c>
      <c r="I6" s="115">
        <f>_xlfn.IFERROR(SUM(I7:I10),"")</f>
        <v>0</v>
      </c>
      <c r="J6" s="115">
        <f>_xlfn.IFERROR(H6-I6,"")</f>
        <v>0</v>
      </c>
      <c r="K6" s="115">
        <f>_xlfn.IFERROR(J6/取值!F6,"")</f>
        <v>0</v>
      </c>
      <c r="L6" s="115" t="str">
        <f>_xlfn.IFERROR(I6/H6*100,"")</f>
        <v/>
      </c>
      <c r="M6" s="101"/>
      <c r="N6" s="101"/>
    </row>
    <row s="69" customFormat="1" customHeight="1" ht="18">
      <c r="A7" s="105" t="s">
        <v>18</v>
      </c>
      <c r="B7" s="107" t="s">
        <v>19</v>
      </c>
      <c r="C7" s="119"/>
      <c r="D7" s="120">
        <f>取值!C14</f>
        <v>0</v>
      </c>
      <c r="E7" s="121">
        <f>_xlfn.IFERROR(SUM(D7,取值!D14),"")</f>
        <v>0</v>
      </c>
      <c r="F7" s="121"/>
      <c r="G7" s="121"/>
      <c r="H7" s="121"/>
      <c r="I7" s="121">
        <f>SUM(取值!H14,E7)</f>
        <v>0</v>
      </c>
      <c r="J7" s="121"/>
      <c r="K7" s="121"/>
      <c r="L7" s="121"/>
      <c r="M7" s="101"/>
      <c r="N7" s="101"/>
    </row>
    <row s="69" customFormat="1" customHeight="1" ht="18">
      <c r="A8" s="105"/>
      <c r="B8" s="107" t="s">
        <v>20</v>
      </c>
      <c r="C8" s="119"/>
      <c r="D8" s="121">
        <f>取值!C15</f>
        <v>0</v>
      </c>
      <c r="E8" s="121">
        <f>_xlfn.IFERROR(SUM(D8,取值!D15),"")</f>
        <v>0</v>
      </c>
      <c r="F8" s="121"/>
      <c r="G8" s="121"/>
      <c r="H8" s="121"/>
      <c r="I8" s="121">
        <f>SUM(取值!H15,E8)</f>
        <v>0</v>
      </c>
      <c r="J8" s="121"/>
      <c r="K8" s="121"/>
      <c r="L8" s="121"/>
      <c r="M8" s="101"/>
      <c r="N8" s="101"/>
    </row>
    <row s="69" customFormat="1" customHeight="1" ht="18">
      <c r="A9" s="105" t="s">
        <v>21</v>
      </c>
      <c r="B9" s="107" t="s">
        <v>19</v>
      </c>
      <c r="C9" s="119"/>
      <c r="D9" s="121">
        <f>取值!C16</f>
        <v>0</v>
      </c>
      <c r="E9" s="121">
        <f>_xlfn.IFERROR(SUM(D9,取值!D16),"")</f>
        <v>0</v>
      </c>
      <c r="F9" s="121"/>
      <c r="G9" s="121"/>
      <c r="H9" s="121"/>
      <c r="I9" s="121">
        <f>SUM(取值!H16,E9)</f>
        <v>0</v>
      </c>
      <c r="J9" s="121"/>
      <c r="K9" s="121"/>
      <c r="L9" s="121"/>
      <c r="M9" s="101"/>
      <c r="N9" s="101"/>
    </row>
    <row s="69" customFormat="1" customHeight="1" ht="18">
      <c r="A10" s="105"/>
      <c r="B10" s="107" t="s">
        <v>20</v>
      </c>
      <c r="C10" s="119"/>
      <c r="D10" s="121">
        <f>取值!C17</f>
        <v>0</v>
      </c>
      <c r="E10" s="121">
        <f>_xlfn.IFERROR(SUM(D10,取值!D17),"")</f>
        <v>0</v>
      </c>
      <c r="F10" s="121"/>
      <c r="G10" s="121"/>
      <c r="H10" s="121"/>
      <c r="I10" s="121">
        <f>SUM(取值!H17,E10)</f>
        <v>0</v>
      </c>
      <c r="J10" s="121"/>
      <c r="K10" s="121"/>
      <c r="L10" s="121"/>
      <c r="M10" s="101"/>
      <c r="N10" s="101"/>
    </row>
    <row s="69" customFormat="1" customHeight="1" ht="18">
      <c r="A11" s="116" t="s">
        <v>22</v>
      </c>
      <c r="B11" s="117"/>
      <c r="C11" s="118">
        <f>取值!B19</f>
        <v>5000</v>
      </c>
      <c r="D11" s="115">
        <f>SUM(D12,D13,D14,D15)</f>
        <v>246</v>
      </c>
      <c r="E11" s="112">
        <f>SUM(E12,E13,E14,E15)</f>
        <v>1551.9</v>
      </c>
      <c r="F11" s="114">
        <f>_xlfn.IFERROR(C11-E11,"")</f>
        <v>3448.1</v>
      </c>
      <c r="G11" s="114">
        <f>_xlfn.IFERROR(F11/取值!F5,"")</f>
        <v>143.670833333333</v>
      </c>
      <c r="H11" s="115">
        <f>取值!G19</f>
        <v>0</v>
      </c>
      <c r="I11" s="114">
        <f>_xlfn.IFERROR(SUM(I12,I13,I14,I15),"")</f>
        <v>1551.9</v>
      </c>
      <c r="J11" s="115">
        <f>_xlfn.IFERROR(H11-I11,"")</f>
        <v>-1551.9</v>
      </c>
      <c r="K11" s="115">
        <f>_xlfn.IFERROR(J11/取值!F6,"")</f>
        <v>-4.33491620111732</v>
      </c>
      <c r="L11" s="114" t="str">
        <f>_xlfn.IFERROR(I11/H11*100,"")</f>
        <v/>
      </c>
      <c r="M11" s="101"/>
      <c r="N11" s="101"/>
    </row>
    <row s="69" customFormat="1" customHeight="1" ht="18">
      <c r="A12" s="105" t="s">
        <v>23</v>
      </c>
      <c r="B12" s="122"/>
      <c r="C12" s="119"/>
      <c r="D12" s="121">
        <f>取值!C20</f>
        <v>246</v>
      </c>
      <c r="E12" s="121">
        <f>_xlfn.IFERROR(SUM(D12,取值!D20),"")</f>
        <v>1356</v>
      </c>
      <c r="F12" s="121"/>
      <c r="G12" s="121"/>
      <c r="H12" s="121"/>
      <c r="I12" s="121">
        <f>SUM(取值!H20,E12)</f>
        <v>1356</v>
      </c>
      <c r="J12" s="121"/>
      <c r="K12" s="121"/>
      <c r="L12" s="121"/>
      <c r="M12" s="101"/>
      <c r="N12" s="101"/>
    </row>
    <row s="69" customFormat="1" customHeight="1" ht="18">
      <c r="A13" s="105" t="s">
        <v>24</v>
      </c>
      <c r="B13" s="122"/>
      <c r="C13" s="119"/>
      <c r="D13" s="121">
        <f>取值!C21</f>
        <v>0</v>
      </c>
      <c r="E13" s="121">
        <f>_xlfn.IFERROR(SUM(D13,取值!D21),"")</f>
        <v>0</v>
      </c>
      <c r="F13" s="121"/>
      <c r="G13" s="121"/>
      <c r="H13" s="121"/>
      <c r="I13" s="121">
        <f>SUM(取值!H21,E13)</f>
        <v>0</v>
      </c>
      <c r="J13" s="121"/>
      <c r="K13" s="121"/>
      <c r="L13" s="121"/>
      <c r="M13" s="101"/>
      <c r="N13" s="101"/>
    </row>
    <row s="69" customFormat="1" customHeight="1" ht="18">
      <c r="A14" s="105" t="s">
        <v>25</v>
      </c>
      <c r="B14" s="122"/>
      <c r="C14" s="119"/>
      <c r="D14" s="121">
        <f>取值!C22</f>
        <v>0</v>
      </c>
      <c r="E14" s="121">
        <f>_xlfn.IFERROR(SUM(D14,取值!D22),"")</f>
        <v>88.9</v>
      </c>
      <c r="F14" s="121"/>
      <c r="G14" s="121"/>
      <c r="H14" s="121"/>
      <c r="I14" s="121">
        <f>SUM(取值!H22,E14)</f>
        <v>88.9</v>
      </c>
      <c r="J14" s="121"/>
      <c r="K14" s="121"/>
      <c r="L14" s="121"/>
      <c r="M14" s="101"/>
      <c r="N14" s="101"/>
    </row>
    <row s="69" customFormat="1" customHeight="1" ht="18">
      <c r="A15" s="105" t="s">
        <v>26</v>
      </c>
      <c r="B15" s="122"/>
      <c r="C15" s="119"/>
      <c r="D15" s="120">
        <f>取值!C35</f>
        <v>0</v>
      </c>
      <c r="E15" s="120">
        <f>_xlfn.IFERROR(SUM(D15,取值!D35),"")</f>
        <v>107</v>
      </c>
      <c r="F15" s="120"/>
      <c r="G15" s="120"/>
      <c r="H15" s="120"/>
      <c r="I15" s="120">
        <f>SUM(取值!H35,E15)</f>
        <v>107</v>
      </c>
      <c r="J15" s="120"/>
      <c r="K15" s="120"/>
      <c r="L15" s="120"/>
      <c r="M15" s="101"/>
      <c r="N15" s="101"/>
    </row>
    <row s="69" customFormat="1" customHeight="1" ht="18">
      <c r="A16" s="123">
        <f>取值!C33</f>
        <v>0</v>
      </c>
      <c r="B16" s="122"/>
      <c r="C16" s="124"/>
      <c r="D16" s="122"/>
      <c r="E16" s="122"/>
      <c r="F16" s="122"/>
      <c r="G16" s="122"/>
      <c r="H16" s="122"/>
      <c r="I16" s="122"/>
      <c r="J16" s="122"/>
      <c r="K16" s="122"/>
      <c r="L16" s="122"/>
      <c r="M16" s="101"/>
      <c r="N16" s="101"/>
    </row>
    <row s="69" customFormat="1" customHeight="1" ht="18">
      <c r="A17" s="122"/>
      <c r="B17" s="122"/>
      <c r="C17" s="124"/>
      <c r="D17" s="122"/>
      <c r="E17" s="122"/>
      <c r="F17" s="122"/>
      <c r="G17" s="122"/>
      <c r="H17" s="122"/>
      <c r="I17" s="122"/>
      <c r="J17" s="122"/>
      <c r="K17" s="122"/>
      <c r="L17" s="122"/>
      <c r="M17" s="101"/>
      <c r="N17" s="101"/>
    </row>
    <row customHeight="1" ht="18">
      <c r="A18" s="125" t="s">
        <v>27</v>
      </c>
      <c r="B18" s="125"/>
      <c r="C18" s="126" t="str">
        <f>_xlfn.IFERROR(IF(取值!C32=0,"",取值!C32),"")</f>
        <v/>
      </c>
      <c r="D18" s="127"/>
      <c r="E18" s="127"/>
      <c r="F18" s="127"/>
      <c r="G18" s="128"/>
      <c r="H18" s="128"/>
      <c r="I18" s="128"/>
      <c r="J18" s="128"/>
      <c r="K18" s="129" t="s">
        <v>28</v>
      </c>
      <c r="L18" s="130" t="str">
        <f>_xlfn.IFERROR(IF(取值!D32=0,"",取值!D32),"")</f>
        <v/>
      </c>
      <c r="M18" s="131"/>
      <c r="N18" s="131"/>
    </row>
    <row customHeight="1" ht="13.5">
      <c r="A19" s="127"/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31"/>
      <c r="N19" s="131"/>
    </row>
    <row customHeight="1" ht="13.5">
      <c r="A20" s="81" t="s">
        <v>29</v>
      </c>
      <c r="B20" s="81" t="s">
        <v>30</v>
      </c>
      <c r="C20" s="81"/>
      <c r="D20" s="81"/>
      <c r="E20" s="81"/>
      <c r="F20" s="127"/>
      <c r="G20" s="127"/>
      <c r="H20" s="127"/>
      <c r="I20" s="127"/>
      <c r="J20" s="127"/>
      <c r="K20" s="127"/>
      <c r="L20" s="127"/>
      <c r="M20" s="131"/>
      <c r="N20" s="131"/>
    </row>
    <row customHeight="1" ht="13.5">
      <c r="A21" s="81"/>
      <c r="B21" s="133" t="s">
        <v>5</v>
      </c>
      <c r="C21" s="133"/>
      <c r="D21" s="133" t="s">
        <v>31</v>
      </c>
      <c r="E21" s="133"/>
      <c r="F21" s="127"/>
      <c r="G21" s="127"/>
      <c r="H21" s="127"/>
      <c r="I21" s="127"/>
      <c r="J21" s="127"/>
      <c r="K21" s="127"/>
      <c r="L21" s="127"/>
      <c r="M21" s="131"/>
      <c r="N21" s="131"/>
    </row>
    <row customHeight="1" ht="13.5">
      <c r="A22" s="134" t="s">
        <v>32</v>
      </c>
      <c r="B22" s="135">
        <f>取值!B45</f>
        <v>1824.14</v>
      </c>
      <c r="C22" s="135"/>
      <c r="D22" s="135">
        <f>取值!D45</f>
        <v>1824.14</v>
      </c>
      <c r="E22" s="135"/>
      <c r="F22" s="127"/>
      <c r="G22" s="127"/>
      <c r="H22" s="127"/>
      <c r="I22" s="127"/>
      <c r="J22" s="127"/>
      <c r="K22" s="127"/>
      <c r="L22" s="127"/>
      <c r="M22" s="131"/>
      <c r="N22" s="131"/>
    </row>
    <row customHeight="1" ht="13.5">
      <c r="A23" s="134" t="s">
        <v>33</v>
      </c>
      <c r="B23" s="135">
        <f>取值!B46</f>
        <v>0</v>
      </c>
      <c r="C23" s="135"/>
      <c r="D23" s="135">
        <f>取值!D46</f>
        <v>0</v>
      </c>
      <c r="E23" s="135"/>
      <c r="F23" s="127"/>
      <c r="G23" s="127"/>
      <c r="H23" s="127"/>
      <c r="I23" s="127"/>
      <c r="J23" s="127"/>
      <c r="K23" s="127"/>
      <c r="L23" s="127"/>
      <c r="M23" s="131"/>
      <c r="N23" s="131"/>
    </row>
    <row customHeight="1" ht="13.5">
      <c r="A24" s="134" t="s">
        <v>34</v>
      </c>
      <c r="B24" s="135">
        <f>取值!B47</f>
        <v>0</v>
      </c>
      <c r="C24" s="135"/>
      <c r="D24" s="135">
        <f>取值!D47</f>
        <v>0</v>
      </c>
      <c r="E24" s="135"/>
      <c r="F24" s="127"/>
      <c r="G24" s="127"/>
      <c r="H24" s="127"/>
      <c r="I24" s="127"/>
      <c r="J24" s="127"/>
      <c r="K24" s="127"/>
      <c r="L24" s="127"/>
      <c r="M24" s="131"/>
      <c r="N24" s="131"/>
    </row>
    <row customHeight="1" ht="13.5">
      <c r="A25" s="136" t="s">
        <v>35</v>
      </c>
      <c r="B25" s="135">
        <f>取值!B48</f>
        <v>1356</v>
      </c>
      <c r="C25" s="135"/>
      <c r="D25" s="135">
        <f>取值!D48</f>
        <v>1356</v>
      </c>
      <c r="E25" s="135"/>
      <c r="F25" s="127"/>
      <c r="G25" s="127"/>
      <c r="H25" s="127"/>
      <c r="I25" s="127"/>
      <c r="J25" s="127"/>
      <c r="K25" s="127"/>
      <c r="L25" s="127"/>
      <c r="M25" s="131"/>
      <c r="N25" s="131"/>
    </row>
    <row customHeight="1" ht="13.5">
      <c r="A26" s="134" t="s">
        <v>36</v>
      </c>
      <c r="B26" s="135">
        <f>取值!B49</f>
        <v>88.9</v>
      </c>
      <c r="C26" s="135"/>
      <c r="D26" s="135">
        <f>取值!D49</f>
        <v>88.9</v>
      </c>
      <c r="E26" s="135"/>
      <c r="F26" s="127"/>
      <c r="G26" s="127"/>
      <c r="H26" s="127"/>
      <c r="I26" s="127"/>
      <c r="J26" s="127"/>
      <c r="K26" s="127"/>
      <c r="L26" s="127"/>
      <c r="M26" s="131"/>
      <c r="N26" s="131"/>
    </row>
    <row customHeight="1" ht="13.5">
      <c r="A27" s="134" t="s">
        <v>37</v>
      </c>
      <c r="B27" s="135">
        <f>取值!B50</f>
        <v>107</v>
      </c>
      <c r="C27" s="135"/>
      <c r="D27" s="135">
        <f>取值!D50</f>
        <v>107</v>
      </c>
      <c r="E27" s="135"/>
      <c r="F27" s="127"/>
      <c r="G27" s="127"/>
      <c r="H27" s="127"/>
      <c r="I27" s="127"/>
      <c r="J27" s="127"/>
      <c r="K27" s="127"/>
      <c r="L27" s="127"/>
      <c r="M27" s="131"/>
      <c r="N27" s="131"/>
    </row>
    <row customHeight="1" ht="13.5">
      <c r="A28" s="134" t="s">
        <v>38</v>
      </c>
      <c r="B28" s="135">
        <f>取值!B51</f>
        <v>84.8</v>
      </c>
      <c r="C28" s="135"/>
      <c r="D28" s="135">
        <f>取值!D51</f>
        <v>84.8</v>
      </c>
      <c r="E28" s="135"/>
      <c r="F28" s="127"/>
      <c r="G28" s="127"/>
      <c r="H28" s="127"/>
      <c r="I28" s="127"/>
      <c r="J28" s="127"/>
      <c r="K28" s="127"/>
      <c r="L28" s="127"/>
      <c r="M28" s="131"/>
      <c r="N28" s="131"/>
    </row>
  </sheetData>
  <mergeCells count="38">
    <mergeCell ref="A7:A8"/>
    <mergeCell ref="A9:A10"/>
    <mergeCell ref="H3:H4"/>
    <mergeCell ref="I3:I4"/>
    <mergeCell ref="J3:J4"/>
    <mergeCell ref="A3:B4"/>
    <mergeCell ref="A11:B11"/>
    <mergeCell ref="A12:B12"/>
    <mergeCell ref="A13:B13"/>
    <mergeCell ref="A14:B14"/>
    <mergeCell ref="A18:B18"/>
    <mergeCell ref="A16:L17"/>
    <mergeCell ref="A15:B15"/>
    <mergeCell ref="B1:L1"/>
    <mergeCell ref="B2:C2"/>
    <mergeCell ref="J2:L2"/>
    <mergeCell ref="A5:B5"/>
    <mergeCell ref="A6:B6"/>
    <mergeCell ref="K3:K4"/>
    <mergeCell ref="L3:L4"/>
    <mergeCell ref="B24:C24"/>
    <mergeCell ref="D24:E24"/>
    <mergeCell ref="A20:A21"/>
    <mergeCell ref="B20:E20"/>
    <mergeCell ref="B28:C28"/>
    <mergeCell ref="D28:E28"/>
    <mergeCell ref="B26:C26"/>
    <mergeCell ref="D26:E26"/>
    <mergeCell ref="B27:C27"/>
    <mergeCell ref="D27:E27"/>
    <mergeCell ref="B25:C25"/>
    <mergeCell ref="D25:E25"/>
    <mergeCell ref="B21:C21"/>
    <mergeCell ref="D21:E21"/>
    <mergeCell ref="B22:C22"/>
    <mergeCell ref="D22:E22"/>
    <mergeCell ref="B23:C23"/>
    <mergeCell ref="D23:E23"/>
  </mergeCells>
  <pageMargins left="0.70" right="0.70" top="0.75" bottom="0.75" header="0.30" footer="0.30"/>
  <pageSetup pageOrder="downThenOver" orientation="portrait"/>
  <headerFooter>
    <oddHeader>&amp;L&amp;C&amp;R</oddHeader>
    <oddFooter>&amp;L&amp;C&amp;R</oddFooter>
    <evenHeader>&amp;L&amp;C&amp;R</evenHeader>
    <evenFooter>&amp;L&amp;C&amp;R</even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2F3846F8-677E-C0D8-8E71-BE69424E1BA8}" mc:Ignorable="x14ac xr xr2 xr3">
  <dimension ref="A1:S55"/>
  <sheetViews>
    <sheetView topLeftCell="A1" workbookViewId="0">
      <selection activeCell="J48" sqref="J48:K48"/>
    </sheetView>
  </sheetViews>
  <sheetFormatPr defaultColWidth="9.00390625" customHeight="1" defaultRowHeight="13.5"/>
  <cols>
    <col min="1" max="1" style="168" width="19.28125" customWidth="1"/>
    <col min="2" max="2" style="169" width="11.8515625" customWidth="1"/>
    <col min="3" max="3" style="170" width="15.140625" customWidth="1"/>
    <col min="4" max="4" style="171" width="15.421875" customWidth="1"/>
  </cols>
  <sheetData>
    <row customHeight="1" ht="13.5">
      <c r="A1" s="149" t="s">
        <v>39</v>
      </c>
      <c r="B1" s="149" t="s">
        <v>40</v>
      </c>
      <c r="C1" s="150" t="s">
        <v>41</v>
      </c>
      <c r="D1" s="127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131"/>
    </row>
    <row customHeight="1" ht="13.5">
      <c r="A2" s="127"/>
      <c r="B2" s="127"/>
      <c r="C2" s="127"/>
      <c r="D2" s="127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</row>
    <row customHeight="1" ht="14.25">
      <c r="A3" s="105" t="s">
        <v>2</v>
      </c>
      <c r="B3" s="107" t="s">
        <v>3</v>
      </c>
      <c r="C3" s="107" t="s">
        <v>4</v>
      </c>
      <c r="D3" s="107" t="s">
        <v>5</v>
      </c>
      <c r="E3" s="131"/>
      <c r="F3" s="131"/>
      <c r="G3" s="89" t="s">
        <v>42</v>
      </c>
      <c r="H3" s="89" t="s">
        <v>43</v>
      </c>
      <c r="I3" s="131"/>
      <c r="J3" s="131"/>
      <c r="K3" s="131"/>
      <c r="L3" s="105" t="s">
        <v>44</v>
      </c>
      <c r="M3" s="131"/>
      <c r="N3" s="131"/>
      <c r="O3" s="131"/>
      <c r="P3" s="131"/>
      <c r="Q3" s="131"/>
      <c r="R3" s="131"/>
      <c r="S3" s="131"/>
    </row>
    <row customHeight="1" ht="14.25">
      <c r="A4" s="105"/>
      <c r="B4" s="107" t="s">
        <v>12</v>
      </c>
      <c r="C4" s="107" t="s">
        <v>12</v>
      </c>
      <c r="D4" s="107" t="s">
        <v>13</v>
      </c>
      <c r="E4" s="131"/>
      <c r="F4" s="131"/>
      <c r="G4" s="89"/>
      <c r="H4" s="89"/>
      <c r="I4" s="131"/>
      <c r="J4" s="131"/>
      <c r="K4" s="131"/>
      <c r="L4" s="105"/>
      <c r="M4" s="131"/>
      <c r="N4" s="131"/>
      <c r="O4" s="131"/>
      <c r="P4" s="131"/>
      <c r="Q4" s="131"/>
      <c r="R4" s="131"/>
      <c r="S4" s="131"/>
    </row>
    <row customHeight="1" ht="14.25">
      <c r="A5" s="151" t="s">
        <v>45</v>
      </c>
      <c r="B5" s="127"/>
      <c r="C5" s="152">
        <v>575296</v>
      </c>
      <c r="D5" s="152">
        <v>3529880</v>
      </c>
      <c r="E5" s="131"/>
      <c r="F5" s="131">
        <v>24</v>
      </c>
      <c r="G5" s="131"/>
      <c r="H5" s="131"/>
      <c r="I5" s="131"/>
      <c r="J5" s="131"/>
      <c r="K5" s="131"/>
      <c r="L5" s="153"/>
      <c r="M5" s="131"/>
      <c r="N5" s="131"/>
      <c r="O5" s="131"/>
      <c r="P5" s="131"/>
      <c r="Q5" s="131"/>
      <c r="R5" s="131"/>
      <c r="S5" s="131"/>
    </row>
    <row customHeight="1" ht="14.25">
      <c r="A6" s="151" t="s">
        <v>46</v>
      </c>
      <c r="B6" s="154"/>
      <c r="C6" s="152">
        <v>81.5</v>
      </c>
      <c r="D6" s="152">
        <v>500.5</v>
      </c>
      <c r="E6" s="131"/>
      <c r="F6" s="131">
        <v>358</v>
      </c>
      <c r="G6" s="131"/>
      <c r="H6" s="131"/>
      <c r="I6" s="131"/>
      <c r="J6" s="131"/>
      <c r="K6" s="131"/>
      <c r="L6" s="151" t="s">
        <v>47</v>
      </c>
      <c r="M6" s="131">
        <v>7200</v>
      </c>
      <c r="N6" s="131"/>
      <c r="O6" s="153">
        <f>_xlfn.IFERROR(O16/O18,"")</f>
        <v>7058.84662576687</v>
      </c>
      <c r="P6" s="153" t="str">
        <f>_xlfn.IFERROR(P16/P18,"")</f>
        <v/>
      </c>
      <c r="Q6" s="153" t="str">
        <f>_xlfn.IFERROR(Q16/Q18,"")</f>
        <v/>
      </c>
      <c r="R6" s="131"/>
      <c r="S6" s="131"/>
    </row>
    <row customHeight="1" ht="14.25">
      <c r="A7" s="151" t="s">
        <v>48</v>
      </c>
      <c r="B7" s="154"/>
      <c r="C7" s="152">
        <v>174.5</v>
      </c>
      <c r="D7" s="152">
        <v>1273.7</v>
      </c>
      <c r="E7" s="131"/>
      <c r="F7" s="131"/>
      <c r="G7" s="131"/>
      <c r="H7" s="131"/>
      <c r="I7" s="131"/>
      <c r="J7" s="131"/>
      <c r="K7" s="131"/>
      <c r="L7" s="151" t="s">
        <v>49</v>
      </c>
      <c r="M7" s="131">
        <v>0.42</v>
      </c>
      <c r="N7" s="131"/>
      <c r="O7" s="153">
        <f>_xlfn.IFERROR(O19/O20,"")</f>
        <v>0.413801280531183</v>
      </c>
      <c r="P7" s="153" t="str">
        <f>_xlfn.IFERROR(P19/P20,"")</f>
        <v/>
      </c>
      <c r="Q7" s="153" t="str">
        <f>_xlfn.IFERROR(Q19/Q20,"")</f>
        <v/>
      </c>
      <c r="R7" s="131"/>
      <c r="S7" s="131"/>
    </row>
    <row customHeight="1" ht="14.25">
      <c r="A8" s="151" t="s">
        <v>50</v>
      </c>
      <c r="B8" s="154"/>
      <c r="C8" s="152">
        <v>421.7</v>
      </c>
      <c r="D8" s="152">
        <v>3114.14</v>
      </c>
      <c r="E8" s="131"/>
      <c r="F8" s="131"/>
      <c r="G8" s="131"/>
      <c r="H8" s="131"/>
      <c r="I8" s="131"/>
      <c r="J8" s="131"/>
      <c r="K8" s="131"/>
      <c r="L8" s="151" t="s">
        <v>51</v>
      </c>
      <c r="M8" s="131">
        <v>0.43</v>
      </c>
      <c r="N8" s="131"/>
      <c r="O8" s="153">
        <f>_xlfn.IFERROR(O21/O22,"")</f>
        <v>0.403465346534653</v>
      </c>
      <c r="P8" s="153" t="str">
        <f>_xlfn.IFERROR(P21/P22,"")</f>
        <v/>
      </c>
      <c r="Q8" s="153" t="str">
        <f>_xlfn.IFERROR(Q21/Q22,"")</f>
        <v/>
      </c>
      <c r="R8" s="131"/>
      <c r="S8" s="131"/>
    </row>
    <row customHeight="1" ht="14.25">
      <c r="A9" s="151" t="s">
        <v>52</v>
      </c>
      <c r="B9" s="154"/>
      <c r="C9" s="152">
        <v>81.5</v>
      </c>
      <c r="D9" s="152">
        <v>500.5</v>
      </c>
      <c r="E9" s="131"/>
      <c r="F9" s="131"/>
      <c r="G9" s="131"/>
      <c r="H9" s="131"/>
      <c r="I9" s="131"/>
      <c r="J9" s="131"/>
      <c r="K9" s="131"/>
      <c r="L9" s="151" t="s">
        <v>53</v>
      </c>
      <c r="M9" s="131">
        <v>0</v>
      </c>
      <c r="N9" s="131"/>
      <c r="O9" s="153" t="str">
        <f>_xlfn.IFERROR(O23/SUM(O24,O27),"")</f>
        <v/>
      </c>
      <c r="P9" s="153" t="str">
        <f>_xlfn.IFERROR(P23/SUM(P24,P27),"")</f>
        <v/>
      </c>
      <c r="Q9" s="153" t="str">
        <f>_xlfn.IFERROR(Q23/SUM(Q24,Q27),"")</f>
        <v/>
      </c>
      <c r="R9" s="131"/>
      <c r="S9" s="131"/>
    </row>
    <row customHeight="1" ht="14.25">
      <c r="A10" s="151" t="s">
        <v>54</v>
      </c>
      <c r="B10" s="152">
        <v>5000</v>
      </c>
      <c r="C10" s="152">
        <v>202</v>
      </c>
      <c r="D10" s="152">
        <v>1256.48</v>
      </c>
      <c r="E10" s="131"/>
      <c r="F10" s="131"/>
      <c r="G10" s="131"/>
      <c r="H10" s="131"/>
      <c r="I10" s="131"/>
      <c r="J10" s="131"/>
      <c r="K10" s="131"/>
      <c r="L10" s="151" t="s">
        <v>55</v>
      </c>
      <c r="M10" s="131"/>
      <c r="N10" s="131"/>
      <c r="O10" s="153">
        <f>_xlfn.IFERROR(O28/SUM(O29,O30,O31),"")</f>
        <v>189.831578947368</v>
      </c>
      <c r="P10" s="153" t="str">
        <f>_xlfn.IFERROR(P28/SUM(P29,P30,P31),"")</f>
        <v/>
      </c>
      <c r="Q10" s="153" t="str">
        <f>_xlfn.IFERROR(Q28/SUM(Q29,Q30,Q31),"")</f>
        <v/>
      </c>
      <c r="R10" s="131"/>
      <c r="S10" s="131"/>
    </row>
    <row customHeight="1" ht="14.25">
      <c r="A11" s="155" t="s">
        <v>56</v>
      </c>
      <c r="B11" s="156"/>
      <c r="C11" s="157">
        <v>201</v>
      </c>
      <c r="D11" s="157">
        <v>1202.2</v>
      </c>
      <c r="E11" s="157"/>
      <c r="F11" s="157"/>
      <c r="G11" s="157"/>
      <c r="H11" s="158"/>
      <c r="I11" s="157"/>
      <c r="J11" s="157"/>
      <c r="K11" s="157"/>
      <c r="L11" s="151"/>
      <c r="M11" s="131"/>
      <c r="N11" s="131"/>
      <c r="O11" s="153"/>
      <c r="P11" s="153"/>
      <c r="Q11" s="159"/>
      <c r="R11" s="131"/>
      <c r="S11" s="131"/>
    </row>
    <row customHeight="1" ht="14.25">
      <c r="A12" s="151" t="s">
        <v>57</v>
      </c>
      <c r="B12" s="154"/>
      <c r="C12" s="152">
        <v>0</v>
      </c>
      <c r="D12" s="152">
        <v>0</v>
      </c>
      <c r="E12" s="131"/>
      <c r="F12" s="131"/>
      <c r="G12" s="131"/>
      <c r="H12" s="131"/>
      <c r="I12" s="131"/>
      <c r="J12" s="131"/>
      <c r="K12" s="131"/>
      <c r="L12" s="151" t="s">
        <v>58</v>
      </c>
      <c r="M12" s="131">
        <v>2750</v>
      </c>
      <c r="N12" s="131"/>
      <c r="O12" s="153">
        <f>O32</f>
        <v>0</v>
      </c>
      <c r="P12" s="153"/>
      <c r="Q12" s="131"/>
      <c r="R12" s="131"/>
      <c r="S12" s="131"/>
    </row>
    <row customHeight="1" ht="14.25">
      <c r="A13" s="151" t="s">
        <v>17</v>
      </c>
      <c r="B13" s="152">
        <v>0</v>
      </c>
      <c r="C13" s="152">
        <f>_xlfn.IFERROR(SUM(C14,C16),"")</f>
        <v>0</v>
      </c>
      <c r="D13" s="152">
        <f>_xlfn.IFERROR(SUM(D14,D16),"")</f>
        <v>0</v>
      </c>
      <c r="E13" s="131"/>
      <c r="F13" s="131"/>
      <c r="G13" s="131"/>
      <c r="H13" s="131"/>
      <c r="I13" s="131"/>
      <c r="J13" s="131"/>
      <c r="K13" s="131"/>
      <c r="L13" s="131"/>
      <c r="M13" s="131"/>
      <c r="N13" s="131"/>
      <c r="O13" s="131"/>
      <c r="P13" s="131"/>
      <c r="Q13" s="131"/>
      <c r="R13" s="131"/>
      <c r="S13" s="131"/>
    </row>
    <row customHeight="1" ht="14.25">
      <c r="A14" s="107" t="s">
        <v>59</v>
      </c>
      <c r="B14" s="154"/>
      <c r="C14" s="152">
        <v>0</v>
      </c>
      <c r="D14" s="152">
        <v>0</v>
      </c>
      <c r="E14" s="131"/>
      <c r="F14" s="131"/>
      <c r="G14" s="131"/>
      <c r="H14" s="131"/>
      <c r="I14" s="131"/>
      <c r="J14" s="131"/>
      <c r="K14" s="131"/>
      <c r="L14" s="131"/>
      <c r="M14" s="131"/>
      <c r="N14" s="131"/>
      <c r="O14" s="160" t="s">
        <v>60</v>
      </c>
      <c r="P14" s="160" t="s">
        <v>61</v>
      </c>
      <c r="Q14" s="160" t="s">
        <v>62</v>
      </c>
      <c r="R14" s="131"/>
      <c r="S14" s="131"/>
    </row>
    <row customHeight="1" ht="14.25">
      <c r="A15" s="107" t="s">
        <v>63</v>
      </c>
      <c r="B15" s="154"/>
      <c r="C15" s="152"/>
      <c r="D15" s="152"/>
      <c r="E15" s="131"/>
      <c r="F15" s="131"/>
      <c r="G15" s="131"/>
      <c r="H15" s="131"/>
      <c r="I15" s="131"/>
      <c r="J15" s="131"/>
      <c r="K15" s="131"/>
      <c r="L15" s="131"/>
      <c r="M15" s="131"/>
      <c r="N15" s="131"/>
      <c r="O15" s="160"/>
      <c r="P15" s="160"/>
      <c r="Q15" s="160"/>
      <c r="R15" s="131"/>
      <c r="S15" s="131"/>
    </row>
    <row customHeight="1" ht="14.25">
      <c r="A16" s="107" t="s">
        <v>64</v>
      </c>
      <c r="B16" s="154"/>
      <c r="C16" s="152">
        <v>0</v>
      </c>
      <c r="D16" s="152">
        <v>0</v>
      </c>
      <c r="E16" s="131"/>
      <c r="F16" s="131"/>
      <c r="G16" s="131"/>
      <c r="H16" s="131"/>
      <c r="I16" s="131"/>
      <c r="J16" s="131"/>
      <c r="K16" s="131"/>
      <c r="L16" s="131"/>
      <c r="M16" s="131"/>
      <c r="N16" s="161" t="s">
        <v>47</v>
      </c>
      <c r="O16" s="131">
        <v>575296</v>
      </c>
      <c r="P16" s="131"/>
      <c r="Q16" s="131"/>
      <c r="R16" s="131"/>
      <c r="S16" s="131"/>
    </row>
    <row customHeight="1" ht="14.25">
      <c r="A17" s="107" t="s">
        <v>65</v>
      </c>
      <c r="B17" s="154"/>
      <c r="C17" s="152"/>
      <c r="D17" s="152"/>
      <c r="E17" s="131"/>
      <c r="F17" s="131"/>
      <c r="G17" s="131"/>
      <c r="H17" s="131"/>
      <c r="I17" s="131"/>
      <c r="J17" s="131"/>
      <c r="K17" s="131"/>
      <c r="L17" s="131"/>
      <c r="M17" s="131"/>
      <c r="N17" s="161"/>
      <c r="O17" s="131"/>
      <c r="P17" s="131"/>
      <c r="Q17" s="131"/>
      <c r="R17" s="131"/>
      <c r="S17" s="131"/>
    </row>
    <row customHeight="1" ht="14.25">
      <c r="A18" s="151" t="s">
        <v>66</v>
      </c>
      <c r="B18" s="154"/>
      <c r="C18" s="152">
        <v>149920</v>
      </c>
      <c r="D18" s="152">
        <v>1054072</v>
      </c>
      <c r="E18" s="131"/>
      <c r="F18" s="131"/>
      <c r="G18" s="131"/>
      <c r="H18" s="131"/>
      <c r="I18" s="131"/>
      <c r="J18" s="131"/>
      <c r="K18" s="131"/>
      <c r="L18" s="131"/>
      <c r="M18" s="131"/>
      <c r="N18" s="161"/>
      <c r="O18" s="131">
        <v>81.5</v>
      </c>
      <c r="P18" s="131"/>
      <c r="Q18" s="131"/>
      <c r="R18" s="131"/>
      <c r="S18" s="131"/>
    </row>
    <row customHeight="1" ht="14.25">
      <c r="A19" s="151" t="s">
        <v>22</v>
      </c>
      <c r="B19" s="152">
        <v>5000</v>
      </c>
      <c r="C19" s="152">
        <f>_xlfn.IFERROR(SUM(C20,C21,C22,C25),"")</f>
        <v>246</v>
      </c>
      <c r="D19" s="152">
        <f>_xlfn.IFERROR(SUM(D20,D21,D22),"")</f>
        <v>1198.9</v>
      </c>
      <c r="E19" s="131"/>
      <c r="F19" s="131"/>
      <c r="G19" s="131"/>
      <c r="H19" s="131"/>
      <c r="I19" s="131"/>
      <c r="J19" s="131"/>
      <c r="K19" s="131"/>
      <c r="L19" s="131"/>
      <c r="M19" s="131"/>
      <c r="N19" s="162" t="s">
        <v>49</v>
      </c>
      <c r="O19" s="131">
        <v>174.5</v>
      </c>
      <c r="P19" s="131"/>
      <c r="Q19" s="131"/>
      <c r="R19" s="131"/>
      <c r="S19" s="131"/>
    </row>
    <row customHeight="1" ht="14.25">
      <c r="A20" s="151" t="s">
        <v>67</v>
      </c>
      <c r="B20" s="154"/>
      <c r="C20" s="152">
        <v>246</v>
      </c>
      <c r="D20" s="152">
        <v>1110</v>
      </c>
      <c r="E20" s="131"/>
      <c r="F20" s="131"/>
      <c r="G20" s="131"/>
      <c r="H20" s="131"/>
      <c r="I20" s="131"/>
      <c r="J20" s="131"/>
      <c r="K20" s="131"/>
      <c r="L20" s="131"/>
      <c r="M20" s="131"/>
      <c r="N20" s="162"/>
      <c r="O20" s="131">
        <v>421.7</v>
      </c>
      <c r="P20" s="131"/>
      <c r="Q20" s="131"/>
      <c r="R20" s="131"/>
      <c r="S20" s="131"/>
    </row>
    <row customHeight="1" ht="14.25">
      <c r="A21" s="151" t="s">
        <v>68</v>
      </c>
      <c r="B21" s="154"/>
      <c r="C21" s="152"/>
      <c r="D21" s="152"/>
      <c r="E21" s="131"/>
      <c r="F21" s="131"/>
      <c r="G21" s="131"/>
      <c r="H21" s="131"/>
      <c r="I21" s="131"/>
      <c r="J21" s="131"/>
      <c r="K21" s="131"/>
      <c r="L21" s="131"/>
      <c r="M21" s="131"/>
      <c r="N21" s="163" t="s">
        <v>51</v>
      </c>
      <c r="O21" s="131">
        <v>81.5</v>
      </c>
      <c r="P21" s="131"/>
      <c r="Q21" s="131"/>
      <c r="R21" s="131"/>
      <c r="S21" s="131"/>
    </row>
    <row customHeight="1" ht="14.25">
      <c r="A22" s="151" t="s">
        <v>36</v>
      </c>
      <c r="B22" s="154"/>
      <c r="C22" s="152">
        <v>0</v>
      </c>
      <c r="D22" s="152">
        <v>88.9</v>
      </c>
      <c r="E22" s="131"/>
      <c r="F22" s="131"/>
      <c r="G22" s="131"/>
      <c r="H22" s="131"/>
      <c r="I22" s="131"/>
      <c r="J22" s="131"/>
      <c r="K22" s="131"/>
      <c r="L22" s="131"/>
      <c r="M22" s="131"/>
      <c r="N22" s="163"/>
      <c r="O22" s="131">
        <v>202</v>
      </c>
      <c r="P22" s="131"/>
      <c r="Q22" s="131"/>
      <c r="R22" s="131"/>
      <c r="S22" s="131"/>
    </row>
    <row customHeight="1" ht="14.25">
      <c r="A23" s="151" t="s">
        <v>69</v>
      </c>
      <c r="B23" s="154"/>
      <c r="C23" s="152">
        <v>226.98</v>
      </c>
      <c r="D23" s="152">
        <v>1597.16</v>
      </c>
      <c r="E23" s="131"/>
      <c r="F23" s="131"/>
      <c r="G23" s="131"/>
      <c r="H23" s="131"/>
      <c r="I23" s="131"/>
      <c r="J23" s="131"/>
      <c r="K23" s="131"/>
      <c r="L23" s="131"/>
      <c r="M23" s="131"/>
      <c r="N23" s="164" t="s">
        <v>53</v>
      </c>
      <c r="O23" s="131">
        <v>0</v>
      </c>
      <c r="P23" s="131"/>
      <c r="Q23" s="131"/>
      <c r="R23" s="131"/>
      <c r="S23" s="131"/>
    </row>
    <row customHeight="1" ht="14.25">
      <c r="A24" s="151" t="s">
        <v>70</v>
      </c>
      <c r="B24" s="154"/>
      <c r="C24" s="152" t="str">
        <f>_xlfn.IFERROR(SUM(#REF!,#REF!),"")</f>
        <v/>
      </c>
      <c r="D24" s="152">
        <f>_xlfn.IFERROR(SUM(C24,D25,D26),"")</f>
        <v>62.64</v>
      </c>
      <c r="E24" s="131"/>
      <c r="F24" s="131"/>
      <c r="G24" s="131"/>
      <c r="H24" s="131">
        <f>_xlfn.IFERROR(SUM(H25,H26),"")</f>
        <v>0</v>
      </c>
      <c r="I24" s="131"/>
      <c r="J24" s="131"/>
      <c r="K24" s="131"/>
      <c r="L24" s="131"/>
      <c r="M24" s="131"/>
      <c r="N24" s="164"/>
      <c r="O24" s="131">
        <v>0</v>
      </c>
      <c r="P24" s="131"/>
      <c r="Q24" s="131"/>
      <c r="R24" s="131"/>
      <c r="S24" s="131"/>
    </row>
    <row customHeight="1" ht="14.25">
      <c r="A25" s="107" t="s">
        <v>71</v>
      </c>
      <c r="B25" s="154"/>
      <c r="C25" s="152">
        <v>0</v>
      </c>
      <c r="D25" s="152">
        <v>62.64</v>
      </c>
      <c r="E25" s="131"/>
      <c r="F25" s="131"/>
      <c r="G25" s="131"/>
      <c r="H25" s="131"/>
      <c r="I25" s="131"/>
      <c r="J25" s="131"/>
      <c r="K25" s="131"/>
      <c r="L25" s="131"/>
      <c r="M25" s="131"/>
      <c r="N25" s="164"/>
      <c r="O25" s="131"/>
      <c r="P25" s="131"/>
      <c r="Q25" s="131"/>
      <c r="R25" s="131"/>
      <c r="S25" s="131"/>
    </row>
    <row customHeight="1" ht="14.25">
      <c r="A26" s="107" t="s">
        <v>72</v>
      </c>
      <c r="B26" s="154"/>
      <c r="C26" s="165">
        <v>0</v>
      </c>
      <c r="D26" s="152">
        <v>0</v>
      </c>
      <c r="E26" s="131"/>
      <c r="F26" s="131"/>
      <c r="G26" s="131"/>
      <c r="H26" s="131"/>
      <c r="I26" s="131"/>
      <c r="J26" s="131"/>
      <c r="K26" s="131"/>
      <c r="L26" s="131"/>
      <c r="M26" s="131"/>
      <c r="N26" s="164"/>
      <c r="O26" s="131"/>
      <c r="P26" s="131"/>
      <c r="Q26" s="131"/>
      <c r="R26" s="131"/>
      <c r="S26" s="131"/>
    </row>
    <row customHeight="1" ht="14.25">
      <c r="A27" s="151" t="s">
        <v>73</v>
      </c>
      <c r="B27" s="154"/>
      <c r="C27" s="152">
        <v>223.72</v>
      </c>
      <c r="D27" s="152">
        <v>1073.66</v>
      </c>
      <c r="E27" s="131"/>
      <c r="F27" s="131"/>
      <c r="G27" s="131"/>
      <c r="H27" s="131"/>
      <c r="I27" s="131"/>
      <c r="J27" s="131"/>
      <c r="K27" s="131"/>
      <c r="L27" s="131"/>
      <c r="M27" s="131"/>
      <c r="N27" s="164"/>
      <c r="O27" s="131">
        <v>0</v>
      </c>
      <c r="P27" s="131"/>
      <c r="Q27" s="131"/>
      <c r="R27" s="131"/>
      <c r="S27" s="131"/>
    </row>
    <row customHeight="1" ht="14.25">
      <c r="A28" s="151" t="s">
        <v>74</v>
      </c>
      <c r="B28" s="154"/>
      <c r="C28" s="152">
        <v>0</v>
      </c>
      <c r="D28" s="152">
        <v>0</v>
      </c>
      <c r="E28" s="131"/>
      <c r="F28" s="131"/>
      <c r="G28" s="131"/>
      <c r="H28" s="131"/>
      <c r="I28" s="131"/>
      <c r="J28" s="131"/>
      <c r="K28" s="131"/>
      <c r="L28" s="131"/>
      <c r="M28" s="131"/>
      <c r="N28" s="163" t="s">
        <v>55</v>
      </c>
      <c r="O28" s="131">
        <v>36068</v>
      </c>
      <c r="P28" s="131"/>
      <c r="Q28" s="131"/>
      <c r="R28" s="131"/>
      <c r="S28" s="131"/>
    </row>
    <row customHeight="1" ht="14.25">
      <c r="A29" s="151" t="s">
        <v>75</v>
      </c>
      <c r="B29" s="154"/>
      <c r="C29" s="152">
        <v>32.68</v>
      </c>
      <c r="D29" s="152">
        <v>130.78</v>
      </c>
      <c r="E29" s="131"/>
      <c r="F29" s="131"/>
      <c r="G29" s="131"/>
      <c r="H29" s="131"/>
      <c r="I29" s="131"/>
      <c r="J29" s="131"/>
      <c r="K29" s="131"/>
      <c r="L29" s="131"/>
      <c r="M29" s="131"/>
      <c r="N29" s="163"/>
      <c r="O29" s="131">
        <v>178</v>
      </c>
      <c r="P29" s="131"/>
      <c r="Q29" s="131"/>
      <c r="R29" s="131"/>
      <c r="S29" s="131"/>
    </row>
    <row customHeight="1" ht="14.25">
      <c r="A30" s="151" t="s">
        <v>76</v>
      </c>
      <c r="B30" s="154"/>
      <c r="C30" s="152">
        <v>32.64</v>
      </c>
      <c r="D30" s="152">
        <v>65.24</v>
      </c>
      <c r="E30" s="131"/>
      <c r="F30" s="131"/>
      <c r="G30" s="131"/>
      <c r="H30" s="131"/>
      <c r="I30" s="131"/>
      <c r="J30" s="131"/>
      <c r="K30" s="131"/>
      <c r="L30" s="131"/>
      <c r="M30" s="131"/>
      <c r="N30" s="163"/>
      <c r="O30" s="131">
        <v>0</v>
      </c>
      <c r="P30" s="131"/>
      <c r="Q30" s="131"/>
      <c r="R30" s="131"/>
      <c r="S30" s="131"/>
    </row>
    <row customHeight="1" ht="14.25">
      <c r="A31" s="151" t="s">
        <v>77</v>
      </c>
      <c r="B31" s="154"/>
      <c r="C31" s="152">
        <v>0</v>
      </c>
      <c r="D31" s="152">
        <v>0</v>
      </c>
      <c r="E31" s="131"/>
      <c r="F31" s="131"/>
      <c r="G31" s="131"/>
      <c r="H31" s="131"/>
      <c r="I31" s="131"/>
      <c r="J31" s="131"/>
      <c r="K31" s="131"/>
      <c r="L31" s="131"/>
      <c r="M31" s="131"/>
      <c r="N31" s="163"/>
      <c r="O31" s="131">
        <v>12</v>
      </c>
      <c r="P31" s="131"/>
      <c r="Q31" s="131"/>
      <c r="R31" s="131"/>
      <c r="S31" s="131"/>
    </row>
    <row customHeight="1" ht="13.5">
      <c r="A32" s="127"/>
      <c r="B32" s="127"/>
      <c r="C32" s="152"/>
      <c r="D32" s="152"/>
      <c r="E32" s="131"/>
      <c r="F32" s="131"/>
      <c r="G32" s="131"/>
      <c r="H32" s="131"/>
      <c r="I32" s="131"/>
      <c r="J32" s="131"/>
      <c r="K32" s="131"/>
      <c r="L32" s="131"/>
      <c r="M32" s="131"/>
      <c r="N32" s="151" t="s">
        <v>58</v>
      </c>
      <c r="O32" s="131"/>
      <c r="P32" s="131"/>
      <c r="Q32" s="131"/>
      <c r="R32" s="131"/>
      <c r="S32" s="166"/>
    </row>
    <row customHeight="1" ht="13.5">
      <c r="A33" s="127"/>
      <c r="B33" s="127"/>
      <c r="C33" s="152"/>
      <c r="D33" s="127"/>
      <c r="E33" s="131"/>
      <c r="F33" s="131"/>
      <c r="G33" s="131"/>
      <c r="H33" s="131"/>
      <c r="I33" s="131"/>
      <c r="J33" s="131"/>
      <c r="K33" s="131"/>
      <c r="L33" s="131"/>
      <c r="M33" s="131"/>
      <c r="N33" s="131"/>
      <c r="O33" s="131"/>
      <c r="P33" s="131"/>
      <c r="Q33" s="131"/>
      <c r="R33" s="131"/>
      <c r="S33" s="131"/>
    </row>
    <row customHeight="1" ht="13.5">
      <c r="A34" s="127"/>
      <c r="B34" s="127"/>
      <c r="C34" s="127"/>
      <c r="D34" s="127"/>
      <c r="E34" s="131"/>
      <c r="F34" s="131"/>
      <c r="G34" s="131"/>
      <c r="H34" s="131"/>
      <c r="I34" s="131"/>
      <c r="J34" s="131"/>
      <c r="K34" s="131"/>
      <c r="L34" s="131"/>
      <c r="M34" s="131"/>
      <c r="N34" s="131"/>
      <c r="O34" s="131"/>
      <c r="P34" s="131"/>
      <c r="Q34" s="131"/>
      <c r="R34" s="131"/>
      <c r="S34" s="131"/>
    </row>
    <row customHeight="1" ht="13.5">
      <c r="A35" s="127"/>
      <c r="B35" s="127"/>
      <c r="C35" s="127">
        <v>0</v>
      </c>
      <c r="D35" s="127">
        <v>107</v>
      </c>
      <c r="E35" s="131"/>
      <c r="F35" s="131"/>
      <c r="G35" s="131"/>
      <c r="H35" s="131"/>
      <c r="I35" s="131"/>
      <c r="J35" s="131"/>
      <c r="K35" s="131"/>
      <c r="L35" s="131"/>
      <c r="M35" s="131"/>
      <c r="N35" s="131"/>
      <c r="O35" s="131"/>
      <c r="P35" s="131"/>
      <c r="Q35" s="131"/>
      <c r="R35" s="131"/>
      <c r="S35" s="131"/>
    </row>
    <row customHeight="1" ht="13.5">
      <c r="A36" s="127"/>
      <c r="B36" s="127"/>
      <c r="C36" s="127"/>
      <c r="D36" s="127"/>
      <c r="E36" s="131"/>
      <c r="F36" s="131"/>
      <c r="G36" s="131"/>
      <c r="H36" s="131"/>
      <c r="I36" s="131"/>
      <c r="J36" s="131"/>
      <c r="K36" s="131"/>
      <c r="L36" s="131"/>
      <c r="M36" s="131"/>
      <c r="N36" s="131"/>
      <c r="O36" s="131"/>
      <c r="P36" s="131"/>
      <c r="Q36" s="131"/>
      <c r="R36" s="131"/>
      <c r="S36" s="131"/>
    </row>
    <row customHeight="1" ht="13.5">
      <c r="A37" s="127"/>
      <c r="B37" s="127"/>
      <c r="C37" s="127"/>
      <c r="D37" s="127"/>
      <c r="E37" s="131"/>
      <c r="F37" s="131"/>
      <c r="G37" s="131"/>
      <c r="H37" s="131"/>
      <c r="I37" s="131"/>
      <c r="J37" s="131"/>
      <c r="K37" s="131"/>
      <c r="L37" s="131"/>
      <c r="M37" s="131"/>
      <c r="N37" s="131"/>
      <c r="O37" s="131"/>
      <c r="P37" s="131"/>
      <c r="Q37" s="131"/>
      <c r="R37" s="131"/>
      <c r="S37" s="131"/>
    </row>
    <row customHeight="1" ht="13.5">
      <c r="A38" s="127"/>
      <c r="B38" s="127"/>
      <c r="C38" s="127"/>
      <c r="D38" s="127"/>
      <c r="E38" s="131"/>
      <c r="F38" s="131"/>
      <c r="G38" s="131"/>
      <c r="H38" s="131"/>
      <c r="I38" s="131"/>
      <c r="J38" s="131"/>
      <c r="K38" s="131"/>
      <c r="L38" s="131"/>
      <c r="M38" s="131"/>
      <c r="N38" s="131"/>
      <c r="O38" s="131"/>
      <c r="P38" s="131"/>
      <c r="Q38" s="131"/>
      <c r="R38" s="131"/>
      <c r="S38" s="131"/>
    </row>
    <row customHeight="1" ht="13.5">
      <c r="A39" s="127"/>
      <c r="B39" s="127"/>
      <c r="C39" s="127"/>
      <c r="D39" s="127"/>
      <c r="E39" s="131"/>
      <c r="F39" s="131"/>
      <c r="G39" s="131"/>
      <c r="H39" s="131"/>
      <c r="I39" s="131"/>
      <c r="J39" s="131"/>
      <c r="K39" s="131"/>
      <c r="L39" s="131"/>
      <c r="M39" s="131"/>
      <c r="N39" s="131"/>
      <c r="O39" s="131"/>
      <c r="P39" s="131"/>
      <c r="Q39" s="131"/>
      <c r="R39" s="131"/>
      <c r="S39" s="131"/>
    </row>
    <row customHeight="1" ht="13.5">
      <c r="A40" s="127"/>
      <c r="B40" s="127"/>
      <c r="C40" s="127"/>
      <c r="D40" s="127"/>
      <c r="E40" s="131"/>
      <c r="F40" s="131"/>
      <c r="G40" s="165" t="s">
        <v>78</v>
      </c>
      <c r="H40" s="131"/>
      <c r="I40" s="131"/>
      <c r="J40" s="131"/>
      <c r="K40" s="131"/>
      <c r="L40" s="131"/>
      <c r="M40" s="131"/>
      <c r="N40" s="131"/>
      <c r="O40" s="131"/>
      <c r="P40" s="131"/>
      <c r="Q40" s="131"/>
      <c r="R40" s="131"/>
      <c r="S40" s="131"/>
    </row>
    <row customHeight="1" ht="13.5">
      <c r="A41" s="127"/>
      <c r="B41" s="127"/>
      <c r="C41" s="127"/>
      <c r="D41" s="127"/>
      <c r="E41" s="131"/>
      <c r="F41" s="131"/>
      <c r="G41" s="131"/>
      <c r="H41" s="131"/>
      <c r="I41" s="131"/>
      <c r="J41" s="131"/>
      <c r="K41" s="131"/>
      <c r="L41" s="131"/>
      <c r="M41" s="131"/>
      <c r="N41" s="131"/>
      <c r="O41" s="131"/>
      <c r="P41" s="131"/>
      <c r="Q41" s="131"/>
      <c r="R41" s="131"/>
      <c r="S41" s="131"/>
    </row>
    <row customHeight="1" ht="13.5">
      <c r="A42" s="127"/>
      <c r="B42" s="127"/>
      <c r="C42" s="127"/>
      <c r="D42" s="127"/>
      <c r="E42" s="131"/>
      <c r="F42" s="131"/>
      <c r="G42" s="131"/>
      <c r="H42" s="131"/>
      <c r="I42" s="131"/>
      <c r="J42" s="131"/>
      <c r="K42" s="131"/>
      <c r="L42" s="131"/>
      <c r="M42" s="131"/>
      <c r="N42" s="131"/>
      <c r="O42" s="131"/>
      <c r="P42" s="131"/>
      <c r="Q42" s="131"/>
      <c r="R42" s="131"/>
      <c r="S42" s="131"/>
    </row>
    <row customHeight="1" ht="13.5">
      <c r="A43" s="81" t="s">
        <v>29</v>
      </c>
      <c r="B43" s="81" t="s">
        <v>30</v>
      </c>
      <c r="C43" s="81"/>
      <c r="D43" s="81"/>
      <c r="E43" s="81"/>
      <c r="F43" s="131"/>
      <c r="G43" s="131"/>
      <c r="H43" s="131"/>
      <c r="I43" s="131"/>
      <c r="J43" s="131"/>
      <c r="K43" s="131"/>
      <c r="L43" s="131"/>
      <c r="M43" s="131"/>
      <c r="N43" s="131"/>
      <c r="O43" s="131"/>
      <c r="P43" s="131"/>
      <c r="Q43" s="131"/>
      <c r="R43" s="131"/>
      <c r="S43" s="131"/>
    </row>
    <row customHeight="1" ht="13.5">
      <c r="A44" s="81"/>
      <c r="B44" s="133" t="s">
        <v>5</v>
      </c>
      <c r="C44" s="133"/>
      <c r="D44" s="133" t="s">
        <v>31</v>
      </c>
      <c r="E44" s="133"/>
      <c r="F44" s="131"/>
      <c r="G44" s="131"/>
      <c r="H44" s="131"/>
      <c r="I44" s="131"/>
      <c r="J44" s="131"/>
      <c r="K44" s="131"/>
      <c r="L44" s="131"/>
      <c r="M44" s="131"/>
      <c r="N44" s="131"/>
      <c r="O44" s="131"/>
      <c r="P44" s="131"/>
      <c r="Q44" s="131"/>
      <c r="R44" s="131"/>
      <c r="S44" s="131"/>
    </row>
    <row customHeight="1" ht="13.5">
      <c r="A45" s="134" t="s">
        <v>32</v>
      </c>
      <c r="B45" s="135">
        <v>1824.14</v>
      </c>
      <c r="C45" s="135"/>
      <c r="D45" s="135">
        <v>1824.14</v>
      </c>
      <c r="E45" s="135"/>
      <c r="F45" s="131"/>
      <c r="G45" s="131"/>
      <c r="H45" s="131"/>
      <c r="I45" s="131"/>
      <c r="J45" s="131"/>
      <c r="K45" s="131"/>
      <c r="L45" s="131"/>
      <c r="M45" s="131"/>
      <c r="N45" s="131"/>
      <c r="O45" s="131"/>
      <c r="P45" s="131"/>
      <c r="Q45" s="131"/>
      <c r="R45" s="131"/>
      <c r="S45" s="131"/>
    </row>
    <row customHeight="1" ht="13.5">
      <c r="A46" s="134" t="s">
        <v>33</v>
      </c>
      <c r="B46" s="167">
        <f>H46+H47+H48+H49</f>
        <v>0</v>
      </c>
      <c r="C46" s="135"/>
      <c r="D46" s="167">
        <f>J46+J47+J48+J49</f>
        <v>0</v>
      </c>
      <c r="E46" s="135"/>
      <c r="F46" s="131"/>
      <c r="G46" s="131"/>
      <c r="H46" s="135">
        <v>0</v>
      </c>
      <c r="I46" s="135"/>
      <c r="J46" s="135">
        <v>0</v>
      </c>
      <c r="K46" s="135"/>
      <c r="L46" s="131"/>
      <c r="M46" s="131"/>
      <c r="N46" s="131"/>
      <c r="O46" s="131"/>
      <c r="P46" s="131"/>
      <c r="Q46" s="131"/>
      <c r="R46" s="131"/>
      <c r="S46" s="131"/>
    </row>
    <row customHeight="1" ht="13.5">
      <c r="A47" s="134" t="s">
        <v>34</v>
      </c>
      <c r="B47" s="135">
        <v>0</v>
      </c>
      <c r="C47" s="135"/>
      <c r="D47" s="135">
        <v>0</v>
      </c>
      <c r="E47" s="135"/>
      <c r="F47" s="131"/>
      <c r="G47" s="131"/>
      <c r="H47" s="135"/>
      <c r="I47" s="135"/>
      <c r="J47" s="135"/>
      <c r="K47" s="135"/>
      <c r="L47" s="131"/>
      <c r="M47" s="131"/>
      <c r="N47" s="131"/>
      <c r="O47" s="131"/>
      <c r="P47" s="131"/>
      <c r="Q47" s="131"/>
      <c r="R47" s="131"/>
      <c r="S47" s="131"/>
    </row>
    <row customHeight="1" ht="13.5">
      <c r="A48" s="136" t="s">
        <v>35</v>
      </c>
      <c r="B48" s="135">
        <v>1356</v>
      </c>
      <c r="C48" s="135"/>
      <c r="D48" s="135">
        <v>1356</v>
      </c>
      <c r="E48" s="135"/>
      <c r="F48" s="131"/>
      <c r="G48" s="131"/>
      <c r="H48" s="135">
        <v>0</v>
      </c>
      <c r="I48" s="135"/>
      <c r="J48" s="135">
        <v>0</v>
      </c>
      <c r="K48" s="135"/>
      <c r="L48" s="131"/>
      <c r="M48" s="131"/>
      <c r="N48" s="131"/>
      <c r="O48" s="131"/>
      <c r="P48" s="131"/>
      <c r="Q48" s="131"/>
      <c r="R48" s="131"/>
      <c r="S48" s="131"/>
    </row>
    <row customHeight="1" ht="13.5">
      <c r="A49" s="134" t="s">
        <v>36</v>
      </c>
      <c r="B49" s="135">
        <v>88.9</v>
      </c>
      <c r="C49" s="135"/>
      <c r="D49" s="135">
        <v>88.9</v>
      </c>
      <c r="E49" s="135"/>
      <c r="F49" s="131"/>
      <c r="G49" s="131"/>
      <c r="H49" s="135"/>
      <c r="I49" s="135"/>
      <c r="J49" s="135"/>
      <c r="K49" s="135"/>
      <c r="L49" s="131"/>
      <c r="M49" s="131"/>
      <c r="N49" s="131"/>
      <c r="O49" s="131"/>
      <c r="P49" s="131"/>
      <c r="Q49" s="131"/>
      <c r="R49" s="131"/>
      <c r="S49" s="131"/>
    </row>
    <row customHeight="1" ht="13.5">
      <c r="A50" s="134" t="s">
        <v>37</v>
      </c>
      <c r="B50" s="135">
        <v>107</v>
      </c>
      <c r="C50" s="135"/>
      <c r="D50" s="135">
        <v>107</v>
      </c>
      <c r="E50" s="135"/>
      <c r="F50" s="131"/>
      <c r="G50" s="131"/>
      <c r="H50" s="131"/>
      <c r="I50" s="131"/>
      <c r="J50" s="131"/>
      <c r="K50" s="131"/>
      <c r="L50" s="131"/>
      <c r="M50" s="131"/>
      <c r="N50" s="131"/>
      <c r="O50" s="131"/>
      <c r="P50" s="131"/>
      <c r="Q50" s="131"/>
      <c r="R50" s="131"/>
      <c r="S50" s="131"/>
    </row>
    <row customHeight="1" ht="13.5">
      <c r="A51" s="134" t="s">
        <v>38</v>
      </c>
      <c r="B51" s="135">
        <v>84.8</v>
      </c>
      <c r="C51" s="135"/>
      <c r="D51" s="135">
        <v>84.8</v>
      </c>
      <c r="E51" s="135"/>
      <c r="F51" s="131"/>
      <c r="G51" s="131"/>
      <c r="H51" s="131"/>
      <c r="I51" s="131"/>
      <c r="J51" s="131"/>
      <c r="K51" s="131"/>
      <c r="L51" s="131"/>
      <c r="M51" s="131"/>
      <c r="N51" s="131"/>
      <c r="O51" s="131"/>
      <c r="P51" s="131"/>
      <c r="Q51" s="131"/>
      <c r="R51" s="131"/>
      <c r="S51" s="131"/>
    </row>
    <row customHeight="1" ht="13.5">
      <c r="A52" s="134"/>
      <c r="B52" s="135"/>
      <c r="C52" s="135"/>
      <c r="D52" s="135"/>
      <c r="E52" s="135"/>
      <c r="F52" s="131"/>
      <c r="G52" s="131"/>
      <c r="H52" s="131"/>
      <c r="I52" s="131"/>
      <c r="J52" s="131"/>
      <c r="K52" s="131"/>
      <c r="L52" s="131"/>
      <c r="M52" s="131"/>
      <c r="N52" s="131"/>
      <c r="O52" s="131"/>
      <c r="P52" s="131"/>
      <c r="Q52" s="131"/>
      <c r="R52" s="131"/>
      <c r="S52" s="131"/>
    </row>
    <row customHeight="1" ht="13.5">
      <c r="A53" s="134"/>
      <c r="B53" s="135"/>
      <c r="C53" s="135"/>
      <c r="D53" s="135"/>
      <c r="E53" s="135"/>
      <c r="F53" s="131"/>
      <c r="G53" s="131"/>
      <c r="H53" s="131"/>
      <c r="I53" s="131"/>
      <c r="J53" s="131"/>
      <c r="K53" s="131"/>
      <c r="L53" s="131"/>
      <c r="M53" s="131"/>
      <c r="N53" s="131"/>
      <c r="O53" s="131"/>
      <c r="P53" s="131"/>
      <c r="Q53" s="131"/>
      <c r="R53" s="131"/>
      <c r="S53" s="131"/>
    </row>
    <row customHeight="1" ht="13.5">
      <c r="A54" s="134"/>
      <c r="B54" s="135"/>
      <c r="C54" s="135"/>
      <c r="D54" s="135"/>
      <c r="E54" s="135"/>
      <c r="F54" s="131"/>
      <c r="G54" s="131"/>
      <c r="H54" s="131"/>
      <c r="I54" s="131"/>
      <c r="J54" s="131"/>
      <c r="K54" s="131"/>
      <c r="L54" s="131"/>
      <c r="M54" s="131"/>
      <c r="N54" s="131"/>
      <c r="O54" s="131"/>
      <c r="P54" s="131"/>
      <c r="Q54" s="131"/>
      <c r="R54" s="131"/>
      <c r="S54" s="131"/>
    </row>
    <row customHeight="1" ht="13.5">
      <c r="A55" s="134"/>
      <c r="B55" s="135"/>
      <c r="C55" s="135"/>
      <c r="D55" s="135"/>
      <c r="E55" s="135"/>
      <c r="F55" s="131"/>
      <c r="G55" s="131"/>
      <c r="H55" s="131"/>
      <c r="I55" s="131"/>
      <c r="J55" s="131"/>
      <c r="K55" s="131"/>
      <c r="L55" s="131"/>
      <c r="M55" s="131"/>
      <c r="N55" s="131"/>
      <c r="O55" s="131"/>
      <c r="P55" s="131"/>
      <c r="Q55" s="131"/>
      <c r="R55" s="131"/>
      <c r="S55" s="131"/>
    </row>
  </sheetData>
  <mergeCells count="43">
    <mergeCell ref="H48:I48"/>
    <mergeCell ref="J48:K48"/>
    <mergeCell ref="H49:I49"/>
    <mergeCell ref="J49:K49"/>
    <mergeCell ref="N19:N20"/>
    <mergeCell ref="N21:N22"/>
    <mergeCell ref="N23:N27"/>
    <mergeCell ref="N28:N31"/>
    <mergeCell ref="A3:A4"/>
    <mergeCell ref="G3:G4"/>
    <mergeCell ref="H3:H4"/>
    <mergeCell ref="L3:L4"/>
    <mergeCell ref="N16:N18"/>
    <mergeCell ref="A43:A44"/>
    <mergeCell ref="B43:E43"/>
    <mergeCell ref="B44:C44"/>
    <mergeCell ref="D44:E44"/>
    <mergeCell ref="B45:C45"/>
    <mergeCell ref="D45:E45"/>
    <mergeCell ref="B51:C51"/>
    <mergeCell ref="D51:E51"/>
    <mergeCell ref="B46:C46"/>
    <mergeCell ref="D46:E46"/>
    <mergeCell ref="B47:C47"/>
    <mergeCell ref="D47:E47"/>
    <mergeCell ref="B48:C48"/>
    <mergeCell ref="D48:E48"/>
    <mergeCell ref="B55:C55"/>
    <mergeCell ref="D55:E55"/>
    <mergeCell ref="H46:I46"/>
    <mergeCell ref="J46:K46"/>
    <mergeCell ref="H47:I47"/>
    <mergeCell ref="J47:K47"/>
    <mergeCell ref="B52:C52"/>
    <mergeCell ref="D52:E52"/>
    <mergeCell ref="B53:C53"/>
    <mergeCell ref="D53:E53"/>
    <mergeCell ref="B54:C54"/>
    <mergeCell ref="D54:E54"/>
    <mergeCell ref="B49:C49"/>
    <mergeCell ref="D49:E49"/>
    <mergeCell ref="B50:C50"/>
    <mergeCell ref="D50:E50"/>
  </mergeCells>
  <pageMargins left="0.70" right="0.70" top="0.75" bottom="0.75" header="0.30" footer="0.30"/>
  <pageSetup pageOrder="downThenOver" orientation="portrait"/>
  <headerFooter>
    <oddHeader>&amp;L&amp;C&amp;R</oddHeader>
    <oddFooter>&amp;L&amp;C&amp;R</oddFooter>
    <evenHeader>&amp;L&amp;C&amp;R</evenHeader>
    <evenFooter>&amp;L&amp;C&amp;R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全年生产任务情况统计</vt:lpstr>
      <vt:lpstr>取值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dhc</dc:creator>
  <cp:lastModifiedBy>dhc</cp:lastModifiedBy>
  <dcterms:created xsi:type="dcterms:W3CDTF">2006-09-16T00:00:00Z</dcterms:created>
  <dcterms:modified xsi:type="dcterms:W3CDTF">2024-06-17T08:49:41Z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A840854D743747DF82ED827924B4DF9B</vt:lpwstr>
  </property>
  <property fmtid="{D5CDD505-2E9C-101B-9397-08002B2CF9AE}" pid="3" name="KSOProductBuildVer">
    <vt:lpwstr>2052-11.1.0.14309</vt:lpwstr>
  </property>
</Properties>
</file>