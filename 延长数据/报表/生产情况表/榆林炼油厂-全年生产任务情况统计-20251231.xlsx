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榆炼全年生产任务情况统计表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sz val="9"/>
            <color indexed="81"/>
            <rFont val="宋体"/>
            <family val="2"/>
          </rPr>
          <t>#Input("榆炼_全年生产任务情况统计表_500万常压加工量_月计划",":key{{dw}}")</t>
        </r>
      </text>
    </comment>
    <comment ref="H5" authorId="0">
      <text>
        <r>
          <rPr>
            <b/>
            <sz val="9"/>
            <color indexed="81"/>
            <rFont val="宋体"/>
            <family val="2"/>
          </rPr>
          <t>#Input("榆炼_全年生产任务情况统计表_500万常压加工量_年计划",":key{{dw}}")</t>
        </r>
      </text>
    </comment>
    <comment ref="M5" authorId="0">
      <text>
        <r>
          <rPr>
            <b/>
            <sz val="9"/>
            <color indexed="81"/>
            <rFont val="宋体"/>
            <family val="2"/>
          </rPr>
          <t>#Input("榆炼_全年生产任务情况统计表_500万常压加工量_装置收率_年计划",":key{{dw}}")</t>
        </r>
      </text>
    </comment>
    <comment ref="N5" authorId="0">
      <text>
        <r>
          <rPr>
            <b/>
            <sz val="9"/>
            <color indexed="81"/>
            <rFont val="宋体"/>
            <family val="2"/>
          </rPr>
          <t>#Input("榆炼_全年生产任务情况统计表_500万常压加工量_装置收率_月计划",":key{{dw}}")</t>
        </r>
      </text>
    </comment>
    <comment ref="C6" authorId="0">
      <text>
        <r>
          <rPr>
            <b/>
            <sz val="9"/>
            <color indexed="81"/>
            <rFont val="宋体"/>
            <family val="2"/>
          </rPr>
          <t>#Input("榆炼_全年生产任务情况统计表_180万催化加工量_月计划",":key{{dw}}")</t>
        </r>
      </text>
    </comment>
    <comment ref="H6" authorId="0">
      <text>
        <r>
          <rPr>
            <b/>
            <sz val="9"/>
            <color indexed="81"/>
            <rFont val="宋体"/>
            <family val="2"/>
          </rPr>
          <t>#Input("榆炼_全年生产任务情况统计表_180万催化加工量_年计划",":key{{dw}}")</t>
        </r>
      </text>
    </comment>
    <comment ref="M6" authorId="0">
      <text>
        <r>
          <rPr>
            <b/>
            <sz val="9"/>
            <color indexed="81"/>
            <rFont val="宋体"/>
            <family val="2"/>
          </rPr>
          <t>#Input("榆炼_全年生产任务情况统计表_180万催化加工量_装置收率_年计划",":key{{dw}}")</t>
        </r>
      </text>
    </comment>
    <comment ref="N6" authorId="0">
      <text>
        <r>
          <rPr>
            <b/>
            <sz val="9"/>
            <color indexed="81"/>
            <rFont val="宋体"/>
            <family val="2"/>
          </rPr>
          <t>#Input("榆炼_全年生产任务情况统计表_180万催化加工量_装置收率_月计划",":key{{dw}}")</t>
        </r>
      </text>
    </comment>
    <comment ref="C7" authorId="0">
      <text>
        <r>
          <rPr>
            <b/>
            <sz val="9"/>
            <color indexed="81"/>
            <rFont val="宋体"/>
            <family val="2"/>
          </rPr>
          <t>#Input("榆炼_全年生产任务情况统计表_100万连续重整加工量_月计划",":key{{dw}}")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#Input("榆炼_全年生产任务情况统计表_100万连续重整加工量_年计划",":key{{dw}}")</t>
        </r>
      </text>
    </comment>
    <comment ref="M7" authorId="0">
      <text>
        <r>
          <rPr>
            <b/>
            <sz val="9"/>
            <color indexed="81"/>
            <rFont val="宋体"/>
            <family val="2"/>
          </rPr>
          <t>#Input("榆炼_全年生产任务情况统计表_100万连续重整加工量_装置收率_年计划",":key{{dw}}")</t>
        </r>
      </text>
    </comment>
    <comment ref="N7" authorId="0">
      <text>
        <r>
          <rPr>
            <b/>
            <sz val="9"/>
            <color indexed="81"/>
            <rFont val="宋体"/>
            <family val="2"/>
          </rPr>
          <t>#Input("榆炼_全年生产任务情况统计表_100万连续重整加工量_装置收率_月计划",":key{{dw}}")</t>
        </r>
      </text>
    </comment>
    <comment ref="C8" authorId="0">
      <text>
        <r>
          <rPr>
            <b/>
            <sz val="9"/>
            <color indexed="81"/>
            <rFont val="宋体"/>
            <family val="2"/>
          </rPr>
          <t>#Input("榆炼_全年生产任务情况统计表_90万汽油精制加工量_月计划",":key{{dw}}")</t>
        </r>
      </text>
    </comment>
    <comment ref="H8" authorId="0">
      <text>
        <r>
          <rPr>
            <b/>
            <sz val="9"/>
            <color indexed="81"/>
            <rFont val="宋体"/>
            <family val="2"/>
          </rPr>
          <t>#Input("榆炼_全年生产任务情况统计表_90万汽油精制加工量_年计划",":key{{dw}}")</t>
        </r>
      </text>
    </comment>
    <comment ref="M8" authorId="0">
      <text>
        <r>
          <rPr>
            <b/>
            <sz val="9"/>
            <color indexed="81"/>
            <rFont val="宋体"/>
            <family val="2"/>
          </rPr>
          <t>#Input("榆炼_全年生产任务情况统计表_90万汽油精制加工量_装置收率_年计划",":key{{dw}}")</t>
        </r>
      </text>
    </comment>
    <comment ref="N8" authorId="0">
      <text>
        <r>
          <rPr>
            <b/>
            <sz val="9"/>
            <color indexed="81"/>
            <rFont val="宋体"/>
            <family val="2"/>
          </rPr>
          <t>#Input("榆炼_全年生产任务情况统计表_90万汽油精制加工量_装置收率_月计划",":key{{dw}}")</t>
        </r>
      </text>
    </comment>
    <comment ref="C9" authorId="0">
      <text>
        <r>
          <rPr>
            <b/>
            <sz val="9"/>
            <color indexed="81"/>
            <rFont val="宋体"/>
            <family val="2"/>
          </rPr>
          <t>#Input("榆炼_全年生产任务情况统计表_200万柴油精制加工量_月计划",":key{{dw}}")</t>
        </r>
      </text>
    </comment>
    <comment ref="H9" authorId="0">
      <text>
        <r>
          <rPr>
            <b/>
            <sz val="9"/>
            <color indexed="81"/>
            <rFont val="宋体"/>
            <family val="2"/>
          </rPr>
          <t>#Input("榆炼_全年生产任务情况统计表_200万柴油精制加工量_年计划",":key{{dw}}")</t>
        </r>
      </text>
    </comment>
    <comment ref="M9" authorId="0">
      <text>
        <r>
          <rPr>
            <b/>
            <sz val="9"/>
            <color indexed="81"/>
            <rFont val="宋体"/>
            <family val="2"/>
          </rPr>
          <t>#Input("榆炼_全年生产任务情况统计表_200万柴油精制加工量_装置收率_年计划",":key{{dw}}")</t>
        </r>
      </text>
    </comment>
    <comment ref="N9" authorId="0">
      <text>
        <r>
          <rPr>
            <b/>
            <sz val="9"/>
            <color indexed="81"/>
            <rFont val="宋体"/>
            <family val="2"/>
          </rPr>
          <t>#Input("榆炼_全年生产任务情况统计表_200万柴油精制加工量_装置收率_月计划",":key{{dw}}")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#Input("榆炼_全年生产任务情况统计表_20万DCC石脑油加工量_月计划",":key{{dw}}")</t>
        </r>
      </text>
    </comment>
    <comment ref="H10" authorId="0">
      <text>
        <r>
          <rPr>
            <b/>
            <sz val="9"/>
            <color indexed="81"/>
            <rFont val="宋体"/>
            <family val="2"/>
          </rPr>
          <t>#Input("榆炼_全年生产任务情况统计表_20万DCC石脑油加工量_年计划",":key{{dw}}")</t>
        </r>
      </text>
    </comment>
    <comment ref="M10" authorId="0">
      <text>
        <r>
          <rPr>
            <b/>
            <sz val="9"/>
            <color indexed="81"/>
            <rFont val="宋体"/>
            <family val="2"/>
          </rPr>
          <t>#Input("榆炼_全年生产任务情况统计表_20万DCC石脑油加工量_装置收率_年计划",":key{{dw}}")</t>
        </r>
      </text>
    </comment>
    <comment ref="N10" authorId="0">
      <text>
        <r>
          <rPr>
            <b/>
            <sz val="9"/>
            <color indexed="81"/>
            <rFont val="宋体"/>
            <family val="2"/>
          </rPr>
          <t>#Input("榆炼_全年生产任务情况统计表_20万DCC石脑油加工量_装置收率_月计划",":key{{dw}}")</t>
        </r>
      </text>
    </comment>
    <comment ref="C11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#Input("榆炼_全年生产任务情况统计表_进口原油加工量_月计划",":key{{dw}}")</t>
        </r>
      </text>
    </comment>
    <comment ref="H11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#Input("榆炼_全年生产任务情况统计表_进口原油加工量_年计划",":key{{dw}}")</t>
        </r>
      </text>
    </comment>
    <comment ref="M11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#Input("榆炼_全年生产任务情况统计表_进口原油加工量_装置收率_年计划",":key{{dw}}")</t>
        </r>
      </text>
    </comment>
    <comment ref="N11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#Input("榆炼_全年生产任务情况统计表_进口原油加工量_装置收率_月计划",":key{{dw}}")</t>
        </r>
      </text>
    </comment>
    <comment ref="C12" authorId="0">
      <text>
        <r>
          <rPr>
            <b/>
            <sz val="9"/>
            <color indexed="81"/>
            <rFont val="宋体"/>
            <family val="2"/>
          </rPr>
          <t>#Input("榆炼_全年生产任务情况统计表_航煤产量_月计划",":key{{dw}}")</t>
        </r>
      </text>
    </comment>
    <comment ref="H12" authorId="0">
      <text>
        <r>
          <rPr>
            <b/>
            <sz val="9"/>
            <color indexed="81"/>
            <rFont val="宋体"/>
            <family val="2"/>
          </rPr>
          <t>#Input("榆炼_全年生产任务情况统计表_航煤产量_年计划",":key{{dw}}")</t>
        </r>
      </text>
    </comment>
    <comment ref="C13" authorId="0">
      <text>
        <r>
          <rPr>
            <b/>
            <sz val="9"/>
            <color indexed="81"/>
            <rFont val="宋体"/>
            <family val="2"/>
          </rPr>
          <t>#Input("榆炼_全年生产任务情况统计表_液化气产量_月计划",":key{{dw}}")</t>
        </r>
      </text>
    </comment>
    <comment ref="H13" authorId="0">
      <text>
        <r>
          <rPr>
            <b/>
            <sz val="9"/>
            <color indexed="81"/>
            <rFont val="宋体"/>
            <family val="2"/>
          </rPr>
          <t>#Input("榆炼_全年生产任务情况统计表_液化气产量_年计划",":key{{dw}}")</t>
        </r>
      </text>
    </comment>
    <comment ref="C14" authorId="0">
      <text>
        <r>
          <rPr>
            <b/>
            <sz val="9"/>
            <color indexed="81"/>
            <rFont val="宋体"/>
            <family val="2"/>
          </rPr>
          <t>#Input("榆炼_全年生产任务情况统计表_苯产量_月计划",":key{{dw}}")</t>
        </r>
      </text>
    </comment>
    <comment ref="H14" authorId="0">
      <text>
        <r>
          <rPr>
            <b/>
            <sz val="9"/>
            <color indexed="81"/>
            <rFont val="宋体"/>
            <family val="2"/>
          </rPr>
          <t>#Input("榆炼_全年生产任务情况统计表_苯产量_年计划",":key{{dw}}")</t>
        </r>
      </text>
    </comment>
    <comment ref="C15" authorId="0">
      <text>
        <r>
          <rPr>
            <b/>
            <sz val="9"/>
            <color indexed="81"/>
            <rFont val="宋体"/>
            <family val="2"/>
          </rPr>
          <t>#Input("榆炼_全年生产任务情况统计表_混合二甲苯产量_月计划",":key{{dw}}")</t>
        </r>
      </text>
    </comment>
    <comment ref="H15" authorId="0">
      <text>
        <r>
          <rPr>
            <b/>
            <sz val="9"/>
            <color indexed="81"/>
            <rFont val="宋体"/>
            <family val="2"/>
          </rPr>
          <t>#Input("榆炼_全年生产任务情况统计表_混合二甲苯产量_年计划",":key{{dw}}")</t>
        </r>
      </text>
    </comment>
    <comment ref="C16" authorId="0">
      <text>
        <r>
          <rPr>
            <b/>
            <sz val="9"/>
            <color indexed="81"/>
            <rFont val="宋体"/>
            <family val="2"/>
          </rPr>
          <t>#Input("榆炼_全年生产任务情况统计表_2#渣油产量_月计划",":key{{dw}}")</t>
        </r>
      </text>
    </comment>
    <comment ref="H16" authorId="0">
      <text>
        <r>
          <rPr>
            <b/>
            <sz val="9"/>
            <color indexed="81"/>
            <rFont val="宋体"/>
            <family val="2"/>
          </rPr>
          <t>#Input("榆炼_全年生产任务情况统计表_2#渣油产量_年计划",":key{{dw}}")</t>
        </r>
      </text>
    </comment>
    <comment ref="C17" authorId="0">
      <text>
        <r>
          <rPr>
            <b/>
            <sz val="9"/>
            <color indexed="81"/>
            <rFont val="宋体"/>
            <family val="2"/>
          </rPr>
          <t>#Input("榆炼_全年生产任务情况统计表_92#汽油产量_月计划",":key{{dw}}")</t>
        </r>
      </text>
    </comment>
    <comment ref="H17" authorId="0">
      <text>
        <r>
          <rPr>
            <b/>
            <sz val="9"/>
            <color indexed="81"/>
            <rFont val="宋体"/>
            <family val="2"/>
          </rPr>
          <t>#Input("榆炼_全年生产任务情况统计表_92#汽油产量_年计划",":key{{dw}}")</t>
        </r>
      </text>
    </comment>
    <comment ref="C18" authorId="0">
      <text>
        <r>
          <rPr>
            <b/>
            <sz val="9"/>
            <color indexed="81"/>
            <rFont val="宋体"/>
            <family val="2"/>
          </rPr>
          <t>#Input("榆炼_全年生产任务情况统计表_92#汽油销售量_月计划",":key{{dw}}")</t>
        </r>
      </text>
    </comment>
    <comment ref="H18" authorId="0">
      <text>
        <r>
          <rPr>
            <b/>
            <sz val="9"/>
            <color indexed="81"/>
            <rFont val="宋体"/>
            <family val="2"/>
          </rPr>
          <t>#Input("榆炼_全年生产任务情况统计表_92#汽油销售量_年计划",":key{{dw}}")</t>
        </r>
      </text>
    </comment>
    <comment ref="C19" authorId="0">
      <text>
        <r>
          <rPr>
            <b/>
            <sz val="9"/>
            <color indexed="81"/>
            <rFont val="宋体"/>
            <family val="2"/>
          </rPr>
          <t>#Input("榆炼_全年生产任务情况统计表_95#汽油产量_月计划",":key{{dw}}")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#Input("榆炼_全年生产任务情况统计表_95#汽油产量_年计划",":key{{dw}}")</t>
        </r>
      </text>
    </comment>
    <comment ref="C20" authorId="0">
      <text>
        <r>
          <rPr>
            <b/>
            <sz val="9"/>
            <color indexed="81"/>
            <rFont val="宋体"/>
            <family val="2"/>
          </rPr>
          <t>#Input("榆炼_全年生产任务情况统计表_95#汽油销售量_月计划",":key{{dw}}")</t>
        </r>
      </text>
    </comment>
    <comment ref="H20" authorId="0">
      <text>
        <r>
          <rPr>
            <b/>
            <sz val="9"/>
            <color indexed="81"/>
            <rFont val="宋体"/>
            <family val="2"/>
          </rPr>
          <t>#Input("榆炼_全年生产任务情况统计表_95#汽油销售量_年计划",":key{{dw}}")</t>
        </r>
      </text>
    </comment>
    <comment ref="C21" authorId="0">
      <text>
        <r>
          <rPr>
            <b/>
            <sz val="9"/>
            <color indexed="81"/>
            <rFont val="宋体"/>
            <family val="2"/>
          </rPr>
          <t>#Input("榆炼_全年生产任务情况统计表_汽油总产量_月计划",":key{{dw}}")</t>
        </r>
      </text>
    </comment>
    <comment ref="H21" authorId="0">
      <text>
        <r>
          <rPr>
            <b/>
            <sz val="9"/>
            <color indexed="81"/>
            <rFont val="宋体"/>
            <family val="2"/>
          </rPr>
          <t>#Input("榆炼_全年生产任务情况统计表_汽油总产量_年计划",":key{{dw}}")</t>
        </r>
      </text>
    </comment>
    <comment ref="C22" authorId="0">
      <text>
        <r>
          <rPr>
            <b/>
            <sz val="9"/>
            <color indexed="81"/>
            <rFont val="宋体"/>
            <family val="2"/>
          </rPr>
          <t>#Input("榆炼_全年生产任务情况统计表_汽油总销售量_月计划",":key{{dw}}")</t>
        </r>
      </text>
    </comment>
    <comment ref="H22" authorId="0">
      <text>
        <r>
          <rPr>
            <b/>
            <sz val="9"/>
            <color indexed="81"/>
            <rFont val="宋体"/>
            <family val="2"/>
          </rPr>
          <t>#Input("榆炼_全年生产任务情况统计表_汽油总销售量_年计划",":key{{dw}}")</t>
        </r>
      </text>
    </comment>
    <comment ref="C23" authorId="0">
      <text>
        <r>
          <rPr>
            <b/>
            <sz val="9"/>
            <color indexed="81"/>
            <rFont val="宋体"/>
            <family val="2"/>
          </rPr>
          <t>#Input("榆炼_全年生产任务情况统计表_0#柴油产量_月计划",":key{{dw}}")</t>
        </r>
      </text>
    </comment>
    <comment ref="H23" authorId="0">
      <text>
        <r>
          <rPr>
            <b/>
            <sz val="9"/>
            <color indexed="81"/>
            <rFont val="宋体"/>
            <family val="2"/>
          </rPr>
          <t>#Input("榆炼_全年生产任务情况统计表_0#柴油产量_年计划",":key{{dw}}")</t>
        </r>
      </text>
    </comment>
    <comment ref="O23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#Input("榆炼_全年生产任务情况统计表_进口原油收购量_本日",":key{{dw}}")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#Input("榆炼_全年生产任务情况统计表_进口原油收购量_月累计",":key{{dw}}")</t>
        </r>
      </text>
    </comment>
    <comment ref="Q23" authorId="0">
      <text>
        <r>
          <rPr>
            <b/>
            <sz val="9"/>
            <color indexed="81"/>
            <rFont val="宋体"/>
            <family val="2"/>
          </rPr>
          <t>#Input("榆炼_全年生产任务情况统计表_进口原油收购量_年累计",":key{{dw}}")</t>
        </r>
      </text>
    </comment>
    <comment ref="C24" authorId="0">
      <text>
        <r>
          <rPr>
            <b/>
            <sz val="9"/>
            <color indexed="81"/>
            <rFont val="宋体"/>
            <family val="2"/>
          </rPr>
          <t>#Input("榆炼_全年生产任务情况统计表_0#柴油销售量_月计划",":key{{dw}}")</t>
        </r>
      </text>
    </comment>
    <comment ref="H24" authorId="0">
      <text>
        <r>
          <rPr>
            <b/>
            <sz val="9"/>
            <color indexed="81"/>
            <rFont val="宋体"/>
            <family val="2"/>
          </rPr>
          <t>#Input("榆炼_全年生产任务情况统计表_0#柴油销售量_年计划",":key{{dw}}")</t>
        </r>
      </text>
    </comment>
    <comment ref="C25" authorId="0">
      <text>
        <r>
          <rPr>
            <b/>
            <sz val="9"/>
            <color indexed="81"/>
            <rFont val="宋体"/>
            <family val="2"/>
          </rPr>
          <t>#Input("榆炼_全年生产任务情况统计表_备注",":key{{dw}}")</t>
        </r>
      </text>
    </comment>
    <comment ref="C26" authorId="0">
      <text>
        <r>
          <rPr>
            <b/>
            <sz val="9"/>
            <color indexed="81"/>
            <rFont val="宋体"/>
            <family val="2"/>
          </rPr>
          <t>#Input("榆炼_全年生产任务情况统计表_单位负责人",":key{{dw}}")</t>
        </r>
      </text>
    </comment>
    <comment ref="H26" authorId="0">
      <text>
        <r>
          <rPr>
            <b/>
            <sz val="9"/>
            <color indexed="81"/>
            <rFont val="宋体"/>
            <family val="2"/>
          </rPr>
          <t>#Input("榆炼_全年生产任务情况统计表_统计负责人",":key{{dw}}")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#Input("榆炼_全年生产任务情况统计表_填报人",":key{{dw}}")</t>
        </r>
      </text>
    </comment>
  </commentList>
</comments>
</file>

<file path=xl/sharedStrings.xml><?xml version="1.0" encoding="utf-8"?>
<sst xmlns="http://schemas.openxmlformats.org/spreadsheetml/2006/main" count="129" uniqueCount="70">
  <si>
    <t>全年生产任务情况统计</t>
  </si>
  <si>
    <t>编制单位：生产计划部</t>
  </si>
  <si>
    <t>日期：</t>
  </si>
  <si>
    <t>2025-12-31</t>
  </si>
  <si>
    <t>项目</t>
  </si>
  <si>
    <t>月计划</t>
  </si>
  <si>
    <t>本日</t>
  </si>
  <si>
    <t>本月</t>
  </si>
  <si>
    <t>至本月底</t>
  </si>
  <si>
    <t>年计划 （万吨）</t>
  </si>
  <si>
    <t>全年累计 加工量 （万吨）</t>
  </si>
  <si>
    <t>全年剩余 加工量 （万吨）</t>
  </si>
  <si>
    <t>至12月底 日处理量 （吨）</t>
  </si>
  <si>
    <t>完成全年任 务的（%）</t>
  </si>
  <si>
    <t>装置收率</t>
  </si>
  <si>
    <t>（万吨）</t>
  </si>
  <si>
    <t>（吨）</t>
  </si>
  <si>
    <t>累计生产 （万吨）</t>
  </si>
  <si>
    <t>剩余加工量(万吨)</t>
  </si>
  <si>
    <t>日处理量 (吨)</t>
  </si>
  <si>
    <t>年计划</t>
  </si>
  <si>
    <t>本年</t>
  </si>
  <si>
    <t>本月（+-）</t>
  </si>
  <si>
    <t>500万常压加工量</t>
  </si>
  <si>
    <t>180万催化加工量</t>
  </si>
  <si>
    <t>100万连续重整加工量</t>
  </si>
  <si>
    <t>90万汽油精制加工量</t>
  </si>
  <si>
    <t>200万柴油精制加工量</t>
  </si>
  <si>
    <t>20万DCC石脑油加工量</t>
  </si>
  <si>
    <t>进口原油加工量</t>
  </si>
  <si>
    <t>航煤产量</t>
  </si>
  <si>
    <t>液化气产量</t>
  </si>
  <si>
    <t>苯产量</t>
  </si>
  <si>
    <t>混合二甲苯产量</t>
  </si>
  <si>
    <t>2#渣油产量</t>
  </si>
  <si>
    <t>92#汽油产量</t>
  </si>
  <si>
    <t>92#汽油销售量（公路+铁路）</t>
  </si>
  <si>
    <r>
      <t>95#汽油</t>
    </r>
    <r>
      <rPr>
        <charset val="134"/>
        <color rgb="FFFF0000"/>
        <family val="3"/>
        <rFont val="等线"/>
        <sz val="11"/>
      </rPr>
      <t>产量</t>
    </r>
  </si>
  <si>
    <t>95#汽油销售量</t>
  </si>
  <si>
    <r>
      <t>汽油总</t>
    </r>
    <r>
      <rPr>
        <charset val="134"/>
        <color rgb="FFFF0000"/>
        <family val="3"/>
        <rFont val="等线"/>
        <sz val="11"/>
      </rPr>
      <t>产量</t>
    </r>
  </si>
  <si>
    <t>汽油总销售量（公路+铁路）</t>
  </si>
  <si>
    <t>项目名称</t>
  </si>
  <si>
    <t>单位</t>
  </si>
  <si>
    <t>月累计</t>
  </si>
  <si>
    <t>年累计</t>
  </si>
  <si>
    <r>
      <t>0#柴油</t>
    </r>
    <r>
      <rPr>
        <charset val="134"/>
        <color rgb="FFFF0000"/>
        <family val="3"/>
        <rFont val="等线"/>
        <sz val="11"/>
      </rPr>
      <t>产量</t>
    </r>
  </si>
  <si>
    <t>进口原油收购量</t>
  </si>
  <si>
    <t>吨</t>
  </si>
  <si>
    <t>0#柴油销售量（公路+铁路）</t>
  </si>
  <si>
    <t>备注</t>
  </si>
  <si>
    <t>单位负责人：</t>
  </si>
  <si>
    <t>统计负责人：</t>
  </si>
  <si>
    <t>填报人：</t>
  </si>
  <si>
    <t>报表生成时间：</t>
  </si>
  <si>
    <t>2026-01-01</t>
  </si>
  <si>
    <t xml:space="preserve"> 8:00:00</t>
  </si>
  <si>
    <t>当日-本月</t>
  </si>
  <si>
    <t>当月-本年</t>
  </si>
  <si>
    <t>日</t>
  </si>
  <si>
    <t>月</t>
  </si>
  <si>
    <t>年</t>
  </si>
  <si>
    <t>项？？？？目</t>
  </si>
  <si>
    <t>剩余加工量 ？(万吨)</t>
  </si>
  <si>
    <t>本月 +？-？？？？</t>
  </si>
  <si>
    <r>
      <t>5</t>
    </r>
    <r>
      <rPr>
        <charset val="134"/>
        <color theme="1"/>
        <family val="3"/>
        <rFont val="Calibri"/>
        <scheme val="minor"/>
        <sz val="11"/>
      </rPr>
      <t>00W</t>
    </r>
  </si>
  <si>
    <t>180W</t>
  </si>
  <si>
    <t>100W</t>
  </si>
  <si>
    <r>
      <t>9</t>
    </r>
    <r>
      <rPr>
        <charset val="134"/>
        <color theme="1"/>
        <family val="3"/>
        <rFont val="Calibri"/>
        <scheme val="minor"/>
        <sz val="11"/>
      </rPr>
      <t>0W</t>
    </r>
  </si>
  <si>
    <r>
      <t>2</t>
    </r>
    <r>
      <rPr>
        <charset val="134"/>
        <color theme="1"/>
        <family val="3"/>
        <rFont val="Calibri"/>
        <scheme val="minor"/>
        <sz val="11"/>
      </rPr>
      <t>00W</t>
    </r>
  </si>
  <si>
    <r>
      <t>2</t>
    </r>
    <r>
      <rPr>
        <charset val="134"/>
        <color theme="1"/>
        <family val="3"/>
        <rFont val="Calibri"/>
        <scheme val="minor"/>
        <sz val="11"/>
      </rPr>
      <t>0W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</si>
</sst>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.000_ "/>
    <numFmt numFmtId="172" formatCode="0.00_ "/>
    <numFmt numFmtId="173" formatCode="0_ "/>
  </numFmts>
  <fonts count="25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等线"/>
    </font>
    <font>
      <sz val="11"/>
      <color theme="1"/>
      <name val="等线"/>
    </font>
    <font>
      <sz val="11"/>
      <color rgb="FF000000"/>
      <name val="等线"/>
    </font>
    <font>
      <sz val="11"/>
      <color rgb="FFFF0000"/>
      <name val="等线"/>
    </font>
    <font>
      <b/>
      <sz val="11"/>
      <color rgb="FF000000"/>
      <name val="等线"/>
    </font>
    <font>
      <sz val="11"/>
      <color rgb="FF006100"/>
      <name val="等线"/>
    </font>
    <font>
      <b/>
      <sz val="18"/>
      <color theme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E3EFDA"/>
      </patternFill>
    </fill>
    <fill>
      <patternFill patternType="solid">
        <fgColor rgb="FFFFFFFF"/>
      </patternFill>
    </fill>
    <fill>
      <patternFill patternType="solid">
        <fgColor theme="0"/>
      </patternFill>
    </fill>
  </fills>
  <borders count="21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47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192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10" xfId="0" applyFont="1" applyBorder="1">
      <alignment horizontal="center" vertical="center" wrapText="1"/>
    </xf>
    <xf numFmtId="0" fontId="19" fillId="0" borderId="11" xfId="0" applyFont="1" applyBorder="1">
      <alignment horizontal="left" vertical="center" wrapText="1"/>
    </xf>
    <xf numFmtId="0" fontId="19" fillId="33" borderId="10" xfId="0" applyFont="1" applyFill="1" applyBorder="1">
      <alignment horizontal="center" vertical="center" wrapText="1"/>
    </xf>
    <xf numFmtId="0" fontId="19" fillId="34" borderId="10" xfId="0" applyFont="1" applyFill="1" applyBorder="1">
      <alignment horizontal="center" vertical="center" wrapText="1"/>
    </xf>
    <xf numFmtId="0" fontId="20" fillId="33" borderId="10" xfId="0" applyFont="1" applyFill="1" applyBorder="1">
      <alignment horizontal="center" vertical="center" wrapText="1"/>
    </xf>
    <xf numFmtId="0" fontId="21" fillId="0" borderId="11" xfId="0" applyFont="1" applyBorder="1">
      <alignment horizontal="left" vertical="center" wrapText="1"/>
    </xf>
    <xf numFmtId="0" fontId="19" fillId="34" borderId="10" xfId="0" applyFont="1" applyFill="1" applyBorder="1">
      <alignment vertical="center" wrapText="1"/>
    </xf>
    <xf numFmtId="0" fontId="22" fillId="0" borderId="12" xfId="0" applyFont="1" applyBorder="1">
      <alignment horizontal="center" vertical="center" wrapText="1"/>
    </xf>
    <xf numFmtId="0" fontId="23" fillId="29" borderId="12" xfId="0" applyFont="1" applyFill="1" applyBorder="1">
      <alignment horizontal="center" vertical="center" wrapText="1"/>
    </xf>
    <xf numFmtId="0" fontId="23" fillId="29" borderId="13" xfId="0" applyFont="1" applyFill="1" applyBorder="1">
      <alignment horizontal="center" vertical="center" wrapText="1"/>
    </xf>
    <xf numFmtId="0" fontId="19" fillId="34" borderId="12" xfId="0" applyFont="1" applyFill="1" applyBorder="1">
      <alignment vertical="center" wrapText="1"/>
    </xf>
    <xf numFmtId="0" fontId="19" fillId="34" borderId="12" xfId="0" applyFont="1" applyFill="1" applyBorder="1">
      <alignment horizontal="center" vertical="center" wrapText="1"/>
    </xf>
    <xf numFmtId="0" fontId="19" fillId="33" borderId="12" xfId="0" applyFont="1" applyFill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0" fillId="0" borderId="0" xfId="0" applyFont="1"/>
    <xf numFmtId="20" fontId="0" fillId="0" borderId="0" xfId="0" applyFont="1" applyNumberFormat="1"/>
    <xf numFmtId="0" fontId="0" fillId="0" borderId="0" xfId="0" applyFont="1"/>
    <xf numFmtId="0" fontId="16" fillId="0" borderId="0" xfId="0" applyFont="1">
      <alignment horizontal="center"/>
    </xf>
    <xf numFmtId="0" fontId="20" fillId="0" borderId="0" xfId="0" applyFont="1">
      <alignment horizontal="left" vertical="center" wrapText="1"/>
    </xf>
    <xf numFmtId="0" fontId="20" fillId="0" borderId="0" xfId="0" applyFont="1">
      <alignment horizontal="right" vertical="center" wrapText="1"/>
    </xf>
    <xf numFmtId="0" fontId="20" fillId="0" borderId="0" xfId="0" applyFon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18" fillId="0" borderId="11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4" fillId="0" borderId="0" xfId="0" applyFont="1">
      <alignment horizontal="center" vertical="center" wrapText="1"/>
    </xf>
    <xf numFmtId="14" fontId="20" fillId="0" borderId="0" xfId="0" applyFont="1" applyNumberFormat="1">
      <alignment horizontal="left" vertical="center" wrapText="1"/>
    </xf>
    <xf numFmtId="0" fontId="20" fillId="0" borderId="0" xfId="0" applyFont="1">
      <alignment horizontal="center" vertical="center" wrapText="1"/>
    </xf>
    <xf numFmtId="0" fontId="0" fillId="0" borderId="0" xfId="0" applyFont="1">
      <alignment horizontal="center" vertical="center"/>
    </xf>
    <xf numFmtId="0" fontId="19" fillId="33" borderId="14" xfId="0" applyFont="1" applyFill="1" applyBorder="1">
      <alignment horizontal="center" vertical="center" wrapText="1"/>
    </xf>
    <xf numFmtId="0" fontId="0" fillId="4" borderId="0" xfId="0" applyFont="1" applyFill="1">
      <alignment horizontal="left" vertical="center"/>
    </xf>
    <xf numFmtId="0" fontId="20" fillId="0" borderId="0" xfId="0" applyFont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19" fillId="33" borderId="10" xfId="0" applyFont="1" applyFill="1" applyBorder="1">
      <alignment horizontal="center" vertical="center" wrapText="1"/>
    </xf>
    <xf numFmtId="0" fontId="19" fillId="34" borderId="10" xfId="0" applyFont="1" applyFill="1" applyBorder="1">
      <alignment horizontal="center" vertical="center" wrapText="1"/>
    </xf>
    <xf numFmtId="171" fontId="19" fillId="34" borderId="10" xfId="0" applyFont="1" applyFill="1" applyBorder="1" applyNumberFormat="1">
      <alignment horizontal="center" vertical="center" wrapText="1"/>
    </xf>
    <xf numFmtId="171" fontId="19" fillId="0" borderId="10" xfId="0" applyFont="1" applyBorder="1" applyNumberFormat="1">
      <alignment horizontal="center" vertical="center" wrapText="1"/>
    </xf>
    <xf numFmtId="172" fontId="19" fillId="34" borderId="10" xfId="0" applyFont="1" applyFill="1" applyBorder="1" applyNumberFormat="1">
      <alignment horizontal="center" vertical="center" wrapText="1"/>
    </xf>
    <xf numFmtId="0" fontId="20" fillId="33" borderId="10" xfId="0" applyFont="1" applyFill="1" applyBorder="1">
      <alignment horizontal="center" vertical="center" wrapText="1"/>
    </xf>
    <xf numFmtId="172" fontId="19" fillId="0" borderId="10" xfId="0" applyFont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34" borderId="10" xfId="0" applyFont="1" applyFill="1" applyBorder="1">
      <alignment vertical="center" wrapText="1"/>
    </xf>
    <xf numFmtId="0" fontId="19" fillId="35" borderId="10" xfId="0" applyFont="1" applyFill="1" applyBorder="1">
      <alignment horizontal="center" vertical="center" wrapText="1"/>
    </xf>
    <xf numFmtId="0" fontId="19" fillId="35" borderId="10" xfId="0" applyFont="1" applyFill="1" applyBorder="1">
      <alignment horizontal="center" vertical="center" wrapText="1"/>
    </xf>
    <xf numFmtId="173" fontId="19" fillId="33" borderId="10" xfId="0" applyFont="1" applyFill="1" applyBorder="1" applyNumberFormat="1">
      <alignment horizontal="center" vertical="center" wrapText="1"/>
    </xf>
    <xf numFmtId="0" fontId="18" fillId="0" borderId="15" xfId="0" applyFont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7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0" fontId="19" fillId="0" borderId="11" xfId="0" applyFont="1" applyBorder="1">
      <alignment horizontal="left" vertical="center" wrapText="1"/>
    </xf>
    <xf numFmtId="172" fontId="23" fillId="29" borderId="12" xfId="0" applyFont="1" applyFill="1" applyBorder="1" applyNumberFormat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19" fillId="34" borderId="12" xfId="0" applyFont="1" applyFill="1" applyBorder="1">
      <alignment vertical="center" wrapText="1"/>
    </xf>
    <xf numFmtId="0" fontId="19" fillId="34" borderId="12" xfId="0" applyFont="1" applyFill="1" applyBorder="1">
      <alignment horizontal="center" vertical="center" wrapText="1"/>
    </xf>
    <xf numFmtId="0" fontId="19" fillId="35" borderId="12" xfId="0" applyFont="1" applyFill="1" applyBorder="1">
      <alignment horizontal="center" vertical="center" wrapText="1"/>
    </xf>
    <xf numFmtId="0" fontId="19" fillId="33" borderId="12" xfId="0" applyFont="1" applyFill="1" applyBorder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19" fillId="4" borderId="19" xfId="0" applyFont="1" applyFill="1" applyBorder="1">
      <alignment horizontal="center" vertical="center" wrapText="1"/>
    </xf>
    <xf numFmtId="0" fontId="19" fillId="4" borderId="20" xfId="0" applyFont="1" applyFill="1" applyBorder="1">
      <alignment horizontal="center" vertical="center" wrapText="1"/>
    </xf>
    <xf numFmtId="0" fontId="19" fillId="0" borderId="0" xfId="0" applyFont="1">
      <alignment horizontal="right" vertical="center" wrapText="1"/>
    </xf>
    <xf numFmtId="0" fontId="0" fillId="0" borderId="0" xfId="0" applyFont="1">
      <alignment vertical="center" wrapText="1"/>
    </xf>
    <xf numFmtId="0" fontId="24" fillId="0" borderId="0" xfId="0" applyFont="1">
      <alignment horizontal="center" vertical="center" wrapText="1"/>
    </xf>
    <xf numFmtId="0" fontId="20" fillId="0" borderId="0" xfId="0" applyFont="1">
      <alignment horizontal="center" vertical="center" wrapText="1"/>
    </xf>
    <xf numFmtId="0" fontId="20" fillId="0" borderId="0" xfId="0" applyFont="1">
      <alignment horizontal="left" vertical="center" wrapText="1"/>
    </xf>
    <xf numFmtId="0" fontId="20" fillId="0" borderId="0" xfId="0" applyFont="1">
      <alignment horizontal="right" vertical="center" wrapText="1"/>
    </xf>
    <xf numFmtId="14" fontId="20" fillId="0" borderId="0" xfId="0" applyFont="1" applyNumberFormat="1">
      <alignment horizontal="left" vertical="center" wrapText="1"/>
    </xf>
    <xf numFmtId="0" fontId="20" fillId="0" borderId="0" xfId="0" applyFont="1">
      <alignment horizontal="center" vertical="center" wrapText="1"/>
    </xf>
    <xf numFmtId="0" fontId="20" fillId="0" borderId="0" xfId="0" applyFont="1">
      <alignment horizontal="center" vertical="center" wrapText="1"/>
    </xf>
    <xf numFmtId="0" fontId="18" fillId="0" borderId="15" xfId="0" applyFont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6" xfId="0" applyFont="1" applyBorder="1">
      <alignment horizontal="center" vertical="center" wrapText="1"/>
    </xf>
    <xf numFmtId="0" fontId="22" fillId="0" borderId="17" xfId="0" applyFont="1" applyBorder="1">
      <alignment horizontal="center" vertical="center" wrapText="1"/>
    </xf>
    <xf numFmtId="0" fontId="18" fillId="0" borderId="11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0" fontId="19" fillId="0" borderId="11" xfId="0" applyFont="1" applyBorder="1">
      <alignment horizontal="left" vertical="center" wrapText="1"/>
    </xf>
    <xf numFmtId="0" fontId="19" fillId="33" borderId="10" xfId="0" applyFont="1" applyFill="1" applyBorder="1">
      <alignment horizontal="center" vertical="center" wrapText="1"/>
      <protection locked="0"/>
    </xf>
    <xf numFmtId="0" fontId="19" fillId="34" borderId="10" xfId="0" applyFont="1" applyFill="1" applyBorder="1">
      <alignment horizontal="center" vertical="center" wrapText="1"/>
    </xf>
    <xf numFmtId="171" fontId="19" fillId="34" borderId="10" xfId="0" applyFont="1" applyFill="1" applyBorder="1" applyNumberFormat="1">
      <alignment horizontal="center" vertical="center" wrapText="1"/>
    </xf>
    <xf numFmtId="171" fontId="19" fillId="0" borderId="10" xfId="0" applyFont="1" applyBorder="1" applyNumberFormat="1">
      <alignment horizontal="center" vertical="center" wrapText="1"/>
    </xf>
    <xf numFmtId="172" fontId="19" fillId="34" borderId="10" xfId="0" applyFont="1" applyFill="1" applyBorder="1" applyNumberFormat="1">
      <alignment horizontal="center" vertical="center" wrapText="1"/>
    </xf>
    <xf numFmtId="0" fontId="20" fillId="33" borderId="10" xfId="0" applyFont="1" applyFill="1" applyBorder="1">
      <alignment horizontal="center" vertical="center" wrapText="1"/>
      <protection locked="0"/>
    </xf>
    <xf numFmtId="172" fontId="23" fillId="29" borderId="12" xfId="0" applyFont="1" applyFill="1" applyBorder="1" applyNumberFormat="1">
      <alignment horizontal="center" vertical="center" wrapText="1"/>
    </xf>
    <xf numFmtId="172" fontId="19" fillId="0" borderId="10" xfId="0" applyFont="1" applyBorder="1" applyNumberFormat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19" fillId="0" borderId="12" xfId="0" applyFont="1" applyBorder="1">
      <alignment horizontal="center" vertical="center" wrapText="1"/>
    </xf>
    <xf numFmtId="0" fontId="19" fillId="34" borderId="10" xfId="0" applyFont="1" applyFill="1" applyBorder="1">
      <alignment vertical="center" wrapText="1"/>
    </xf>
    <xf numFmtId="0" fontId="19" fillId="34" borderId="12" xfId="0" applyFont="1" applyFill="1" applyBorder="1">
      <alignment vertical="center" wrapText="1"/>
    </xf>
    <xf numFmtId="0" fontId="19" fillId="34" borderId="12" xfId="0" applyFont="1" applyFill="1" applyBorder="1">
      <alignment horizontal="center" vertical="center" wrapText="1"/>
    </xf>
    <xf numFmtId="0" fontId="19" fillId="35" borderId="10" xfId="0" applyFont="1" applyFill="1" applyBorder="1">
      <alignment horizontal="center" vertical="center" wrapText="1"/>
    </xf>
    <xf numFmtId="0" fontId="19" fillId="35" borderId="12" xfId="0" applyFont="1" applyFill="1" applyBorder="1">
      <alignment horizontal="center" vertical="center" wrapText="1"/>
    </xf>
    <xf numFmtId="0" fontId="19" fillId="35" borderId="10" xfId="0" applyFont="1" applyFill="1" applyBorder="1">
      <alignment horizontal="center" vertical="center" wrapText="1"/>
    </xf>
    <xf numFmtId="173" fontId="19" fillId="33" borderId="10" xfId="0" applyFont="1" applyFill="1" applyBorder="1" applyNumberFormat="1">
      <alignment horizontal="center" vertical="center" wrapText="1"/>
      <protection locked="0"/>
    </xf>
    <xf numFmtId="0" fontId="19" fillId="33" borderId="12" xfId="0" applyFont="1" applyFill="1" applyBorder="1">
      <alignment horizontal="center" vertical="center" wrapText="1"/>
    </xf>
    <xf numFmtId="173" fontId="19" fillId="33" borderId="10" xfId="0" applyFont="1" applyFill="1" applyBorder="1" applyNumberFormat="1">
      <alignment horizontal="center" vertical="center" wrapText="1"/>
    </xf>
    <xf numFmtId="0" fontId="22" fillId="0" borderId="18" xfId="0" applyFont="1" applyBorder="1">
      <alignment horizontal="center" vertical="center" wrapText="1"/>
    </xf>
    <xf numFmtId="0" fontId="19" fillId="4" borderId="19" xfId="0" applyFont="1" applyFill="1" applyBorder="1">
      <alignment horizontal="center" vertical="center" wrapText="1"/>
      <protection locked="0"/>
    </xf>
    <xf numFmtId="0" fontId="19" fillId="4" borderId="19" xfId="0" applyFont="1" applyFill="1" applyBorder="1">
      <alignment horizontal="center" vertical="center" wrapText="1"/>
    </xf>
    <xf numFmtId="0" fontId="19" fillId="4" borderId="20" xfId="0" applyFont="1" applyFill="1" applyBorder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Font="1">
      <alignment vertical="center" wrapText="1"/>
    </xf>
    <xf numFmtId="0" fontId="19" fillId="0" borderId="0" xfId="0" applyFont="1">
      <alignment horizontal="right" vertical="center" wrapText="1"/>
    </xf>
    <xf numFmtId="0" fontId="0" fillId="4" borderId="0" xfId="0" applyFont="1" applyFill="1">
      <alignment horizontal="left" vertical="center" wrapText="1"/>
      <protection locked="0"/>
    </xf>
    <xf numFmtId="0" fontId="0" fillId="4" borderId="0" xfId="0" applyFont="1" applyFill="1">
      <alignment horizontal="left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 wrapText="1"/>
    </xf>
    <xf numFmtId="0" fontId="16" fillId="0" borderId="0" xfId="0" applyFont="1">
      <alignment horizontal="center" wrapText="1"/>
    </xf>
    <xf numFmtId="0" fontId="0" fillId="0" borderId="0" xfId="0" applyFont="1">
      <alignment vertical="center" wrapText="1"/>
    </xf>
    <xf numFmtId="0" fontId="0" fillId="0" borderId="0" xfId="0" applyFont="1">
      <alignment wrapText="1"/>
    </xf>
    <xf numFmtId="0" fontId="18" fillId="0" borderId="11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22" fillId="0" borderId="10" xfId="0" applyFont="1" applyBorder="1">
      <alignment horizontal="center" vertical="center" wrapText="1"/>
    </xf>
    <xf numFmtId="0" fontId="18" fillId="0" borderId="10" xfId="0" applyFont="1" applyBorder="1">
      <alignment horizontal="center" vertical="center" wrapText="1"/>
    </xf>
    <xf numFmtId="0" fontId="22" fillId="0" borderId="12" xfId="0" applyFont="1" applyBorder="1">
      <alignment horizontal="center" vertical="center" wrapText="1"/>
    </xf>
    <xf numFmtId="0" fontId="19" fillId="0" borderId="11" xfId="0" applyFont="1" applyBorder="1">
      <alignment horizontal="left" vertical="center" wrapText="1"/>
    </xf>
    <xf numFmtId="0" fontId="0" fillId="0" borderId="0" xfId="0" applyFont="1">
      <alignment wrapText="1"/>
    </xf>
    <xf numFmtId="0" fontId="19" fillId="34" borderId="10" xfId="0" applyFont="1" applyFill="1" applyBorder="1">
      <alignment horizontal="center" vertical="center" wrapText="1"/>
    </xf>
    <xf numFmtId="0" fontId="19" fillId="0" borderId="10" xfId="0" applyFont="1" applyBorder="1">
      <alignment horizontal="center" vertical="center" wrapText="1"/>
    </xf>
    <xf numFmtId="0" fontId="0" fillId="0" borderId="0" xfId="0" applyFont="1">
      <alignment wrapText="1"/>
    </xf>
    <xf numFmtId="0" fontId="23" fillId="29" borderId="12" xfId="0" applyFont="1" applyFill="1" applyBorder="1">
      <alignment horizontal="center" vertical="center"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1" fillId="0" borderId="11" xfId="0" applyFont="1" applyBorder="1">
      <alignment horizontal="left" vertical="center" wrapText="1"/>
    </xf>
    <xf numFmtId="0" fontId="20" fillId="33" borderId="10" xfId="0" applyFont="1" applyFill="1" applyBorder="1">
      <alignment horizontal="center" vertical="center" wrapText="1"/>
    </xf>
    <xf numFmtId="0" fontId="23" fillId="29" borderId="13" xfId="0" applyFont="1" applyFill="1" applyBorder="1">
      <alignment horizontal="center" vertical="center" wrapText="1"/>
    </xf>
    <xf numFmtId="0" fontId="19" fillId="34" borderId="10" xfId="0" applyFont="1" applyFill="1" applyBorder="1">
      <alignment vertical="center" wrapText="1"/>
    </xf>
    <xf numFmtId="0" fontId="19" fillId="34" borderId="12" xfId="0" applyFont="1" applyFill="1" applyBorder="1">
      <alignment vertical="center" wrapText="1"/>
    </xf>
    <xf numFmtId="0" fontId="19" fillId="34" borderId="12" xfId="0" applyFont="1" applyFill="1" applyBorder="1">
      <alignment horizontal="center" vertical="center" wrapText="1"/>
    </xf>
    <xf numFmtId="0" fontId="19" fillId="33" borderId="10" xfId="0" applyFont="1" applyFill="1" applyBorder="1">
      <alignment horizontal="center" vertical="center" wrapText="1"/>
    </xf>
    <xf numFmtId="0" fontId="19" fillId="33" borderId="12" xfId="0" applyFont="1" applyFill="1" applyBorder="1">
      <alignment horizontal="center" vertical="center" wrapText="1"/>
    </xf>
    <xf numFmtId="0" fontId="19" fillId="33" borderId="14" xfId="0" applyFont="1" applyFill="1" applyBorder="1">
      <alignment horizontal="center" vertical="center" wrapText="1"/>
    </xf>
    <xf numFmtId="0" fontId="0" fillId="0" borderId="0" xfId="0" applyFont="1">
      <alignment horizontal="center" vertical="center" wrapText="1"/>
    </xf>
    <xf numFmtId="0" fontId="0" fillId="0" borderId="0" xfId="0" applyFont="1">
      <alignment vertical="center"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4B20928-6E92-4223-F063-44A77A6D4378}" mc:Ignorable="x14ac xr xr2 xr3">
  <dimension ref="A1:T26"/>
  <sheetViews>
    <sheetView showGridLines="0" workbookViewId="0" tabSelected="1">
      <pane xSplit="18" ySplit="4" topLeftCell="S5" activePane="bottomRight" state="frozen"/>
      <selection pane="bottomLeft" activeCell="A5" sqref="A5"/>
      <selection pane="topRight" activeCell="S1" sqref="S1"/>
      <selection pane="bottomRight" activeCell="A1" sqref="A1"/>
    </sheetView>
  </sheetViews>
  <sheetFormatPr defaultColWidth="9.00390625" customHeight="1" defaultRowHeight="14.399999999999999"/>
  <cols>
    <col min="1" max="1" width="1.00390625" customWidth="1"/>
    <col min="2" max="2" width="28.7109375" customWidth="1"/>
    <col min="3" max="3" width="11.8515625" customWidth="1"/>
    <col min="5" max="5" width="12.8515625" customWidth="1"/>
    <col min="6" max="6" width="11.28125" customWidth="1"/>
    <col min="7" max="7" width="11.8515625" customWidth="1"/>
    <col min="9" max="9" width="11.8515625" customWidth="1"/>
    <col min="10" max="10" width="9.28125" customWidth="1"/>
    <col min="11" max="11" width="10.57421875" customWidth="1"/>
    <col min="12" max="12" width="11.7109375" customWidth="1"/>
    <col min="18" max="18" width="12.7109375" customWidth="1"/>
  </cols>
  <sheetData>
    <row customHeight="1" ht="21">
      <c r="A1" s="114"/>
      <c r="B1" s="75" t="s">
        <v>0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114"/>
      <c r="T1" s="114"/>
    </row>
    <row customHeight="1" ht="27.75">
      <c r="A2" s="114"/>
      <c r="B2" s="81" t="s">
        <v>1</v>
      </c>
      <c r="C2" s="81"/>
      <c r="D2" s="66"/>
      <c r="E2" s="66"/>
      <c r="F2" s="66"/>
      <c r="G2" s="67" t="s">
        <v>2</v>
      </c>
      <c r="H2" s="76" t="s">
        <v>3</v>
      </c>
      <c r="I2" s="76"/>
      <c r="J2" s="68"/>
      <c r="K2" s="68"/>
      <c r="L2" s="77" t="str">
        <f>取值!A1&amp;取值!B1&amp;取值!C1</f>
        <v>报表生成时间：2026-01-01 8:00:00</v>
      </c>
      <c r="M2" s="77"/>
      <c r="N2" s="77"/>
      <c r="O2" s="77"/>
      <c r="P2" s="77"/>
      <c r="Q2" s="77"/>
      <c r="R2" s="77"/>
      <c r="S2" s="114"/>
      <c r="T2" s="114"/>
    </row>
    <row customHeight="1" ht="18.75">
      <c r="A3" s="114"/>
      <c r="B3" s="97" t="s">
        <v>4</v>
      </c>
      <c r="C3" s="98" t="s">
        <v>5</v>
      </c>
      <c r="D3" s="98" t="s">
        <v>6</v>
      </c>
      <c r="E3" s="98" t="s">
        <v>7</v>
      </c>
      <c r="F3" s="98" t="s">
        <v>7</v>
      </c>
      <c r="G3" s="98" t="s">
        <v>8</v>
      </c>
      <c r="H3" s="99" t="s">
        <v>9</v>
      </c>
      <c r="I3" s="99" t="s">
        <v>10</v>
      </c>
      <c r="J3" s="99" t="s">
        <v>11</v>
      </c>
      <c r="K3" s="99" t="s">
        <v>12</v>
      </c>
      <c r="L3" s="99" t="s">
        <v>13</v>
      </c>
      <c r="M3" s="99" t="s">
        <v>14</v>
      </c>
      <c r="N3" s="99"/>
      <c r="O3" s="99"/>
      <c r="P3" s="99"/>
      <c r="Q3" s="99"/>
      <c r="R3" s="100"/>
      <c r="S3" s="114"/>
      <c r="T3" s="114"/>
    </row>
    <row customHeight="1" ht="27.75">
      <c r="A4" s="114"/>
      <c r="B4" s="101"/>
      <c r="C4" s="82" t="s">
        <v>15</v>
      </c>
      <c r="D4" s="84" t="s">
        <v>16</v>
      </c>
      <c r="E4" s="82" t="s">
        <v>17</v>
      </c>
      <c r="F4" s="82" t="s">
        <v>18</v>
      </c>
      <c r="G4" s="82" t="s">
        <v>19</v>
      </c>
      <c r="H4" s="83"/>
      <c r="I4" s="83"/>
      <c r="J4" s="83"/>
      <c r="K4" s="83"/>
      <c r="L4" s="83"/>
      <c r="M4" s="82" t="s">
        <v>20</v>
      </c>
      <c r="N4" s="82" t="s">
        <v>5</v>
      </c>
      <c r="O4" s="82" t="s">
        <v>6</v>
      </c>
      <c r="P4" s="82" t="s">
        <v>7</v>
      </c>
      <c r="Q4" s="82" t="s">
        <v>21</v>
      </c>
      <c r="R4" s="102" t="s">
        <v>22</v>
      </c>
      <c r="S4" s="114"/>
      <c r="T4" s="114"/>
    </row>
    <row customHeight="1" ht="24.75">
      <c r="A5" s="114"/>
      <c r="B5" s="103" t="s">
        <v>23</v>
      </c>
      <c r="C5" s="132">
        <v>54.2</v>
      </c>
      <c r="D5" s="86">
        <f>取值!C6</f>
        <v>10329</v>
      </c>
      <c r="E5" s="87">
        <f>_xlfn.IFERROR((取值!C6+取值!D6)/10000,"")</f>
        <v>1.0329</v>
      </c>
      <c r="F5" s="87">
        <f>_xlfn.IFERROR(C5-E5,"")</f>
        <v>53.1671</v>
      </c>
      <c r="G5" s="87">
        <f>_xlfn.IFERROR(F5*10000/取值!R2,"")</f>
        <v>17722.3666666667</v>
      </c>
      <c r="H5" s="132">
        <v>510</v>
      </c>
      <c r="I5" s="88">
        <f>_xlfn.IFERROR((取值!C6+取值!H6)/10000,"")</f>
        <v>398.2604</v>
      </c>
      <c r="J5" s="88">
        <f>_xlfn.IFERROR(H5-I5,"")</f>
        <v>111.7396</v>
      </c>
      <c r="K5" s="88">
        <f>_xlfn.IFERROR(J5*10000/取值!S2,"")</f>
        <v>3069.76923076923</v>
      </c>
      <c r="L5" s="89">
        <f>_xlfn.IFERROR(I5/H5*100,"")</f>
        <v>78.0902745098039</v>
      </c>
      <c r="M5" s="137">
        <v>51</v>
      </c>
      <c r="N5" s="137">
        <v>50</v>
      </c>
      <c r="O5" s="89">
        <f>取值!N6</f>
        <v>53.1369300583447</v>
      </c>
      <c r="P5" s="89">
        <f>取值!O6</f>
        <v>53.1369300583447</v>
      </c>
      <c r="Q5" s="89">
        <f>取值!P6</f>
        <v>53.1369300583447</v>
      </c>
      <c r="R5" s="104">
        <f>_xlfn.IFERROR(P5-N5,"")</f>
        <v>3.1369300583447</v>
      </c>
      <c r="S5" s="114"/>
      <c r="T5" s="114"/>
    </row>
    <row customHeight="1" ht="24.75">
      <c r="A6" s="114"/>
      <c r="B6" s="103" t="s">
        <v>24</v>
      </c>
      <c r="C6" s="132">
        <v>9.5</v>
      </c>
      <c r="D6" s="86">
        <f>取值!C7</f>
        <v>4334</v>
      </c>
      <c r="E6" s="87">
        <f>_xlfn.IFERROR((取值!C7+取值!D7)/10000,"")</f>
        <v>0.4334</v>
      </c>
      <c r="F6" s="87">
        <f>_xlfn.IFERROR(C6-E6,"")</f>
        <v>9.0666</v>
      </c>
      <c r="G6" s="87">
        <f>_xlfn.IFERROR(F6*10000/取值!R2,"")</f>
        <v>3022.2</v>
      </c>
      <c r="H6" s="132">
        <v>178</v>
      </c>
      <c r="I6" s="88">
        <f>_xlfn.IFERROR((取值!C7+取值!H7)/10000,"")</f>
        <v>147.6279</v>
      </c>
      <c r="J6" s="88">
        <f>_xlfn.IFERROR(H6-I6,"")</f>
        <v>30.3721</v>
      </c>
      <c r="K6" s="88">
        <f>_xlfn.IFERROR(J6*10000/取值!S2,"")</f>
        <v>834.398351648352</v>
      </c>
      <c r="L6" s="89"/>
      <c r="M6" s="137">
        <v>84.65</v>
      </c>
      <c r="N6" s="137">
        <v>84.5</v>
      </c>
      <c r="O6" s="89">
        <f>取值!N7+取值!S18</f>
        <v>85.0023073373327</v>
      </c>
      <c r="P6" s="89">
        <f>取值!O7+取值!T18</f>
        <v>85.0023073373327</v>
      </c>
      <c r="Q6" s="89">
        <f>取值!P7+取值!U18</f>
        <v>85.0023073373327</v>
      </c>
      <c r="R6" s="104">
        <f>_xlfn.IFERROR(P6-N6,"")</f>
        <v>0.502307337332695</v>
      </c>
      <c r="S6" s="114"/>
      <c r="T6" s="114"/>
    </row>
    <row customHeight="1" ht="24.75">
      <c r="A7" s="114"/>
      <c r="B7" s="103" t="s">
        <v>25</v>
      </c>
      <c r="C7" s="132">
        <v>8.8</v>
      </c>
      <c r="D7" s="86">
        <f>取值!C8</f>
        <v>3324</v>
      </c>
      <c r="E7" s="87">
        <f>_xlfn.IFERROR((取值!C8+取值!D8)/10000,"")</f>
        <v>0.3324</v>
      </c>
      <c r="F7" s="87">
        <f>_xlfn.IFERROR(C7-E7,"")</f>
        <v>8.4676</v>
      </c>
      <c r="G7" s="87">
        <f>_xlfn.IFERROR(F7*10000/取值!R2,"")</f>
        <v>2822.53333333333</v>
      </c>
      <c r="H7" s="132">
        <v>95</v>
      </c>
      <c r="I7" s="88">
        <f>_xlfn.IFERROR((取值!C8+取值!H8)/10000,"")</f>
        <v>100.56385</v>
      </c>
      <c r="J7" s="88">
        <f>_xlfn.IFERROR(H7-I7,"")</f>
        <v>-5.56385</v>
      </c>
      <c r="K7" s="88">
        <f>_xlfn.IFERROR(J7*10000/取值!S2,"")</f>
        <v>-152.853021978022</v>
      </c>
      <c r="L7" s="89"/>
      <c r="M7" s="137">
        <v>92.9</v>
      </c>
      <c r="N7" s="137">
        <v>92.3</v>
      </c>
      <c r="O7" s="89">
        <f>取值!N8</f>
        <v>93.3513838748496</v>
      </c>
      <c r="P7" s="89">
        <f>取值!O8</f>
        <v>93.3513838748496</v>
      </c>
      <c r="Q7" s="89">
        <f>取值!P8</f>
        <v>93.3513838748496</v>
      </c>
      <c r="R7" s="104">
        <f>_xlfn.IFERROR(P7-N7,"")</f>
        <v>1.05138387484961</v>
      </c>
      <c r="S7" s="114"/>
      <c r="T7" s="114"/>
    </row>
    <row customHeight="1" ht="24.75">
      <c r="A8" s="114"/>
      <c r="B8" s="103" t="s">
        <v>26</v>
      </c>
      <c r="C8" s="132">
        <v>6.4</v>
      </c>
      <c r="D8" s="86">
        <f>取值!C9</f>
        <v>2053</v>
      </c>
      <c r="E8" s="87">
        <f>_xlfn.IFERROR((取值!C9+取值!D9)/10000,"")</f>
        <v>0.2053</v>
      </c>
      <c r="F8" s="87">
        <f>_xlfn.IFERROR(C8-E8,"")</f>
        <v>6.1947</v>
      </c>
      <c r="G8" s="87">
        <f>_xlfn.IFERROR(F8*10000/取值!R2,"")</f>
        <v>2064.9</v>
      </c>
      <c r="H8" s="132">
        <v>88</v>
      </c>
      <c r="I8" s="88">
        <f>_xlfn.IFERROR((取值!C9+取值!H9)/10000,"")</f>
        <v>84.210543</v>
      </c>
      <c r="J8" s="88">
        <f>_xlfn.IFERROR(H8-I8,"")</f>
        <v>3.789457</v>
      </c>
      <c r="K8" s="88">
        <f>_xlfn.IFERROR(J8*10000/取值!S2,"")</f>
        <v>104.105961538462</v>
      </c>
      <c r="L8" s="89"/>
      <c r="M8" s="137">
        <v>99</v>
      </c>
      <c r="N8" s="137">
        <v>98.5</v>
      </c>
      <c r="O8" s="89">
        <f>取值!N9</f>
        <v>99.3667803214807</v>
      </c>
      <c r="P8" s="89">
        <f>取值!O9</f>
        <v>99.3667803214807</v>
      </c>
      <c r="Q8" s="89">
        <f>取值!P9</f>
        <v>99.3667803214807</v>
      </c>
      <c r="R8" s="104">
        <f>_xlfn.IFERROR(P8-N8,"")</f>
        <v>0.866780321480704</v>
      </c>
      <c r="S8" s="114"/>
      <c r="T8" s="114"/>
    </row>
    <row customHeight="1" ht="24.75">
      <c r="A9" s="114"/>
      <c r="B9" s="103" t="s">
        <v>27</v>
      </c>
      <c r="C9" s="132">
        <v>17.5</v>
      </c>
      <c r="D9" s="86">
        <f>取值!C10</f>
        <v>4749</v>
      </c>
      <c r="E9" s="87">
        <f>_xlfn.IFERROR((取值!C10+取值!D10)/10000,"")</f>
        <v>0.4749</v>
      </c>
      <c r="F9" s="87">
        <f>_xlfn.IFERROR(C9-E9,"")</f>
        <v>17.0251</v>
      </c>
      <c r="G9" s="87">
        <f>_xlfn.IFERROR(F9*10000/取值!R2,"")</f>
        <v>5675.03333333333</v>
      </c>
      <c r="H9" s="132">
        <v>180</v>
      </c>
      <c r="I9" s="88">
        <f>_xlfn.IFERROR((取值!C10+取值!H10)/10000,"")</f>
        <v>191.519943</v>
      </c>
      <c r="J9" s="88">
        <f>_xlfn.IFERROR(H9-I9,"")</f>
        <v>-11.519943</v>
      </c>
      <c r="K9" s="88">
        <f>_xlfn.IFERROR(J9*10000/取值!S2,"")</f>
        <v>-316.481950549451</v>
      </c>
      <c r="L9" s="89"/>
      <c r="M9" s="137">
        <v>98.9</v>
      </c>
      <c r="N9" s="137">
        <v>98.5</v>
      </c>
      <c r="O9" s="89">
        <f>取值!N10</f>
        <v>99.3051168667088</v>
      </c>
      <c r="P9" s="89">
        <f>取值!O10</f>
        <v>99.3051168667088</v>
      </c>
      <c r="Q9" s="89">
        <f>取值!P10</f>
        <v>99.3051168667088</v>
      </c>
      <c r="R9" s="104">
        <f>_xlfn.IFERROR(P9-N9,"")</f>
        <v>0.805116866708801</v>
      </c>
      <c r="S9" s="114"/>
      <c r="T9" s="114"/>
    </row>
    <row customHeight="1" ht="24.75">
      <c r="A10" s="114"/>
      <c r="B10" s="103" t="s">
        <v>28</v>
      </c>
      <c r="C10" s="132">
        <v>0</v>
      </c>
      <c r="D10" s="86">
        <f>取值!C11</f>
        <v>0</v>
      </c>
      <c r="E10" s="87">
        <f>_xlfn.IFERROR((取值!C11+取值!D11)/10000,"")</f>
        <v>0</v>
      </c>
      <c r="F10" s="87">
        <f>_xlfn.IFERROR(C10-E10,"")</f>
        <v>0</v>
      </c>
      <c r="G10" s="87">
        <f>_xlfn.IFERROR(F10*10000/取值!R2,"")</f>
        <v>0</v>
      </c>
      <c r="H10" s="132">
        <v>0</v>
      </c>
      <c r="I10" s="88">
        <f>_xlfn.IFERROR((取值!C11+取值!H11)/10000,"")</f>
        <v>0</v>
      </c>
      <c r="J10" s="88">
        <f>_xlfn.IFERROR(H10-I10,"")</f>
        <v>0</v>
      </c>
      <c r="K10" s="88">
        <f>_xlfn.IFERROR(J10*10000/取值!S2,"")</f>
        <v>0</v>
      </c>
      <c r="L10" s="89"/>
      <c r="M10" s="137">
        <v>0</v>
      </c>
      <c r="N10" s="137">
        <v>0</v>
      </c>
      <c r="O10" s="89">
        <f>取值!N11</f>
        <v>0</v>
      </c>
      <c r="P10" s="89">
        <f>取值!O11</f>
        <v>0</v>
      </c>
      <c r="Q10" s="89">
        <f>取值!P11</f>
        <v>0</v>
      </c>
      <c r="R10" s="104">
        <f>_xlfn.IFERROR(P10-N10,"")</f>
        <v>0</v>
      </c>
      <c r="S10" s="114"/>
      <c r="T10" s="114"/>
    </row>
    <row customHeight="1" ht="24.75">
      <c r="A11" s="114"/>
      <c r="B11" s="103" t="s">
        <v>29</v>
      </c>
      <c r="C11" s="132">
        <v>0</v>
      </c>
      <c r="D11" s="86">
        <f>取值!C12</f>
        <v>3554</v>
      </c>
      <c r="E11" s="87">
        <f>_xlfn.IFERROR((取值!C12+取值!D12)/10000,"")</f>
        <v>0.3554</v>
      </c>
      <c r="F11" s="87">
        <f>_xlfn.IFERROR(C11-E11,"")</f>
        <v>-0.3554</v>
      </c>
      <c r="G11" s="87">
        <f>_xlfn.IFERROR(F11*10000/取值!R2,"")</f>
        <v>-118.466666666667</v>
      </c>
      <c r="H11" s="132">
        <v>0</v>
      </c>
      <c r="I11" s="88">
        <f>_xlfn.IFERROR((取值!C12+取值!H12)/10000,"")</f>
        <v>135.7292</v>
      </c>
      <c r="J11" s="88">
        <f>_xlfn.IFERROR(H11-I11,"")</f>
        <v>-135.7292</v>
      </c>
      <c r="K11" s="88">
        <f>_xlfn.IFERROR(J11*10000/取值!S2,"")</f>
        <v>-3728.82417582418</v>
      </c>
      <c r="L11" s="89"/>
      <c r="M11" s="137">
        <v>0</v>
      </c>
      <c r="N11" s="137">
        <v>0</v>
      </c>
      <c r="O11" s="89"/>
      <c r="P11" s="89"/>
      <c r="Q11" s="89"/>
      <c r="R11" s="104">
        <f>_xlfn.IFERROR(P11-N11,"")</f>
        <v>0</v>
      </c>
      <c r="S11" s="114"/>
      <c r="T11" s="114"/>
    </row>
    <row customHeight="1" ht="24.75">
      <c r="A12" s="114"/>
      <c r="B12" s="103" t="s">
        <v>30</v>
      </c>
      <c r="C12" s="132">
        <v>0</v>
      </c>
      <c r="D12" s="86">
        <f>取值!C13</f>
        <v>898</v>
      </c>
      <c r="E12" s="87">
        <f>_xlfn.IFERROR((取值!C13+取值!D13)/10000,"")</f>
        <v>0.0898</v>
      </c>
      <c r="F12" s="87">
        <f>_xlfn.IFERROR(C12-E12,"")</f>
        <v>-0.0898</v>
      </c>
      <c r="G12" s="87">
        <f>_xlfn.IFERROR(F12*10000/取值!R2,"")</f>
        <v>-29.9333333333333</v>
      </c>
      <c r="H12" s="132"/>
      <c r="I12" s="88">
        <f>_xlfn.IFERROR((取值!C13+取值!H13)/10000,"")</f>
        <v>27.3614</v>
      </c>
      <c r="J12" s="88"/>
      <c r="K12" s="88"/>
      <c r="L12" s="91"/>
      <c r="M12" s="92"/>
      <c r="N12" s="92"/>
      <c r="O12" s="92"/>
      <c r="P12" s="92"/>
      <c r="Q12" s="92"/>
      <c r="R12" s="105"/>
      <c r="S12" s="114"/>
      <c r="T12" s="114"/>
    </row>
    <row customHeight="1" ht="24.75">
      <c r="A13" s="114"/>
      <c r="B13" s="103" t="s">
        <v>31</v>
      </c>
      <c r="C13" s="132">
        <v>2.15</v>
      </c>
      <c r="D13" s="86">
        <f>取值!C14</f>
        <v>654</v>
      </c>
      <c r="E13" s="87">
        <f>_xlfn.IFERROR((取值!C14+取值!D14)/10000,"")</f>
        <v>0.0654</v>
      </c>
      <c r="F13" s="87">
        <f>_xlfn.IFERROR(C13-E13,"")</f>
        <v>2.0846</v>
      </c>
      <c r="G13" s="87">
        <f>_xlfn.IFERROR(F13*10000/取值!R2,"")</f>
        <v>694.866666666667</v>
      </c>
      <c r="H13" s="132">
        <v>23.2</v>
      </c>
      <c r="I13" s="88">
        <f>_xlfn.IFERROR((取值!C14+取值!H14)/10000,"")</f>
        <v>22.743</v>
      </c>
      <c r="J13" s="88">
        <f>_xlfn.IFERROR(H13-I13,"")</f>
        <v>0.457</v>
      </c>
      <c r="K13" s="88">
        <f>_xlfn.IFERROR(J13*10000/取值!S2,"")</f>
        <v>12.5549450549451</v>
      </c>
      <c r="L13" s="89"/>
      <c r="M13" s="93"/>
      <c r="N13" s="93"/>
      <c r="O13" s="93"/>
      <c r="P13" s="93"/>
      <c r="Q13" s="93"/>
      <c r="R13" s="106"/>
      <c r="S13" s="114"/>
      <c r="T13" s="114"/>
    </row>
    <row customHeight="1" ht="24.75">
      <c r="A14" s="114"/>
      <c r="B14" s="103" t="s">
        <v>32</v>
      </c>
      <c r="C14" s="132">
        <v>0.42</v>
      </c>
      <c r="D14" s="86">
        <f>取值!C15</f>
        <v>139</v>
      </c>
      <c r="E14" s="87">
        <f>_xlfn.IFERROR((取值!C15+取值!D15)/10000,"")</f>
        <v>0.0139</v>
      </c>
      <c r="F14" s="87">
        <f>_xlfn.IFERROR(C14-E14,"")</f>
        <v>0.4061</v>
      </c>
      <c r="G14" s="87">
        <f>_xlfn.IFERROR(F14*10000/取值!R2,"")</f>
        <v>135.366666666667</v>
      </c>
      <c r="H14" s="132">
        <v>2.9726</v>
      </c>
      <c r="I14" s="88">
        <f>_xlfn.IFERROR((取值!C15+取值!H15)/10000,"")</f>
        <v>4.152924</v>
      </c>
      <c r="J14" s="88">
        <f>_xlfn.IFERROR(H14-I14,"")</f>
        <v>-1.180324</v>
      </c>
      <c r="K14" s="88">
        <f>_xlfn.IFERROR(J14*10000/取值!S2,"")</f>
        <v>-32.4264835164835</v>
      </c>
      <c r="L14" s="89"/>
      <c r="M14" s="93"/>
      <c r="N14" s="93"/>
      <c r="O14" s="93"/>
      <c r="P14" s="93"/>
      <c r="Q14" s="93"/>
      <c r="R14" s="106"/>
      <c r="S14" s="114"/>
      <c r="T14" s="114"/>
    </row>
    <row customHeight="1" ht="24.75">
      <c r="A15" s="114"/>
      <c r="B15" s="103" t="s">
        <v>33</v>
      </c>
      <c r="C15" s="132">
        <v>0</v>
      </c>
      <c r="D15" s="86">
        <f>取值!C16</f>
        <v>455</v>
      </c>
      <c r="E15" s="87">
        <f>_xlfn.IFERROR((取值!C16+取值!D16)/10000,"")</f>
        <v>0.0455</v>
      </c>
      <c r="F15" s="87">
        <f>_xlfn.IFERROR(C15-E15,"")</f>
        <v>-0.0455</v>
      </c>
      <c r="G15" s="87">
        <f>_xlfn.IFERROR(F15*10000/取值!R2,"")</f>
        <v>-15.1666666666667</v>
      </c>
      <c r="H15" s="132">
        <v>6.65</v>
      </c>
      <c r="I15" s="88">
        <f>_xlfn.IFERROR((取值!C16+取值!H16)/10000,"")</f>
        <v>9.57811</v>
      </c>
      <c r="J15" s="88">
        <f>_xlfn.IFERROR(H15-I15,"")</f>
        <v>-2.92811</v>
      </c>
      <c r="K15" s="88">
        <f>_xlfn.IFERROR(J15*10000/取值!S2,"")</f>
        <v>-80.4425824175824</v>
      </c>
      <c r="L15" s="89"/>
      <c r="M15" s="93"/>
      <c r="N15" s="93"/>
      <c r="O15" s="93"/>
      <c r="P15" s="93"/>
      <c r="Q15" s="93"/>
      <c r="R15" s="106"/>
      <c r="S15" s="114"/>
      <c r="T15" s="114"/>
    </row>
    <row customHeight="1" ht="24.75">
      <c r="A16" s="114"/>
      <c r="B16" s="103" t="s">
        <v>34</v>
      </c>
      <c r="C16" s="132">
        <v>0.31</v>
      </c>
      <c r="D16" s="86">
        <f>取值!C17</f>
        <v>196</v>
      </c>
      <c r="E16" s="87">
        <f>_xlfn.IFERROR((取值!C17+取值!D17)/10000,"")</f>
        <v>0.0196</v>
      </c>
      <c r="F16" s="87">
        <f>_xlfn.IFERROR(C16-E16,"")</f>
        <v>0.2904</v>
      </c>
      <c r="G16" s="87">
        <f>_xlfn.IFERROR(F16*10000/取值!R2,"")</f>
        <v>96.8</v>
      </c>
      <c r="H16" s="132">
        <v>5.874</v>
      </c>
      <c r="I16" s="88">
        <f>_xlfn.IFERROR((取值!C17+取值!H17)/10000,"")</f>
        <v>5.5515</v>
      </c>
      <c r="J16" s="88">
        <f>_xlfn.IFERROR(H16-I16,"")</f>
        <v>0.3225</v>
      </c>
      <c r="K16" s="88">
        <f>_xlfn.IFERROR(J16*10000/取值!S2,"")</f>
        <v>8.85989010989011</v>
      </c>
      <c r="L16" s="89"/>
      <c r="M16" s="93"/>
      <c r="N16" s="93"/>
      <c r="O16" s="93"/>
      <c r="P16" s="93"/>
      <c r="Q16" s="93"/>
      <c r="R16" s="106"/>
      <c r="S16" s="114"/>
      <c r="T16" s="114"/>
    </row>
    <row customHeight="1" ht="24.75">
      <c r="A17" s="114"/>
      <c r="B17" s="103" t="s">
        <v>35</v>
      </c>
      <c r="C17" s="132">
        <v>0</v>
      </c>
      <c r="D17" s="86">
        <f>取值!C18</f>
        <v>0</v>
      </c>
      <c r="E17" s="87">
        <f>_xlfn.IFERROR((取值!C18+取值!D18)/10000,"")</f>
        <v>0</v>
      </c>
      <c r="F17" s="87">
        <f>_xlfn.IFERROR(C17-E17,"")</f>
        <v>0</v>
      </c>
      <c r="G17" s="87">
        <f>_xlfn.IFERROR(F17*10000/取值!R2,"")</f>
        <v>0</v>
      </c>
      <c r="H17" s="132">
        <v>130.54</v>
      </c>
      <c r="I17" s="88">
        <f>_xlfn.IFERROR((取值!C18+取值!H18)/10000,"")</f>
        <v>147.9586</v>
      </c>
      <c r="J17" s="88">
        <f>_xlfn.IFERROR(H17-I17,"")</f>
        <v>-17.4186</v>
      </c>
      <c r="K17" s="88">
        <f>_xlfn.IFERROR(J17*10000/取值!S2,"")</f>
        <v>-478.532967032967</v>
      </c>
      <c r="L17" s="89"/>
      <c r="M17" s="86"/>
      <c r="N17" s="86"/>
      <c r="O17" s="86"/>
      <c r="P17" s="86"/>
      <c r="Q17" s="86"/>
      <c r="R17" s="107"/>
      <c r="S17" s="114"/>
      <c r="T17" s="114"/>
    </row>
    <row customHeight="1" ht="24.75">
      <c r="A18" s="114"/>
      <c r="B18" s="103" t="s">
        <v>36</v>
      </c>
      <c r="C18" s="132"/>
      <c r="D18" s="86">
        <f>取值!C19</f>
        <v>1408.515</v>
      </c>
      <c r="E18" s="87"/>
      <c r="F18" s="87"/>
      <c r="G18" s="87"/>
      <c r="H18" s="132"/>
      <c r="I18" s="88">
        <f>_xlfn.IFERROR((取值!C19+取值!H19)/10000,"")</f>
        <v>99.7528947</v>
      </c>
      <c r="J18" s="88"/>
      <c r="K18" s="88"/>
      <c r="L18" s="91"/>
      <c r="M18" s="92"/>
      <c r="N18" s="92"/>
      <c r="O18" s="92"/>
      <c r="P18" s="92"/>
      <c r="Q18" s="92"/>
      <c r="R18" s="105"/>
      <c r="S18" s="114"/>
      <c r="T18" s="114"/>
    </row>
    <row customHeight="1" ht="24.75">
      <c r="A19" s="114"/>
      <c r="B19" s="103" t="s">
        <v>37</v>
      </c>
      <c r="C19" s="132">
        <v>0</v>
      </c>
      <c r="D19" s="86">
        <f>取值!C20</f>
        <v>0</v>
      </c>
      <c r="E19" s="87">
        <f>_xlfn.IFERROR((取值!C20+取值!D20)/10000,"")</f>
        <v>0</v>
      </c>
      <c r="F19" s="87">
        <f>_xlfn.IFERROR(C19-E19,"")</f>
        <v>0</v>
      </c>
      <c r="G19" s="87">
        <f>_xlfn.IFERROR(F19*10000/取值!R2,"")</f>
        <v>0</v>
      </c>
      <c r="H19" s="132">
        <v>19.46</v>
      </c>
      <c r="I19" s="88">
        <f>_xlfn.IFERROR((取值!C20+取值!H20)/10000,"")</f>
        <v>17.9565</v>
      </c>
      <c r="J19" s="88">
        <f>_xlfn.IFERROR(H19-I19,"")</f>
        <v>1.5035</v>
      </c>
      <c r="K19" s="88">
        <f>_xlfn.IFERROR(J19*10000/取值!S2,"")</f>
        <v>41.3049450549451</v>
      </c>
      <c r="L19" s="91"/>
      <c r="M19" s="92"/>
      <c r="N19" s="92"/>
      <c r="O19" s="92"/>
      <c r="P19" s="92"/>
      <c r="Q19" s="92"/>
      <c r="R19" s="105"/>
      <c r="S19" s="114"/>
      <c r="T19" s="114"/>
    </row>
    <row customHeight="1" ht="24.75">
      <c r="A20" s="114"/>
      <c r="B20" s="103" t="s">
        <v>38</v>
      </c>
      <c r="C20" s="132"/>
      <c r="D20" s="86">
        <f>取值!C21</f>
        <v>223.14</v>
      </c>
      <c r="E20" s="87"/>
      <c r="F20" s="87"/>
      <c r="G20" s="87"/>
      <c r="H20" s="132"/>
      <c r="I20" s="88">
        <f>_xlfn.IFERROR((取值!C21+取值!H21)/10000,"")</f>
        <v>19.934632</v>
      </c>
      <c r="J20" s="88"/>
      <c r="K20" s="88"/>
      <c r="L20" s="89"/>
      <c r="M20" s="86"/>
      <c r="N20" s="86"/>
      <c r="O20" s="86"/>
      <c r="P20" s="86"/>
      <c r="Q20" s="86"/>
      <c r="R20" s="107"/>
      <c r="S20" s="114"/>
      <c r="T20" s="114"/>
    </row>
    <row customHeight="1" ht="24.75">
      <c r="A21" s="114"/>
      <c r="B21" s="103" t="s">
        <v>39</v>
      </c>
      <c r="C21" s="132">
        <v>0</v>
      </c>
      <c r="D21" s="86">
        <f>取值!C22</f>
        <v>0</v>
      </c>
      <c r="E21" s="87">
        <f>_xlfn.IFERROR((取值!C22+取值!D22)/10000,"")</f>
        <v>0</v>
      </c>
      <c r="F21" s="87">
        <f>_xlfn.IFERROR(C21-E21,"")</f>
        <v>0</v>
      </c>
      <c r="G21" s="87">
        <f>_xlfn.IFERROR(F21*10000/取值!R2,"")</f>
        <v>0</v>
      </c>
      <c r="H21" s="132">
        <v>150</v>
      </c>
      <c r="I21" s="88">
        <f>_xlfn.IFERROR((取值!C22+取值!H22)/10000,"")</f>
        <v>165.9151</v>
      </c>
      <c r="J21" s="88">
        <f>_xlfn.IFERROR(H21-I21,"")</f>
        <v>-15.9151</v>
      </c>
      <c r="K21" s="88">
        <f>_xlfn.IFERROR(J21*10000/取值!S2,"")</f>
        <v>-437.228021978022</v>
      </c>
      <c r="L21" s="89"/>
      <c r="M21" s="86"/>
      <c r="N21" s="86"/>
      <c r="O21" s="86"/>
      <c r="P21" s="86"/>
      <c r="Q21" s="86"/>
      <c r="R21" s="107"/>
      <c r="S21" s="114"/>
      <c r="T21" s="114"/>
    </row>
    <row customHeight="1" ht="24.75">
      <c r="A22" s="114"/>
      <c r="B22" s="103" t="s">
        <v>40</v>
      </c>
      <c r="C22" s="132"/>
      <c r="D22" s="86">
        <f>取值!C23</f>
        <v>1631.655</v>
      </c>
      <c r="E22" s="87"/>
      <c r="F22" s="87"/>
      <c r="G22" s="87"/>
      <c r="H22" s="132"/>
      <c r="I22" s="88">
        <f>_xlfn.IFERROR((取值!C23+取值!H23)/10000,"")</f>
        <v>119.6875267</v>
      </c>
      <c r="J22" s="88"/>
      <c r="K22" s="88"/>
      <c r="L22" s="89"/>
      <c r="M22" s="94" t="s">
        <v>41</v>
      </c>
      <c r="N22" s="94" t="s">
        <v>42</v>
      </c>
      <c r="O22" s="94" t="s">
        <v>6</v>
      </c>
      <c r="P22" s="94" t="s">
        <v>43</v>
      </c>
      <c r="Q22" s="94" t="s">
        <v>44</v>
      </c>
      <c r="R22" s="108"/>
      <c r="S22" s="114"/>
      <c r="T22" s="114"/>
    </row>
    <row customHeight="1" ht="24.75">
      <c r="A23" s="114"/>
      <c r="B23" s="103" t="s">
        <v>45</v>
      </c>
      <c r="C23" s="132"/>
      <c r="D23" s="86">
        <f>取值!C24</f>
        <v>0</v>
      </c>
      <c r="E23" s="87"/>
      <c r="F23" s="87"/>
      <c r="G23" s="87"/>
      <c r="H23" s="132"/>
      <c r="I23" s="88">
        <f>_xlfn.IFERROR((取值!C24+取值!H24)/10000,"")</f>
        <v>155.9802</v>
      </c>
      <c r="J23" s="88"/>
      <c r="K23" s="88"/>
      <c r="L23" s="89"/>
      <c r="M23" s="95" t="s">
        <v>46</v>
      </c>
      <c r="N23" s="95" t="s">
        <v>47</v>
      </c>
      <c r="O23" s="148">
        <v>8541.29</v>
      </c>
      <c r="P23" s="148">
        <v>8541.29</v>
      </c>
      <c r="Q23" s="148">
        <v>8541.29</v>
      </c>
      <c r="R23" s="109"/>
      <c r="S23" s="114"/>
      <c r="T23" s="114"/>
    </row>
    <row customHeight="1" ht="24.75">
      <c r="A24" s="114"/>
      <c r="B24" s="103" t="s">
        <v>48</v>
      </c>
      <c r="C24" s="132"/>
      <c r="D24" s="86">
        <f>取值!C25</f>
        <v>504.768</v>
      </c>
      <c r="E24" s="87"/>
      <c r="F24" s="87"/>
      <c r="G24" s="87"/>
      <c r="H24" s="132"/>
      <c r="I24" s="88">
        <f>_xlfn.IFERROR((取值!C25+取值!H25)/10000,"")</f>
        <v>113.1469179</v>
      </c>
      <c r="J24" s="88"/>
      <c r="K24" s="88"/>
      <c r="L24" s="89"/>
      <c r="M24" s="95"/>
      <c r="N24" s="95"/>
      <c r="O24" s="96"/>
      <c r="P24" s="96"/>
      <c r="Q24" s="96"/>
      <c r="R24" s="109"/>
      <c r="S24" s="114"/>
      <c r="T24" s="114"/>
    </row>
    <row customHeight="1" ht="27">
      <c r="A25" s="114"/>
      <c r="B25" s="110" t="s">
        <v>49</v>
      </c>
      <c r="C25" s="152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2"/>
      <c r="S25" s="114"/>
      <c r="T25" s="114"/>
    </row>
    <row s="155" customFormat="1" customHeight="1" ht="14.25">
      <c r="A26" s="156"/>
      <c r="B26" s="113" t="s">
        <v>50</v>
      </c>
      <c r="C26" s="158">
        <v>0</v>
      </c>
      <c r="D26" s="159"/>
      <c r="E26" s="156"/>
      <c r="F26" s="156"/>
      <c r="G26" s="160" t="s">
        <v>51</v>
      </c>
      <c r="H26" s="158">
        <v>0</v>
      </c>
      <c r="I26" s="159"/>
      <c r="J26" s="156"/>
      <c r="K26" s="156"/>
      <c r="L26" s="156"/>
      <c r="M26" s="156"/>
      <c r="N26" s="156"/>
      <c r="O26" s="160" t="s">
        <v>52</v>
      </c>
      <c r="P26" s="158">
        <v>0</v>
      </c>
      <c r="Q26" s="159"/>
      <c r="R26" s="156"/>
      <c r="S26" s="156"/>
      <c r="T26" s="156"/>
    </row>
  </sheetData>
  <mergeCells count="21">
    <mergeCell ref="C26:D26"/>
    <mergeCell ref="H26:I26"/>
    <mergeCell ref="P26:Q26"/>
    <mergeCell ref="B1:R1"/>
    <mergeCell ref="B2:C2"/>
    <mergeCell ref="H2:I2"/>
    <mergeCell ref="L2:R2"/>
    <mergeCell ref="M3:R3"/>
    <mergeCell ref="C25:R25"/>
    <mergeCell ref="B3:B4"/>
    <mergeCell ref="H3:H4"/>
    <mergeCell ref="I3:I4"/>
    <mergeCell ref="J3:J4"/>
    <mergeCell ref="K3:K4"/>
    <mergeCell ref="L3:L4"/>
    <mergeCell ref="M23:M24"/>
    <mergeCell ref="N23:N24"/>
    <mergeCell ref="O23:O24"/>
    <mergeCell ref="P23:P24"/>
    <mergeCell ref="Q23:Q24"/>
    <mergeCell ref="R23:R24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45587AD-C915-BAFE-4C43-BB0B75166388}" mc:Ignorable="x14ac xr xr2 xr3">
  <dimension ref="A1:U86"/>
  <sheetViews>
    <sheetView topLeftCell="A28" workbookViewId="0">
      <selection activeCell="D36" sqref="D36"/>
    </sheetView>
  </sheetViews>
  <sheetFormatPr customHeight="1" defaultRowHeight="14.399999999999999"/>
  <cols>
    <col min="1" max="1" width="12.28125" customWidth="1"/>
    <col min="2" max="2" width="39.28125" customWidth="1"/>
    <col min="3" max="3" width="10.28125" customWidth="1"/>
  </cols>
  <sheetData>
    <row customHeight="1" ht="14.25">
      <c r="A1" s="161" t="s">
        <v>53</v>
      </c>
      <c r="B1" s="161" t="s">
        <v>54</v>
      </c>
      <c r="C1" s="162" t="s">
        <v>55</v>
      </c>
      <c r="D1" s="114"/>
      <c r="E1" s="163"/>
      <c r="F1" s="114"/>
      <c r="G1" s="16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65" t="s">
        <v>56</v>
      </c>
      <c r="S1" s="165" t="s">
        <v>57</v>
      </c>
      <c r="T1" s="114"/>
      <c r="U1" s="114"/>
    </row>
    <row customHeight="1" ht="14.25">
      <c r="A2" s="166" t="s">
        <v>58</v>
      </c>
      <c r="B2" s="166" t="s">
        <v>59</v>
      </c>
      <c r="C2" s="166" t="s">
        <v>60</v>
      </c>
      <c r="D2" s="114"/>
      <c r="E2" s="163"/>
      <c r="F2" s="114"/>
      <c r="G2" s="163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67">
        <v>30</v>
      </c>
      <c r="S2" s="167">
        <v>364</v>
      </c>
      <c r="T2" s="114"/>
      <c r="U2" s="114"/>
    </row>
    <row customHeight="1" ht="14.25">
      <c r="A3" s="167"/>
      <c r="B3" s="167"/>
      <c r="C3" s="161"/>
      <c r="D3" s="114"/>
      <c r="E3" s="16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</row>
    <row customHeight="1" ht="14.25">
      <c r="A4" s="73" t="s">
        <v>61</v>
      </c>
      <c r="B4" s="60" t="s">
        <v>5</v>
      </c>
      <c r="C4" s="60" t="s">
        <v>6</v>
      </c>
      <c r="D4" s="60" t="s">
        <v>7</v>
      </c>
      <c r="E4" s="60" t="s">
        <v>7</v>
      </c>
      <c r="F4" s="60" t="s">
        <v>8</v>
      </c>
      <c r="G4" s="74" t="s">
        <v>9</v>
      </c>
      <c r="H4" s="74" t="s">
        <v>10</v>
      </c>
      <c r="I4" s="74" t="s">
        <v>11</v>
      </c>
      <c r="J4" s="74" t="s">
        <v>12</v>
      </c>
      <c r="K4" s="74" t="s">
        <v>13</v>
      </c>
      <c r="L4" s="74" t="s">
        <v>14</v>
      </c>
      <c r="M4" s="74"/>
      <c r="N4" s="74"/>
      <c r="O4" s="74"/>
      <c r="P4" s="74"/>
      <c r="Q4" s="74"/>
      <c r="R4" s="114"/>
      <c r="S4" s="114"/>
      <c r="T4" s="114"/>
      <c r="U4" s="114"/>
    </row>
    <row customHeight="1" ht="41.25">
      <c r="A5" s="73"/>
      <c r="B5" s="60" t="s">
        <v>15</v>
      </c>
      <c r="C5" s="47" t="s">
        <v>16</v>
      </c>
      <c r="D5" s="60" t="s">
        <v>17</v>
      </c>
      <c r="E5" s="60" t="s">
        <v>62</v>
      </c>
      <c r="F5" s="60" t="s">
        <v>19</v>
      </c>
      <c r="G5" s="74"/>
      <c r="H5" s="74"/>
      <c r="I5" s="74"/>
      <c r="J5" s="74"/>
      <c r="K5" s="74"/>
      <c r="L5" s="60" t="s">
        <v>20</v>
      </c>
      <c r="M5" s="60" t="s">
        <v>5</v>
      </c>
      <c r="N5" s="60" t="s">
        <v>6</v>
      </c>
      <c r="O5" s="60" t="s">
        <v>7</v>
      </c>
      <c r="P5" s="60" t="s">
        <v>21</v>
      </c>
      <c r="Q5" s="54" t="s">
        <v>63</v>
      </c>
      <c r="R5" s="167">
        <v>0</v>
      </c>
      <c r="S5" s="114"/>
      <c r="T5" s="114"/>
      <c r="U5" s="114"/>
    </row>
    <row customHeight="1" ht="27.75">
      <c r="A6" s="48" t="s">
        <v>23</v>
      </c>
      <c r="B6" s="174">
        <v>542000</v>
      </c>
      <c r="C6" s="167">
        <v>10329</v>
      </c>
      <c r="D6" s="167"/>
      <c r="E6" s="50">
        <f>_xlfn.IFERROR(B6-D6,"")</f>
        <v>542000</v>
      </c>
      <c r="F6" s="50" t="str">
        <f>_xlfn.IFERROR(E6*10000/取值!Q3,"")</f>
        <v/>
      </c>
      <c r="G6" s="174">
        <v>5100000</v>
      </c>
      <c r="H6" s="167">
        <v>3972275</v>
      </c>
      <c r="I6" s="61"/>
      <c r="J6" s="61"/>
      <c r="K6" s="50"/>
      <c r="L6" s="174">
        <v>51</v>
      </c>
      <c r="M6" s="177">
        <v>50</v>
      </c>
      <c r="N6" s="174">
        <v>53.1369300583447</v>
      </c>
      <c r="O6" s="174">
        <v>53.1369300583447</v>
      </c>
      <c r="P6" s="174">
        <v>53.1369300583447</v>
      </c>
      <c r="Q6" s="55"/>
      <c r="R6" s="177">
        <v>0</v>
      </c>
      <c r="S6" s="114"/>
      <c r="T6" s="114"/>
      <c r="U6" s="114"/>
    </row>
    <row customHeight="1" ht="27.75">
      <c r="A7" s="48" t="s">
        <v>24</v>
      </c>
      <c r="B7" s="174">
        <v>95000</v>
      </c>
      <c r="C7" s="167">
        <v>4334</v>
      </c>
      <c r="D7" s="167"/>
      <c r="E7" s="50"/>
      <c r="F7" s="50"/>
      <c r="G7" s="174">
        <v>1780000</v>
      </c>
      <c r="H7" s="167">
        <v>1471945</v>
      </c>
      <c r="I7" s="61"/>
      <c r="J7" s="61"/>
      <c r="K7" s="50"/>
      <c r="L7" s="177">
        <v>84.65</v>
      </c>
      <c r="M7" s="179">
        <v>68.6</v>
      </c>
      <c r="N7" s="180">
        <v>69.9123211813567</v>
      </c>
      <c r="O7" s="174">
        <v>69.9123211813567</v>
      </c>
      <c r="P7" s="174">
        <v>69.9123211813567</v>
      </c>
      <c r="Q7" s="55"/>
      <c r="R7" s="177"/>
      <c r="S7" s="114"/>
      <c r="T7" s="114"/>
      <c r="U7" s="114"/>
    </row>
    <row customHeight="1" ht="27.75">
      <c r="A8" s="48" t="s">
        <v>25</v>
      </c>
      <c r="B8" s="174">
        <v>88000</v>
      </c>
      <c r="C8" s="177">
        <v>3324</v>
      </c>
      <c r="D8" s="167"/>
      <c r="E8" s="50"/>
      <c r="F8" s="50"/>
      <c r="G8" s="174">
        <v>950000</v>
      </c>
      <c r="H8" s="167">
        <v>1002314.5</v>
      </c>
      <c r="I8" s="61"/>
      <c r="J8" s="61"/>
      <c r="K8" s="50"/>
      <c r="L8" s="174">
        <v>92.9</v>
      </c>
      <c r="M8" s="174">
        <v>92.3</v>
      </c>
      <c r="N8" s="174">
        <v>93.3513838748496</v>
      </c>
      <c r="O8" s="174">
        <v>93.3513838748496</v>
      </c>
      <c r="P8" s="174">
        <v>93.3513838748496</v>
      </c>
      <c r="Q8" s="55"/>
      <c r="R8" s="167"/>
      <c r="S8" s="114"/>
      <c r="T8" s="114"/>
      <c r="U8" s="114"/>
    </row>
    <row customHeight="1" ht="27.75">
      <c r="A9" s="48" t="s">
        <v>26</v>
      </c>
      <c r="B9" s="174">
        <v>64000</v>
      </c>
      <c r="C9" s="167">
        <f>_xlfn.IFERROR(C26+C27,"")</f>
        <v>2053</v>
      </c>
      <c r="D9" s="167">
        <f>_xlfn.IFERROR(D26+D27,"")</f>
        <v>0</v>
      </c>
      <c r="E9" s="50"/>
      <c r="F9" s="50"/>
      <c r="G9" s="174">
        <v>880000</v>
      </c>
      <c r="H9" s="167">
        <f>_xlfn.IFERROR(H26+H27,"")</f>
        <v>840052.43</v>
      </c>
      <c r="I9" s="61"/>
      <c r="J9" s="61"/>
      <c r="K9" s="50"/>
      <c r="L9" s="174">
        <v>99</v>
      </c>
      <c r="M9" s="174">
        <v>98.5</v>
      </c>
      <c r="N9" s="174">
        <v>99.3667803214807</v>
      </c>
      <c r="O9" s="174">
        <v>99.3667803214807</v>
      </c>
      <c r="P9" s="174">
        <v>99.3667803214807</v>
      </c>
      <c r="Q9" s="55"/>
      <c r="R9" s="177">
        <v>0</v>
      </c>
      <c r="S9" s="114"/>
      <c r="T9" s="114"/>
      <c r="U9" s="114"/>
    </row>
    <row customHeight="1" ht="27.75">
      <c r="A10" s="48" t="s">
        <v>27</v>
      </c>
      <c r="B10" s="177">
        <v>175000</v>
      </c>
      <c r="C10" s="167">
        <f>_xlfn.IFERROR(A27+A28,"")</f>
        <v>4749</v>
      </c>
      <c r="D10" s="167">
        <f>_xlfn.IFERROR(A30+A31,"")</f>
        <v>0</v>
      </c>
      <c r="E10" s="50"/>
      <c r="F10" s="50"/>
      <c r="G10" s="174">
        <v>1800000</v>
      </c>
      <c r="H10" s="167">
        <f>_xlfn.IFERROR(A33+A34,"")</f>
        <v>1910450.43</v>
      </c>
      <c r="I10" s="61"/>
      <c r="J10" s="61"/>
      <c r="K10" s="50"/>
      <c r="L10" s="174">
        <v>98.9</v>
      </c>
      <c r="M10" s="174">
        <v>98.5</v>
      </c>
      <c r="N10" s="174">
        <v>99.3051168667088</v>
      </c>
      <c r="O10" s="174">
        <v>99.3051168667088</v>
      </c>
      <c r="P10" s="174">
        <v>99.3051168667088</v>
      </c>
      <c r="Q10" s="55"/>
      <c r="R10" s="177">
        <v>0</v>
      </c>
      <c r="S10" s="114"/>
      <c r="T10" s="114"/>
      <c r="U10" s="114"/>
    </row>
    <row customHeight="1" ht="27.75">
      <c r="A11" s="48" t="s">
        <v>28</v>
      </c>
      <c r="B11" s="174">
        <v>0</v>
      </c>
      <c r="C11" s="167">
        <f>_xlfn.IFERROR(R5+R6,"")</f>
        <v>0</v>
      </c>
      <c r="D11" s="167">
        <f>_xlfn.IFERROR(R7+R8,"")</f>
        <v>0</v>
      </c>
      <c r="E11" s="50"/>
      <c r="F11" s="50"/>
      <c r="G11" s="174"/>
      <c r="H11" s="167">
        <f>_xlfn.IFERROR(R9+R10,"")</f>
        <v>0</v>
      </c>
      <c r="I11" s="61"/>
      <c r="J11" s="61"/>
      <c r="K11" s="50"/>
      <c r="L11" s="174"/>
      <c r="M11" s="174"/>
      <c r="N11" s="174"/>
      <c r="O11" s="174"/>
      <c r="P11" s="174"/>
      <c r="Q11" s="55"/>
      <c r="R11" s="114"/>
      <c r="S11" s="174"/>
      <c r="T11" s="114"/>
      <c r="U11" s="114"/>
    </row>
    <row customHeight="1" ht="27.75">
      <c r="A12" s="52" t="s">
        <v>29</v>
      </c>
      <c r="B12" s="177">
        <v>0</v>
      </c>
      <c r="C12" s="167">
        <v>3554</v>
      </c>
      <c r="D12" s="167"/>
      <c r="E12" s="50"/>
      <c r="F12" s="50"/>
      <c r="G12" s="174">
        <v>0</v>
      </c>
      <c r="H12" s="167">
        <v>1353738</v>
      </c>
      <c r="I12" s="61"/>
      <c r="J12" s="61"/>
      <c r="K12" s="50"/>
      <c r="L12" s="174"/>
      <c r="M12" s="51"/>
      <c r="N12" s="50"/>
      <c r="O12" s="50"/>
      <c r="P12" s="50"/>
      <c r="Q12" s="56"/>
      <c r="R12" s="114"/>
      <c r="S12" s="114"/>
      <c r="T12" s="114"/>
      <c r="U12" s="114"/>
    </row>
    <row customHeight="1" ht="14.25">
      <c r="A13" s="48" t="s">
        <v>30</v>
      </c>
      <c r="B13" s="174"/>
      <c r="C13" s="167">
        <v>898</v>
      </c>
      <c r="D13" s="167"/>
      <c r="E13" s="50"/>
      <c r="F13" s="50"/>
      <c r="G13" s="174">
        <v>250000</v>
      </c>
      <c r="H13" s="167">
        <v>272716</v>
      </c>
      <c r="I13" s="61"/>
      <c r="J13" s="61"/>
      <c r="K13" s="61"/>
      <c r="L13" s="61"/>
      <c r="M13" s="61"/>
      <c r="N13" s="61"/>
      <c r="O13" s="61"/>
      <c r="P13" s="61"/>
      <c r="Q13" s="61"/>
      <c r="R13" s="114"/>
      <c r="S13" s="114"/>
      <c r="T13" s="114"/>
      <c r="U13" s="114"/>
    </row>
    <row customHeight="1" ht="14.25">
      <c r="A14" s="48" t="s">
        <v>31</v>
      </c>
      <c r="B14" s="174">
        <v>21500</v>
      </c>
      <c r="C14" s="114">
        <f>_xlfn.IFERROR(C28+C29+C30,"")</f>
        <v>654</v>
      </c>
      <c r="D14" s="114">
        <f>_xlfn.IFERROR(D28+D29+D30,"")</f>
        <v>0</v>
      </c>
      <c r="E14" s="50"/>
      <c r="F14" s="50"/>
      <c r="G14" s="174">
        <v>232000</v>
      </c>
      <c r="H14" s="114">
        <f>_xlfn.IFERROR(H28+H29+H30,"")</f>
        <v>226776</v>
      </c>
      <c r="I14" s="61"/>
      <c r="J14" s="61"/>
      <c r="K14" s="50"/>
      <c r="L14" s="53"/>
      <c r="M14" s="53"/>
      <c r="N14" s="53"/>
      <c r="O14" s="53"/>
      <c r="P14" s="53"/>
      <c r="Q14" s="57"/>
      <c r="R14" s="114"/>
      <c r="S14" s="114"/>
      <c r="T14" s="114"/>
      <c r="U14" s="114"/>
    </row>
    <row customHeight="1" ht="14.25">
      <c r="A15" s="48" t="s">
        <v>32</v>
      </c>
      <c r="B15" s="174">
        <v>4200</v>
      </c>
      <c r="C15" s="167">
        <f>_xlfn.IFERROR(C32+C33,"")</f>
        <v>139</v>
      </c>
      <c r="D15" s="167">
        <f>_xlfn.IFERROR(D32+D33,"")</f>
        <v>0</v>
      </c>
      <c r="E15" s="50"/>
      <c r="F15" s="50"/>
      <c r="G15" s="174">
        <v>29726</v>
      </c>
      <c r="H15" s="167">
        <f>_xlfn.IFERROR(H32+H33,"")</f>
        <v>41390.24</v>
      </c>
      <c r="I15" s="61"/>
      <c r="J15" s="61"/>
      <c r="K15" s="50"/>
      <c r="L15" s="53"/>
      <c r="M15" s="53"/>
      <c r="N15" s="53"/>
      <c r="O15" s="53"/>
      <c r="P15" s="53"/>
      <c r="Q15" s="57"/>
      <c r="R15" s="114"/>
      <c r="S15" s="114"/>
      <c r="T15" s="114"/>
      <c r="U15" s="114"/>
    </row>
    <row customHeight="1" ht="27.75">
      <c r="A16" s="48" t="s">
        <v>33</v>
      </c>
      <c r="B16" s="174"/>
      <c r="C16" s="167">
        <v>455</v>
      </c>
      <c r="D16" s="167"/>
      <c r="E16" s="50"/>
      <c r="F16" s="50"/>
      <c r="G16" s="174">
        <v>66500</v>
      </c>
      <c r="H16" s="167">
        <v>95326.1</v>
      </c>
      <c r="I16" s="61"/>
      <c r="J16" s="61"/>
      <c r="K16" s="50"/>
      <c r="L16" s="53"/>
      <c r="M16" s="53"/>
      <c r="N16" s="53"/>
      <c r="O16" s="53"/>
      <c r="P16" s="53"/>
      <c r="Q16" s="57"/>
      <c r="R16" s="114"/>
      <c r="S16" s="114"/>
      <c r="T16" s="114"/>
      <c r="U16" s="114"/>
    </row>
    <row customHeight="1" ht="14.25">
      <c r="A17" s="48" t="s">
        <v>34</v>
      </c>
      <c r="B17" s="174">
        <v>3100</v>
      </c>
      <c r="C17" s="167">
        <f>_xlfn.IFERROR(C35+C36,"")</f>
        <v>196</v>
      </c>
      <c r="D17" s="167">
        <f>_xlfn.IFERROR(D35+D36,"")</f>
        <v>0</v>
      </c>
      <c r="E17" s="50"/>
      <c r="F17" s="50"/>
      <c r="G17" s="174">
        <v>58740</v>
      </c>
      <c r="H17" s="167">
        <f>_xlfn.IFERROR(H35+H36,"")</f>
        <v>55319</v>
      </c>
      <c r="I17" s="61"/>
      <c r="J17" s="61"/>
      <c r="K17" s="50"/>
      <c r="L17" s="53"/>
      <c r="M17" s="53"/>
      <c r="N17" s="53"/>
      <c r="O17" s="53"/>
      <c r="P17" s="53"/>
      <c r="Q17" s="57"/>
      <c r="R17" s="114"/>
      <c r="S17" s="114"/>
      <c r="T17" s="114"/>
      <c r="U17" s="114"/>
    </row>
    <row customHeight="1" ht="14.25">
      <c r="A18" s="48" t="s">
        <v>35</v>
      </c>
      <c r="B18" s="174"/>
      <c r="C18" s="167"/>
      <c r="D18" s="167"/>
      <c r="E18" s="50"/>
      <c r="F18" s="50"/>
      <c r="G18" s="174">
        <v>1305400</v>
      </c>
      <c r="H18" s="167">
        <v>1479586</v>
      </c>
      <c r="I18" s="61"/>
      <c r="J18" s="61"/>
      <c r="K18" s="50"/>
      <c r="L18" s="50"/>
      <c r="M18" s="50"/>
      <c r="N18" s="50"/>
      <c r="O18" s="50"/>
      <c r="P18" s="50"/>
      <c r="Q18" s="50"/>
      <c r="R18" s="114"/>
      <c r="S18" s="180">
        <v>15.089986155976</v>
      </c>
      <c r="T18" s="174">
        <v>15.089986155976</v>
      </c>
      <c r="U18" s="174">
        <v>15.089986155976</v>
      </c>
    </row>
    <row customHeight="1" ht="41.25">
      <c r="A19" s="48" t="s">
        <v>36</v>
      </c>
      <c r="B19" s="174"/>
      <c r="C19" s="167">
        <v>1408.515</v>
      </c>
      <c r="D19" s="167"/>
      <c r="E19" s="50"/>
      <c r="F19" s="50"/>
      <c r="G19" s="174"/>
      <c r="H19" s="167">
        <v>996120.432</v>
      </c>
      <c r="I19" s="61"/>
      <c r="J19" s="61"/>
      <c r="K19" s="61"/>
      <c r="L19" s="61"/>
      <c r="M19" s="61"/>
      <c r="N19" s="61"/>
      <c r="O19" s="61"/>
      <c r="P19" s="61"/>
      <c r="Q19" s="61"/>
      <c r="R19" s="114"/>
      <c r="S19" s="114"/>
      <c r="T19" s="180">
        <v>15.9</v>
      </c>
      <c r="U19" s="114"/>
    </row>
    <row customHeight="1" ht="14.25">
      <c r="A20" s="48" t="s">
        <v>37</v>
      </c>
      <c r="B20" s="174"/>
      <c r="C20" s="167"/>
      <c r="D20" s="167"/>
      <c r="E20" s="50"/>
      <c r="F20" s="50"/>
      <c r="G20" s="174">
        <v>194600</v>
      </c>
      <c r="H20" s="167">
        <v>179565</v>
      </c>
      <c r="I20" s="61"/>
      <c r="J20" s="61"/>
      <c r="K20" s="61"/>
      <c r="L20" s="61"/>
      <c r="M20" s="61"/>
      <c r="N20" s="61"/>
      <c r="O20" s="61"/>
      <c r="P20" s="61"/>
      <c r="Q20" s="61"/>
      <c r="R20" s="114"/>
      <c r="S20" s="114"/>
      <c r="T20" s="114"/>
      <c r="U20" s="114"/>
    </row>
    <row customHeight="1" ht="27.75">
      <c r="A21" s="48" t="s">
        <v>38</v>
      </c>
      <c r="B21" s="174"/>
      <c r="C21" s="177">
        <v>223.14</v>
      </c>
      <c r="D21" s="167"/>
      <c r="E21" s="50"/>
      <c r="F21" s="50"/>
      <c r="G21" s="174"/>
      <c r="H21" s="167">
        <v>199123.18</v>
      </c>
      <c r="I21" s="61"/>
      <c r="J21" s="61"/>
      <c r="K21" s="50"/>
      <c r="L21" s="50"/>
      <c r="M21" s="50"/>
      <c r="N21" s="50"/>
      <c r="O21" s="50"/>
      <c r="P21" s="50"/>
      <c r="Q21" s="50"/>
      <c r="R21" s="114"/>
      <c r="S21" s="114"/>
      <c r="T21" s="114"/>
      <c r="U21" s="114"/>
    </row>
    <row customHeight="1" ht="14.25">
      <c r="A22" s="48" t="s">
        <v>39</v>
      </c>
      <c r="B22" s="174">
        <f>B18+B20</f>
        <v>0</v>
      </c>
      <c r="C22" s="167">
        <f>_xlfn.IFERROR(C20+C18,"")</f>
        <v>0</v>
      </c>
      <c r="D22" s="167">
        <f>_xlfn.IFERROR(D20+D18,"")</f>
        <v>0</v>
      </c>
      <c r="E22" s="50"/>
      <c r="F22" s="50"/>
      <c r="G22" s="174">
        <v>1500000</v>
      </c>
      <c r="H22" s="167">
        <f>_xlfn.IFERROR(H20+H18,"")</f>
        <v>1659151</v>
      </c>
      <c r="I22" s="61"/>
      <c r="J22" s="61"/>
      <c r="K22" s="50"/>
      <c r="L22" s="50"/>
      <c r="M22" s="50"/>
      <c r="N22" s="50"/>
      <c r="O22" s="50"/>
      <c r="P22" s="50"/>
      <c r="Q22" s="58"/>
      <c r="R22" s="114"/>
      <c r="S22" s="114"/>
      <c r="T22" s="114"/>
      <c r="U22" s="114"/>
    </row>
    <row customHeight="1" ht="41.25">
      <c r="A23" s="48" t="s">
        <v>40</v>
      </c>
      <c r="B23" s="174">
        <f>B19+B21</f>
        <v>0</v>
      </c>
      <c r="C23" s="167">
        <f>_xlfn.IFERROR(C19+C21,"")</f>
        <v>1631.655</v>
      </c>
      <c r="D23" s="167">
        <f>_xlfn.IFERROR(D19+D21,"")</f>
        <v>0</v>
      </c>
      <c r="E23" s="50"/>
      <c r="F23" s="50"/>
      <c r="G23" s="174">
        <f>G19+G21</f>
        <v>0</v>
      </c>
      <c r="H23" s="167">
        <f>_xlfn.IFERROR(H19+H21,"")</f>
        <v>1195243.612</v>
      </c>
      <c r="I23" s="61"/>
      <c r="J23" s="61"/>
      <c r="K23" s="50"/>
      <c r="L23" s="49" t="s">
        <v>41</v>
      </c>
      <c r="M23" s="49" t="s">
        <v>42</v>
      </c>
      <c r="N23" s="49" t="s">
        <v>6</v>
      </c>
      <c r="O23" s="49" t="s">
        <v>43</v>
      </c>
      <c r="P23" s="49" t="s">
        <v>44</v>
      </c>
      <c r="Q23" s="59"/>
      <c r="R23" s="114"/>
      <c r="S23" s="114"/>
      <c r="T23" s="114"/>
      <c r="U23" s="114"/>
    </row>
    <row customHeight="1" ht="14.25">
      <c r="A24" s="48" t="s">
        <v>45</v>
      </c>
      <c r="B24" s="174"/>
      <c r="C24" s="167"/>
      <c r="D24" s="167"/>
      <c r="E24" s="50"/>
      <c r="F24" s="50"/>
      <c r="G24" s="174">
        <v>1641452</v>
      </c>
      <c r="H24" s="167">
        <v>1559802</v>
      </c>
      <c r="I24" s="61"/>
      <c r="J24" s="61"/>
      <c r="K24" s="50"/>
      <c r="L24" s="79" t="s">
        <v>46</v>
      </c>
      <c r="M24" s="79" t="s">
        <v>47</v>
      </c>
      <c r="N24" s="79">
        <v>8541.29</v>
      </c>
      <c r="O24" s="79">
        <v>8541.29</v>
      </c>
      <c r="P24" s="79">
        <v>8541.29</v>
      </c>
      <c r="Q24" s="79"/>
      <c r="R24" s="114"/>
      <c r="S24" s="114"/>
      <c r="T24" s="114"/>
      <c r="U24" s="114"/>
    </row>
    <row customHeight="1" ht="41.25">
      <c r="A25" s="48" t="s">
        <v>48</v>
      </c>
      <c r="B25" s="174"/>
      <c r="C25" s="167">
        <v>504.768</v>
      </c>
      <c r="D25" s="167"/>
      <c r="E25" s="50"/>
      <c r="F25" s="50"/>
      <c r="G25" s="51"/>
      <c r="H25" s="167">
        <v>1130964.411</v>
      </c>
      <c r="I25" s="61"/>
      <c r="J25" s="61"/>
      <c r="K25" s="50"/>
      <c r="L25" s="79"/>
      <c r="M25" s="79"/>
      <c r="N25" s="79"/>
      <c r="O25" s="79"/>
      <c r="P25" s="79"/>
      <c r="Q25" s="79"/>
      <c r="R25" s="114"/>
      <c r="S25" s="114"/>
      <c r="T25" s="114"/>
      <c r="U25" s="114"/>
    </row>
    <row customHeight="1" ht="14.25">
      <c r="A26" s="114"/>
      <c r="B26" s="114"/>
      <c r="C26" s="167">
        <v>2053</v>
      </c>
      <c r="D26" s="167"/>
      <c r="E26" s="114"/>
      <c r="F26" s="114"/>
      <c r="G26" s="114"/>
      <c r="H26" s="167">
        <v>840052</v>
      </c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</row>
    <row customHeight="1" ht="14.25">
      <c r="A27" s="167">
        <v>4705</v>
      </c>
      <c r="B27" s="114"/>
      <c r="C27" s="167">
        <v>0</v>
      </c>
      <c r="D27" s="167"/>
      <c r="E27" s="114"/>
      <c r="F27" s="114"/>
      <c r="G27" s="114"/>
      <c r="H27" s="167">
        <v>0.43</v>
      </c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</row>
    <row customHeight="1" ht="14.25">
      <c r="A28" s="167">
        <v>44</v>
      </c>
      <c r="B28" s="114"/>
      <c r="C28" s="167">
        <v>654</v>
      </c>
      <c r="D28" s="167"/>
      <c r="E28" s="114"/>
      <c r="F28" s="114"/>
      <c r="G28" s="114"/>
      <c r="H28" s="167">
        <v>192327</v>
      </c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</row>
    <row customHeight="1" ht="14.25">
      <c r="A29" s="114"/>
      <c r="B29" s="114"/>
      <c r="C29" s="167">
        <v>0</v>
      </c>
      <c r="D29" s="167"/>
      <c r="E29" s="114"/>
      <c r="F29" s="114"/>
      <c r="G29" s="114"/>
      <c r="H29" s="167">
        <v>34449</v>
      </c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</row>
    <row customHeight="1" ht="14.25">
      <c r="A30" s="167"/>
      <c r="B30" s="114"/>
      <c r="C30" s="167">
        <v>0</v>
      </c>
      <c r="D30" s="167"/>
      <c r="E30" s="114"/>
      <c r="F30" s="114"/>
      <c r="G30" s="114"/>
      <c r="H30" s="167">
        <v>0</v>
      </c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</row>
    <row customHeight="1" ht="14.25">
      <c r="A31" s="167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</row>
    <row customHeight="1" ht="14.25">
      <c r="A32" s="114"/>
      <c r="B32" s="114"/>
      <c r="C32" s="167">
        <v>0</v>
      </c>
      <c r="D32" s="167"/>
      <c r="E32" s="114"/>
      <c r="F32" s="114"/>
      <c r="G32" s="114"/>
      <c r="H32" s="167">
        <v>0</v>
      </c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</row>
    <row customHeight="1" ht="14.25">
      <c r="A33" s="167">
        <v>1899817</v>
      </c>
      <c r="B33" s="114"/>
      <c r="C33" s="167">
        <v>139</v>
      </c>
      <c r="D33" s="167"/>
      <c r="E33" s="114"/>
      <c r="F33" s="114"/>
      <c r="G33" s="114"/>
      <c r="H33" s="167">
        <v>41390.24</v>
      </c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</row>
    <row customHeight="1" ht="14.25">
      <c r="A34" s="167">
        <v>10633.43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</row>
    <row customHeight="1" ht="14.25">
      <c r="A35" s="114"/>
      <c r="B35" s="114"/>
      <c r="C35" s="167">
        <v>196</v>
      </c>
      <c r="D35" s="167"/>
      <c r="E35" s="114"/>
      <c r="F35" s="114"/>
      <c r="G35" s="114"/>
      <c r="H35" s="167">
        <v>48920</v>
      </c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</row>
    <row customHeight="1" ht="14.25">
      <c r="A36" s="114"/>
      <c r="B36" s="114"/>
      <c r="C36" s="167">
        <v>0</v>
      </c>
      <c r="D36" s="167"/>
      <c r="E36" s="114"/>
      <c r="F36" s="114"/>
      <c r="G36" s="114"/>
      <c r="H36" s="167">
        <v>6399</v>
      </c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</row>
    <row customHeight="1" ht="14.399999999999999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</row>
    <row customHeight="1" ht="14.25">
      <c r="A38" s="167">
        <v>10329</v>
      </c>
      <c r="B38" s="167"/>
      <c r="C38" s="167">
        <v>3972275</v>
      </c>
      <c r="D38" s="114">
        <f>_xlfn.IFERROR(B38+A38,"")</f>
        <v>10329</v>
      </c>
      <c r="E38" s="114">
        <f>_xlfn.IFERROR(C38+A38,"")</f>
        <v>3982604</v>
      </c>
      <c r="F38" s="167" t="s">
        <v>23</v>
      </c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</row>
    <row customHeight="1" ht="14.25">
      <c r="A39" s="167">
        <v>4334</v>
      </c>
      <c r="B39" s="167"/>
      <c r="C39" s="167">
        <v>1471945</v>
      </c>
      <c r="D39" s="114">
        <f>_xlfn.IFERROR(B39+A39,"")</f>
        <v>4334</v>
      </c>
      <c r="E39" s="114">
        <f>_xlfn.IFERROR(C39+A39,"")</f>
        <v>1476279</v>
      </c>
      <c r="F39" s="167" t="s">
        <v>24</v>
      </c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</row>
    <row customHeight="1" ht="14.25">
      <c r="A40" s="167">
        <v>3324</v>
      </c>
      <c r="B40" s="167"/>
      <c r="C40" s="167">
        <v>1002314.5</v>
      </c>
      <c r="D40" s="114">
        <f>_xlfn.IFERROR(B40+A40,"")</f>
        <v>3324</v>
      </c>
      <c r="E40" s="114">
        <f>_xlfn.IFERROR(C40+A40,"")</f>
        <v>1005638.5</v>
      </c>
      <c r="F40" s="167" t="s">
        <v>25</v>
      </c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</row>
    <row customHeight="1" ht="14.25">
      <c r="A41" s="167">
        <v>2053</v>
      </c>
      <c r="B41" s="167"/>
      <c r="C41" s="167">
        <v>840052</v>
      </c>
      <c r="D41" s="114">
        <f>_xlfn.IFERROR(B41+A41,"")</f>
        <v>2053</v>
      </c>
      <c r="E41" s="114">
        <f>_xlfn.IFERROR(C41+A41,"")</f>
        <v>842105</v>
      </c>
      <c r="F41" s="167" t="s">
        <v>26</v>
      </c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</row>
    <row customHeight="1" ht="14.25">
      <c r="A42" s="167">
        <v>4705</v>
      </c>
      <c r="B42" s="167"/>
      <c r="C42" s="167">
        <v>1899817</v>
      </c>
      <c r="D42" s="114">
        <f>_xlfn.IFERROR(B42+A42,"")</f>
        <v>4705</v>
      </c>
      <c r="E42" s="114">
        <f>_xlfn.IFERROR(C42+A42,"")</f>
        <v>1904522</v>
      </c>
      <c r="F42" s="167" t="s">
        <v>27</v>
      </c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</row>
    <row customHeight="1" ht="14.25">
      <c r="A43" s="167">
        <v>0</v>
      </c>
      <c r="B43" s="167"/>
      <c r="C43" s="167">
        <v>0</v>
      </c>
      <c r="D43" s="114">
        <f>_xlfn.IFERROR(B43+A43,"")</f>
        <v>0</v>
      </c>
      <c r="E43" s="114">
        <f>_xlfn.IFERROR(C43+A43,"")</f>
        <v>0</v>
      </c>
      <c r="F43" s="167" t="s">
        <v>28</v>
      </c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</row>
    <row customHeight="1" ht="14.25">
      <c r="A44" s="167">
        <v>3554</v>
      </c>
      <c r="B44" s="167"/>
      <c r="C44" s="167">
        <v>1353738</v>
      </c>
      <c r="D44" s="114">
        <f>_xlfn.IFERROR(B44+A44,"")</f>
        <v>3554</v>
      </c>
      <c r="E44" s="114">
        <f>_xlfn.IFERROR(C44+A44,"")</f>
        <v>1357292</v>
      </c>
      <c r="F44" s="167" t="s">
        <v>29</v>
      </c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</row>
    <row customHeight="1" ht="14.25">
      <c r="A45" s="114"/>
      <c r="B45" s="114"/>
      <c r="C45" s="114"/>
      <c r="D45" s="114">
        <f>_xlfn.IFERROR(B45+A45,"")</f>
        <v>0</v>
      </c>
      <c r="E45" s="114">
        <f>_xlfn.IFERROR(C45+A45,"")</f>
        <v>0</v>
      </c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</row>
    <row customHeight="1" ht="14.25">
      <c r="A46" s="167">
        <v>1329</v>
      </c>
      <c r="B46" s="167"/>
      <c r="C46" s="167">
        <v>493722</v>
      </c>
      <c r="D46" s="114">
        <f>_xlfn.IFERROR(B46+A46,"")</f>
        <v>1329</v>
      </c>
      <c r="E46" s="114">
        <f>_xlfn.IFERROR(C46+A46,"")</f>
        <v>495051</v>
      </c>
      <c r="F46" s="114"/>
      <c r="G46" s="114"/>
      <c r="H46" s="114"/>
      <c r="I46" s="114"/>
      <c r="J46" s="114"/>
      <c r="K46" s="114"/>
      <c r="L46" s="190" t="s">
        <v>64</v>
      </c>
      <c r="M46" s="114"/>
      <c r="N46" s="114"/>
      <c r="O46" s="114"/>
      <c r="P46" s="114"/>
      <c r="Q46" s="114"/>
      <c r="R46" s="114"/>
      <c r="S46" s="114"/>
      <c r="T46" s="114"/>
      <c r="U46" s="114"/>
    </row>
    <row customHeight="1" ht="14.25">
      <c r="A47" s="167">
        <v>914</v>
      </c>
      <c r="B47" s="167"/>
      <c r="C47" s="167">
        <v>281248</v>
      </c>
      <c r="D47" s="114">
        <f>_xlfn.IFERROR(B47+A47,"")</f>
        <v>914</v>
      </c>
      <c r="E47" s="114">
        <f>_xlfn.IFERROR(C47+A47,"")</f>
        <v>282162</v>
      </c>
      <c r="F47" s="114"/>
      <c r="G47" s="114"/>
      <c r="H47" s="114"/>
      <c r="I47" s="114"/>
      <c r="J47" s="114"/>
      <c r="K47" s="114"/>
      <c r="L47" s="190"/>
      <c r="M47" s="114"/>
      <c r="N47" s="114"/>
      <c r="O47" s="114"/>
      <c r="P47" s="114"/>
      <c r="Q47" s="114"/>
      <c r="R47" s="114"/>
      <c r="S47" s="114"/>
      <c r="T47" s="114"/>
      <c r="U47" s="114"/>
    </row>
    <row customHeight="1" ht="14.25">
      <c r="A48" s="167"/>
      <c r="B48" s="167"/>
      <c r="C48" s="167"/>
      <c r="D48" s="114">
        <f>_xlfn.IFERROR(B48+A48,"")</f>
        <v>0</v>
      </c>
      <c r="E48" s="114">
        <f>_xlfn.IFERROR(C48+A48,"")</f>
        <v>0</v>
      </c>
      <c r="F48" s="114"/>
      <c r="G48" s="114"/>
      <c r="H48" s="114"/>
      <c r="I48" s="114"/>
      <c r="J48" s="114"/>
      <c r="K48" s="114"/>
      <c r="L48" s="190"/>
      <c r="M48" s="114"/>
      <c r="N48" s="114"/>
      <c r="O48" s="114"/>
      <c r="P48" s="114"/>
      <c r="Q48" s="114"/>
      <c r="R48" s="114"/>
      <c r="S48" s="114"/>
      <c r="T48" s="114"/>
      <c r="U48" s="114"/>
    </row>
    <row customHeight="1" ht="14.25">
      <c r="A49" s="167">
        <v>0</v>
      </c>
      <c r="B49" s="167"/>
      <c r="C49" s="167">
        <v>0</v>
      </c>
      <c r="D49" s="114">
        <f>_xlfn.IFERROR(B49+A49,"")</f>
        <v>0</v>
      </c>
      <c r="E49" s="114">
        <f>_xlfn.IFERROR(C49+A49,"")</f>
        <v>0</v>
      </c>
      <c r="F49" s="114"/>
      <c r="G49" s="114"/>
      <c r="H49" s="114"/>
      <c r="I49" s="114"/>
      <c r="J49" s="114"/>
      <c r="K49" s="114"/>
      <c r="L49" s="190"/>
      <c r="M49" s="114"/>
      <c r="N49" s="114"/>
      <c r="O49" s="114"/>
      <c r="P49" s="114"/>
      <c r="Q49" s="114"/>
      <c r="R49" s="114"/>
      <c r="S49" s="114"/>
      <c r="T49" s="114"/>
      <c r="U49" s="114"/>
    </row>
    <row customHeight="1" ht="14.25">
      <c r="A50" s="167">
        <v>2620</v>
      </c>
      <c r="B50" s="167"/>
      <c r="C50" s="167">
        <v>1099729</v>
      </c>
      <c r="D50" s="114">
        <f>_xlfn.IFERROR(B50+A50,"")</f>
        <v>2620</v>
      </c>
      <c r="E50" s="114">
        <f>_xlfn.IFERROR(C50+A50,"")</f>
        <v>1102349</v>
      </c>
      <c r="F50" s="114"/>
      <c r="G50" s="114"/>
      <c r="H50" s="114"/>
      <c r="I50" s="114"/>
      <c r="J50" s="114"/>
      <c r="K50" s="114"/>
      <c r="L50" s="190"/>
      <c r="M50" s="114"/>
      <c r="N50" s="114"/>
      <c r="O50" s="114"/>
      <c r="P50" s="114"/>
      <c r="Q50" s="114"/>
      <c r="R50" s="114"/>
      <c r="S50" s="114"/>
      <c r="T50" s="114"/>
      <c r="U50" s="114"/>
    </row>
    <row customHeight="1" ht="14.25">
      <c r="A51" s="167">
        <v>126</v>
      </c>
      <c r="B51" s="167"/>
      <c r="C51" s="167">
        <v>44851</v>
      </c>
      <c r="D51" s="114">
        <f>_xlfn.IFERROR(B51+A51,"")</f>
        <v>126</v>
      </c>
      <c r="E51" s="114">
        <f>_xlfn.IFERROR(C51+A51,"")</f>
        <v>44977</v>
      </c>
      <c r="F51" s="114"/>
      <c r="G51" s="114"/>
      <c r="H51" s="114"/>
      <c r="I51" s="114"/>
      <c r="J51" s="114"/>
      <c r="K51" s="114"/>
      <c r="L51" s="190"/>
      <c r="M51" s="114"/>
      <c r="N51" s="114"/>
      <c r="O51" s="114"/>
      <c r="P51" s="114"/>
      <c r="Q51" s="114"/>
      <c r="R51" s="114"/>
      <c r="S51" s="114"/>
      <c r="T51" s="114"/>
      <c r="U51" s="114"/>
    </row>
    <row customHeight="1" ht="14.25">
      <c r="A52" s="167">
        <v>5250</v>
      </c>
      <c r="B52" s="167"/>
      <c r="C52" s="167">
        <v>2016783</v>
      </c>
      <c r="D52" s="114">
        <f>_xlfn.IFERROR(B52+A52,"")</f>
        <v>5250</v>
      </c>
      <c r="E52" s="114">
        <f>_xlfn.IFERROR(C52+A52,"")</f>
        <v>2022033</v>
      </c>
      <c r="F52" s="114"/>
      <c r="G52" s="114"/>
      <c r="H52" s="114"/>
      <c r="I52" s="114"/>
      <c r="J52" s="114"/>
      <c r="K52" s="114"/>
      <c r="L52" s="190"/>
      <c r="M52" s="114"/>
      <c r="N52" s="114"/>
      <c r="O52" s="114"/>
      <c r="P52" s="114"/>
      <c r="Q52" s="114"/>
      <c r="R52" s="114"/>
      <c r="S52" s="114"/>
      <c r="T52" s="114"/>
      <c r="U52" s="114"/>
    </row>
    <row customHeight="1" ht="14.25">
      <c r="A53" s="114"/>
      <c r="B53" s="114"/>
      <c r="C53" s="114"/>
      <c r="D53" s="114">
        <f>_xlfn.IFERROR(B53+A53,"")</f>
        <v>0</v>
      </c>
      <c r="E53" s="114">
        <f>_xlfn.IFERROR(C53+A53,"")</f>
        <v>0</v>
      </c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</row>
    <row customHeight="1" ht="14.25">
      <c r="A54" s="167">
        <v>654</v>
      </c>
      <c r="B54" s="167"/>
      <c r="C54" s="167">
        <v>192327</v>
      </c>
      <c r="D54" s="114">
        <f>_xlfn.IFERROR(B54+A54,"")</f>
        <v>654</v>
      </c>
      <c r="E54" s="114">
        <f>_xlfn.IFERROR(C54+A54,"")</f>
        <v>192981</v>
      </c>
      <c r="F54" s="114"/>
      <c r="G54" s="114"/>
      <c r="H54" s="114"/>
      <c r="I54" s="114"/>
      <c r="J54" s="114"/>
      <c r="K54" s="114"/>
      <c r="L54" s="190" t="s">
        <v>65</v>
      </c>
      <c r="M54" s="114"/>
      <c r="N54" s="114"/>
      <c r="O54" s="114"/>
      <c r="P54" s="114"/>
      <c r="Q54" s="114"/>
      <c r="R54" s="114"/>
      <c r="S54" s="114"/>
      <c r="T54" s="114"/>
      <c r="U54" s="114"/>
    </row>
    <row customHeight="1" ht="14.25">
      <c r="A55" s="167">
        <v>2090</v>
      </c>
      <c r="B55" s="167"/>
      <c r="C55" s="167">
        <v>725290</v>
      </c>
      <c r="D55" s="114">
        <f>_xlfn.IFERROR(B55+A55,"")</f>
        <v>2090</v>
      </c>
      <c r="E55" s="114">
        <f>_xlfn.IFERROR(C55+A55,"")</f>
        <v>727380</v>
      </c>
      <c r="F55" s="114"/>
      <c r="G55" s="114"/>
      <c r="H55" s="114"/>
      <c r="I55" s="114"/>
      <c r="J55" s="114"/>
      <c r="K55" s="114"/>
      <c r="L55" s="190"/>
      <c r="M55" s="114"/>
      <c r="N55" s="114"/>
      <c r="O55" s="114"/>
      <c r="P55" s="114"/>
      <c r="Q55" s="114"/>
      <c r="R55" s="114"/>
      <c r="S55" s="114"/>
      <c r="T55" s="114"/>
      <c r="U55" s="114"/>
    </row>
    <row customHeight="1" ht="14.25">
      <c r="A56" s="167">
        <v>940</v>
      </c>
      <c r="B56" s="167"/>
      <c r="C56" s="167">
        <v>333780</v>
      </c>
      <c r="D56" s="114">
        <f>_xlfn.IFERROR(B56+A56,"")</f>
        <v>940</v>
      </c>
      <c r="E56" s="114">
        <f>_xlfn.IFERROR(C56+A56,"")</f>
        <v>334720</v>
      </c>
      <c r="F56" s="114"/>
      <c r="G56" s="114"/>
      <c r="H56" s="114"/>
      <c r="I56" s="114"/>
      <c r="J56" s="114"/>
      <c r="K56" s="114"/>
      <c r="L56" s="190"/>
      <c r="M56" s="114"/>
      <c r="N56" s="114"/>
      <c r="O56" s="114"/>
      <c r="P56" s="114"/>
      <c r="Q56" s="114"/>
      <c r="R56" s="114"/>
      <c r="S56" s="114"/>
      <c r="T56" s="114"/>
      <c r="U56" s="114"/>
    </row>
    <row customHeight="1" ht="14.25">
      <c r="A57" s="167">
        <v>196</v>
      </c>
      <c r="B57" s="167"/>
      <c r="C57" s="167">
        <v>48920</v>
      </c>
      <c r="D57" s="114">
        <f>_xlfn.IFERROR(B57+A57,"")</f>
        <v>196</v>
      </c>
      <c r="E57" s="114">
        <f>_xlfn.IFERROR(C57+A57,"")</f>
        <v>49116</v>
      </c>
      <c r="F57" s="114"/>
      <c r="G57" s="114"/>
      <c r="H57" s="114"/>
      <c r="I57" s="114"/>
      <c r="J57" s="114"/>
      <c r="K57" s="114"/>
      <c r="L57" s="190"/>
      <c r="M57" s="114"/>
      <c r="N57" s="114"/>
      <c r="O57" s="114"/>
      <c r="P57" s="114"/>
      <c r="Q57" s="114"/>
      <c r="R57" s="114"/>
      <c r="S57" s="114"/>
      <c r="T57" s="114"/>
      <c r="U57" s="114"/>
    </row>
    <row customHeight="1" ht="14.25">
      <c r="A58" s="167">
        <v>100</v>
      </c>
      <c r="B58" s="167"/>
      <c r="C58" s="167">
        <v>38356</v>
      </c>
      <c r="D58" s="114">
        <f>_xlfn.IFERROR(B58+A58,"")</f>
        <v>100</v>
      </c>
      <c r="E58" s="114">
        <f>_xlfn.IFERROR(C58+A58,"")</f>
        <v>38456</v>
      </c>
      <c r="F58" s="114"/>
      <c r="G58" s="114"/>
      <c r="H58" s="114"/>
      <c r="I58" s="114"/>
      <c r="J58" s="114"/>
      <c r="K58" s="114"/>
      <c r="L58" s="190"/>
      <c r="M58" s="114"/>
      <c r="N58" s="114"/>
      <c r="O58" s="114"/>
      <c r="P58" s="114"/>
      <c r="Q58" s="114"/>
      <c r="R58" s="114"/>
      <c r="S58" s="114"/>
      <c r="T58" s="114"/>
      <c r="U58" s="114"/>
    </row>
    <row customHeight="1" ht="14.25">
      <c r="A59" s="167">
        <v>330</v>
      </c>
      <c r="B59" s="167"/>
      <c r="C59" s="167">
        <v>126130</v>
      </c>
      <c r="D59" s="114">
        <f>_xlfn.IFERROR(B59+A59,"")</f>
        <v>330</v>
      </c>
      <c r="E59" s="114">
        <f>_xlfn.IFERROR(C59+A59,"")</f>
        <v>126460</v>
      </c>
      <c r="F59" s="114"/>
      <c r="G59" s="114"/>
      <c r="H59" s="114"/>
      <c r="I59" s="114"/>
      <c r="J59" s="114"/>
      <c r="K59" s="114"/>
      <c r="L59" s="190"/>
      <c r="M59" s="114"/>
      <c r="N59" s="114"/>
      <c r="O59" s="114"/>
      <c r="P59" s="114"/>
      <c r="Q59" s="114"/>
      <c r="R59" s="114"/>
      <c r="S59" s="114"/>
      <c r="T59" s="114"/>
      <c r="U59" s="114"/>
    </row>
    <row customHeight="1" ht="14.25">
      <c r="A60" s="167">
        <v>0</v>
      </c>
      <c r="B60" s="167"/>
      <c r="C60" s="167">
        <v>0</v>
      </c>
      <c r="D60" s="114">
        <f>_xlfn.IFERROR(B60+A60,"")</f>
        <v>0</v>
      </c>
      <c r="E60" s="114">
        <f>_xlfn.IFERROR(C60+A60,"")</f>
        <v>0</v>
      </c>
      <c r="F60" s="114"/>
      <c r="G60" s="114"/>
      <c r="H60" s="114"/>
      <c r="I60" s="114"/>
      <c r="J60" s="114"/>
      <c r="K60" s="114"/>
      <c r="L60" s="190"/>
      <c r="M60" s="114"/>
      <c r="N60" s="114"/>
      <c r="O60" s="114"/>
      <c r="P60" s="114"/>
      <c r="Q60" s="114"/>
      <c r="R60" s="114"/>
      <c r="S60" s="114"/>
      <c r="T60" s="114"/>
      <c r="U60" s="114"/>
    </row>
    <row customHeight="1" ht="14.25">
      <c r="A61" s="114"/>
      <c r="B61" s="114"/>
      <c r="C61" s="114"/>
      <c r="D61" s="114">
        <f>_xlfn.IFERROR(B61+A61,"")</f>
        <v>0</v>
      </c>
      <c r="E61" s="114">
        <f>_xlfn.IFERROR(C61+A61,"")</f>
        <v>0</v>
      </c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</row>
    <row customHeight="1" ht="14.25">
      <c r="A62" s="167">
        <v>1930</v>
      </c>
      <c r="B62" s="167"/>
      <c r="C62" s="167">
        <v>634832.59</v>
      </c>
      <c r="D62" s="114">
        <f>_xlfn.IFERROR(B62+A62,"")</f>
        <v>1930</v>
      </c>
      <c r="E62" s="114">
        <f>_xlfn.IFERROR(C62+A62,"")</f>
        <v>636762.59</v>
      </c>
      <c r="F62" s="114"/>
      <c r="G62" s="114"/>
      <c r="H62" s="114"/>
      <c r="I62" s="114"/>
      <c r="J62" s="114"/>
      <c r="K62" s="114"/>
      <c r="L62" s="190" t="s">
        <v>66</v>
      </c>
      <c r="M62" s="114"/>
      <c r="N62" s="114"/>
      <c r="O62" s="114"/>
      <c r="P62" s="114"/>
      <c r="Q62" s="114"/>
      <c r="R62" s="114"/>
      <c r="S62" s="114"/>
      <c r="T62" s="114"/>
      <c r="U62" s="114"/>
    </row>
    <row customHeight="1" ht="14.25">
      <c r="A63" s="167">
        <v>117</v>
      </c>
      <c r="B63" s="167"/>
      <c r="C63" s="167">
        <v>21166.04</v>
      </c>
      <c r="D63" s="114">
        <f>_xlfn.IFERROR(B63+A63,"")</f>
        <v>117</v>
      </c>
      <c r="E63" s="114">
        <f>_xlfn.IFERROR(C63+A63,"")</f>
        <v>21283.04</v>
      </c>
      <c r="F63" s="114"/>
      <c r="G63" s="114"/>
      <c r="H63" s="114"/>
      <c r="I63" s="114"/>
      <c r="J63" s="114"/>
      <c r="K63" s="114"/>
      <c r="L63" s="190"/>
      <c r="M63" s="114"/>
      <c r="N63" s="114"/>
      <c r="O63" s="114"/>
      <c r="P63" s="114"/>
      <c r="Q63" s="114"/>
      <c r="R63" s="114"/>
      <c r="S63" s="114"/>
      <c r="T63" s="114"/>
      <c r="U63" s="114"/>
    </row>
    <row customHeight="1" ht="14.25">
      <c r="A64" s="167">
        <v>446</v>
      </c>
      <c r="B64" s="167"/>
      <c r="C64" s="167">
        <v>136053.97</v>
      </c>
      <c r="D64" s="114">
        <f>_xlfn.IFERROR(B64+A64,"")</f>
        <v>446</v>
      </c>
      <c r="E64" s="114">
        <f>_xlfn.IFERROR(C64+A64,"")</f>
        <v>136499.97</v>
      </c>
      <c r="F64" s="114"/>
      <c r="G64" s="114"/>
      <c r="H64" s="114"/>
      <c r="I64" s="114"/>
      <c r="J64" s="114"/>
      <c r="K64" s="114"/>
      <c r="L64" s="190"/>
      <c r="M64" s="114"/>
      <c r="N64" s="114"/>
      <c r="O64" s="114"/>
      <c r="P64" s="114"/>
      <c r="Q64" s="114"/>
      <c r="R64" s="114"/>
      <c r="S64" s="114"/>
      <c r="T64" s="114"/>
      <c r="U64" s="114"/>
    </row>
    <row customHeight="1" ht="14.25">
      <c r="A65" s="167">
        <v>155</v>
      </c>
      <c r="B65" s="167"/>
      <c r="C65" s="167">
        <v>47161.88</v>
      </c>
      <c r="D65" s="114">
        <f>_xlfn.IFERROR(B65+A65,"")</f>
        <v>155</v>
      </c>
      <c r="E65" s="114">
        <f>_xlfn.IFERROR(C65+A65,"")</f>
        <v>47316.88</v>
      </c>
      <c r="F65" s="114"/>
      <c r="G65" s="114"/>
      <c r="H65" s="114"/>
      <c r="I65" s="114"/>
      <c r="J65" s="114"/>
      <c r="K65" s="114"/>
      <c r="L65" s="190"/>
      <c r="M65" s="114"/>
      <c r="N65" s="114"/>
      <c r="O65" s="114"/>
      <c r="P65" s="114"/>
      <c r="Q65" s="114"/>
      <c r="R65" s="114"/>
      <c r="S65" s="114"/>
      <c r="T65" s="114"/>
      <c r="U65" s="114"/>
    </row>
    <row customHeight="1" ht="14.25">
      <c r="A66" s="167">
        <v>455</v>
      </c>
      <c r="B66" s="167"/>
      <c r="C66" s="167">
        <v>95326.1</v>
      </c>
      <c r="D66" s="114">
        <f>_xlfn.IFERROR(B66+A66,"")</f>
        <v>455</v>
      </c>
      <c r="E66" s="114">
        <f>_xlfn.IFERROR(C66+A66,"")</f>
        <v>95781.1</v>
      </c>
      <c r="F66" s="114"/>
      <c r="G66" s="114"/>
      <c r="H66" s="114"/>
      <c r="I66" s="114"/>
      <c r="J66" s="114"/>
      <c r="K66" s="114"/>
      <c r="L66" s="190"/>
      <c r="M66" s="114"/>
      <c r="N66" s="114"/>
      <c r="O66" s="114"/>
      <c r="P66" s="114"/>
      <c r="Q66" s="114"/>
      <c r="R66" s="114"/>
      <c r="S66" s="114"/>
      <c r="T66" s="114"/>
      <c r="U66" s="114"/>
    </row>
    <row customHeight="1" ht="14.25">
      <c r="A67" s="167">
        <v>205</v>
      </c>
      <c r="B67" s="167"/>
      <c r="C67" s="167">
        <v>63127.6919856</v>
      </c>
      <c r="D67" s="114">
        <f>_xlfn.IFERROR(B67+A67,"")</f>
        <v>205</v>
      </c>
      <c r="E67" s="114">
        <f>_xlfn.IFERROR(C67+A67,"")</f>
        <v>63332.6919856</v>
      </c>
      <c r="F67" s="114"/>
      <c r="G67" s="114"/>
      <c r="H67" s="114"/>
      <c r="I67" s="114"/>
      <c r="J67" s="114"/>
      <c r="K67" s="114"/>
      <c r="L67" s="190"/>
      <c r="M67" s="114"/>
      <c r="N67" s="114"/>
      <c r="O67" s="114"/>
      <c r="P67" s="114"/>
      <c r="Q67" s="114"/>
      <c r="R67" s="114"/>
      <c r="S67" s="114"/>
      <c r="T67" s="114"/>
      <c r="U67" s="114"/>
    </row>
    <row customHeight="1" ht="14.25">
      <c r="A68" s="114"/>
      <c r="B68" s="114"/>
      <c r="C68" s="114"/>
      <c r="D68" s="114">
        <f>_xlfn.IFERROR(B68+A68,"")</f>
        <v>0</v>
      </c>
      <c r="E68" s="114">
        <f>_xlfn.IFERROR(C68+A68,"")</f>
        <v>0</v>
      </c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</row>
    <row customHeight="1" ht="14.25">
      <c r="A69" s="167">
        <v>1835</v>
      </c>
      <c r="B69" s="167"/>
      <c r="C69" s="167">
        <v>756695</v>
      </c>
      <c r="D69" s="114">
        <f>_xlfn.IFERROR(B69+A69,"")</f>
        <v>1835</v>
      </c>
      <c r="E69" s="114">
        <f>_xlfn.IFERROR(C69+A69,"")</f>
        <v>758530</v>
      </c>
      <c r="F69" s="114"/>
      <c r="G69" s="114"/>
      <c r="H69" s="114"/>
      <c r="I69" s="114"/>
      <c r="J69" s="114"/>
      <c r="K69" s="114"/>
      <c r="L69" s="190" t="s">
        <v>67</v>
      </c>
      <c r="M69" s="114"/>
      <c r="N69" s="114"/>
      <c r="O69" s="114"/>
      <c r="P69" s="114"/>
      <c r="Q69" s="114"/>
      <c r="R69" s="114"/>
      <c r="S69" s="114"/>
      <c r="T69" s="114"/>
      <c r="U69" s="114"/>
    </row>
    <row customHeight="1" ht="14.25">
      <c r="A70" s="167">
        <v>205</v>
      </c>
      <c r="B70" s="167"/>
      <c r="C70" s="167">
        <v>76818.5</v>
      </c>
      <c r="D70" s="114">
        <f>_xlfn.IFERROR(B70+A70,"")</f>
        <v>205</v>
      </c>
      <c r="E70" s="114">
        <f>_xlfn.IFERROR(C70+A70,"")</f>
        <v>77023.5</v>
      </c>
      <c r="F70" s="114"/>
      <c r="G70" s="114"/>
      <c r="H70" s="114"/>
      <c r="I70" s="114"/>
      <c r="J70" s="114"/>
      <c r="K70" s="114"/>
      <c r="L70" s="190"/>
      <c r="M70" s="114"/>
      <c r="N70" s="114"/>
      <c r="O70" s="114"/>
      <c r="P70" s="114"/>
      <c r="Q70" s="114"/>
      <c r="R70" s="114"/>
      <c r="S70" s="114"/>
      <c r="T70" s="114"/>
      <c r="U70" s="114"/>
    </row>
    <row customHeight="1" ht="14.25">
      <c r="A71" s="167">
        <v>5</v>
      </c>
      <c r="B71" s="167"/>
      <c r="C71" s="167">
        <v>3016.12</v>
      </c>
      <c r="D71" s="114">
        <f>_xlfn.IFERROR(B71+A71,"")</f>
        <v>5</v>
      </c>
      <c r="E71" s="114">
        <f>_xlfn.IFERROR(C71+A71,"")</f>
        <v>3021.12</v>
      </c>
      <c r="F71" s="114"/>
      <c r="G71" s="114"/>
      <c r="H71" s="114"/>
      <c r="I71" s="114"/>
      <c r="J71" s="114"/>
      <c r="K71" s="114"/>
      <c r="L71" s="190"/>
      <c r="M71" s="114"/>
      <c r="N71" s="114"/>
      <c r="O71" s="114"/>
      <c r="P71" s="114"/>
      <c r="Q71" s="114"/>
      <c r="R71" s="114"/>
      <c r="S71" s="114"/>
      <c r="T71" s="114"/>
      <c r="U71" s="114"/>
    </row>
    <row customHeight="1" ht="14.25">
      <c r="A72" s="114"/>
      <c r="B72" s="114"/>
      <c r="C72" s="114"/>
      <c r="D72" s="114">
        <f>_xlfn.IFERROR(B72+A72,"")</f>
        <v>0</v>
      </c>
      <c r="E72" s="114">
        <f>_xlfn.IFERROR(C72+A72,"")</f>
        <v>0</v>
      </c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</row>
    <row customHeight="1" ht="14.25">
      <c r="A73" s="167">
        <v>4118</v>
      </c>
      <c r="B73" s="167"/>
      <c r="C73" s="167">
        <v>1674381</v>
      </c>
      <c r="D73" s="114">
        <f>_xlfn.IFERROR(B73+A73,"")</f>
        <v>4118</v>
      </c>
      <c r="E73" s="114">
        <f>_xlfn.IFERROR(C73+A73,"")</f>
        <v>1678499</v>
      </c>
      <c r="F73" s="114"/>
      <c r="G73" s="114"/>
      <c r="H73" s="114"/>
      <c r="I73" s="114"/>
      <c r="J73" s="114"/>
      <c r="K73" s="114"/>
      <c r="L73" s="190" t="s">
        <v>68</v>
      </c>
      <c r="M73" s="114"/>
      <c r="N73" s="114"/>
      <c r="O73" s="114"/>
      <c r="P73" s="114"/>
      <c r="Q73" s="114"/>
      <c r="R73" s="114"/>
      <c r="S73" s="114"/>
      <c r="T73" s="114"/>
      <c r="U73" s="114"/>
    </row>
    <row customHeight="1" ht="14.25">
      <c r="A74" s="167">
        <v>390</v>
      </c>
      <c r="B74" s="167"/>
      <c r="C74" s="167">
        <v>153081</v>
      </c>
      <c r="D74" s="114">
        <f>_xlfn.IFERROR(B74+A74,"")</f>
        <v>390</v>
      </c>
      <c r="E74" s="114">
        <f>_xlfn.IFERROR(C74+A74,"")</f>
        <v>153471</v>
      </c>
      <c r="F74" s="114"/>
      <c r="G74" s="114"/>
      <c r="H74" s="114"/>
      <c r="I74" s="114"/>
      <c r="J74" s="114"/>
      <c r="K74" s="114"/>
      <c r="L74" s="190"/>
      <c r="M74" s="114"/>
      <c r="N74" s="114"/>
      <c r="O74" s="114"/>
      <c r="P74" s="114"/>
      <c r="Q74" s="114"/>
      <c r="R74" s="114"/>
      <c r="S74" s="114"/>
      <c r="T74" s="114"/>
      <c r="U74" s="114"/>
    </row>
    <row customHeight="1" ht="14.25">
      <c r="A75" s="167">
        <v>0</v>
      </c>
      <c r="B75" s="167"/>
      <c r="C75" s="167">
        <v>0</v>
      </c>
      <c r="D75" s="114">
        <f>_xlfn.IFERROR(B75+A75,"")</f>
        <v>0</v>
      </c>
      <c r="E75" s="114">
        <f>_xlfn.IFERROR(C75+A75,"")</f>
        <v>0</v>
      </c>
      <c r="F75" s="114"/>
      <c r="G75" s="114"/>
      <c r="H75" s="114"/>
      <c r="I75" s="114"/>
      <c r="J75" s="114"/>
      <c r="K75" s="114"/>
      <c r="L75" s="190"/>
      <c r="M75" s="114"/>
      <c r="N75" s="114"/>
      <c r="O75" s="114"/>
      <c r="P75" s="114"/>
      <c r="Q75" s="114"/>
      <c r="R75" s="114"/>
      <c r="S75" s="114"/>
      <c r="T75" s="114"/>
      <c r="U75" s="114"/>
    </row>
    <row customHeight="1" ht="14.25">
      <c r="A76" s="167">
        <v>208</v>
      </c>
      <c r="B76" s="167"/>
      <c r="C76" s="167">
        <v>68318.48</v>
      </c>
      <c r="D76" s="114">
        <f>_xlfn.IFERROR(B76+A76,"")</f>
        <v>208</v>
      </c>
      <c r="E76" s="114">
        <f>_xlfn.IFERROR(C76+A76,"")</f>
        <v>68526.48</v>
      </c>
      <c r="F76" s="114"/>
      <c r="G76" s="114"/>
      <c r="H76" s="114"/>
      <c r="I76" s="114"/>
      <c r="J76" s="114"/>
      <c r="K76" s="114"/>
      <c r="L76" s="190"/>
      <c r="M76" s="114"/>
      <c r="N76" s="114"/>
      <c r="O76" s="114"/>
      <c r="P76" s="114"/>
      <c r="Q76" s="114"/>
      <c r="R76" s="114"/>
      <c r="S76" s="114"/>
      <c r="T76" s="114"/>
      <c r="U76" s="114"/>
    </row>
    <row customHeight="1" ht="14.25">
      <c r="A77" s="167">
        <v>15</v>
      </c>
      <c r="B77" s="167"/>
      <c r="C77" s="167">
        <v>6471</v>
      </c>
      <c r="D77" s="114">
        <f>_xlfn.IFERROR(B77+A77,"")</f>
        <v>15</v>
      </c>
      <c r="E77" s="114">
        <f>_xlfn.IFERROR(C77+A77,"")</f>
        <v>6486</v>
      </c>
      <c r="F77" s="114"/>
      <c r="G77" s="114"/>
      <c r="H77" s="114"/>
      <c r="I77" s="114"/>
      <c r="J77" s="114"/>
      <c r="K77" s="114"/>
      <c r="L77" s="190"/>
      <c r="M77" s="114"/>
      <c r="N77" s="114"/>
      <c r="O77" s="114"/>
      <c r="P77" s="114"/>
      <c r="Q77" s="114"/>
      <c r="R77" s="114"/>
      <c r="S77" s="114"/>
      <c r="T77" s="114"/>
      <c r="U77" s="114"/>
    </row>
    <row customHeight="1" ht="14.25">
      <c r="A78" s="114"/>
      <c r="B78" s="114"/>
      <c r="C78" s="114"/>
      <c r="D78" s="114">
        <f>_xlfn.IFERROR(B78+A78,"")</f>
        <v>0</v>
      </c>
      <c r="E78" s="114">
        <f>_xlfn.IFERROR(C78+A78,"")</f>
        <v>0</v>
      </c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</row>
    <row customHeight="1" ht="14.25">
      <c r="A79" s="167">
        <v>0</v>
      </c>
      <c r="B79" s="167"/>
      <c r="C79" s="167">
        <v>0</v>
      </c>
      <c r="D79" s="114">
        <f>_xlfn.IFERROR(B79+A79,"")</f>
        <v>0</v>
      </c>
      <c r="E79" s="114">
        <f>_xlfn.IFERROR(C79+A79,"")</f>
        <v>0</v>
      </c>
      <c r="F79" s="114"/>
      <c r="G79" s="114"/>
      <c r="H79" s="114"/>
      <c r="I79" s="114"/>
      <c r="J79" s="114"/>
      <c r="K79" s="114"/>
      <c r="L79" s="190" t="s">
        <v>69</v>
      </c>
      <c r="M79" s="114"/>
      <c r="N79" s="114"/>
      <c r="O79" s="114"/>
      <c r="P79" s="114"/>
      <c r="Q79" s="114"/>
      <c r="R79" s="114"/>
      <c r="S79" s="114"/>
      <c r="T79" s="114"/>
      <c r="U79" s="114"/>
    </row>
    <row customHeight="1" ht="14.25">
      <c r="A80" s="167">
        <v>0</v>
      </c>
      <c r="B80" s="167"/>
      <c r="C80" s="167">
        <v>0</v>
      </c>
      <c r="D80" s="114">
        <f>_xlfn.IFERROR(B80+A80,"")</f>
        <v>0</v>
      </c>
      <c r="E80" s="114">
        <f>_xlfn.IFERROR(C80+A80,"")</f>
        <v>0</v>
      </c>
      <c r="F80" s="114"/>
      <c r="G80" s="114"/>
      <c r="H80" s="114"/>
      <c r="I80" s="114"/>
      <c r="J80" s="114"/>
      <c r="K80" s="114"/>
      <c r="L80" s="190"/>
      <c r="M80" s="114"/>
      <c r="N80" s="114"/>
      <c r="O80" s="114"/>
      <c r="P80" s="114"/>
      <c r="Q80" s="114"/>
      <c r="R80" s="114"/>
      <c r="S80" s="114"/>
      <c r="T80" s="114"/>
      <c r="U80" s="114"/>
    </row>
    <row customHeight="1" ht="14.25">
      <c r="A81" s="167">
        <v>0</v>
      </c>
      <c r="B81" s="167"/>
      <c r="C81" s="167">
        <v>0</v>
      </c>
      <c r="D81" s="114">
        <f>_xlfn.IFERROR(B81+A81,"")</f>
        <v>0</v>
      </c>
      <c r="E81" s="114">
        <f>_xlfn.IFERROR(C81+A81,"")</f>
        <v>0</v>
      </c>
      <c r="F81" s="114"/>
      <c r="G81" s="114"/>
      <c r="H81" s="114"/>
      <c r="I81" s="114"/>
      <c r="J81" s="114"/>
      <c r="K81" s="114"/>
      <c r="L81" s="190"/>
      <c r="M81" s="114"/>
      <c r="N81" s="114"/>
      <c r="O81" s="114"/>
      <c r="P81" s="114"/>
      <c r="Q81" s="114"/>
      <c r="R81" s="114"/>
      <c r="S81" s="114"/>
      <c r="T81" s="114"/>
      <c r="U81" s="114"/>
    </row>
    <row customHeight="1" ht="14.399999999999999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</row>
    <row customHeight="1" ht="14.399999999999999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</row>
    <row customHeight="1" ht="14.25">
      <c r="A84" s="191">
        <v>0</v>
      </c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</row>
    <row customHeight="1" ht="14.25">
      <c r="A85" s="191">
        <v>0</v>
      </c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</row>
    <row customHeight="1" ht="14.25">
      <c r="A86" s="191">
        <v>0</v>
      </c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</row>
  </sheetData>
  <mergeCells count="19">
    <mergeCell ref="L69:L71"/>
    <mergeCell ref="L73:L77"/>
    <mergeCell ref="L79:L81"/>
    <mergeCell ref="K4:K5"/>
    <mergeCell ref="L46:L52"/>
    <mergeCell ref="L54:L60"/>
    <mergeCell ref="L62:L67"/>
    <mergeCell ref="L4:Q4"/>
    <mergeCell ref="L24:L25"/>
    <mergeCell ref="M24:M25"/>
    <mergeCell ref="N24:N25"/>
    <mergeCell ref="O24:O25"/>
    <mergeCell ref="P24:P25"/>
    <mergeCell ref="Q24:Q25"/>
    <mergeCell ref="A4:A5"/>
    <mergeCell ref="G4:G5"/>
    <mergeCell ref="H4:H5"/>
    <mergeCell ref="I4:I5"/>
    <mergeCell ref="J4:J5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榆炼全年生产任务情况统计表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shjb</dc:creator>
  <cp:lastModifiedBy>Administrator</cp:lastModifiedBy>
  <dcterms:created xsi:type="dcterms:W3CDTF">2022-04-13T09:45:00Z</dcterms:created>
  <dcterms:modified xsi:type="dcterms:W3CDTF">2022-06-20T04:29:59Z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CB9AB03BEA904B5D9C8D581C54EFC97D</vt:lpwstr>
  </property>
  <property fmtid="{D5CDD505-2E9C-101B-9397-08002B2CF9AE}" pid="3" name="KSOProductBuildVer">
    <vt:lpwstr>2052-11.1.0.11365</vt:lpwstr>
  </property>
  <property fmtid="{D5CDD505-2E9C-101B-9397-08002B2CF9AE}" pid="4" name="UFIDA_U9App_DataSourceXMLPart">
    <vt:lpwstr>{D0C12152-8F98-4802-98DF-EE6F0EC03C5F}</vt:lpwstr>
  </property>
</Properties>
</file>