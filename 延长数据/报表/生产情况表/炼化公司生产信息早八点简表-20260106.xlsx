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早八点信息简表" sheetId="1" r:id="rId2"/>
    <sheet name="取值" sheetId="2" state="hidden" r:id="rId3"/>
    <sheet name="Sheet1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J16" authorId="0">
      <text>
        <r>
          <rPr>
            <b/>
            <sz val="9"/>
            <color indexed="81"/>
            <rFont val="宋体"/>
            <family val="2"/>
          </rPr>
          <t xml:space="preserve">#Input("炼化公司_调度部门_早八点简表防汛季_原油价格涨跌信息_当日价格_WTI",":key{{dw}}")
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#Input("炼化公司_调度部门_早八点简表防汛季_原油价格涨跌信息_前日价格_WTI",":key{{dw}}")</t>
        </r>
      </text>
    </comment>
    <comment ref="J17" authorId="0">
      <text>
        <r>
          <rPr>
            <sz val="9"/>
            <color indexed="81"/>
            <rFont val="宋体"/>
            <family val="2"/>
          </rPr>
          <t>#Input("炼化公司_调度部门_早八点简表防汛季_原油价格涨跌信息_当日价格_BRENT",":key{{dw}}")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#Input("炼化公司_调度部门_早八点简表防汛季_原油价格涨跌信息_前日价格_BRENT",":key{{dw}}")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#Input("炼化公司_调度部门_早八点简表防汛季_原油价格涨跌信息_当日价格_泸油",":key{{dw}}")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 xml:space="preserve">#Input("炼化公司_调度部门_早八点简表防汛季_原油价格涨跌信息_前日价格_泸油",":key{{dw}}")
</t>
        </r>
      </text>
    </comment>
    <comment ref="K31" authorId="0">
      <text>
        <r>
          <rPr>
            <sz val="9"/>
            <color indexed="81"/>
            <rFont val="宋体"/>
            <family val="2"/>
          </rPr>
          <t xml:space="preserve">#Input("炼化公司_调度部门_早八点简表防汛季_延炼丙烯_单价",":key{{dw}}")
</t>
        </r>
      </text>
    </comment>
    <comment ref="K33" authorId="0">
      <text>
        <r>
          <rPr>
            <sz val="9"/>
            <color indexed="81"/>
            <rFont val="宋体"/>
            <family val="2"/>
          </rPr>
          <t xml:space="preserve">#Input("炼化公司_调度部门_早八点简表防汛季_榆炼二甲苯_单价",":key{{dw}}")
</t>
        </r>
      </text>
    </comment>
    <comment ref="K34" authorId="0">
      <text>
        <r>
          <rPr>
            <sz val="9"/>
            <color indexed="81"/>
            <rFont val="宋体"/>
            <family val="2"/>
          </rPr>
          <t>#Input("炼化公司_调度部门_早八点简表防汛季_石化厂异辛烷_单价",":key{{dw}}")</t>
        </r>
      </text>
    </comment>
    <comment ref="E35" authorId="0">
      <text>
        <r>
          <rPr>
            <sz val="9"/>
            <color indexed="81"/>
            <rFont val="宋体"/>
            <family val="2"/>
          </rPr>
          <t>#Input("炼化公司生产日报表_天然气公司氦气产品_产量",":key{{dw}}")</t>
        </r>
      </text>
    </comment>
    <comment ref="G35" authorId="0">
      <text>
        <r>
          <rPr>
            <sz val="9"/>
            <color indexed="81"/>
            <rFont val="宋体"/>
            <family val="2"/>
          </rPr>
          <t>#Input("炼化公司生产日报表_天然气公司氦气产品_年累计销量",":key{{dw}}")</t>
        </r>
      </text>
    </comment>
    <comment ref="I35" authorId="0">
      <text>
        <r>
          <rPr>
            <sz val="9"/>
            <color indexed="81"/>
            <rFont val="宋体"/>
            <family val="2"/>
          </rPr>
          <t>#Input("炼化公司生产日报表_天然气公司氦气产品_价格",":key{{dw}}")</t>
        </r>
      </text>
    </comment>
    <comment ref="K35" authorId="0">
      <text>
        <r>
          <rPr>
            <sz val="9"/>
            <color indexed="81"/>
            <rFont val="宋体"/>
            <family val="2"/>
          </rPr>
          <t>#Input("炼化公司生产日报表_天然气公司氦气产品_库存",":key{{dw}}")</t>
        </r>
      </text>
    </comment>
    <comment ref="D37" authorId="0">
      <text>
        <r>
          <rPr>
            <b/>
            <sz val="9"/>
            <color indexed="81"/>
            <rFont val="宋体"/>
            <family val="2"/>
          </rPr>
          <t>#Input("炼化公司生产日报表_天气情况_交口区域",":key{{dw}}")</t>
        </r>
      </text>
    </comment>
    <comment ref="F37" authorId="0">
      <text>
        <r>
          <rPr>
            <sz val="9"/>
            <color indexed="81"/>
            <rFont val="宋体"/>
            <family val="2"/>
          </rPr>
          <t>#Input("炼化公司生产日报表_天气情况_延安区域",":key{{dw}}")</t>
        </r>
      </text>
    </comment>
    <comment ref="H37" authorId="0">
      <text>
        <r>
          <rPr>
            <sz val="9"/>
            <color indexed="81"/>
            <rFont val="宋体"/>
            <family val="2"/>
          </rPr>
          <t>#Input("炼化公司生产日报表_天气情况_永坪区域",":key{{dw}}")</t>
        </r>
      </text>
    </comment>
    <comment ref="J37" authorId="0">
      <text>
        <r>
          <rPr>
            <sz val="9"/>
            <color indexed="81"/>
            <rFont val="宋体"/>
            <family val="2"/>
          </rPr>
          <t>#Input("炼化公司生产日报表_天气情况_靖边区域",":key{{dw}}")</t>
        </r>
      </text>
    </comment>
    <comment ref="K37" authorId="0">
      <text>
        <r>
          <rPr>
            <sz val="9"/>
            <color indexed="81"/>
            <rFont val="宋体"/>
            <family val="2"/>
          </rPr>
          <t>#Input("炼化公司生产日报表_天气情况_定边区域",":key{{dw}}")</t>
        </r>
      </text>
    </comment>
    <comment ref="L37" authorId="0">
      <text>
        <r>
          <rPr>
            <sz val="9"/>
            <color indexed="81"/>
            <rFont val="宋体"/>
            <family val="2"/>
          </rPr>
          <t>#Input("炼化公司生产日报表_天气情况_江苏泰兴",":key{{dw}}")</t>
        </r>
      </text>
    </comment>
    <comment ref="D38" authorId="0">
      <text>
        <r>
          <rPr>
            <b/>
            <sz val="9"/>
            <color indexed="81"/>
            <rFont val="宋体"/>
            <family val="2"/>
          </rPr>
          <t>#Input("炼化公司生产日报表_生产运行情况",":key{{dw}}")</t>
        </r>
      </text>
    </comment>
    <comment ref="E39" authorId="0">
      <text>
        <r>
          <rPr>
            <sz val="9"/>
            <color indexed="81"/>
            <rFont val="Arial"/>
            <family val="2"/>
          </rPr>
          <t>#Input("炼化公司_调度部门_炼化公司生产信息早八点简表_防汛季_二审人",":key{{dw}}")</t>
        </r>
      </text>
    </comment>
    <comment ref="J39" authorId="0">
      <text>
        <r>
          <rPr>
            <sz val="9"/>
            <color indexed="81"/>
            <rFont val="Arial"/>
            <family val="2"/>
          </rPr>
          <t>#Input("炼化公司_调度部门_炼化公司生产信息早八点简表_防汛季_一审人",":key{{dw}}")</t>
        </r>
      </text>
    </comment>
  </commentList>
</comments>
</file>

<file path=xl/sharedStrings.xml><?xml version="1.0" encoding="utf-8"?>
<sst xmlns="http://schemas.openxmlformats.org/spreadsheetml/2006/main" count="167" uniqueCount="136">
  <si>
    <t xml:space="preserve"> 炼化公司早八点生产信息简表</t>
  </si>
  <si>
    <t xml:space="preserve"> 填报单位：炼化公司</t>
  </si>
  <si>
    <t>统计日期：</t>
  </si>
  <si>
    <t>填报日期：</t>
  </si>
  <si>
    <t>2022-01-26</t>
  </si>
  <si>
    <t xml:space="preserve"> 8:00:00</t>
  </si>
  <si>
    <t>2026-01-06</t>
  </si>
  <si>
    <t>销售信息</t>
  </si>
  <si>
    <t xml:space="preserve">延炼_x0009__x0009_ </t>
  </si>
  <si>
    <t>永炼</t>
  </si>
  <si>
    <t>榆炼</t>
  </si>
  <si>
    <t>公路</t>
  </si>
  <si>
    <t>铁路</t>
  </si>
  <si>
    <t>管输</t>
  </si>
  <si>
    <t>92#</t>
  </si>
  <si>
    <t>95#</t>
  </si>
  <si>
    <t>98#</t>
  </si>
  <si>
    <t>0#</t>
  </si>
  <si>
    <t>-10#</t>
  </si>
  <si>
    <t>-20#</t>
  </si>
  <si>
    <t>航煤</t>
  </si>
  <si>
    <t>LNG产销量信息</t>
  </si>
  <si>
    <t>原油价格信息</t>
  </si>
  <si>
    <t>临镇</t>
  </si>
  <si>
    <t>杨家湾</t>
  </si>
  <si>
    <t>延川</t>
  </si>
  <si>
    <t>志丹</t>
  </si>
  <si>
    <t>安塞</t>
  </si>
  <si>
    <t>当日价格</t>
  </si>
  <si>
    <t>前日价格</t>
  </si>
  <si>
    <t>涨跌</t>
  </si>
  <si>
    <t>产量</t>
  </si>
  <si>
    <t>WTI</t>
  </si>
  <si>
    <t>销量</t>
  </si>
  <si>
    <t>BRENT</t>
  </si>
  <si>
    <t>价格</t>
  </si>
  <si>
    <t>沪油</t>
  </si>
  <si>
    <r>
      <rPr>
        <b/>
        <charset val="134"/>
        <rFont val="等线"/>
        <sz val="16"/>
      </rPr>
      <t>调运信息</t>
    </r>
    <r>
      <rPr>
        <b/>
        <charset val="134"/>
        <rFont val="Arial"/>
        <sz val="11"/>
      </rPr>
      <t xml:space="preserve">_x0009__x0009__x0009__x0009__x0009__x0009__x0009__x0009__x0009_</t>
    </r>
    <r>
      <rPr>
        <b/>
        <charset val="134"/>
        <rFont val="等线"/>
        <sz val="11"/>
      </rPr>
      <t xml:space="preserve"> </t>
    </r>
  </si>
  <si>
    <t>延炼</t>
  </si>
  <si>
    <t>石化厂</t>
  </si>
  <si>
    <t>卸原料气</t>
  </si>
  <si>
    <t>石脑油调石化厂</t>
  </si>
  <si>
    <t>原料气调延炼</t>
  </si>
  <si>
    <t>卸永炼石脑油</t>
  </si>
  <si>
    <t>卸饱和气</t>
  </si>
  <si>
    <t>1#渣油调榆能化</t>
  </si>
  <si>
    <t>饱和气调延炼</t>
  </si>
  <si>
    <t>烷基化油调永炼</t>
  </si>
  <si>
    <t>回炼油</t>
  </si>
  <si>
    <t>二甲苯调永炼</t>
  </si>
  <si>
    <t>烷基化油调榆炼</t>
  </si>
  <si>
    <t>卸永炼渣油</t>
  </si>
  <si>
    <t>卸烷基化油</t>
  </si>
  <si>
    <t>MTBE调永炼</t>
  </si>
  <si>
    <t>卸二甲苯</t>
  </si>
  <si>
    <t>卸MTBE</t>
  </si>
  <si>
    <t>MTBE调榆炼</t>
  </si>
  <si>
    <r>
      <rPr>
        <charset val="134"/>
        <rFont val="等线"/>
        <sz val="13"/>
      </rPr>
      <t>2#</t>
    </r>
    <r>
      <rPr>
        <charset val="134"/>
        <rFont val="等线"/>
        <sz val="13"/>
      </rPr>
      <t>渣油</t>
    </r>
  </si>
  <si>
    <t>卸减压渣油</t>
  </si>
  <si>
    <t>异丁烷外购量</t>
  </si>
  <si>
    <t>化工品销售信息</t>
  </si>
  <si>
    <t>产品名称</t>
  </si>
  <si>
    <t>单价</t>
  </si>
  <si>
    <t>装置负荷</t>
  </si>
  <si>
    <t>备注</t>
  </si>
  <si>
    <t>BDO</t>
  </si>
  <si>
    <t>延炼民用气</t>
  </si>
  <si>
    <t>乙二醇</t>
  </si>
  <si>
    <t>聚酯级乙二醇</t>
  </si>
  <si>
    <t>延炼丙烯</t>
  </si>
  <si>
    <t>轻质多元醇</t>
  </si>
  <si>
    <t>延炼醚后碳四</t>
  </si>
  <si>
    <t>PTMEG</t>
  </si>
  <si>
    <t>榆炼二甲苯</t>
  </si>
  <si>
    <t>混合醇</t>
  </si>
  <si>
    <t>榆炼原料气</t>
  </si>
  <si>
    <t>天然气公司氦气产品</t>
  </si>
  <si>
    <t>年累计销量</t>
  </si>
  <si>
    <t>库存</t>
  </si>
  <si>
    <t>天气情况</t>
  </si>
  <si>
    <t>交口区域</t>
  </si>
  <si>
    <t>延安区域</t>
  </si>
  <si>
    <t>永坪区域</t>
  </si>
  <si>
    <t>靖边区域</t>
  </si>
  <si>
    <t>定边区域</t>
  </si>
  <si>
    <t>江苏泰兴</t>
  </si>
  <si>
    <t>晴天</t>
  </si>
  <si>
    <t>生产运行情况</t>
  </si>
  <si>
    <t>各单位生产运行正常。</t>
  </si>
  <si>
    <t>审核人：</t>
  </si>
  <si>
    <t>罗先波</t>
  </si>
  <si>
    <t>一审人：</t>
  </si>
  <si>
    <t>胡连鹏    李阿君</t>
  </si>
  <si>
    <t>2026-01-07</t>
  </si>
  <si>
    <t>永练</t>
  </si>
  <si>
    <t>石化</t>
  </si>
  <si>
    <t>内销</t>
  </si>
  <si>
    <t>油田气</t>
  </si>
  <si>
    <t>天然气</t>
  </si>
  <si>
    <t>日累计目前只有杨家湾，因销量比较少，所以销售填的是年累计。</t>
  </si>
  <si>
    <t>#Input("炼化公司_调度部门_早八点简表防汛季_油煤公司_销量",":key{{dw}}")（因需要替换，在表中删除）</t>
  </si>
  <si>
    <t>#Input("炼化公司_调度部门_早八点简表防汛季_油煤公司_单价",":key{{dw}}")（因需要替换，在表中删除）</t>
  </si>
  <si>
    <t>#Input("炼化公司_调度部门_早八点简表防汛季_石化MTBE销售_单价",":key{{dw}}")（因需要替换，在表中删除）</t>
  </si>
  <si>
    <t>替换 掉 沥青、MTBE销售 为民用气 和醚后碳四</t>
  </si>
  <si>
    <t>25/50</t>
  </si>
  <si>
    <t>外销/内销</t>
  </si>
  <si>
    <t>临时增加 异丁烷外购量  白明飞</t>
  </si>
  <si>
    <t>调度 新增 价格和库存填报和取值</t>
  </si>
  <si>
    <t>油田气_生产计划部_调度部门_信息简表_BDO库存量</t>
  </si>
  <si>
    <t>油田气_生产计划部_调度部门_信息简表_BDO产量</t>
  </si>
  <si>
    <t>油田气_生产计划部_调度部门_信息简表_BDO销量</t>
  </si>
  <si>
    <t>油田气_生产计划部_调度部门_信息简表_BDO单价</t>
  </si>
  <si>
    <t>油田气_生产计划部_调度部门_信息简表_BDO装置负荷</t>
  </si>
  <si>
    <t>油田气_生产计划部_调度部门_信息简表_BDO备注</t>
  </si>
  <si>
    <t>油田气_生产计划部_调度部门_信息简表_聚酯级乙二醇库存量</t>
  </si>
  <si>
    <t>油田气_生产计划部_调度部门_信息简表_聚酯级乙二醇产量</t>
  </si>
  <si>
    <t>油田气_生产计划部_调度部门_信息简表_聚酯级乙二醇销量</t>
  </si>
  <si>
    <t>油田气_生产计划部_调度部门_信息简表_聚酯级乙二醇单价</t>
  </si>
  <si>
    <t>油田气_生产计划部_调度部门_信息简表_乙二醇装置负荷</t>
  </si>
  <si>
    <t>油田气_生产计划部_调度部门_信息简表_乙二醇备注</t>
  </si>
  <si>
    <t>油田气_生产计划部_调度部门_信息简表_轻质多元醇库存量</t>
  </si>
  <si>
    <t>油田气_生产计划部_调度部门_信息简表_轻质多元醇产量</t>
  </si>
  <si>
    <t>油田气_生产计划部_调度部门_信息简表_轻质多元醇销量</t>
  </si>
  <si>
    <t>油田气_生产计划部_调度部门_信息简表_轻质多元醇单价</t>
  </si>
  <si>
    <t>油田气_生产计划部_调度部门_信息简表_PT库存量</t>
  </si>
  <si>
    <t>油田气_生产计划部_调度部门_信息简表_PT产量</t>
  </si>
  <si>
    <t>油田气_生产计划部_调度部门_信息简表_PT销量</t>
  </si>
  <si>
    <t>油田气_生产计划部_调度部门_信息简表_PT单价</t>
  </si>
  <si>
    <t>油田气_生产计划部_调度部门_信息简表_PT装置负荷</t>
  </si>
  <si>
    <t>油田气_生产计划部_调度部门_信息简表_PT备注</t>
  </si>
  <si>
    <t>油田气_生产计划部_调度部门_信息简表_混合醇库存量</t>
  </si>
  <si>
    <t>油田气_生产计划部_调度部门_信息简表_混合醇产量</t>
  </si>
  <si>
    <t>油田气_生产计划部_调度部门_信息简表_混合醇销量</t>
  </si>
  <si>
    <t>油田气_生产计划部_调度部门_信息简表_混合醇单价</t>
  </si>
  <si>
    <t>油田气_生产计划部_调度部门_信息简表_混合醇装置负荷</t>
  </si>
  <si>
    <t>油田气_生产计划部_调度部门_信息简表_混合醇备注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</si>
</sst>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1" formatCode="0;\-0"/>
    <numFmt numFmtId="172" formatCode="0_ "/>
    <numFmt numFmtId="173" formatCode="0.00;\-0.00"/>
    <numFmt numFmtId="174" formatCode="_(* #,##0.00_);_(* \(#,##0.00\);_(* &quot;-&quot;??_);_(@_)"/>
    <numFmt numFmtId="175" formatCode="_(* #,##0_);_(* \(#,##0\);_(* &quot;-&quot;_);_(@_)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7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rgb="FFFF0000"/>
      <name val="Calibri"/>
      <scheme val="minor"/>
    </font>
    <font>
      <sz val="9"/>
      <color auto="1"/>
      <name val="微软雅黑"/>
    </font>
    <font>
      <b/>
      <sz val="22"/>
      <color auto="1"/>
      <name val="等线"/>
    </font>
    <font>
      <sz val="13"/>
      <color auto="1"/>
      <name val="等线"/>
    </font>
    <font>
      <b/>
      <sz val="16"/>
      <color auto="1"/>
      <name val="Calibri"/>
    </font>
    <font>
      <b/>
      <sz val="11"/>
      <color auto="1"/>
      <name val="等线"/>
    </font>
    <font>
      <b/>
      <sz val="13"/>
      <color auto="1"/>
      <name val="等线"/>
    </font>
    <font>
      <sz val="14"/>
      <color auto="1"/>
      <name val="Calibri"/>
    </font>
    <font>
      <b/>
      <sz val="14"/>
      <color auto="1"/>
      <name val="等线"/>
    </font>
    <font>
      <sz val="14"/>
      <color auto="1"/>
      <name val="等线"/>
    </font>
    <font>
      <b/>
      <sz val="16"/>
      <color auto="1"/>
      <name val="等线"/>
    </font>
    <font>
      <sz val="13"/>
      <color rgb="FF000000"/>
      <name val="Calibri"/>
      <scheme val="minor"/>
    </font>
    <font>
      <sz val="13"/>
      <color theme="1"/>
      <name val="等线"/>
    </font>
    <font>
      <b/>
      <sz val="13"/>
      <color auto="1"/>
      <name val="Calibri"/>
    </font>
    <font>
      <sz val="13"/>
      <color auto="1"/>
      <name val="Calibri"/>
    </font>
    <font>
      <sz val="13"/>
      <color rgb="FF000000"/>
      <name val="Calibri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0"/>
      </patternFill>
    </fill>
  </fills>
  <borders count="2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49">
    <xf numFmtId="0" fontId="0" fillId="0" borderId="0" applyFont="1" applyFill="0" applyBorder="0">
      <alignment vertical="center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74" fontId="6" fillId="0" borderId="0" applyFont="0" applyFill="0" applyBorder="0" applyNumberFormat="1">
      <alignment vertical="top"/>
    </xf>
    <xf numFmtId="175" fontId="6" fillId="0" borderId="0" applyFont="0" applyFill="0" applyBorder="0" applyNumberFormat="1">
      <alignment vertical="top"/>
    </xf>
    <xf numFmtId="176" fontId="6" fillId="0" borderId="0" applyFont="0" applyFill="0" applyBorder="0" applyNumberFormat="1">
      <alignment vertical="top"/>
    </xf>
    <xf numFmtId="177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201">
    <xf numFmtId="0" fontId="0" fillId="0" borderId="0" xfId="0" applyFont="1">
      <alignment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74" fontId="6" fillId="0" borderId="0" xfId="28" applyFont="0" applyNumberFormat="1">
      <alignment vertical="top"/>
    </xf>
    <xf numFmtId="175" fontId="6" fillId="0" borderId="0" xfId="29" applyFont="0" applyNumberFormat="1">
      <alignment vertical="top"/>
    </xf>
    <xf numFmtId="176" fontId="6" fillId="0" borderId="0" xfId="30" applyFont="0" applyNumberFormat="1">
      <alignment vertical="top"/>
    </xf>
    <xf numFmtId="177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0" fillId="0" borderId="0" xfId="0" applyFont="1"/>
    <xf numFmtId="20" fontId="0" fillId="0" borderId="0" xfId="0" applyFont="1" applyNumberFormat="1"/>
    <xf numFmtId="0" fontId="1" fillId="0" borderId="0" xfId="0" applyFont="1"/>
    <xf numFmtId="0" fontId="21" fillId="33" borderId="0" xfId="0" applyFont="1" applyFill="1">
      <alignment vertical="center"/>
    </xf>
    <xf numFmtId="0" fontId="0" fillId="33" borderId="0" xfId="0" applyFont="1" applyFill="1">
      <alignment vertical="center"/>
    </xf>
    <xf numFmtId="0" fontId="0" fillId="0" borderId="0" xfId="0" applyFont="1">
      <alignment vertical="center"/>
      <protection locked="0"/>
    </xf>
    <xf numFmtId="0" fontId="0" fillId="0" borderId="0" xfId="0" applyFont="1">
      <alignment vertical="center" wrapText="1"/>
    </xf>
    <xf numFmtId="0" fontId="0" fillId="0" borderId="0" xfId="0" applyFont="1">
      <alignment horizontal="center" vertical="center"/>
    </xf>
    <xf numFmtId="0" fontId="22" fillId="0" borderId="0" xfId="0" applyFont="1">
      <alignment vertical="center" wrapText="1"/>
      <protection locked="0"/>
    </xf>
    <xf numFmtId="0" fontId="23" fillId="0" borderId="0" xfId="0" applyFont="1">
      <alignment horizontal="center" vertical="center" wrapText="1"/>
      <protection locked="0"/>
    </xf>
    <xf numFmtId="0" fontId="24" fillId="0" borderId="0" xfId="0" applyFont="1">
      <alignment horizontal="left" vertical="center" wrapText="1"/>
      <protection locked="0"/>
    </xf>
    <xf numFmtId="14" fontId="24" fillId="0" borderId="0" xfId="0" applyFont="1" applyNumberFormat="1">
      <alignment horizontal="right" vertical="center"/>
    </xf>
    <xf numFmtId="0" fontId="24" fillId="0" borderId="0" xfId="0" applyFont="1">
      <alignment horizontal="left" vertical="center"/>
    </xf>
    <xf numFmtId="0" fontId="25" fillId="34" borderId="10" xfId="0" applyFont="1" applyFill="1" applyBorder="1">
      <alignment horizontal="center" vertical="center" wrapText="1"/>
    </xf>
    <xf numFmtId="0" fontId="22" fillId="0" borderId="0" xfId="0" applyFont="1">
      <alignment vertical="center" wrapText="1"/>
    </xf>
    <xf numFmtId="0" fontId="26" fillId="0" borderId="11" xfId="0" applyFont="1" applyBorder="1">
      <alignment horizontal="center" vertical="center" wrapText="1"/>
    </xf>
    <xf numFmtId="0" fontId="27" fillId="0" borderId="11" xfId="0" applyFont="1" applyBorder="1">
      <alignment horizontal="center" vertical="center" wrapText="1"/>
    </xf>
    <xf numFmtId="0" fontId="28" fillId="0" borderId="10" xfId="0" applyFont="1" applyBorder="1">
      <alignment horizontal="center" vertical="center" wrapText="1"/>
    </xf>
    <xf numFmtId="0" fontId="29" fillId="0" borderId="10" xfId="0" applyFont="1" applyBorder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0" fontId="30" fillId="0" borderId="10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171" fontId="24" fillId="0" borderId="12" xfId="0" applyFont="1" applyBorder="1" applyNumberFormat="1">
      <alignment horizontal="center" vertical="center" wrapText="1"/>
    </xf>
    <xf numFmtId="0" fontId="31" fillId="34" borderId="13" xfId="0" applyFont="1" applyFill="1" applyBorder="1">
      <alignment horizontal="center" vertical="center" wrapText="1"/>
    </xf>
    <xf numFmtId="0" fontId="31" fillId="34" borderId="0" xfId="0" applyFont="1" applyFill="1">
      <alignment horizontal="center" vertical="center" wrapText="1"/>
    </xf>
    <xf numFmtId="0" fontId="27" fillId="0" borderId="10" xfId="0" applyFont="1" applyBorder="1">
      <alignment horizontal="center" vertical="center" wrapText="1"/>
    </xf>
    <xf numFmtId="0" fontId="24" fillId="0" borderId="14" xfId="0" applyFont="1" applyBorder="1">
      <alignment horizontal="center" vertical="center" wrapText="1"/>
    </xf>
    <xf numFmtId="0" fontId="24" fillId="0" borderId="10" xfId="0" applyFont="1" applyBorder="1">
      <alignment horizontal="center" vertical="center"/>
    </xf>
    <xf numFmtId="171" fontId="24" fillId="0" borderId="10" xfId="0" applyFont="1" applyBorder="1" applyNumberFormat="1">
      <alignment horizontal="center" vertical="center"/>
    </xf>
    <xf numFmtId="0" fontId="24" fillId="0" borderId="15" xfId="0" applyFont="1" applyBorder="1">
      <alignment horizontal="center" vertical="center" wrapText="1"/>
    </xf>
    <xf numFmtId="171" fontId="24" fillId="0" borderId="15" xfId="0" applyFont="1" applyBorder="1" applyNumberFormat="1">
      <alignment horizontal="center" vertical="center" wrapText="1"/>
    </xf>
    <xf numFmtId="0" fontId="31" fillId="34" borderId="14" xfId="0" applyFont="1" applyFill="1" applyBorder="1">
      <alignment horizontal="center" vertical="center" wrapText="1"/>
    </xf>
    <xf numFmtId="0" fontId="31" fillId="34" borderId="15" xfId="0" applyFont="1" applyFill="1" applyBorder="1">
      <alignment horizontal="center" vertical="center" wrapText="1"/>
    </xf>
    <xf numFmtId="0" fontId="24" fillId="35" borderId="10" xfId="0" applyFont="1" applyFill="1" applyBorder="1">
      <alignment horizontal="center" vertical="center" wrapText="1"/>
    </xf>
    <xf numFmtId="0" fontId="24" fillId="35" borderId="14" xfId="0" applyFont="1" applyFill="1" applyBorder="1">
      <alignment horizontal="center" vertical="center" wrapText="1"/>
    </xf>
    <xf numFmtId="10" fontId="24" fillId="0" borderId="10" xfId="0" applyFont="1" applyBorder="1" applyNumberFormat="1">
      <alignment horizontal="center" vertical="center" wrapText="1"/>
    </xf>
    <xf numFmtId="0" fontId="24" fillId="0" borderId="16" xfId="0" applyFont="1" applyBorder="1">
      <alignment horizontal="center" vertical="center" wrapText="1"/>
    </xf>
    <xf numFmtId="0" fontId="24" fillId="0" borderId="17" xfId="0" applyFont="1" applyBorder="1">
      <alignment horizontal="center" vertical="center" wrapText="1"/>
    </xf>
    <xf numFmtId="0" fontId="24" fillId="0" borderId="11" xfId="0" applyFont="1" applyBorder="1">
      <alignment horizontal="center" vertical="center" wrapText="1"/>
    </xf>
    <xf numFmtId="171" fontId="24" fillId="0" borderId="16" xfId="0" applyFont="1" applyBorder="1" applyNumberFormat="1">
      <alignment horizontal="center" vertical="center" wrapText="1"/>
    </xf>
    <xf numFmtId="10" fontId="24" fillId="0" borderId="16" xfId="0" applyFont="1" applyBorder="1" applyNumberFormat="1">
      <alignment horizontal="center" vertical="center" wrapText="1"/>
    </xf>
    <xf numFmtId="0" fontId="27" fillId="34" borderId="10" xfId="0" applyFont="1" applyFill="1" applyBorder="1">
      <alignment horizontal="center" vertical="center" wrapText="1"/>
    </xf>
    <xf numFmtId="0" fontId="24" fillId="34" borderId="10" xfId="0" applyFont="1" applyFill="1" applyBorder="1">
      <alignment horizontal="center" vertical="center" wrapText="1"/>
    </xf>
    <xf numFmtId="172" fontId="24" fillId="34" borderId="10" xfId="0" applyFont="1" applyFill="1" applyBorder="1" applyNumberFormat="1">
      <alignment horizontal="center" vertical="center" wrapText="1"/>
    </xf>
    <xf numFmtId="0" fontId="27" fillId="0" borderId="10" xfId="0" applyFont="1" applyBorder="1">
      <alignment vertical="center" wrapText="1"/>
    </xf>
    <xf numFmtId="0" fontId="24" fillId="0" borderId="10" xfId="0" applyFont="1" applyBorder="1">
      <alignment horizontal="center" vertical="center" wrapText="1"/>
      <protection locked="0"/>
    </xf>
    <xf numFmtId="0" fontId="24" fillId="34" borderId="11" xfId="0" applyFont="1" applyFill="1" applyBorder="1">
      <alignment horizontal="center" vertical="center" wrapText="1"/>
    </xf>
    <xf numFmtId="0" fontId="24" fillId="0" borderId="10" xfId="0" applyFont="1" applyBorder="1">
      <alignment horizontal="left" vertical="center" wrapText="1"/>
      <protection locked="0"/>
    </xf>
    <xf numFmtId="0" fontId="0" fillId="0" borderId="0" xfId="0" applyFont="1">
      <alignment horizontal="center" vertical="center" wrapText="1"/>
    </xf>
    <xf numFmtId="0" fontId="32" fillId="0" borderId="0" xfId="0" applyFont="1">
      <alignment vertical="center" wrapText="1"/>
    </xf>
    <xf numFmtId="0" fontId="32" fillId="0" borderId="18" xfId="0" applyFont="1" applyBorder="1">
      <alignment horizontal="center" vertical="center" wrapText="1"/>
      <protection locked="0"/>
    </xf>
    <xf numFmtId="0" fontId="0" fillId="0" borderId="0" xfId="0" applyFont="1">
      <alignment horizontal="center" vertical="center" wrapText="1"/>
      <protection locked="0"/>
    </xf>
    <xf numFmtId="0" fontId="0" fillId="0" borderId="0" xfId="0" applyFont="1">
      <alignment vertical="center" wrapText="1"/>
      <protection locked="0"/>
    </xf>
    <xf numFmtId="0" fontId="33" fillId="0" borderId="0" xfId="0" applyFont="1">
      <alignment horizontal="right" vertical="center" wrapText="1"/>
    </xf>
    <xf numFmtId="0" fontId="24" fillId="0" borderId="0" xfId="0" applyFont="1">
      <alignment horizontal="left" vertical="center"/>
      <protection locked="0"/>
    </xf>
    <xf numFmtId="20" fontId="0" fillId="0" borderId="0" xfId="0" applyFont="1" applyNumberFormat="1">
      <alignment horizontal="center" vertical="center" wrapText="1"/>
    </xf>
    <xf numFmtId="0" fontId="34" fillId="0" borderId="11" xfId="0" applyFont="1" applyBorder="1">
      <alignment horizontal="center" vertical="center" wrapText="1"/>
    </xf>
    <xf numFmtId="0" fontId="35" fillId="0" borderId="10" xfId="0" applyFont="1" applyBorder="1">
      <alignment horizontal="center" vertical="center" wrapText="1"/>
    </xf>
    <xf numFmtId="0" fontId="31" fillId="34" borderId="10" xfId="0" applyFont="1" applyFill="1" applyBorder="1">
      <alignment horizontal="center" vertical="center" wrapText="1"/>
    </xf>
    <xf numFmtId="0" fontId="27" fillId="34" borderId="0" xfId="0" applyFont="1" applyFill="1">
      <alignment vertical="top" wrapText="1"/>
    </xf>
    <xf numFmtId="0" fontId="27" fillId="0" borderId="0" xfId="0" applyFont="1">
      <alignment vertical="top" wrapText="1"/>
    </xf>
    <xf numFmtId="173" fontId="24" fillId="0" borderId="10" xfId="0" applyFont="1" applyBorder="1" applyNumberFormat="1">
      <alignment horizontal="center" vertical="center" wrapText="1"/>
      <protection locked="0"/>
    </xf>
    <xf numFmtId="173" fontId="24" fillId="0" borderId="10" xfId="0" applyFont="1" applyBorder="1" applyNumberFormat="1">
      <alignment horizontal="center" vertical="center" wrapText="1"/>
    </xf>
    <xf numFmtId="0" fontId="31" fillId="34" borderId="19" xfId="0" applyFont="1" applyFill="1" applyBorder="1">
      <alignment horizontal="center" vertical="center" wrapText="1"/>
    </xf>
    <xf numFmtId="0" fontId="24" fillId="0" borderId="20" xfId="0" applyFont="1" applyBorder="1">
      <alignment horizontal="center" vertical="center" wrapText="1"/>
    </xf>
    <xf numFmtId="0" fontId="24" fillId="0" borderId="14" xfId="0" applyFont="1" applyBorder="1">
      <alignment horizontal="center" vertical="center"/>
    </xf>
    <xf numFmtId="171" fontId="24" fillId="0" borderId="14" xfId="0" applyFont="1" applyBorder="1" applyNumberFormat="1">
      <alignment horizontal="center" vertical="center" wrapText="1"/>
    </xf>
    <xf numFmtId="0" fontId="31" fillId="34" borderId="18" xfId="0" applyFont="1" applyFill="1" applyBorder="1">
      <alignment horizontal="center" vertical="center" wrapText="1"/>
    </xf>
    <xf numFmtId="0" fontId="31" fillId="34" borderId="21" xfId="0" applyFont="1" applyFill="1" applyBorder="1">
      <alignment horizontal="center" vertical="center" wrapText="1"/>
    </xf>
    <xf numFmtId="0" fontId="24" fillId="35" borderId="20" xfId="0" applyFont="1" applyFill="1" applyBorder="1">
      <alignment horizontal="center" vertical="center" wrapText="1"/>
    </xf>
    <xf numFmtId="0" fontId="24" fillId="0" borderId="22" xfId="0" applyFont="1" applyBorder="1">
      <alignment horizontal="center" vertical="center" wrapText="1"/>
    </xf>
    <xf numFmtId="0" fontId="36" fillId="0" borderId="18" xfId="0" applyFont="1" applyBorder="1">
      <alignment horizontal="center" vertical="center" wrapText="1"/>
      <protection locked="0"/>
    </xf>
    <xf numFmtId="0" fontId="30" fillId="0" borderId="10" xfId="0" applyFont="1" applyBorder="1" quotePrefix="1">
      <alignment horizontal="center" vertical="center" wrapText="1"/>
    </xf>
    <xf numFmtId="0" fontId="22" fillId="0" borderId="0" xfId="0" applyFont="1">
      <alignment vertical="center" wrapText="1"/>
      <protection locked="0"/>
    </xf>
    <xf numFmtId="0" fontId="23" fillId="0" borderId="0" xfId="0" applyFont="1">
      <alignment horizontal="center" vertical="center" wrapText="1"/>
      <protection locked="0"/>
    </xf>
    <xf numFmtId="0" fontId="0" fillId="0" borderId="0" xfId="0" applyFont="1">
      <alignment horizontal="center" vertical="center" wrapText="1"/>
      <protection locked="0"/>
    </xf>
    <xf numFmtId="0" fontId="0" fillId="0" borderId="0" xfId="0" applyFont="1">
      <alignment vertical="center" wrapText="1"/>
      <protection locked="0"/>
    </xf>
    <xf numFmtId="0" fontId="0" fillId="0" borderId="0" xfId="0" applyFont="1">
      <alignment vertical="center" wrapText="1"/>
      <protection locked="0"/>
    </xf>
    <xf numFmtId="0" fontId="24" fillId="0" borderId="0" xfId="0" applyFont="1">
      <alignment horizontal="left" vertical="center" wrapText="1"/>
      <protection locked="0"/>
    </xf>
    <xf numFmtId="14" fontId="24" fillId="0" borderId="0" xfId="0" applyFont="1" applyNumberFormat="1">
      <alignment horizontal="right" vertical="center" wrapText="1"/>
    </xf>
    <xf numFmtId="0" fontId="24" fillId="0" borderId="0" xfId="0" applyFont="1">
      <alignment horizontal="left" vertical="center" wrapText="1"/>
    </xf>
    <xf numFmtId="0" fontId="33" fillId="0" borderId="0" xfId="0" applyFont="1">
      <alignment horizontal="right" vertical="center" wrapText="1"/>
    </xf>
    <xf numFmtId="0" fontId="24" fillId="0" borderId="0" xfId="0" applyFont="1">
      <alignment horizontal="left" vertical="center" wrapText="1"/>
      <protection locked="0"/>
    </xf>
    <xf numFmtId="0" fontId="0" fillId="0" borderId="0" xfId="0" applyFont="1">
      <alignment horizontal="center" vertical="center" wrapText="1"/>
    </xf>
    <xf numFmtId="20" fontId="0" fillId="0" borderId="0" xfId="0" applyFont="1" applyNumberFormat="1">
      <alignment horizontal="center" vertical="center" wrapText="1"/>
    </xf>
    <xf numFmtId="0" fontId="0" fillId="0" borderId="0" xfId="0" applyFont="1">
      <alignment vertical="center" wrapText="1"/>
    </xf>
    <xf numFmtId="0" fontId="25" fillId="34" borderId="10" xfId="0" applyFont="1" applyFill="1" applyBorder="1">
      <alignment horizontal="center" vertical="center" wrapText="1"/>
    </xf>
    <xf numFmtId="0" fontId="22" fillId="0" borderId="0" xfId="0" applyFont="1">
      <alignment vertical="center" wrapText="1"/>
    </xf>
    <xf numFmtId="0" fontId="26" fillId="0" borderId="11" xfId="0" applyFont="1" applyBorder="1">
      <alignment horizontal="center" vertical="center" wrapText="1"/>
    </xf>
    <xf numFmtId="0" fontId="27" fillId="0" borderId="11" xfId="0" applyFont="1" applyBorder="1">
      <alignment horizontal="center" vertical="center" wrapText="1"/>
    </xf>
    <xf numFmtId="0" fontId="34" fillId="0" borderId="11" xfId="0" applyFont="1" applyBorder="1">
      <alignment horizontal="center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0" fontId="28" fillId="0" borderId="10" xfId="0" applyFont="1" applyBorder="1">
      <alignment horizontal="center" vertical="center" wrapText="1"/>
    </xf>
    <xf numFmtId="0" fontId="29" fillId="0" borderId="10" xfId="0" applyFont="1" applyBorder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0" fontId="35" fillId="0" borderId="10" xfId="0" applyFont="1" applyBorder="1">
      <alignment horizontal="center" vertical="center" wrapText="1"/>
    </xf>
    <xf numFmtId="0" fontId="30" fillId="0" borderId="10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171" fontId="24" fillId="0" borderId="12" xfId="0" applyFont="1" applyBorder="1" applyNumberFormat="1">
      <alignment horizontal="center" vertical="center" wrapText="1"/>
    </xf>
    <xf numFmtId="0" fontId="30" fillId="0" borderId="10" xfId="0" applyFont="1" applyBorder="1" quotePrefix="1">
      <alignment horizontal="center" vertical="center" wrapText="1"/>
    </xf>
    <xf numFmtId="0" fontId="31" fillId="34" borderId="13" xfId="0" applyFont="1" applyFill="1" applyBorder="1">
      <alignment horizontal="center" vertical="center" wrapText="1"/>
    </xf>
    <xf numFmtId="0" fontId="31" fillId="34" borderId="0" xfId="0" applyFont="1" applyFill="1">
      <alignment horizontal="center" vertical="center" wrapText="1"/>
    </xf>
    <xf numFmtId="0" fontId="31" fillId="34" borderId="10" xfId="0" applyFont="1" applyFill="1" applyBorder="1">
      <alignment horizontal="center" vertical="center" wrapText="1"/>
    </xf>
    <xf numFmtId="0" fontId="27" fillId="34" borderId="0" xfId="0" applyFont="1" applyFill="1">
      <alignment vertical="top" wrapText="1"/>
    </xf>
    <xf numFmtId="0" fontId="27" fillId="0" borderId="0" xfId="0" applyFont="1">
      <alignment vertical="top" wrapText="1"/>
    </xf>
    <xf numFmtId="0" fontId="27" fillId="0" borderId="10" xfId="0" applyFont="1" applyBorder="1">
      <alignment horizontal="center" vertical="center" wrapText="1"/>
    </xf>
    <xf numFmtId="173" fontId="24" fillId="0" borderId="10" xfId="0" applyFont="1" applyBorder="1" applyNumberFormat="1">
      <alignment horizontal="center" vertical="center" wrapText="1"/>
      <protection locked="0"/>
    </xf>
    <xf numFmtId="173" fontId="24" fillId="0" borderId="10" xfId="0" applyFont="1" applyBorder="1" applyNumberFormat="1">
      <alignment horizontal="center" vertical="center" wrapText="1"/>
    </xf>
    <xf numFmtId="0" fontId="31" fillId="34" borderId="19" xfId="0" applyFont="1" applyFill="1" applyBorder="1">
      <alignment horizontal="center" vertical="center" wrapText="1"/>
    </xf>
    <xf numFmtId="0" fontId="24" fillId="0" borderId="14" xfId="0" applyFont="1" applyBorder="1">
      <alignment horizontal="center" vertical="center" wrapText="1"/>
    </xf>
    <xf numFmtId="0" fontId="24" fillId="0" borderId="20" xfId="0" applyFont="1" applyBorder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171" fontId="24" fillId="0" borderId="16" xfId="0" applyFont="1" applyBorder="1" applyNumberFormat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0" fontId="24" fillId="0" borderId="14" xfId="0" applyFont="1" applyBorder="1">
      <alignment horizontal="center" vertical="center" wrapText="1"/>
    </xf>
    <xf numFmtId="0" fontId="24" fillId="0" borderId="15" xfId="0" applyFont="1" applyBorder="1">
      <alignment horizontal="center" vertical="center" wrapText="1"/>
    </xf>
    <xf numFmtId="171" fontId="24" fillId="0" borderId="15" xfId="0" applyFont="1" applyBorder="1" applyNumberFormat="1">
      <alignment horizontal="center" vertical="center" wrapText="1"/>
    </xf>
    <xf numFmtId="171" fontId="24" fillId="0" borderId="14" xfId="0" applyFont="1" applyBorder="1" applyNumberFormat="1">
      <alignment horizontal="center" vertical="center" wrapText="1"/>
    </xf>
    <xf numFmtId="0" fontId="31" fillId="34" borderId="14" xfId="0" applyFont="1" applyFill="1" applyBorder="1">
      <alignment horizontal="center" vertical="center" wrapText="1"/>
    </xf>
    <xf numFmtId="0" fontId="31" fillId="34" borderId="15" xfId="0" applyFont="1" applyFill="1" applyBorder="1">
      <alignment horizontal="center" vertical="center" wrapText="1"/>
    </xf>
    <xf numFmtId="0" fontId="31" fillId="34" borderId="18" xfId="0" applyFont="1" applyFill="1" applyBorder="1">
      <alignment horizontal="center" vertical="center" wrapText="1"/>
    </xf>
    <xf numFmtId="0" fontId="31" fillId="34" borderId="21" xfId="0" applyFont="1" applyFill="1" applyBorder="1">
      <alignment horizontal="center" vertical="center" wrapText="1"/>
    </xf>
    <xf numFmtId="0" fontId="24" fillId="35" borderId="10" xfId="0" applyFont="1" applyFill="1" applyBorder="1">
      <alignment horizontal="center" vertical="center" wrapText="1"/>
    </xf>
    <xf numFmtId="0" fontId="24" fillId="35" borderId="14" xfId="0" applyFont="1" applyFill="1" applyBorder="1">
      <alignment horizontal="center" vertical="center" wrapText="1"/>
    </xf>
    <xf numFmtId="0" fontId="24" fillId="35" borderId="20" xfId="0" applyFont="1" applyFill="1" applyBorder="1">
      <alignment horizontal="center" vertical="center" wrapText="1"/>
    </xf>
    <xf numFmtId="10" fontId="24" fillId="0" borderId="10" xfId="0" applyFont="1" applyBorder="1" applyNumberFormat="1">
      <alignment horizontal="center" vertical="center" wrapText="1"/>
    </xf>
    <xf numFmtId="0" fontId="24" fillId="0" borderId="16" xfId="0" applyFont="1" applyBorder="1">
      <alignment horizontal="center" vertical="center" wrapText="1"/>
    </xf>
    <xf numFmtId="0" fontId="24" fillId="0" borderId="17" xfId="0" applyFont="1" applyBorder="1">
      <alignment horizontal="center" vertical="center" wrapText="1"/>
    </xf>
    <xf numFmtId="0" fontId="24" fillId="0" borderId="22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  <protection locked="0"/>
    </xf>
    <xf numFmtId="0" fontId="24" fillId="0" borderId="11" xfId="0" applyFont="1" applyBorder="1">
      <alignment horizontal="center" vertical="center" wrapText="1"/>
    </xf>
    <xf numFmtId="10" fontId="24" fillId="0" borderId="16" xfId="0" applyFont="1" applyBorder="1" applyNumberFormat="1">
      <alignment horizontal="center" vertical="center" wrapText="1"/>
    </xf>
    <xf numFmtId="0" fontId="27" fillId="34" borderId="10" xfId="0" applyFont="1" applyFill="1" applyBorder="1">
      <alignment horizontal="center" vertical="center" wrapText="1"/>
    </xf>
    <xf numFmtId="0" fontId="24" fillId="34" borderId="10" xfId="0" applyFont="1" applyFill="1" applyBorder="1">
      <alignment horizontal="center" vertical="center" wrapText="1"/>
    </xf>
    <xf numFmtId="172" fontId="24" fillId="34" borderId="10" xfId="0" applyFont="1" applyFill="1" applyBorder="1" applyNumberFormat="1">
      <alignment horizontal="center" vertical="center" wrapText="1"/>
      <protection locked="0"/>
    </xf>
    <xf numFmtId="0" fontId="24" fillId="34" borderId="10" xfId="0" applyFont="1" applyFill="1" applyBorder="1">
      <alignment horizontal="center" vertical="center" wrapText="1"/>
      <protection locked="0"/>
    </xf>
    <xf numFmtId="0" fontId="27" fillId="0" borderId="10" xfId="0" applyFont="1" applyBorder="1">
      <alignment vertical="center" wrapText="1"/>
    </xf>
    <xf numFmtId="0" fontId="24" fillId="0" borderId="10" xfId="0" applyFont="1" applyBorder="1">
      <alignment horizontal="center" vertical="center" wrapText="1"/>
      <protection locked="0"/>
    </xf>
    <xf numFmtId="0" fontId="24" fillId="34" borderId="11" xfId="0" applyFont="1" applyFill="1" applyBorder="1">
      <alignment horizontal="center" vertical="center" wrapText="1"/>
    </xf>
    <xf numFmtId="0" fontId="24" fillId="0" borderId="10" xfId="0" applyFont="1" applyBorder="1">
      <alignment horizontal="left" vertical="center" wrapText="1"/>
      <protection locked="0"/>
    </xf>
    <xf numFmtId="0" fontId="32" fillId="0" borderId="0" xfId="0" applyFont="1">
      <alignment vertical="center" wrapText="1"/>
    </xf>
    <xf numFmtId="0" fontId="32" fillId="0" borderId="18" xfId="0" applyFont="1" applyBorder="1">
      <alignment horizontal="center" vertical="center" wrapText="1"/>
      <protection locked="0"/>
    </xf>
    <xf numFmtId="0" fontId="36" fillId="0" borderId="18" xfId="0" applyFont="1" applyBorder="1">
      <alignment horizontal="center" vertical="center" wrapText="1"/>
      <protection locked="0"/>
    </xf>
    <xf numFmtId="0" fontId="0" fillId="0" borderId="0" xfId="0" applyFont="1">
      <alignment vertical="center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0" fillId="0" borderId="0" xfId="0" applyFont="1">
      <alignment vertical="center" wrapText="1"/>
    </xf>
    <xf numFmtId="0" fontId="1" fillId="0" borderId="0" xfId="0" applyFont="1">
      <alignment wrapText="1"/>
    </xf>
    <xf numFmtId="0" fontId="21" fillId="33" borderId="0" xfId="0" applyFont="1" applyFill="1">
      <alignment vertical="center" wrapText="1"/>
    </xf>
    <xf numFmtId="0" fontId="0" fillId="33" borderId="0" xfId="0" applyFont="1" applyFill="1">
      <alignment vertical="center" wrapText="1"/>
    </xf>
    <xf numFmtId="0" fontId="0" fillId="0" borderId="0" xfId="0" applyFont="1">
      <alignment vertical="center"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ABCCB18-E9E8-28C8-4947-C110926EAFD8}" mc:Ignorable="x14ac xr xr2 xr3">
  <dimension ref="A1:S136"/>
  <sheetViews>
    <sheetView defaultGridColor="0" colorId="31" topLeftCell="A1" showGridLines="0" workbookViewId="0" tabSelected="1">
      <selection activeCell="A1" sqref="A1"/>
    </sheetView>
  </sheetViews>
  <sheetFormatPr defaultColWidth="10.00390625" customHeight="1" defaultRowHeight="13.8975"/>
  <cols>
    <col min="1" max="1" style="193" width="1.8515625" customWidth="1"/>
    <col min="2" max="2" style="56" width="14.421875" customWidth="1"/>
    <col min="3" max="3" style="56" width="16.421875" customWidth="1"/>
    <col min="4" max="4" style="193" width="14.421875" customWidth="1"/>
    <col min="5" max="5" style="193" width="17.7109375" customWidth="1"/>
    <col min="6" max="8" style="193" width="14.421875" customWidth="1"/>
    <col min="9" max="9" style="193" width="18.421875" customWidth="1"/>
    <col min="10" max="10" style="193" width="18.28125" customWidth="1"/>
    <col min="11" max="11" style="193" width="18.57421875" customWidth="1"/>
    <col min="12" max="12" style="193" width="14.421875" customWidth="1"/>
    <col min="13" max="19" style="193" width="10.00390625" hidden="1"/>
  </cols>
  <sheetData>
    <row s="54" customFormat="1" customHeight="1" ht="8.25">
      <c r="A1" s="57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100"/>
      <c r="N1" s="100"/>
      <c r="O1" s="101"/>
      <c r="P1" s="101"/>
      <c r="Q1" s="101"/>
      <c r="R1" s="101"/>
      <c r="S1" s="126"/>
    </row>
    <row s="54" customFormat="1" customHeight="1" ht="33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100"/>
      <c r="N2" s="100"/>
      <c r="O2" s="101"/>
      <c r="P2" s="101"/>
      <c r="Q2" s="101"/>
      <c r="R2" s="101"/>
      <c r="S2" s="126"/>
    </row>
    <row s="54" customFormat="1" customHeight="1" ht="16.5">
      <c r="A3" s="57"/>
      <c r="B3" s="59" t="s">
        <v>1</v>
      </c>
      <c r="C3" s="59"/>
      <c r="D3" s="59"/>
      <c r="E3" s="128" t="s">
        <v>2</v>
      </c>
      <c r="F3" s="128"/>
      <c r="G3" s="129" t="str">
        <f>S3</f>
        <v>2026-01-06</v>
      </c>
      <c r="H3" s="129"/>
      <c r="I3" s="126"/>
      <c r="J3" s="102" t="s">
        <v>3</v>
      </c>
      <c r="K3" s="131" t="str">
        <f>取值!A1</f>
        <v>2026-01-07</v>
      </c>
      <c r="L3" s="131"/>
      <c r="M3" s="97" t="s">
        <v>4</v>
      </c>
      <c r="N3" s="104" t="s">
        <v>5</v>
      </c>
      <c r="O3" s="101"/>
      <c r="P3" s="101"/>
      <c r="Q3" s="101"/>
      <c r="R3" s="101"/>
      <c r="S3" s="134" t="s">
        <v>6</v>
      </c>
    </row>
    <row s="54" customFormat="1" customHeight="1" ht="23.25">
      <c r="A4" s="57"/>
      <c r="B4" s="62" t="s">
        <v>7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100"/>
      <c r="N4" s="100"/>
      <c r="O4" s="101"/>
      <c r="P4" s="101"/>
      <c r="Q4" s="101"/>
      <c r="R4" s="101"/>
      <c r="S4" s="126"/>
    </row>
    <row customHeight="1" ht="17.25">
      <c r="A5" s="63"/>
      <c r="B5" s="64"/>
      <c r="C5" s="64"/>
      <c r="D5" s="65" t="s">
        <v>8</v>
      </c>
      <c r="E5" s="65"/>
      <c r="F5" s="65"/>
      <c r="G5" s="65" t="s">
        <v>9</v>
      </c>
      <c r="H5" s="65"/>
      <c r="I5" s="65"/>
      <c r="J5" s="65" t="s">
        <v>10</v>
      </c>
      <c r="K5" s="65"/>
      <c r="L5" s="105"/>
      <c r="M5" s="97"/>
      <c r="N5" s="97"/>
      <c r="O5" s="55"/>
      <c r="P5" s="55"/>
      <c r="Q5" s="55"/>
      <c r="R5" s="55"/>
      <c r="S5" s="141"/>
    </row>
    <row customHeight="1" ht="17.25">
      <c r="A6" s="63"/>
      <c r="B6" s="66"/>
      <c r="C6" s="67"/>
      <c r="D6" s="68" t="s">
        <v>11</v>
      </c>
      <c r="E6" s="68" t="s">
        <v>12</v>
      </c>
      <c r="F6" s="68" t="s">
        <v>13</v>
      </c>
      <c r="G6" s="68" t="s">
        <v>11</v>
      </c>
      <c r="H6" s="68" t="s">
        <v>12</v>
      </c>
      <c r="I6" s="68" t="s">
        <v>13</v>
      </c>
      <c r="J6" s="68" t="s">
        <v>11</v>
      </c>
      <c r="K6" s="68" t="s">
        <v>12</v>
      </c>
      <c r="L6" s="106" t="s">
        <v>13</v>
      </c>
      <c r="M6" s="97"/>
      <c r="N6" s="97"/>
      <c r="O6" s="55"/>
      <c r="P6" s="55"/>
      <c r="Q6" s="55"/>
      <c r="R6" s="55"/>
      <c r="S6" s="141"/>
    </row>
    <row customHeight="1" ht="17.25">
      <c r="A7" s="63"/>
      <c r="B7" s="69" t="s">
        <v>14</v>
      </c>
      <c r="C7" s="67"/>
      <c r="D7" s="70">
        <f>_xlfn.IFERROR(IF(取值!A108=0,"",取值!A108),"")</f>
        <v>20</v>
      </c>
      <c r="E7" s="70" t="str">
        <f>_xlfn.IFERROR(IF(取值!A115=0,"",取值!A115),"")</f>
        <v/>
      </c>
      <c r="F7" s="70">
        <f>_xlfn.IFERROR(IF(取值!A122=0,"",取值!A122),"")</f>
        <v>9837</v>
      </c>
      <c r="G7" s="70">
        <f>_xlfn.IFERROR(IF(取值!A29=0,"",取值!A29),"")</f>
        <v>187</v>
      </c>
      <c r="H7" s="71"/>
      <c r="I7" s="70">
        <f>_xlfn.IFERROR(取值!A33,"")</f>
        <v>1810</v>
      </c>
      <c r="J7" s="70">
        <f>_xlfn.IFERROR(取值!A160,"")</f>
        <v>573.44</v>
      </c>
      <c r="K7" s="70">
        <f>_xlfn.IFERROR(IF(取值!A166=0,"",取值!A166),"")</f>
        <v>2289</v>
      </c>
      <c r="L7" s="70" t="str">
        <f>_xlfn.IFERROR(IF(取值!A172=0,"",取值!A172),"")</f>
        <v/>
      </c>
      <c r="M7" s="97"/>
      <c r="N7" s="97"/>
      <c r="O7" s="55"/>
      <c r="P7" s="55"/>
      <c r="Q7" s="55"/>
      <c r="R7" s="55"/>
      <c r="S7" s="141"/>
    </row>
    <row customHeight="1" ht="17.25">
      <c r="A8" s="63"/>
      <c r="B8" s="69" t="s">
        <v>15</v>
      </c>
      <c r="C8" s="67"/>
      <c r="D8" s="70">
        <f>_xlfn.IFERROR(IF(取值!A109=0,"",取值!A109),"")</f>
        <v>162</v>
      </c>
      <c r="E8" s="70">
        <f>_xlfn.IFERROR(IF(取值!A116=0,"",取值!A116),"")</f>
        <v>3169</v>
      </c>
      <c r="F8" s="70" t="str">
        <f>_xlfn.IFERROR(IF(取值!A123=0,"",取值!A123),"")</f>
        <v/>
      </c>
      <c r="G8" s="70"/>
      <c r="H8" s="71"/>
      <c r="I8" s="70"/>
      <c r="J8" s="70">
        <f>_xlfn.IFERROR(取值!A161,"")</f>
        <v>416</v>
      </c>
      <c r="K8" s="70" t="str">
        <f>_xlfn.IFERROR(IF(取值!A167=0,"",取值!A167),"")</f>
        <v/>
      </c>
      <c r="L8" s="70" t="str">
        <f>_xlfn.IFERROR(IF(取值!A173=0,"",取值!A173),"")</f>
        <v/>
      </c>
      <c r="M8" s="97"/>
      <c r="N8" s="97"/>
      <c r="O8" s="55"/>
      <c r="P8" s="55"/>
      <c r="Q8" s="55"/>
      <c r="R8" s="55"/>
      <c r="S8" s="141"/>
    </row>
    <row customHeight="1" ht="17.25">
      <c r="A9" s="63"/>
      <c r="B9" s="69" t="s">
        <v>16</v>
      </c>
      <c r="C9" s="67"/>
      <c r="D9" s="70" t="str">
        <f>_xlfn.IFERROR(IF(取值!A110=0,"",取值!A110),"")</f>
        <v/>
      </c>
      <c r="E9" s="70" t="str">
        <f>_xlfn.IFERROR(IF(取值!A117=0,"",取值!A117),"")</f>
        <v/>
      </c>
      <c r="F9" s="70" t="str">
        <f>_xlfn.IFERROR(IF(取值!A124=0,"",取值!A124),"")</f>
        <v/>
      </c>
      <c r="G9" s="70"/>
      <c r="H9" s="71"/>
      <c r="I9" s="70"/>
      <c r="J9" s="70"/>
      <c r="K9" s="70"/>
      <c r="L9" s="70"/>
      <c r="M9" s="97"/>
      <c r="N9" s="97"/>
      <c r="O9" s="55"/>
      <c r="P9" s="55"/>
      <c r="Q9" s="55"/>
      <c r="R9" s="55"/>
      <c r="S9" s="141"/>
    </row>
    <row customHeight="1" ht="17.25">
      <c r="A10" s="63"/>
      <c r="B10" s="69" t="s">
        <v>17</v>
      </c>
      <c r="C10" s="67"/>
      <c r="D10" s="70">
        <f>_xlfn.IFERROR(IF(取值!A111=0,"",取值!A111),"")</f>
        <v>21</v>
      </c>
      <c r="E10" s="70">
        <f>_xlfn.IFERROR(IF(取值!A118=0,"",取值!A118),"")</f>
        <v>3442</v>
      </c>
      <c r="F10" s="70" t="str">
        <f>_xlfn.IFERROR(IF(取值!A125=0,"",取值!A125),"")</f>
        <v/>
      </c>
      <c r="G10" s="70">
        <f>_xlfn.IFERROR(IF(取值!A30=0,"",取值!A30),"")</f>
        <v>60</v>
      </c>
      <c r="H10" s="71"/>
      <c r="I10" s="70">
        <f>_xlfn.IFERROR(取值!A34,"")</f>
        <v>1582</v>
      </c>
      <c r="J10" s="70">
        <f>_xlfn.IFERROR(取值!A162,"")</f>
        <v>94.76</v>
      </c>
      <c r="K10" s="70">
        <f>_xlfn.IFERROR(IF(取值!A168=0,"",取值!A168),"")</f>
        <v>5251</v>
      </c>
      <c r="L10" s="70" t="str">
        <f>_xlfn.IFERROR(IF(取值!A174=0,"",取值!A174),"")</f>
        <v/>
      </c>
      <c r="M10" s="97"/>
      <c r="N10" s="97"/>
      <c r="O10" s="55"/>
      <c r="P10" s="55"/>
      <c r="Q10" s="55"/>
      <c r="R10" s="55"/>
      <c r="S10" s="141"/>
    </row>
    <row customHeight="1" ht="17.25">
      <c r="A11" s="63"/>
      <c r="B11" s="121" t="s">
        <v>18</v>
      </c>
      <c r="C11" s="67"/>
      <c r="D11" s="70" t="str">
        <f>_xlfn.IFERROR(IF(取值!A112=0,"",取值!A112),"")</f>
        <v/>
      </c>
      <c r="E11" s="70" t="str">
        <f>_xlfn.IFERROR(IF(取值!A119=0,"",取值!A119),"")</f>
        <v/>
      </c>
      <c r="F11" s="70" t="str">
        <f>_xlfn.IFERROR(IF(取值!A126=0,"",取值!A126),"")</f>
        <v/>
      </c>
      <c r="G11" s="70"/>
      <c r="H11" s="71"/>
      <c r="I11" s="70"/>
      <c r="J11" s="70">
        <f>_xlfn.IFERROR(取值!A163,"")</f>
        <v>192.9</v>
      </c>
      <c r="K11" s="70" t="str">
        <f>_xlfn.IFERROR(IF(取值!A169=0,"",取值!A169),"")</f>
        <v/>
      </c>
      <c r="L11" s="70">
        <f>_xlfn.IFERROR(IF(取值!A175=0,"",取值!A175),"")</f>
        <v>1480</v>
      </c>
      <c r="M11" s="97"/>
      <c r="N11" s="97"/>
      <c r="O11" s="55"/>
      <c r="P11" s="55"/>
      <c r="Q11" s="55"/>
      <c r="R11" s="55"/>
      <c r="S11" s="141"/>
    </row>
    <row customHeight="1" ht="17.25">
      <c r="A12" s="63"/>
      <c r="B12" s="121" t="s">
        <v>19</v>
      </c>
      <c r="C12" s="67"/>
      <c r="D12" s="70" t="str">
        <f>_xlfn.IFERROR(IF(取值!A113=0,"",取值!A113),"")</f>
        <v/>
      </c>
      <c r="E12" s="70" t="str">
        <f>_xlfn.IFERROR(IF(取值!A120=0,"",取值!A120),"")</f>
        <v/>
      </c>
      <c r="F12" s="70" t="str">
        <f>_xlfn.IFERROR(IF(取值!A127=0,"",取值!A127),"")</f>
        <v/>
      </c>
      <c r="G12" s="70">
        <f>_xlfn.IFERROR(IF(取值!A31=0,"",取值!A31),"")</f>
        <v>892</v>
      </c>
      <c r="H12" s="71"/>
      <c r="I12" s="70" t="str">
        <f>_xlfn.IFERROR(IF(取值!A35=0,"",取值!A35),"")</f>
        <v/>
      </c>
      <c r="J12" s="70" t="str">
        <f>_xlfn.IFERROR(IF(取值!A164=0,"",取值!A164),"")</f>
        <v/>
      </c>
      <c r="K12" s="70" t="str">
        <f>_xlfn.IFERROR(IF(取值!A170=0,"",取值!A170),"")</f>
        <v/>
      </c>
      <c r="L12" s="70" t="str">
        <f>_xlfn.IFERROR(IF(取值!A176=0,"",取值!A176),"")</f>
        <v/>
      </c>
      <c r="M12" s="97"/>
      <c r="N12" s="97"/>
      <c r="O12" s="55"/>
      <c r="P12" s="55"/>
      <c r="Q12" s="55"/>
      <c r="R12" s="55"/>
      <c r="S12" s="141"/>
    </row>
    <row customHeight="1" ht="17.25">
      <c r="A13" s="63"/>
      <c r="B13" s="69" t="s">
        <v>20</v>
      </c>
      <c r="C13" s="67"/>
      <c r="D13" s="70">
        <f>_xlfn.IFERROR(IF(取值!A114=0,"",取值!A114),"")</f>
        <v>65</v>
      </c>
      <c r="E13" s="70" t="str">
        <f>_xlfn.IFERROR(IF(取值!A121=0,"",取值!A121),"")</f>
        <v/>
      </c>
      <c r="F13" s="70" t="str">
        <f>_xlfn.IFERROR(IF(取值!A128=0,"",取值!A128),"")</f>
        <v/>
      </c>
      <c r="G13" s="70" t="str">
        <f>_xlfn.IFERROR(IF(取值!A32=0,"",取值!A32),"")</f>
        <v/>
      </c>
      <c r="H13" s="71"/>
      <c r="I13" s="70" t="str">
        <f>_xlfn.IFERROR(IF(取值!A36=0,"",取值!A36),"")</f>
        <v/>
      </c>
      <c r="J13" s="70" t="str">
        <f>_xlfn.IFERROR(IF(取值!A165=0,"",取值!A165),"")</f>
        <v/>
      </c>
      <c r="K13" s="70" t="str">
        <f>_xlfn.IFERROR(IF(取值!A171=0,"",取值!A171),"")</f>
        <v/>
      </c>
      <c r="L13" s="70">
        <f>_xlfn.IFERROR(IF(取值!A177=0,"",取值!A177),"")</f>
        <v>1905</v>
      </c>
      <c r="M13" s="97"/>
      <c r="N13" s="97"/>
      <c r="O13" s="55"/>
      <c r="P13" s="55"/>
      <c r="Q13" s="55"/>
      <c r="R13" s="55"/>
      <c r="S13" s="141"/>
    </row>
    <row customHeight="1" ht="24">
      <c r="A14" s="63"/>
      <c r="B14" s="72" t="s">
        <v>21</v>
      </c>
      <c r="C14" s="73"/>
      <c r="D14" s="73"/>
      <c r="E14" s="73"/>
      <c r="F14" s="73"/>
      <c r="G14" s="73"/>
      <c r="H14" s="73"/>
      <c r="I14" s="107" t="s">
        <v>22</v>
      </c>
      <c r="J14" s="107"/>
      <c r="K14" s="107"/>
      <c r="L14" s="107"/>
      <c r="M14" s="108"/>
      <c r="N14" s="108"/>
      <c r="O14" s="109"/>
      <c r="P14" s="55"/>
      <c r="Q14" s="55"/>
      <c r="R14" s="55"/>
      <c r="S14" s="141"/>
    </row>
    <row customHeight="1" ht="17.25">
      <c r="A15" s="63"/>
      <c r="B15" s="68"/>
      <c r="C15" s="68"/>
      <c r="D15" s="74" t="s">
        <v>23</v>
      </c>
      <c r="E15" s="74" t="s">
        <v>24</v>
      </c>
      <c r="F15" s="74" t="s">
        <v>25</v>
      </c>
      <c r="G15" s="74" t="s">
        <v>26</v>
      </c>
      <c r="H15" s="74" t="s">
        <v>27</v>
      </c>
      <c r="I15" s="74"/>
      <c r="J15" s="74" t="s">
        <v>28</v>
      </c>
      <c r="K15" s="74" t="s">
        <v>29</v>
      </c>
      <c r="L15" s="68" t="s">
        <v>30</v>
      </c>
      <c r="M15" s="97"/>
      <c r="N15" s="97"/>
      <c r="O15" s="55"/>
      <c r="P15" s="55"/>
      <c r="Q15" s="55"/>
      <c r="R15" s="55"/>
      <c r="S15" s="141"/>
    </row>
    <row customHeight="1" ht="17.25">
      <c r="A16" s="63"/>
      <c r="B16" s="68" t="s">
        <v>31</v>
      </c>
      <c r="C16" s="74"/>
      <c r="D16" s="70">
        <f>_xlfn.IFERROR(取值!A216,"")</f>
        <v>0</v>
      </c>
      <c r="E16" s="70">
        <f>_xlfn.IFERROR(取值!A219,"")</f>
        <v>369.34</v>
      </c>
      <c r="F16" s="70">
        <f>_xlfn.IFERROR(取值!A222,"")</f>
        <v>467.36</v>
      </c>
      <c r="G16" s="70">
        <f>_xlfn.IFERROR(取值!A225,"")</f>
        <v>761.73</v>
      </c>
      <c r="H16" s="70">
        <f>_xlfn.IFERROR(取值!A228,"")</f>
        <v>521.44</v>
      </c>
      <c r="I16" s="74" t="s">
        <v>32</v>
      </c>
      <c r="J16" s="110">
        <v>57.13</v>
      </c>
      <c r="K16" s="110">
        <v>58.32</v>
      </c>
      <c r="L16" s="111">
        <f>_xlfn.IFERROR(J16-K16,"")</f>
        <v>-1.19</v>
      </c>
      <c r="M16" s="97"/>
      <c r="N16" s="97"/>
      <c r="O16" s="55"/>
      <c r="P16" s="55"/>
      <c r="Q16" s="55"/>
      <c r="R16" s="55"/>
      <c r="S16" s="141"/>
    </row>
    <row customHeight="1" ht="17.25">
      <c r="A17" s="63"/>
      <c r="B17" s="68" t="s">
        <v>33</v>
      </c>
      <c r="C17" s="74"/>
      <c r="D17" s="70">
        <f>_xlfn.IFERROR(取值!A217,"")</f>
        <v>0</v>
      </c>
      <c r="E17" s="70">
        <f>_xlfn.IFERROR(取值!A220,"")</f>
        <v>873.08</v>
      </c>
      <c r="F17" s="70">
        <f>_xlfn.IFERROR(取值!A223,"")</f>
        <v>749.9</v>
      </c>
      <c r="G17" s="70">
        <f>_xlfn.IFERROR(取值!A226,"")</f>
        <v>1829.96</v>
      </c>
      <c r="H17" s="70">
        <f>_xlfn.IFERROR(取值!A229,"")</f>
        <v>645.54</v>
      </c>
      <c r="I17" s="74" t="s">
        <v>34</v>
      </c>
      <c r="J17" s="110">
        <v>60.7</v>
      </c>
      <c r="K17" s="110">
        <v>61.74</v>
      </c>
      <c r="L17" s="111">
        <f>_xlfn.IFERROR(J17-K17,"")</f>
        <v>-1.04</v>
      </c>
      <c r="M17" s="97"/>
      <c r="N17" s="97"/>
      <c r="O17" s="55"/>
      <c r="P17" s="55"/>
      <c r="Q17" s="55"/>
      <c r="R17" s="55"/>
      <c r="S17" s="141"/>
    </row>
    <row customHeight="1" ht="17.25">
      <c r="A18" s="63"/>
      <c r="B18" s="68" t="s">
        <v>35</v>
      </c>
      <c r="C18" s="74"/>
      <c r="D18" s="70">
        <f>_xlfn.IFERROR(取值!A231,"")</f>
        <v>3310</v>
      </c>
      <c r="E18" s="70">
        <f>_xlfn.IFERROR(取值!A232,"")</f>
        <v>3300</v>
      </c>
      <c r="F18" s="70">
        <f>_xlfn.IFERROR(取值!A233,"")</f>
        <v>3290</v>
      </c>
      <c r="G18" s="70">
        <f>_xlfn.IFERROR(取值!A234,"")</f>
        <v>3250</v>
      </c>
      <c r="H18" s="70">
        <f>_xlfn.IFERROR(取值!A235,"")</f>
        <v>3280</v>
      </c>
      <c r="I18" s="74" t="s">
        <v>36</v>
      </c>
      <c r="J18" s="110">
        <v>427.3</v>
      </c>
      <c r="K18" s="110">
        <v>426.8</v>
      </c>
      <c r="L18" s="111">
        <f>_xlfn.IFERROR(J18-K18,"")</f>
        <v>0.5</v>
      </c>
      <c r="M18" s="97"/>
      <c r="N18" s="97"/>
      <c r="O18" s="55"/>
      <c r="P18" s="55"/>
      <c r="Q18" s="55"/>
      <c r="R18" s="55"/>
      <c r="S18" s="141"/>
    </row>
    <row customHeight="1" ht="25.5">
      <c r="A19" s="63"/>
      <c r="B19" s="72" t="s">
        <v>37</v>
      </c>
      <c r="C19" s="73"/>
      <c r="D19" s="73"/>
      <c r="E19" s="73"/>
      <c r="F19" s="73"/>
      <c r="G19" s="73"/>
      <c r="H19" s="73"/>
      <c r="I19" s="73"/>
      <c r="J19" s="73"/>
      <c r="K19" s="73"/>
      <c r="L19" s="112"/>
      <c r="M19" s="97"/>
      <c r="N19" s="97"/>
      <c r="O19" s="55"/>
      <c r="P19" s="55"/>
      <c r="Q19" s="55"/>
      <c r="R19" s="55"/>
      <c r="S19" s="141"/>
    </row>
    <row customHeight="1" ht="17.25">
      <c r="A20" s="63"/>
      <c r="B20" s="74" t="s">
        <v>38</v>
      </c>
      <c r="C20" s="74"/>
      <c r="D20" s="74"/>
      <c r="E20" s="74" t="s">
        <v>9</v>
      </c>
      <c r="F20" s="74"/>
      <c r="G20" s="74"/>
      <c r="H20" s="74" t="s">
        <v>10</v>
      </c>
      <c r="I20" s="74"/>
      <c r="J20" s="74"/>
      <c r="K20" s="74" t="s">
        <v>39</v>
      </c>
      <c r="L20" s="74"/>
      <c r="M20" s="97"/>
      <c r="N20" s="97"/>
      <c r="O20" s="55"/>
      <c r="P20" s="55"/>
      <c r="Q20" s="55"/>
      <c r="R20" s="55"/>
      <c r="S20" s="141"/>
    </row>
    <row customHeight="1" ht="17.25">
      <c r="A21" s="63"/>
      <c r="B21" s="68" t="s">
        <v>40</v>
      </c>
      <c r="C21" s="68"/>
      <c r="D21" s="70">
        <f>_xlfn.IFERROR(IF(取值!A129=0,"",取值!A129),"")</f>
        <v>1056</v>
      </c>
      <c r="E21" s="68" t="s">
        <v>41</v>
      </c>
      <c r="F21" s="68"/>
      <c r="G21" s="70">
        <f>_xlfn.IFERROR(IF(取值!A37=0,"",取值!A37),"")</f>
        <v>764</v>
      </c>
      <c r="H21" s="68" t="s">
        <v>42</v>
      </c>
      <c r="I21" s="68"/>
      <c r="J21" s="70">
        <f>_xlfn.IFERROR(IF(取值!A178=0,"",取值!A178),"")</f>
        <v>536</v>
      </c>
      <c r="K21" s="68" t="s">
        <v>43</v>
      </c>
      <c r="L21" s="70">
        <f>_xlfn.IFERROR(IF(取值!A67=0,"",取值!A67),"")</f>
        <v>667.36</v>
      </c>
      <c r="M21" s="97"/>
      <c r="N21" s="97"/>
      <c r="O21" s="55"/>
      <c r="P21" s="55"/>
      <c r="Q21" s="55"/>
      <c r="R21" s="55"/>
      <c r="S21" s="141"/>
    </row>
    <row customHeight="1" ht="17.25">
      <c r="A22" s="63"/>
      <c r="B22" s="68" t="s">
        <v>44</v>
      </c>
      <c r="C22" s="68"/>
      <c r="D22" s="70">
        <f>_xlfn.IFERROR(IF(取值!A130=0,"",取值!A130),"")</f>
        <v>225</v>
      </c>
      <c r="E22" s="68" t="s">
        <v>45</v>
      </c>
      <c r="F22" s="68"/>
      <c r="G22" s="70">
        <f>_xlfn.IFERROR(IF(取值!A38=0,"",取值!A38),"")</f>
        <v>1476</v>
      </c>
      <c r="H22" s="68" t="s">
        <v>46</v>
      </c>
      <c r="I22" s="68"/>
      <c r="J22" s="70">
        <f>_xlfn.IFERROR(IF(取值!A179=0,"",取值!A179),"")</f>
        <v>250</v>
      </c>
      <c r="K22" s="68" t="s">
        <v>47</v>
      </c>
      <c r="L22" s="70">
        <f>_xlfn.IFERROR(IF(取值!A68=0,"",取值!A68),"")</f>
        <v>219.1</v>
      </c>
      <c r="M22" s="97"/>
      <c r="N22" s="97"/>
      <c r="O22" s="55"/>
      <c r="P22" s="55"/>
      <c r="Q22" s="55"/>
      <c r="R22" s="55"/>
      <c r="S22" s="141"/>
    </row>
    <row customHeight="1" ht="17.25">
      <c r="A23" s="63"/>
      <c r="B23" s="68" t="s">
        <v>48</v>
      </c>
      <c r="C23" s="68"/>
      <c r="D23" s="70">
        <f>_xlfn.IFERROR(IF(取值!A131=0,"",取值!A131),"")</f>
        <v>64</v>
      </c>
      <c r="E23" s="68" t="s">
        <v>42</v>
      </c>
      <c r="F23" s="68"/>
      <c r="G23" s="70">
        <f>_xlfn.IFERROR(IF(取值!A39=0,"",取值!A39),"")</f>
        <v>709</v>
      </c>
      <c r="H23" s="75" t="s">
        <v>49</v>
      </c>
      <c r="I23" s="113"/>
      <c r="J23" s="70">
        <f>_xlfn.IFERROR(IF(取值!A180=0,"",取值!A180),"")</f>
        <v>129</v>
      </c>
      <c r="K23" s="68" t="s">
        <v>50</v>
      </c>
      <c r="L23" s="70">
        <f>_xlfn.IFERROR(IF(取值!A69=0,"",取值!A69),"")</f>
        <v>219.2</v>
      </c>
      <c r="M23" s="97"/>
      <c r="N23" s="97"/>
      <c r="O23" s="55"/>
      <c r="P23" s="55"/>
      <c r="Q23" s="55"/>
      <c r="R23" s="55"/>
      <c r="S23" s="141"/>
    </row>
    <row customHeight="1" ht="18">
      <c r="A24" s="63"/>
      <c r="B24" s="68" t="s">
        <v>51</v>
      </c>
      <c r="C24" s="68"/>
      <c r="D24" s="70" t="str">
        <f>_xlfn.IFERROR(IF(取值!A132=0,"",取值!A132),"")</f>
        <v/>
      </c>
      <c r="E24" s="161" t="s">
        <v>52</v>
      </c>
      <c r="F24" s="161"/>
      <c r="G24" s="70">
        <f>_xlfn.IFERROR(IF(取值!A40=0,"",取值!A40),"")</f>
        <v>219</v>
      </c>
      <c r="H24" s="68" t="s">
        <v>52</v>
      </c>
      <c r="I24" s="68"/>
      <c r="J24" s="70">
        <f>_xlfn.IFERROR(IF(取值!A181=0,"",取值!A181),"")</f>
        <v>314</v>
      </c>
      <c r="K24" s="68" t="s">
        <v>53</v>
      </c>
      <c r="L24" s="88">
        <f>_xlfn.IFERROR(IF(取值!A70=0,"",取值!A70),"")</f>
        <v>313.46</v>
      </c>
      <c r="M24" s="97"/>
      <c r="N24" s="97"/>
      <c r="O24" s="55"/>
      <c r="P24" s="55"/>
      <c r="Q24" s="55"/>
      <c r="R24" s="55"/>
      <c r="S24" s="141"/>
    </row>
    <row s="55" customFormat="1" customHeight="1" ht="15.75">
      <c r="A25" s="63"/>
      <c r="B25" s="161" t="s">
        <v>54</v>
      </c>
      <c r="C25" s="161"/>
      <c r="D25" s="163" t="str">
        <f>_xlfn.IFERROR(IF(取值!A133=0,"",取值!A133),"")</f>
        <v/>
      </c>
      <c r="E25" s="161" t="s">
        <v>54</v>
      </c>
      <c r="F25" s="161"/>
      <c r="G25" s="163">
        <f>_xlfn.IFERROR(IF(取值!A41=0,"",取值!A41),"")</f>
        <v>32</v>
      </c>
      <c r="H25" s="161" t="s">
        <v>55</v>
      </c>
      <c r="I25" s="161"/>
      <c r="J25" s="163" t="str">
        <f>_xlfn.IFERROR(IF(取值!A182=0,"",取值!A182),"")</f>
        <v/>
      </c>
      <c r="K25" s="164" t="s">
        <v>56</v>
      </c>
      <c r="L25" s="70" t="str">
        <f>_xlfn.IFERROR(IF(取值!A22=0,"",取值!A22),"")</f>
        <v/>
      </c>
      <c r="M25" s="97"/>
      <c r="N25" s="97"/>
      <c r="O25" s="141"/>
      <c r="P25" s="141"/>
      <c r="Q25" s="141"/>
      <c r="R25" s="141"/>
      <c r="S25" s="141"/>
    </row>
    <row customHeight="1" ht="17.25">
      <c r="A26" s="63"/>
      <c r="B26" s="68" t="s">
        <v>57</v>
      </c>
      <c r="C26" s="68"/>
      <c r="D26" s="70" t="str">
        <f>_xlfn.IFERROR(IF(取值!A134=0,"",取值!A134),"")</f>
        <v/>
      </c>
      <c r="E26" s="68" t="s">
        <v>55</v>
      </c>
      <c r="F26" s="68"/>
      <c r="G26" s="70">
        <f>_xlfn.IFERROR(IF(取值!A42=0,"",取值!A42),"")</f>
        <v>314</v>
      </c>
      <c r="H26" s="68" t="s">
        <v>58</v>
      </c>
      <c r="I26" s="68"/>
      <c r="J26" s="70" t="str">
        <f>_xlfn.IFERROR(IF(取值!A183=0,"",取值!A183),"")</f>
        <v/>
      </c>
      <c r="K26" s="68" t="s">
        <v>59</v>
      </c>
      <c r="L26" s="70">
        <f>_xlfn.IFERROR(IF(取值!A257=0,"",取值!A257),"")</f>
        <v>224.72</v>
      </c>
      <c r="M26" s="97"/>
      <c r="N26" s="97"/>
      <c r="O26" s="55"/>
      <c r="P26" s="55"/>
      <c r="Q26" s="55"/>
      <c r="R26" s="55"/>
      <c r="S26" s="141"/>
    </row>
    <row customHeight="1" ht="16.5">
      <c r="A27" s="63"/>
      <c r="B27" s="75"/>
      <c r="C27" s="78"/>
      <c r="D27" s="79"/>
      <c r="E27" s="68" t="s">
        <v>57</v>
      </c>
      <c r="F27" s="68"/>
      <c r="G27" s="70" t="str">
        <f>_xlfn.IFERROR(IF(取值!A43=0,"",取值!A43),"")</f>
        <v/>
      </c>
      <c r="H27" s="68" t="s">
        <v>57</v>
      </c>
      <c r="I27" s="68"/>
      <c r="J27" s="115" t="str">
        <f>_xlfn.IFERROR(IF(取值!A184=0,"",取值!A184),"")</f>
        <v/>
      </c>
      <c r="K27" s="68"/>
      <c r="L27" s="68"/>
      <c r="M27" s="97"/>
      <c r="N27" s="97"/>
      <c r="O27" s="55"/>
      <c r="P27" s="55"/>
      <c r="Q27" s="55"/>
      <c r="R27" s="55"/>
      <c r="S27" s="141"/>
    </row>
    <row customHeight="1" ht="21.75">
      <c r="A28" s="63"/>
      <c r="B28" s="80" t="s">
        <v>60</v>
      </c>
      <c r="C28" s="81"/>
      <c r="D28" s="81"/>
      <c r="E28" s="81"/>
      <c r="F28" s="81"/>
      <c r="G28" s="81"/>
      <c r="H28" s="81"/>
      <c r="I28" s="81"/>
      <c r="J28" s="81"/>
      <c r="K28" s="116"/>
      <c r="L28" s="117"/>
      <c r="M28" s="97"/>
      <c r="N28" s="97"/>
      <c r="O28" s="55"/>
      <c r="P28" s="55"/>
      <c r="Q28" s="55"/>
      <c r="R28" s="55"/>
      <c r="S28" s="141"/>
    </row>
    <row customHeight="1" ht="17.25">
      <c r="A29" s="63"/>
      <c r="B29" s="82" t="s">
        <v>61</v>
      </c>
      <c r="C29" s="82"/>
      <c r="D29" s="68" t="s">
        <v>31</v>
      </c>
      <c r="E29" s="68" t="s">
        <v>33</v>
      </c>
      <c r="F29" s="68" t="s">
        <v>62</v>
      </c>
      <c r="G29" s="68" t="s">
        <v>63</v>
      </c>
      <c r="H29" s="83" t="s">
        <v>61</v>
      </c>
      <c r="I29" s="118"/>
      <c r="J29" s="68" t="s">
        <v>33</v>
      </c>
      <c r="K29" s="68" t="s">
        <v>62</v>
      </c>
      <c r="L29" s="68" t="s">
        <v>64</v>
      </c>
      <c r="M29" s="97"/>
      <c r="N29" s="97"/>
      <c r="O29" s="55"/>
      <c r="P29" s="55"/>
      <c r="Q29" s="55"/>
      <c r="R29" s="55"/>
      <c r="S29" s="141"/>
    </row>
    <row customHeight="1" ht="17.25">
      <c r="A30" s="63"/>
      <c r="B30" s="68" t="s">
        <v>65</v>
      </c>
      <c r="C30" s="68"/>
      <c r="D30" s="70">
        <f>_xlfn.IFERROR(IF(取值!A139=0,"",取值!A139),"")</f>
        <v>236.55</v>
      </c>
      <c r="E30" s="70">
        <f>_xlfn.IFERROR(IF(取值!A149=0,"",取值!A149),"")</f>
        <v>226.98</v>
      </c>
      <c r="F30" s="70">
        <f>_xlfn.IFERROR(IF(取值!A154=0,"",取值!A154),"")</f>
        <v>7400</v>
      </c>
      <c r="G30" s="84">
        <f>_xlfn.IFERROR(IF(取值!A140=0,"",取值!A140),"")</f>
        <v>0.7885</v>
      </c>
      <c r="H30" s="75" t="s">
        <v>66</v>
      </c>
      <c r="I30" s="113"/>
      <c r="J30" s="70">
        <f>_xlfn.IFERROR(IF(取值!A247=0,"",取值!A247),"")</f>
        <v>603</v>
      </c>
      <c r="K30" s="70" t="str">
        <f>_xlfn.IFERROR(IF(取值!A250=0,"",取值!A250),"")</f>
        <v/>
      </c>
      <c r="L30" s="70" t="str">
        <f>_xlfn.IFERROR(IF(取值!A253=0,"",取值!A253),"")</f>
        <v>内销</v>
      </c>
      <c r="M30" s="97"/>
      <c r="N30" s="97"/>
      <c r="O30" s="55"/>
      <c r="P30" s="55"/>
      <c r="Q30" s="55"/>
      <c r="R30" s="55"/>
      <c r="S30" s="141"/>
    </row>
    <row customHeight="1" ht="17.25">
      <c r="A31" s="63"/>
      <c r="B31" s="85" t="s">
        <v>67</v>
      </c>
      <c r="C31" s="85" t="s">
        <v>68</v>
      </c>
      <c r="D31" s="70">
        <f>_xlfn.IFERROR(IF(取值!A142=0,"",取值!A142),"")</f>
        <v>178</v>
      </c>
      <c r="E31" s="70">
        <f>_xlfn.IFERROR(IF(取值!A150=0,"",取值!A150),"")</f>
        <v>223.72</v>
      </c>
      <c r="F31" s="70">
        <f>_xlfn.IFERROR(IF(取值!A155=0,"",取值!A155),"")</f>
        <v>3215</v>
      </c>
      <c r="G31" s="84">
        <f>_xlfn.IFERROR(IF(取值!A144=0,"",取值!A144),"")</f>
        <v>0.658</v>
      </c>
      <c r="H31" s="86" t="s">
        <v>69</v>
      </c>
      <c r="I31" s="119"/>
      <c r="J31" s="70">
        <f>_xlfn.IFERROR(IF(取值!A135=0,"",取值!A135),"")</f>
        <v>95</v>
      </c>
      <c r="K31" s="179" t="str">
        <f>_xlfn.IFERROR(IF(取值!A136=0,"",取值!A136),"")</f>
        <v/>
      </c>
      <c r="L31" s="70" t="str">
        <f>_xlfn.IFERROR(IF(取值!A137=0,“”,取值!A137),"")</f>
        <v>内销</v>
      </c>
      <c r="M31" s="97"/>
      <c r="N31" s="97"/>
      <c r="O31" s="55"/>
      <c r="P31" s="55"/>
      <c r="Q31" s="55"/>
      <c r="R31" s="55"/>
      <c r="S31" s="141"/>
    </row>
    <row customHeight="1" ht="17.25">
      <c r="A32" s="63"/>
      <c r="B32" s="68"/>
      <c r="C32" s="68" t="s">
        <v>70</v>
      </c>
      <c r="D32" s="70">
        <f>_xlfn.IFERROR(IF(取值!A143=0,"",取值!A143),"")</f>
        <v>19.4</v>
      </c>
      <c r="E32" s="70">
        <f>_xlfn.IFERROR(IF(取值!A151=0,"",取值!A151),"")</f>
        <v>32.68</v>
      </c>
      <c r="F32" s="70">
        <f>_xlfn.IFERROR(IF(取值!A156=0,"",取值!A156),"")</f>
        <v>2655</v>
      </c>
      <c r="G32" s="84"/>
      <c r="H32" s="85" t="s">
        <v>71</v>
      </c>
      <c r="I32" s="85"/>
      <c r="J32" s="88" t="str">
        <f>_xlfn.IFERROR(IF(取值!A248=0,"",取值!A248),"")</f>
        <v>25/50</v>
      </c>
      <c r="K32" s="88" t="str">
        <f>_xlfn.IFERROR(IF(取值!A251=0,"",取值!A251),"")</f>
        <v/>
      </c>
      <c r="L32" s="88" t="str">
        <f>_xlfn.IFERROR(IF(取值!A254=0,"",取值!A254),"")</f>
        <v>外销/内销</v>
      </c>
      <c r="M32" s="97"/>
      <c r="N32" s="97"/>
      <c r="O32" s="55"/>
      <c r="P32" s="55"/>
      <c r="Q32" s="55"/>
      <c r="R32" s="55"/>
      <c r="S32" s="141"/>
    </row>
    <row customHeight="1" ht="20.25">
      <c r="A33" s="63"/>
      <c r="B33" s="87" t="s">
        <v>72</v>
      </c>
      <c r="C33" s="87"/>
      <c r="D33" s="70" t="str">
        <f>_xlfn.IFERROR(IF(取值!A146=0,"",取值!A146),"")</f>
        <v/>
      </c>
      <c r="E33" s="70" t="str">
        <f>_xlfn.IFERROR(IF(取值!A152=0,"",取值!A152),"")</f>
        <v/>
      </c>
      <c r="F33" s="70" t="str">
        <f>_xlfn.IFERROR(IF(取值!A157=0,"",取值!A157),"")</f>
        <v/>
      </c>
      <c r="G33" s="84" t="str">
        <f>_xlfn.IFERROR(IF(取值!A147=0,"",取值!A147),"")</f>
        <v/>
      </c>
      <c r="H33" s="75" t="s">
        <v>73</v>
      </c>
      <c r="I33" s="113"/>
      <c r="J33" s="70">
        <f>_xlfn.IFERROR(IF(取值!A212=0,"",取值!A212),"")</f>
        <v>430</v>
      </c>
      <c r="K33" s="179" t="str">
        <f>_xlfn.IFERROR(IF(取值!A213=0,"",取值!A213),"")</f>
        <v/>
      </c>
      <c r="L33" s="70" t="str">
        <f>_xlfn.IFERROR(IF(取值!A214=0,“”,取值!A214),"")</f>
        <v/>
      </c>
      <c r="M33" s="97"/>
      <c r="N33" s="97"/>
      <c r="O33" s="55"/>
      <c r="P33" s="55"/>
      <c r="Q33" s="55"/>
      <c r="R33" s="55"/>
      <c r="S33" s="141"/>
    </row>
    <row customHeight="1" ht="17.25">
      <c r="A34" s="63"/>
      <c r="B34" s="85" t="s">
        <v>74</v>
      </c>
      <c r="C34" s="85"/>
      <c r="D34" s="88" t="str">
        <f>_xlfn.IFERROR(IF(取值!A148=0,"",取值!A148),"")</f>
        <v/>
      </c>
      <c r="E34" s="88">
        <f>_xlfn.IFERROR(IF(取值!A153=0,"",取值!A153),"")</f>
        <v>32.64</v>
      </c>
      <c r="F34" s="88">
        <f>_xlfn.IFERROR(IF(取值!A158=0,"",取值!A158),"")</f>
        <v>1690</v>
      </c>
      <c r="G34" s="89"/>
      <c r="H34" s="75" t="s">
        <v>75</v>
      </c>
      <c r="I34" s="113"/>
      <c r="J34" s="70">
        <f>_xlfn.IFERROR(IF(取值!A72=0,"",取值!A72),"")</f>
        <v>316</v>
      </c>
      <c r="K34" s="179" t="str">
        <f>_xlfn.IFERROR(IF(取值!A73=0,"",取值!A73),"")</f>
        <v/>
      </c>
      <c r="L34" s="70" t="str">
        <f>_xlfn.IFERROR(IF(取值!A74=0,“”,取值!A74),"")</f>
        <v/>
      </c>
      <c r="M34" s="97"/>
      <c r="N34" s="97"/>
      <c r="O34" s="55"/>
      <c r="P34" s="55"/>
      <c r="Q34" s="55"/>
      <c r="R34" s="55"/>
      <c r="S34" s="141"/>
    </row>
    <row customHeight="1" ht="22.5">
      <c r="A35" s="63"/>
      <c r="B35" s="90" t="s">
        <v>76</v>
      </c>
      <c r="C35" s="90"/>
      <c r="D35" s="91" t="s">
        <v>31</v>
      </c>
      <c r="E35" s="184">
        <v>677.02</v>
      </c>
      <c r="F35" s="91" t="s">
        <v>77</v>
      </c>
      <c r="G35" s="184">
        <v>4731.32</v>
      </c>
      <c r="H35" s="91" t="s">
        <v>35</v>
      </c>
      <c r="I35" s="185">
        <v>71</v>
      </c>
      <c r="J35" s="91" t="s">
        <v>78</v>
      </c>
      <c r="K35" s="185">
        <v>8929.7</v>
      </c>
      <c r="L35" s="91"/>
      <c r="M35" s="97"/>
      <c r="N35" s="97"/>
      <c r="O35" s="55"/>
      <c r="P35" s="55"/>
      <c r="Q35" s="55"/>
      <c r="R35" s="55"/>
      <c r="S35" s="141"/>
    </row>
    <row customHeight="1" ht="17.25">
      <c r="A36" s="63"/>
      <c r="B36" s="91" t="s">
        <v>79</v>
      </c>
      <c r="C36" s="91"/>
      <c r="D36" s="74" t="s">
        <v>80</v>
      </c>
      <c r="E36" s="74"/>
      <c r="F36" s="74" t="s">
        <v>81</v>
      </c>
      <c r="G36" s="93"/>
      <c r="H36" s="74" t="s">
        <v>82</v>
      </c>
      <c r="I36" s="74"/>
      <c r="J36" s="74" t="s">
        <v>83</v>
      </c>
      <c r="K36" s="74" t="s">
        <v>84</v>
      </c>
      <c r="L36" s="74" t="s">
        <v>85</v>
      </c>
      <c r="M36" s="97"/>
      <c r="N36" s="97"/>
      <c r="O36" s="55"/>
      <c r="P36" s="55"/>
      <c r="Q36" s="55"/>
      <c r="R36" s="55"/>
      <c r="S36" s="141"/>
    </row>
    <row customHeight="1" ht="17.25">
      <c r="A37" s="63"/>
      <c r="B37" s="91"/>
      <c r="C37" s="91"/>
      <c r="D37" s="94" t="s">
        <v>86</v>
      </c>
      <c r="E37" s="94"/>
      <c r="F37" s="94" t="s">
        <v>86</v>
      </c>
      <c r="G37" s="94"/>
      <c r="H37" s="94" t="s">
        <v>86</v>
      </c>
      <c r="I37" s="94"/>
      <c r="J37" s="94" t="s">
        <v>86</v>
      </c>
      <c r="K37" s="94" t="s">
        <v>86</v>
      </c>
      <c r="L37" s="94" t="s">
        <v>86</v>
      </c>
      <c r="M37" s="55"/>
      <c r="N37" s="55"/>
      <c r="O37" s="55"/>
      <c r="P37" s="55"/>
      <c r="Q37" s="55"/>
      <c r="R37" s="55"/>
      <c r="S37" s="141"/>
    </row>
    <row customHeight="1" ht="69">
      <c r="A38" s="63"/>
      <c r="B38" s="95" t="s">
        <v>87</v>
      </c>
      <c r="C38" s="95"/>
      <c r="D38" s="96" t="s">
        <v>88</v>
      </c>
      <c r="E38" s="96"/>
      <c r="F38" s="96"/>
      <c r="G38" s="96"/>
      <c r="H38" s="96"/>
      <c r="I38" s="96"/>
      <c r="J38" s="96"/>
      <c r="K38" s="96"/>
      <c r="L38" s="96"/>
      <c r="M38" s="55"/>
      <c r="N38" s="55"/>
      <c r="O38" s="55"/>
      <c r="P38" s="55"/>
      <c r="Q38" s="55"/>
      <c r="R38" s="55"/>
      <c r="S38" s="141"/>
    </row>
    <row customHeight="1" ht="16.5">
      <c r="A39" s="55"/>
      <c r="B39" s="97"/>
      <c r="C39" s="97"/>
      <c r="D39" s="98" t="s">
        <v>89</v>
      </c>
      <c r="E39" s="99" t="s">
        <v>90</v>
      </c>
      <c r="F39" s="98"/>
      <c r="G39" s="98"/>
      <c r="H39" s="98"/>
      <c r="I39" s="98" t="s">
        <v>91</v>
      </c>
      <c r="J39" s="120" t="s">
        <v>92</v>
      </c>
      <c r="K39" s="55"/>
      <c r="L39" s="55"/>
      <c r="M39" s="55"/>
      <c r="N39" s="55"/>
      <c r="O39" s="55"/>
      <c r="P39" s="55"/>
      <c r="Q39" s="55"/>
      <c r="R39" s="55"/>
      <c r="S39" s="141"/>
    </row>
    <row customHeight="1" ht="14.25">
      <c r="A40" s="55"/>
      <c r="B40" s="97"/>
      <c r="C40" s="97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141"/>
    </row>
    <row customHeight="1" ht="14.25" hidden="1">
      <c r="A41" s="55"/>
      <c r="B41" s="97"/>
      <c r="C41" s="97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141"/>
    </row>
    <row customHeight="1" ht="14.25" hidden="1">
      <c r="A42" s="55"/>
      <c r="B42" s="97"/>
      <c r="C42" s="97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141"/>
    </row>
    <row customHeight="1" ht="14.25" hidden="1">
      <c r="A43" s="55"/>
      <c r="B43" s="97"/>
      <c r="C43" s="97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141"/>
    </row>
    <row customHeight="1" ht="14.25" hidden="1">
      <c r="A44" s="55"/>
      <c r="B44" s="97"/>
      <c r="C44" s="97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141"/>
    </row>
    <row customHeight="1" ht="14.25" hidden="1">
      <c r="A45" s="55"/>
      <c r="B45" s="97"/>
      <c r="C45" s="97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141"/>
    </row>
    <row customHeight="1" ht="14.25" hidden="1">
      <c r="A46" s="141"/>
      <c r="B46" s="97"/>
      <c r="C46" s="97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</row>
    <row customHeight="1" ht="14.25" hidden="1">
      <c r="A47" s="141"/>
      <c r="B47" s="97"/>
      <c r="C47" s="97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</row>
    <row customHeight="1" ht="14.25" hidden="1">
      <c r="A48" s="141"/>
      <c r="B48" s="97"/>
      <c r="C48" s="97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</row>
    <row customHeight="1" ht="14.25" hidden="1">
      <c r="A49" s="141"/>
      <c r="B49" s="97"/>
      <c r="C49" s="97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</row>
    <row customHeight="1" ht="14.25" hidden="1">
      <c r="A50" s="141"/>
      <c r="B50" s="97"/>
      <c r="C50" s="97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</row>
    <row customHeight="1" ht="14.25" hidden="1">
      <c r="A51" s="141"/>
      <c r="B51" s="97"/>
      <c r="C51" s="97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</row>
    <row customHeight="1" ht="14.25" hidden="1">
      <c r="A52" s="141"/>
      <c r="B52" s="97"/>
      <c r="C52" s="97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</row>
    <row customHeight="1" ht="14.25" hidden="1">
      <c r="A53" s="141"/>
      <c r="B53" s="97"/>
      <c r="C53" s="97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</row>
    <row customHeight="1" ht="14.25" hidden="1">
      <c r="A54" s="141"/>
      <c r="B54" s="97"/>
      <c r="C54" s="97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</row>
    <row customHeight="1" ht="14.25" hidden="1">
      <c r="A55" s="141"/>
      <c r="B55" s="97"/>
      <c r="C55" s="97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</row>
    <row customHeight="1" ht="14.25" hidden="1">
      <c r="A56" s="141"/>
      <c r="B56" s="97"/>
      <c r="C56" s="97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</row>
    <row customHeight="1" ht="14.25" hidden="1">
      <c r="A57" s="141"/>
      <c r="B57" s="97"/>
      <c r="C57" s="97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</row>
    <row customHeight="1" ht="14.25" hidden="1">
      <c r="A58" s="141"/>
      <c r="B58" s="97"/>
      <c r="C58" s="97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</row>
    <row customHeight="1" ht="14.25" hidden="1">
      <c r="A59" s="141"/>
      <c r="B59" s="97"/>
      <c r="C59" s="97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</row>
    <row customHeight="1" ht="14.25" hidden="1">
      <c r="A60" s="141"/>
      <c r="B60" s="97"/>
      <c r="C60" s="97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</row>
    <row customHeight="1" ht="14.25" hidden="1">
      <c r="A61" s="141"/>
      <c r="B61" s="97"/>
      <c r="C61" s="97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</row>
    <row customHeight="1" ht="14.25" hidden="1">
      <c r="A62" s="141"/>
      <c r="B62" s="97"/>
      <c r="C62" s="97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</row>
    <row customHeight="1" ht="14.25" hidden="1">
      <c r="A63" s="141"/>
      <c r="B63" s="97"/>
      <c r="C63" s="97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</row>
    <row customHeight="1" ht="14.25" hidden="1">
      <c r="A64" s="141"/>
      <c r="B64" s="97"/>
      <c r="C64" s="97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</row>
    <row customHeight="1" ht="14.25" hidden="1">
      <c r="A65" s="141"/>
      <c r="B65" s="97"/>
      <c r="C65" s="97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</row>
    <row customHeight="1" ht="14.25" hidden="1">
      <c r="A66" s="141"/>
      <c r="B66" s="97"/>
      <c r="C66" s="97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</row>
    <row customHeight="1" ht="14.25" hidden="1">
      <c r="A67" s="141"/>
      <c r="B67" s="97"/>
      <c r="C67" s="97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</row>
    <row customHeight="1" ht="14.25" hidden="1">
      <c r="A68" s="141"/>
      <c r="B68" s="97"/>
      <c r="C68" s="97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</row>
    <row customHeight="1" ht="14.25" hidden="1">
      <c r="A69" s="141"/>
      <c r="B69" s="97"/>
      <c r="C69" s="97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</row>
    <row customHeight="1" ht="14.25" hidden="1">
      <c r="A70" s="141"/>
      <c r="B70" s="97"/>
      <c r="C70" s="97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</row>
    <row customHeight="1" ht="14.25" hidden="1">
      <c r="A71" s="141"/>
      <c r="B71" s="97"/>
      <c r="C71" s="97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</row>
    <row customHeight="1" ht="14.25" hidden="1">
      <c r="A72" s="141"/>
      <c r="B72" s="97"/>
      <c r="C72" s="97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</row>
    <row customHeight="1" ht="14.25" hidden="1">
      <c r="A73" s="141"/>
      <c r="B73" s="97"/>
      <c r="C73" s="97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</row>
    <row customHeight="1" ht="14.25" hidden="1">
      <c r="A74" s="141"/>
      <c r="B74" s="97"/>
      <c r="C74" s="97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</row>
    <row customHeight="1" ht="14.25" hidden="1">
      <c r="A75" s="141"/>
      <c r="B75" s="97"/>
      <c r="C75" s="97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</row>
    <row customHeight="1" ht="14.25" hidden="1">
      <c r="A76" s="141"/>
      <c r="B76" s="97"/>
      <c r="C76" s="97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</row>
    <row customHeight="1" ht="14.25" hidden="1">
      <c r="A77" s="141"/>
      <c r="B77" s="97"/>
      <c r="C77" s="97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</row>
    <row customHeight="1" ht="14.25" hidden="1">
      <c r="A78" s="141"/>
      <c r="B78" s="97"/>
      <c r="C78" s="97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</row>
    <row customHeight="1" ht="14.25" hidden="1">
      <c r="A79" s="141"/>
      <c r="B79" s="97"/>
      <c r="C79" s="97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</row>
    <row customHeight="1" ht="14.25" hidden="1">
      <c r="A80" s="141"/>
      <c r="B80" s="97"/>
      <c r="C80" s="97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</row>
    <row customHeight="1" ht="13.8975">
      <c r="A81" s="141"/>
      <c r="B81" s="97"/>
      <c r="C81" s="97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</row>
    <row customHeight="1" ht="13.8975">
      <c r="A82" s="141"/>
      <c r="B82" s="97"/>
      <c r="C82" s="97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</row>
    <row customHeight="1" ht="13.8975">
      <c r="A83" s="141"/>
      <c r="B83" s="97"/>
      <c r="C83" s="97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</row>
    <row customHeight="1" ht="13.8975">
      <c r="A84" s="141"/>
      <c r="B84" s="97"/>
      <c r="C84" s="97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</row>
    <row customHeight="1" ht="13.8975">
      <c r="A85" s="141"/>
      <c r="B85" s="97"/>
      <c r="C85" s="97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</row>
    <row customHeight="1" ht="13.8975">
      <c r="A86" s="141"/>
      <c r="B86" s="97"/>
      <c r="C86" s="97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</row>
    <row customHeight="1" ht="13.8975">
      <c r="A87" s="141"/>
      <c r="B87" s="97"/>
      <c r="C87" s="97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</row>
    <row customHeight="1" ht="13.8975">
      <c r="A88" s="141"/>
      <c r="B88" s="97"/>
      <c r="C88" s="97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</row>
    <row customHeight="1" ht="13.8975">
      <c r="A89" s="141"/>
      <c r="B89" s="97"/>
      <c r="C89" s="97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</row>
    <row customHeight="1" ht="13.8975">
      <c r="A90" s="141"/>
      <c r="B90" s="97"/>
      <c r="C90" s="97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</row>
    <row customHeight="1" ht="13.8975">
      <c r="A91" s="141"/>
      <c r="B91" s="97"/>
      <c r="C91" s="97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</row>
    <row customHeight="1" ht="13.8975">
      <c r="A92" s="141"/>
      <c r="B92" s="97"/>
      <c r="C92" s="97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</row>
    <row customHeight="1" ht="13.8975">
      <c r="A93" s="141"/>
      <c r="B93" s="97"/>
      <c r="C93" s="97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</row>
    <row customHeight="1" ht="13.8975">
      <c r="A94" s="141"/>
      <c r="B94" s="97"/>
      <c r="C94" s="97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</row>
    <row customHeight="1" ht="13.8975">
      <c r="A95" s="141"/>
      <c r="B95" s="97"/>
      <c r="C95" s="97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</row>
    <row customHeight="1" ht="13.8975">
      <c r="A96" s="141"/>
      <c r="B96" s="97"/>
      <c r="C96" s="97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</row>
    <row customHeight="1" ht="13.8975">
      <c r="A97" s="141"/>
      <c r="B97" s="97"/>
      <c r="C97" s="97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</row>
    <row customHeight="1" ht="13.8975">
      <c r="A98" s="141"/>
      <c r="B98" s="97"/>
      <c r="C98" s="97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</row>
    <row customHeight="1" ht="13.8975">
      <c r="A99" s="141"/>
      <c r="B99" s="97"/>
      <c r="C99" s="97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</row>
    <row customHeight="1" ht="13.8975">
      <c r="A100" s="141"/>
      <c r="B100" s="97"/>
      <c r="C100" s="97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</row>
    <row customHeight="1" ht="13.8975">
      <c r="A101" s="141"/>
      <c r="B101" s="97"/>
      <c r="C101" s="97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</row>
    <row customHeight="1" ht="13.8975">
      <c r="A102" s="141"/>
      <c r="B102" s="97"/>
      <c r="C102" s="97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</row>
    <row customHeight="1" ht="13.8975">
      <c r="A103" s="141"/>
      <c r="B103" s="97"/>
      <c r="C103" s="97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</row>
    <row customHeight="1" ht="13.8975">
      <c r="A104" s="141"/>
      <c r="B104" s="97"/>
      <c r="C104" s="97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</row>
    <row customHeight="1" ht="13.8975">
      <c r="A105" s="141"/>
      <c r="B105" s="97"/>
      <c r="C105" s="97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</row>
    <row customHeight="1" ht="13.8975">
      <c r="A106" s="141"/>
      <c r="B106" s="97"/>
      <c r="C106" s="97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</row>
    <row customHeight="1" ht="13.8975">
      <c r="A107" s="141"/>
      <c r="B107" s="97"/>
      <c r="C107" s="97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</row>
    <row customHeight="1" ht="13.8975">
      <c r="A108" s="141"/>
      <c r="B108" s="97"/>
      <c r="C108" s="97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</row>
    <row customHeight="1" ht="13.8975">
      <c r="A109" s="141"/>
      <c r="B109" s="97"/>
      <c r="C109" s="97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</row>
    <row customHeight="1" ht="13.8975">
      <c r="A110" s="141"/>
      <c r="B110" s="97"/>
      <c r="C110" s="97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</row>
    <row customHeight="1" ht="13.8975">
      <c r="A111" s="141"/>
      <c r="B111" s="97"/>
      <c r="C111" s="97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</row>
    <row customHeight="1" ht="13.8975">
      <c r="A112" s="141"/>
      <c r="B112" s="97"/>
      <c r="C112" s="97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</row>
    <row customHeight="1" ht="13.8975">
      <c r="A113" s="141"/>
      <c r="B113" s="97"/>
      <c r="C113" s="97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</row>
    <row customHeight="1" ht="13.8975">
      <c r="A114" s="141"/>
      <c r="B114" s="97"/>
      <c r="C114" s="97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</row>
    <row customHeight="1" ht="13.8975">
      <c r="A115" s="141"/>
      <c r="B115" s="97"/>
      <c r="C115" s="97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</row>
    <row customHeight="1" ht="13.8975">
      <c r="A116" s="141"/>
      <c r="B116" s="97"/>
      <c r="C116" s="97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</row>
    <row customHeight="1" ht="13.8975">
      <c r="A117" s="141"/>
      <c r="B117" s="97"/>
      <c r="C117" s="97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</row>
    <row customHeight="1" ht="13.8975">
      <c r="A118" s="141"/>
      <c r="B118" s="97"/>
      <c r="C118" s="97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</row>
    <row customHeight="1" ht="13.8975">
      <c r="A119" s="141"/>
      <c r="B119" s="97"/>
      <c r="C119" s="97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</row>
    <row customHeight="1" ht="13.8975">
      <c r="A120" s="141"/>
      <c r="B120" s="97"/>
      <c r="C120" s="97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</row>
    <row customHeight="1" ht="13.8975">
      <c r="A121" s="141"/>
      <c r="B121" s="97"/>
      <c r="C121" s="97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</row>
    <row customHeight="1" ht="13.8975">
      <c r="A122" s="141"/>
      <c r="B122" s="97"/>
      <c r="C122" s="97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</row>
    <row customHeight="1" ht="13.8975">
      <c r="A123" s="141"/>
      <c r="B123" s="97"/>
      <c r="C123" s="97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</row>
    <row customHeight="1" ht="13.8975">
      <c r="A124" s="141"/>
      <c r="B124" s="97"/>
      <c r="C124" s="97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</row>
    <row customHeight="1" ht="13.8975">
      <c r="A125" s="141"/>
      <c r="B125" s="97"/>
      <c r="C125" s="97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</row>
    <row customHeight="1" ht="13.8975">
      <c r="A126" s="141"/>
      <c r="B126" s="97"/>
      <c r="C126" s="97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</row>
    <row customHeight="1" ht="13.8975">
      <c r="A127" s="141"/>
      <c r="B127" s="97"/>
      <c r="C127" s="97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</row>
    <row customHeight="1" ht="13.8975">
      <c r="A128" s="141"/>
      <c r="B128" s="97"/>
      <c r="C128" s="97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</row>
    <row customHeight="1" ht="13.8975">
      <c r="A129" s="141"/>
      <c r="B129" s="97"/>
      <c r="C129" s="97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</row>
    <row customHeight="1" ht="13.8975">
      <c r="A130" s="141"/>
      <c r="B130" s="97"/>
      <c r="C130" s="97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</row>
    <row customHeight="1" ht="13.8975">
      <c r="A131" s="141"/>
      <c r="B131" s="97"/>
      <c r="C131" s="97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</row>
    <row customHeight="1" ht="13.8975">
      <c r="A132" s="141"/>
      <c r="B132" s="97"/>
      <c r="C132" s="97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</row>
    <row customHeight="1" ht="13.8975">
      <c r="A133" s="141"/>
      <c r="B133" s="97"/>
      <c r="C133" s="97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</row>
    <row customHeight="1" ht="13.8975">
      <c r="A134" s="141"/>
      <c r="B134" s="97"/>
      <c r="C134" s="97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</row>
    <row customHeight="1" ht="13.8975">
      <c r="A135" s="141"/>
      <c r="B135" s="97"/>
      <c r="C135" s="97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</row>
    <row customHeight="1" ht="13.8975">
      <c r="A136" s="141"/>
      <c r="B136" s="97"/>
      <c r="C136" s="97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</row>
  </sheetData>
  <mergeCells count="81">
    <mergeCell ref="B3:D3"/>
    <mergeCell ref="E3:F3"/>
    <mergeCell ref="G3:H3"/>
    <mergeCell ref="K3:L3"/>
    <mergeCell ref="B4:L4"/>
    <mergeCell ref="B5:C5"/>
    <mergeCell ref="D5:F5"/>
    <mergeCell ref="G5:I5"/>
    <mergeCell ref="J5:L5"/>
    <mergeCell ref="B6:C6"/>
    <mergeCell ref="B7:C7"/>
    <mergeCell ref="B8:C8"/>
    <mergeCell ref="B9:C9"/>
    <mergeCell ref="B10:C10"/>
    <mergeCell ref="B11:C11"/>
    <mergeCell ref="B12:C12"/>
    <mergeCell ref="B13:C13"/>
    <mergeCell ref="B14:H14"/>
    <mergeCell ref="I14:L14"/>
    <mergeCell ref="B15:C15"/>
    <mergeCell ref="B16:C16"/>
    <mergeCell ref="B17:C17"/>
    <mergeCell ref="B18:C18"/>
    <mergeCell ref="B19:L19"/>
    <mergeCell ref="B20:D20"/>
    <mergeCell ref="E20:G20"/>
    <mergeCell ref="H20:J20"/>
    <mergeCell ref="K20:L20"/>
    <mergeCell ref="B21:C21"/>
    <mergeCell ref="E21:F21"/>
    <mergeCell ref="H21:I21"/>
    <mergeCell ref="B22:C22"/>
    <mergeCell ref="E22:F22"/>
    <mergeCell ref="H22:I22"/>
    <mergeCell ref="B23:C23"/>
    <mergeCell ref="E23:F23"/>
    <mergeCell ref="H23:I23"/>
    <mergeCell ref="B24:C24"/>
    <mergeCell ref="E24:F24"/>
    <mergeCell ref="H24:I24"/>
    <mergeCell ref="B25:C25"/>
    <mergeCell ref="E25:F25"/>
    <mergeCell ref="H25:I25"/>
    <mergeCell ref="B26:C26"/>
    <mergeCell ref="E26:F26"/>
    <mergeCell ref="H26:I26"/>
    <mergeCell ref="B27:C27"/>
    <mergeCell ref="E27:F27"/>
    <mergeCell ref="H27:I27"/>
    <mergeCell ref="B28:L28"/>
    <mergeCell ref="B29:C29"/>
    <mergeCell ref="H29:I29"/>
    <mergeCell ref="B30:C30"/>
    <mergeCell ref="H30:I30"/>
    <mergeCell ref="H31:I31"/>
    <mergeCell ref="H32:I32"/>
    <mergeCell ref="B33:C33"/>
    <mergeCell ref="H33:I33"/>
    <mergeCell ref="B34:C34"/>
    <mergeCell ref="H34:I34"/>
    <mergeCell ref="B35:C35"/>
    <mergeCell ref="K35:L35"/>
    <mergeCell ref="D36:E36"/>
    <mergeCell ref="F36:G36"/>
    <mergeCell ref="H36:I36"/>
    <mergeCell ref="D37:E37"/>
    <mergeCell ref="F37:G37"/>
    <mergeCell ref="H37:I37"/>
    <mergeCell ref="B38:C38"/>
    <mergeCell ref="D38:L38"/>
    <mergeCell ref="B39:C39"/>
    <mergeCell ref="B40:C40"/>
    <mergeCell ref="B41:C41"/>
    <mergeCell ref="B42:C42"/>
    <mergeCell ref="B43:C43"/>
    <mergeCell ref="B44:C44"/>
    <mergeCell ref="B45:C45"/>
    <mergeCell ref="B31:B32"/>
    <mergeCell ref="G31:G32"/>
    <mergeCell ref="B1:L2"/>
    <mergeCell ref="B36:C37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F1A3B2D-FC07-11FF-B2DC-40B0964CC9E8}" mc:Ignorable="x14ac xr xr2 xr3">
  <dimension ref="A1:B260"/>
  <sheetViews>
    <sheetView topLeftCell="A110" workbookViewId="0">
      <selection activeCell="A133" sqref="A133"/>
    </sheetView>
  </sheetViews>
  <sheetFormatPr defaultColWidth="8.8515625" customHeight="1" defaultRowHeight="14.4525"/>
  <cols>
    <col min="1" max="1" style="193" width="114.421875" customWidth="1"/>
    <col min="2" max="2" style="193" width="125.57421875" customWidth="1"/>
  </cols>
  <sheetData>
    <row customHeight="1" ht="14.25">
      <c r="A1" s="194" t="s">
        <v>93</v>
      </c>
      <c r="B1" s="195" t="s">
        <v>5</v>
      </c>
    </row>
    <row customHeight="1" ht="14.25">
      <c r="A2" s="196"/>
      <c r="B2" s="141"/>
    </row>
    <row customHeight="1" ht="14.25">
      <c r="A3" s="141"/>
      <c r="B3" s="141"/>
    </row>
    <row customHeight="1" ht="14.25">
      <c r="A4" s="141"/>
      <c r="B4" s="141"/>
    </row>
    <row customHeight="1" ht="14.25">
      <c r="A5" s="141"/>
      <c r="B5" s="141"/>
    </row>
    <row customHeight="1" ht="14.4525">
      <c r="A6" s="141"/>
      <c r="B6" s="141"/>
    </row>
    <row customHeight="1" ht="14.25">
      <c r="A7" s="141"/>
      <c r="B7" s="141"/>
    </row>
    <row customHeight="1" ht="14.25">
      <c r="A8" s="141"/>
      <c r="B8" s="141"/>
    </row>
    <row customHeight="1" ht="14.25">
      <c r="A9" s="141"/>
      <c r="B9" s="141"/>
    </row>
    <row customHeight="1" ht="14.25">
      <c r="A10" s="141"/>
      <c r="B10" s="141"/>
    </row>
    <row customHeight="1" ht="14.4525">
      <c r="A11" s="141"/>
      <c r="B11" s="141"/>
    </row>
    <row customHeight="1" ht="14.25">
      <c r="A12" s="141"/>
      <c r="B12" s="141"/>
    </row>
    <row customHeight="1" ht="14.25">
      <c r="A13" s="141"/>
      <c r="B13" s="141"/>
    </row>
    <row customHeight="1" ht="14.4525">
      <c r="A14" s="141"/>
      <c r="B14" s="141"/>
    </row>
    <row customHeight="1" ht="14.25">
      <c r="A15" s="141"/>
      <c r="B15" s="141"/>
    </row>
    <row customHeight="1" ht="14.25">
      <c r="A16" s="141"/>
      <c r="B16" s="141"/>
    </row>
    <row customHeight="1" ht="14.4525">
      <c r="A17" s="141"/>
      <c r="B17" s="141"/>
    </row>
    <row customHeight="1" ht="14.25">
      <c r="A18" s="141"/>
      <c r="B18" s="141"/>
    </row>
    <row customHeight="1" ht="14.25">
      <c r="A19" s="141"/>
      <c r="B19" s="141"/>
    </row>
    <row customHeight="1" ht="14.25">
      <c r="A20" s="141"/>
      <c r="B20" s="141"/>
    </row>
    <row customHeight="1" ht="14.4525">
      <c r="A21" s="141"/>
      <c r="B21" s="141"/>
    </row>
    <row customHeight="1" ht="14.25">
      <c r="A22" s="141">
        <v>0</v>
      </c>
      <c r="B22" s="141"/>
    </row>
    <row customHeight="1" ht="14.4525">
      <c r="A23" s="141"/>
      <c r="B23" s="141"/>
    </row>
    <row customHeight="1" ht="14.4525">
      <c r="A24" s="141"/>
      <c r="B24" s="141"/>
    </row>
    <row customHeight="1" ht="14.4525">
      <c r="A25" s="141"/>
      <c r="B25" s="141"/>
    </row>
    <row customHeight="1" ht="14.4525">
      <c r="A26" s="141"/>
      <c r="B26" s="141"/>
    </row>
    <row customHeight="1" ht="14.4525">
      <c r="A27" s="141"/>
      <c r="B27" s="141"/>
    </row>
    <row customHeight="1" ht="14.25">
      <c r="A28" s="141" t="s">
        <v>94</v>
      </c>
      <c r="B28" s="141"/>
    </row>
    <row customHeight="1" ht="14.25">
      <c r="A29" s="141">
        <v>187</v>
      </c>
      <c r="B29" s="141"/>
    </row>
    <row customHeight="1" ht="14.25">
      <c r="A30" s="141">
        <v>60</v>
      </c>
      <c r="B30" s="141"/>
    </row>
    <row customHeight="1" ht="14.25">
      <c r="A31" s="141">
        <v>892</v>
      </c>
      <c r="B31" s="141"/>
    </row>
    <row customHeight="1" ht="14.25">
      <c r="A32" s="141"/>
      <c r="B32" s="141"/>
    </row>
    <row customHeight="1" ht="14.25">
      <c r="A33" s="141">
        <v>1810</v>
      </c>
      <c r="B33" s="141"/>
    </row>
    <row customHeight="1" ht="14.25">
      <c r="A34" s="141">
        <v>1582</v>
      </c>
      <c r="B34" s="141"/>
    </row>
    <row customHeight="1" ht="14.25">
      <c r="A35" s="141"/>
      <c r="B35" s="141"/>
    </row>
    <row customHeight="1" ht="14.25">
      <c r="A36" s="141"/>
      <c r="B36" s="141"/>
    </row>
    <row customHeight="1" ht="14.25">
      <c r="A37" s="141">
        <v>764</v>
      </c>
      <c r="B37" s="141"/>
    </row>
    <row customHeight="1" ht="14.25">
      <c r="A38" s="141">
        <v>1476</v>
      </c>
      <c r="B38" s="141"/>
    </row>
    <row customHeight="1" ht="14.25">
      <c r="A39" s="141">
        <v>709</v>
      </c>
      <c r="B39" s="141"/>
    </row>
    <row customHeight="1" ht="14.25">
      <c r="A40" s="141">
        <v>219</v>
      </c>
      <c r="B40" s="141"/>
    </row>
    <row customHeight="1" ht="14.25">
      <c r="A41" s="141">
        <v>32</v>
      </c>
      <c r="B41" s="141"/>
    </row>
    <row customHeight="1" ht="14.25">
      <c r="A42" s="141">
        <v>314</v>
      </c>
      <c r="B42" s="141"/>
    </row>
    <row customHeight="1" ht="14.25">
      <c r="A43" s="141"/>
      <c r="B43" s="141"/>
    </row>
    <row customHeight="1" ht="14.4525">
      <c r="A44" s="141"/>
      <c r="B44" s="141"/>
    </row>
    <row customHeight="1" ht="14.25">
      <c r="A45" s="141">
        <v>187</v>
      </c>
      <c r="B45" s="141"/>
    </row>
    <row customHeight="1" ht="14.25">
      <c r="A46" s="141">
        <v>60</v>
      </c>
      <c r="B46" s="141"/>
    </row>
    <row customHeight="1" ht="14.25">
      <c r="A47" s="141">
        <v>892</v>
      </c>
      <c r="B47" s="141"/>
    </row>
    <row customHeight="1" ht="14.25">
      <c r="A48" s="141"/>
      <c r="B48" s="141"/>
    </row>
    <row customHeight="1" ht="14.25">
      <c r="A49" s="141">
        <v>1810</v>
      </c>
      <c r="B49" s="141"/>
    </row>
    <row customHeight="1" ht="14.25">
      <c r="A50" s="141">
        <v>1582</v>
      </c>
      <c r="B50" s="141"/>
    </row>
    <row customHeight="1" ht="14.25">
      <c r="A51" s="141"/>
      <c r="B51" s="141"/>
    </row>
    <row customHeight="1" ht="14.25">
      <c r="A52" s="141"/>
      <c r="B52" s="141"/>
    </row>
    <row customHeight="1" ht="14.25">
      <c r="A53" s="141">
        <v>764</v>
      </c>
      <c r="B53" s="141"/>
    </row>
    <row customHeight="1" ht="14.25">
      <c r="A54" s="141">
        <v>1476</v>
      </c>
      <c r="B54" s="141"/>
    </row>
    <row customHeight="1" ht="14.25">
      <c r="A55" s="141">
        <v>709</v>
      </c>
      <c r="B55" s="141"/>
    </row>
    <row customHeight="1" ht="14.25">
      <c r="A56" s="141">
        <v>219</v>
      </c>
      <c r="B56" s="141"/>
    </row>
    <row customHeight="1" ht="14.25">
      <c r="A57" s="141">
        <v>32</v>
      </c>
      <c r="B57" s="141"/>
    </row>
    <row customHeight="1" ht="14.25">
      <c r="A58" s="141">
        <v>314</v>
      </c>
      <c r="B58" s="141"/>
    </row>
    <row customHeight="1" ht="14.25">
      <c r="A59" s="141" t="s">
        <v>95</v>
      </c>
      <c r="B59" s="141"/>
    </row>
    <row customHeight="1" ht="14.25">
      <c r="A60" s="141"/>
      <c r="B60" s="141"/>
    </row>
    <row customHeight="1" ht="14.25">
      <c r="A61" s="141"/>
      <c r="B61" s="141"/>
    </row>
    <row customHeight="1" ht="14.25">
      <c r="A62" s="141"/>
      <c r="B62" s="141"/>
    </row>
    <row customHeight="1" ht="14.25">
      <c r="A63" s="141"/>
      <c r="B63" s="141"/>
    </row>
    <row customHeight="1" ht="14.25">
      <c r="A64" s="141"/>
      <c r="B64" s="141"/>
    </row>
    <row customHeight="1" ht="14.25">
      <c r="A65" s="141"/>
      <c r="B65" s="141"/>
    </row>
    <row customHeight="1" ht="14.25">
      <c r="A66" s="141"/>
      <c r="B66" s="141"/>
    </row>
    <row customHeight="1" ht="14.25">
      <c r="A67" s="141">
        <v>667.36</v>
      </c>
      <c r="B67" s="141"/>
    </row>
    <row customHeight="1" ht="14.25">
      <c r="A68" s="141">
        <v>219.1</v>
      </c>
      <c r="B68" s="141"/>
    </row>
    <row customHeight="1" ht="14.25">
      <c r="A69" s="141">
        <v>219.2</v>
      </c>
      <c r="B69" s="141"/>
    </row>
    <row customHeight="1" ht="14.25">
      <c r="A70" s="141">
        <v>313.46</v>
      </c>
      <c r="B70" s="141"/>
    </row>
    <row customHeight="1" ht="14.25">
      <c r="A71" s="141">
        <v>0</v>
      </c>
      <c r="B71" s="141"/>
    </row>
    <row customHeight="1" ht="14.25">
      <c r="A72" s="141">
        <v>316</v>
      </c>
      <c r="B72" s="141"/>
    </row>
    <row customHeight="1" ht="14.25">
      <c r="A73" s="141"/>
      <c r="B73" s="141"/>
    </row>
    <row customHeight="1" ht="14.25">
      <c r="A74" s="141"/>
      <c r="B74" s="141"/>
    </row>
    <row customHeight="1" ht="14.25">
      <c r="A75" s="141"/>
      <c r="B75" s="141"/>
    </row>
    <row customHeight="1" ht="14.25">
      <c r="A76" s="141"/>
      <c r="B76" s="141"/>
    </row>
    <row customHeight="1" ht="14.25">
      <c r="A77" s="141"/>
      <c r="B77" s="141"/>
    </row>
    <row customHeight="1" ht="14.25">
      <c r="A78" s="141" t="s">
        <v>38</v>
      </c>
      <c r="B78" s="141"/>
    </row>
    <row customHeight="1" ht="14.25">
      <c r="A79" s="141">
        <v>20</v>
      </c>
      <c r="B79" s="141"/>
    </row>
    <row customHeight="1" ht="14.25">
      <c r="A80" s="141">
        <v>162</v>
      </c>
      <c r="B80" s="141"/>
    </row>
    <row customHeight="1" ht="14.25">
      <c r="A81" s="141">
        <v>21</v>
      </c>
      <c r="B81" s="141"/>
    </row>
    <row customHeight="1" ht="14.25">
      <c r="A82" s="141"/>
      <c r="B82" s="141"/>
    </row>
    <row customHeight="1" ht="14.25">
      <c r="A83" s="141"/>
      <c r="B83" s="141"/>
    </row>
    <row customHeight="1" ht="14.25">
      <c r="A84" s="141">
        <v>65</v>
      </c>
      <c r="B84" s="141"/>
    </row>
    <row customHeight="1" ht="14.25">
      <c r="A85" s="141"/>
      <c r="B85" s="141"/>
    </row>
    <row customHeight="1" ht="14.25">
      <c r="A86" s="141">
        <v>3169</v>
      </c>
      <c r="B86" s="141"/>
    </row>
    <row customHeight="1" ht="14.25">
      <c r="A87" s="141">
        <v>3442</v>
      </c>
      <c r="B87" s="141"/>
    </row>
    <row customHeight="1" ht="14.25">
      <c r="A88" s="141"/>
      <c r="B88" s="141"/>
    </row>
    <row customHeight="1" ht="14.25">
      <c r="A89" s="141"/>
      <c r="B89" s="141"/>
    </row>
    <row customHeight="1" ht="14.25">
      <c r="A90" s="141"/>
      <c r="B90" s="141"/>
    </row>
    <row customHeight="1" ht="14.25">
      <c r="A91" s="141">
        <v>9837</v>
      </c>
      <c r="B91" s="141"/>
    </row>
    <row customHeight="1" ht="14.25">
      <c r="A92" s="141"/>
      <c r="B92" s="141"/>
    </row>
    <row customHeight="1" ht="14.25">
      <c r="A93" s="141"/>
      <c r="B93" s="141"/>
    </row>
    <row customHeight="1" ht="14.25">
      <c r="A94" s="141"/>
      <c r="B94" s="141"/>
    </row>
    <row customHeight="1" ht="14.25">
      <c r="A95" s="141"/>
      <c r="B95" s="141"/>
    </row>
    <row customHeight="1" ht="14.25">
      <c r="A96" s="141"/>
      <c r="B96" s="141"/>
    </row>
    <row customHeight="1" ht="14.25">
      <c r="A97" s="141">
        <v>1056</v>
      </c>
      <c r="B97" s="141"/>
    </row>
    <row customHeight="1" ht="14.25">
      <c r="A98" s="141">
        <v>225</v>
      </c>
      <c r="B98" s="141"/>
    </row>
    <row customHeight="1" ht="14.25">
      <c r="A99" s="141">
        <v>64</v>
      </c>
      <c r="B99" s="141"/>
    </row>
    <row customHeight="1" ht="14.25">
      <c r="A100" s="141"/>
      <c r="B100" s="141"/>
    </row>
    <row customHeight="1" ht="14.25">
      <c r="A101" s="141"/>
      <c r="B101" s="141"/>
    </row>
    <row customHeight="1" ht="14.25">
      <c r="A102" s="141">
        <v>95</v>
      </c>
      <c r="B102" s="141"/>
    </row>
    <row customHeight="1" ht="14.25">
      <c r="A103" s="141"/>
      <c r="B103" s="141"/>
    </row>
    <row customHeight="1" ht="14.25">
      <c r="A104" s="141"/>
      <c r="B104" s="141"/>
    </row>
    <row customHeight="1" ht="14.25">
      <c r="A105" s="141"/>
      <c r="B105" s="141"/>
    </row>
    <row customHeight="1" ht="14.25">
      <c r="A106" s="141" t="s">
        <v>96</v>
      </c>
      <c r="B106" s="141"/>
    </row>
    <row customHeight="1" ht="14.25">
      <c r="A107" s="141"/>
      <c r="B107" s="141"/>
    </row>
    <row customHeight="1" ht="14.25">
      <c r="A108" s="141">
        <v>20</v>
      </c>
      <c r="B108" s="141"/>
    </row>
    <row customHeight="1" ht="14.25">
      <c r="A109" s="141">
        <v>162</v>
      </c>
      <c r="B109" s="141"/>
    </row>
    <row customHeight="1" ht="14.25">
      <c r="A110" s="141"/>
      <c r="B110" s="141"/>
    </row>
    <row customHeight="1" ht="14.25">
      <c r="A111" s="141">
        <v>21</v>
      </c>
      <c r="B111" s="141"/>
    </row>
    <row customHeight="1" ht="14.25">
      <c r="A112" s="141"/>
      <c r="B112" s="141"/>
    </row>
    <row customHeight="1" ht="14.25">
      <c r="A113" s="141"/>
      <c r="B113" s="141"/>
    </row>
    <row customHeight="1" ht="14.25">
      <c r="A114" s="141">
        <v>65</v>
      </c>
      <c r="B114" s="141"/>
    </row>
    <row customHeight="1" ht="14.25">
      <c r="A115" s="141"/>
      <c r="B115" s="141"/>
    </row>
    <row customHeight="1" ht="14.25">
      <c r="A116" s="141">
        <v>3169</v>
      </c>
      <c r="B116" s="141"/>
    </row>
    <row customHeight="1" ht="14.25">
      <c r="A117" s="141"/>
      <c r="B117" s="141"/>
    </row>
    <row customHeight="1" ht="14.25">
      <c r="A118" s="141">
        <v>3442</v>
      </c>
      <c r="B118" s="141"/>
    </row>
    <row customHeight="1" ht="14.25">
      <c r="A119" s="141"/>
      <c r="B119" s="141"/>
    </row>
    <row customHeight="1" ht="14.25">
      <c r="A120" s="141"/>
      <c r="B120" s="141"/>
    </row>
    <row customHeight="1" ht="14.25">
      <c r="A121" s="141"/>
      <c r="B121" s="141"/>
    </row>
    <row customHeight="1" ht="14.25">
      <c r="A122" s="141">
        <v>9837</v>
      </c>
      <c r="B122" s="141"/>
    </row>
    <row customHeight="1" ht="14.25">
      <c r="A123" s="141"/>
      <c r="B123" s="141"/>
    </row>
    <row customHeight="1" ht="14.25">
      <c r="A124" s="141"/>
      <c r="B124" s="141"/>
    </row>
    <row customHeight="1" ht="14.25">
      <c r="A125" s="141"/>
      <c r="B125" s="141"/>
    </row>
    <row customHeight="1" ht="14.25">
      <c r="A126" s="141"/>
      <c r="B126" s="141"/>
    </row>
    <row customHeight="1" ht="14.25">
      <c r="A127" s="141"/>
      <c r="B127" s="141"/>
    </row>
    <row customHeight="1" ht="14.25">
      <c r="A128" s="141"/>
      <c r="B128" s="141"/>
    </row>
    <row customHeight="1" ht="14.25">
      <c r="A129" s="141">
        <v>1056</v>
      </c>
      <c r="B129" s="141"/>
    </row>
    <row customHeight="1" ht="14.25">
      <c r="A130" s="141">
        <v>225</v>
      </c>
      <c r="B130" s="141"/>
    </row>
    <row customHeight="1" ht="14.25">
      <c r="A131" s="141">
        <v>64</v>
      </c>
      <c r="B131" s="141"/>
    </row>
    <row customHeight="1" ht="14.25">
      <c r="A132" s="141"/>
      <c r="B132" s="141"/>
    </row>
    <row customHeight="1" ht="14.25">
      <c r="A133" s="141"/>
      <c r="B133" s="141"/>
    </row>
    <row customHeight="1" ht="14.25">
      <c r="A134" s="141"/>
      <c r="B134" s="141"/>
    </row>
    <row customHeight="1" ht="14.25">
      <c r="A135" s="141">
        <v>95</v>
      </c>
      <c r="B135" s="141"/>
    </row>
    <row customHeight="1" ht="14.25">
      <c r="A136" s="141"/>
      <c r="B136" s="141"/>
    </row>
    <row customHeight="1" ht="14.25">
      <c r="A137" s="141" t="s">
        <v>96</v>
      </c>
      <c r="B137" s="141"/>
    </row>
    <row customHeight="1" ht="14.25">
      <c r="A138" s="141" t="s">
        <v>97</v>
      </c>
      <c r="B138" s="141"/>
    </row>
    <row customHeight="1" ht="14.25">
      <c r="A139" s="197">
        <v>236.55</v>
      </c>
      <c r="B139" s="141"/>
    </row>
    <row customHeight="1" ht="14.25">
      <c r="A140" s="141">
        <f>A139/300</f>
        <v>0.7885</v>
      </c>
      <c r="B140" s="197"/>
    </row>
    <row customHeight="1" ht="14.25">
      <c r="A141" s="141"/>
      <c r="B141" s="197"/>
    </row>
    <row customHeight="1" ht="14.25">
      <c r="A142" s="197">
        <v>178</v>
      </c>
      <c r="B142" s="197"/>
    </row>
    <row customHeight="1" ht="14.25">
      <c r="A143" s="197">
        <v>19.4</v>
      </c>
      <c r="B143" s="197"/>
    </row>
    <row customHeight="1" ht="14.25">
      <c r="A144" s="141">
        <f>SUM(A142:A143)/300</f>
        <v>0.658</v>
      </c>
      <c r="B144" s="197"/>
    </row>
    <row customHeight="1" ht="14.25">
      <c r="A145" s="141">
        <f>SUM(B145:B145)</f>
        <v>0</v>
      </c>
      <c r="B145" s="197"/>
    </row>
    <row customHeight="1" ht="14.25">
      <c r="A146" s="197"/>
      <c r="B146" s="197"/>
    </row>
    <row customHeight="1" ht="14.25">
      <c r="A147" s="141">
        <f>A146/138</f>
        <v>0</v>
      </c>
      <c r="B147" s="197"/>
    </row>
    <row customHeight="1" ht="14.25">
      <c r="A148" s="197"/>
      <c r="B148" s="197"/>
    </row>
    <row customHeight="1" ht="14.25">
      <c r="A149" s="197">
        <v>226.98</v>
      </c>
      <c r="B149" s="141"/>
    </row>
    <row customHeight="1" ht="14.25">
      <c r="A150" s="197">
        <v>223.72</v>
      </c>
      <c r="B150" s="141"/>
    </row>
    <row customHeight="1" ht="14.25">
      <c r="A151" s="197">
        <v>32.68</v>
      </c>
      <c r="B151" s="141"/>
    </row>
    <row customHeight="1" ht="14.25">
      <c r="A152" s="197">
        <v>0</v>
      </c>
      <c r="B152" s="197"/>
    </row>
    <row customHeight="1" ht="14.25">
      <c r="A153" s="197">
        <v>32.64</v>
      </c>
      <c r="B153" s="197"/>
    </row>
    <row customHeight="1" ht="14.25">
      <c r="A154" s="197">
        <v>7400</v>
      </c>
      <c r="B154" s="141"/>
    </row>
    <row customHeight="1" ht="14.25">
      <c r="A155" s="197">
        <v>3215</v>
      </c>
      <c r="B155" s="141"/>
    </row>
    <row customHeight="1" ht="14.25">
      <c r="A156" s="197">
        <v>2655</v>
      </c>
      <c r="B156" s="141"/>
    </row>
    <row customHeight="1" ht="14.25">
      <c r="A157" s="197">
        <v>0</v>
      </c>
      <c r="B157" s="141"/>
    </row>
    <row customHeight="1" ht="14.25">
      <c r="A158" s="197">
        <v>1690</v>
      </c>
      <c r="B158" s="141"/>
    </row>
    <row customHeight="1" ht="14.25">
      <c r="A159" s="141" t="s">
        <v>10</v>
      </c>
      <c r="B159" s="141"/>
    </row>
    <row customHeight="1" ht="14.25">
      <c r="A160" s="141">
        <v>573.44</v>
      </c>
      <c r="B160" s="141"/>
    </row>
    <row customHeight="1" ht="14.25">
      <c r="A161" s="141">
        <v>416</v>
      </c>
      <c r="B161" s="141"/>
    </row>
    <row customHeight="1" ht="14.25">
      <c r="A162" s="141">
        <v>94.76</v>
      </c>
      <c r="B162" s="141"/>
    </row>
    <row customHeight="1" ht="14.25">
      <c r="A163" s="141">
        <v>192.9</v>
      </c>
      <c r="B163" s="141"/>
    </row>
    <row customHeight="1" ht="14.25">
      <c r="A164" s="141">
        <v>0</v>
      </c>
      <c r="B164" s="141"/>
    </row>
    <row customHeight="1" ht="14.25">
      <c r="A165" s="141"/>
      <c r="B165" s="141"/>
    </row>
    <row customHeight="1" ht="14.25">
      <c r="A166" s="141">
        <v>2289</v>
      </c>
      <c r="B166" s="141"/>
    </row>
    <row customHeight="1" ht="14.25">
      <c r="A167" s="141"/>
      <c r="B167" s="141"/>
    </row>
    <row customHeight="1" ht="14.25">
      <c r="A168" s="141">
        <v>5251</v>
      </c>
      <c r="B168" s="141"/>
    </row>
    <row customHeight="1" ht="14.25">
      <c r="A169" s="141"/>
      <c r="B169" s="141"/>
    </row>
    <row customHeight="1" ht="14.25">
      <c r="A170" s="141"/>
      <c r="B170" s="141"/>
    </row>
    <row customHeight="1" ht="14.25">
      <c r="A171" s="141"/>
      <c r="B171" s="141"/>
    </row>
    <row customHeight="1" ht="14.25">
      <c r="A172" s="141">
        <v>0</v>
      </c>
      <c r="B172" s="141"/>
    </row>
    <row customHeight="1" ht="14.25">
      <c r="A173" s="141">
        <v>0</v>
      </c>
      <c r="B173" s="141"/>
    </row>
    <row customHeight="1" ht="14.25">
      <c r="A174" s="141">
        <v>0</v>
      </c>
      <c r="B174" s="141"/>
    </row>
    <row customHeight="1" ht="14.25">
      <c r="A175" s="141">
        <v>1480</v>
      </c>
      <c r="B175" s="141"/>
    </row>
    <row customHeight="1" ht="14.25">
      <c r="A176" s="141"/>
      <c r="B176" s="141"/>
    </row>
    <row customHeight="1" ht="14.25">
      <c r="A177" s="141">
        <v>1905</v>
      </c>
      <c r="B177" s="141"/>
    </row>
    <row customHeight="1" ht="14.25">
      <c r="A178" s="141">
        <v>536</v>
      </c>
      <c r="B178" s="141"/>
    </row>
    <row customHeight="1" ht="14.25">
      <c r="A179" s="141">
        <v>250</v>
      </c>
      <c r="B179" s="141"/>
    </row>
    <row customHeight="1" ht="14.25">
      <c r="A180" s="141">
        <v>129</v>
      </c>
      <c r="B180" s="141"/>
    </row>
    <row customHeight="1" ht="14.25">
      <c r="A181" s="141">
        <v>314</v>
      </c>
      <c r="B181" s="141"/>
    </row>
    <row customHeight="1" ht="14.25">
      <c r="A182" s="141"/>
      <c r="B182" s="141"/>
    </row>
    <row customHeight="1" ht="14.25">
      <c r="A183" s="141"/>
      <c r="B183" s="141"/>
    </row>
    <row customHeight="1" ht="14.25">
      <c r="A184" s="141"/>
      <c r="B184" s="141"/>
    </row>
    <row customHeight="1" ht="14.25">
      <c r="A185" s="141">
        <v>430</v>
      </c>
      <c r="B185" s="141"/>
    </row>
    <row customHeight="1" ht="14.25">
      <c r="A186" s="141"/>
      <c r="B186" s="141"/>
    </row>
    <row customHeight="1" ht="14.25">
      <c r="A187" s="141"/>
      <c r="B187" s="141"/>
    </row>
    <row customHeight="1" ht="14.25">
      <c r="A188" s="141">
        <v>573.44</v>
      </c>
      <c r="B188" s="141"/>
    </row>
    <row customHeight="1" ht="14.25">
      <c r="A189" s="141">
        <v>416</v>
      </c>
      <c r="B189" s="141"/>
    </row>
    <row customHeight="1" ht="14.25">
      <c r="A190" s="141">
        <v>94.76</v>
      </c>
      <c r="B190" s="141"/>
    </row>
    <row customHeight="1" ht="14.25">
      <c r="A191" s="141">
        <v>192.9</v>
      </c>
      <c r="B191" s="141"/>
    </row>
    <row customHeight="1" ht="14.25">
      <c r="A192" s="141">
        <v>0</v>
      </c>
      <c r="B192" s="141"/>
    </row>
    <row customHeight="1" ht="14.25">
      <c r="A193" s="141"/>
      <c r="B193" s="141"/>
    </row>
    <row customHeight="1" ht="14.25">
      <c r="A194" s="141">
        <v>2289</v>
      </c>
      <c r="B194" s="141"/>
    </row>
    <row customHeight="1" ht="14.25">
      <c r="A195" s="141"/>
      <c r="B195" s="141"/>
    </row>
    <row customHeight="1" ht="14.25">
      <c r="A196" s="141">
        <v>5251</v>
      </c>
      <c r="B196" s="141"/>
    </row>
    <row customHeight="1" ht="14.25">
      <c r="A197" s="141"/>
      <c r="B197" s="141"/>
    </row>
    <row customHeight="1" ht="14.25">
      <c r="A198" s="141"/>
      <c r="B198" s="141"/>
    </row>
    <row customHeight="1" ht="14.25">
      <c r="A199" s="141"/>
      <c r="B199" s="141"/>
    </row>
    <row customHeight="1" ht="14.25">
      <c r="A200" s="141">
        <v>0</v>
      </c>
      <c r="B200" s="141"/>
    </row>
    <row customHeight="1" ht="14.25">
      <c r="A201" s="141">
        <v>0</v>
      </c>
      <c r="B201" s="141"/>
    </row>
    <row customHeight="1" ht="14.25">
      <c r="A202" s="141">
        <v>0</v>
      </c>
      <c r="B202" s="141"/>
    </row>
    <row customHeight="1" ht="14.25">
      <c r="A203" s="141">
        <v>1480</v>
      </c>
      <c r="B203" s="141"/>
    </row>
    <row customHeight="1" ht="14.25">
      <c r="A204" s="141"/>
      <c r="B204" s="141"/>
    </row>
    <row customHeight="1" ht="14.25">
      <c r="A205" s="141">
        <v>1905</v>
      </c>
      <c r="B205" s="141"/>
    </row>
    <row customHeight="1" ht="14.25">
      <c r="A206" s="141">
        <v>536</v>
      </c>
      <c r="B206" s="141"/>
    </row>
    <row customHeight="1" ht="14.25">
      <c r="A207" s="141">
        <v>250</v>
      </c>
      <c r="B207" s="141"/>
    </row>
    <row customHeight="1" ht="14.25">
      <c r="A208" s="141">
        <v>129</v>
      </c>
      <c r="B208" s="141"/>
    </row>
    <row customHeight="1" ht="14.25">
      <c r="A209" s="141">
        <v>314</v>
      </c>
      <c r="B209" s="141"/>
    </row>
    <row customHeight="1" ht="14.25">
      <c r="A210" s="141"/>
      <c r="B210" s="141"/>
    </row>
    <row customHeight="1" ht="14.25">
      <c r="A211" s="141"/>
      <c r="B211" s="141"/>
    </row>
    <row customHeight="1" ht="14.25">
      <c r="A212" s="141">
        <v>430</v>
      </c>
      <c r="B212" s="141"/>
    </row>
    <row customHeight="1" ht="14.25">
      <c r="A213" s="141"/>
      <c r="B213" s="141"/>
    </row>
    <row customHeight="1" ht="14.25">
      <c r="A214" s="141"/>
      <c r="B214" s="141"/>
    </row>
    <row customHeight="1" ht="14.25">
      <c r="A215" s="141" t="s">
        <v>98</v>
      </c>
      <c r="B215" s="141"/>
    </row>
    <row customHeight="1" ht="14.25">
      <c r="A216" s="141">
        <v>0</v>
      </c>
      <c r="B216" s="141"/>
    </row>
    <row customHeight="1" ht="14.25">
      <c r="A217" s="141">
        <v>0</v>
      </c>
      <c r="B217" s="141"/>
    </row>
    <row customHeight="1" ht="14.25">
      <c r="A218" s="141"/>
      <c r="B218" s="141"/>
    </row>
    <row customHeight="1" ht="14.25">
      <c r="A219" s="141">
        <v>369.34</v>
      </c>
      <c r="B219" s="141"/>
    </row>
    <row customHeight="1" ht="14.25">
      <c r="A220" s="141">
        <v>873.08</v>
      </c>
      <c r="B220" s="141"/>
    </row>
    <row customHeight="1" ht="14.25">
      <c r="A221" s="141"/>
      <c r="B221" s="141"/>
    </row>
    <row customHeight="1" ht="14.25">
      <c r="A222" s="141">
        <v>467.36</v>
      </c>
      <c r="B222" s="141"/>
    </row>
    <row customHeight="1" ht="14.25">
      <c r="A223" s="141">
        <v>749.9</v>
      </c>
      <c r="B223" s="141"/>
    </row>
    <row customHeight="1" ht="14.25">
      <c r="A224" s="141"/>
      <c r="B224" s="141"/>
    </row>
    <row customHeight="1" ht="14.25">
      <c r="A225" s="141">
        <v>761.73</v>
      </c>
      <c r="B225" s="141"/>
    </row>
    <row customHeight="1" ht="14.25">
      <c r="A226" s="141">
        <v>1829.96</v>
      </c>
      <c r="B226" s="141"/>
    </row>
    <row customHeight="1" ht="14.25">
      <c r="A227" s="141"/>
      <c r="B227" s="141"/>
    </row>
    <row customHeight="1" ht="14.25">
      <c r="A228" s="141">
        <v>521.44</v>
      </c>
      <c r="B228" s="141"/>
    </row>
    <row customHeight="1" ht="14.25">
      <c r="A229" s="141">
        <v>645.54</v>
      </c>
      <c r="B229" s="141"/>
    </row>
    <row customHeight="1" ht="14.4525">
      <c r="A230" s="141"/>
      <c r="B230" s="141"/>
    </row>
    <row customHeight="1" ht="14.25">
      <c r="A231" s="141">
        <v>3310</v>
      </c>
      <c r="B231" s="141"/>
    </row>
    <row customHeight="1" ht="14.25">
      <c r="A232" s="141">
        <v>3300</v>
      </c>
      <c r="B232" s="141"/>
    </row>
    <row customHeight="1" ht="14.25">
      <c r="A233" s="141">
        <v>3290</v>
      </c>
      <c r="B233" s="141"/>
    </row>
    <row customHeight="1" ht="14.25">
      <c r="A234" s="141">
        <v>3250</v>
      </c>
      <c r="B234" s="141"/>
    </row>
    <row customHeight="1" ht="14.25">
      <c r="A235" s="141">
        <v>3280</v>
      </c>
      <c r="B235" s="141"/>
    </row>
    <row customHeight="1" ht="14.4525">
      <c r="A236" s="141"/>
      <c r="B236" s="141"/>
    </row>
    <row customHeight="1" ht="14.25">
      <c r="A237" s="141">
        <v>677.02</v>
      </c>
      <c r="B237" s="141"/>
    </row>
    <row customHeight="1" ht="14.25">
      <c r="A238" s="141">
        <v>4731.32</v>
      </c>
      <c r="B238" s="141"/>
    </row>
    <row customHeight="1" ht="14.25">
      <c r="A239" s="198" t="s">
        <v>99</v>
      </c>
      <c r="B239" s="141"/>
    </row>
    <row customHeight="1" ht="14.25">
      <c r="A240" s="141"/>
      <c r="B240" s="141"/>
    </row>
    <row customHeight="1" ht="14.25">
      <c r="A241" s="141"/>
      <c r="B241" s="141"/>
    </row>
    <row customHeight="1" ht="14.25">
      <c r="A242" s="199" t="s">
        <v>100</v>
      </c>
      <c r="B242" s="141"/>
    </row>
    <row customHeight="1" ht="14.25">
      <c r="A243" s="199" t="s">
        <v>101</v>
      </c>
      <c r="B243" s="141"/>
    </row>
    <row customHeight="1" ht="14.25">
      <c r="A244" s="199" t="s">
        <v>102</v>
      </c>
      <c r="B244" s="141"/>
    </row>
    <row customHeight="1" ht="14.4525">
      <c r="A245" s="141"/>
      <c r="B245" s="141"/>
    </row>
    <row customHeight="1" ht="14.25">
      <c r="A246" s="141" t="s">
        <v>103</v>
      </c>
      <c r="B246" s="141"/>
    </row>
    <row customHeight="1" ht="14.25">
      <c r="A247" s="141">
        <v>603</v>
      </c>
      <c r="B247" s="141"/>
    </row>
    <row customHeight="1" ht="14.25">
      <c r="A248" s="141" t="s">
        <v>104</v>
      </c>
      <c r="B248" s="141"/>
    </row>
    <row customHeight="1" ht="14.25">
      <c r="A249" s="141"/>
      <c r="B249" s="141"/>
    </row>
    <row customHeight="1" ht="14.25">
      <c r="A250" s="141"/>
      <c r="B250" s="141"/>
    </row>
    <row customHeight="1" ht="14.25">
      <c r="A251" s="141"/>
      <c r="B251" s="141"/>
    </row>
    <row customHeight="1" ht="14.25">
      <c r="A252" s="141"/>
      <c r="B252" s="141"/>
    </row>
    <row customHeight="1" ht="14.25">
      <c r="A253" s="141" t="s">
        <v>96</v>
      </c>
      <c r="B253" s="141"/>
    </row>
    <row customHeight="1" ht="14.25">
      <c r="A254" s="141" t="s">
        <v>105</v>
      </c>
      <c r="B254" s="141"/>
    </row>
    <row customHeight="1" ht="14.4525">
      <c r="A255" s="141"/>
      <c r="B255" s="141"/>
    </row>
    <row customHeight="1" ht="14.25">
      <c r="A256" s="199" t="s">
        <v>106</v>
      </c>
      <c r="B256" s="141"/>
    </row>
    <row customHeight="1" ht="14.25">
      <c r="A257" s="141">
        <v>224.72</v>
      </c>
      <c r="B257" s="141"/>
    </row>
    <row customHeight="1" ht="14.25">
      <c r="A258" s="199" t="s">
        <v>107</v>
      </c>
      <c r="B258" s="141"/>
    </row>
    <row customHeight="1" ht="14.25">
      <c r="A259" s="141">
        <v>71</v>
      </c>
      <c r="B259" s="141"/>
    </row>
    <row customHeight="1" ht="14.25">
      <c r="A260" s="141">
        <v>8929.7</v>
      </c>
      <c r="B260" s="141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380D40B-E6BD-BA08-EEC8-49D0AD4118A8}" mc:Ignorable="x14ac xr xr2 xr3">
  <dimension ref="A1:A72"/>
  <sheetViews>
    <sheetView topLeftCell="A1" workbookViewId="0">
      <selection activeCell="A72" sqref="A72"/>
    </sheetView>
  </sheetViews>
  <sheetFormatPr defaultColWidth="8.8515625" customHeight="1" defaultRowHeight="14.4525"/>
  <sheetData>
    <row customHeight="1" ht="14.25">
      <c r="A1" s="200" t="s">
        <v>108</v>
      </c>
    </row>
    <row customHeight="1" ht="14.25">
      <c r="A2" s="200" t="s">
        <v>109</v>
      </c>
    </row>
    <row customHeight="1" ht="14.25">
      <c r="A3" s="200" t="s">
        <v>110</v>
      </c>
    </row>
    <row customHeight="1" ht="14.25">
      <c r="A4" s="200" t="s">
        <v>111</v>
      </c>
    </row>
    <row customHeight="1" ht="14.25">
      <c r="A5" s="200" t="s">
        <v>112</v>
      </c>
    </row>
    <row customHeight="1" ht="14.25">
      <c r="A6" s="200" t="s">
        <v>113</v>
      </c>
    </row>
    <row customHeight="1" ht="14.25">
      <c r="A7" s="200" t="s">
        <v>114</v>
      </c>
    </row>
    <row customHeight="1" ht="14.25">
      <c r="A8" s="200" t="s">
        <v>115</v>
      </c>
    </row>
    <row customHeight="1" ht="14.25">
      <c r="A9" s="200" t="s">
        <v>116</v>
      </c>
    </row>
    <row customHeight="1" ht="14.25">
      <c r="A10" s="200" t="s">
        <v>117</v>
      </c>
    </row>
    <row customHeight="1" ht="14.25">
      <c r="A11" s="200" t="s">
        <v>118</v>
      </c>
    </row>
    <row customHeight="1" ht="14.25">
      <c r="A12" s="200" t="s">
        <v>119</v>
      </c>
    </row>
    <row customHeight="1" ht="14.25">
      <c r="A13" s="200" t="s">
        <v>120</v>
      </c>
    </row>
    <row customHeight="1" ht="14.25">
      <c r="A14" s="200" t="s">
        <v>121</v>
      </c>
    </row>
    <row customHeight="1" ht="14.25">
      <c r="A15" s="200" t="s">
        <v>122</v>
      </c>
    </row>
    <row customHeight="1" ht="14.25">
      <c r="A16" s="200" t="s">
        <v>123</v>
      </c>
    </row>
    <row customHeight="1" ht="14.25">
      <c r="A17" s="200" t="s">
        <v>124</v>
      </c>
    </row>
    <row customHeight="1" ht="14.25">
      <c r="A18" s="200" t="s">
        <v>125</v>
      </c>
    </row>
    <row customHeight="1" ht="14.25">
      <c r="A19" s="200" t="s">
        <v>126</v>
      </c>
    </row>
    <row customHeight="1" ht="14.25">
      <c r="A20" s="200" t="s">
        <v>127</v>
      </c>
    </row>
    <row customHeight="1" ht="14.25">
      <c r="A21" s="200" t="s">
        <v>128</v>
      </c>
    </row>
    <row customHeight="1" ht="14.25">
      <c r="A22" s="200" t="s">
        <v>129</v>
      </c>
    </row>
    <row customHeight="1" ht="14.25">
      <c r="A23" s="200" t="s">
        <v>130</v>
      </c>
    </row>
    <row customHeight="1" ht="14.25">
      <c r="A24" s="200" t="s">
        <v>131</v>
      </c>
    </row>
    <row customHeight="1" ht="14.25">
      <c r="A25" s="200" t="s">
        <v>132</v>
      </c>
    </row>
    <row customHeight="1" ht="14.25">
      <c r="A26" s="200" t="s">
        <v>133</v>
      </c>
    </row>
    <row customHeight="1" ht="14.25">
      <c r="A27" s="200" t="s">
        <v>134</v>
      </c>
    </row>
    <row customHeight="1" ht="14.25">
      <c r="A28" s="200" t="s">
        <v>135</v>
      </c>
    </row>
    <row customHeight="1" ht="14.4525">
      <c r="A29" s="200"/>
    </row>
    <row customHeight="1" ht="14.4525">
      <c r="A30" s="200"/>
    </row>
    <row customHeight="1" ht="14.4525">
      <c r="A31" s="200"/>
    </row>
    <row customHeight="1" ht="14.4525">
      <c r="A32" s="200"/>
    </row>
    <row customHeight="1" ht="14.4525">
      <c r="A33" s="200"/>
    </row>
    <row customHeight="1" ht="14.4525">
      <c r="A34" s="200"/>
    </row>
    <row customHeight="1" ht="14.4525">
      <c r="A35" s="200"/>
    </row>
    <row customHeight="1" ht="14.4525">
      <c r="A36" s="200"/>
    </row>
    <row customHeight="1" ht="14.4525">
      <c r="A37" s="200"/>
    </row>
    <row customHeight="1" ht="14.4525">
      <c r="A38" s="200"/>
    </row>
    <row customHeight="1" ht="14.4525">
      <c r="A39" s="200"/>
    </row>
    <row customHeight="1" ht="14.4525">
      <c r="A40" s="200"/>
    </row>
    <row customHeight="1" ht="14.4525">
      <c r="A41" s="200"/>
    </row>
    <row customHeight="1" ht="14.4525">
      <c r="A42" s="200"/>
    </row>
    <row customHeight="1" ht="14.4525">
      <c r="A43" s="200"/>
    </row>
    <row customHeight="1" ht="14.4525">
      <c r="A44" s="200"/>
    </row>
    <row customHeight="1" ht="14.4525">
      <c r="A45" s="200"/>
    </row>
    <row customHeight="1" ht="14.4525">
      <c r="A46" s="200"/>
    </row>
    <row customHeight="1" ht="14.4525">
      <c r="A47" s="200"/>
    </row>
    <row customHeight="1" ht="14.4525">
      <c r="A48" s="200"/>
    </row>
    <row customHeight="1" ht="14.4525">
      <c r="A49" s="200"/>
    </row>
    <row customHeight="1" ht="14.4525">
      <c r="A50" s="200"/>
    </row>
    <row customHeight="1" ht="14.4525">
      <c r="A51" s="200"/>
    </row>
    <row customHeight="1" ht="14.4525">
      <c r="A52" s="200"/>
    </row>
    <row customHeight="1" ht="14.4525">
      <c r="A53" s="200"/>
    </row>
    <row customHeight="1" ht="14.4525">
      <c r="A54" s="200"/>
    </row>
    <row customHeight="1" ht="14.4525">
      <c r="A55" s="200"/>
    </row>
    <row customHeight="1" ht="14.4525">
      <c r="A56" s="200"/>
    </row>
    <row customHeight="1" ht="14.4525">
      <c r="A57" s="200"/>
    </row>
    <row customHeight="1" ht="14.4525">
      <c r="A58" s="200"/>
    </row>
    <row customHeight="1" ht="14.4525">
      <c r="A59" s="200"/>
    </row>
    <row customHeight="1" ht="14.4525">
      <c r="A60" s="200"/>
    </row>
    <row customHeight="1" ht="14.4525">
      <c r="A61" s="200"/>
    </row>
    <row customHeight="1" ht="14.4525">
      <c r="A62" s="200"/>
    </row>
    <row customHeight="1" ht="14.4525">
      <c r="A63" s="200"/>
    </row>
    <row customHeight="1" ht="14.4525">
      <c r="A64" s="200"/>
    </row>
    <row customHeight="1" ht="14.4525">
      <c r="A65" s="200"/>
    </row>
    <row customHeight="1" ht="14.4525">
      <c r="A66" s="200"/>
    </row>
    <row customHeight="1" ht="14.4525">
      <c r="A67" s="200"/>
    </row>
    <row customHeight="1" ht="14.4525">
      <c r="A68" s="200"/>
    </row>
    <row customHeight="1" ht="14.4525">
      <c r="A69" s="200"/>
    </row>
    <row customHeight="1" ht="14.4525">
      <c r="A70" s="200"/>
    </row>
    <row customHeight="1" ht="14.4525">
      <c r="A71" s="200"/>
    </row>
    <row customHeight="1" ht="14.4525">
      <c r="A72" s="200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早八点信息简表</vt:lpstr>
      <vt:lpstr>取值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王高峰</cp:lastModifiedBy>
  <dcterms:created xsi:type="dcterms:W3CDTF">2021-11-04T06:14:00Z</dcterms:created>
  <dcterms:modified xsi:type="dcterms:W3CDTF">2025-07-24T14:08:50Z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56D19C194D604A398C05414838C6842B_13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false</vt:bool>
  </property>
</Properties>
</file>