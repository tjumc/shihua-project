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装置运转情况表" sheetId="1" r:id="rId2"/>
    <sheet name="公式" sheetId="2" state="hidden" r:id="rId3"/>
    <sheet name="取值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#Input("石化厂_联合一车间_装置运转情况表_120万吨/年重整装置_周期",":key{{dw}}")</t>
        </r>
      </text>
    </comment>
    <comment ref="E5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#Input("石化厂_联合一车间_装置运转情况表_120万吨/年重整装置_开车时间",":key{{dw}}")</t>
        </r>
      </text>
    </comment>
    <comment ref="F5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#Input("石化厂_联合一车间_装置运转情况表_120万吨/年重整装置_停车时间",":key{{dw}}")</t>
        </r>
      </text>
    </comment>
    <comment ref="G5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#Input("石化厂_联合一车间_装置运转情况表_120万吨/年重整装置_运转天数",":key{{dw}}")</t>
        </r>
      </text>
    </comment>
    <comment ref="I5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#Input("石化厂_联合一车间_装置运转情况表_120万吨/年重整装置_周期运转天数",":key{{dw}}")</t>
        </r>
      </text>
    </comment>
    <comment ref="J5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#Input("石化厂_联合一车间_装置运转情况表_120万吨/年重整装置_停车原因",":key{{dw}}")</t>
        </r>
      </text>
    </comment>
    <comment ref="D6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#Input("石化厂_联合一车间_装置运转情况表_140万吨/年柴油加氢装置_周期",":key{{dw}}")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#Input("石化厂_联合一车间_装置运转情况表_140万吨/年柴油加氢装置_开车时间",":key{{dw}}")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#Input("石化厂_联合一车间_装置运转情况表_140万吨/年柴油加氢装置_停车时间",":key{{dw}}")</t>
        </r>
      </text>
    </comment>
    <comment ref="G6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#Input("石化厂_联合一车间_装置运转情况表_140万吨/年柴油加氢装置_运转天数",":key{{dw}}")</t>
        </r>
      </text>
    </comment>
    <comment ref="I6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#Input("石化厂_联合一车间_装置运转情况表_140万吨/年柴油加氢装置_周期运转天数",":key{{dw}}")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#Input("石化厂_联合一车间_装置运转情况表_140万吨/年柴油加氢装置_停车原因",":key{{dw}}")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#Input("石化厂_联合一车间_装置运转情况表_20万吨/年苯抽提装置_周期",":key{{dw}}")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#Input("石化厂_联合一车间_装置运转情况表_20万吨/年苯抽提装置_开车时间",":key{{dw}}")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#Input("石化厂_联合一车间_装置运转情况表_20万吨/年苯抽提装置_停车时间",":key{{dw}}")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#Input("石化厂_联合一车间_装置运转情况表_20万吨/年苯抽提装置_运转天数",":key{{dw}}")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#Input("石化厂_联合一车间_装置运转情况表_20万吨/年苯抽提装置_周期运转天数",":key{{dw}}")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#Input("石化厂_联合一车间_装置运转情况表_20万吨/年苯抽提装置_停车原因",":key{{dw}}")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#Input("石化厂_联合二车间_装置运转情况表_60万吨/年气体分馏装置_周期",":key{{dw}}")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#Input("石化厂_联合二车间_装置运转情况表_60万吨/年气体分馏装置_开车时间",":key{{dw}}")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#Input("石化厂_联合二车间_装置运转情况表_60万吨/年气体分馏装置_停车时间",":key{{dw}}")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#Input("石化厂_联合二车间_装置运转情况表_60万吨/年气体分馏装置_运转天数",":key{{dw}}")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#Input("石化厂_联合二车间_装置运转情况表_60万吨/年气体分馏装置_周期运转天数",":key{{dw}}")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#Input("石化厂_联合二车间_装置运转情况表_60万吨/年气体分馏装置_停车原因",":key{{dw}}")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#Input("石化厂_联合二车间_装置运转情况表_20万吨/年聚丙烯装置_周期",":key{{dw}}")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#Input("石化厂_联合二车间_装置运转情况表_20万吨/年聚丙烯装置_开车时间",":key{{dw}}")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#Input("石化厂_联合二车间_装置运转情况表_20万吨/年聚丙烯装置_停车时间",":key{{dw}}")</t>
        </r>
      </text>
    </comment>
    <comment ref="G9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#Input("石化厂_联合二车间_装置运转情况表_20万吨/年聚丙烯装置_运转天数",":key{{dw}}")</t>
        </r>
      </text>
    </comment>
    <comment ref="I9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#Input("石化厂_联合二车间_装置运转情况表_20万吨/年聚丙烯装置_周期运转天数",":key{{dw}}")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#Input("石化厂_联合二车间_装置运转情况表_20万吨/年聚丙烯装置_停车原因",":key{{dw}}")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#Input("石化厂_联合二车间_装置运转情况表_12万吨/年MTBE装置_周期",":key{{dw}}")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#Input("石化厂_联合二车间_装置运转情况表_12万吨/年MTBE装置_开车时间",":key{{dw}}")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#Input("石化厂_联合二车间_装置运转情况表_12万吨/年MTBE装置_停车时间",":key{{dw}}")</t>
        </r>
      </text>
    </comment>
    <comment ref="G10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#Input("石化厂_联合二车间_装置运转情况表_12万吨/年MTBE装置_运转天数",":key{{dw}}")</t>
        </r>
      </text>
    </comment>
    <comment ref="I10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#Input("石化厂_联合二车间_装置运转情况表_12万吨/年MTBE装置_周期运转天数",":key{{dw}}")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#Input("石化厂_联合二车间_装置运转情况表_12万吨/年MTBE装置_停车原因",":key{{dw}}")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#Input("石化厂_联合三车间_装置运转情况表_180万吨/年汽油精制装置_周期",":key{{dw}}")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#Input("石化厂_联合三车间_装置运转情况表_180万吨/年汽油精制装置_开车时间",":key{{dw}}")</t>
        </r>
      </text>
    </comment>
    <comment ref="F11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#Input("石化厂_联合三车间_装置运转情况表_180万吨/年汽油精制装置_停车时间",":key{{dw}}")</t>
        </r>
      </text>
    </comment>
    <comment ref="G11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#Input("石化厂_联合三车间_装置运转情况表_180万吨/年汽油精制装置_运转天数",":key{{dw}}")</t>
        </r>
      </text>
    </comment>
    <comment ref="I11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#Input("石化厂_联合三车间_装置运转情况表_180万吨/年汽油精制装置_周期运转天数",":key{{dw}}")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#Input("石化厂_联合三车间_装置运转情况表_180万吨/年汽油精制装置_停车原因",":key{{dw}}")</t>
        </r>
      </text>
    </comment>
    <comment ref="D12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#Input("石化厂_联合三车间_装置运转情况表_240万吨/年柴油加氢精制装置_周期",":key{{dw}}")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#Input("石化厂_联合三车间_装置运转情况表_240万吨/年柴油加氢精制装置_开车时间",":key{{dw}}")</t>
        </r>
      </text>
    </comment>
    <comment ref="F12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#Input("石化厂_联合三车间_装置运转情况表_240万吨/年柴油加氢精制装置_停车时间",":key{{dw}}")</t>
        </r>
      </text>
    </comment>
    <comment ref="G12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#Input("石化厂_联合三车间_装置运转情况表_240万吨/年柴油加氢精制装置_运转天数",":key{{dw}}")</t>
        </r>
      </text>
    </comment>
    <comment ref="I12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#Input("石化厂_联合三车间_装置运转情况表_240万吨/年柴油加氢精制装置_周期运转天数",":key{{dw}}")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#Input("石化厂_联合三车间_装置运转情况表_240万吨/年柴油加氢精制装置_停车原因",":key{{dw}}")</t>
        </r>
      </text>
    </comment>
    <comment ref="D13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#Input("石化厂_联合三车间_装置运转情况表_2万标立方米/小时制氢装置_周期",":key{{dw}}")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#Input("石化厂_联合三车间_装置运转情况表_2万标立方米/小时制氢装置_开车时间",":key{{dw}}")</t>
        </r>
      </text>
    </comment>
    <comment ref="F13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#Input("石化厂_联合三车间_装置运转情况表_2万标立方米/小时制氢装置_停车时间",":key{{dw}}")</t>
        </r>
      </text>
    </comment>
    <comment ref="G13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#Input("石化厂_联合三车间_装置运转情况表_2万标立方米/小时制氢装置_运转天数",":key{{dw}}")</t>
        </r>
      </text>
    </comment>
    <comment ref="I13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#Input("石化厂_联合三车间_装置运转情况表_2万标立方米/小时制氢装置_周期运转天数",":key{{dw}}")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#Input("石化厂_联合三车间_装置运转情况表_2万标立方米/小时制氢装置_停车原因",":key{{dw}}")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#Input("石化厂_联合四车间_装置运转情况表_60万吨/年液化气精制装置_周期",":key{{dw}}")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#Input("石化厂_联合四车间_装置运转情况表_60万吨/年液化气精制装置_开车时间",":key{{dw}}")</t>
        </r>
      </text>
    </comment>
    <comment ref="F14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#Input("石化厂_联合四车间_装置运转情况表_60万吨/年液化气精制装置_停车时间",":key{{dw}}")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#Input("石化厂_联合四车间_装置运转情况表_60万吨/年液化气精制装置_运转天数",":key{{dw}}")</t>
        </r>
      </text>
    </comment>
    <comment ref="I14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#Input("石化厂_联合四车间_装置运转情况表_60万吨/年液化气精制装置_周期运转天数",":key{{dw}}")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#Input("石化厂_联合四车间_装置运转情况表_60万吨/年液化气精制装置_停车原因",":key{{dw}}")</t>
        </r>
      </text>
    </comment>
    <comment ref="D15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#Input("石化厂_联合四车间_装置运转情况表_0.4万吨/年硫磺回收装置_周期",":key{{dw}}")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#Input("石化厂_联合四车间_装置运转情况表_0.4万吨/年硫磺回收装置_开车时间",":key{{dw}}")</t>
        </r>
      </text>
    </comment>
    <comment ref="F15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#Input("石化厂_联合四车间_装置运转情况表_0.4万吨/年硫磺回收装置_停车时间",":key{{dw}}")</t>
        </r>
      </text>
    </comment>
    <comment ref="G15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#Input("石化厂_联合四车间_装置运转情况表_0.4万吨/年硫磺回收装置_运转天数",":key{{dw}}")</t>
        </r>
      </text>
    </comment>
    <comment ref="I15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#Input("石化厂_联合四车间_装置运转情况表_0.4万吨/年硫磺回收装置_周期运转天数",":key{{dw}}")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#Input("石化厂_联合四车间_装置运转情况表_0.4万吨/年硫磺回收装置_停车原因",":key{{dw}}")</t>
        </r>
      </text>
    </comment>
    <comment ref="D16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#Input("石化厂_联合四车间_装置运转情况表_2万吨/年硫磺精制装置_周期",":key{{dw}}")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#Input("石化厂_联合四车间_装置运转情况表_2万吨/年硫磺精制装置_开车时间",":key{{dw}}")</t>
        </r>
      </text>
    </comment>
    <comment ref="F16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#Input("石化厂_联合四车间_装置运转情况表_2万吨/年硫磺精制装置_停车时间",":key{{dw}}")</t>
        </r>
      </text>
    </comment>
    <comment ref="G16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#Input("石化厂_联合四车间_装置运转情况表_2万吨/年硫磺精制装置_运转天数",":key{{dw}}")</t>
        </r>
      </text>
    </comment>
    <comment ref="I16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#Input("石化厂_联合四车间_装置运转情况表_2万吨/年硫磺精制装置_周期运转天数",":key{{dw}}")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#Input("石化厂_联合四车间_装置运转情况表_2万吨/年硫磺精制装置_停车原因",":key{{dw}}")</t>
        </r>
      </text>
    </comment>
    <comment ref="D17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#Input("石化厂_轻烃中心_装置运转情况表_0.5万吨/年碱渣处理装置_周期",":key{{dw}}")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#Input("石化厂_轻烃中心_装置运转情况表_0.5万吨/年碱渣处理装置_开车时间",":key{{dw}}")</t>
        </r>
      </text>
    </comment>
    <comment ref="F17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#Input("石化厂_轻烃中心_装置运转情况表_0.5万吨/年碱渣处理装置_停车时间",":key{{dw}}")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#Input("石化厂_轻烃中心_装置运转情况表_0.5万吨/年碱渣处理装置_运转天数",":key{{dw}}")</t>
        </r>
      </text>
    </comment>
    <comment ref="I17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#Input("石化厂_轻烃中心_装置运转情况表_0.5万吨/年碱渣处理装置_周期运转天数",":key{{dw}}")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#Input("石化厂_轻烃中心_装置运转情况表_0.5万吨/年碱渣处理装置_停车原因",":key{{dw}}")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#Input("石化厂_轻烃中心_装置运转情况表_20万吨/年烷基化装置_周期",":key{{dw}}")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#Input("石化厂_轻烃中心_装置运转情况表_20万吨/年烷基化装置_开车时间",":key{{dw}}")</t>
        </r>
      </text>
    </comment>
    <comment ref="F18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#Input("石化厂_轻烃中心_装置运转情况表_20万吨/年烷基化装置_停车时间",":key{{dw}}")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#Input("石化厂_轻烃中心_装置运转情况表_20万吨/年烷基化装置_运转天数",":key{{dw}}")</t>
        </r>
      </text>
    </comment>
    <comment ref="I18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#Input("石化厂_轻烃中心_装置运转情况表_20万吨/年烷基化装置_周期运转天数",":key{{dw}}")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#Input("石化厂_轻烃中心_装置运转情况表_20万吨/年烷基化装置_停车原因",":key{{dw}}")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#Input("石化厂_轻烃中心_装置运转情况表_30万吨/年混合脱氢装置_周期",":key{{dw}}")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#Input("石化厂_轻烃中心_装置运转情况表_30万吨/年混合脱氢装置_开车时间",":key{{dw}}")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#Input("石化厂_轻烃中心_装置运转情况表_30万吨/年混合脱氢装置_停车时间",":key{{dw}}")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#Input("石化厂_轻烃中心_装置运转情况表_30万吨/年混合脱氢装置_运转天数",":key{{dw}}")</t>
        </r>
      </text>
    </comment>
    <comment ref="I19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#Input("石化厂_轻烃中心_装置运转情况表_30万吨/年混合脱氢装置_周期运转天数",":key{{dw}}")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#Input("石化厂_轻烃中心_装置运转情况表_30万吨/年混合脱氢装置_停车原因",":key{{dw}}")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#Input("石化厂_轻烃中心_装置运转情况表_25万吨/年MTBE装置_周期",":key{{dw}}")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#Input("石化厂_轻烃中心_装置运转情况表_25万吨/年MTBE装置_开车时间",":key{{dw}}")</t>
        </r>
      </text>
    </comment>
    <comment ref="F20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#Input("石化厂_轻烃中心_装置运转情况表_25万吨/年MTBE装置_停车时间",":key{{dw}}")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#Input("石化厂_轻烃中心_装置运转情况表_25万吨/年MTBE装置_运转天数",":key{{dw}}")</t>
        </r>
      </text>
    </comment>
    <comment ref="I20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#Input("石化厂_轻烃中心_装置运转情况表_25万吨/年MTBE装置_周期运转天数",":key{{dw}}")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#Input("石化厂_轻烃中心_装置运转情况表_25万吨/年MTBE装置_停车原因",":key{{dw}}")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#Input("石化厂_轻烃中心_装置运转情况表_主管领导",":key{{dw}}")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#Input("石化厂_轻烃中心_装置运转情况表_单位负责人",":key{{dw}}")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#Input("石化厂_轻烃中心_装置运转情况表_填报人",":key{{dw}}")</t>
        </r>
      </text>
    </comment>
  </commentList>
</comments>
</file>

<file path=xl/sharedStrings.xml><?xml version="1.0" encoding="utf-8"?>
<sst xmlns="http://schemas.openxmlformats.org/spreadsheetml/2006/main" count="303" uniqueCount="67">
  <si>
    <t>延 安 石 油 化 工 厂 装 置 运 转 情 况 表</t>
  </si>
  <si>
    <t>填报单位：延安石油化工厂</t>
  </si>
  <si>
    <t>日期：</t>
  </si>
  <si>
    <t>2025-12</t>
  </si>
  <si>
    <t>装置名称</t>
  </si>
  <si>
    <t>月份</t>
  </si>
  <si>
    <t>周期</t>
  </si>
  <si>
    <t>开车时间</t>
  </si>
  <si>
    <t>停车时间</t>
  </si>
  <si>
    <t>运转天数</t>
  </si>
  <si>
    <t>本年累计运转天数</t>
  </si>
  <si>
    <t>周期运转天数</t>
  </si>
  <si>
    <t>停车原因</t>
  </si>
  <si>
    <t>1、120万吨/年重整装置</t>
  </si>
  <si>
    <t>2、140万吨/年柴油加氢装置</t>
  </si>
  <si>
    <t>3、20万吨/年苯抽提装置</t>
  </si>
  <si>
    <t>4、60万吨/年气体分馏装置</t>
  </si>
  <si>
    <t>5、20万吨/年聚丙烯装置</t>
  </si>
  <si>
    <t>6、12万吨/年MTBE装置</t>
  </si>
  <si>
    <t>7、180万吨/年汽油精制装置</t>
  </si>
  <si>
    <t>8、240万吨/年柴油加氢精制装置</t>
  </si>
  <si>
    <t>9、2万标立方米/小时制氢装置</t>
  </si>
  <si>
    <t>10、60万吨/年液化气精制装置</t>
  </si>
  <si>
    <t>11、0.4万吨/年硫磺回收装置</t>
  </si>
  <si>
    <t>12、2万吨/年硫磺精制装置</t>
  </si>
  <si>
    <t>13、0.5万吨/年碱渣处理装置</t>
  </si>
  <si>
    <t>14、20万吨/年烷基化装置</t>
  </si>
  <si>
    <t>15、30万吨/年混合脱氢装置</t>
  </si>
  <si>
    <t>16、25万吨/年MTBE装置</t>
  </si>
  <si>
    <t>主管领导：</t>
  </si>
  <si>
    <t>陈张友</t>
  </si>
  <si>
    <t>单位负责人：</t>
  </si>
  <si>
    <t>温铜川</t>
  </si>
  <si>
    <t>填报人：</t>
  </si>
  <si>
    <t>李洛娟</t>
  </si>
  <si>
    <t>公式类型</t>
  </si>
  <si>
    <t>数据源</t>
  </si>
  <si>
    <t>取值</t>
  </si>
  <si>
    <t>计量点名称</t>
  </si>
  <si>
    <t>取值条件</t>
  </si>
  <si>
    <t>#SQL</t>
  </si>
  <si>
    <t>("</t>
  </si>
  <si>
    <t>SH_PO_ByMonth</t>
  </si>
  <si>
    <t>","</t>
  </si>
  <si>
    <t>VALUE</t>
  </si>
  <si>
    <t>",":where{NAME=</t>
  </si>
  <si>
    <t>石化厂_联合一车间_装置运转情况表_120万吨/年重整装置_运转天数</t>
  </si>
  <si>
    <t>}")</t>
  </si>
  <si>
    <t>石化厂_联合一车间_装置运转情况表_140万吨/年柴油加氢装置_运转天数</t>
  </si>
  <si>
    <t>石化厂_联合一车间_装置运转情况表_20万吨/年苯抽提装置_运转天数</t>
  </si>
  <si>
    <t>石化厂_联合四车间_装置运转情况表_60万吨/年液化气精制装置_运转天数</t>
  </si>
  <si>
    <t>石化厂_联合三车间_装置运转情况表_60万吨/年气体分馏装置_运转天数</t>
  </si>
  <si>
    <t>石化厂_联合三车间_装置运转情况表_20万吨/年聚丙烯装置_运转天数</t>
  </si>
  <si>
    <t>石化厂_联合三车间_装置运转情况表_12万吨/年MTBE装置_运转天数</t>
  </si>
  <si>
    <t>石化厂_联合四车间_装置运转情况表_0.4万吨/年硫磺回收装置_运转天数</t>
  </si>
  <si>
    <t>石化厂_联合四车间_装置运转情况表_2万吨/年硫磺精制装置_运转天数</t>
  </si>
  <si>
    <t>石化厂_轻烃中心_装置运转情况表_0.5万吨/年碱渣处理装置_运转天数</t>
  </si>
  <si>
    <t>石化厂_联合三车间_装置运转情况表_180万吨/年汽油精制装置_运转天数</t>
  </si>
  <si>
    <t>石化厂_联合三车间_装置运转情况表_240万吨/年柴油加氢精制装置_运转天数</t>
  </si>
  <si>
    <t>石化厂_联合三车间_装置运转情况表_2万标立方米/小时制氢装置_运转天数</t>
  </si>
  <si>
    <t>石化厂_轻烃中心_装置运转情况表_20万吨/年烷基化装置_运转天数</t>
  </si>
  <si>
    <t>石化厂_轻烃中心_装置运转情况表_30万吨/年混合脱氢装置_运转天数</t>
  </si>
  <si>
    <t>石化厂_轻烃中心_装置运转情况表_25万吨/年MTBE装置_运转天数</t>
  </si>
  <si>
    <t>SH_PO_YearSum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</si>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</sst>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yyyy\-mm"/>
    <numFmt numFmtId="172" formatCode="mm"/>
    <numFmt numFmtId="173" formatCode="0_ 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1"/>
      <color rgb="FF000000"/>
      <name val="等线"/>
    </font>
    <font>
      <sz val="11"/>
      <color theme="1"/>
      <name val="等线"/>
    </font>
    <font>
      <b/>
      <sz val="18"/>
      <color theme="1"/>
      <name val="Calibri"/>
      <scheme val="minor"/>
    </font>
    <font>
      <b/>
      <sz val="11"/>
      <color rgb="FF000000"/>
      <name val="宋体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135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0" fillId="0" borderId="10" xfId="0" applyFont="1" applyBorder="1">
      <alignment vertical="center"/>
    </xf>
    <xf numFmtId="2" fontId="19" fillId="0" borderId="11" xfId="47" applyFont="1" applyBorder="1" applyNumberFormat="1">
      <alignment horizontal="right" vertical="center"/>
    </xf>
    <xf numFmtId="0" fontId="20" fillId="0" borderId="0" xfId="0" applyFont="1"/>
    <xf numFmtId="171" fontId="0" fillId="0" borderId="0" xfId="0" applyFont="1" applyNumberFormat="1"/>
    <xf numFmtId="172" fontId="0" fillId="0" borderId="0" xfId="0" applyFont="1" applyNumberFormat="1"/>
    <xf numFmtId="2" fontId="19" fillId="0" borderId="12" xfId="47" applyFont="1" applyBorder="1" applyNumberFormat="1">
      <alignment vertical="center"/>
    </xf>
    <xf numFmtId="0" fontId="0" fillId="0" borderId="13" xfId="0" applyFont="1" applyBorder="1">
      <alignment horizontal="center" vertical="center"/>
    </xf>
    <xf numFmtId="0" fontId="0" fillId="0" borderId="14" xfId="0" applyFont="1" applyBorder="1">
      <alignment horizontal="center" vertical="center"/>
    </xf>
    <xf numFmtId="0" fontId="0" fillId="0" borderId="15" xfId="0" applyFont="1" applyBorder="1">
      <alignment horizontal="center" vertical="center"/>
    </xf>
    <xf numFmtId="173" fontId="0" fillId="7" borderId="16" xfId="0" applyFont="1" applyFill="1" applyBorder="1" applyNumberFormat="1">
      <alignment horizontal="right" vertical="center"/>
    </xf>
    <xf numFmtId="0" fontId="0" fillId="0" borderId="17" xfId="0" applyFont="1" applyBorder="1">
      <alignment horizontal="left" vertical="center"/>
    </xf>
    <xf numFmtId="173" fontId="0" fillId="7" borderId="16" xfId="0" applyFont="1" applyFill="1" applyBorder="1" applyNumberFormat="1">
      <alignment horizontal="center" vertical="center"/>
    </xf>
    <xf numFmtId="0" fontId="0" fillId="7" borderId="16" xfId="0" applyFont="1" applyFill="1" applyBorder="1">
      <alignment horizontal="center" vertical="center"/>
    </xf>
    <xf numFmtId="172" fontId="0" fillId="0" borderId="16" xfId="0" applyFont="1" applyBorder="1" applyNumberFormat="1">
      <alignment horizontal="center" vertical="center"/>
    </xf>
    <xf numFmtId="172" fontId="0" fillId="0" borderId="18" xfId="0" applyFont="1" applyBorder="1" applyNumberFormat="1">
      <alignment horizontal="center" vertical="center"/>
    </xf>
    <xf numFmtId="0" fontId="0" fillId="0" borderId="17" xfId="0" applyFont="1" applyBorder="1">
      <alignment horizontal="left" vertical="center"/>
    </xf>
    <xf numFmtId="0" fontId="0" fillId="7" borderId="19" xfId="0" applyFont="1" applyFill="1" applyBorder="1">
      <alignment horizontal="center" vertical="center"/>
    </xf>
    <xf numFmtId="0" fontId="0" fillId="0" borderId="20" xfId="0" applyFont="1" applyBorder="1">
      <alignment horizontal="left" vertical="center"/>
    </xf>
    <xf numFmtId="173" fontId="0" fillId="7" borderId="18" xfId="0" applyFont="1" applyFill="1" applyBorder="1" applyNumberFormat="1">
      <alignment horizontal="center" vertical="center"/>
    </xf>
    <xf numFmtId="0" fontId="0" fillId="7" borderId="18" xfId="0" applyFont="1" applyFill="1" applyBorder="1">
      <alignment horizontal="center" vertical="center"/>
    </xf>
    <xf numFmtId="173" fontId="0" fillId="7" borderId="18" xfId="0" applyFont="1" applyFill="1" applyBorder="1" applyNumberFormat="1">
      <alignment horizontal="right" vertical="center"/>
    </xf>
    <xf numFmtId="0" fontId="0" fillId="7" borderId="21" xfId="0" applyFont="1" applyFill="1" applyBorder="1">
      <alignment horizontal="center" vertical="center"/>
    </xf>
    <xf numFmtId="0" fontId="21" fillId="0" borderId="22" xfId="0" applyFont="1" applyBorder="1">
      <alignment horizontal="center" vertical="center"/>
    </xf>
    <xf numFmtId="0" fontId="21" fillId="0" borderId="23" xfId="0" applyFont="1" applyBorder="1">
      <alignment horizontal="center" vertical="center"/>
    </xf>
    <xf numFmtId="0" fontId="21" fillId="0" borderId="24" xfId="0" applyFont="1" applyBorder="1">
      <alignment horizontal="center" vertical="center"/>
    </xf>
    <xf numFmtId="0" fontId="0" fillId="0" borderId="12" xfId="0" applyFont="1" applyBorder="1">
      <alignment horizontal="right" vertical="center"/>
    </xf>
    <xf numFmtId="0" fontId="0" fillId="0" borderId="25" xfId="0" applyFont="1" applyBorder="1">
      <alignment horizontal="right" vertical="center"/>
    </xf>
    <xf numFmtId="2" fontId="19" fillId="0" borderId="12" xfId="47" applyFont="1" applyBorder="1" applyNumberFormat="1">
      <alignment horizontal="left" vertical="center"/>
    </xf>
    <xf numFmtId="0" fontId="0" fillId="0" borderId="12" xfId="0" applyFont="1" applyBorder="1">
      <alignment horizontal="left" vertical="center"/>
    </xf>
    <xf numFmtId="0" fontId="22" fillId="0" borderId="0" xfId="0" applyFont="1">
      <alignment horizontal="right" vertical="center"/>
    </xf>
    <xf numFmtId="0" fontId="0" fillId="0" borderId="0" xfId="0" applyFont="1">
      <alignment horizontal="left" vertical="center"/>
    </xf>
    <xf numFmtId="0" fontId="22" fillId="0" borderId="0" xfId="0" applyFont="1">
      <alignment horizontal="right" vertical="center"/>
    </xf>
    <xf numFmtId="0" fontId="16" fillId="0" borderId="0" xfId="0" applyFont="1">
      <alignment horizontal="left" vertical="center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22" xfId="0" applyFont="1" applyBorder="1">
      <alignment horizontal="center" vertical="center" wrapText="1"/>
    </xf>
    <xf numFmtId="0" fontId="21" fillId="0" borderId="23" xfId="0" applyFont="1" applyBorder="1">
      <alignment horizontal="center" vertical="center" wrapText="1"/>
    </xf>
    <xf numFmtId="0" fontId="21" fillId="0" borderId="24" xfId="0" applyFont="1" applyBorder="1">
      <alignment horizontal="center" vertical="center" wrapText="1"/>
    </xf>
    <xf numFmtId="0" fontId="0" fillId="0" borderId="10" xfId="0" applyFont="1" applyBorder="1">
      <alignment vertical="center" wrapText="1"/>
    </xf>
    <xf numFmtId="2" fontId="19" fillId="0" borderId="11" xfId="0" applyFont="1" applyBorder="1" applyNumberFormat="1">
      <alignment horizontal="right" vertical="center" wrapText="1"/>
    </xf>
    <xf numFmtId="2" fontId="19" fillId="0" borderId="12" xfId="0" applyFont="1" applyBorder="1" applyNumberFormat="1">
      <alignment horizontal="left" vertical="center" wrapText="1"/>
    </xf>
    <xf numFmtId="0" fontId="0" fillId="0" borderId="12" xfId="0" applyFont="1" applyBorder="1">
      <alignment horizontal="left" vertical="center" wrapText="1"/>
    </xf>
    <xf numFmtId="2" fontId="19" fillId="0" borderId="12" xfId="0" applyFont="1" applyBorder="1" applyNumberFormat="1">
      <alignment vertical="center" wrapText="1"/>
    </xf>
    <xf numFmtId="0" fontId="0" fillId="0" borderId="12" xfId="0" applyFont="1" applyBorder="1">
      <alignment horizontal="right" vertical="center" wrapText="1"/>
    </xf>
    <xf numFmtId="0" fontId="0" fillId="0" borderId="25" xfId="0" applyFont="1" applyBorder="1">
      <alignment horizontal="right" vertical="center" wrapText="1"/>
    </xf>
    <xf numFmtId="0" fontId="0" fillId="0" borderId="13" xfId="0" applyFont="1" applyBorder="1">
      <alignment horizontal="center" vertical="center" wrapText="1"/>
    </xf>
    <xf numFmtId="0" fontId="0" fillId="0" borderId="14" xfId="0" applyFont="1" applyBorder="1">
      <alignment horizontal="center" vertical="center" wrapText="1"/>
    </xf>
    <xf numFmtId="0" fontId="0" fillId="0" borderId="15" xfId="0" applyFont="1" applyBorder="1">
      <alignment horizontal="center" vertical="center" wrapText="1"/>
    </xf>
    <xf numFmtId="0" fontId="0" fillId="0" borderId="17" xfId="0" applyFont="1" applyBorder="1">
      <alignment horizontal="left" vertical="center" wrapText="1"/>
    </xf>
    <xf numFmtId="172" fontId="0" fillId="0" borderId="16" xfId="0" applyFont="1" applyBorder="1" applyNumberFormat="1">
      <alignment horizontal="center" vertical="center" wrapText="1"/>
    </xf>
    <xf numFmtId="173" fontId="0" fillId="7" borderId="16" xfId="0" applyFont="1" applyFill="1" applyBorder="1" applyNumberFormat="1">
      <alignment horizontal="center" vertical="center" wrapText="1"/>
      <protection locked="0"/>
    </xf>
    <xf numFmtId="0" fontId="0" fillId="7" borderId="16" xfId="0" applyFont="1" applyFill="1" applyBorder="1">
      <alignment horizontal="center" vertical="center" wrapText="1"/>
      <protection locked="0"/>
    </xf>
    <xf numFmtId="173" fontId="0" fillId="7" borderId="16" xfId="0" applyFont="1" applyFill="1" applyBorder="1" applyNumberFormat="1">
      <alignment horizontal="right" vertical="center" wrapText="1"/>
    </xf>
    <xf numFmtId="0" fontId="0" fillId="7" borderId="19" xfId="0" applyFont="1" applyFill="1" applyBorder="1">
      <alignment horizontal="center" vertical="center" wrapText="1"/>
      <protection locked="0"/>
    </xf>
    <xf numFmtId="0" fontId="0" fillId="0" borderId="17" xfId="0" applyFont="1" applyBorder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20" xfId="0" applyFont="1" applyBorder="1">
      <alignment horizontal="left" vertical="center" wrapText="1"/>
    </xf>
    <xf numFmtId="172" fontId="0" fillId="0" borderId="18" xfId="0" applyFont="1" applyBorder="1" applyNumberFormat="1">
      <alignment horizontal="center" vertical="center" wrapText="1"/>
    </xf>
    <xf numFmtId="173" fontId="0" fillId="7" borderId="18" xfId="0" applyFont="1" applyFill="1" applyBorder="1" applyNumberFormat="1">
      <alignment horizontal="center" vertical="center" wrapText="1"/>
      <protection locked="0"/>
    </xf>
    <xf numFmtId="0" fontId="0" fillId="7" borderId="18" xfId="0" applyFont="1" applyFill="1" applyBorder="1">
      <alignment horizontal="center" vertical="center" wrapText="1"/>
      <protection locked="0"/>
    </xf>
    <xf numFmtId="173" fontId="0" fillId="7" borderId="18" xfId="0" applyFont="1" applyFill="1" applyBorder="1" applyNumberFormat="1">
      <alignment horizontal="right" vertical="center" wrapText="1"/>
    </xf>
    <xf numFmtId="0" fontId="0" fillId="7" borderId="21" xfId="0" applyFont="1" applyFill="1" applyBorder="1">
      <alignment horizontal="center" vertical="center" wrapText="1"/>
      <protection locked="0"/>
    </xf>
    <xf numFmtId="0" fontId="22" fillId="0" borderId="0" xfId="0" applyFont="1">
      <alignment horizontal="right" vertical="center" wrapText="1"/>
    </xf>
    <xf numFmtId="0" fontId="16" fillId="0" borderId="0" xfId="0" applyFont="1">
      <alignment horizontal="left" vertical="center" wrapText="1"/>
      <protection locked="0"/>
    </xf>
    <xf numFmtId="0" fontId="22" fillId="0" borderId="0" xfId="0" applyFont="1">
      <alignment horizontal="right" vertical="center" wrapText="1"/>
    </xf>
    <xf numFmtId="0" fontId="0" fillId="0" borderId="0" xfId="0" applyFont="1">
      <alignment horizontal="left" vertical="center" wrapText="1"/>
      <protection locked="0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171" fontId="0" fillId="0" borderId="0" xfId="0" applyFont="1" applyNumberFormat="1">
      <alignment wrapText="1"/>
    </xf>
    <xf numFmtId="172" fontId="0" fillId="0" borderId="0" xfId="0" applyFont="1" applyNumberFormat="1">
      <alignment wrapText="1"/>
    </xf>
    <xf numFmtId="0" fontId="0" fillId="0" borderId="0" xfId="0" applyFont="1">
      <alignment wrapText="1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9BCB28-DC88-B028-8CD7-77091A8BBE91}" mc:Ignorable="x14ac xr xr2 xr3">
  <dimension ref="A1:M21"/>
  <sheetViews>
    <sheetView defaultGridColor="0" colorId="31" topLeftCell="A1" showGridLines="0" workbookViewId="0" tabSelected="1">
      <selection activeCell="A1" sqref="A1"/>
    </sheetView>
  </sheetViews>
  <sheetFormatPr customHeight="1" defaultRowHeight="13.7025"/>
  <cols>
    <col min="1" max="1" style="117" width="2.7109375" customWidth="1"/>
    <col min="2" max="2" style="118" width="39.421875" customWidth="1"/>
    <col min="3" max="3" style="119" width="17.28125" customWidth="1"/>
    <col min="4" max="4" style="120" width="12.7109375" customWidth="1"/>
    <col min="5" max="5" style="121" width="12.7109375" customWidth="1"/>
    <col min="6" max="6" style="122" width="12.7109375" customWidth="1"/>
    <col min="7" max="7" style="123" width="12.7109375" customWidth="1"/>
    <col min="8" max="8" style="124" width="18.7109375" customWidth="1"/>
    <col min="9" max="9" style="125" width="14.7109375" customWidth="1"/>
    <col min="10" max="10" style="126" width="42.7109375" customWidth="1"/>
  </cols>
  <sheetData>
    <row customHeight="1" ht="2.25">
      <c r="A1" s="81"/>
      <c r="B1" s="81"/>
      <c r="C1" s="81"/>
      <c r="D1" s="81"/>
      <c r="E1" s="81"/>
      <c r="F1" s="81"/>
      <c r="G1" s="81"/>
      <c r="H1" s="81"/>
      <c r="I1" s="81"/>
      <c r="J1" s="81"/>
      <c r="K1" s="82"/>
      <c r="L1" s="82"/>
      <c r="M1" s="82"/>
    </row>
    <row customHeight="1" ht="22.5">
      <c r="A2" s="81"/>
      <c r="B2" s="83" t="s">
        <v>0</v>
      </c>
      <c r="C2" s="84"/>
      <c r="D2" s="84"/>
      <c r="E2" s="84"/>
      <c r="F2" s="84"/>
      <c r="G2" s="84"/>
      <c r="H2" s="84"/>
      <c r="I2" s="84"/>
      <c r="J2" s="85"/>
      <c r="K2" s="82"/>
      <c r="L2" s="82"/>
      <c r="M2" s="82"/>
    </row>
    <row customHeight="1" ht="14.25">
      <c r="A3" s="81"/>
      <c r="B3" s="86" t="s">
        <v>1</v>
      </c>
      <c r="C3" s="87" t="s">
        <v>2</v>
      </c>
      <c r="D3" s="88" t="s">
        <v>3</v>
      </c>
      <c r="E3" s="89"/>
      <c r="F3" s="87"/>
      <c r="G3" s="90"/>
      <c r="H3" s="90"/>
      <c r="I3" s="91" t="str">
        <f>取值!A2&amp;取值!B2&amp;取值!C2</f>
        <v>报表生成时间：2026-01-01 8:00:00</v>
      </c>
      <c r="J3" s="92"/>
      <c r="K3" s="82"/>
      <c r="L3" s="82"/>
      <c r="M3" s="82"/>
    </row>
    <row customHeight="1" ht="15">
      <c r="A4" s="81"/>
      <c r="B4" s="93" t="s">
        <v>4</v>
      </c>
      <c r="C4" s="94" t="s">
        <v>5</v>
      </c>
      <c r="D4" s="94" t="s">
        <v>6</v>
      </c>
      <c r="E4" s="94" t="s">
        <v>7</v>
      </c>
      <c r="F4" s="94" t="s">
        <v>8</v>
      </c>
      <c r="G4" s="94" t="s">
        <v>9</v>
      </c>
      <c r="H4" s="94" t="s">
        <v>10</v>
      </c>
      <c r="I4" s="94" t="s">
        <v>11</v>
      </c>
      <c r="J4" s="95" t="s">
        <v>12</v>
      </c>
      <c r="K4" s="82"/>
      <c r="L4" s="82"/>
      <c r="M4" s="82"/>
    </row>
    <row customHeight="1" ht="15">
      <c r="A5" s="81"/>
      <c r="B5" s="96" t="s">
        <v>13</v>
      </c>
      <c r="C5" s="97" t="str">
        <f>取值!A5</f>
        <v>2025-12</v>
      </c>
      <c r="D5" s="98"/>
      <c r="E5" s="99"/>
      <c r="F5" s="99"/>
      <c r="G5" s="98">
        <v>31</v>
      </c>
      <c r="H5" s="100">
        <f>SUM(G5,取值!H5)</f>
        <v>365</v>
      </c>
      <c r="I5" s="98"/>
      <c r="J5" s="101"/>
      <c r="K5" s="82"/>
      <c r="L5" s="82"/>
      <c r="M5" s="82"/>
    </row>
    <row customHeight="1" ht="15">
      <c r="A6" s="81"/>
      <c r="B6" s="96" t="s">
        <v>14</v>
      </c>
      <c r="C6" s="97" t="str">
        <f>取值!A5</f>
        <v>2025-12</v>
      </c>
      <c r="D6" s="98"/>
      <c r="E6" s="99"/>
      <c r="F6" s="99"/>
      <c r="G6" s="98">
        <v>31</v>
      </c>
      <c r="H6" s="100">
        <f>SUM(G6,取值!H6)</f>
        <v>363</v>
      </c>
      <c r="I6" s="98"/>
      <c r="J6" s="101"/>
      <c r="K6" s="82"/>
      <c r="L6" s="82"/>
      <c r="M6" s="82"/>
    </row>
    <row customHeight="1" ht="15">
      <c r="A7" s="81"/>
      <c r="B7" s="96" t="s">
        <v>15</v>
      </c>
      <c r="C7" s="97" t="str">
        <f>取值!A5</f>
        <v>2025-12</v>
      </c>
      <c r="D7" s="98"/>
      <c r="E7" s="99"/>
      <c r="F7" s="99"/>
      <c r="G7" s="98">
        <v>31</v>
      </c>
      <c r="H7" s="100">
        <f>SUM(G7,取值!H7)</f>
        <v>363</v>
      </c>
      <c r="I7" s="98"/>
      <c r="J7" s="101"/>
      <c r="K7" s="82"/>
      <c r="L7" s="82"/>
      <c r="M7" s="82"/>
    </row>
    <row customHeight="1" ht="15">
      <c r="A8" s="81"/>
      <c r="B8" s="102" t="s">
        <v>16</v>
      </c>
      <c r="C8" s="97" t="str">
        <f>取值!A5</f>
        <v>2025-12</v>
      </c>
      <c r="D8" s="98"/>
      <c r="E8" s="99"/>
      <c r="F8" s="99"/>
      <c r="G8" s="98">
        <v>31</v>
      </c>
      <c r="H8" s="100">
        <f>SUM(G8,取值!H9)</f>
        <v>365</v>
      </c>
      <c r="I8" s="98"/>
      <c r="J8" s="101"/>
      <c r="K8" s="82"/>
      <c r="L8" s="82"/>
      <c r="M8" s="82"/>
    </row>
    <row customHeight="1" ht="15">
      <c r="A9" s="81"/>
      <c r="B9" s="102" t="s">
        <v>17</v>
      </c>
      <c r="C9" s="97" t="str">
        <f>取值!A5</f>
        <v>2025-12</v>
      </c>
      <c r="D9" s="98"/>
      <c r="E9" s="99"/>
      <c r="F9" s="99"/>
      <c r="G9" s="98">
        <v>31</v>
      </c>
      <c r="H9" s="100">
        <f>SUM(G9,取值!H10)</f>
        <v>359</v>
      </c>
      <c r="I9" s="98"/>
      <c r="J9" s="101"/>
      <c r="K9" s="82"/>
      <c r="L9" s="82"/>
      <c r="M9" s="82"/>
    </row>
    <row customHeight="1" ht="15">
      <c r="A10" s="81"/>
      <c r="B10" s="102" t="s">
        <v>18</v>
      </c>
      <c r="C10" s="97" t="str">
        <f>取值!A5</f>
        <v>2025-12</v>
      </c>
      <c r="D10" s="98"/>
      <c r="E10" s="99"/>
      <c r="F10" s="99"/>
      <c r="G10" s="98">
        <v>31</v>
      </c>
      <c r="H10" s="100">
        <f>SUM(G10,取值!H11)</f>
        <v>365</v>
      </c>
      <c r="I10" s="98"/>
      <c r="J10" s="101"/>
      <c r="K10" s="82"/>
      <c r="L10" s="82"/>
      <c r="M10" s="82"/>
    </row>
    <row customHeight="1" ht="15">
      <c r="A11" s="81"/>
      <c r="B11" s="102" t="s">
        <v>19</v>
      </c>
      <c r="C11" s="97" t="str">
        <f>取值!A5</f>
        <v>2025-12</v>
      </c>
      <c r="D11" s="98"/>
      <c r="E11" s="99"/>
      <c r="F11" s="99"/>
      <c r="G11" s="98">
        <v>31</v>
      </c>
      <c r="H11" s="100">
        <f>SUM(G11,取值!H15)</f>
        <v>365</v>
      </c>
      <c r="I11" s="98"/>
      <c r="J11" s="101"/>
      <c r="K11" s="82"/>
      <c r="L11" s="82"/>
      <c r="M11" s="82"/>
    </row>
    <row customHeight="1" ht="15">
      <c r="A12" s="81"/>
      <c r="B12" s="102" t="s">
        <v>20</v>
      </c>
      <c r="C12" s="97" t="str">
        <f>取值!A5</f>
        <v>2025-12</v>
      </c>
      <c r="D12" s="98"/>
      <c r="E12" s="99"/>
      <c r="F12" s="99"/>
      <c r="G12" s="98">
        <v>31</v>
      </c>
      <c r="H12" s="100">
        <f>SUM(G12,取值!H16)</f>
        <v>365</v>
      </c>
      <c r="I12" s="98"/>
      <c r="J12" s="101"/>
      <c r="K12" s="82"/>
      <c r="L12" s="82"/>
      <c r="M12" s="82"/>
    </row>
    <row customHeight="1" ht="15">
      <c r="A13" s="81"/>
      <c r="B13" s="102" t="s">
        <v>21</v>
      </c>
      <c r="C13" s="97" t="str">
        <f>取值!A5</f>
        <v>2025-12</v>
      </c>
      <c r="D13" s="98"/>
      <c r="E13" s="99"/>
      <c r="F13" s="99"/>
      <c r="G13" s="98">
        <v>0</v>
      </c>
      <c r="H13" s="100">
        <f>SUM(G13,取值!H17)</f>
        <v>0</v>
      </c>
      <c r="I13" s="98"/>
      <c r="J13" s="101"/>
      <c r="K13" s="82"/>
      <c r="L13" s="82"/>
      <c r="M13" s="82"/>
    </row>
    <row s="103" customFormat="1" customHeight="1" ht="15">
      <c r="A14" s="81"/>
      <c r="B14" s="102" t="s">
        <v>22</v>
      </c>
      <c r="C14" s="97" t="str">
        <f>取值!A5</f>
        <v>2025-12</v>
      </c>
      <c r="D14" s="98"/>
      <c r="E14" s="99"/>
      <c r="F14" s="99"/>
      <c r="G14" s="98">
        <v>31</v>
      </c>
      <c r="H14" s="100">
        <f>SUM(G14,取值!H8)</f>
        <v>365</v>
      </c>
      <c r="I14" s="98"/>
      <c r="J14" s="101"/>
      <c r="K14" s="81"/>
      <c r="L14" s="81"/>
      <c r="M14" s="81"/>
    </row>
    <row s="104" customFormat="1" customHeight="1" ht="15">
      <c r="A15" s="81"/>
      <c r="B15" s="102" t="s">
        <v>23</v>
      </c>
      <c r="C15" s="97" t="str">
        <f>取值!A5</f>
        <v>2025-12</v>
      </c>
      <c r="D15" s="98"/>
      <c r="E15" s="99"/>
      <c r="F15" s="99"/>
      <c r="G15" s="98">
        <v>31</v>
      </c>
      <c r="H15" s="100">
        <f>SUM(G15,取值!H12)</f>
        <v>365</v>
      </c>
      <c r="I15" s="98"/>
      <c r="J15" s="101"/>
      <c r="K15" s="81"/>
      <c r="L15" s="81"/>
      <c r="M15" s="81"/>
    </row>
    <row s="105" customFormat="1" customHeight="1" ht="15">
      <c r="A16" s="81"/>
      <c r="B16" s="102" t="s">
        <v>24</v>
      </c>
      <c r="C16" s="97" t="str">
        <f>取值!A5</f>
        <v>2025-12</v>
      </c>
      <c r="D16" s="98"/>
      <c r="E16" s="99"/>
      <c r="F16" s="99"/>
      <c r="G16" s="98">
        <v>31</v>
      </c>
      <c r="H16" s="100">
        <f>SUM(G16,取值!H13)</f>
        <v>365</v>
      </c>
      <c r="I16" s="98"/>
      <c r="J16" s="101"/>
      <c r="K16" s="81"/>
      <c r="L16" s="81"/>
      <c r="M16" s="81"/>
    </row>
    <row s="106" customFormat="1" customHeight="1" ht="15">
      <c r="A17" s="81"/>
      <c r="B17" s="102" t="s">
        <v>25</v>
      </c>
      <c r="C17" s="97" t="str">
        <f>取值!A5</f>
        <v>2025-12</v>
      </c>
      <c r="D17" s="98"/>
      <c r="E17" s="99"/>
      <c r="F17" s="99"/>
      <c r="G17" s="98">
        <v>31</v>
      </c>
      <c r="H17" s="100">
        <f>SUM(G17,取值!H14)</f>
        <v>365</v>
      </c>
      <c r="I17" s="98"/>
      <c r="J17" s="101"/>
      <c r="K17" s="81"/>
      <c r="L17" s="81"/>
      <c r="M17" s="81"/>
    </row>
    <row customHeight="1" ht="15">
      <c r="A18" s="81"/>
      <c r="B18" s="102" t="s">
        <v>26</v>
      </c>
      <c r="C18" s="97" t="str">
        <f>取值!A5</f>
        <v>2025-12</v>
      </c>
      <c r="D18" s="98"/>
      <c r="E18" s="99"/>
      <c r="F18" s="99"/>
      <c r="G18" s="98">
        <v>31</v>
      </c>
      <c r="H18" s="100">
        <f>SUM(G18,取值!H18)</f>
        <v>365</v>
      </c>
      <c r="I18" s="98"/>
      <c r="J18" s="101"/>
      <c r="K18" s="82"/>
      <c r="L18" s="82"/>
      <c r="M18" s="82"/>
    </row>
    <row customHeight="1" ht="15">
      <c r="A19" s="81"/>
      <c r="B19" s="96" t="s">
        <v>27</v>
      </c>
      <c r="C19" s="97" t="str">
        <f>取值!A5</f>
        <v>2025-12</v>
      </c>
      <c r="D19" s="98"/>
      <c r="E19" s="99"/>
      <c r="F19" s="99"/>
      <c r="G19" s="98">
        <v>31</v>
      </c>
      <c r="H19" s="100">
        <f>SUM(G19,取值!H19)</f>
        <v>326</v>
      </c>
      <c r="I19" s="98"/>
      <c r="J19" s="101"/>
      <c r="K19" s="82"/>
      <c r="L19" s="82"/>
      <c r="M19" s="82"/>
    </row>
    <row customHeight="1" ht="15">
      <c r="A20" s="81"/>
      <c r="B20" s="107" t="s">
        <v>28</v>
      </c>
      <c r="C20" s="108" t="str">
        <f>取值!A5</f>
        <v>2025-12</v>
      </c>
      <c r="D20" s="109"/>
      <c r="E20" s="110"/>
      <c r="F20" s="110"/>
      <c r="G20" s="109">
        <v>31</v>
      </c>
      <c r="H20" s="111">
        <f>SUM(G20,取值!H20)</f>
        <v>324</v>
      </c>
      <c r="I20" s="109"/>
      <c r="J20" s="112"/>
      <c r="K20" s="82"/>
      <c r="L20" s="82"/>
      <c r="M20" s="82"/>
    </row>
    <row customHeight="1" ht="13.5">
      <c r="A21" s="81"/>
      <c r="B21" s="113" t="s">
        <v>29</v>
      </c>
      <c r="C21" s="114" t="s">
        <v>30</v>
      </c>
      <c r="D21" s="81"/>
      <c r="E21" s="81"/>
      <c r="F21" s="115" t="s">
        <v>31</v>
      </c>
      <c r="G21" s="115"/>
      <c r="H21" s="114" t="s">
        <v>32</v>
      </c>
      <c r="I21" s="113" t="s">
        <v>33</v>
      </c>
      <c r="J21" s="116" t="s">
        <v>34</v>
      </c>
      <c r="K21" s="82"/>
      <c r="L21" s="82"/>
      <c r="M21" s="82"/>
    </row>
  </sheetData>
  <mergeCells count="4">
    <mergeCell ref="B2:J2"/>
    <mergeCell ref="I3:J3"/>
    <mergeCell ref="D3:E3"/>
    <mergeCell ref="F21:G21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B38A543-4678-A181-0D1D-CFA814AE6458}" mc:Ignorable="x14ac xr xr2 xr3">
  <dimension ref="A1:I33"/>
  <sheetViews>
    <sheetView defaultGridColor="0" colorId="31" topLeftCell="A1" workbookViewId="0">
      <selection activeCell="A1" sqref="A1"/>
    </sheetView>
  </sheetViews>
  <sheetFormatPr customHeight="1" defaultRowHeight="13.7025"/>
  <cols>
    <col min="3" max="3" style="130" width="27.421875" customWidth="1"/>
    <col min="7" max="7" style="131" width="64.421875" customWidth="1"/>
  </cols>
  <sheetData>
    <row customHeight="1" ht="13.5">
      <c r="A1" s="82" t="s">
        <v>35</v>
      </c>
      <c r="B1" s="127"/>
      <c r="C1" s="127" t="s">
        <v>36</v>
      </c>
      <c r="D1" s="127"/>
      <c r="E1" s="127" t="s">
        <v>37</v>
      </c>
      <c r="F1" s="127"/>
      <c r="G1" s="127" t="s">
        <v>38</v>
      </c>
      <c r="H1" s="127"/>
      <c r="I1" s="127" t="s">
        <v>39</v>
      </c>
    </row>
    <row customHeight="1" ht="13.5">
      <c r="A2" s="82" t="s">
        <v>40</v>
      </c>
      <c r="B2" s="127" t="s">
        <v>41</v>
      </c>
      <c r="C2" s="127" t="s">
        <v>42</v>
      </c>
      <c r="D2" s="127" t="s">
        <v>43</v>
      </c>
      <c r="E2" s="127" t="s">
        <v>44</v>
      </c>
      <c r="F2" s="127" t="s">
        <v>45</v>
      </c>
      <c r="G2" s="127" t="s">
        <v>46</v>
      </c>
      <c r="H2" s="127" t="s">
        <v>47</v>
      </c>
      <c r="I2" s="127" t="str">
        <f>A2&amp;B2&amp;C2&amp;D2&amp;E2&amp;F2&amp;G2&amp;H2</f>
        <v>#SQL("SH_PO_ByMonth","VALUE",":where{NAME=石化厂_联合一车间_装置运转情况表_120万吨/年重整装置_运转天数}")</v>
      </c>
    </row>
    <row customHeight="1" ht="13.5">
      <c r="A3" s="128" t="s">
        <v>40</v>
      </c>
      <c r="B3" s="127" t="s">
        <v>41</v>
      </c>
      <c r="C3" s="127" t="s">
        <v>42</v>
      </c>
      <c r="D3" s="127" t="s">
        <v>43</v>
      </c>
      <c r="E3" s="127" t="s">
        <v>44</v>
      </c>
      <c r="F3" s="127" t="s">
        <v>45</v>
      </c>
      <c r="G3" s="129" t="s">
        <v>48</v>
      </c>
      <c r="H3" s="127" t="s">
        <v>47</v>
      </c>
      <c r="I3" s="127" t="str">
        <f>A3&amp;B3&amp;C3&amp;D3&amp;E3&amp;F3&amp;G3&amp;H3</f>
        <v>#SQL("SH_PO_ByMonth","VALUE",":where{NAME=石化厂_联合一车间_装置运转情况表_140万吨/年柴油加氢装置_运转天数}")</v>
      </c>
    </row>
    <row customHeight="1" ht="13.5">
      <c r="A4" s="82" t="s">
        <v>40</v>
      </c>
      <c r="B4" s="127" t="s">
        <v>41</v>
      </c>
      <c r="C4" s="127" t="s">
        <v>42</v>
      </c>
      <c r="D4" s="127" t="s">
        <v>43</v>
      </c>
      <c r="E4" s="127" t="s">
        <v>44</v>
      </c>
      <c r="F4" s="127" t="s">
        <v>45</v>
      </c>
      <c r="G4" s="127" t="s">
        <v>49</v>
      </c>
      <c r="H4" s="127" t="s">
        <v>47</v>
      </c>
      <c r="I4" s="127" t="str">
        <f>A4&amp;B4&amp;C4&amp;D4&amp;E4&amp;F4&amp;G4&amp;H4</f>
        <v>#SQL("SH_PO_ByMonth","VALUE",":where{NAME=石化厂_联合一车间_装置运转情况表_20万吨/年苯抽提装置_运转天数}")</v>
      </c>
    </row>
    <row customHeight="1" ht="13.5">
      <c r="A5" s="82" t="s">
        <v>40</v>
      </c>
      <c r="B5" s="127" t="s">
        <v>41</v>
      </c>
      <c r="C5" s="127" t="s">
        <v>42</v>
      </c>
      <c r="D5" s="127" t="s">
        <v>43</v>
      </c>
      <c r="E5" s="127" t="s">
        <v>44</v>
      </c>
      <c r="F5" s="127" t="s">
        <v>45</v>
      </c>
      <c r="G5" s="81" t="s">
        <v>50</v>
      </c>
      <c r="H5" s="127" t="s">
        <v>47</v>
      </c>
      <c r="I5" s="127" t="str">
        <f>A5&amp;B5&amp;C5&amp;D5&amp;E5&amp;F5&amp;G5&amp;H5</f>
        <v>#SQL("SH_PO_ByMonth","VALUE",":where{NAME=石化厂_联合四车间_装置运转情况表_60万吨/年液化气精制装置_运转天数}")</v>
      </c>
    </row>
    <row customHeight="1" ht="13.5">
      <c r="A6" s="82" t="s">
        <v>40</v>
      </c>
      <c r="B6" s="127" t="s">
        <v>41</v>
      </c>
      <c r="C6" s="127" t="s">
        <v>42</v>
      </c>
      <c r="D6" s="127" t="s">
        <v>43</v>
      </c>
      <c r="E6" s="127" t="s">
        <v>44</v>
      </c>
      <c r="F6" s="127" t="s">
        <v>45</v>
      </c>
      <c r="G6" s="127" t="s">
        <v>51</v>
      </c>
      <c r="H6" s="127" t="s">
        <v>47</v>
      </c>
      <c r="I6" s="127" t="str">
        <f>A6&amp;B6&amp;C6&amp;D6&amp;E6&amp;F6&amp;G6&amp;H6</f>
        <v>#SQL("SH_PO_ByMonth","VALUE",":where{NAME=石化厂_联合三车间_装置运转情况表_60万吨/年气体分馏装置_运转天数}")</v>
      </c>
    </row>
    <row customHeight="1" ht="13.5">
      <c r="A7" s="128" t="s">
        <v>40</v>
      </c>
      <c r="B7" s="127" t="s">
        <v>41</v>
      </c>
      <c r="C7" s="127" t="s">
        <v>42</v>
      </c>
      <c r="D7" s="127" t="s">
        <v>43</v>
      </c>
      <c r="E7" s="127" t="s">
        <v>44</v>
      </c>
      <c r="F7" s="127" t="s">
        <v>45</v>
      </c>
      <c r="G7" s="127" t="s">
        <v>52</v>
      </c>
      <c r="H7" s="127" t="s">
        <v>47</v>
      </c>
      <c r="I7" s="127" t="str">
        <f>A7&amp;B7&amp;C7&amp;D7&amp;E7&amp;F7&amp;G7&amp;H7</f>
        <v>#SQL("SH_PO_ByMonth","VALUE",":where{NAME=石化厂_联合三车间_装置运转情况表_20万吨/年聚丙烯装置_运转天数}")</v>
      </c>
    </row>
    <row customHeight="1" ht="13.5">
      <c r="A8" s="82" t="s">
        <v>40</v>
      </c>
      <c r="B8" s="127" t="s">
        <v>41</v>
      </c>
      <c r="C8" s="127" t="s">
        <v>42</v>
      </c>
      <c r="D8" s="127" t="s">
        <v>43</v>
      </c>
      <c r="E8" s="127" t="s">
        <v>44</v>
      </c>
      <c r="F8" s="127" t="s">
        <v>45</v>
      </c>
      <c r="G8" s="127" t="s">
        <v>53</v>
      </c>
      <c r="H8" s="127" t="s">
        <v>47</v>
      </c>
      <c r="I8" s="127" t="str">
        <f>A8&amp;B8&amp;C8&amp;D8&amp;E8&amp;F8&amp;G8&amp;H8</f>
        <v>#SQL("SH_PO_ByMonth","VALUE",":where{NAME=石化厂_联合三车间_装置运转情况表_12万吨/年MTBE装置_运转天数}")</v>
      </c>
    </row>
    <row customHeight="1" ht="13.5">
      <c r="A9" s="82" t="s">
        <v>40</v>
      </c>
      <c r="B9" s="127" t="s">
        <v>41</v>
      </c>
      <c r="C9" s="127" t="s">
        <v>42</v>
      </c>
      <c r="D9" s="127" t="s">
        <v>43</v>
      </c>
      <c r="E9" s="127" t="s">
        <v>44</v>
      </c>
      <c r="F9" s="127" t="s">
        <v>45</v>
      </c>
      <c r="G9" s="127" t="s">
        <v>54</v>
      </c>
      <c r="H9" s="127" t="s">
        <v>47</v>
      </c>
      <c r="I9" s="127" t="str">
        <f>A9&amp;B9&amp;C9&amp;D9&amp;E9&amp;F9&amp;G9&amp;H9</f>
        <v>#SQL("SH_PO_ByMonth","VALUE",":where{NAME=石化厂_联合四车间_装置运转情况表_0.4万吨/年硫磺回收装置_运转天数}")</v>
      </c>
    </row>
    <row customHeight="1" ht="13.5">
      <c r="A10" s="82" t="s">
        <v>40</v>
      </c>
      <c r="B10" s="127" t="s">
        <v>41</v>
      </c>
      <c r="C10" s="127" t="s">
        <v>42</v>
      </c>
      <c r="D10" s="127" t="s">
        <v>43</v>
      </c>
      <c r="E10" s="127" t="s">
        <v>44</v>
      </c>
      <c r="F10" s="127" t="s">
        <v>45</v>
      </c>
      <c r="G10" s="81" t="s">
        <v>55</v>
      </c>
      <c r="H10" s="127" t="s">
        <v>47</v>
      </c>
      <c r="I10" s="127" t="str">
        <f>A10&amp;B10&amp;C10&amp;D10&amp;E10&amp;F10&amp;G10&amp;H10</f>
        <v>#SQL("SH_PO_ByMonth","VALUE",":where{NAME=石化厂_联合四车间_装置运转情况表_2万吨/年硫磺精制装置_运转天数}")</v>
      </c>
    </row>
    <row customHeight="1" ht="13.5">
      <c r="A11" s="82" t="s">
        <v>40</v>
      </c>
      <c r="B11" s="127" t="s">
        <v>41</v>
      </c>
      <c r="C11" s="127" t="s">
        <v>42</v>
      </c>
      <c r="D11" s="127" t="s">
        <v>43</v>
      </c>
      <c r="E11" s="127" t="s">
        <v>44</v>
      </c>
      <c r="F11" s="127" t="s">
        <v>45</v>
      </c>
      <c r="G11" s="81" t="s">
        <v>56</v>
      </c>
      <c r="H11" s="127" t="s">
        <v>47</v>
      </c>
      <c r="I11" s="127" t="str">
        <f>A11&amp;B11&amp;C11&amp;D11&amp;E11&amp;F11&amp;G11&amp;H11</f>
        <v>#SQL("SH_PO_ByMonth","VALUE",":where{NAME=石化厂_轻烃中心_装置运转情况表_0.5万吨/年碱渣处理装置_运转天数}")</v>
      </c>
    </row>
    <row customHeight="1" ht="13.5">
      <c r="A12" s="82" t="s">
        <v>40</v>
      </c>
      <c r="B12" s="127" t="s">
        <v>41</v>
      </c>
      <c r="C12" s="127" t="s">
        <v>42</v>
      </c>
      <c r="D12" s="127" t="s">
        <v>43</v>
      </c>
      <c r="E12" s="127" t="s">
        <v>44</v>
      </c>
      <c r="F12" s="127" t="s">
        <v>45</v>
      </c>
      <c r="G12" s="81" t="s">
        <v>57</v>
      </c>
      <c r="H12" s="127" t="s">
        <v>47</v>
      </c>
      <c r="I12" s="127" t="str">
        <f>A12&amp;B12&amp;C12&amp;D12&amp;E12&amp;F12&amp;G12&amp;H12</f>
        <v>#SQL("SH_PO_ByMonth","VALUE",":where{NAME=石化厂_联合三车间_装置运转情况表_180万吨/年汽油精制装置_运转天数}")</v>
      </c>
    </row>
    <row customHeight="1" ht="13.5">
      <c r="A13" s="82" t="s">
        <v>40</v>
      </c>
      <c r="B13" s="127" t="s">
        <v>41</v>
      </c>
      <c r="C13" s="127" t="s">
        <v>42</v>
      </c>
      <c r="D13" s="127" t="s">
        <v>43</v>
      </c>
      <c r="E13" s="127" t="s">
        <v>44</v>
      </c>
      <c r="F13" s="127" t="s">
        <v>45</v>
      </c>
      <c r="G13" s="81" t="s">
        <v>58</v>
      </c>
      <c r="H13" s="127" t="s">
        <v>47</v>
      </c>
      <c r="I13" s="127" t="str">
        <f>A13&amp;B13&amp;C13&amp;D13&amp;E13&amp;F13&amp;G13&amp;H13</f>
        <v>#SQL("SH_PO_ByMonth","VALUE",":where{NAME=石化厂_联合三车间_装置运转情况表_240万吨/年柴油加氢精制装置_运转天数}")</v>
      </c>
    </row>
    <row customHeight="1" ht="13.5">
      <c r="A14" s="82" t="s">
        <v>40</v>
      </c>
      <c r="B14" s="127" t="s">
        <v>41</v>
      </c>
      <c r="C14" s="127" t="s">
        <v>42</v>
      </c>
      <c r="D14" s="127" t="s">
        <v>43</v>
      </c>
      <c r="E14" s="127" t="s">
        <v>44</v>
      </c>
      <c r="F14" s="127" t="s">
        <v>45</v>
      </c>
      <c r="G14" s="81" t="s">
        <v>59</v>
      </c>
      <c r="H14" s="127" t="s">
        <v>47</v>
      </c>
      <c r="I14" s="127" t="str">
        <f>A14&amp;B14&amp;C14&amp;D14&amp;E14&amp;F14&amp;G14&amp;H14</f>
        <v>#SQL("SH_PO_ByMonth","VALUE",":where{NAME=石化厂_联合三车间_装置运转情况表_2万标立方米/小时制氢装置_运转天数}")</v>
      </c>
    </row>
    <row customHeight="1" ht="13.5">
      <c r="A15" s="82" t="s">
        <v>40</v>
      </c>
      <c r="B15" s="127" t="s">
        <v>41</v>
      </c>
      <c r="C15" s="127" t="s">
        <v>42</v>
      </c>
      <c r="D15" s="127" t="s">
        <v>43</v>
      </c>
      <c r="E15" s="127" t="s">
        <v>44</v>
      </c>
      <c r="F15" s="127" t="s">
        <v>45</v>
      </c>
      <c r="G15" s="81" t="s">
        <v>60</v>
      </c>
      <c r="H15" s="127" t="s">
        <v>47</v>
      </c>
      <c r="I15" s="127" t="str">
        <f>A15&amp;B15&amp;C15&amp;D15&amp;E15&amp;F15&amp;G15&amp;H15</f>
        <v>#SQL("SH_PO_ByMonth","VALUE",":where{NAME=石化厂_轻烃中心_装置运转情况表_20万吨/年烷基化装置_运转天数}")</v>
      </c>
    </row>
    <row customHeight="1" ht="13.5">
      <c r="A16" s="82" t="s">
        <v>40</v>
      </c>
      <c r="B16" s="127" t="s">
        <v>41</v>
      </c>
      <c r="C16" s="127" t="s">
        <v>42</v>
      </c>
      <c r="D16" s="127" t="s">
        <v>43</v>
      </c>
      <c r="E16" s="127" t="s">
        <v>44</v>
      </c>
      <c r="F16" s="127" t="s">
        <v>45</v>
      </c>
      <c r="G16" s="81" t="s">
        <v>61</v>
      </c>
      <c r="H16" s="127" t="s">
        <v>47</v>
      </c>
      <c r="I16" s="127" t="str">
        <f>A16&amp;B16&amp;C16&amp;D16&amp;E16&amp;F16&amp;G16&amp;H16</f>
        <v>#SQL("SH_PO_ByMonth","VALUE",":where{NAME=石化厂_轻烃中心_装置运转情况表_30万吨/年混合脱氢装置_运转天数}")</v>
      </c>
    </row>
    <row customHeight="1" ht="13.5">
      <c r="A17" s="82" t="s">
        <v>40</v>
      </c>
      <c r="B17" s="127" t="s">
        <v>41</v>
      </c>
      <c r="C17" s="127" t="s">
        <v>42</v>
      </c>
      <c r="D17" s="127" t="s">
        <v>43</v>
      </c>
      <c r="E17" s="127" t="s">
        <v>44</v>
      </c>
      <c r="F17" s="127" t="s">
        <v>45</v>
      </c>
      <c r="G17" s="81" t="s">
        <v>62</v>
      </c>
      <c r="H17" s="127" t="s">
        <v>47</v>
      </c>
      <c r="I17" s="127" t="str">
        <f>A17&amp;B17&amp;C17&amp;D17&amp;E17&amp;F17&amp;G17&amp;H17</f>
        <v>#SQL("SH_PO_ByMonth","VALUE",":where{NAME=石化厂_轻烃中心_装置运转情况表_25万吨/年MTBE装置_运转天数}")</v>
      </c>
    </row>
    <row customHeight="1" ht="13.5">
      <c r="A18" s="82" t="s">
        <v>40</v>
      </c>
      <c r="B18" s="127" t="s">
        <v>41</v>
      </c>
      <c r="C18" s="127" t="s">
        <v>63</v>
      </c>
      <c r="D18" s="127" t="s">
        <v>43</v>
      </c>
      <c r="E18" s="127" t="s">
        <v>44</v>
      </c>
      <c r="F18" s="127" t="s">
        <v>45</v>
      </c>
      <c r="G18" s="127" t="s">
        <v>46</v>
      </c>
      <c r="H18" s="127" t="s">
        <v>47</v>
      </c>
      <c r="I18" s="127" t="str">
        <f>A18&amp;B18&amp;C18&amp;D18&amp;E18&amp;F18&amp;G18&amp;H18</f>
        <v>#SQL("SH_PO_YearSum","VALUE",":where{NAME=石化厂_联合一车间_装置运转情况表_120万吨/年重整装置_运转天数}")</v>
      </c>
    </row>
    <row customHeight="1" ht="13.5">
      <c r="A19" s="82" t="s">
        <v>40</v>
      </c>
      <c r="B19" s="127" t="s">
        <v>41</v>
      </c>
      <c r="C19" s="127" t="s">
        <v>63</v>
      </c>
      <c r="D19" s="127" t="s">
        <v>43</v>
      </c>
      <c r="E19" s="127" t="s">
        <v>44</v>
      </c>
      <c r="F19" s="127" t="s">
        <v>45</v>
      </c>
      <c r="G19" s="81" t="s">
        <v>48</v>
      </c>
      <c r="H19" s="127" t="s">
        <v>47</v>
      </c>
      <c r="I19" s="127" t="str">
        <f>A19&amp;B19&amp;C19&amp;D19&amp;E19&amp;F19&amp;G19&amp;H19</f>
        <v>#SQL("SH_PO_YearSum","VALUE",":where{NAME=石化厂_联合一车间_装置运转情况表_140万吨/年柴油加氢装置_运转天数}")</v>
      </c>
    </row>
    <row customHeight="1" ht="13.5">
      <c r="A20" s="82" t="s">
        <v>40</v>
      </c>
      <c r="B20" s="127" t="s">
        <v>41</v>
      </c>
      <c r="C20" s="127" t="s">
        <v>63</v>
      </c>
      <c r="D20" s="127" t="s">
        <v>43</v>
      </c>
      <c r="E20" s="127" t="s">
        <v>44</v>
      </c>
      <c r="F20" s="127" t="s">
        <v>45</v>
      </c>
      <c r="G20" s="127" t="s">
        <v>49</v>
      </c>
      <c r="H20" s="127" t="s">
        <v>47</v>
      </c>
      <c r="I20" s="127" t="str">
        <f>A20&amp;B20&amp;C20&amp;D20&amp;E20&amp;F20&amp;G20&amp;H20</f>
        <v>#SQL("SH_PO_YearSum","VALUE",":where{NAME=石化厂_联合一车间_装置运转情况表_20万吨/年苯抽提装置_运转天数}")</v>
      </c>
    </row>
    <row customHeight="1" ht="13.5">
      <c r="A21" s="82" t="s">
        <v>40</v>
      </c>
      <c r="B21" s="127" t="s">
        <v>41</v>
      </c>
      <c r="C21" s="127" t="s">
        <v>63</v>
      </c>
      <c r="D21" s="127" t="s">
        <v>43</v>
      </c>
      <c r="E21" s="127" t="s">
        <v>44</v>
      </c>
      <c r="F21" s="127" t="s">
        <v>45</v>
      </c>
      <c r="G21" s="81" t="s">
        <v>50</v>
      </c>
      <c r="H21" s="127" t="s">
        <v>47</v>
      </c>
      <c r="I21" s="127" t="str">
        <f>A21&amp;B21&amp;C21&amp;D21&amp;E21&amp;F21&amp;G21&amp;H21</f>
        <v>#SQL("SH_PO_YearSum","VALUE",":where{NAME=石化厂_联合四车间_装置运转情况表_60万吨/年液化气精制装置_运转天数}")</v>
      </c>
    </row>
    <row customHeight="1" ht="13.5">
      <c r="A22" s="82" t="s">
        <v>40</v>
      </c>
      <c r="B22" s="127" t="s">
        <v>41</v>
      </c>
      <c r="C22" s="127" t="s">
        <v>63</v>
      </c>
      <c r="D22" s="127" t="s">
        <v>43</v>
      </c>
      <c r="E22" s="127" t="s">
        <v>44</v>
      </c>
      <c r="F22" s="127" t="s">
        <v>45</v>
      </c>
      <c r="G22" s="127" t="s">
        <v>51</v>
      </c>
      <c r="H22" s="127" t="s">
        <v>47</v>
      </c>
      <c r="I22" s="127" t="str">
        <f>A22&amp;B22&amp;C22&amp;D22&amp;E22&amp;F22&amp;G22&amp;H22</f>
        <v>#SQL("SH_PO_YearSum","VALUE",":where{NAME=石化厂_联合三车间_装置运转情况表_60万吨/年气体分馏装置_运转天数}")</v>
      </c>
    </row>
    <row customHeight="1" ht="13.5">
      <c r="A23" s="82" t="s">
        <v>40</v>
      </c>
      <c r="B23" s="127" t="s">
        <v>41</v>
      </c>
      <c r="C23" s="127" t="s">
        <v>63</v>
      </c>
      <c r="D23" s="127" t="s">
        <v>43</v>
      </c>
      <c r="E23" s="127" t="s">
        <v>44</v>
      </c>
      <c r="F23" s="127" t="s">
        <v>45</v>
      </c>
      <c r="G23" s="127" t="s">
        <v>52</v>
      </c>
      <c r="H23" s="127" t="s">
        <v>47</v>
      </c>
      <c r="I23" s="127" t="str">
        <f>A23&amp;B23&amp;C23&amp;D23&amp;E23&amp;F23&amp;G23&amp;H23</f>
        <v>#SQL("SH_PO_YearSum","VALUE",":where{NAME=石化厂_联合三车间_装置运转情况表_20万吨/年聚丙烯装置_运转天数}")</v>
      </c>
    </row>
    <row customHeight="1" ht="13.5">
      <c r="A24" s="82" t="s">
        <v>40</v>
      </c>
      <c r="B24" s="127" t="s">
        <v>41</v>
      </c>
      <c r="C24" s="127" t="s">
        <v>63</v>
      </c>
      <c r="D24" s="127" t="s">
        <v>43</v>
      </c>
      <c r="E24" s="127" t="s">
        <v>44</v>
      </c>
      <c r="F24" s="127" t="s">
        <v>45</v>
      </c>
      <c r="G24" s="127" t="s">
        <v>53</v>
      </c>
      <c r="H24" s="127" t="s">
        <v>47</v>
      </c>
      <c r="I24" s="127" t="str">
        <f>A24&amp;B24&amp;C24&amp;D24&amp;E24&amp;F24&amp;G24&amp;H24</f>
        <v>#SQL("SH_PO_YearSum","VALUE",":where{NAME=石化厂_联合三车间_装置运转情况表_12万吨/年MTBE装置_运转天数}")</v>
      </c>
    </row>
    <row customHeight="1" ht="13.5">
      <c r="A25" s="82" t="s">
        <v>40</v>
      </c>
      <c r="B25" s="127" t="s">
        <v>41</v>
      </c>
      <c r="C25" s="127" t="s">
        <v>63</v>
      </c>
      <c r="D25" s="127" t="s">
        <v>43</v>
      </c>
      <c r="E25" s="127" t="s">
        <v>44</v>
      </c>
      <c r="F25" s="127" t="s">
        <v>45</v>
      </c>
      <c r="G25" s="127" t="s">
        <v>54</v>
      </c>
      <c r="H25" s="127" t="s">
        <v>47</v>
      </c>
      <c r="I25" s="127" t="str">
        <f>A25&amp;B25&amp;C25&amp;D25&amp;E25&amp;F25&amp;G25&amp;H25</f>
        <v>#SQL("SH_PO_YearSum","VALUE",":where{NAME=石化厂_联合四车间_装置运转情况表_0.4万吨/年硫磺回收装置_运转天数}")</v>
      </c>
    </row>
    <row customHeight="1" ht="13.5">
      <c r="A26" s="82" t="s">
        <v>40</v>
      </c>
      <c r="B26" s="127" t="s">
        <v>41</v>
      </c>
      <c r="C26" s="127" t="s">
        <v>63</v>
      </c>
      <c r="D26" s="127" t="s">
        <v>43</v>
      </c>
      <c r="E26" s="127" t="s">
        <v>44</v>
      </c>
      <c r="F26" s="127" t="s">
        <v>45</v>
      </c>
      <c r="G26" s="81" t="s">
        <v>55</v>
      </c>
      <c r="H26" s="127" t="s">
        <v>47</v>
      </c>
      <c r="I26" s="127" t="str">
        <f>A26&amp;B26&amp;C26&amp;D26&amp;E26&amp;F26&amp;G26&amp;H26</f>
        <v>#SQL("SH_PO_YearSum","VALUE",":where{NAME=石化厂_联合四车间_装置运转情况表_2万吨/年硫磺精制装置_运转天数}")</v>
      </c>
    </row>
    <row customHeight="1" ht="13.5">
      <c r="A27" s="82" t="s">
        <v>40</v>
      </c>
      <c r="B27" s="127" t="s">
        <v>41</v>
      </c>
      <c r="C27" s="127" t="s">
        <v>63</v>
      </c>
      <c r="D27" s="127" t="s">
        <v>43</v>
      </c>
      <c r="E27" s="127" t="s">
        <v>44</v>
      </c>
      <c r="F27" s="127" t="s">
        <v>45</v>
      </c>
      <c r="G27" s="81" t="s">
        <v>56</v>
      </c>
      <c r="H27" s="127" t="s">
        <v>47</v>
      </c>
      <c r="I27" s="127" t="str">
        <f>A27&amp;B27&amp;C27&amp;D27&amp;E27&amp;F27&amp;G27&amp;H27</f>
        <v>#SQL("SH_PO_YearSum","VALUE",":where{NAME=石化厂_轻烃中心_装置运转情况表_0.5万吨/年碱渣处理装置_运转天数}")</v>
      </c>
    </row>
    <row customHeight="1" ht="13.5">
      <c r="A28" s="82" t="s">
        <v>40</v>
      </c>
      <c r="B28" s="127" t="s">
        <v>41</v>
      </c>
      <c r="C28" s="127" t="s">
        <v>63</v>
      </c>
      <c r="D28" s="127" t="s">
        <v>43</v>
      </c>
      <c r="E28" s="127" t="s">
        <v>44</v>
      </c>
      <c r="F28" s="127" t="s">
        <v>45</v>
      </c>
      <c r="G28" s="81" t="s">
        <v>57</v>
      </c>
      <c r="H28" s="127" t="s">
        <v>47</v>
      </c>
      <c r="I28" s="127" t="str">
        <f>A28&amp;B28&amp;C28&amp;D28&amp;E28&amp;F28&amp;G28&amp;H28</f>
        <v>#SQL("SH_PO_YearSum","VALUE",":where{NAME=石化厂_联合三车间_装置运转情况表_180万吨/年汽油精制装置_运转天数}")</v>
      </c>
    </row>
    <row customHeight="1" ht="13.5">
      <c r="A29" s="82" t="s">
        <v>40</v>
      </c>
      <c r="B29" s="127" t="s">
        <v>41</v>
      </c>
      <c r="C29" s="127" t="s">
        <v>63</v>
      </c>
      <c r="D29" s="127" t="s">
        <v>43</v>
      </c>
      <c r="E29" s="127" t="s">
        <v>44</v>
      </c>
      <c r="F29" s="127" t="s">
        <v>45</v>
      </c>
      <c r="G29" s="81" t="s">
        <v>58</v>
      </c>
      <c r="H29" s="127" t="s">
        <v>47</v>
      </c>
      <c r="I29" s="127" t="str">
        <f>A29&amp;B29&amp;C29&amp;D29&amp;E29&amp;F29&amp;G29&amp;H29</f>
        <v>#SQL("SH_PO_YearSum","VALUE",":where{NAME=石化厂_联合三车间_装置运转情况表_240万吨/年柴油加氢精制装置_运转天数}")</v>
      </c>
    </row>
    <row customHeight="1" ht="13.5">
      <c r="A30" s="82" t="s">
        <v>40</v>
      </c>
      <c r="B30" s="127" t="s">
        <v>41</v>
      </c>
      <c r="C30" s="127" t="s">
        <v>63</v>
      </c>
      <c r="D30" s="127" t="s">
        <v>43</v>
      </c>
      <c r="E30" s="127" t="s">
        <v>44</v>
      </c>
      <c r="F30" s="127" t="s">
        <v>45</v>
      </c>
      <c r="G30" s="81" t="s">
        <v>59</v>
      </c>
      <c r="H30" s="127" t="s">
        <v>47</v>
      </c>
      <c r="I30" s="127" t="str">
        <f>A30&amp;B30&amp;C30&amp;D30&amp;E30&amp;F30&amp;G30&amp;H30</f>
        <v>#SQL("SH_PO_YearSum","VALUE",":where{NAME=石化厂_联合三车间_装置运转情况表_2万标立方米/小时制氢装置_运转天数}")</v>
      </c>
    </row>
    <row customHeight="1" ht="13.5">
      <c r="A31" s="82" t="s">
        <v>40</v>
      </c>
      <c r="B31" s="127" t="s">
        <v>41</v>
      </c>
      <c r="C31" s="127" t="s">
        <v>63</v>
      </c>
      <c r="D31" s="127" t="s">
        <v>43</v>
      </c>
      <c r="E31" s="127" t="s">
        <v>44</v>
      </c>
      <c r="F31" s="127" t="s">
        <v>45</v>
      </c>
      <c r="G31" s="81" t="s">
        <v>60</v>
      </c>
      <c r="H31" s="127" t="s">
        <v>47</v>
      </c>
      <c r="I31" s="127" t="str">
        <f>A31&amp;B31&amp;C31&amp;D31&amp;E31&amp;F31&amp;G31&amp;H31</f>
        <v>#SQL("SH_PO_YearSum","VALUE",":where{NAME=石化厂_轻烃中心_装置运转情况表_20万吨/年烷基化装置_运转天数}")</v>
      </c>
    </row>
    <row customHeight="1" ht="13.5">
      <c r="A32" s="82" t="s">
        <v>40</v>
      </c>
      <c r="B32" s="127" t="s">
        <v>41</v>
      </c>
      <c r="C32" s="127" t="s">
        <v>63</v>
      </c>
      <c r="D32" s="127" t="s">
        <v>43</v>
      </c>
      <c r="E32" s="127" t="s">
        <v>44</v>
      </c>
      <c r="F32" s="127" t="s">
        <v>45</v>
      </c>
      <c r="G32" s="81" t="s">
        <v>61</v>
      </c>
      <c r="H32" s="127" t="s">
        <v>47</v>
      </c>
      <c r="I32" s="127" t="str">
        <f>A32&amp;B32&amp;C32&amp;D32&amp;E32&amp;F32&amp;G32&amp;H32</f>
        <v>#SQL("SH_PO_YearSum","VALUE",":where{NAME=石化厂_轻烃中心_装置运转情况表_30万吨/年混合脱氢装置_运转天数}")</v>
      </c>
    </row>
    <row customHeight="1" ht="13.5">
      <c r="A33" s="82" t="s">
        <v>40</v>
      </c>
      <c r="B33" s="127" t="s">
        <v>41</v>
      </c>
      <c r="C33" s="127" t="s">
        <v>63</v>
      </c>
      <c r="D33" s="127" t="s">
        <v>43</v>
      </c>
      <c r="E33" s="127" t="s">
        <v>44</v>
      </c>
      <c r="F33" s="127" t="s">
        <v>45</v>
      </c>
      <c r="G33" s="81" t="s">
        <v>62</v>
      </c>
      <c r="H33" s="127" t="s">
        <v>47</v>
      </c>
      <c r="I33" s="127" t="str">
        <f>A33&amp;B33&amp;C33&amp;D33&amp;E33&amp;F33&amp;G33&amp;H33</f>
        <v>#SQL("SH_PO_YearSum","VALUE",":where{NAME=石化厂_轻烃中心_装置运转情况表_25万吨/年MTBE装置_运转天数}")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289CB08-E4AB-59D6-D128-CB459874C338}" mc:Ignorable="x14ac xr xr2 xr3">
  <dimension ref="A1:K35"/>
  <sheetViews>
    <sheetView defaultGridColor="0" colorId="31" topLeftCell="A1" workbookViewId="0">
      <selection activeCell="K35" sqref="K35"/>
    </sheetView>
  </sheetViews>
  <sheetFormatPr customHeight="1" defaultRowHeight="13.7025"/>
  <sheetData>
    <row customHeight="1" ht="13.7025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</row>
    <row customHeight="1" ht="13.5">
      <c r="A2" s="82" t="s">
        <v>64</v>
      </c>
      <c r="B2" s="82" t="s">
        <v>65</v>
      </c>
      <c r="C2" s="82" t="s">
        <v>66</v>
      </c>
      <c r="D2" s="82"/>
      <c r="E2" s="82"/>
      <c r="F2" s="82"/>
      <c r="G2" s="82"/>
      <c r="H2" s="82"/>
      <c r="I2" s="82"/>
      <c r="J2" s="82"/>
      <c r="K2" s="82"/>
    </row>
    <row customHeight="1" ht="13.70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customHeight="1" ht="13.5">
      <c r="A4" s="132"/>
      <c r="B4" s="82"/>
      <c r="C4" s="82"/>
      <c r="D4" s="82"/>
      <c r="E4" s="82"/>
      <c r="F4" s="82"/>
      <c r="G4" s="82"/>
      <c r="H4" s="82"/>
      <c r="I4" s="82"/>
      <c r="J4" s="82"/>
      <c r="K4" s="82"/>
    </row>
    <row customHeight="1" ht="13.5">
      <c r="A5" s="133" t="s">
        <v>3</v>
      </c>
      <c r="B5" s="82"/>
      <c r="C5" s="82"/>
      <c r="D5" s="82"/>
      <c r="E5" s="82"/>
      <c r="F5" s="82"/>
      <c r="G5" s="82"/>
      <c r="H5" s="82">
        <v>334</v>
      </c>
      <c r="I5" s="82"/>
      <c r="J5" s="82"/>
      <c r="K5" s="82"/>
    </row>
    <row customHeight="1" ht="13.5">
      <c r="A6" s="82"/>
      <c r="B6" s="82"/>
      <c r="C6" s="82"/>
      <c r="D6" s="82"/>
      <c r="E6" s="82"/>
      <c r="F6" s="82"/>
      <c r="G6" s="82"/>
      <c r="H6" s="82">
        <v>332</v>
      </c>
      <c r="I6" s="82"/>
      <c r="J6" s="82"/>
      <c r="K6" s="82"/>
    </row>
    <row customHeight="1" ht="13.5">
      <c r="A7" s="82"/>
      <c r="B7" s="82"/>
      <c r="C7" s="82"/>
      <c r="D7" s="82"/>
      <c r="E7" s="82"/>
      <c r="F7" s="82"/>
      <c r="G7" s="82"/>
      <c r="H7" s="82">
        <v>332</v>
      </c>
      <c r="I7" s="82"/>
      <c r="J7" s="82"/>
      <c r="K7" s="82"/>
    </row>
    <row customHeight="1" ht="13.5">
      <c r="A8" s="82"/>
      <c r="B8" s="82"/>
      <c r="C8" s="82"/>
      <c r="D8" s="82"/>
      <c r="E8" s="82"/>
      <c r="F8" s="82"/>
      <c r="G8" s="82"/>
      <c r="H8" s="82">
        <v>334</v>
      </c>
      <c r="I8" s="82"/>
      <c r="J8" s="82"/>
      <c r="K8" s="82"/>
    </row>
    <row customHeight="1" ht="13.5">
      <c r="A9" s="82"/>
      <c r="B9" s="82"/>
      <c r="C9" s="82"/>
      <c r="D9" s="82"/>
      <c r="E9" s="82"/>
      <c r="F9" s="82"/>
      <c r="G9" s="82"/>
      <c r="H9" s="82">
        <v>334</v>
      </c>
      <c r="I9" s="82"/>
      <c r="J9" s="82"/>
      <c r="K9" s="82"/>
    </row>
    <row customHeight="1" ht="13.5">
      <c r="A10" s="82"/>
      <c r="B10" s="82"/>
      <c r="C10" s="82"/>
      <c r="D10" s="82"/>
      <c r="E10" s="82"/>
      <c r="F10" s="82"/>
      <c r="G10" s="82"/>
      <c r="H10" s="82">
        <v>328</v>
      </c>
      <c r="I10" s="82"/>
      <c r="J10" s="82"/>
      <c r="K10" s="82"/>
    </row>
    <row customHeight="1" ht="13.5">
      <c r="A11" s="82"/>
      <c r="B11" s="82"/>
      <c r="C11" s="82"/>
      <c r="D11" s="82"/>
      <c r="E11" s="82"/>
      <c r="F11" s="82"/>
      <c r="G11" s="82"/>
      <c r="H11" s="82">
        <v>334</v>
      </c>
      <c r="I11" s="82"/>
      <c r="J11" s="82"/>
      <c r="K11" s="82"/>
    </row>
    <row customHeight="1" ht="13.5">
      <c r="A12" s="82"/>
      <c r="B12" s="82"/>
      <c r="C12" s="82"/>
      <c r="D12" s="82"/>
      <c r="E12" s="82"/>
      <c r="F12" s="82"/>
      <c r="G12" s="82"/>
      <c r="H12" s="82">
        <v>334</v>
      </c>
      <c r="I12" s="82"/>
      <c r="J12" s="82"/>
      <c r="K12" s="82"/>
    </row>
    <row customHeight="1" ht="13.5">
      <c r="A13" s="82"/>
      <c r="B13" s="82"/>
      <c r="C13" s="82"/>
      <c r="D13" s="82"/>
      <c r="E13" s="82"/>
      <c r="F13" s="82"/>
      <c r="G13" s="82"/>
      <c r="H13" s="82">
        <v>334</v>
      </c>
      <c r="I13" s="82"/>
      <c r="J13" s="82"/>
      <c r="K13" s="82"/>
    </row>
    <row customHeight="1" ht="13.5">
      <c r="A14" s="82"/>
      <c r="B14" s="82"/>
      <c r="C14" s="82"/>
      <c r="D14" s="82"/>
      <c r="E14" s="82"/>
      <c r="F14" s="82"/>
      <c r="G14" s="82"/>
      <c r="H14" s="82">
        <v>334</v>
      </c>
      <c r="I14" s="82"/>
      <c r="J14" s="82"/>
      <c r="K14" s="82"/>
    </row>
    <row customHeight="1" ht="13.5">
      <c r="A15" s="82"/>
      <c r="B15" s="82"/>
      <c r="C15" s="82"/>
      <c r="D15" s="82"/>
      <c r="E15" s="82"/>
      <c r="F15" s="82"/>
      <c r="G15" s="82"/>
      <c r="H15" s="134">
        <v>334</v>
      </c>
      <c r="I15" s="82"/>
      <c r="J15" s="82"/>
      <c r="K15" s="82"/>
    </row>
    <row customHeight="1" ht="13.5">
      <c r="A16" s="82"/>
      <c r="B16" s="82"/>
      <c r="C16" s="82"/>
      <c r="D16" s="82"/>
      <c r="E16" s="82"/>
      <c r="F16" s="82"/>
      <c r="G16" s="82"/>
      <c r="H16" s="82">
        <v>334</v>
      </c>
      <c r="I16" s="82"/>
      <c r="J16" s="82"/>
      <c r="K16" s="82"/>
    </row>
    <row customHeight="1" ht="13.5">
      <c r="A17" s="82"/>
      <c r="B17" s="82"/>
      <c r="C17" s="82"/>
      <c r="D17" s="82"/>
      <c r="E17" s="82"/>
      <c r="F17" s="82"/>
      <c r="G17" s="82"/>
      <c r="H17" s="82">
        <v>0</v>
      </c>
      <c r="I17" s="82"/>
      <c r="J17" s="82"/>
      <c r="K17" s="82"/>
    </row>
    <row customHeight="1" ht="13.5">
      <c r="A18" s="82"/>
      <c r="B18" s="82"/>
      <c r="C18" s="82"/>
      <c r="D18" s="82"/>
      <c r="E18" s="82"/>
      <c r="F18" s="82"/>
      <c r="G18" s="82"/>
      <c r="H18" s="82">
        <v>334</v>
      </c>
      <c r="I18" s="82"/>
      <c r="J18" s="82"/>
      <c r="K18" s="82"/>
    </row>
    <row customHeight="1" ht="13.5">
      <c r="A19" s="82"/>
      <c r="B19" s="82"/>
      <c r="C19" s="82"/>
      <c r="D19" s="82"/>
      <c r="E19" s="82"/>
      <c r="F19" s="82"/>
      <c r="G19" s="82"/>
      <c r="H19" s="82">
        <v>295</v>
      </c>
      <c r="I19" s="82"/>
      <c r="J19" s="82"/>
      <c r="K19" s="82"/>
    </row>
    <row customHeight="1" ht="13.5">
      <c r="A20" s="82"/>
      <c r="B20" s="82"/>
      <c r="C20" s="82"/>
      <c r="D20" s="82"/>
      <c r="E20" s="82"/>
      <c r="F20" s="82"/>
      <c r="G20" s="82"/>
      <c r="H20" s="82">
        <v>293</v>
      </c>
      <c r="I20" s="82"/>
      <c r="J20" s="82"/>
      <c r="K20" s="82"/>
    </row>
    <row customHeight="1" ht="13.7025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</row>
    <row customHeight="1" ht="13.7025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</row>
    <row customHeight="1" ht="13.702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</row>
    <row customHeight="1" ht="13.7025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</row>
    <row customHeight="1" ht="13.5">
      <c r="A25" s="134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</row>
    <row customHeight="1" ht="13.5">
      <c r="A26" s="134" t="s">
        <v>32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</row>
    <row customHeight="1" ht="13.5">
      <c r="A27" s="134" t="s">
        <v>34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</row>
    <row customHeight="1" ht="13.70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</row>
    <row customHeight="1" ht="13.7025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</row>
    <row customHeight="1" ht="13.702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</row>
    <row customHeight="1" ht="13.7025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</row>
    <row customHeight="1" ht="13.70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</row>
    <row customHeight="1" ht="13.702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</row>
    <row customHeight="1" ht="13.7025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</row>
    <row customHeight="1" ht="13.702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装置运转情况表</vt:lpstr>
      <vt:lpstr>公式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2024-01-07T07:32:54Z</dcterms:modified>
</cp:coreProperties>
</file>