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全年生产任务情况统计" sheetId="1" r:id="rId2"/>
    <sheet name="取值" sheetId="2" state="hidden" r:id="rId3"/>
    <sheet name="计划取值" sheetId="3" state="hidden" r:id="rId4"/>
  </sheets>
  <definedNames>
    <definedName name="_xlnm.Print_Area" localSheetId="0">全年生产任务情况统计!$B$2:$R$31</definedName>
  </definedName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M6" authorId="0">
      <text>
        <r>
          <rPr>
            <sz val="9"/>
            <color indexed="81"/>
            <rFont val="Arial"/>
            <family val="2"/>
          </rPr>
          <t xml:space="preserve">#Input("延炼_全年生产任务情况统计_原油加工量_收率_年计划",":key{{dw}}")
</t>
        </r>
      </text>
    </comment>
    <comment ref="N6" authorId="0">
      <text>
        <r>
          <rPr>
            <sz val="9"/>
            <color indexed="81"/>
            <rFont val="Arial"/>
            <family val="2"/>
          </rPr>
          <t xml:space="preserve">#Input("延炼_全年生产任务情况统计_原油加工量_收率_月计划",":key{{dw}}")
</t>
        </r>
      </text>
    </comment>
    <comment ref="C7" authorId="0">
      <text>
        <r>
          <rPr>
            <sz val="9"/>
            <color indexed="81"/>
            <rFont val="Arial"/>
            <family val="2"/>
          </rPr>
          <t xml:space="preserve">#Input("延炼_全年生产任务情况统计_300万常压原油加工量_月计划",":key{{dw}}")
</t>
        </r>
      </text>
    </comment>
    <comment ref="H7" authorId="0">
      <text>
        <r>
          <rPr>
            <sz val="9"/>
            <color indexed="81"/>
            <rFont val="Arial"/>
            <family val="2"/>
          </rPr>
          <t xml:space="preserve">#Input("延炼_全年生产任务情况统计_300万常压原油加工量_年计划",":key{{dw}}")
</t>
        </r>
      </text>
    </comment>
    <comment ref="M7" authorId="0">
      <text>
        <r>
          <rPr>
            <sz val="9"/>
            <color indexed="81"/>
            <rFont val="Arial"/>
            <family val="2"/>
          </rPr>
          <t xml:space="preserve">#Input("延炼_全年生产任务情况统计_300万常压原油加工量_收率_年计划",":key{{dw}}")
</t>
        </r>
      </text>
    </comment>
    <comment ref="N7" authorId="0">
      <text>
        <r>
          <rPr>
            <sz val="9"/>
            <color indexed="81"/>
            <rFont val="Arial"/>
            <family val="2"/>
          </rPr>
          <t xml:space="preserve">#Input("延炼_全年生产任务情况统计_300万常压原油加工量_收率_月计划",":key{{dw}}")
</t>
        </r>
      </text>
    </comment>
    <comment ref="X7" authorId="0">
      <text>
        <r>
          <rPr>
            <sz val="9"/>
            <color indexed="81"/>
            <rFont val="Arial"/>
            <family val="2"/>
          </rPr>
          <t xml:space="preserve">#Input("延炼_全年生产任务情况统计_300万常压原油加工量_月计划调整量",":key{{dw}}")
</t>
        </r>
      </text>
    </comment>
    <comment ref="Y7" authorId="0">
      <text>
        <r>
          <rPr>
            <sz val="9"/>
            <color indexed="81"/>
            <rFont val="Arial"/>
            <family val="2"/>
          </rPr>
          <t xml:space="preserve">#Input("延炼_全年生产任务情况统计_300万常压原油加工量_年计划调整量",":key{{dw}}")
</t>
        </r>
      </text>
    </comment>
    <comment ref="C8" authorId="0">
      <text>
        <r>
          <rPr>
            <sz val="9"/>
            <color indexed="81"/>
            <rFont val="Arial"/>
            <family val="2"/>
          </rPr>
          <t xml:space="preserve">#Input("延炼_全年生产任务情况统计_260万常压原油加工量_月计划",":key{{dw}}")
</t>
        </r>
      </text>
    </comment>
    <comment ref="H8" authorId="0">
      <text>
        <r>
          <rPr>
            <sz val="9"/>
            <color indexed="81"/>
            <rFont val="Arial"/>
            <family val="2"/>
          </rPr>
          <t xml:space="preserve">#Input("延炼_全年生产任务情况统计_260万常压原油加工量_年计划",":key{{dw}}")
</t>
        </r>
      </text>
    </comment>
    <comment ref="M8" authorId="0">
      <text>
        <r>
          <rPr>
            <sz val="9"/>
            <color indexed="81"/>
            <rFont val="Arial"/>
            <family val="2"/>
          </rPr>
          <t xml:space="preserve">#Input("延炼_全年生产任务情况统计_260万常压原油加工量_收率_年计划",":key{{dw}}")
</t>
        </r>
      </text>
    </comment>
    <comment ref="N8" authorId="0">
      <text>
        <r>
          <rPr>
            <sz val="9"/>
            <color indexed="81"/>
            <rFont val="Arial"/>
            <family val="2"/>
          </rPr>
          <t xml:space="preserve">#Input("延炼_全年生产任务情况统计_260万常压原油加工量_收率_月计划",":key{{dw}}")
</t>
        </r>
      </text>
    </comment>
    <comment ref="X8" authorId="0">
      <text>
        <r>
          <rPr>
            <sz val="9"/>
            <color indexed="81"/>
            <rFont val="Arial"/>
            <family val="2"/>
          </rPr>
          <t xml:space="preserve">#Input("延炼_全年生产任务情况统计_260万常压原油加工量_月计划调整量",":key{{dw}}")
</t>
        </r>
      </text>
    </comment>
    <comment ref="Y8" authorId="0">
      <text>
        <r>
          <rPr>
            <sz val="9"/>
            <color indexed="81"/>
            <rFont val="Arial"/>
            <family val="2"/>
          </rPr>
          <t xml:space="preserve">#Input("延炼_全年生产任务情况统计_260万常压原油加工量_年计划调整量",":key{{dw}}")
</t>
        </r>
      </text>
    </comment>
    <comment ref="M9" authorId="0">
      <text>
        <r>
          <rPr>
            <sz val="9"/>
            <color indexed="81"/>
            <rFont val="Arial"/>
            <family val="2"/>
          </rPr>
          <t xml:space="preserve">#Input("延炼_全年生产任务情况统计_催化渣油加工量_收率_年计划",":key{{dw}}")
</t>
        </r>
      </text>
    </comment>
    <comment ref="N9" authorId="0">
      <text>
        <r>
          <rPr>
            <sz val="9"/>
            <color indexed="81"/>
            <rFont val="Arial"/>
            <family val="2"/>
          </rPr>
          <t xml:space="preserve">#Input("延炼_全年生产任务情况统计_催化渣油加工量_收率_月计划",":key{{dw}}")
</t>
        </r>
      </text>
    </comment>
    <comment ref="C10" authorId="0">
      <text>
        <r>
          <rPr>
            <sz val="9"/>
            <color indexed="81"/>
            <rFont val="Arial"/>
            <family val="2"/>
          </rPr>
          <t xml:space="preserve">#Input("延炼_全年生产任务情况统计_200万催化渣油加工量_月计划",":key{{dw}}")
</t>
        </r>
      </text>
    </comment>
    <comment ref="H10" authorId="0">
      <text>
        <r>
          <rPr>
            <sz val="9"/>
            <color indexed="81"/>
            <rFont val="Arial"/>
            <family val="2"/>
          </rPr>
          <t xml:space="preserve">#Input("延炼_全年生产任务情况统计_200万催化渣油加工量_年计划",":key{{dw}}")
</t>
        </r>
      </text>
    </comment>
    <comment ref="M10" authorId="0">
      <text>
        <r>
          <rPr>
            <sz val="9"/>
            <color indexed="81"/>
            <rFont val="Arial"/>
            <family val="2"/>
          </rPr>
          <t xml:space="preserve">#Input("延炼_全年生产任务情况统计_200万催化渣油加工量_收率_年计划",":key{{dw}}")
</t>
        </r>
      </text>
    </comment>
    <comment ref="N10" authorId="0">
      <text>
        <r>
          <rPr>
            <sz val="9"/>
            <color indexed="81"/>
            <rFont val="Arial"/>
            <family val="2"/>
          </rPr>
          <t xml:space="preserve">#Input("延炼_全年生产任务情况统计_200万催化渣油加工量_收率_月计划",":key{{dw}}")
</t>
        </r>
      </text>
    </comment>
    <comment ref="X10" authorId="0">
      <text>
        <r>
          <rPr>
            <sz val="9"/>
            <color indexed="81"/>
            <rFont val="Arial"/>
            <family val="2"/>
          </rPr>
          <t xml:space="preserve">#Input("延炼_全年生产任务情况统计_200万催化渣油加工量_月计划调整量",":key{{dw}}")
</t>
        </r>
      </text>
    </comment>
    <comment ref="Y10" authorId="0">
      <text>
        <r>
          <rPr>
            <sz val="9"/>
            <color indexed="81"/>
            <rFont val="Arial"/>
            <family val="2"/>
          </rPr>
          <t xml:space="preserve">#Input("延炼_全年生产任务情况统计_200万催化渣油加工量_年计划调整量",":key{{dw}}")
</t>
        </r>
      </text>
    </comment>
    <comment ref="C11" authorId="0">
      <text>
        <r>
          <rPr>
            <sz val="9"/>
            <color indexed="81"/>
            <rFont val="Arial"/>
            <family val="2"/>
          </rPr>
          <t xml:space="preserve">#Input("延炼_全年生产任务情况统计_100万催化渣油加工量_月计划",":key{{dw}}")
</t>
        </r>
      </text>
    </comment>
    <comment ref="H11" authorId="0">
      <text>
        <r>
          <rPr>
            <sz val="9"/>
            <color indexed="81"/>
            <rFont val="Arial"/>
            <family val="2"/>
          </rPr>
          <t xml:space="preserve">#Input("延炼_全年生产任务情况统计_100万催化渣油加工量_年计划",":key{{dw}}")
</t>
        </r>
      </text>
    </comment>
    <comment ref="M11" authorId="0">
      <text>
        <r>
          <rPr>
            <sz val="9"/>
            <color indexed="81"/>
            <rFont val="Arial"/>
            <family val="2"/>
          </rPr>
          <t xml:space="preserve">#Input("延炼_全年生产任务情况统计_100万催化渣油加工量_收率_年计划",":key{{dw}}")
</t>
        </r>
      </text>
    </comment>
    <comment ref="N11" authorId="0">
      <text>
        <r>
          <rPr>
            <sz val="9"/>
            <color indexed="81"/>
            <rFont val="Arial"/>
            <family val="2"/>
          </rPr>
          <t xml:space="preserve">#Input("延炼_全年生产任务情况统计_100万催化渣油加工量_收率_月计划",":key{{dw}}")
</t>
        </r>
      </text>
    </comment>
    <comment ref="X11" authorId="0">
      <text>
        <r>
          <rPr>
            <sz val="9"/>
            <color indexed="81"/>
            <rFont val="Arial"/>
            <family val="2"/>
          </rPr>
          <t xml:space="preserve">#Input("延炼_全年生产任务情况统计_100万催化渣油加工量_月计划调整量",":key{{dw}}")
</t>
        </r>
      </text>
    </comment>
    <comment ref="Y11" authorId="0">
      <text>
        <r>
          <rPr>
            <sz val="9"/>
            <color indexed="81"/>
            <rFont val="Arial"/>
            <family val="2"/>
          </rPr>
          <t xml:space="preserve">#Input("延炼_全年生产任务情况统计_100万催化渣油加工量_年计划调整量",":key{{dw}}")
</t>
        </r>
      </text>
    </comment>
    <comment ref="C12" authorId="0">
      <text>
        <r>
          <rPr>
            <sz val="9"/>
            <color indexed="81"/>
            <rFont val="Arial"/>
            <family val="2"/>
          </rPr>
          <t xml:space="preserve">#Input("延炼_全年生产任务情况统计_苯乙烯产量_月计划",":key{{dw}}")
</t>
        </r>
      </text>
    </comment>
    <comment ref="H12" authorId="0">
      <text>
        <r>
          <rPr>
            <sz val="9"/>
            <color indexed="81"/>
            <rFont val="Arial"/>
            <family val="2"/>
          </rPr>
          <t xml:space="preserve">#Input("延炼_全年生产任务情况统计_苯乙烯产量_年计划",":key{{dw}}")
</t>
        </r>
      </text>
    </comment>
    <comment ref="M12" authorId="0">
      <text>
        <r>
          <rPr>
            <b/>
            <sz val="9"/>
            <color indexed="81"/>
            <rFont val="宋体"/>
            <family val="2"/>
          </rPr>
          <t xml:space="preserve">#Input("延炼_全年生产任务情况统计_苯乙烯产量_收率_年计划",":key{{dw}}")
</t>
        </r>
      </text>
    </comment>
    <comment ref="N12" authorId="0">
      <text>
        <r>
          <rPr>
            <b/>
            <sz val="9"/>
            <color indexed="81"/>
            <rFont val="宋体"/>
            <family val="2"/>
          </rPr>
          <t>#Input("延炼_全年生产任务情况统计_苯乙烯产量_收率_月计划",":key{{dw}}")</t>
        </r>
      </text>
    </comment>
    <comment ref="X12" authorId="0">
      <text>
        <r>
          <rPr>
            <sz val="9"/>
            <color indexed="81"/>
            <rFont val="Arial"/>
            <family val="2"/>
          </rPr>
          <t xml:space="preserve">#Input("延炼_全年生产任务情况统计_苯乙烯产量_月计划调整量",":key{{dw}}")
</t>
        </r>
      </text>
    </comment>
    <comment ref="Y12" authorId="0">
      <text>
        <r>
          <rPr>
            <sz val="9"/>
            <color indexed="81"/>
            <rFont val="Arial"/>
            <family val="2"/>
          </rPr>
          <t xml:space="preserve">#Input("延炼_全年生产任务情况统计_苯乙烯产量_年计划调整量",":key{{dw}}")
</t>
        </r>
      </text>
    </comment>
    <comment ref="C13" authorId="0">
      <text>
        <r>
          <rPr>
            <sz val="9"/>
            <color indexed="81"/>
            <rFont val="Arial"/>
            <family val="2"/>
          </rPr>
          <t xml:space="preserve">#Input("延炼_全年生产任务情况统计_气分装置加工量_月计划",":key{{dw}}")
</t>
        </r>
      </text>
    </comment>
    <comment ref="H13" authorId="0">
      <text>
        <r>
          <rPr>
            <sz val="9"/>
            <color indexed="81"/>
            <rFont val="Arial"/>
            <family val="2"/>
          </rPr>
          <t xml:space="preserve">#Input("延炼_全年生产任务情况统计_气分装置加工量_年计划",":key{{dw}}")
</t>
        </r>
      </text>
    </comment>
    <comment ref="X13" authorId="0">
      <text>
        <r>
          <rPr>
            <sz val="9"/>
            <color indexed="81"/>
            <rFont val="Arial"/>
            <family val="2"/>
          </rPr>
          <t xml:space="preserve">#Input("延炼_全年生产任务情况统计_气分装置加工量_月计划调整量",":key{{dw}}")
</t>
        </r>
      </text>
    </comment>
    <comment ref="Y13" authorId="0">
      <text>
        <r>
          <rPr>
            <sz val="9"/>
            <color indexed="81"/>
            <rFont val="Arial"/>
            <family val="2"/>
          </rPr>
          <t xml:space="preserve">#Input("延炼_全年生产任务情况统计_气分装置加工量_年计划调整量",":key{{dw}}")
</t>
        </r>
      </text>
    </comment>
    <comment ref="C14" authorId="0">
      <text>
        <r>
          <rPr>
            <sz val="9"/>
            <color indexed="81"/>
            <rFont val="Arial"/>
            <family val="2"/>
          </rPr>
          <t xml:space="preserve">#Input("延炼_全年生产任务情况统计_聚丙烯产量_月计划",":key{{dw}}")
</t>
        </r>
      </text>
    </comment>
    <comment ref="H14" authorId="0">
      <text>
        <r>
          <rPr>
            <sz val="9"/>
            <color indexed="81"/>
            <rFont val="Arial"/>
            <family val="2"/>
          </rPr>
          <t xml:space="preserve">#Input("延炼_全年生产任务情况统计_聚丙烯产量_年计划",":key{{dw}}")
</t>
        </r>
      </text>
    </comment>
    <comment ref="X14" authorId="0">
      <text>
        <r>
          <rPr>
            <sz val="9"/>
            <color indexed="81"/>
            <rFont val="Arial"/>
            <family val="2"/>
          </rPr>
          <t xml:space="preserve">#Input("延炼_全年生产任务情况统计_聚丙烯产量_月计划调整量",":key{{dw}}")
</t>
        </r>
      </text>
    </comment>
    <comment ref="Y14" authorId="0">
      <text>
        <r>
          <rPr>
            <sz val="9"/>
            <color indexed="81"/>
            <rFont val="Arial"/>
            <family val="2"/>
          </rPr>
          <t xml:space="preserve">#Input("延炼_全年生产任务情况统计_聚丙烯产量_年计划调整量",":key{{dw}}")
</t>
        </r>
      </text>
    </comment>
    <comment ref="C15" authorId="0">
      <text>
        <r>
          <rPr>
            <sz val="9"/>
            <color indexed="81"/>
            <rFont val="Arial"/>
            <family val="2"/>
          </rPr>
          <t xml:space="preserve">#Input("延炼_全年生产任务情况统计_MTBE产量_月计划",":key{{dw}}")
</t>
        </r>
      </text>
    </comment>
    <comment ref="H15" authorId="0">
      <text>
        <r>
          <rPr>
            <sz val="9"/>
            <color indexed="81"/>
            <rFont val="Arial"/>
            <family val="2"/>
          </rPr>
          <t xml:space="preserve">#Input("延炼_全年生产任务情况统计_MTBE产量_年计划",":key{{dw}}")
</t>
        </r>
      </text>
    </comment>
    <comment ref="X15" authorId="0">
      <text>
        <r>
          <rPr>
            <sz val="9"/>
            <color indexed="81"/>
            <rFont val="Arial"/>
            <family val="2"/>
          </rPr>
          <t xml:space="preserve">#Input("延炼_全年生产任务情况统计_MTBE产量_月计划调整量",":key{{dw}}")
</t>
        </r>
      </text>
    </comment>
    <comment ref="Y15" authorId="0">
      <text>
        <r>
          <rPr>
            <sz val="9"/>
            <color indexed="81"/>
            <rFont val="Arial"/>
            <family val="2"/>
          </rPr>
          <t xml:space="preserve">#Input("延炼_全年生产任务情况统计_MTBE产量_年计划调整量",":key{{dw}}")
</t>
        </r>
      </text>
    </comment>
    <comment ref="C16" authorId="0">
      <text>
        <r>
          <rPr>
            <sz val="9"/>
            <color indexed="81"/>
            <rFont val="Arial"/>
            <family val="2"/>
          </rPr>
          <t xml:space="preserve">#Input("延炼_全年生产任务情况统计_SBA产量_月计划",":key{{dw}}")
</t>
        </r>
      </text>
    </comment>
    <comment ref="H16" authorId="0">
      <text>
        <r>
          <rPr>
            <sz val="9"/>
            <color indexed="81"/>
            <rFont val="Arial"/>
            <family val="2"/>
          </rPr>
          <t xml:space="preserve">#Input("延炼_全年生产任务情况统计_SBA产量_年计划",":key{{dw}}")
</t>
        </r>
      </text>
    </comment>
    <comment ref="X16" authorId="0">
      <text>
        <r>
          <rPr>
            <sz val="9"/>
            <color indexed="81"/>
            <rFont val="Arial"/>
            <family val="2"/>
          </rPr>
          <t xml:space="preserve">#Input("延炼_全年生产任务情况统计_SBA产量_月计划调整量",":key{{dw}}")
</t>
        </r>
      </text>
    </comment>
    <comment ref="Y16" authorId="0">
      <text>
        <r>
          <rPr>
            <sz val="9"/>
            <color indexed="81"/>
            <rFont val="Arial"/>
            <family val="2"/>
          </rPr>
          <t xml:space="preserve">#Input("延炼_全年生产任务情况统计_SBA产量_年计划调整量",":key{{dw}}")
</t>
        </r>
      </text>
    </comment>
    <comment ref="C17" authorId="0">
      <text>
        <r>
          <rPr>
            <sz val="9"/>
            <color indexed="81"/>
            <rFont val="Arial"/>
            <family val="2"/>
          </rPr>
          <t xml:space="preserve">#Input("延炼_全年生产任务情况统计_92#汽油调合量_月计划",":key{{dw}}")
</t>
        </r>
      </text>
    </comment>
    <comment ref="H17" authorId="0">
      <text>
        <r>
          <rPr>
            <sz val="9"/>
            <color indexed="81"/>
            <rFont val="Arial"/>
            <family val="2"/>
          </rPr>
          <t xml:space="preserve">#Input("延炼_全年生产任务情况统计_92#汽油调合量_年计划",":key{{dw}}")
</t>
        </r>
      </text>
    </comment>
    <comment ref="X17" authorId="0">
      <text>
        <r>
          <rPr>
            <sz val="9"/>
            <color indexed="81"/>
            <rFont val="Arial"/>
            <family val="2"/>
          </rPr>
          <t xml:space="preserve">#Input("延炼_全年生产任务情况统计_92#汽油调合量_月计划调整量",":key{{dw}}")
</t>
        </r>
      </text>
    </comment>
    <comment ref="Y17" authorId="0">
      <text>
        <r>
          <rPr>
            <sz val="9"/>
            <color indexed="81"/>
            <rFont val="Arial"/>
            <family val="2"/>
          </rPr>
          <t xml:space="preserve">#Input("延炼_全年生产任务情况统计_92#汽油调合量_年计划调整量",":key{{dw}}")
</t>
        </r>
      </text>
    </comment>
    <comment ref="C18" authorId="0">
      <text>
        <r>
          <rPr>
            <sz val="9"/>
            <color indexed="81"/>
            <rFont val="Arial"/>
            <family val="2"/>
          </rPr>
          <t xml:space="preserve">#Input("延炼_全年生产任务情况统计_92#汽油销售量_月计划",":key{{dw}}")
</t>
        </r>
      </text>
    </comment>
    <comment ref="H18" authorId="0">
      <text>
        <r>
          <rPr>
            <sz val="9"/>
            <color indexed="81"/>
            <rFont val="Arial"/>
            <family val="2"/>
          </rPr>
          <t xml:space="preserve">#Input("延炼_全年生产任务情况统计_92#汽油销售量_年计划",":key{{dw}}")
</t>
        </r>
      </text>
    </comment>
    <comment ref="C19" authorId="0">
      <text>
        <r>
          <rPr>
            <sz val="9"/>
            <color indexed="81"/>
            <rFont val="Arial"/>
            <family val="2"/>
          </rPr>
          <t xml:space="preserve">#Input("延炼_全年生产任务情况统计_95#汽油调合量_月计划",":key{{dw}}")
</t>
        </r>
      </text>
    </comment>
    <comment ref="H19" authorId="0">
      <text>
        <r>
          <rPr>
            <sz val="9"/>
            <color indexed="81"/>
            <rFont val="Arial"/>
            <family val="2"/>
          </rPr>
          <t xml:space="preserve">#Input("延炼_全年生产任务情况统计_95#汽油调合量_年计划",":key{{dw}}")
</t>
        </r>
      </text>
    </comment>
    <comment ref="X19" authorId="0">
      <text>
        <r>
          <rPr>
            <sz val="9"/>
            <color indexed="81"/>
            <rFont val="Arial"/>
            <family val="2"/>
          </rPr>
          <t xml:space="preserve">#Input("延炼_全年生产任务情况统计_95#汽油调合量_月计划调整量",":key{{dw}}")
</t>
        </r>
      </text>
    </comment>
    <comment ref="Y19" authorId="0">
      <text>
        <r>
          <rPr>
            <sz val="9"/>
            <color indexed="81"/>
            <rFont val="Arial"/>
            <family val="2"/>
          </rPr>
          <t xml:space="preserve">#Input("延炼_全年生产任务情况统计_95#汽油调合量_年计划调整量",":key{{dw}}")
</t>
        </r>
      </text>
    </comment>
    <comment ref="C20" authorId="0">
      <text>
        <r>
          <rPr>
            <sz val="9"/>
            <color indexed="81"/>
            <rFont val="Arial"/>
            <family val="2"/>
          </rPr>
          <t xml:space="preserve">#Input("延炼_全年生产任务情况统计_95#汽油销售量_月计划",":key{{dw}}")
</t>
        </r>
      </text>
    </comment>
    <comment ref="H20" authorId="0">
      <text>
        <r>
          <rPr>
            <sz val="9"/>
            <color indexed="81"/>
            <rFont val="Arial"/>
            <family val="2"/>
          </rPr>
          <t xml:space="preserve">#Input("延炼_全年生产任务情况统计_95#汽油销售量_年计划",":key{{dw}}")
</t>
        </r>
      </text>
    </comment>
    <comment ref="C21" authorId="0">
      <text>
        <r>
          <rPr>
            <sz val="9"/>
            <color indexed="81"/>
            <rFont val="Arial"/>
            <family val="2"/>
          </rPr>
          <t xml:space="preserve">#Input("延炼_全年生产任务情况统计_98#汽油调合量_月计划",":key{{dw}}")
</t>
        </r>
      </text>
    </comment>
    <comment ref="H21" authorId="0">
      <text>
        <r>
          <rPr>
            <sz val="9"/>
            <color indexed="81"/>
            <rFont val="Arial"/>
            <family val="2"/>
          </rPr>
          <t xml:space="preserve">#Input("延炼_全年生产任务情况统计_98#汽油调合量_年计划",":key{{dw}}")
</t>
        </r>
      </text>
    </comment>
    <comment ref="X21" authorId="0">
      <text>
        <r>
          <rPr>
            <sz val="9"/>
            <color indexed="81"/>
            <rFont val="Arial"/>
            <family val="2"/>
          </rPr>
          <t xml:space="preserve">#Input("延炼_全年生产任务情况统计_98#汽油调合量_月计划调整量",":key{{dw}}")
</t>
        </r>
      </text>
    </comment>
    <comment ref="Y21" authorId="0">
      <text>
        <r>
          <rPr>
            <sz val="9"/>
            <color indexed="81"/>
            <rFont val="Arial"/>
            <family val="2"/>
          </rPr>
          <t xml:space="preserve">#Input("延炼_全年生产任务情况统计_98#汽油调合量_年计划调整量",":key{{dw}}")
</t>
        </r>
      </text>
    </comment>
    <comment ref="C22" authorId="0">
      <text>
        <r>
          <rPr>
            <b/>
            <sz val="9"/>
            <color indexed="81"/>
            <rFont val="宋体"/>
            <family val="2"/>
          </rPr>
          <t>#Input("延炼_全年生产任务情况统计_98#汽油销售量_月计划",":key{{dw}}")</t>
        </r>
      </text>
    </comment>
    <comment ref="H22" authorId="0">
      <text>
        <r>
          <rPr>
            <sz val="9"/>
            <color indexed="81"/>
            <rFont val="Arial"/>
            <family val="2"/>
          </rPr>
          <t xml:space="preserve">#Input("延炼_全年生产任务情况统计_98#汽油销售量_年计划",":key{{dw}}")
</t>
        </r>
      </text>
    </comment>
    <comment ref="C23" authorId="0">
      <text>
        <r>
          <rPr>
            <sz val="9"/>
            <color indexed="81"/>
            <rFont val="Arial"/>
            <family val="2"/>
          </rPr>
          <t xml:space="preserve">#Input("延炼_全年生产任务情况统计_汽油总调合量_月计划",":key{{dw}}")
</t>
        </r>
      </text>
    </comment>
    <comment ref="H23" authorId="0">
      <text>
        <r>
          <rPr>
            <sz val="9"/>
            <color indexed="81"/>
            <rFont val="Arial"/>
            <family val="2"/>
          </rPr>
          <t xml:space="preserve">#Input("延炼_全年生产任务情况统计_汽油总调合量_年计划",":key{{dw}}")
</t>
        </r>
      </text>
    </comment>
    <comment ref="C24" authorId="0">
      <text>
        <r>
          <rPr>
            <sz val="9"/>
            <color indexed="81"/>
            <rFont val="Arial"/>
            <family val="2"/>
          </rPr>
          <t xml:space="preserve">#Input("延炼_全年生产任务情况统计_汽油总销售量_月计划",":key{{dw}}")
</t>
        </r>
      </text>
    </comment>
    <comment ref="H24" authorId="0">
      <text>
        <r>
          <rPr>
            <sz val="9"/>
            <color indexed="81"/>
            <rFont val="Arial"/>
            <family val="2"/>
          </rPr>
          <t xml:space="preserve">#Input("延炼_全年生产任务情况统计_汽油总销售量_年计划",":key{{dw}}")
</t>
        </r>
      </text>
    </comment>
    <comment ref="C25" authorId="0">
      <text>
        <r>
          <rPr>
            <sz val="9"/>
            <color indexed="81"/>
            <rFont val="Arial"/>
            <family val="2"/>
          </rPr>
          <t xml:space="preserve">#Input("延炼_全年生产任务情况统计_0#柴油调合量_月计划",":key{{dw}}")
</t>
        </r>
      </text>
    </comment>
    <comment ref="H25" authorId="0">
      <text>
        <r>
          <rPr>
            <sz val="9"/>
            <color indexed="81"/>
            <rFont val="Arial"/>
            <family val="2"/>
          </rPr>
          <t xml:space="preserve">#Input("延炼_全年生产任务情况统计_0#柴油调合量_年计划",":key{{dw}}")
</t>
        </r>
      </text>
    </comment>
    <comment ref="X25" authorId="0">
      <text>
        <r>
          <rPr>
            <sz val="9"/>
            <color indexed="81"/>
            <rFont val="Arial"/>
            <family val="2"/>
          </rPr>
          <t xml:space="preserve">#Input("延炼_全年生产任务情况统计_0#柴油调合量_月计划调整量",":key{{dw}}")
</t>
        </r>
      </text>
    </comment>
    <comment ref="Y25" authorId="0">
      <text>
        <r>
          <rPr>
            <sz val="9"/>
            <color indexed="81"/>
            <rFont val="Arial"/>
            <family val="2"/>
          </rPr>
          <t xml:space="preserve">#Input("延炼_全年生产任务情况统计_0#柴油调合量_年计划调整量",":key{{dw}}")
</t>
        </r>
      </text>
    </comment>
    <comment ref="C26" authorId="0">
      <text>
        <r>
          <rPr>
            <sz val="9"/>
            <color indexed="81"/>
            <rFont val="Arial"/>
            <family val="2"/>
          </rPr>
          <t xml:space="preserve">#Input("延炼_全年生产任务情况统计_0#柴油销售量_月计划",":key{{dw}}")
</t>
        </r>
      </text>
    </comment>
    <comment ref="H26" authorId="0">
      <text>
        <r>
          <rPr>
            <sz val="9"/>
            <color indexed="81"/>
            <rFont val="Arial"/>
            <family val="2"/>
          </rPr>
          <t xml:space="preserve">#Input("延炼_全年生产任务情况统计_0#柴油销售量_年计划",":key{{dw}}")
</t>
        </r>
      </text>
    </comment>
    <comment ref="C27" authorId="0">
      <text>
        <r>
          <rPr>
            <sz val="9"/>
            <color indexed="81"/>
            <rFont val="Arial"/>
            <family val="2"/>
          </rPr>
          <t>#Input("延炼_全年生产任务情况统计_3号喷气燃料产量_月计划",":key{{dw}}")</t>
        </r>
      </text>
    </comment>
    <comment ref="H27" authorId="0">
      <text>
        <r>
          <rPr>
            <sz val="9"/>
            <color indexed="81"/>
            <rFont val="Arial"/>
            <family val="2"/>
          </rPr>
          <t xml:space="preserve">#Input("延炼_全年生产任务情况统计_3号喷气燃料产量_年计划",":key{{dw}}")
</t>
        </r>
      </text>
    </comment>
    <comment ref="X27" authorId="0">
      <text>
        <r>
          <rPr>
            <sz val="9"/>
            <color indexed="81"/>
            <rFont val="Arial"/>
            <family val="2"/>
          </rPr>
          <t xml:space="preserve">#Input("延炼_全年生产任务情况统计_3号喷气燃料产量_月计划调整量",":key{{dw}}")
</t>
        </r>
      </text>
    </comment>
    <comment ref="Y27" authorId="0">
      <text>
        <r>
          <rPr>
            <sz val="9"/>
            <color indexed="81"/>
            <rFont val="Arial"/>
            <family val="2"/>
          </rPr>
          <t xml:space="preserve">#Input("延炼_全年生产任务情况统计_3号喷气燃料产量_年计划调整量",":key{{dw}}")
</t>
        </r>
      </text>
    </comment>
    <comment ref="C28" authorId="0">
      <text>
        <r>
          <rPr>
            <sz val="9"/>
            <color indexed="81"/>
            <rFont val="Arial"/>
            <family val="2"/>
          </rPr>
          <t xml:space="preserve">#Input("延炼_全年生产任务情况统计_3号喷气燃料销售量_月计划",":key{{dw}}")
</t>
        </r>
      </text>
    </comment>
    <comment ref="H28" authorId="0">
      <text>
        <r>
          <rPr>
            <sz val="9"/>
            <color indexed="81"/>
            <rFont val="Arial"/>
            <family val="2"/>
          </rPr>
          <t xml:space="preserve">#Input("延炼_全年生产任务情况统计_3号喷气燃料销售量_年计划",":key{{dw}}")
</t>
        </r>
      </text>
    </comment>
    <comment ref="C29" authorId="0">
      <text>
        <r>
          <rPr>
            <b/>
            <sz val="9"/>
            <color indexed="81"/>
            <rFont val="宋体"/>
            <family val="2"/>
          </rPr>
          <t>#Input("延炼_全年生产任务情况统计_备注1",":key{{dw}}")</t>
        </r>
      </text>
    </comment>
    <comment ref="C30" authorId="0">
      <text>
        <r>
          <rPr>
            <b/>
            <sz val="9"/>
            <color indexed="81"/>
            <rFont val="宋体"/>
            <family val="2"/>
          </rPr>
          <t>#Input("延炼_全年生产任务情况统计_备注2",":key{{dw}}")</t>
        </r>
      </text>
    </comment>
    <comment ref="C31" authorId="0">
      <text>
        <r>
          <rPr>
            <b/>
            <sz val="9"/>
            <color indexed="81"/>
            <rFont val="宋体"/>
            <family val="2"/>
          </rPr>
          <t>#Input("延炼_全年生产任务情况统计_单位负责人",":key{{dw}}")</t>
        </r>
      </text>
    </comment>
    <comment ref="J31" authorId="0">
      <text>
        <r>
          <rPr>
            <b/>
            <sz val="9"/>
            <color indexed="81"/>
            <rFont val="宋体"/>
            <family val="2"/>
          </rPr>
          <t>#Input("延炼_全年生产任务情况统计_审核人",":key{{dw}}")</t>
        </r>
      </text>
    </comment>
    <comment ref="Q31" authorId="0">
      <text>
        <r>
          <rPr>
            <b/>
            <sz val="9"/>
            <color indexed="81"/>
            <rFont val="宋体"/>
            <family val="2"/>
          </rPr>
          <t>#Input("延炼_全年生产任务情况统计_填报人",":key{{dw}}")</t>
        </r>
      </text>
    </comment>
    <comment ref="Z6" authorId="0">
      <text>
        <r>
          <rPr>
            <sz val="9"/>
            <color indexed="81"/>
            <rFont val="Arial"/>
            <family val="2"/>
          </rPr>
          <t>#Input("延炼_全年生产任务情况统计_原油代加工量_榆炼",":key{{dw}}")</t>
        </r>
      </text>
    </comment>
    <comment ref="Y6" authorId="0">
      <text>
        <r>
          <rPr>
            <sz val="9"/>
            <color indexed="81"/>
            <rFont val="Arial"/>
            <family val="2"/>
          </rPr>
          <t xml:space="preserve">#Input("延炼_全年生产任务情况统计_原油加工量_年计划调整量",":key{{dw}}")
</t>
        </r>
      </text>
    </comment>
  </commentList>
</comments>
</file>

<file path=xl/sharedStrings.xml><?xml version="1.0" encoding="utf-8"?>
<sst xmlns="http://schemas.openxmlformats.org/spreadsheetml/2006/main" count="237" uniqueCount="116">
  <si>
    <t>全年生产任务情况统计</t>
  </si>
  <si>
    <t/>
  </si>
  <si>
    <t xml:space="preserve">  编制单位：生产计划部</t>
  </si>
  <si>
    <t>日期：</t>
  </si>
  <si>
    <t>2025-12-31</t>
  </si>
  <si>
    <t>内部数据</t>
  </si>
  <si>
    <t>项    目</t>
  </si>
  <si>
    <t>本月完成情况</t>
  </si>
  <si>
    <t>全年目标任务完成情况</t>
  </si>
  <si>
    <t>收率（催化收率含回炼油）</t>
  </si>
  <si>
    <t>部分指标手动录入</t>
  </si>
  <si>
    <t>项        目</t>
  </si>
  <si>
    <t>计划
（万吨）</t>
  </si>
  <si>
    <t>本日
（吨）</t>
  </si>
  <si>
    <t>累计生产
（万吨）</t>
  </si>
  <si>
    <t>剩余加工量
 (万吨)</t>
  </si>
  <si>
    <t>日处理量
(吨)</t>
  </si>
  <si>
    <t>年计划
（万吨）</t>
  </si>
  <si>
    <t>完成情况
（万吨）</t>
  </si>
  <si>
    <t>剩余加工量
（万吨）</t>
  </si>
  <si>
    <t>剩余日处理量（吨）</t>
  </si>
  <si>
    <t>完成任务比
（%）</t>
  </si>
  <si>
    <t>年计划</t>
  </si>
  <si>
    <t>月计划</t>
  </si>
  <si>
    <t>本日</t>
  </si>
  <si>
    <t>本月</t>
  </si>
  <si>
    <t>本年</t>
  </si>
  <si>
    <t xml:space="preserve">本月
+ -    </t>
  </si>
  <si>
    <t>本月余</t>
  </si>
  <si>
    <t>本年余</t>
  </si>
  <si>
    <t>本月天数</t>
  </si>
  <si>
    <t>本年天数</t>
  </si>
  <si>
    <t>原油加工量</t>
  </si>
  <si>
    <t>其中：300万常压</t>
  </si>
  <si>
    <t>260万常压</t>
  </si>
  <si>
    <t>催化渣油加工量</t>
  </si>
  <si>
    <t>其中：200万催化</t>
  </si>
  <si>
    <t>100万催化</t>
  </si>
  <si>
    <t>苯乙烯产量</t>
  </si>
  <si>
    <t>气分装置加工量</t>
  </si>
  <si>
    <t>每月初输入以下两指标</t>
  </si>
  <si>
    <t>每日输入以下两指标</t>
  </si>
  <si>
    <t>聚丙烯产量</t>
  </si>
  <si>
    <t>项目名称</t>
  </si>
  <si>
    <t>单位</t>
  </si>
  <si>
    <t>月累计</t>
  </si>
  <si>
    <t>年累计</t>
  </si>
  <si>
    <t>MTBE产量</t>
  </si>
  <si>
    <t>3号喷气燃料销售</t>
  </si>
  <si>
    <t>吨</t>
  </si>
  <si>
    <t>SBA产量</t>
  </si>
  <si>
    <t>车</t>
  </si>
  <si>
    <t>92#汽油调合量</t>
  </si>
  <si>
    <t>92#汽油销售量</t>
  </si>
  <si>
    <t>95#汽油调合量</t>
  </si>
  <si>
    <t>95#汽油销售量</t>
  </si>
  <si>
    <r>
      <t>9</t>
    </r>
    <r>
      <rPr>
        <charset val="134"/>
        <family val="3"/>
        <rFont val="等线"/>
        <sz val="11"/>
      </rPr>
      <t>8</t>
    </r>
    <r>
      <rPr>
        <charset val="134"/>
        <family val="3"/>
        <rFont val="等线"/>
        <sz val="11"/>
      </rPr>
      <t>#汽油调合量</t>
    </r>
  </si>
  <si>
    <r>
      <t>9</t>
    </r>
    <r>
      <rPr>
        <charset val="134"/>
        <family val="3"/>
        <rFont val="等线"/>
        <sz val="11"/>
      </rPr>
      <t>8</t>
    </r>
    <r>
      <rPr>
        <charset val="134"/>
        <family val="3"/>
        <rFont val="等线"/>
        <sz val="11"/>
      </rPr>
      <t>#汽油销售量</t>
    </r>
  </si>
  <si>
    <t>汽油总调合量</t>
  </si>
  <si>
    <t>汽油总销售量</t>
  </si>
  <si>
    <t>0#柴油调合量</t>
  </si>
  <si>
    <t>榆炼氨水</t>
  </si>
  <si>
    <t>0#柴油销售量</t>
  </si>
  <si>
    <t>3号喷气燃料产量</t>
  </si>
  <si>
    <t>3号喷气燃料销售量</t>
  </si>
  <si>
    <t>备注</t>
  </si>
  <si>
    <t>本月接收原油1.63万吨，其中接收长庆原油0万吨；全年接收原油1.63万吨，其中接收长庆原油0万吨。</t>
  </si>
  <si>
    <t>距离12月底还有364天。</t>
  </si>
  <si>
    <t>单位负责人：</t>
  </si>
  <si>
    <t>王静</t>
  </si>
  <si>
    <t>审核人：</t>
  </si>
  <si>
    <t>李小军</t>
  </si>
  <si>
    <t>制表人：</t>
  </si>
  <si>
    <t>韩卫玲</t>
  </si>
  <si>
    <t>报表生成时间：</t>
  </si>
  <si>
    <t>2026-01-01</t>
  </si>
  <si>
    <t xml:space="preserve"> 8:00:00</t>
  </si>
  <si>
    <t>本月累计</t>
  </si>
  <si>
    <t>本年累计</t>
  </si>
  <si>
    <t>1.原 油</t>
  </si>
  <si>
    <t>当日-本月</t>
  </si>
  <si>
    <t>当月-本年</t>
  </si>
  <si>
    <t>①.管 输</t>
  </si>
  <si>
    <t xml:space="preserve">   其中:长 庆</t>
  </si>
  <si>
    <t xml:space="preserve">        管道公司</t>
  </si>
  <si>
    <t>本日（吨）</t>
  </si>
  <si>
    <t>②.长庆长东</t>
  </si>
  <si>
    <t>③.钻采公司</t>
  </si>
  <si>
    <t xml:space="preserve">   其中：   英 旺</t>
  </si>
  <si>
    <t xml:space="preserve">         油气勘探</t>
  </si>
  <si>
    <t xml:space="preserve">         旬 邑</t>
  </si>
  <si>
    <t>黄陵指挥部</t>
  </si>
  <si>
    <t>本月接收原油</t>
  </si>
  <si>
    <t>万吨，</t>
  </si>
  <si>
    <t>其中接收长庆原油</t>
  </si>
  <si>
    <t>万吨；</t>
  </si>
  <si>
    <t>全年接收原油</t>
  </si>
  <si>
    <t>万吨。</t>
  </si>
  <si>
    <t>距离12月底还有</t>
  </si>
  <si>
    <t>天。</t>
  </si>
  <si>
    <r>
      <t>9</t>
    </r>
    <r>
      <rPr>
        <b/>
        <charset val="134"/>
        <color theme="1"/>
        <family val="3"/>
        <rFont val="Calibri"/>
        <scheme val="minor"/>
        <sz val="11"/>
      </rPr>
      <t>8</t>
    </r>
    <r>
      <rPr>
        <b/>
        <color theme="1"/>
        <family val="2"/>
        <rFont val="Calibri"/>
        <scheme val="minor"/>
        <sz val="11"/>
      </rPr>
      <t>#汽油调合量</t>
    </r>
  </si>
  <si>
    <r>
      <t>9</t>
    </r>
    <r>
      <rPr>
        <b/>
        <charset val="134"/>
        <color theme="1"/>
        <family val="3"/>
        <rFont val="Calibri"/>
        <scheme val="minor"/>
        <sz val="11"/>
      </rPr>
      <t>8</t>
    </r>
    <r>
      <rPr>
        <b/>
        <color theme="1"/>
        <family val="2"/>
        <rFont val="Calibri"/>
        <scheme val="minor"/>
        <sz val="11"/>
      </rPr>
      <t>#汽油销售量</t>
    </r>
  </si>
  <si>
    <t>正丁烷</t>
  </si>
  <si>
    <t>3号喷气燃料</t>
  </si>
  <si>
    <t>上古轻烃</t>
  </si>
  <si>
    <t>延炼氨水</t>
  </si>
  <si>
    <t>本月（吨）</t>
  </si>
  <si>
    <t>本年（吨）</t>
  </si>
  <si>
    <t>收率本日</t>
  </si>
  <si>
    <t>收率本月</t>
  </si>
  <si>
    <t>收率本年</t>
  </si>
  <si>
    <t>YL_SCJHBTHHZ_Day</t>
  </si>
  <si>
    <t>月计划调整量</t>
  </si>
  <si>
    <t>年计划调整量</t>
  </si>
  <si>
    <t>98#汽油调合量</t>
  </si>
  <si>
    <t>98#汽油销售量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</si>
</sst>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.000"/>
    <numFmt numFmtId="172" formatCode="0.0000"/>
    <numFmt numFmtId="173" formatCode="0.00_ "/>
    <numFmt numFmtId="174" formatCode="0_ "/>
    <numFmt numFmtId="175" formatCode="0.0;\-0.0"/>
    <numFmt numFmtId="176" formatCode="0.000;-0.000"/>
  </numFmts>
  <fonts count="28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0"/>
      <color auto="1"/>
      <name val="Arial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rgb="FF000000"/>
      <name val="等线"/>
    </font>
    <font>
      <sz val="11"/>
      <color auto="1"/>
      <name val="等线"/>
    </font>
    <font>
      <sz val="13"/>
      <color rgb="FF000000"/>
      <name val="宋体"/>
    </font>
    <font>
      <sz val="9"/>
      <color rgb="FF000000"/>
      <name val="宋体"/>
    </font>
    <font>
      <sz val="8"/>
      <color rgb="FF000000"/>
      <name val="宋体"/>
    </font>
    <font>
      <sz val="11"/>
      <color rgb="FF000000"/>
      <name val="宋体"/>
    </font>
    <font>
      <b/>
      <sz val="18"/>
      <color auto="1"/>
      <name val="等线"/>
    </font>
  </fonts>
  <fills count="38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theme="0"/>
      </patternFill>
    </fill>
    <fill>
      <patternFill patternType="solid">
        <fgColor rgb="FFFFFFFF"/>
      </patternFill>
    </fill>
    <fill>
      <patternFill patternType="solid">
        <fgColor rgb="FF33CCCC"/>
      </patternFill>
    </fill>
    <fill>
      <patternFill patternType="solid">
        <fgColor rgb="FF000000"/>
      </patternFill>
    </fill>
  </fills>
  <borders count="20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50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  <xf numFmtId="0" fontId="18" fillId="0" borderId="0" applyFont="1" applyFill="0" applyBorder="0"/>
    <xf numFmtId="0" fontId="19" fillId="0" borderId="0" applyFont="1" applyFill="0" applyBorder="0">
      <alignment vertical="top"/>
    </xf>
    <xf numFmtId="0" fontId="20" fillId="0" borderId="0" applyFont="1" applyFill="0" applyBorder="0">
      <alignment vertical="top"/>
    </xf>
  </cellStyleXfs>
  <cellXfs count="276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0" xfId="47" applyFont="1"/>
    <xf numFmtId="0" fontId="19" fillId="0" borderId="0" xfId="48" applyFont="1">
      <alignment vertical="top"/>
    </xf>
    <xf numFmtId="0" fontId="20" fillId="0" borderId="0" xfId="49" applyFont="1">
      <alignment vertical="top"/>
    </xf>
    <xf numFmtId="0" fontId="0" fillId="0" borderId="0" xfId="0" applyFont="1">
      <alignment horizontal="right"/>
    </xf>
    <xf numFmtId="0" fontId="0" fillId="7" borderId="0" xfId="0" applyFont="1" applyFill="1"/>
    <xf numFmtId="20" fontId="0" fillId="0" borderId="0" xfId="0" applyFont="1" applyNumberFormat="1"/>
    <xf numFmtId="0" fontId="16" fillId="0" borderId="0" xfId="0" applyFont="1">
      <alignment horizontal="center"/>
    </xf>
    <xf numFmtId="0" fontId="0" fillId="33" borderId="0" xfId="0" applyFont="1" applyFill="1"/>
    <xf numFmtId="0" fontId="16" fillId="0" borderId="0" xfId="0" applyFont="1"/>
    <xf numFmtId="2" fontId="0" fillId="33" borderId="0" xfId="0" applyFont="1" applyFill="1" applyNumberFormat="1"/>
    <xf numFmtId="171" fontId="0" fillId="0" borderId="0" xfId="0" applyFont="1" applyNumberFormat="1"/>
    <xf numFmtId="171" fontId="0" fillId="33" borderId="0" xfId="0" applyFont="1" applyFill="1" applyNumberFormat="1"/>
    <xf numFmtId="11" fontId="0" fillId="0" borderId="10" xfId="0" applyFont="1" applyBorder="1" applyNumberFormat="1"/>
    <xf numFmtId="2" fontId="21" fillId="0" borderId="11" xfId="47" applyFont="1" applyBorder="1" applyNumberFormat="1">
      <alignment horizontal="center" vertical="center" wrapText="1"/>
    </xf>
    <xf numFmtId="2" fontId="22" fillId="0" borderId="11" xfId="47" applyFont="1" applyBorder="1" applyNumberFormat="1">
      <alignment horizontal="center" vertical="center" wrapText="1"/>
    </xf>
    <xf numFmtId="2" fontId="22" fillId="0" borderId="12" xfId="47" applyFont="1" applyBorder="1" applyNumberFormat="1">
      <alignment horizontal="left" vertical="center" wrapText="1"/>
    </xf>
    <xf numFmtId="2" fontId="22" fillId="7" borderId="11" xfId="47" applyFont="1" applyFill="1" applyBorder="1" applyNumberFormat="1">
      <alignment horizontal="center" vertical="center"/>
    </xf>
    <xf numFmtId="1" fontId="22" fillId="34" borderId="11" xfId="47" applyFont="1" applyFill="1" applyBorder="1" applyNumberFormat="1">
      <alignment horizontal="center" vertical="center"/>
    </xf>
    <xf numFmtId="172" fontId="22" fillId="34" borderId="11" xfId="47" applyFont="1" applyFill="1" applyBorder="1" applyNumberFormat="1">
      <alignment horizontal="center" vertical="center"/>
    </xf>
    <xf numFmtId="172" fontId="22" fillId="34" borderId="11" xfId="47" applyFont="1" applyFill="1" applyBorder="1" applyNumberFormat="1">
      <alignment horizontal="center" vertical="center" wrapText="1"/>
    </xf>
    <xf numFmtId="2" fontId="22" fillId="0" borderId="12" xfId="47" applyFont="1" applyBorder="1" applyNumberFormat="1">
      <alignment horizontal="right" vertical="center" wrapText="1"/>
    </xf>
    <xf numFmtId="2" fontId="21" fillId="7" borderId="11" xfId="0" applyFont="1" applyFill="1" applyBorder="1" applyNumberFormat="1">
      <alignment horizontal="center" vertical="center"/>
    </xf>
    <xf numFmtId="172" fontId="22" fillId="0" borderId="11" xfId="47" applyFont="1" applyBorder="1" applyNumberFormat="1">
      <alignment horizontal="center" vertical="center" wrapText="1"/>
    </xf>
    <xf numFmtId="2" fontId="22" fillId="7" borderId="11" xfId="47" applyFont="1" applyFill="1" applyBorder="1" applyNumberFormat="1">
      <alignment horizontal="center" vertical="center" wrapText="1"/>
    </xf>
    <xf numFmtId="2" fontId="21" fillId="0" borderId="0" xfId="47" applyFont="1" applyNumberFormat="1">
      <alignment horizontal="right" vertical="center"/>
    </xf>
    <xf numFmtId="2" fontId="21" fillId="7" borderId="0" xfId="47" applyFont="1" applyFill="1" applyNumberFormat="1">
      <alignment horizontal="left" vertical="center"/>
    </xf>
    <xf numFmtId="2" fontId="21" fillId="0" borderId="0" xfId="47" applyFont="1" applyNumberFormat="1">
      <alignment horizontal="left" vertical="center"/>
    </xf>
    <xf numFmtId="2" fontId="21" fillId="0" borderId="11" xfId="47" applyFont="1" applyBorder="1" applyNumberFormat="1">
      <alignment horizontal="center" vertical="center"/>
    </xf>
    <xf numFmtId="1" fontId="22" fillId="0" borderId="11" xfId="47" applyFont="1" applyBorder="1" applyNumberFormat="1">
      <alignment horizontal="center" vertical="center" wrapText="1"/>
    </xf>
    <xf numFmtId="2" fontId="22" fillId="34" borderId="11" xfId="47" applyFont="1" applyFill="1" applyBorder="1" applyNumberFormat="1">
      <alignment horizontal="center" vertical="center"/>
    </xf>
    <xf numFmtId="2" fontId="21" fillId="7" borderId="11" xfId="47" applyFont="1" applyFill="1" applyBorder="1" applyNumberFormat="1">
      <alignment horizontal="center" vertical="center"/>
    </xf>
    <xf numFmtId="2" fontId="22" fillId="34" borderId="11" xfId="47" applyFont="1" applyFill="1" applyBorder="1" applyNumberFormat="1">
      <alignment horizontal="center" vertical="center" wrapText="1"/>
    </xf>
    <xf numFmtId="172" fontId="22" fillId="34" borderId="11" xfId="47" applyFont="1" applyFill="1" applyBorder="1" applyNumberFormat="1">
      <alignment vertical="center" wrapText="1"/>
    </xf>
    <xf numFmtId="172" fontId="22" fillId="7" borderId="11" xfId="47" applyFont="1" applyFill="1" applyBorder="1" applyNumberFormat="1">
      <alignment horizontal="center" vertical="center" wrapText="1"/>
    </xf>
    <xf numFmtId="1" fontId="22" fillId="7" borderId="11" xfId="47" applyFont="1" applyFill="1" applyBorder="1" applyNumberFormat="1">
      <alignment horizontal="center" vertical="center" wrapText="1"/>
    </xf>
    <xf numFmtId="173" fontId="22" fillId="7" borderId="11" xfId="47" applyFont="1" applyFill="1" applyBorder="1" applyNumberFormat="1">
      <alignment horizontal="center" vertical="center"/>
    </xf>
    <xf numFmtId="174" fontId="22" fillId="7" borderId="11" xfId="47" applyFont="1" applyFill="1" applyBorder="1" applyNumberFormat="1">
      <alignment horizontal="center" vertical="center"/>
    </xf>
    <xf numFmtId="2" fontId="23" fillId="0" borderId="0" xfId="47" applyFont="1" applyNumberFormat="1">
      <alignment horizontal="left" vertical="center"/>
    </xf>
    <xf numFmtId="2" fontId="24" fillId="0" borderId="0" xfId="47" applyFont="1" applyNumberFormat="1">
      <alignment horizontal="left" vertical="center"/>
    </xf>
    <xf numFmtId="2" fontId="21" fillId="0" borderId="13" xfId="47" applyFont="1" applyBorder="1" applyNumberFormat="1">
      <alignment horizontal="center" vertical="center"/>
    </xf>
    <xf numFmtId="2" fontId="25" fillId="0" borderId="0" xfId="47" applyFont="1" applyNumberFormat="1">
      <alignment horizontal="left" vertical="center" wrapText="1"/>
    </xf>
    <xf numFmtId="2" fontId="25" fillId="0" borderId="0" xfId="47" applyFont="1" applyNumberFormat="1">
      <alignment horizontal="center" vertical="center" wrapText="1"/>
    </xf>
    <xf numFmtId="2" fontId="25" fillId="0" borderId="0" xfId="47" applyFont="1" applyNumberFormat="1">
      <alignment horizontal="left" vertical="center"/>
    </xf>
    <xf numFmtId="2" fontId="22" fillId="7" borderId="13" xfId="47" applyFont="1" applyFill="1" applyBorder="1" applyNumberFormat="1">
      <alignment horizontal="center" vertical="center" wrapText="1"/>
    </xf>
    <xf numFmtId="1" fontId="26" fillId="35" borderId="0" xfId="47" applyFont="1" applyFill="1" applyNumberFormat="1">
      <alignment horizontal="center" vertical="center"/>
    </xf>
    <xf numFmtId="1" fontId="24" fillId="36" borderId="0" xfId="47" applyFont="1" applyFill="1" applyNumberFormat="1">
      <alignment horizontal="right" vertical="center"/>
    </xf>
    <xf numFmtId="2" fontId="22" fillId="0" borderId="0" xfId="47" applyFont="1" applyNumberFormat="1">
      <alignment horizontal="center" vertical="center"/>
    </xf>
    <xf numFmtId="1" fontId="26" fillId="35" borderId="0" xfId="47" applyFont="1" applyFill="1" applyNumberFormat="1">
      <alignment horizontal="right" vertical="center"/>
    </xf>
    <xf numFmtId="2" fontId="21" fillId="0" borderId="0" xfId="0" applyFont="1" applyNumberFormat="1">
      <alignment horizontal="center" vertical="center"/>
    </xf>
    <xf numFmtId="1" fontId="26" fillId="0" borderId="0" xfId="47" applyFont="1" applyNumberFormat="1">
      <alignment horizontal="right" vertical="center"/>
    </xf>
    <xf numFmtId="2" fontId="24" fillId="37" borderId="0" xfId="47" applyFont="1" applyFill="1" applyNumberFormat="1">
      <alignment horizontal="left" vertical="center"/>
    </xf>
    <xf numFmtId="1" fontId="25" fillId="37" borderId="0" xfId="47" applyFont="1" applyFill="1" applyNumberFormat="1">
      <alignment horizontal="right" vertical="center"/>
    </xf>
    <xf numFmtId="172" fontId="22" fillId="34" borderId="13" xfId="47" applyFont="1" applyFill="1" applyBorder="1" applyNumberFormat="1">
      <alignment vertical="center" wrapText="1"/>
    </xf>
    <xf numFmtId="172" fontId="22" fillId="7" borderId="13" xfId="47" applyFont="1" applyFill="1" applyBorder="1" applyNumberFormat="1">
      <alignment horizontal="center" vertical="center" wrapText="1"/>
    </xf>
    <xf numFmtId="2" fontId="22" fillId="7" borderId="13" xfId="47" applyFont="1" applyFill="1" applyBorder="1" applyNumberFormat="1">
      <alignment vertical="center" wrapText="1"/>
    </xf>
    <xf numFmtId="2" fontId="26" fillId="37" borderId="0" xfId="47" applyFont="1" applyFill="1" applyNumberFormat="1">
      <alignment horizontal="left" vertical="center"/>
    </xf>
    <xf numFmtId="2" fontId="22" fillId="34" borderId="13" xfId="47" applyFont="1" applyFill="1" applyBorder="1" applyNumberFormat="1">
      <alignment horizontal="center" vertical="center" wrapText="1"/>
    </xf>
    <xf numFmtId="2" fontId="26" fillId="0" borderId="0" xfId="47" applyFont="1" applyNumberFormat="1">
      <alignment horizontal="left" vertical="center"/>
    </xf>
    <xf numFmtId="2" fontId="22" fillId="7" borderId="13" xfId="47" applyFont="1" applyFill="1" applyBorder="1" applyNumberFormat="1">
      <alignment horizontal="center" vertical="center"/>
    </xf>
    <xf numFmtId="2" fontId="26" fillId="35" borderId="0" xfId="47" applyFont="1" applyFill="1" applyNumberFormat="1">
      <alignment horizontal="left" vertical="center"/>
    </xf>
    <xf numFmtId="2" fontId="0" fillId="0" borderId="0" xfId="0" applyFont="1" applyNumberFormat="1"/>
    <xf numFmtId="2" fontId="21" fillId="0" borderId="0" xfId="0" applyFont="1" applyNumberFormat="1">
      <alignment horizontal="center" vertical="center"/>
    </xf>
    <xf numFmtId="2" fontId="21" fillId="0" borderId="0" xfId="0" applyFont="1" applyNumberFormat="1">
      <alignment horizontal="right" vertical="center"/>
    </xf>
    <xf numFmtId="2" fontId="0" fillId="33" borderId="0" xfId="0" applyFont="1" applyFill="1" applyNumberFormat="1"/>
    <xf numFmtId="171" fontId="0" fillId="0" borderId="0" xfId="0" applyFont="1" applyNumberFormat="1"/>
    <xf numFmtId="171" fontId="0" fillId="33" borderId="0" xfId="0" applyFont="1" applyFill="1" applyNumberFormat="1"/>
    <xf numFmtId="11" fontId="0" fillId="0" borderId="10" xfId="0" applyFont="1" applyBorder="1" applyNumberFormat="1"/>
    <xf numFmtId="0" fontId="0" fillId="0" borderId="0" xfId="0" applyFont="1">
      <alignment horizontal="right"/>
    </xf>
    <xf numFmtId="2" fontId="22" fillId="0" borderId="12" xfId="47" applyFont="1" applyBorder="1" applyNumberFormat="1">
      <alignment horizontal="left" vertical="center" wrapText="1"/>
    </xf>
    <xf numFmtId="0" fontId="0" fillId="7" borderId="0" xfId="0" applyFont="1" applyFill="1"/>
    <xf numFmtId="0" fontId="0" fillId="33" borderId="0" xfId="0" applyFont="1" applyFill="1"/>
    <xf numFmtId="0" fontId="0" fillId="33" borderId="0" xfId="0" applyFont="1" applyFill="1"/>
    <xf numFmtId="0" fontId="18" fillId="0" borderId="0" xfId="47" applyFont="1"/>
    <xf numFmtId="2" fontId="22" fillId="0" borderId="12" xfId="47" applyFont="1" applyBorder="1" applyNumberFormat="1">
      <alignment horizontal="left" vertical="center" wrapText="1"/>
    </xf>
    <xf numFmtId="0" fontId="16" fillId="0" borderId="0" xfId="0" applyFont="1">
      <alignment horizontal="center"/>
    </xf>
    <xf numFmtId="0" fontId="0" fillId="33" borderId="0" xfId="0" applyFont="1" applyFill="1"/>
    <xf numFmtId="172" fontId="22" fillId="34" borderId="14" xfId="47" applyFont="1" applyFill="1" applyBorder="1" applyNumberFormat="1">
      <alignment horizontal="center" vertical="center" wrapText="1"/>
    </xf>
    <xf numFmtId="172" fontId="22" fillId="34" borderId="11" xfId="47" applyFont="1" applyFill="1" applyBorder="1" applyNumberFormat="1">
      <alignment horizontal="center" vertical="center" wrapText="1"/>
    </xf>
    <xf numFmtId="1" fontId="22" fillId="34" borderId="11" xfId="47" applyFont="1" applyFill="1" applyBorder="1" applyNumberFormat="1">
      <alignment horizontal="center" vertical="center"/>
    </xf>
    <xf numFmtId="1" fontId="22" fillId="34" borderId="11" xfId="47" applyFont="1" applyFill="1" applyBorder="1" applyNumberFormat="1">
      <alignment horizontal="right" vertical="center"/>
    </xf>
    <xf numFmtId="2" fontId="22" fillId="34" borderId="13" xfId="47" applyFont="1" applyFill="1" applyBorder="1" applyNumberFormat="1">
      <alignment horizontal="center" vertical="center"/>
    </xf>
    <xf numFmtId="175" fontId="22" fillId="7" borderId="11" xfId="0" applyFont="1" applyFill="1" applyBorder="1" applyNumberFormat="1">
      <alignment horizontal="center" vertical="center" wrapText="1"/>
    </xf>
    <xf numFmtId="2" fontId="21" fillId="0" borderId="15" xfId="47" applyFont="1" applyBorder="1" applyNumberFormat="1">
      <alignment horizontal="left" vertical="center"/>
    </xf>
    <xf numFmtId="2" fontId="21" fillId="0" borderId="15" xfId="47" applyFont="1" applyBorder="1" applyNumberFormat="1">
      <alignment horizontal="right" vertical="center"/>
    </xf>
    <xf numFmtId="2" fontId="21" fillId="0" borderId="15" xfId="47" applyFont="1" applyBorder="1" applyNumberFormat="1">
      <alignment horizontal="center" vertical="center"/>
    </xf>
    <xf numFmtId="2" fontId="21" fillId="0" borderId="15" xfId="47" applyFont="1" applyBorder="1" applyNumberFormat="1">
      <alignment vertical="center"/>
    </xf>
    <xf numFmtId="2" fontId="22" fillId="0" borderId="12" xfId="47" applyFont="1" applyBorder="1" applyNumberFormat="1">
      <alignment horizontal="center" vertical="center" wrapText="1"/>
    </xf>
    <xf numFmtId="172" fontId="22" fillId="7" borderId="16" xfId="47" applyFont="1" applyFill="1" applyBorder="1" applyNumberFormat="1">
      <alignment horizontal="center" vertical="center" wrapText="1"/>
    </xf>
    <xf numFmtId="172" fontId="22" fillId="7" borderId="14" xfId="47" applyFont="1" applyFill="1" applyBorder="1" applyNumberFormat="1">
      <alignment horizontal="center" vertical="center" wrapText="1"/>
    </xf>
    <xf numFmtId="2" fontId="21" fillId="0" borderId="17" xfId="47" applyFont="1" applyBorder="1" applyNumberFormat="1">
      <alignment horizontal="center" vertical="center"/>
    </xf>
    <xf numFmtId="2" fontId="21" fillId="0" borderId="18" xfId="47" applyFont="1" applyBorder="1" applyNumberFormat="1">
      <alignment horizontal="center" vertical="center"/>
    </xf>
    <xf numFmtId="2" fontId="21" fillId="0" borderId="19" xfId="47" applyFont="1" applyBorder="1" applyNumberFormat="1">
      <alignment horizontal="center" vertical="center"/>
    </xf>
    <xf numFmtId="2" fontId="21" fillId="0" borderId="17" xfId="47" applyFont="1" applyBorder="1" applyNumberFormat="1">
      <alignment horizontal="center" vertical="center" wrapText="1"/>
    </xf>
    <xf numFmtId="2" fontId="21" fillId="0" borderId="18" xfId="47" applyFont="1" applyBorder="1" applyNumberFormat="1">
      <alignment horizontal="center" vertical="center" wrapText="1"/>
    </xf>
    <xf numFmtId="2" fontId="21" fillId="0" borderId="19" xfId="47" applyFont="1" applyBorder="1" applyNumberFormat="1">
      <alignment horizontal="center" vertical="center" wrapText="1"/>
    </xf>
    <xf numFmtId="2" fontId="21" fillId="0" borderId="11" xfId="47" applyFont="1" applyBorder="1" applyNumberFormat="1">
      <alignment horizontal="center" vertical="center"/>
    </xf>
    <xf numFmtId="2" fontId="21" fillId="0" borderId="13" xfId="47" applyFont="1" applyBorder="1" applyNumberFormat="1">
      <alignment horizontal="center" vertical="center"/>
    </xf>
    <xf numFmtId="2" fontId="25" fillId="0" borderId="0" xfId="47" applyFont="1" applyNumberFormat="1">
      <alignment horizontal="center" vertical="center"/>
    </xf>
    <xf numFmtId="2" fontId="22" fillId="7" borderId="11" xfId="47" applyFont="1" applyFill="1" applyBorder="1" applyNumberFormat="1">
      <alignment horizontal="center" vertical="center" wrapText="1"/>
    </xf>
    <xf numFmtId="2" fontId="25" fillId="37" borderId="0" xfId="47" applyFont="1" applyFill="1" applyNumberFormat="1">
      <alignment horizontal="center" vertical="center" wrapText="1"/>
    </xf>
    <xf numFmtId="171" fontId="27" fillId="0" borderId="0" xfId="47" applyFont="1" applyNumberFormat="1">
      <alignment horizontal="center" vertical="center"/>
    </xf>
    <xf numFmtId="2" fontId="21" fillId="0" borderId="15" xfId="47" applyFont="1" applyBorder="1" applyNumberFormat="1">
      <alignment horizontal="left" vertical="center"/>
    </xf>
    <xf numFmtId="2" fontId="21" fillId="0" borderId="15" xfId="47" applyFont="1" applyBorder="1" applyNumberFormat="1">
      <alignment horizontal="right" vertical="center"/>
    </xf>
    <xf numFmtId="0" fontId="18" fillId="0" borderId="0" xfId="47" applyFont="1">
      <alignment wrapText="1"/>
    </xf>
    <xf numFmtId="0" fontId="0" fillId="0" borderId="0" xfId="0" applyFont="1">
      <alignment wrapText="1"/>
    </xf>
    <xf numFmtId="0" fontId="0" fillId="0" borderId="0" xfId="0" applyFont="1">
      <alignment wrapText="1"/>
    </xf>
    <xf numFmtId="171" fontId="27" fillId="0" borderId="0" xfId="0" applyFont="1" applyNumberFormat="1">
      <alignment horizontal="center" vertical="center" wrapText="1"/>
    </xf>
    <xf numFmtId="2" fontId="23" fillId="0" borderId="0" xfId="0" applyFont="1" applyNumberFormat="1">
      <alignment horizontal="left" vertical="center" wrapText="1"/>
    </xf>
    <xf numFmtId="2" fontId="21" fillId="0" borderId="15" xfId="0" applyFont="1" applyBorder="1" applyNumberFormat="1">
      <alignment horizontal="left" vertical="center" wrapText="1"/>
    </xf>
    <xf numFmtId="2" fontId="21" fillId="0" borderId="15" xfId="0" applyFont="1" applyBorder="1" applyNumberFormat="1">
      <alignment horizontal="left" vertical="center" wrapText="1"/>
    </xf>
    <xf numFmtId="2" fontId="21" fillId="0" borderId="15" xfId="0" applyFont="1" applyBorder="1" applyNumberFormat="1">
      <alignment horizontal="right" vertical="center" wrapText="1"/>
    </xf>
    <xf numFmtId="2" fontId="21" fillId="0" borderId="15" xfId="0" applyFont="1" applyBorder="1" applyNumberFormat="1">
      <alignment horizontal="center" vertical="center" wrapText="1"/>
    </xf>
    <xf numFmtId="2" fontId="21" fillId="0" borderId="15" xfId="0" applyFont="1" applyBorder="1" applyNumberFormat="1">
      <alignment vertical="center" wrapText="1"/>
    </xf>
    <xf numFmtId="2" fontId="21" fillId="0" borderId="15" xfId="0" applyFont="1" applyBorder="1" applyNumberFormat="1">
      <alignment horizontal="right" vertical="center" wrapText="1"/>
    </xf>
    <xf numFmtId="2" fontId="24" fillId="0" borderId="0" xfId="0" applyFont="1" applyNumberFormat="1">
      <alignment horizontal="left" vertical="center" wrapText="1"/>
    </xf>
    <xf numFmtId="2" fontId="22" fillId="0" borderId="12" xfId="0" applyFont="1" applyBorder="1" applyNumberFormat="1">
      <alignment horizontal="center" vertical="center" wrapText="1"/>
    </xf>
    <xf numFmtId="2" fontId="21" fillId="0" borderId="17" xfId="0" applyFont="1" applyBorder="1" applyNumberFormat="1">
      <alignment horizontal="center" vertical="center" wrapText="1"/>
    </xf>
    <xf numFmtId="2" fontId="21" fillId="0" borderId="18" xfId="0" applyFont="1" applyBorder="1" applyNumberFormat="1">
      <alignment horizontal="center" vertical="center" wrapText="1"/>
    </xf>
    <xf numFmtId="2" fontId="21" fillId="0" borderId="19" xfId="0" applyFont="1" applyBorder="1" applyNumberFormat="1">
      <alignment horizontal="center" vertical="center" wrapText="1"/>
    </xf>
    <xf numFmtId="2" fontId="21" fillId="0" borderId="17" xfId="0" applyFont="1" applyBorder="1" applyNumberFormat="1">
      <alignment horizontal="center" vertical="center" wrapText="1"/>
    </xf>
    <xf numFmtId="2" fontId="21" fillId="0" borderId="18" xfId="0" applyFont="1" applyBorder="1" applyNumberFormat="1">
      <alignment horizontal="center" vertical="center" wrapText="1"/>
    </xf>
    <xf numFmtId="2" fontId="21" fillId="0" borderId="19" xfId="0" applyFont="1" applyBorder="1" applyNumberFormat="1">
      <alignment horizontal="center" vertical="center" wrapText="1"/>
    </xf>
    <xf numFmtId="2" fontId="21" fillId="0" borderId="11" xfId="0" applyFont="1" applyBorder="1" applyNumberFormat="1">
      <alignment horizontal="center" vertical="center" wrapText="1"/>
    </xf>
    <xf numFmtId="2" fontId="21" fillId="0" borderId="13" xfId="0" applyFont="1" applyBorder="1" applyNumberFormat="1">
      <alignment horizontal="center" vertical="center" wrapText="1"/>
    </xf>
    <xf numFmtId="2" fontId="25" fillId="0" borderId="0" xfId="0" applyFont="1" applyNumberFormat="1">
      <alignment horizontal="center" vertical="center" wrapText="1"/>
    </xf>
    <xf numFmtId="2" fontId="21" fillId="0" borderId="11" xfId="0" applyFont="1" applyBorder="1" applyNumberFormat="1">
      <alignment horizontal="center" vertical="center" wrapText="1"/>
    </xf>
    <xf numFmtId="2" fontId="22" fillId="0" borderId="11" xfId="0" applyFont="1" applyBorder="1" applyNumberFormat="1">
      <alignment horizontal="center" vertical="center" wrapText="1"/>
    </xf>
    <xf numFmtId="2" fontId="21" fillId="0" borderId="11" xfId="0" applyFont="1" applyBorder="1" applyNumberFormat="1">
      <alignment horizontal="center" vertical="center" wrapText="1"/>
    </xf>
    <xf numFmtId="2" fontId="21" fillId="0" borderId="13" xfId="0" applyFont="1" applyBorder="1" applyNumberFormat="1">
      <alignment horizontal="center" vertical="center" wrapText="1"/>
    </xf>
    <xf numFmtId="2" fontId="25" fillId="0" borderId="0" xfId="0" applyFont="1" applyNumberFormat="1">
      <alignment horizontal="left" vertical="center" wrapText="1"/>
    </xf>
    <xf numFmtId="2" fontId="25" fillId="0" borderId="0" xfId="0" applyFont="1" applyNumberFormat="1">
      <alignment horizontal="center" vertical="center" wrapText="1"/>
    </xf>
    <xf numFmtId="2" fontId="25" fillId="0" borderId="0" xfId="0" applyFont="1" applyNumberFormat="1">
      <alignment horizontal="left" vertical="center" wrapText="1"/>
    </xf>
    <xf numFmtId="2" fontId="22" fillId="0" borderId="12" xfId="0" applyFont="1" applyBorder="1" applyNumberFormat="1">
      <alignment horizontal="left" vertical="center" wrapText="1"/>
    </xf>
    <xf numFmtId="2" fontId="22" fillId="7" borderId="11" xfId="0" applyFont="1" applyFill="1" applyBorder="1" applyNumberFormat="1">
      <alignment horizontal="center" vertical="center" wrapText="1"/>
    </xf>
    <xf numFmtId="1" fontId="22" fillId="34" borderId="11" xfId="0" applyFont="1" applyFill="1" applyBorder="1" applyNumberFormat="1">
      <alignment horizontal="center" vertical="center" wrapText="1"/>
    </xf>
    <xf numFmtId="172" fontId="22" fillId="34" borderId="11" xfId="0" applyFont="1" applyFill="1" applyBorder="1" applyNumberFormat="1">
      <alignment horizontal="center" vertical="center" wrapText="1"/>
    </xf>
    <xf numFmtId="172" fontId="22" fillId="34" borderId="11" xfId="0" applyFont="1" applyFill="1" applyBorder="1" applyNumberFormat="1">
      <alignment horizontal="center" vertical="center" wrapText="1"/>
    </xf>
    <xf numFmtId="172" fontId="22" fillId="0" borderId="11" xfId="0" applyFont="1" applyBorder="1" applyNumberFormat="1">
      <alignment horizontal="center" vertical="center" wrapText="1"/>
    </xf>
    <xf numFmtId="1" fontId="22" fillId="0" borderId="11" xfId="0" applyFont="1" applyBorder="1" applyNumberFormat="1">
      <alignment horizontal="center" vertical="center" wrapText="1"/>
    </xf>
    <xf numFmtId="2" fontId="22" fillId="34" borderId="11" xfId="0" applyFont="1" applyFill="1" applyBorder="1" applyNumberFormat="1">
      <alignment horizontal="center" vertical="center" wrapText="1"/>
    </xf>
    <xf numFmtId="2" fontId="21" fillId="7" borderId="11" xfId="0" applyFont="1" applyFill="1" applyBorder="1" applyNumberFormat="1">
      <alignment horizontal="center" vertical="center" wrapText="1"/>
      <protection locked="0"/>
    </xf>
    <xf numFmtId="2" fontId="21" fillId="7" borderId="11" xfId="0" applyFont="1" applyFill="1" applyBorder="1" applyNumberFormat="1">
      <alignment horizontal="center" vertical="center" wrapText="1"/>
      <protection locked="0"/>
    </xf>
    <xf numFmtId="2" fontId="22" fillId="34" borderId="11" xfId="0" applyFont="1" applyFill="1" applyBorder="1" applyNumberFormat="1">
      <alignment horizontal="center" vertical="center" wrapText="1"/>
    </xf>
    <xf numFmtId="2" fontId="22" fillId="7" borderId="13" xfId="0" applyFont="1" applyFill="1" applyBorder="1" applyNumberFormat="1">
      <alignment horizontal="center" vertical="center" wrapText="1"/>
    </xf>
    <xf numFmtId="1" fontId="26" fillId="35" borderId="0" xfId="0" applyFont="1" applyFill="1" applyNumberFormat="1">
      <alignment horizontal="center" vertical="center" wrapText="1"/>
    </xf>
    <xf numFmtId="1" fontId="24" fillId="36" borderId="0" xfId="0" applyFont="1" applyFill="1" applyNumberFormat="1">
      <alignment horizontal="right" vertical="center" wrapText="1"/>
    </xf>
    <xf numFmtId="2" fontId="22" fillId="0" borderId="0" xfId="0" applyFont="1" applyNumberFormat="1">
      <alignment horizontal="center" vertical="center" wrapText="1"/>
    </xf>
    <xf numFmtId="2" fontId="0" fillId="0" borderId="0" xfId="0" applyFont="1" applyNumberFormat="1">
      <alignment wrapText="1"/>
      <protection locked="0"/>
    </xf>
    <xf numFmtId="2" fontId="21" fillId="0" borderId="0" xfId="0" applyFont="1" applyNumberFormat="1">
      <alignment horizontal="center" vertical="center" wrapText="1"/>
      <protection locked="0"/>
    </xf>
    <xf numFmtId="2" fontId="22" fillId="0" borderId="12" xfId="0" applyFont="1" applyBorder="1" applyNumberFormat="1">
      <alignment horizontal="right" vertical="center" wrapText="1"/>
    </xf>
    <xf numFmtId="1" fontId="26" fillId="35" borderId="0" xfId="0" applyFont="1" applyFill="1" applyNumberFormat="1">
      <alignment horizontal="right" vertical="center" wrapText="1"/>
    </xf>
    <xf numFmtId="2" fontId="21" fillId="0" borderId="0" xfId="0" applyFont="1" applyNumberFormat="1">
      <alignment horizontal="center" vertical="center" wrapText="1"/>
      <protection locked="0"/>
    </xf>
    <xf numFmtId="2" fontId="21" fillId="0" borderId="0" xfId="0" applyFont="1" applyNumberFormat="1">
      <alignment horizontal="right" vertical="center" wrapText="1"/>
      <protection locked="0"/>
    </xf>
    <xf numFmtId="2" fontId="21" fillId="0" borderId="0" xfId="0" applyFont="1" applyNumberFormat="1">
      <alignment horizontal="center" vertical="center" wrapText="1"/>
    </xf>
    <xf numFmtId="1" fontId="26" fillId="0" borderId="0" xfId="0" applyFont="1" applyNumberFormat="1">
      <alignment horizontal="right" vertical="center" wrapText="1"/>
    </xf>
    <xf numFmtId="2" fontId="24" fillId="37" borderId="0" xfId="0" applyFont="1" applyFill="1" applyNumberFormat="1">
      <alignment horizontal="left" vertical="center" wrapText="1"/>
    </xf>
    <xf numFmtId="2" fontId="21" fillId="0" borderId="0" xfId="0" applyFont="1" applyNumberFormat="1">
      <alignment horizontal="right" vertical="center" wrapText="1"/>
    </xf>
    <xf numFmtId="176" fontId="21" fillId="7" borderId="11" xfId="0" applyFont="1" applyFill="1" applyBorder="1" applyNumberFormat="1">
      <alignment horizontal="center" vertical="center" wrapText="1"/>
      <protection locked="0"/>
    </xf>
    <xf numFmtId="1" fontId="25" fillId="37" borderId="0" xfId="0" applyFont="1" applyFill="1" applyNumberFormat="1">
      <alignment horizontal="right" vertical="center" wrapText="1"/>
    </xf>
    <xf numFmtId="172" fontId="22" fillId="34" borderId="11" xfId="0" applyFont="1" applyFill="1" applyBorder="1" applyNumberFormat="1">
      <alignment vertical="center" wrapText="1"/>
    </xf>
    <xf numFmtId="172" fontId="22" fillId="34" borderId="13" xfId="0" applyFont="1" applyFill="1" applyBorder="1" applyNumberFormat="1">
      <alignment vertical="center" wrapText="1"/>
    </xf>
    <xf numFmtId="2" fontId="25" fillId="37" borderId="0" xfId="0" applyFont="1" applyFill="1" applyNumberFormat="1">
      <alignment horizontal="center" vertical="center" wrapText="1"/>
    </xf>
    <xf numFmtId="172" fontId="22" fillId="7" borderId="11" xfId="0" applyFont="1" applyFill="1" applyBorder="1" applyNumberFormat="1">
      <alignment horizontal="center" vertical="center" wrapText="1"/>
    </xf>
    <xf numFmtId="172" fontId="22" fillId="7" borderId="13" xfId="0" applyFont="1" applyFill="1" applyBorder="1" applyNumberFormat="1">
      <alignment horizontal="center" vertical="center" wrapText="1"/>
    </xf>
    <xf numFmtId="172" fontId="22" fillId="7" borderId="16" xfId="0" applyFont="1" applyFill="1" applyBorder="1" applyNumberFormat="1">
      <alignment horizontal="center" vertical="center" wrapText="1"/>
    </xf>
    <xf numFmtId="2" fontId="22" fillId="7" borderId="11" xfId="0" applyFont="1" applyFill="1" applyBorder="1" applyNumberFormat="1">
      <alignment horizontal="center" vertical="center" wrapText="1"/>
    </xf>
    <xf numFmtId="175" fontId="22" fillId="7" borderId="11" xfId="0" applyFont="1" applyFill="1" applyBorder="1" applyNumberFormat="1">
      <alignment horizontal="center" vertical="center" wrapText="1"/>
    </xf>
    <xf numFmtId="2" fontId="22" fillId="7" borderId="13" xfId="0" applyFont="1" applyFill="1" applyBorder="1" applyNumberFormat="1">
      <alignment vertical="center" wrapText="1"/>
    </xf>
    <xf numFmtId="172" fontId="22" fillId="7" borderId="14" xfId="0" applyFont="1" applyFill="1" applyBorder="1" applyNumberFormat="1">
      <alignment horizontal="center" vertical="center" wrapText="1"/>
    </xf>
    <xf numFmtId="1" fontId="22" fillId="7" borderId="11" xfId="0" applyFont="1" applyFill="1" applyBorder="1" applyNumberFormat="1">
      <alignment horizontal="center" vertical="center" wrapText="1"/>
    </xf>
    <xf numFmtId="2" fontId="26" fillId="37" borderId="0" xfId="0" applyFont="1" applyFill="1" applyNumberFormat="1">
      <alignment horizontal="left" vertical="center" wrapText="1"/>
    </xf>
    <xf numFmtId="2" fontId="22" fillId="34" borderId="13" xfId="0" applyFont="1" applyFill="1" applyBorder="1" applyNumberFormat="1">
      <alignment horizontal="center" vertical="center" wrapText="1"/>
    </xf>
    <xf numFmtId="172" fontId="22" fillId="34" borderId="14" xfId="0" applyFont="1" applyFill="1" applyBorder="1" applyNumberFormat="1">
      <alignment horizontal="center" vertical="center" wrapText="1"/>
    </xf>
    <xf numFmtId="172" fontId="22" fillId="34" borderId="11" xfId="0" applyFont="1" applyFill="1" applyBorder="1" applyNumberFormat="1">
      <alignment horizontal="center" vertical="center" wrapText="1"/>
    </xf>
    <xf numFmtId="1" fontId="22" fillId="34" borderId="11" xfId="0" applyFont="1" applyFill="1" applyBorder="1" applyNumberFormat="1">
      <alignment horizontal="center" vertical="center" wrapText="1"/>
    </xf>
    <xf numFmtId="1" fontId="22" fillId="34" borderId="11" xfId="0" applyFont="1" applyFill="1" applyBorder="1" applyNumberFormat="1">
      <alignment horizontal="right" vertical="center" wrapText="1"/>
    </xf>
    <xf numFmtId="2" fontId="22" fillId="34" borderId="13" xfId="0" applyFont="1" applyFill="1" applyBorder="1" applyNumberFormat="1">
      <alignment horizontal="center" vertical="center" wrapText="1"/>
    </xf>
    <xf numFmtId="2" fontId="26" fillId="0" borderId="0" xfId="0" applyFont="1" applyNumberFormat="1">
      <alignment horizontal="left" vertical="center" wrapText="1"/>
    </xf>
    <xf numFmtId="2" fontId="21" fillId="0" borderId="0" xfId="0" applyFont="1" applyNumberFormat="1">
      <alignment horizontal="center" vertical="center" wrapText="1"/>
    </xf>
    <xf numFmtId="0" fontId="0" fillId="0" borderId="0" xfId="0" applyFont="1"/>
    <xf numFmtId="0" fontId="18" fillId="0" borderId="0" xfId="0" applyFont="1">
      <alignment wrapText="1"/>
    </xf>
    <xf numFmtId="2" fontId="22" fillId="0" borderId="12" xfId="0" applyFont="1" applyBorder="1" applyNumberFormat="1">
      <alignment horizontal="left" vertical="center" wrapText="1"/>
    </xf>
    <xf numFmtId="0" fontId="0" fillId="0" borderId="0" xfId="0" applyFont="1"/>
    <xf numFmtId="173" fontId="22" fillId="7" borderId="11" xfId="0" applyFont="1" applyFill="1" applyBorder="1" applyNumberFormat="1">
      <alignment horizontal="center" vertical="center" wrapText="1"/>
    </xf>
    <xf numFmtId="2" fontId="22" fillId="7" borderId="13" xfId="0" applyFont="1" applyFill="1" applyBorder="1" applyNumberFormat="1">
      <alignment horizontal="center" vertical="center" wrapText="1"/>
    </xf>
    <xf numFmtId="2" fontId="21" fillId="0" borderId="0" xfId="0" applyFont="1" applyNumberFormat="1">
      <alignment horizontal="center" vertical="center" wrapText="1"/>
      <protection locked="0"/>
    </xf>
    <xf numFmtId="174" fontId="22" fillId="7" borderId="11" xfId="0" applyFont="1" applyFill="1" applyBorder="1" applyNumberFormat="1">
      <alignment horizontal="center" vertical="center" wrapText="1"/>
    </xf>
    <xf numFmtId="0" fontId="0" fillId="0" borderId="0" xfId="0" applyFont="1"/>
    <xf numFmtId="0" fontId="18" fillId="0" borderId="0" xfId="0" applyFont="1">
      <alignment wrapText="1"/>
    </xf>
    <xf numFmtId="2" fontId="22" fillId="0" borderId="12" xfId="0" applyFont="1" applyBorder="1" applyNumberFormat="1">
      <alignment horizontal="left" vertical="center" wrapText="1"/>
    </xf>
    <xf numFmtId="0" fontId="0" fillId="0" borderId="0" xfId="0" applyFont="1"/>
    <xf numFmtId="2" fontId="22" fillId="7" borderId="11" xfId="0" applyFont="1" applyFill="1" applyBorder="1" applyNumberFormat="1">
      <alignment horizontal="center" vertical="center" wrapText="1"/>
      <protection locked="0"/>
    </xf>
    <xf numFmtId="2" fontId="22" fillId="7" borderId="11" xfId="0" applyFont="1" applyFill="1" applyBorder="1" applyNumberFormat="1">
      <alignment horizontal="center" vertical="center" wrapText="1"/>
    </xf>
    <xf numFmtId="2" fontId="26" fillId="35" borderId="0" xfId="0" applyFont="1" applyFill="1" applyNumberFormat="1">
      <alignment horizontal="left" vertical="center" wrapText="1"/>
    </xf>
    <xf numFmtId="2" fontId="21" fillId="0" borderId="0" xfId="0" applyFont="1" applyNumberFormat="1">
      <alignment horizontal="right" vertical="center" wrapText="1"/>
    </xf>
    <xf numFmtId="2" fontId="21" fillId="7" borderId="0" xfId="0" applyFont="1" applyFill="1" applyNumberFormat="1">
      <alignment horizontal="left" vertical="center" wrapText="1"/>
      <protection locked="0"/>
    </xf>
    <xf numFmtId="2" fontId="21" fillId="0" borderId="0" xfId="0" applyFont="1" applyNumberFormat="1">
      <alignment horizontal="left" vertical="center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>
      <alignment wrapText="1"/>
    </xf>
    <xf numFmtId="20" fontId="0" fillId="0" borderId="0" xfId="0" applyFont="1" applyNumberFormat="1">
      <alignment wrapText="1"/>
    </xf>
    <xf numFmtId="2" fontId="0" fillId="33" borderId="0" xfId="0" applyFont="1" applyFill="1" applyNumberFormat="1">
      <alignment wrapText="1"/>
    </xf>
    <xf numFmtId="2" fontId="0" fillId="33" borderId="0" xfId="0" applyFont="1" applyFill="1" applyNumberFormat="1">
      <alignment wrapText="1"/>
    </xf>
    <xf numFmtId="0" fontId="16" fillId="0" borderId="0" xfId="0" applyFont="1">
      <alignment horizontal="center" wrapText="1"/>
    </xf>
    <xf numFmtId="171" fontId="0" fillId="0" borderId="0" xfId="0" applyFont="1" applyNumberFormat="1">
      <alignment wrapText="1"/>
    </xf>
    <xf numFmtId="171" fontId="0" fillId="0" borderId="0" xfId="0" applyFont="1" applyNumberFormat="1">
      <alignment wrapText="1"/>
    </xf>
    <xf numFmtId="171" fontId="0" fillId="33" borderId="0" xfId="0" applyFont="1" applyFill="1" applyNumberFormat="1">
      <alignment wrapText="1"/>
    </xf>
    <xf numFmtId="171" fontId="0" fillId="33" borderId="0" xfId="0" applyFont="1" applyFill="1" applyNumberFormat="1">
      <alignment wrapText="1"/>
    </xf>
    <xf numFmtId="0" fontId="0" fillId="33" borderId="0" xfId="0" applyFont="1" applyFill="1">
      <alignment wrapText="1"/>
    </xf>
    <xf numFmtId="0" fontId="0" fillId="33" borderId="0" xfId="0" applyFont="1" applyFill="1">
      <alignment wrapText="1"/>
    </xf>
    <xf numFmtId="0" fontId="0" fillId="0" borderId="0" xfId="0" applyFont="1">
      <alignment wrapText="1"/>
    </xf>
    <xf numFmtId="0" fontId="16" fillId="0" borderId="0" xfId="0" applyFont="1">
      <alignment horizontal="center" wrapText="1"/>
    </xf>
    <xf numFmtId="0" fontId="0" fillId="33" borderId="0" xfId="0" applyFont="1" applyFill="1">
      <alignment wrapText="1"/>
    </xf>
    <xf numFmtId="0" fontId="16" fillId="0" borderId="0" xfId="0" applyFont="1">
      <alignment wrapText="1"/>
    </xf>
    <xf numFmtId="11" fontId="0" fillId="0" borderId="10" xfId="0" applyFont="1" applyBorder="1" applyNumberFormat="1">
      <alignment wrapText="1"/>
    </xf>
    <xf numFmtId="11" fontId="0" fillId="0" borderId="10" xfId="0" applyFont="1" applyBorder="1" applyNumberFormat="1">
      <alignment wrapText="1"/>
    </xf>
    <xf numFmtId="0" fontId="0" fillId="33" borderId="0" xfId="0" applyFont="1" applyFill="1">
      <alignment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>
      <alignment horizontal="right" wrapText="1"/>
    </xf>
    <xf numFmtId="0" fontId="0" fillId="0" borderId="0" xfId="0" applyFont="1">
      <alignment wrapText="1"/>
    </xf>
    <xf numFmtId="0" fontId="0" fillId="0" borderId="0" xfId="0" applyFont="1">
      <alignment horizontal="right" wrapText="1"/>
    </xf>
    <xf numFmtId="0" fontId="0" fillId="7" borderId="0" xfId="0" applyFont="1" applyFill="1">
      <alignment wrapText="1"/>
    </xf>
    <xf numFmtId="0" fontId="0" fillId="7" borderId="0" xfId="0" applyFont="1" applyFill="1">
      <alignment wrapText="1"/>
    </xf>
    <xf numFmtId="0" fontId="0" fillId="0" borderId="0" xfId="0" applyFont="1">
      <alignment wrapText="1"/>
    </xf>
    <xf numFmtId="0" fontId="0" fillId="0" borderId="0" xfId="0" applyFont="1"/>
  </cellXfs>
  <cellStyles count="50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常规 2" xfId="47"/>
    <cellStyle name="超链接" xfId="48"/>
    <cellStyle name="已访问的超链接" xfId="49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theme="0"/>
      </font>
      <border/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AAAB7FC-B309-D218-2538-B07C1017384E}" mc:Ignorable="x14ac xr xr2 xr3">
  <dimension ref="A1:Z41"/>
  <sheetViews>
    <sheetView defaultGridColor="0" colorId="31" showGridLines="0" workbookViewId="0" tabSelected="1">
      <pane xSplit="2" ySplit="5" topLeftCell="C6" activePane="bottomRight" state="frozen"/>
      <selection pane="bottomLeft" activeCell="A6" sqref="A6"/>
      <selection pane="topRight" activeCell="C1" sqref="C1"/>
      <selection pane="bottomRight" activeCell="A1" sqref="A1"/>
    </sheetView>
  </sheetViews>
  <sheetFormatPr defaultColWidth="12.00390625" customHeight="1" defaultRowHeight="12.75"/>
  <cols>
    <col min="1" max="1" style="47" width="2.57421875" customWidth="1"/>
    <col min="2" max="2" style="47" width="20.57421875" customWidth="1"/>
    <col min="3" max="5" style="47" width="9.57421875" customWidth="1"/>
    <col min="6" max="6" style="47" width="11.57421875" customWidth="1"/>
    <col min="7" max="7" style="47" width="10.57421875" customWidth="1"/>
    <col min="8" max="8" style="47" width="9.57421875" customWidth="1"/>
    <col min="9" max="9" style="47" width="10.57421875" customWidth="1"/>
    <col min="10" max="12" style="47" width="11.57421875" customWidth="1"/>
    <col min="13" max="18" style="47" width="9.57421875" customWidth="1"/>
    <col min="19" max="20" style="47" width="4.57421875" hidden="1" customWidth="1"/>
    <col min="21" max="21" style="47" width="7.7109375" hidden="1" customWidth="1"/>
    <col min="22" max="22" style="47" width="9.421875" hidden="1" customWidth="1"/>
    <col min="23" max="23" style="244" width="9.57421875" customWidth="1"/>
    <col min="24" max="24" style="245" width="9.57421875" customWidth="1"/>
    <col min="25" max="25" style="246" width="9.57421875" customWidth="1"/>
  </cols>
  <sheetData>
    <row customHeight="1" ht="2.25">
      <c r="A1" s="150"/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1"/>
      <c r="X1" s="151"/>
      <c r="Y1" s="151"/>
      <c r="Z1" s="152"/>
    </row>
    <row customHeight="1" ht="30">
      <c r="A2" s="150"/>
      <c r="B2" s="153" t="s">
        <v>0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4" t="s">
        <v>1</v>
      </c>
      <c r="T2" s="154" t="s">
        <v>1</v>
      </c>
      <c r="U2" s="154" t="s">
        <v>1</v>
      </c>
      <c r="V2" s="154" t="s">
        <v>1</v>
      </c>
      <c r="W2" s="151"/>
      <c r="X2" s="151"/>
      <c r="Y2" s="151"/>
      <c r="Z2" s="152"/>
    </row>
    <row customHeight="1" ht="24.75">
      <c r="A3" s="150"/>
      <c r="B3" s="155" t="s">
        <v>2</v>
      </c>
      <c r="C3" s="155" t="s">
        <v>2</v>
      </c>
      <c r="D3" s="156"/>
      <c r="E3" s="156" t="s">
        <v>1</v>
      </c>
      <c r="F3" s="156" t="s">
        <v>1</v>
      </c>
      <c r="G3" s="157" t="s">
        <v>3</v>
      </c>
      <c r="H3" s="155" t="s">
        <v>4</v>
      </c>
      <c r="I3" s="155"/>
      <c r="J3" s="158"/>
      <c r="K3" s="158"/>
      <c r="L3" s="155" t="s">
        <v>5</v>
      </c>
      <c r="M3" s="155"/>
      <c r="N3" s="159"/>
      <c r="O3" s="160" t="str">
        <f>取值!A1&amp;取值!B1&amp;取值!C1</f>
        <v>报表生成时间：2026-01-01 8:00:00</v>
      </c>
      <c r="P3" s="160"/>
      <c r="Q3" s="160"/>
      <c r="R3" s="160"/>
      <c r="S3" s="161" t="s">
        <v>1</v>
      </c>
      <c r="T3" s="161" t="s">
        <v>1</v>
      </c>
      <c r="U3" s="161" t="s">
        <v>1</v>
      </c>
      <c r="V3" s="161" t="s">
        <v>1</v>
      </c>
      <c r="W3" s="151"/>
      <c r="X3" s="151"/>
      <c r="Y3" s="151"/>
      <c r="Z3" s="152"/>
    </row>
    <row customHeight="1" ht="24.75">
      <c r="A4" s="150"/>
      <c r="B4" s="133" t="s">
        <v>6</v>
      </c>
      <c r="C4" s="163" t="s">
        <v>7</v>
      </c>
      <c r="D4" s="164"/>
      <c r="E4" s="164"/>
      <c r="F4" s="164"/>
      <c r="G4" s="165"/>
      <c r="H4" s="139" t="s">
        <v>8</v>
      </c>
      <c r="I4" s="140"/>
      <c r="J4" s="140"/>
      <c r="K4" s="140"/>
      <c r="L4" s="141"/>
      <c r="M4" s="169" t="s">
        <v>9</v>
      </c>
      <c r="N4" s="169"/>
      <c r="O4" s="169"/>
      <c r="P4" s="169"/>
      <c r="Q4" s="169"/>
      <c r="R4" s="170"/>
      <c r="S4" s="171" t="s">
        <v>10</v>
      </c>
      <c r="T4" s="171"/>
      <c r="U4" s="171"/>
      <c r="V4" s="171"/>
      <c r="W4" s="151"/>
      <c r="X4" s="151"/>
      <c r="Y4" s="151"/>
      <c r="Z4" s="152"/>
    </row>
    <row customHeight="1" ht="30">
      <c r="A5" s="150"/>
      <c r="B5" s="133" t="s">
        <v>11</v>
      </c>
      <c r="C5" s="60" t="s">
        <v>12</v>
      </c>
      <c r="D5" s="61" t="s">
        <v>13</v>
      </c>
      <c r="E5" s="60" t="s">
        <v>14</v>
      </c>
      <c r="F5" s="60" t="s">
        <v>15</v>
      </c>
      <c r="G5" s="60" t="s">
        <v>16</v>
      </c>
      <c r="H5" s="60" t="s">
        <v>17</v>
      </c>
      <c r="I5" s="60" t="s">
        <v>18</v>
      </c>
      <c r="J5" s="60" t="s">
        <v>19</v>
      </c>
      <c r="K5" s="60" t="s">
        <v>20</v>
      </c>
      <c r="L5" s="60" t="s">
        <v>21</v>
      </c>
      <c r="M5" s="174" t="s">
        <v>22</v>
      </c>
      <c r="N5" s="174" t="s">
        <v>23</v>
      </c>
      <c r="O5" s="174" t="s">
        <v>24</v>
      </c>
      <c r="P5" s="174" t="s">
        <v>25</v>
      </c>
      <c r="Q5" s="174" t="s">
        <v>26</v>
      </c>
      <c r="R5" s="175" t="s">
        <v>27</v>
      </c>
      <c r="S5" s="87" t="s">
        <v>28</v>
      </c>
      <c r="T5" s="87" t="s">
        <v>29</v>
      </c>
      <c r="U5" s="88" t="s">
        <v>30</v>
      </c>
      <c r="V5" s="178" t="s">
        <v>31</v>
      </c>
      <c r="W5" s="151"/>
      <c r="X5" s="151"/>
      <c r="Y5" s="151"/>
      <c r="Z5" s="152"/>
    </row>
    <row customHeight="1" ht="21.75">
      <c r="A6" s="150"/>
      <c r="B6" s="62" t="s">
        <v>32</v>
      </c>
      <c r="C6" s="180">
        <f>_xlfn.IFERROR(SUM(C7,C8),"")</f>
        <v>48</v>
      </c>
      <c r="D6" s="181">
        <f>_xlfn.IFERROR(SUM(D7,D8),"")</f>
        <v>16822</v>
      </c>
      <c r="E6" s="182">
        <f>_xlfn.IFERROR(SUM(E7,E8),"")</f>
        <v>1.6822</v>
      </c>
      <c r="F6" s="66">
        <f>_xlfn.IFERROR(C6-E6,"")</f>
        <v>46.3178</v>
      </c>
      <c r="G6" s="181">
        <f>_xlfn.IFERROR(F6*10000/取值!B4,"")</f>
        <v>15439.2666666667</v>
      </c>
      <c r="H6" s="180">
        <f>_xlfn.IFERROR(SUM(H7,H8,Y6),"")</f>
        <v>0</v>
      </c>
      <c r="I6" s="69">
        <f>_xlfn.IFERROR(SUM(I7,I8,Z6),"")</f>
        <v>1.6822</v>
      </c>
      <c r="J6" s="69">
        <f>_xlfn.IFERROR(H6-I6,"")</f>
        <v>-1.6822</v>
      </c>
      <c r="K6" s="75">
        <f>_xlfn.IFERROR(J6*10000/取值!C4,"")</f>
        <v>-46.2142857142857</v>
      </c>
      <c r="L6" s="186" t="str">
        <f>_xlfn.IFERROR(I6/H6*100,"")</f>
        <v/>
      </c>
      <c r="M6" s="187"/>
      <c r="N6" s="188"/>
      <c r="O6" s="78">
        <f>取值!O154</f>
        <v>49.0785875639044</v>
      </c>
      <c r="P6" s="78">
        <f>取值!P154</f>
        <v>49.0785875639044</v>
      </c>
      <c r="Q6" s="78">
        <f>取值!Q154</f>
        <v>49.0785875639044</v>
      </c>
      <c r="R6" s="90">
        <f>_xlfn.IFERROR(P6-N6,"")</f>
        <v>49.0785875639044</v>
      </c>
      <c r="S6" s="191">
        <f>取值!B4</f>
        <v>30</v>
      </c>
      <c r="T6" s="191">
        <f>取值!C4</f>
        <v>364</v>
      </c>
      <c r="U6" s="192"/>
      <c r="V6" s="192"/>
      <c r="W6" s="151"/>
      <c r="X6" s="193"/>
      <c r="Y6" s="194"/>
      <c r="Z6" s="195">
        <v>0</v>
      </c>
    </row>
    <row customHeight="1" ht="21.75">
      <c r="A7" s="150"/>
      <c r="B7" s="67" t="s">
        <v>33</v>
      </c>
      <c r="C7" s="188">
        <v>27.3</v>
      </c>
      <c r="D7" s="181">
        <f>取值!B7</f>
        <v>9496</v>
      </c>
      <c r="E7" s="69">
        <f>_xlfn.IFERROR(取值!B56/10000,"")</f>
        <v>0.9496</v>
      </c>
      <c r="F7" s="66">
        <f>_xlfn.IFERROR(C7-E7,"")</f>
        <v>26.3504</v>
      </c>
      <c r="G7" s="181">
        <f>_xlfn.IFERROR(F7*10000/取值!B4,"")</f>
        <v>8783.46666666667</v>
      </c>
      <c r="H7" s="188">
        <v>0</v>
      </c>
      <c r="I7" s="182">
        <f>_xlfn.IFERROR(取值!B105/10000,"")</f>
        <v>0.9496</v>
      </c>
      <c r="J7" s="69">
        <f>_xlfn.IFERROR(H7-I7,"")</f>
        <v>-0.9496</v>
      </c>
      <c r="K7" s="75">
        <f>_xlfn.IFERROR(J7*10000/取值!C4,"")</f>
        <v>-26.0879120879121</v>
      </c>
      <c r="L7" s="186" t="str">
        <f>_xlfn.IFERROR(I7/H7*100,"")</f>
        <v/>
      </c>
      <c r="M7" s="188"/>
      <c r="N7" s="188"/>
      <c r="O7" s="78">
        <f>取值!O155</f>
        <v>48.5572872788543</v>
      </c>
      <c r="P7" s="78">
        <f>取值!P155</f>
        <v>48.5572872788543</v>
      </c>
      <c r="Q7" s="78">
        <f>取值!Q155</f>
        <v>48.5572872788543</v>
      </c>
      <c r="R7" s="90">
        <f>_xlfn.IFERROR(P7-N7,"")</f>
        <v>48.5572872788543</v>
      </c>
      <c r="S7" s="197"/>
      <c r="T7" s="197"/>
      <c r="U7" s="192"/>
      <c r="V7" s="192"/>
      <c r="W7" s="151"/>
      <c r="X7" s="198">
        <v>0</v>
      </c>
      <c r="Y7" s="199"/>
      <c r="Z7" s="200"/>
    </row>
    <row customHeight="1" ht="21.75">
      <c r="A8" s="150"/>
      <c r="B8" s="67" t="s">
        <v>34</v>
      </c>
      <c r="C8" s="188">
        <v>20.7</v>
      </c>
      <c r="D8" s="181">
        <f>取值!B8</f>
        <v>7326</v>
      </c>
      <c r="E8" s="69">
        <f>_xlfn.IFERROR(取值!B57/10000,"")</f>
        <v>0.7326</v>
      </c>
      <c r="F8" s="66">
        <f>_xlfn.IFERROR(C8-E8,"")</f>
        <v>19.9674</v>
      </c>
      <c r="G8" s="181">
        <f>_xlfn.IFERROR(F8*10000/取值!B4,"")</f>
        <v>6655.8</v>
      </c>
      <c r="H8" s="188">
        <v>0</v>
      </c>
      <c r="I8" s="182">
        <f>_xlfn.IFERROR(取值!B106/10000,"")</f>
        <v>0.7326</v>
      </c>
      <c r="J8" s="69">
        <f>_xlfn.IFERROR(H8-I8,"")</f>
        <v>-0.7326</v>
      </c>
      <c r="K8" s="75">
        <f>_xlfn.IFERROR(J8*10000/取值!C4,"")</f>
        <v>-20.1263736263736</v>
      </c>
      <c r="L8" s="186" t="str">
        <f>_xlfn.IFERROR(I8/H8*100,"")</f>
        <v/>
      </c>
      <c r="M8" s="188"/>
      <c r="N8" s="188"/>
      <c r="O8" s="78">
        <f>取值!O156</f>
        <v>49.7542997542998</v>
      </c>
      <c r="P8" s="78">
        <f>取值!P156</f>
        <v>49.7542997542998</v>
      </c>
      <c r="Q8" s="78">
        <f>取值!Q156</f>
        <v>49.7542997542998</v>
      </c>
      <c r="R8" s="90">
        <f>_xlfn.IFERROR(P8-N8,"")</f>
        <v>49.7542997542998</v>
      </c>
      <c r="S8" s="197"/>
      <c r="T8" s="197"/>
      <c r="U8" s="192"/>
      <c r="V8" s="192"/>
      <c r="W8" s="151"/>
      <c r="X8" s="198">
        <v>0</v>
      </c>
      <c r="Y8" s="199"/>
      <c r="Z8" s="200"/>
    </row>
    <row customHeight="1" ht="21.75">
      <c r="A9" s="150"/>
      <c r="B9" s="62" t="s">
        <v>35</v>
      </c>
      <c r="C9" s="180">
        <f>_xlfn.IFERROR(SUM(C10,C11),"")</f>
        <v>25.5</v>
      </c>
      <c r="D9" s="181">
        <f>_xlfn.IFERROR(SUM(D10,D11),"")</f>
        <v>8807</v>
      </c>
      <c r="E9" s="182">
        <f>_xlfn.IFERROR(SUM(E10,E11),"")</f>
        <v>0.8807</v>
      </c>
      <c r="F9" s="66">
        <f>_xlfn.IFERROR(C9-E9,"")</f>
        <v>24.6193</v>
      </c>
      <c r="G9" s="181">
        <f>_xlfn.IFERROR(F9*10000/取值!B4,"")</f>
        <v>8206.43333333333</v>
      </c>
      <c r="H9" s="180">
        <f>_xlfn.IFERROR(SUM(H10,H11),"")</f>
        <v>0</v>
      </c>
      <c r="I9" s="69">
        <f>_xlfn.IFERROR(SUM(I10,I11),"")</f>
        <v>0.8807</v>
      </c>
      <c r="J9" s="69">
        <f>_xlfn.IFERROR(H9-I9,"")</f>
        <v>-0.8807</v>
      </c>
      <c r="K9" s="75">
        <f>_xlfn.IFERROR(J9*10000/取值!C4,"")</f>
        <v>-24.1950549450549</v>
      </c>
      <c r="L9" s="186" t="str">
        <f>_xlfn.IFERROR(I9/H9*100,"")</f>
        <v/>
      </c>
      <c r="M9" s="188"/>
      <c r="N9" s="188"/>
      <c r="O9" s="78">
        <f>取值!O157</f>
        <v>87.9440622532988</v>
      </c>
      <c r="P9" s="78">
        <f>取值!P157</f>
        <v>87.9440622532988</v>
      </c>
      <c r="Q9" s="78">
        <f>取值!Q157</f>
        <v>87.9440622532988</v>
      </c>
      <c r="R9" s="90">
        <f>_xlfn.IFERROR(P9-N9,"")</f>
        <v>87.9440622532988</v>
      </c>
      <c r="S9" s="201"/>
      <c r="T9" s="197"/>
      <c r="U9" s="202" t="s">
        <v>1</v>
      </c>
      <c r="V9" s="202" t="s">
        <v>1</v>
      </c>
      <c r="W9" s="151"/>
      <c r="X9" s="200"/>
      <c r="Y9" s="203"/>
      <c r="Z9" s="200"/>
    </row>
    <row customHeight="1" ht="21.75">
      <c r="A10" s="150"/>
      <c r="B10" s="67" t="s">
        <v>36</v>
      </c>
      <c r="C10" s="188">
        <v>17.6</v>
      </c>
      <c r="D10" s="181">
        <f>取值!B9</f>
        <v>5996</v>
      </c>
      <c r="E10" s="69">
        <f>_xlfn.IFERROR(取值!B58/10000,"")</f>
        <v>0.5996</v>
      </c>
      <c r="F10" s="66">
        <f>_xlfn.IFERROR(C10-E10,"")</f>
        <v>17.0004</v>
      </c>
      <c r="G10" s="181">
        <f>_xlfn.IFERROR(F10*10000/取值!B4,"")</f>
        <v>5666.8</v>
      </c>
      <c r="H10" s="188">
        <v>0</v>
      </c>
      <c r="I10" s="182">
        <f>_xlfn.IFERROR(取值!B107/10000,"")</f>
        <v>0.5996</v>
      </c>
      <c r="J10" s="69">
        <f>_xlfn.IFERROR(H10-I10,"")</f>
        <v>-0.5996</v>
      </c>
      <c r="K10" s="75">
        <f>_xlfn.IFERROR(J10*10000/取值!C4,"")</f>
        <v>-16.4725274725275</v>
      </c>
      <c r="L10" s="186" t="str">
        <f>_xlfn.IFERROR(I10/H10*100,"")</f>
        <v/>
      </c>
      <c r="M10" s="188"/>
      <c r="N10" s="188"/>
      <c r="O10" s="78">
        <f>取值!O158</f>
        <v>87.758505670447</v>
      </c>
      <c r="P10" s="78">
        <f>取值!P158</f>
        <v>87.758505670447</v>
      </c>
      <c r="Q10" s="78">
        <f>取值!Q158</f>
        <v>87.758505670447</v>
      </c>
      <c r="R10" s="90">
        <f>_xlfn.IFERROR(P10-N10,"")</f>
        <v>87.758505670447</v>
      </c>
      <c r="S10" s="201"/>
      <c r="T10" s="197"/>
      <c r="U10" s="202"/>
      <c r="V10" s="202"/>
      <c r="W10" s="151"/>
      <c r="X10" s="198">
        <v>0</v>
      </c>
      <c r="Y10" s="199"/>
      <c r="Z10" s="200"/>
    </row>
    <row customHeight="1" ht="21.75">
      <c r="A11" s="150"/>
      <c r="B11" s="67" t="s">
        <v>37</v>
      </c>
      <c r="C11" s="188">
        <v>7.9</v>
      </c>
      <c r="D11" s="181">
        <f>取值!B10</f>
        <v>2811</v>
      </c>
      <c r="E11" s="69">
        <f>_xlfn.IFERROR(取值!B59/10000,"")</f>
        <v>0.2811</v>
      </c>
      <c r="F11" s="66">
        <f>_xlfn.IFERROR(C11-E11,"")</f>
        <v>7.6189</v>
      </c>
      <c r="G11" s="181">
        <f>_xlfn.IFERROR(F11*10000/取值!B4,"")</f>
        <v>2539.63333333333</v>
      </c>
      <c r="H11" s="188">
        <v>0</v>
      </c>
      <c r="I11" s="182">
        <f>_xlfn.IFERROR(取值!B108/10000,"")</f>
        <v>0.2811</v>
      </c>
      <c r="J11" s="69">
        <f>_xlfn.IFERROR(H11-I11,"")</f>
        <v>-0.2811</v>
      </c>
      <c r="K11" s="75">
        <f>_xlfn.IFERROR(J11*10000/取值!C4,"")</f>
        <v>-7.72252747252747</v>
      </c>
      <c r="L11" s="186" t="str">
        <f>_xlfn.IFERROR(I11/H11*100,"")</f>
        <v/>
      </c>
      <c r="M11" s="188"/>
      <c r="N11" s="188"/>
      <c r="O11" s="78">
        <f>取值!O159</f>
        <v>88.3315917798677</v>
      </c>
      <c r="P11" s="78">
        <f>取值!P159</f>
        <v>88.3315917798677</v>
      </c>
      <c r="Q11" s="78">
        <f>取值!Q159</f>
        <v>88.3315917798677</v>
      </c>
      <c r="R11" s="90">
        <f>_xlfn.IFERROR(P11-N11,"")</f>
        <v>88.3315917798677</v>
      </c>
      <c r="S11" s="201"/>
      <c r="T11" s="197"/>
      <c r="U11" s="202"/>
      <c r="V11" s="202"/>
      <c r="W11" s="151"/>
      <c r="X11" s="198">
        <v>0</v>
      </c>
      <c r="Y11" s="199"/>
      <c r="Z11" s="200"/>
    </row>
    <row customHeight="1" ht="21.75">
      <c r="A12" s="150"/>
      <c r="B12" s="62" t="s">
        <v>38</v>
      </c>
      <c r="C12" s="204">
        <v>0.46</v>
      </c>
      <c r="D12" s="181">
        <f>取值!B21</f>
        <v>155</v>
      </c>
      <c r="E12" s="69">
        <f>_xlfn.IFERROR(取值!B70/10000,"")</f>
        <v>0.0155</v>
      </c>
      <c r="F12" s="66">
        <f>_xlfn.IFERROR(C12-E12,"")</f>
        <v>0.4445</v>
      </c>
      <c r="G12" s="181">
        <f>_xlfn.IFERROR(F12*10000/取值!B4,"")</f>
        <v>148.166666666667</v>
      </c>
      <c r="H12" s="188">
        <v>0</v>
      </c>
      <c r="I12" s="182">
        <f>_xlfn.IFERROR(取值!B119/10000,"")</f>
        <v>0.0155</v>
      </c>
      <c r="J12" s="69">
        <f>_xlfn.IFERROR(H12-I12,"")</f>
        <v>-0.0155</v>
      </c>
      <c r="K12" s="75">
        <f>_xlfn.IFERROR(J12*10000/取值!C4,"")</f>
        <v>-0.425824175824176</v>
      </c>
      <c r="L12" s="186" t="str">
        <f>_xlfn.IFERROR(I12/H12*100,"")</f>
        <v/>
      </c>
      <c r="M12" s="188"/>
      <c r="N12" s="188"/>
      <c r="O12" s="78">
        <f>取值!O160</f>
        <v>94.5121951219512</v>
      </c>
      <c r="P12" s="78">
        <f>取值!P160</f>
        <v>94.5121951219512</v>
      </c>
      <c r="Q12" s="78">
        <f>取值!Q160</f>
        <v>94.5121951219512</v>
      </c>
      <c r="R12" s="90">
        <f>_xlfn.IFERROR(P12-N12,"")</f>
        <v>94.5121951219512</v>
      </c>
      <c r="S12" s="201"/>
      <c r="T12" s="197"/>
      <c r="U12" s="205">
        <v>11920</v>
      </c>
      <c r="V12" s="205"/>
      <c r="W12" s="151"/>
      <c r="X12" s="198">
        <v>0</v>
      </c>
      <c r="Y12" s="199"/>
      <c r="Z12" s="200"/>
    </row>
    <row customHeight="1" ht="21.75">
      <c r="A13" s="150"/>
      <c r="B13" s="62" t="s">
        <v>39</v>
      </c>
      <c r="C13" s="188">
        <v>2.77</v>
      </c>
      <c r="D13" s="181">
        <f>取值!B11</f>
        <v>945</v>
      </c>
      <c r="E13" s="69">
        <f>_xlfn.IFERROR(取值!B60/10000,"")</f>
        <v>0.0945</v>
      </c>
      <c r="F13" s="66">
        <f>_xlfn.IFERROR(C13-E13,"")</f>
        <v>2.6755</v>
      </c>
      <c r="G13" s="181">
        <f>_xlfn.IFERROR(F13*10000/取值!B4,"")</f>
        <v>891.833333333333</v>
      </c>
      <c r="H13" s="188">
        <v>0</v>
      </c>
      <c r="I13" s="182">
        <f>_xlfn.IFERROR(取值!B109/10000,"")</f>
        <v>0.0945</v>
      </c>
      <c r="J13" s="69">
        <f>_xlfn.IFERROR(H13-I13,"")</f>
        <v>-0.0945</v>
      </c>
      <c r="K13" s="75">
        <f>_xlfn.IFERROR(J13*10000/取值!C4,"")</f>
        <v>-2.59615384615385</v>
      </c>
      <c r="L13" s="186" t="str">
        <f>_xlfn.IFERROR(I13/H13*100,"")</f>
        <v/>
      </c>
      <c r="M13" s="79"/>
      <c r="N13" s="79"/>
      <c r="O13" s="79"/>
      <c r="P13" s="79"/>
      <c r="Q13" s="79"/>
      <c r="R13" s="99"/>
      <c r="S13" s="201"/>
      <c r="T13" s="197"/>
      <c r="U13" s="146" t="s">
        <v>40</v>
      </c>
      <c r="V13" s="146" t="s">
        <v>41</v>
      </c>
      <c r="W13" s="151"/>
      <c r="X13" s="198">
        <v>0</v>
      </c>
      <c r="Y13" s="199"/>
      <c r="Z13" s="200"/>
    </row>
    <row customHeight="1" ht="21.75">
      <c r="A14" s="150"/>
      <c r="B14" s="62" t="s">
        <v>42</v>
      </c>
      <c r="C14" s="188">
        <v>0.9</v>
      </c>
      <c r="D14" s="181">
        <f>取值!A18</f>
        <v>296</v>
      </c>
      <c r="E14" s="69">
        <f>_xlfn.IFERROR(取值!A67/10000,"")</f>
        <v>0.0296</v>
      </c>
      <c r="F14" s="66">
        <f>_xlfn.IFERROR(C14-E14,"")</f>
        <v>0.8704</v>
      </c>
      <c r="G14" s="181">
        <f>_xlfn.IFERROR(F14*10000/取值!B4,"")</f>
        <v>290.133333333333</v>
      </c>
      <c r="H14" s="188">
        <v>0</v>
      </c>
      <c r="I14" s="182">
        <f>_xlfn.IFERROR(取值!A116/10000,"")</f>
        <v>0.0296</v>
      </c>
      <c r="J14" s="69">
        <f>_xlfn.IFERROR(H14-I14,"")</f>
        <v>-0.0296</v>
      </c>
      <c r="K14" s="75">
        <f>_xlfn.IFERROR(J14*10000/取值!C4,"")</f>
        <v>-0.813186813186813</v>
      </c>
      <c r="L14" s="186" t="str">
        <f>_xlfn.IFERROR(I14/H14*100,"")</f>
        <v/>
      </c>
      <c r="M14" s="80" t="s">
        <v>43</v>
      </c>
      <c r="N14" s="80" t="s">
        <v>44</v>
      </c>
      <c r="O14" s="80" t="s">
        <v>24</v>
      </c>
      <c r="P14" s="80" t="s">
        <v>45</v>
      </c>
      <c r="Q14" s="80" t="s">
        <v>46</v>
      </c>
      <c r="R14" s="100"/>
      <c r="S14" s="201"/>
      <c r="T14" s="197"/>
      <c r="U14" s="146"/>
      <c r="V14" s="146"/>
      <c r="W14" s="151"/>
      <c r="X14" s="198">
        <v>0</v>
      </c>
      <c r="Y14" s="199"/>
      <c r="Z14" s="200"/>
    </row>
    <row customHeight="1" ht="21.75">
      <c r="A15" s="150"/>
      <c r="B15" s="62" t="s">
        <v>47</v>
      </c>
      <c r="C15" s="188">
        <v>0.31</v>
      </c>
      <c r="D15" s="181">
        <f>取值!B19</f>
        <v>104</v>
      </c>
      <c r="E15" s="69">
        <f>_xlfn.IFERROR(取值!B68/10000,"")</f>
        <v>0.0104</v>
      </c>
      <c r="F15" s="66">
        <f>_xlfn.IFERROR(C15-E15,"")</f>
        <v>0.2996</v>
      </c>
      <c r="G15" s="181">
        <f>_xlfn.IFERROR(F15*10000/取值!B4,"")</f>
        <v>99.8666666666667</v>
      </c>
      <c r="H15" s="188">
        <v>0</v>
      </c>
      <c r="I15" s="182">
        <f>_xlfn.IFERROR(取值!B117/10000,"")</f>
        <v>0.0104</v>
      </c>
      <c r="J15" s="69">
        <f>_xlfn.IFERROR(H15-I15,"")</f>
        <v>-0.0104</v>
      </c>
      <c r="K15" s="75">
        <f>_xlfn.IFERROR(J15*10000/取值!C4,"")</f>
        <v>-0.285714285714286</v>
      </c>
      <c r="L15" s="186" t="str">
        <f>_xlfn.IFERROR(I15/H15*100,"")</f>
        <v/>
      </c>
      <c r="M15" s="134" t="s">
        <v>48</v>
      </c>
      <c r="N15" s="80" t="s">
        <v>49</v>
      </c>
      <c r="O15" s="70">
        <f>取值!L48</f>
        <v>0</v>
      </c>
      <c r="P15" s="70">
        <f>取值!L97</f>
        <v>0</v>
      </c>
      <c r="Q15" s="128">
        <f>取值!L146</f>
        <v>0</v>
      </c>
      <c r="R15" s="101"/>
      <c r="S15" s="201"/>
      <c r="T15" s="197"/>
      <c r="U15" s="205">
        <v>10941</v>
      </c>
      <c r="V15" s="205"/>
      <c r="W15" s="151"/>
      <c r="X15" s="198">
        <v>0</v>
      </c>
      <c r="Y15" s="199"/>
      <c r="Z15" s="200"/>
    </row>
    <row customHeight="1" ht="21.75">
      <c r="A16" s="150"/>
      <c r="B16" s="62" t="s">
        <v>50</v>
      </c>
      <c r="C16" s="188">
        <v>0.51</v>
      </c>
      <c r="D16" s="181">
        <f>取值!B20</f>
        <v>159</v>
      </c>
      <c r="E16" s="69">
        <f>_xlfn.IFERROR(取值!B69/10000,"")</f>
        <v>0.0159</v>
      </c>
      <c r="F16" s="66">
        <f>_xlfn.IFERROR(C16-E16,"")</f>
        <v>0.4941</v>
      </c>
      <c r="G16" s="181">
        <f>_xlfn.IFERROR(F16*10000/取值!B4,"")</f>
        <v>164.7</v>
      </c>
      <c r="H16" s="188">
        <v>0</v>
      </c>
      <c r="I16" s="182">
        <f>_xlfn.IFERROR(取值!B118/10000,"")</f>
        <v>0.0159</v>
      </c>
      <c r="J16" s="69">
        <f>_xlfn.IFERROR(H16-I16,"")</f>
        <v>-0.0159</v>
      </c>
      <c r="K16" s="75">
        <f>_xlfn.IFERROR(J16*10000/取值!C4,"")</f>
        <v>-0.436813186813187</v>
      </c>
      <c r="L16" s="186" t="str">
        <f>_xlfn.IFERROR(I16/H16*100,"")</f>
        <v/>
      </c>
      <c r="M16" s="135"/>
      <c r="N16" s="80" t="s">
        <v>51</v>
      </c>
      <c r="O16" s="81">
        <f>取值!L49</f>
        <v>0</v>
      </c>
      <c r="P16" s="81">
        <f>取值!L98</f>
        <v>0</v>
      </c>
      <c r="Q16" s="81">
        <f>取值!L147</f>
        <v>0</v>
      </c>
      <c r="R16" s="101"/>
      <c r="S16" s="201"/>
      <c r="T16" s="197"/>
      <c r="U16" s="202" t="s">
        <v>1</v>
      </c>
      <c r="V16" s="217" t="s">
        <v>1</v>
      </c>
      <c r="W16" s="151"/>
      <c r="X16" s="198">
        <v>0</v>
      </c>
      <c r="Y16" s="199"/>
      <c r="Z16" s="200"/>
    </row>
    <row customHeight="1" ht="21.75">
      <c r="A17" s="150"/>
      <c r="B17" s="62" t="s">
        <v>52</v>
      </c>
      <c r="C17" s="188">
        <v>14</v>
      </c>
      <c r="D17" s="181">
        <f>取值!B24</f>
        <v>0</v>
      </c>
      <c r="E17" s="69">
        <f>_xlfn.IFERROR(取值!B73/10000,"")</f>
        <v>0</v>
      </c>
      <c r="F17" s="66">
        <f>_xlfn.IFERROR(C17-E17,"")</f>
        <v>14</v>
      </c>
      <c r="G17" s="181">
        <f>_xlfn.IFERROR(F17*10000/取值!B4,"")</f>
        <v>4666.66666666667</v>
      </c>
      <c r="H17" s="188">
        <v>0</v>
      </c>
      <c r="I17" s="182">
        <f>_xlfn.IFERROR(取值!B122/10000+Z17,"")</f>
        <v>0</v>
      </c>
      <c r="J17" s="69">
        <f>_xlfn.IFERROR(H17-I17,"")</f>
        <v>0</v>
      </c>
      <c r="K17" s="75">
        <f>_xlfn.IFERROR(J17*10000/取值!C4,"")</f>
        <v>0</v>
      </c>
      <c r="L17" s="186" t="str">
        <f>_xlfn.IFERROR(I17/H17*100,"")</f>
        <v/>
      </c>
      <c r="M17" s="66"/>
      <c r="N17" s="78"/>
      <c r="O17" s="78"/>
      <c r="P17" s="78"/>
      <c r="Q17" s="78"/>
      <c r="R17" s="103"/>
      <c r="S17" s="201"/>
      <c r="T17" s="197"/>
      <c r="U17" s="202" t="s">
        <v>1</v>
      </c>
      <c r="V17" s="217" t="s">
        <v>1</v>
      </c>
      <c r="W17" s="151"/>
      <c r="X17" s="198">
        <v>0</v>
      </c>
      <c r="Y17" s="199"/>
      <c r="Z17" s="200"/>
    </row>
    <row customHeight="1" ht="21.75">
      <c r="A18" s="150"/>
      <c r="B18" s="62" t="s">
        <v>53</v>
      </c>
      <c r="C18" s="188"/>
      <c r="D18" s="181">
        <f>取值!A29</f>
        <v>7627</v>
      </c>
      <c r="E18" s="69">
        <f>_xlfn.IFERROR(取值!A78/10000,"")</f>
        <v>0.7627</v>
      </c>
      <c r="F18" s="66"/>
      <c r="G18" s="181"/>
      <c r="H18" s="188"/>
      <c r="I18" s="182">
        <f>_xlfn.IFERROR(取值!A127/10000,"")</f>
        <v>0.7627</v>
      </c>
      <c r="J18" s="69"/>
      <c r="K18" s="75"/>
      <c r="L18" s="186"/>
      <c r="M18" s="123"/>
      <c r="N18" s="124"/>
      <c r="O18" s="221"/>
      <c r="P18" s="221"/>
      <c r="Q18" s="222"/>
      <c r="R18" s="223"/>
      <c r="S18" s="201"/>
      <c r="T18" s="197"/>
      <c r="U18" s="161" t="s">
        <v>1</v>
      </c>
      <c r="V18" s="224" t="s">
        <v>1</v>
      </c>
      <c r="W18" s="151"/>
      <c r="X18" s="200"/>
      <c r="Y18" s="203"/>
      <c r="Z18" s="200"/>
    </row>
    <row customHeight="1" ht="21.75">
      <c r="A19" s="150"/>
      <c r="B19" s="62" t="s">
        <v>54</v>
      </c>
      <c r="C19" s="188">
        <v>11</v>
      </c>
      <c r="D19" s="181">
        <f>取值!B32</f>
        <v>6710</v>
      </c>
      <c r="E19" s="69">
        <f>_xlfn.IFERROR(取值!B81/10000,"")</f>
        <v>0.671</v>
      </c>
      <c r="F19" s="66">
        <f>_xlfn.IFERROR(C19-E19,"")</f>
        <v>10.329</v>
      </c>
      <c r="G19" s="181">
        <f>_xlfn.IFERROR(F19*10000/取值!B4,"")</f>
        <v>3443</v>
      </c>
      <c r="H19" s="188">
        <v>0</v>
      </c>
      <c r="I19" s="182">
        <f>_xlfn.IFERROR(取值!B130/10000,"")</f>
        <v>0.671</v>
      </c>
      <c r="J19" s="69">
        <f>_xlfn.IFERROR(H19-I19,"")</f>
        <v>-0.671</v>
      </c>
      <c r="K19" s="75">
        <f>_xlfn.IFERROR(J19*10000/取值!C4,"")</f>
        <v>-18.4340659340659</v>
      </c>
      <c r="L19" s="186" t="str">
        <f>_xlfn.IFERROR(I19/H19*100,"")</f>
        <v/>
      </c>
      <c r="M19" s="123"/>
      <c r="N19" s="124"/>
      <c r="O19" s="221"/>
      <c r="P19" s="221"/>
      <c r="Q19" s="222"/>
      <c r="R19" s="223"/>
      <c r="S19" s="201"/>
      <c r="T19" s="197"/>
      <c r="U19" s="161" t="s">
        <v>1</v>
      </c>
      <c r="V19" s="224" t="s">
        <v>1</v>
      </c>
      <c r="W19" s="151"/>
      <c r="X19" s="198">
        <v>0</v>
      </c>
      <c r="Y19" s="199"/>
      <c r="Z19" s="200"/>
    </row>
    <row customHeight="1" ht="21.75">
      <c r="A20" s="150"/>
      <c r="B20" s="62" t="s">
        <v>55</v>
      </c>
      <c r="C20" s="188"/>
      <c r="D20" s="181">
        <f>取值!A37</f>
        <v>4189</v>
      </c>
      <c r="E20" s="69">
        <f>_xlfn.IFERROR(取值!A86/10000,"")</f>
        <v>0.4189</v>
      </c>
      <c r="F20" s="66"/>
      <c r="G20" s="181"/>
      <c r="H20" s="188"/>
      <c r="I20" s="182">
        <f>_xlfn.IFERROR(取值!A135/10000,"")</f>
        <v>0.4189</v>
      </c>
      <c r="J20" s="69"/>
      <c r="K20" s="75"/>
      <c r="L20" s="186"/>
      <c r="M20" s="124"/>
      <c r="N20" s="124"/>
      <c r="O20" s="124"/>
      <c r="P20" s="124"/>
      <c r="Q20" s="78"/>
      <c r="R20" s="103"/>
      <c r="S20" s="201"/>
      <c r="T20" s="197"/>
      <c r="U20" s="161" t="s">
        <v>1</v>
      </c>
      <c r="V20" s="224" t="s">
        <v>1</v>
      </c>
      <c r="W20" s="151"/>
      <c r="X20" s="225"/>
      <c r="Y20" s="225"/>
      <c r="Z20" s="200"/>
    </row>
    <row s="226" customFormat="1" customHeight="1" ht="21.75">
      <c r="A21" s="227"/>
      <c r="B21" s="120" t="s">
        <v>56</v>
      </c>
      <c r="C21" s="187">
        <v>0</v>
      </c>
      <c r="D21" s="181">
        <f>取值!L32</f>
        <v>0</v>
      </c>
      <c r="E21" s="69">
        <f>_xlfn.IFERROR(取值!N81/10000,"")</f>
        <v>0</v>
      </c>
      <c r="F21" s="66">
        <f>_xlfn.IFERROR(C21-E21,"")</f>
        <v>0</v>
      </c>
      <c r="G21" s="181">
        <f>_xlfn.IFERROR(F21*10000/取值!B4,"")</f>
        <v>0</v>
      </c>
      <c r="H21" s="187">
        <v>0</v>
      </c>
      <c r="I21" s="182">
        <f>_xlfn.IFERROR(取值!O130/10000,"")</f>
        <v>0</v>
      </c>
      <c r="J21" s="69">
        <f>_xlfn.IFERROR(H21-I21,"")</f>
        <v>0</v>
      </c>
      <c r="K21" s="75">
        <f>_xlfn.IFERROR(J21*10000/取值!C4,"")</f>
        <v>0</v>
      </c>
      <c r="L21" s="186" t="str">
        <f>_xlfn.IFERROR(I21/H21*100,"")</f>
        <v/>
      </c>
      <c r="M21" s="123"/>
      <c r="N21" s="124"/>
      <c r="O21" s="221"/>
      <c r="P21" s="221"/>
      <c r="Q21" s="222"/>
      <c r="R21" s="223"/>
      <c r="S21" s="201"/>
      <c r="T21" s="197"/>
      <c r="U21" s="161"/>
      <c r="V21" s="224"/>
      <c r="W21" s="151"/>
      <c r="X21" s="198">
        <v>0</v>
      </c>
      <c r="Y21" s="199"/>
      <c r="Z21" s="200"/>
    </row>
    <row s="229" customFormat="1" customHeight="1" ht="21.75">
      <c r="A22" s="227"/>
      <c r="B22" s="120" t="s">
        <v>57</v>
      </c>
      <c r="C22" s="188"/>
      <c r="D22" s="181">
        <f>取值!L37</f>
        <v>0</v>
      </c>
      <c r="E22" s="69">
        <f>_xlfn.IFERROR(取值!N86/10000,"")</f>
        <v>0</v>
      </c>
      <c r="F22" s="66"/>
      <c r="G22" s="181"/>
      <c r="H22" s="188"/>
      <c r="I22" s="182">
        <f>_xlfn.IFERROR(取值!O135/10000,"")</f>
        <v>0</v>
      </c>
      <c r="J22" s="69"/>
      <c r="K22" s="75"/>
      <c r="L22" s="186"/>
      <c r="M22" s="123"/>
      <c r="N22" s="124"/>
      <c r="O22" s="221"/>
      <c r="P22" s="221"/>
      <c r="Q22" s="222"/>
      <c r="R22" s="223"/>
      <c r="S22" s="201"/>
      <c r="T22" s="197"/>
      <c r="U22" s="161"/>
      <c r="V22" s="224"/>
      <c r="W22" s="151"/>
      <c r="X22" s="200"/>
      <c r="Y22" s="200"/>
      <c r="Z22" s="200"/>
    </row>
    <row customHeight="1" ht="21.75">
      <c r="A23" s="150"/>
      <c r="B23" s="62" t="s">
        <v>58</v>
      </c>
      <c r="C23" s="188">
        <v>25</v>
      </c>
      <c r="D23" s="181">
        <f>_xlfn.IFERROR(SUM(D17,D19,D21),"")</f>
        <v>6710</v>
      </c>
      <c r="E23" s="182">
        <f>_xlfn.IFERROR(SUM(E17,E19,E21),"")</f>
        <v>0.671</v>
      </c>
      <c r="F23" s="66">
        <f>_xlfn.IFERROR(C23-E23,"")</f>
        <v>24.329</v>
      </c>
      <c r="G23" s="181">
        <f>_xlfn.IFERROR(F23*10000/取值!B4,"")</f>
        <v>8109.66666666667</v>
      </c>
      <c r="H23" s="188">
        <v>0</v>
      </c>
      <c r="I23" s="182">
        <f>_xlfn.IFERROR(SUM(I17,I19,I21),"")</f>
        <v>0.671</v>
      </c>
      <c r="J23" s="69">
        <f>_xlfn.IFERROR(H23-I23,"")</f>
        <v>-0.671</v>
      </c>
      <c r="K23" s="75">
        <f>_xlfn.IFERROR(J23*10000/取值!C4,"")</f>
        <v>-18.4340659340659</v>
      </c>
      <c r="L23" s="186" t="str">
        <f>_xlfn.IFERROR(I23/H23*100,"")</f>
        <v/>
      </c>
      <c r="M23" s="66"/>
      <c r="N23" s="66"/>
      <c r="O23" s="66"/>
      <c r="P23" s="66"/>
      <c r="Q23" s="78"/>
      <c r="R23" s="103"/>
      <c r="S23" s="201"/>
      <c r="T23" s="197"/>
      <c r="U23" s="161" t="s">
        <v>1</v>
      </c>
      <c r="V23" s="161" t="s">
        <v>1</v>
      </c>
      <c r="W23" s="151"/>
      <c r="X23" s="225"/>
      <c r="Y23" s="225"/>
      <c r="Z23" s="200"/>
    </row>
    <row customHeight="1" ht="21.75">
      <c r="A24" s="150"/>
      <c r="B24" s="62" t="s">
        <v>59</v>
      </c>
      <c r="C24" s="188"/>
      <c r="D24" s="181">
        <f>_xlfn.IFERROR(SUM(D18,D20,D22),"")</f>
        <v>11816</v>
      </c>
      <c r="E24" s="182">
        <f>_xlfn.IFERROR(SUM(E18,E20,E22),"")</f>
        <v>1.1816</v>
      </c>
      <c r="F24" s="66"/>
      <c r="G24" s="181"/>
      <c r="H24" s="188"/>
      <c r="I24" s="182">
        <f>_xlfn.IFERROR(SUM(I18,I20,I22),"")</f>
        <v>1.1816</v>
      </c>
      <c r="J24" s="69"/>
      <c r="K24" s="75"/>
      <c r="L24" s="186"/>
      <c r="M24" s="80" t="s">
        <v>43</v>
      </c>
      <c r="N24" s="80" t="s">
        <v>44</v>
      </c>
      <c r="O24" s="80" t="s">
        <v>24</v>
      </c>
      <c r="P24" s="80" t="s">
        <v>45</v>
      </c>
      <c r="Q24" s="80" t="s">
        <v>46</v>
      </c>
      <c r="R24" s="100"/>
      <c r="S24" s="201"/>
      <c r="T24" s="197"/>
      <c r="U24" s="161" t="s">
        <v>1</v>
      </c>
      <c r="V24" s="161" t="s">
        <v>1</v>
      </c>
      <c r="W24" s="151"/>
      <c r="X24" s="225"/>
      <c r="Y24" s="225"/>
      <c r="Z24" s="200"/>
    </row>
    <row customHeight="1" ht="21.75">
      <c r="A25" s="150"/>
      <c r="B25" s="62" t="s">
        <v>60</v>
      </c>
      <c r="C25" s="188">
        <v>18</v>
      </c>
      <c r="D25" s="181">
        <f>取值!B40</f>
        <v>11925</v>
      </c>
      <c r="E25" s="69">
        <f>_xlfn.IFERROR(取值!B89/10000,"")</f>
        <v>1.1925</v>
      </c>
      <c r="F25" s="66">
        <f>_xlfn.IFERROR(C25-E25,"")</f>
        <v>16.8075</v>
      </c>
      <c r="G25" s="181">
        <f>_xlfn.IFERROR(F25*10000/取值!B4,"")</f>
        <v>5602.5</v>
      </c>
      <c r="H25" s="188">
        <v>0</v>
      </c>
      <c r="I25" s="182">
        <f>_xlfn.IFERROR(取值!B138/10000+Z25,"")</f>
        <v>1.1925</v>
      </c>
      <c r="J25" s="69">
        <f>_xlfn.IFERROR(H25-I25,"")</f>
        <v>-1.1925</v>
      </c>
      <c r="K25" s="75">
        <f>_xlfn.IFERROR(J25*10000/取值!C4,"")</f>
        <v>-32.760989010989</v>
      </c>
      <c r="L25" s="186" t="str">
        <f>_xlfn.IFERROR(I25/H25*100,"")</f>
        <v/>
      </c>
      <c r="M25" s="134" t="s">
        <v>61</v>
      </c>
      <c r="N25" s="80" t="s">
        <v>49</v>
      </c>
      <c r="O25" s="230">
        <f>取值!M51</f>
        <v>0</v>
      </c>
      <c r="P25" s="180">
        <f>取值!M100</f>
        <v>0</v>
      </c>
      <c r="Q25" s="180">
        <f>取值!M149</f>
        <v>0</v>
      </c>
      <c r="R25" s="231"/>
      <c r="S25" s="201"/>
      <c r="T25" s="197"/>
      <c r="U25" s="161" t="s">
        <v>1</v>
      </c>
      <c r="V25" s="161" t="s">
        <v>1</v>
      </c>
      <c r="W25" s="151"/>
      <c r="X25" s="232">
        <v>0</v>
      </c>
      <c r="Y25" s="232"/>
      <c r="Z25" s="200"/>
    </row>
    <row customHeight="1" ht="21.75">
      <c r="A26" s="150"/>
      <c r="B26" s="62" t="s">
        <v>62</v>
      </c>
      <c r="C26" s="188"/>
      <c r="D26" s="181">
        <f>取值!A45</f>
        <v>40</v>
      </c>
      <c r="E26" s="69">
        <f>_xlfn.IFERROR(取值!A94/10000,"")</f>
        <v>0.004</v>
      </c>
      <c r="F26" s="66"/>
      <c r="G26" s="181"/>
      <c r="H26" s="188"/>
      <c r="I26" s="182">
        <f>_xlfn.IFERROR(取值!A143/10000,"")</f>
        <v>0.004</v>
      </c>
      <c r="J26" s="69"/>
      <c r="K26" s="75"/>
      <c r="L26" s="186"/>
      <c r="M26" s="135"/>
      <c r="N26" s="80" t="s">
        <v>51</v>
      </c>
      <c r="O26" s="233">
        <f>_xlfn.IFERROR(ROUND(O25/30,0),"")</f>
        <v>0</v>
      </c>
      <c r="P26" s="233">
        <f>_xlfn.IFERROR(ROUND(P25/30,0),"")</f>
        <v>0</v>
      </c>
      <c r="Q26" s="233">
        <f>_xlfn.IFERROR(ROUND(Q25/30,0),"")</f>
        <v>0</v>
      </c>
      <c r="R26" s="231"/>
      <c r="S26" s="201"/>
      <c r="T26" s="197"/>
      <c r="U26" s="161" t="s">
        <v>1</v>
      </c>
      <c r="V26" s="161" t="s">
        <v>1</v>
      </c>
      <c r="W26" s="151"/>
      <c r="X26" s="225"/>
      <c r="Y26" s="225"/>
      <c r="Z26" s="200"/>
    </row>
    <row s="234" customFormat="1" customHeight="1" ht="21.75">
      <c r="A27" s="235"/>
      <c r="B27" s="115" t="s">
        <v>63</v>
      </c>
      <c r="C27" s="188">
        <v>1.92</v>
      </c>
      <c r="D27" s="181">
        <f>取值!B181</f>
        <v>0</v>
      </c>
      <c r="E27" s="69">
        <f>_xlfn.IFERROR(取值!C181/10000,"")</f>
        <v>0</v>
      </c>
      <c r="F27" s="66">
        <f>_xlfn.IFERROR(C27-E27,"")</f>
        <v>1.92</v>
      </c>
      <c r="G27" s="181">
        <f>_xlfn.IFERROR(F27*10000/取值!B4,"")</f>
        <v>640</v>
      </c>
      <c r="H27" s="188">
        <v>0</v>
      </c>
      <c r="I27" s="182">
        <f>_xlfn.IFERROR(取值!E181/10000,"")</f>
        <v>0</v>
      </c>
      <c r="J27" s="69">
        <f>_xlfn.IFERROR(H27-I27,"")</f>
        <v>0</v>
      </c>
      <c r="K27" s="75">
        <f>_xlfn.IFERROR(J27*10000/取值!C4,"")</f>
        <v>0</v>
      </c>
      <c r="L27" s="186" t="str">
        <f>_xlfn.IFERROR(I27/H27*100,"")</f>
        <v/>
      </c>
      <c r="M27" s="123"/>
      <c r="N27" s="124"/>
      <c r="O27" s="221"/>
      <c r="P27" s="221"/>
      <c r="Q27" s="222"/>
      <c r="R27" s="223"/>
      <c r="S27" s="201"/>
      <c r="T27" s="197"/>
      <c r="U27" s="161"/>
      <c r="V27" s="161"/>
      <c r="W27" s="151"/>
      <c r="X27" s="198">
        <v>0</v>
      </c>
      <c r="Y27" s="198"/>
      <c r="Z27" s="200"/>
    </row>
    <row s="237" customFormat="1" customHeight="1" ht="21.75">
      <c r="A28" s="235"/>
      <c r="B28" s="115" t="s">
        <v>64</v>
      </c>
      <c r="C28" s="188"/>
      <c r="D28" s="181">
        <f>取值!B182</f>
        <v>0</v>
      </c>
      <c r="E28" s="69">
        <f>_xlfn.IFERROR(取值!C182/10000,"")</f>
        <v>0</v>
      </c>
      <c r="F28" s="66"/>
      <c r="G28" s="181"/>
      <c r="H28" s="188"/>
      <c r="I28" s="182">
        <f>_xlfn.IFERROR(取值!E182/10000,"")</f>
        <v>0</v>
      </c>
      <c r="J28" s="69"/>
      <c r="K28" s="75"/>
      <c r="L28" s="186"/>
      <c r="M28" s="124"/>
      <c r="N28" s="124"/>
      <c r="O28" s="124"/>
      <c r="P28" s="124"/>
      <c r="Q28" s="78"/>
      <c r="R28" s="103"/>
      <c r="S28" s="201"/>
      <c r="T28" s="197"/>
      <c r="U28" s="161"/>
      <c r="V28" s="161"/>
      <c r="W28" s="151"/>
      <c r="X28" s="200"/>
      <c r="Y28" s="200"/>
      <c r="Z28" s="200"/>
    </row>
    <row customHeight="1" ht="21.75">
      <c r="A29" s="150"/>
      <c r="B29" s="169" t="s">
        <v>65</v>
      </c>
      <c r="C29" s="238" t="s">
        <v>66</v>
      </c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224" t="s">
        <v>1</v>
      </c>
      <c r="T29" s="240" t="s">
        <v>1</v>
      </c>
      <c r="U29" s="161" t="s">
        <v>1</v>
      </c>
      <c r="V29" s="161" t="s">
        <v>1</v>
      </c>
      <c r="W29" s="151"/>
      <c r="X29" s="151"/>
      <c r="Y29" s="151"/>
      <c r="Z29" s="152"/>
    </row>
    <row customHeight="1" ht="21.75">
      <c r="A30" s="150"/>
      <c r="B30" s="169" t="s">
        <v>65</v>
      </c>
      <c r="C30" s="238" t="s">
        <v>67</v>
      </c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224" t="s">
        <v>1</v>
      </c>
      <c r="T30" s="240" t="s">
        <v>1</v>
      </c>
      <c r="U30" s="161" t="s">
        <v>1</v>
      </c>
      <c r="V30" s="161" t="s">
        <v>1</v>
      </c>
      <c r="W30" s="151"/>
      <c r="X30" s="151"/>
      <c r="Y30" s="151"/>
      <c r="Z30" s="152"/>
    </row>
    <row customHeight="1" ht="21.75">
      <c r="A31" s="150"/>
      <c r="B31" s="241" t="s">
        <v>68</v>
      </c>
      <c r="C31" s="242" t="s">
        <v>69</v>
      </c>
      <c r="D31" s="243"/>
      <c r="E31" s="243" t="s">
        <v>1</v>
      </c>
      <c r="F31" s="243" t="s">
        <v>1</v>
      </c>
      <c r="G31" s="243" t="s">
        <v>1</v>
      </c>
      <c r="H31" s="243"/>
      <c r="I31" s="241" t="s">
        <v>70</v>
      </c>
      <c r="J31" s="242" t="s">
        <v>71</v>
      </c>
      <c r="K31" s="243"/>
      <c r="L31" s="243"/>
      <c r="M31" s="243"/>
      <c r="N31" s="243"/>
      <c r="O31" s="243" t="s">
        <v>1</v>
      </c>
      <c r="P31" s="241" t="s">
        <v>72</v>
      </c>
      <c r="Q31" s="242" t="s">
        <v>73</v>
      </c>
      <c r="R31" s="243" t="s">
        <v>1</v>
      </c>
      <c r="S31" s="224" t="s">
        <v>1</v>
      </c>
      <c r="T31" s="240" t="s">
        <v>1</v>
      </c>
      <c r="U31" s="161" t="s">
        <v>1</v>
      </c>
      <c r="V31" s="161" t="s">
        <v>1</v>
      </c>
      <c r="W31" s="151"/>
      <c r="X31" s="151"/>
      <c r="Y31" s="151"/>
      <c r="Z31" s="152"/>
    </row>
    <row customHeight="1" ht="12.75">
      <c r="A32" s="150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1"/>
      <c r="X32" s="151"/>
      <c r="Y32" s="151"/>
      <c r="Z32" s="152"/>
    </row>
    <row customHeight="1" ht="12.75">
      <c r="A33" s="150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1"/>
      <c r="X33" s="151"/>
      <c r="Y33" s="151"/>
      <c r="Z33" s="152"/>
    </row>
    <row customHeight="1" ht="12.75">
      <c r="A34" s="150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1"/>
      <c r="X34" s="151"/>
      <c r="Y34" s="151"/>
      <c r="Z34" s="152"/>
    </row>
    <row customHeight="1" ht="12.75">
      <c r="A35" s="150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1"/>
      <c r="X35" s="151"/>
      <c r="Y35" s="151"/>
      <c r="Z35" s="152"/>
    </row>
    <row customHeight="1" ht="12.75">
      <c r="A36" s="150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1"/>
      <c r="X36" s="151"/>
      <c r="Y36" s="151"/>
      <c r="Z36" s="152"/>
    </row>
    <row customHeight="1" ht="12.75">
      <c r="A37" s="150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1"/>
      <c r="X37" s="151"/>
      <c r="Y37" s="151"/>
      <c r="Z37" s="152"/>
    </row>
    <row customHeight="1" ht="12.75">
      <c r="A38" s="150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1"/>
      <c r="X38" s="151"/>
      <c r="Y38" s="151"/>
      <c r="Z38" s="152"/>
    </row>
    <row customHeight="1" ht="12.75">
      <c r="A39" s="150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1"/>
      <c r="X39" s="151"/>
      <c r="Y39" s="151"/>
      <c r="Z39" s="152"/>
    </row>
    <row customHeight="1" ht="12.75">
      <c r="A40" s="150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1"/>
      <c r="X40" s="151"/>
      <c r="Y40" s="151"/>
      <c r="Z40" s="152"/>
    </row>
    <row customHeight="1" ht="12.75">
      <c r="A41" s="150"/>
      <c r="B41" s="150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1"/>
      <c r="X41" s="151"/>
      <c r="Y41" s="151"/>
      <c r="Z41" s="152"/>
    </row>
  </sheetData>
  <mergeCells count="17">
    <mergeCell ref="S4:V4"/>
    <mergeCell ref="C29:R29"/>
    <mergeCell ref="U13:U14"/>
    <mergeCell ref="V13:V14"/>
    <mergeCell ref="B2:R2"/>
    <mergeCell ref="B3:C3"/>
    <mergeCell ref="H3:I3"/>
    <mergeCell ref="L3:M3"/>
    <mergeCell ref="O3:R3"/>
    <mergeCell ref="C30:R30"/>
    <mergeCell ref="B4:B5"/>
    <mergeCell ref="B29:B30"/>
    <mergeCell ref="M15:M16"/>
    <mergeCell ref="M25:M26"/>
    <mergeCell ref="C4:G4"/>
    <mergeCell ref="H4:L4"/>
    <mergeCell ref="M4:R4"/>
  </mergeCells>
  <conditionalFormatting sqref="Q17:R17 R6:R12">
    <cfRule type="cellIs" priority="9" dxfId="0" operator="lessThan">
      <formula>0</formula>
    </cfRule>
  </conditionalFormatting>
  <conditionalFormatting sqref="Q17:R17 R6:R12">
    <cfRule type="cellIs" priority="10" dxfId="1" operator="greaterThan">
      <formula>0</formula>
    </cfRule>
  </conditionalFormatting>
  <conditionalFormatting sqref="X6:Y28">
    <cfRule type="cellIs" priority="1" dxfId="2" operator="equal">
      <formula>0</formula>
    </cfRule>
  </conditionalFormatting>
  <printOptions horizontalCentered="1"/>
  <pageMargins left="0.71" right="0.71" top="0.75" bottom="0.75" header="0.31" footer="0.31"/>
  <pageSetup paperSize="9" scale="70" pageOrder="downThenOver" orientation="landscape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DD5EF72-6B98-A3C8-748F-4E6BA02F807D}" mc:Ignorable="x14ac xr xr2 xr3">
  <dimension ref="A1:R182"/>
  <sheetViews>
    <sheetView defaultGridColor="0" colorId="31" topLeftCell="A142" workbookViewId="0">
      <selection activeCell="E181" sqref="E181"/>
    </sheetView>
  </sheetViews>
  <sheetFormatPr defaultColWidth="9.00390625" customHeight="1" defaultRowHeight="14.25"/>
  <cols>
    <col min="1" max="1" style="265" width="19.28125" customWidth="1"/>
    <col min="15" max="15" style="266" width="9.421875" customWidth="1"/>
    <col min="16" max="16" style="267" width="9.421875" customWidth="1"/>
    <col min="17" max="17" style="268" width="9.421875" customWidth="1"/>
  </cols>
  <sheetData>
    <row customHeight="1" ht="14.25">
      <c r="A1" s="247" t="s">
        <v>74</v>
      </c>
      <c r="B1" s="247" t="s">
        <v>75</v>
      </c>
      <c r="C1" s="248" t="s">
        <v>76</v>
      </c>
      <c r="D1" s="152"/>
      <c r="E1" s="247" t="s">
        <v>69</v>
      </c>
      <c r="F1" s="152"/>
      <c r="G1" s="152"/>
      <c r="H1" s="152"/>
      <c r="I1" s="152"/>
      <c r="J1" s="152"/>
      <c r="K1" s="152"/>
      <c r="L1" s="152"/>
      <c r="M1" s="152"/>
      <c r="N1" s="152"/>
      <c r="O1" s="247" t="s">
        <v>77</v>
      </c>
      <c r="P1" s="247" t="s">
        <v>78</v>
      </c>
      <c r="Q1" s="151"/>
      <c r="R1" s="152"/>
    </row>
    <row customHeight="1" ht="14.25">
      <c r="A2" s="151"/>
      <c r="B2" s="152"/>
      <c r="C2" s="152"/>
      <c r="D2" s="152"/>
      <c r="E2" s="152" t="s">
        <v>71</v>
      </c>
      <c r="F2" s="152"/>
      <c r="G2" s="152"/>
      <c r="H2" s="152"/>
      <c r="I2" s="152"/>
      <c r="J2" s="152"/>
      <c r="K2" s="152"/>
      <c r="L2" s="152"/>
      <c r="M2" s="152"/>
      <c r="N2" s="152" t="s">
        <v>79</v>
      </c>
      <c r="O2" s="249">
        <f>_xlfn.IFERROR(ROUND(SUM(O3,O6,O7)/10000,2),0)</f>
        <v>1.63</v>
      </c>
      <c r="P2" s="250">
        <f>_xlfn.IFERROR(ROUND(SUM(P3,P6,P7)/10000,2),0)</f>
        <v>1.63</v>
      </c>
      <c r="Q2" s="250">
        <f>_xlfn.IFERROR(ROUND(O4/10000,2),0)</f>
        <v>0</v>
      </c>
      <c r="R2" s="250">
        <f>_xlfn.IFERROR(ROUND(P4/10000,2),0)</f>
        <v>0</v>
      </c>
    </row>
    <row customHeight="1" ht="14.25">
      <c r="A3" s="151"/>
      <c r="B3" s="251" t="s">
        <v>80</v>
      </c>
      <c r="C3" s="251" t="s">
        <v>81</v>
      </c>
      <c r="D3" s="152"/>
      <c r="E3" s="152" t="s">
        <v>73</v>
      </c>
      <c r="F3" s="152"/>
      <c r="G3" s="152"/>
      <c r="H3" s="152"/>
      <c r="I3" s="152"/>
      <c r="J3" s="152"/>
      <c r="K3" s="152"/>
      <c r="L3" s="152"/>
      <c r="M3" s="152"/>
      <c r="N3" s="152" t="s">
        <v>82</v>
      </c>
      <c r="O3" s="252">
        <f>SUM(O4:O5)</f>
        <v>16310</v>
      </c>
      <c r="P3" s="253">
        <f>SUM(P4:P5)</f>
        <v>16310</v>
      </c>
      <c r="Q3" s="151"/>
      <c r="R3" s="152"/>
    </row>
    <row customHeight="1" ht="14.25">
      <c r="A4" s="151"/>
      <c r="B4" s="152">
        <v>30</v>
      </c>
      <c r="C4" s="152">
        <v>364</v>
      </c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 t="s">
        <v>83</v>
      </c>
      <c r="O4" s="254">
        <v>0</v>
      </c>
      <c r="P4" s="255">
        <v>0</v>
      </c>
      <c r="Q4" s="151"/>
      <c r="R4" s="152"/>
    </row>
    <row customHeight="1" ht="14.25">
      <c r="A5" s="151"/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 t="s">
        <v>84</v>
      </c>
      <c r="O5" s="253">
        <v>16310</v>
      </c>
      <c r="P5" s="253">
        <v>16310</v>
      </c>
      <c r="Q5" s="151"/>
      <c r="R5" s="152"/>
    </row>
    <row customHeight="1" ht="14.25">
      <c r="A6" s="151"/>
      <c r="B6" s="251" t="s">
        <v>85</v>
      </c>
      <c r="C6" s="251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 t="s">
        <v>86</v>
      </c>
      <c r="O6" s="253">
        <v>0</v>
      </c>
      <c r="P6" s="253">
        <v>0</v>
      </c>
      <c r="Q6" s="151"/>
      <c r="R6" s="152"/>
    </row>
    <row customHeight="1" ht="14.25">
      <c r="A7" s="151"/>
      <c r="B7" s="152">
        <v>9496</v>
      </c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 t="s">
        <v>87</v>
      </c>
      <c r="O7" s="253">
        <f>SUM(O8:O11)</f>
        <v>0</v>
      </c>
      <c r="P7" s="253">
        <f>SUM(P8:P11)</f>
        <v>0</v>
      </c>
      <c r="Q7" s="151"/>
      <c r="R7" s="152"/>
    </row>
    <row customHeight="1" ht="14.25">
      <c r="A8" s="151"/>
      <c r="B8" s="152">
        <v>7326</v>
      </c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 t="s">
        <v>88</v>
      </c>
      <c r="O8" s="253">
        <v>0</v>
      </c>
      <c r="P8" s="253">
        <v>0</v>
      </c>
      <c r="Q8" s="151"/>
      <c r="R8" s="152"/>
    </row>
    <row customHeight="1" ht="14.25">
      <c r="A9" s="151"/>
      <c r="B9" s="152">
        <v>5996</v>
      </c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 t="s">
        <v>89</v>
      </c>
      <c r="O9" s="253">
        <v>0</v>
      </c>
      <c r="P9" s="253">
        <v>0</v>
      </c>
      <c r="Q9" s="151"/>
      <c r="R9" s="152"/>
    </row>
    <row customHeight="1" ht="14.25">
      <c r="A10" s="151"/>
      <c r="B10" s="152">
        <v>2811</v>
      </c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 t="s">
        <v>90</v>
      </c>
      <c r="O10" s="253">
        <v>0</v>
      </c>
      <c r="P10" s="253">
        <v>0</v>
      </c>
      <c r="Q10" s="151"/>
      <c r="R10" s="152"/>
    </row>
    <row customHeight="1" ht="14.25">
      <c r="A11" s="151"/>
      <c r="B11" s="152">
        <v>945</v>
      </c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 t="s">
        <v>91</v>
      </c>
      <c r="O11" s="253">
        <v>0</v>
      </c>
      <c r="P11" s="253">
        <v>0</v>
      </c>
      <c r="Q11" s="151"/>
      <c r="R11" s="152"/>
    </row>
    <row customHeight="1" ht="14.25">
      <c r="A12" s="151"/>
      <c r="B12" s="256">
        <v>296</v>
      </c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1"/>
      <c r="P12" s="151"/>
      <c r="Q12" s="151"/>
      <c r="R12" s="152"/>
    </row>
    <row customHeight="1" ht="14.25">
      <c r="A13" s="151"/>
      <c r="B13" s="256">
        <v>0</v>
      </c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 t="s">
        <v>92</v>
      </c>
      <c r="O13" s="253"/>
      <c r="P13" s="253"/>
      <c r="Q13" s="151"/>
      <c r="R13" s="152"/>
    </row>
    <row customHeight="1" ht="14.25">
      <c r="A14" s="151"/>
      <c r="B14" s="256">
        <v>0</v>
      </c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 t="s">
        <v>93</v>
      </c>
      <c r="O14" s="151"/>
      <c r="P14" s="151"/>
      <c r="Q14" s="151"/>
      <c r="R14" s="152"/>
    </row>
    <row customHeight="1" ht="14.25">
      <c r="A15" s="151"/>
      <c r="B15" s="256">
        <v>0</v>
      </c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247" t="s">
        <v>94</v>
      </c>
      <c r="O15" s="151"/>
      <c r="P15" s="151"/>
      <c r="Q15" s="151"/>
      <c r="R15" s="152"/>
    </row>
    <row customHeight="1" ht="14.25">
      <c r="A16" s="151"/>
      <c r="B16" s="256">
        <v>0</v>
      </c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247" t="s">
        <v>95</v>
      </c>
      <c r="O16" s="151"/>
      <c r="P16" s="151"/>
      <c r="Q16" s="151"/>
      <c r="R16" s="152"/>
    </row>
    <row customHeight="1" ht="14.25">
      <c r="A17" s="151"/>
      <c r="B17" s="256">
        <v>0</v>
      </c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247" t="s">
        <v>96</v>
      </c>
      <c r="O17" s="151"/>
      <c r="P17" s="151"/>
      <c r="Q17" s="151"/>
      <c r="R17" s="152"/>
    </row>
    <row customHeight="1" ht="14.25">
      <c r="A18" s="257">
        <f>_xlfn.IFERROR(SUM(B12,B13,B14,B15,B16,B17,B18),"")</f>
        <v>296</v>
      </c>
      <c r="B18" s="256">
        <v>0</v>
      </c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 t="s">
        <v>93</v>
      </c>
      <c r="O18" s="151"/>
      <c r="P18" s="151"/>
      <c r="Q18" s="151"/>
      <c r="R18" s="152"/>
    </row>
    <row customHeight="1" ht="14.25">
      <c r="A19" s="151"/>
      <c r="B19" s="152">
        <v>104</v>
      </c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 t="s">
        <v>94</v>
      </c>
      <c r="O19" s="151"/>
      <c r="P19" s="151"/>
      <c r="Q19" s="151"/>
      <c r="R19" s="152"/>
    </row>
    <row customHeight="1" ht="14.25">
      <c r="A20" s="151"/>
      <c r="B20" s="152">
        <v>159</v>
      </c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 t="s">
        <v>97</v>
      </c>
      <c r="O20" s="151"/>
      <c r="P20" s="151"/>
      <c r="Q20" s="151"/>
      <c r="R20" s="152"/>
    </row>
    <row customHeight="1" ht="14.25">
      <c r="A21" s="151"/>
      <c r="B21" s="152">
        <v>155</v>
      </c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 t="s">
        <v>98</v>
      </c>
      <c r="O21" s="151"/>
      <c r="P21" s="151"/>
      <c r="Q21" s="151"/>
      <c r="R21" s="152"/>
    </row>
    <row customHeight="1" ht="14.25">
      <c r="A22" s="151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 t="s">
        <v>99</v>
      </c>
      <c r="O22" s="151"/>
      <c r="P22" s="151"/>
      <c r="Q22" s="151"/>
      <c r="R22" s="152"/>
    </row>
    <row customHeight="1" ht="14.25">
      <c r="A23" s="151"/>
      <c r="B23" s="251" t="s">
        <v>52</v>
      </c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>
        <f>SUM(C4)</f>
        <v>364</v>
      </c>
      <c r="O23" s="151"/>
      <c r="P23" s="151"/>
      <c r="Q23" s="151"/>
      <c r="R23" s="152"/>
    </row>
    <row customHeight="1" ht="14.25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1"/>
      <c r="P24" s="151"/>
      <c r="Q24" s="151"/>
      <c r="R24" s="152"/>
    </row>
    <row customHeight="1" ht="14.25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 t="str">
        <f>N13&amp;O2&amp;N14&amp;N15&amp;Q2&amp;N16&amp;N17&amp;P2&amp;N18&amp;N19&amp;R2&amp;N20</f>
        <v>本月接收原油1.63万吨，其中接收长庆原油0万吨；全年接收原油1.63万吨，其中接收长庆原油0万吨。</v>
      </c>
      <c r="O25" s="151"/>
      <c r="P25" s="151"/>
      <c r="Q25" s="151"/>
      <c r="R25" s="152"/>
    </row>
    <row customHeight="1" ht="14.25">
      <c r="A26" s="151"/>
      <c r="B26" s="251" t="s">
        <v>53</v>
      </c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 t="str">
        <f>N21&amp;N23&amp;N22</f>
        <v>距离12月底还有364天。</v>
      </c>
      <c r="O26" s="151"/>
      <c r="P26" s="151"/>
      <c r="Q26" s="151"/>
      <c r="R26" s="152"/>
    </row>
    <row customHeight="1" ht="14.25">
      <c r="A27" s="151"/>
      <c r="B27" s="256">
        <v>0</v>
      </c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1"/>
      <c r="P27" s="151"/>
      <c r="Q27" s="151"/>
      <c r="R27" s="152"/>
    </row>
    <row customHeight="1" ht="14.25">
      <c r="A28" s="151"/>
      <c r="B28" s="256">
        <v>0</v>
      </c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1"/>
      <c r="P28" s="151"/>
      <c r="Q28" s="151"/>
      <c r="R28" s="152"/>
    </row>
    <row customHeight="1" ht="14.25">
      <c r="A29" s="256">
        <f>_xlfn.IFERROR(SUM(B27,B28,B29),"")</f>
        <v>7627</v>
      </c>
      <c r="B29" s="256">
        <v>7627</v>
      </c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1"/>
      <c r="P29" s="151"/>
      <c r="Q29" s="151"/>
      <c r="R29" s="152"/>
    </row>
    <row customHeight="1" ht="14.25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1"/>
      <c r="P30" s="151"/>
      <c r="Q30" s="151"/>
      <c r="R30" s="152"/>
    </row>
    <row customHeight="1" ht="14.25">
      <c r="A31" s="151"/>
      <c r="B31" s="251" t="s">
        <v>54</v>
      </c>
      <c r="C31" s="152"/>
      <c r="D31" s="152"/>
      <c r="E31" s="152"/>
      <c r="F31" s="152"/>
      <c r="G31" s="152"/>
      <c r="H31" s="152"/>
      <c r="I31" s="152"/>
      <c r="J31" s="152"/>
      <c r="K31" s="258"/>
      <c r="L31" s="259" t="s">
        <v>100</v>
      </c>
      <c r="M31" s="152"/>
      <c r="N31" s="152"/>
      <c r="O31" s="151"/>
      <c r="P31" s="151"/>
      <c r="Q31" s="151"/>
      <c r="R31" s="152"/>
    </row>
    <row customHeight="1" ht="14.25">
      <c r="A32" s="151"/>
      <c r="B32" s="152">
        <v>6710</v>
      </c>
      <c r="C32" s="152"/>
      <c r="D32" s="152"/>
      <c r="E32" s="152"/>
      <c r="F32" s="152"/>
      <c r="G32" s="152"/>
      <c r="H32" s="152"/>
      <c r="I32" s="152"/>
      <c r="J32" s="152"/>
      <c r="K32" s="258"/>
      <c r="L32" s="152"/>
      <c r="M32" s="152"/>
      <c r="N32" s="152"/>
      <c r="O32" s="151"/>
      <c r="P32" s="151"/>
      <c r="Q32" s="151"/>
      <c r="R32" s="152"/>
    </row>
    <row customHeight="1" ht="14.25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1"/>
      <c r="P33" s="151"/>
      <c r="Q33" s="151"/>
      <c r="R33" s="152"/>
    </row>
    <row customHeight="1" ht="14.25">
      <c r="A34" s="151"/>
      <c r="B34" s="251" t="s">
        <v>55</v>
      </c>
      <c r="C34" s="152"/>
      <c r="D34" s="152"/>
      <c r="E34" s="152"/>
      <c r="F34" s="152"/>
      <c r="G34" s="152"/>
      <c r="H34" s="152"/>
      <c r="I34" s="152"/>
      <c r="J34" s="152"/>
      <c r="K34" s="152"/>
      <c r="L34" s="258"/>
      <c r="M34" s="259" t="s">
        <v>101</v>
      </c>
      <c r="N34" s="152"/>
      <c r="O34" s="151"/>
      <c r="P34" s="151"/>
      <c r="Q34" s="151"/>
      <c r="R34" s="152"/>
    </row>
    <row customHeight="1" ht="14.25">
      <c r="A35" s="151"/>
      <c r="B35" s="256">
        <v>32</v>
      </c>
      <c r="C35" s="152"/>
      <c r="D35" s="152"/>
      <c r="E35" s="152"/>
      <c r="F35" s="152"/>
      <c r="G35" s="152"/>
      <c r="H35" s="152"/>
      <c r="I35" s="152"/>
      <c r="J35" s="152"/>
      <c r="K35" s="152"/>
      <c r="L35" s="258"/>
      <c r="M35" s="260">
        <v>0</v>
      </c>
      <c r="N35" s="152"/>
      <c r="O35" s="151"/>
      <c r="P35" s="151"/>
      <c r="Q35" s="151"/>
      <c r="R35" s="152"/>
    </row>
    <row customHeight="1" ht="14.25">
      <c r="A36" s="151"/>
      <c r="B36" s="256">
        <v>1679</v>
      </c>
      <c r="C36" s="152"/>
      <c r="D36" s="152"/>
      <c r="E36" s="152"/>
      <c r="F36" s="152"/>
      <c r="G36" s="152"/>
      <c r="H36" s="152"/>
      <c r="I36" s="152"/>
      <c r="J36" s="152"/>
      <c r="K36" s="152"/>
      <c r="L36" s="258"/>
      <c r="M36" s="260">
        <v>0</v>
      </c>
      <c r="N36" s="152"/>
      <c r="O36" s="151"/>
      <c r="P36" s="151"/>
      <c r="Q36" s="151"/>
      <c r="R36" s="152"/>
    </row>
    <row customHeight="1" ht="14.25">
      <c r="A37" s="256">
        <f>_xlfn.IFERROR(SUM(B35,B36,B37),"")</f>
        <v>4189</v>
      </c>
      <c r="B37" s="256">
        <v>2478</v>
      </c>
      <c r="C37" s="152"/>
      <c r="D37" s="152"/>
      <c r="E37" s="152"/>
      <c r="F37" s="152"/>
      <c r="G37" s="152"/>
      <c r="H37" s="152"/>
      <c r="I37" s="152"/>
      <c r="J37" s="152"/>
      <c r="K37" s="152"/>
      <c r="L37" s="257">
        <f>_xlfn.IFERROR(SUM(M35,M36,M37),"")</f>
        <v>0</v>
      </c>
      <c r="M37" s="260">
        <v>0</v>
      </c>
      <c r="N37" s="152"/>
      <c r="O37" s="151"/>
      <c r="P37" s="151"/>
      <c r="Q37" s="151"/>
      <c r="R37" s="152"/>
    </row>
    <row customHeight="1" ht="14.25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1"/>
      <c r="P38" s="151"/>
      <c r="Q38" s="151"/>
      <c r="R38" s="152"/>
    </row>
    <row customHeight="1" ht="14.25">
      <c r="A39" s="151"/>
      <c r="B39" s="251" t="s">
        <v>60</v>
      </c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1"/>
      <c r="P39" s="151"/>
      <c r="Q39" s="151"/>
      <c r="R39" s="152"/>
    </row>
    <row customHeight="1" ht="14.25">
      <c r="A40" s="151"/>
      <c r="B40" s="152">
        <v>11925</v>
      </c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1"/>
      <c r="P40" s="151"/>
      <c r="Q40" s="151"/>
      <c r="R40" s="152"/>
    </row>
    <row customHeight="1" ht="14.25">
      <c r="A41" s="151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1"/>
      <c r="P41" s="151"/>
      <c r="Q41" s="151"/>
      <c r="R41" s="152"/>
    </row>
    <row customHeight="1" ht="14.25">
      <c r="A42" s="151"/>
      <c r="B42" s="251" t="s">
        <v>62</v>
      </c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1"/>
      <c r="P42" s="151"/>
      <c r="Q42" s="151"/>
      <c r="R42" s="152"/>
    </row>
    <row customHeight="1" ht="14.25">
      <c r="A43" s="151"/>
      <c r="B43" s="256">
        <v>40</v>
      </c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1"/>
      <c r="P43" s="151"/>
      <c r="Q43" s="151"/>
      <c r="R43" s="152"/>
    </row>
    <row customHeight="1" ht="14.25">
      <c r="A44" s="151"/>
      <c r="B44" s="256">
        <v>0</v>
      </c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1"/>
      <c r="P44" s="151"/>
      <c r="Q44" s="151"/>
      <c r="R44" s="152"/>
    </row>
    <row customHeight="1" ht="14.25">
      <c r="A45" s="256">
        <f>_xlfn.IFERROR(SUM(B43,B44,B45),"")</f>
        <v>40</v>
      </c>
      <c r="B45" s="256">
        <v>0</v>
      </c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1"/>
      <c r="P45" s="151"/>
      <c r="Q45" s="151"/>
      <c r="R45" s="152"/>
    </row>
    <row customHeight="1" ht="14.25">
      <c r="A46" s="151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1"/>
      <c r="P46" s="151"/>
      <c r="Q46" s="151"/>
      <c r="R46" s="152"/>
    </row>
    <row customHeight="1" ht="14.25">
      <c r="A47" s="151"/>
      <c r="B47" s="261" t="s">
        <v>102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 t="s">
        <v>103</v>
      </c>
      <c r="M47" s="152"/>
      <c r="N47" s="152"/>
      <c r="O47" s="151"/>
      <c r="P47" s="151"/>
      <c r="Q47" s="151"/>
      <c r="R47" s="152"/>
    </row>
    <row customHeight="1" ht="14.25">
      <c r="A48" s="151"/>
      <c r="B48" s="152">
        <v>0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>
        <v>0</v>
      </c>
      <c r="M48" s="152"/>
      <c r="N48" s="152"/>
      <c r="O48" s="151"/>
      <c r="P48" s="151"/>
      <c r="Q48" s="151"/>
      <c r="R48" s="152"/>
    </row>
    <row customHeight="1" ht="14.25">
      <c r="A49" s="151"/>
      <c r="B49" s="152">
        <v>0</v>
      </c>
      <c r="C49" s="152"/>
      <c r="D49" s="152"/>
      <c r="E49" s="152"/>
      <c r="F49" s="152"/>
      <c r="G49" s="152"/>
      <c r="H49" s="152"/>
      <c r="I49" s="152"/>
      <c r="J49" s="152"/>
      <c r="K49" s="152"/>
      <c r="L49" s="152">
        <v>0</v>
      </c>
      <c r="M49" s="152"/>
      <c r="N49" s="152"/>
      <c r="O49" s="151"/>
      <c r="P49" s="151"/>
      <c r="Q49" s="151"/>
      <c r="R49" s="152"/>
    </row>
    <row customHeight="1" ht="14.25">
      <c r="A50" s="151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1"/>
      <c r="P50" s="151"/>
      <c r="Q50" s="151"/>
      <c r="R50" s="152"/>
    </row>
    <row customHeight="1" ht="14.25">
      <c r="A51" s="151"/>
      <c r="B51" s="261" t="s">
        <v>104</v>
      </c>
      <c r="C51" s="152"/>
      <c r="D51" s="152"/>
      <c r="E51" s="152"/>
      <c r="F51" s="152"/>
      <c r="G51" s="152"/>
      <c r="H51" s="152"/>
      <c r="I51" s="152"/>
      <c r="J51" s="152"/>
      <c r="K51" s="152"/>
      <c r="L51" s="152" t="s">
        <v>105</v>
      </c>
      <c r="M51" s="152">
        <f>_xlfn.IFERROR(SUM(L52:L53),"")</f>
        <v>0</v>
      </c>
      <c r="N51" s="152"/>
      <c r="O51" s="151"/>
      <c r="P51" s="151"/>
      <c r="Q51" s="151"/>
      <c r="R51" s="152"/>
    </row>
    <row customHeight="1" ht="14.25">
      <c r="A52" s="151"/>
      <c r="B52" s="152">
        <v>0</v>
      </c>
      <c r="C52" s="152"/>
      <c r="D52" s="152"/>
      <c r="E52" s="152"/>
      <c r="F52" s="152"/>
      <c r="G52" s="152"/>
      <c r="H52" s="152"/>
      <c r="I52" s="152"/>
      <c r="J52" s="152"/>
      <c r="K52" s="152"/>
      <c r="L52" s="152">
        <v>0</v>
      </c>
      <c r="M52" s="152"/>
      <c r="N52" s="152"/>
      <c r="O52" s="151"/>
      <c r="P52" s="151"/>
      <c r="Q52" s="151"/>
      <c r="R52" s="152"/>
    </row>
    <row customHeight="1" ht="14.25">
      <c r="A53" s="151"/>
      <c r="B53" s="152">
        <v>0</v>
      </c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1"/>
      <c r="P53" s="151"/>
      <c r="Q53" s="151"/>
      <c r="R53" s="152"/>
    </row>
    <row customHeight="1" ht="14.25">
      <c r="A54" s="151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1"/>
      <c r="P54" s="151"/>
      <c r="Q54" s="151"/>
      <c r="R54" s="152"/>
    </row>
    <row customHeight="1" ht="14.25">
      <c r="A55" s="151"/>
      <c r="B55" s="251" t="s">
        <v>106</v>
      </c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1"/>
      <c r="P55" s="151"/>
      <c r="Q55" s="151"/>
      <c r="R55" s="152"/>
    </row>
    <row customHeight="1" ht="14.25">
      <c r="A56" s="151"/>
      <c r="B56" s="152">
        <v>9496</v>
      </c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1"/>
      <c r="P56" s="151"/>
      <c r="Q56" s="151"/>
      <c r="R56" s="152"/>
    </row>
    <row customHeight="1" ht="14.25">
      <c r="A57" s="151"/>
      <c r="B57" s="152">
        <v>7326</v>
      </c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1"/>
      <c r="P57" s="151"/>
      <c r="Q57" s="151"/>
      <c r="R57" s="152"/>
    </row>
    <row customHeight="1" ht="14.25">
      <c r="A58" s="151"/>
      <c r="B58" s="152">
        <v>5996</v>
      </c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1"/>
      <c r="P58" s="151"/>
      <c r="Q58" s="151"/>
      <c r="R58" s="152"/>
    </row>
    <row customHeight="1" ht="14.25">
      <c r="A59" s="151"/>
      <c r="B59" s="152">
        <v>2811</v>
      </c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1"/>
      <c r="P59" s="151"/>
      <c r="Q59" s="151"/>
      <c r="R59" s="152"/>
    </row>
    <row customHeight="1" ht="14.25">
      <c r="A60" s="151"/>
      <c r="B60" s="152">
        <v>945</v>
      </c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1"/>
      <c r="P60" s="151"/>
      <c r="Q60" s="151"/>
      <c r="R60" s="152"/>
    </row>
    <row customHeight="1" ht="14.25">
      <c r="A61" s="151"/>
      <c r="B61" s="256">
        <v>296</v>
      </c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1"/>
      <c r="P61" s="151"/>
      <c r="Q61" s="151"/>
      <c r="R61" s="152"/>
    </row>
    <row customHeight="1" ht="14.25">
      <c r="A62" s="151"/>
      <c r="B62" s="256">
        <v>0</v>
      </c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1"/>
      <c r="P62" s="151"/>
      <c r="Q62" s="151"/>
      <c r="R62" s="152"/>
    </row>
    <row customHeight="1" ht="14.25">
      <c r="A63" s="151"/>
      <c r="B63" s="256">
        <v>0</v>
      </c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1"/>
      <c r="P63" s="151"/>
      <c r="Q63" s="151"/>
      <c r="R63" s="152"/>
    </row>
    <row customHeight="1" ht="14.25">
      <c r="A64" s="151"/>
      <c r="B64" s="256">
        <v>0</v>
      </c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1"/>
      <c r="P64" s="151"/>
      <c r="Q64" s="151"/>
      <c r="R64" s="152"/>
    </row>
    <row customHeight="1" ht="14.25">
      <c r="A65" s="151"/>
      <c r="B65" s="256">
        <v>0</v>
      </c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1"/>
      <c r="P65" s="151"/>
      <c r="Q65" s="151"/>
      <c r="R65" s="152"/>
    </row>
    <row customHeight="1" ht="14.25">
      <c r="A66" s="151"/>
      <c r="B66" s="256">
        <v>0</v>
      </c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1"/>
      <c r="P66" s="151"/>
      <c r="Q66" s="151"/>
      <c r="R66" s="152"/>
    </row>
    <row customHeight="1" ht="14.25">
      <c r="A67" s="256">
        <f>_xlfn.IFERROR(SUM(B61,B62,B63,B64,B65,B66,B67),"")</f>
        <v>296</v>
      </c>
      <c r="B67" s="256">
        <v>0</v>
      </c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1"/>
      <c r="P67" s="151"/>
      <c r="Q67" s="151"/>
      <c r="R67" s="152"/>
    </row>
    <row customHeight="1" ht="14.25">
      <c r="A68" s="151"/>
      <c r="B68" s="152">
        <v>104</v>
      </c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1"/>
      <c r="P68" s="151"/>
      <c r="Q68" s="151"/>
      <c r="R68" s="152"/>
    </row>
    <row customHeight="1" ht="14.25">
      <c r="A69" s="151"/>
      <c r="B69" s="152">
        <v>159</v>
      </c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1"/>
      <c r="P69" s="151"/>
      <c r="Q69" s="151"/>
      <c r="R69" s="152"/>
    </row>
    <row customHeight="1" ht="14.25">
      <c r="A70" s="151"/>
      <c r="B70" s="152">
        <v>155</v>
      </c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1"/>
      <c r="P70" s="151"/>
      <c r="Q70" s="151"/>
      <c r="R70" s="152"/>
    </row>
    <row customHeight="1" ht="14.25">
      <c r="A71" s="151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1"/>
      <c r="P71" s="151"/>
      <c r="Q71" s="151"/>
      <c r="R71" s="152"/>
    </row>
    <row customHeight="1" ht="14.25">
      <c r="A72" s="151"/>
      <c r="B72" s="251" t="s">
        <v>52</v>
      </c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1"/>
      <c r="P72" s="151"/>
      <c r="Q72" s="151"/>
      <c r="R72" s="152"/>
    </row>
    <row customHeight="1" ht="14.25">
      <c r="A73" s="151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1"/>
      <c r="P73" s="151"/>
      <c r="Q73" s="151"/>
      <c r="R73" s="152"/>
    </row>
    <row customHeight="1" ht="14.25">
      <c r="A74" s="151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1"/>
      <c r="P74" s="151"/>
      <c r="Q74" s="151"/>
      <c r="R74" s="152"/>
    </row>
    <row customHeight="1" ht="14.25">
      <c r="A75" s="151"/>
      <c r="B75" s="251" t="s">
        <v>53</v>
      </c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1"/>
      <c r="P75" s="151"/>
      <c r="Q75" s="151"/>
      <c r="R75" s="152"/>
    </row>
    <row customHeight="1" ht="14.25">
      <c r="A76" s="151"/>
      <c r="B76" s="256">
        <v>0</v>
      </c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1"/>
      <c r="P76" s="151"/>
      <c r="Q76" s="151"/>
      <c r="R76" s="152"/>
    </row>
    <row customHeight="1" ht="14.25">
      <c r="A77" s="151"/>
      <c r="B77" s="256">
        <v>0</v>
      </c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1"/>
      <c r="P77" s="151"/>
      <c r="Q77" s="151"/>
      <c r="R77" s="152"/>
    </row>
    <row customHeight="1" ht="14.25">
      <c r="A78" s="256">
        <f>_xlfn.IFERROR(SUM(B76,B77,B78),"")</f>
        <v>7627</v>
      </c>
      <c r="B78" s="256">
        <v>7627</v>
      </c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1"/>
      <c r="P78" s="151"/>
      <c r="Q78" s="151"/>
      <c r="R78" s="152"/>
    </row>
    <row customHeight="1" ht="14.25">
      <c r="A79" s="151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1"/>
      <c r="P79" s="151"/>
      <c r="Q79" s="151"/>
      <c r="R79" s="152"/>
    </row>
    <row customHeight="1" ht="14.25">
      <c r="A80" s="151"/>
      <c r="B80" s="251" t="s">
        <v>54</v>
      </c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258"/>
      <c r="N80" s="259" t="s">
        <v>100</v>
      </c>
      <c r="O80" s="151"/>
      <c r="P80" s="151"/>
      <c r="Q80" s="151"/>
      <c r="R80" s="152"/>
    </row>
    <row customHeight="1" ht="14.25">
      <c r="A81" s="151"/>
      <c r="B81" s="152">
        <v>6710</v>
      </c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258"/>
      <c r="N81" s="152"/>
      <c r="O81" s="151"/>
      <c r="P81" s="151"/>
      <c r="Q81" s="151"/>
      <c r="R81" s="152"/>
    </row>
    <row customHeight="1" ht="14.25">
      <c r="A82" s="151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1"/>
      <c r="P82" s="151"/>
      <c r="Q82" s="151"/>
      <c r="R82" s="152"/>
    </row>
    <row customHeight="1" ht="14.25">
      <c r="A83" s="151"/>
      <c r="B83" s="251" t="s">
        <v>55</v>
      </c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258"/>
      <c r="O83" s="251" t="s">
        <v>55</v>
      </c>
      <c r="P83" s="151"/>
      <c r="Q83" s="151"/>
      <c r="R83" s="152"/>
    </row>
    <row customHeight="1" ht="14.25">
      <c r="A84" s="151"/>
      <c r="B84" s="256">
        <v>32</v>
      </c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258"/>
      <c r="O84" s="260">
        <v>0</v>
      </c>
      <c r="P84" s="151"/>
      <c r="Q84" s="151"/>
      <c r="R84" s="152"/>
    </row>
    <row customHeight="1" ht="14.25">
      <c r="A85" s="151"/>
      <c r="B85" s="256">
        <v>1679</v>
      </c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258"/>
      <c r="O85" s="260">
        <v>0</v>
      </c>
      <c r="P85" s="151"/>
      <c r="Q85" s="151"/>
      <c r="R85" s="152"/>
    </row>
    <row customHeight="1" ht="14.25">
      <c r="A86" s="256">
        <f>_xlfn.IFERROR(SUM(B84,B85,B86),"")</f>
        <v>4189</v>
      </c>
      <c r="B86" s="256">
        <v>2478</v>
      </c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257">
        <f>_xlfn.IFERROR(SUM(O84,O85,O86),"")</f>
        <v>0</v>
      </c>
      <c r="O86" s="260">
        <v>0</v>
      </c>
      <c r="P86" s="151"/>
      <c r="Q86" s="151"/>
      <c r="R86" s="152"/>
    </row>
    <row customHeight="1" ht="14.25">
      <c r="A87" s="151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1"/>
      <c r="P87" s="151"/>
      <c r="Q87" s="151"/>
      <c r="R87" s="152"/>
    </row>
    <row customHeight="1" ht="14.25">
      <c r="A88" s="151"/>
      <c r="B88" s="251" t="s">
        <v>60</v>
      </c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1"/>
      <c r="P88" s="151"/>
      <c r="Q88" s="151"/>
      <c r="R88" s="152"/>
    </row>
    <row customHeight="1" ht="14.25">
      <c r="A89" s="151"/>
      <c r="B89" s="152">
        <v>11925</v>
      </c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1"/>
      <c r="P89" s="151"/>
      <c r="Q89" s="151"/>
      <c r="R89" s="152"/>
    </row>
    <row customHeight="1" ht="14.25">
      <c r="A90" s="151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1"/>
      <c r="P90" s="151"/>
      <c r="Q90" s="151"/>
      <c r="R90" s="152"/>
    </row>
    <row customHeight="1" ht="14.25">
      <c r="A91" s="151"/>
      <c r="B91" s="251" t="s">
        <v>62</v>
      </c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1"/>
      <c r="P91" s="151"/>
      <c r="Q91" s="151"/>
      <c r="R91" s="152"/>
    </row>
    <row customHeight="1" ht="14.25">
      <c r="A92" s="151"/>
      <c r="B92" s="256">
        <v>40</v>
      </c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1"/>
      <c r="P92" s="151"/>
      <c r="Q92" s="151"/>
      <c r="R92" s="152"/>
    </row>
    <row customHeight="1" ht="14.25">
      <c r="A93" s="151"/>
      <c r="B93" s="256">
        <v>0</v>
      </c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1"/>
      <c r="P93" s="151"/>
      <c r="Q93" s="151"/>
      <c r="R93" s="152"/>
    </row>
    <row customHeight="1" ht="14.25">
      <c r="A94" s="256">
        <f>_xlfn.IFERROR(SUM(B92,B93,B94),"")</f>
        <v>40</v>
      </c>
      <c r="B94" s="256">
        <v>0</v>
      </c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1"/>
      <c r="P94" s="151"/>
      <c r="Q94" s="151"/>
      <c r="R94" s="152"/>
    </row>
    <row customHeight="1" ht="14.25">
      <c r="A95" s="256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1"/>
      <c r="P95" s="151"/>
      <c r="Q95" s="151"/>
      <c r="R95" s="152"/>
    </row>
    <row customHeight="1" ht="14.25">
      <c r="A96" s="256"/>
      <c r="B96" s="261" t="s">
        <v>102</v>
      </c>
      <c r="C96" s="152"/>
      <c r="D96" s="152"/>
      <c r="E96" s="152"/>
      <c r="F96" s="152"/>
      <c r="G96" s="152"/>
      <c r="H96" s="152"/>
      <c r="I96" s="152"/>
      <c r="J96" s="152"/>
      <c r="K96" s="152"/>
      <c r="L96" s="261" t="s">
        <v>103</v>
      </c>
      <c r="M96" s="152"/>
      <c r="N96" s="152"/>
      <c r="O96" s="151"/>
      <c r="P96" s="151"/>
      <c r="Q96" s="151"/>
      <c r="R96" s="152"/>
    </row>
    <row customHeight="1" ht="14.25">
      <c r="A97" s="256"/>
      <c r="B97" s="152">
        <v>0</v>
      </c>
      <c r="C97" s="152"/>
      <c r="D97" s="152"/>
      <c r="E97" s="152"/>
      <c r="F97" s="152"/>
      <c r="G97" s="152"/>
      <c r="H97" s="152"/>
      <c r="I97" s="152"/>
      <c r="J97" s="152"/>
      <c r="K97" s="152"/>
      <c r="L97" s="152">
        <v>0</v>
      </c>
      <c r="M97" s="152"/>
      <c r="N97" s="152"/>
      <c r="O97" s="151"/>
      <c r="P97" s="151"/>
      <c r="Q97" s="151"/>
      <c r="R97" s="152"/>
    </row>
    <row customHeight="1" ht="14.25">
      <c r="A98" s="256"/>
      <c r="B98" s="152">
        <v>0</v>
      </c>
      <c r="C98" s="152"/>
      <c r="D98" s="152"/>
      <c r="E98" s="152"/>
      <c r="F98" s="152"/>
      <c r="G98" s="152"/>
      <c r="H98" s="152"/>
      <c r="I98" s="152"/>
      <c r="J98" s="152"/>
      <c r="K98" s="152"/>
      <c r="L98" s="152">
        <v>0</v>
      </c>
      <c r="M98" s="152"/>
      <c r="N98" s="152"/>
      <c r="O98" s="151"/>
      <c r="P98" s="151"/>
      <c r="Q98" s="151"/>
      <c r="R98" s="152"/>
    </row>
    <row customHeight="1" ht="14.25">
      <c r="A99" s="256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1"/>
      <c r="P99" s="151"/>
      <c r="Q99" s="151"/>
      <c r="R99" s="152"/>
    </row>
    <row customHeight="1" ht="14.25">
      <c r="A100" s="151"/>
      <c r="B100" s="261" t="s">
        <v>104</v>
      </c>
      <c r="C100" s="152"/>
      <c r="D100" s="152"/>
      <c r="E100" s="152"/>
      <c r="F100" s="152"/>
      <c r="G100" s="152"/>
      <c r="H100" s="152"/>
      <c r="I100" s="152"/>
      <c r="J100" s="152"/>
      <c r="K100" s="152"/>
      <c r="L100" s="152" t="s">
        <v>105</v>
      </c>
      <c r="M100" s="152">
        <f>_xlfn.IFERROR(SUM(L101:L102),"")</f>
        <v>0</v>
      </c>
      <c r="N100" s="152"/>
      <c r="O100" s="151"/>
      <c r="P100" s="151"/>
      <c r="Q100" s="151"/>
      <c r="R100" s="152"/>
    </row>
    <row customHeight="1" ht="14.25">
      <c r="A101" s="151"/>
      <c r="B101" s="152">
        <v>0</v>
      </c>
      <c r="C101" s="152"/>
      <c r="D101" s="152"/>
      <c r="E101" s="152"/>
      <c r="F101" s="152"/>
      <c r="G101" s="152"/>
      <c r="H101" s="152"/>
      <c r="I101" s="152"/>
      <c r="J101" s="152"/>
      <c r="K101" s="152"/>
      <c r="L101" s="152">
        <v>0</v>
      </c>
      <c r="M101" s="152"/>
      <c r="N101" s="152"/>
      <c r="O101" s="151"/>
      <c r="P101" s="151"/>
      <c r="Q101" s="151"/>
      <c r="R101" s="152"/>
    </row>
    <row customHeight="1" ht="14.25">
      <c r="A102" s="151"/>
      <c r="B102" s="152">
        <v>0</v>
      </c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1"/>
      <c r="P102" s="151"/>
      <c r="Q102" s="151"/>
      <c r="R102" s="152"/>
    </row>
    <row customHeight="1" ht="14.25">
      <c r="A103" s="151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1"/>
      <c r="P103" s="151"/>
      <c r="Q103" s="151"/>
      <c r="R103" s="152"/>
    </row>
    <row customHeight="1" ht="14.25">
      <c r="A104" s="151"/>
      <c r="B104" s="251" t="s">
        <v>107</v>
      </c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1"/>
      <c r="P104" s="151"/>
      <c r="Q104" s="151"/>
      <c r="R104" s="152"/>
    </row>
    <row customHeight="1" ht="14.25">
      <c r="A105" s="151"/>
      <c r="B105" s="152">
        <v>9496</v>
      </c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1"/>
      <c r="P105" s="151"/>
      <c r="Q105" s="151"/>
      <c r="R105" s="152"/>
    </row>
    <row customHeight="1" ht="14.25">
      <c r="A106" s="151"/>
      <c r="B106" s="152">
        <v>7326</v>
      </c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1"/>
      <c r="P106" s="151"/>
      <c r="Q106" s="151"/>
      <c r="R106" s="152"/>
    </row>
    <row customHeight="1" ht="14.25">
      <c r="A107" s="151"/>
      <c r="B107" s="152">
        <v>5996</v>
      </c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1"/>
      <c r="P107" s="151"/>
      <c r="Q107" s="151"/>
      <c r="R107" s="152"/>
    </row>
    <row customHeight="1" ht="14.25">
      <c r="A108" s="151"/>
      <c r="B108" s="152">
        <v>2811</v>
      </c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1"/>
      <c r="P108" s="151"/>
      <c r="Q108" s="151"/>
      <c r="R108" s="152"/>
    </row>
    <row customHeight="1" ht="14.25">
      <c r="A109" s="151"/>
      <c r="B109" s="152">
        <v>945</v>
      </c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1"/>
      <c r="P109" s="151"/>
      <c r="Q109" s="151"/>
      <c r="R109" s="152"/>
    </row>
    <row customHeight="1" ht="14.25">
      <c r="A110" s="151"/>
      <c r="B110" s="256">
        <v>296</v>
      </c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1"/>
      <c r="P110" s="151"/>
      <c r="Q110" s="151"/>
      <c r="R110" s="152"/>
    </row>
    <row customHeight="1" ht="14.25">
      <c r="A111" s="151"/>
      <c r="B111" s="256">
        <v>0</v>
      </c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1"/>
      <c r="P111" s="151"/>
      <c r="Q111" s="151"/>
      <c r="R111" s="152"/>
    </row>
    <row customHeight="1" ht="14.25">
      <c r="A112" s="151"/>
      <c r="B112" s="256">
        <v>0</v>
      </c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1"/>
      <c r="P112" s="151"/>
      <c r="Q112" s="151"/>
      <c r="R112" s="152"/>
    </row>
    <row customHeight="1" ht="14.25">
      <c r="A113" s="151"/>
      <c r="B113" s="256">
        <v>0</v>
      </c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1"/>
      <c r="P113" s="151"/>
      <c r="Q113" s="151"/>
      <c r="R113" s="152"/>
    </row>
    <row customHeight="1" ht="14.25">
      <c r="A114" s="151"/>
      <c r="B114" s="256">
        <v>0</v>
      </c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1"/>
      <c r="P114" s="151"/>
      <c r="Q114" s="151"/>
      <c r="R114" s="152"/>
    </row>
    <row customHeight="1" ht="14.25">
      <c r="A115" s="151"/>
      <c r="B115" s="256">
        <v>0</v>
      </c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1"/>
      <c r="P115" s="151"/>
      <c r="Q115" s="151"/>
      <c r="R115" s="152"/>
    </row>
    <row customHeight="1" ht="14.25">
      <c r="A116" s="256">
        <f>_xlfn.IFERROR(SUM(B110,B111,B112,B113,B114,B115,B116),"")</f>
        <v>296</v>
      </c>
      <c r="B116" s="256">
        <v>0</v>
      </c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1"/>
      <c r="P116" s="151"/>
      <c r="Q116" s="151"/>
      <c r="R116" s="152"/>
    </row>
    <row customHeight="1" ht="14.25">
      <c r="A117" s="151"/>
      <c r="B117" s="152">
        <v>104</v>
      </c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1"/>
      <c r="P117" s="151"/>
      <c r="Q117" s="151"/>
      <c r="R117" s="152"/>
    </row>
    <row customHeight="1" ht="14.25">
      <c r="A118" s="151"/>
      <c r="B118" s="152">
        <v>159</v>
      </c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1"/>
      <c r="P118" s="151"/>
      <c r="Q118" s="151"/>
      <c r="R118" s="152"/>
    </row>
    <row customHeight="1" ht="14.25">
      <c r="A119" s="151"/>
      <c r="B119" s="152">
        <v>155</v>
      </c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1"/>
      <c r="P119" s="151"/>
      <c r="Q119" s="151"/>
      <c r="R119" s="152"/>
    </row>
    <row customHeight="1" ht="14.25">
      <c r="A120" s="151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1"/>
      <c r="P120" s="151"/>
      <c r="Q120" s="151"/>
      <c r="R120" s="152"/>
    </row>
    <row customHeight="1" ht="14.25">
      <c r="A121" s="151"/>
      <c r="B121" s="251" t="s">
        <v>52</v>
      </c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1"/>
      <c r="P121" s="151"/>
      <c r="Q121" s="151"/>
      <c r="R121" s="152"/>
    </row>
    <row customHeight="1" ht="14.25">
      <c r="A122" s="151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1"/>
      <c r="P122" s="151"/>
      <c r="Q122" s="151"/>
      <c r="R122" s="152"/>
    </row>
    <row customHeight="1" ht="14.25">
      <c r="A123" s="151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1"/>
      <c r="P123" s="151"/>
      <c r="Q123" s="151"/>
      <c r="R123" s="152"/>
    </row>
    <row customHeight="1" ht="14.25">
      <c r="A124" s="151"/>
      <c r="B124" s="251" t="s">
        <v>53</v>
      </c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1"/>
      <c r="P124" s="151"/>
      <c r="Q124" s="151"/>
      <c r="R124" s="152"/>
    </row>
    <row customHeight="1" ht="14.25">
      <c r="A125" s="151"/>
      <c r="B125" s="256">
        <v>0</v>
      </c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1"/>
      <c r="P125" s="151"/>
      <c r="Q125" s="151"/>
      <c r="R125" s="152"/>
    </row>
    <row customHeight="1" ht="14.25">
      <c r="A126" s="151"/>
      <c r="B126" s="256">
        <v>0</v>
      </c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1"/>
      <c r="P126" s="151"/>
      <c r="Q126" s="151"/>
      <c r="R126" s="152"/>
    </row>
    <row customHeight="1" ht="14.25">
      <c r="A127" s="256">
        <f>_xlfn.IFERROR(SUM(B125,B126,B127),"")</f>
        <v>7627</v>
      </c>
      <c r="B127" s="256">
        <v>7627</v>
      </c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1"/>
      <c r="P127" s="151"/>
      <c r="Q127" s="151"/>
      <c r="R127" s="152"/>
    </row>
    <row customHeight="1" ht="14.25">
      <c r="A128" s="151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1"/>
      <c r="P128" s="151"/>
      <c r="Q128" s="151"/>
      <c r="R128" s="152"/>
    </row>
    <row customHeight="1" ht="14.25">
      <c r="A129" s="151"/>
      <c r="B129" s="251" t="s">
        <v>54</v>
      </c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258"/>
      <c r="O129" s="259" t="s">
        <v>100</v>
      </c>
      <c r="P129" s="151"/>
      <c r="Q129" s="151"/>
      <c r="R129" s="152"/>
    </row>
    <row customHeight="1" ht="14.25">
      <c r="A130" s="151"/>
      <c r="B130" s="152">
        <v>6710</v>
      </c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258"/>
      <c r="O130" s="151"/>
      <c r="P130" s="151"/>
      <c r="Q130" s="151"/>
      <c r="R130" s="152"/>
    </row>
    <row customHeight="1" ht="14.25">
      <c r="A131" s="151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1"/>
      <c r="P131" s="151"/>
      <c r="Q131" s="151"/>
      <c r="R131" s="152"/>
    </row>
    <row customHeight="1" ht="14.25">
      <c r="A132" s="151"/>
      <c r="B132" s="251" t="s">
        <v>55</v>
      </c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1"/>
      <c r="P132" s="259" t="s">
        <v>101</v>
      </c>
      <c r="Q132" s="151"/>
      <c r="R132" s="152"/>
    </row>
    <row customHeight="1" ht="14.25">
      <c r="A133" s="151"/>
      <c r="B133" s="256">
        <v>32</v>
      </c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1"/>
      <c r="P133" s="260">
        <v>0</v>
      </c>
      <c r="Q133" s="151"/>
      <c r="R133" s="152"/>
    </row>
    <row customHeight="1" ht="14.25">
      <c r="A134" s="151"/>
      <c r="B134" s="256">
        <v>1679</v>
      </c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1"/>
      <c r="P134" s="260">
        <v>0</v>
      </c>
      <c r="Q134" s="151"/>
      <c r="R134" s="152"/>
    </row>
    <row customHeight="1" ht="14.25">
      <c r="A135" s="256">
        <f>_xlfn.IFERROR(SUM(B133,B134,B135),"")</f>
        <v>4189</v>
      </c>
      <c r="B135" s="256">
        <v>2478</v>
      </c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257">
        <f>_xlfn.IFERROR(SUM(P133,P134,P135),"")</f>
        <v>0</v>
      </c>
      <c r="P135" s="260">
        <v>0</v>
      </c>
      <c r="Q135" s="151"/>
      <c r="R135" s="152"/>
    </row>
    <row customHeight="1" ht="14.25">
      <c r="A136" s="151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1"/>
      <c r="P136" s="151"/>
      <c r="Q136" s="151"/>
      <c r="R136" s="152"/>
    </row>
    <row customHeight="1" ht="14.25">
      <c r="A137" s="151"/>
      <c r="B137" s="251" t="s">
        <v>60</v>
      </c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1"/>
      <c r="P137" s="151"/>
      <c r="Q137" s="151"/>
      <c r="R137" s="152"/>
    </row>
    <row customHeight="1" ht="14.25">
      <c r="A138" s="151"/>
      <c r="B138" s="152">
        <v>11925</v>
      </c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1"/>
      <c r="P138" s="151"/>
      <c r="Q138" s="151"/>
      <c r="R138" s="152"/>
    </row>
    <row customHeight="1" ht="14.25">
      <c r="A139" s="151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1"/>
      <c r="P139" s="151"/>
      <c r="Q139" s="151"/>
      <c r="R139" s="152"/>
    </row>
    <row customHeight="1" ht="14.25">
      <c r="A140" s="151"/>
      <c r="B140" s="251" t="s">
        <v>62</v>
      </c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1"/>
      <c r="P140" s="151"/>
      <c r="Q140" s="151"/>
      <c r="R140" s="152"/>
    </row>
    <row customHeight="1" ht="14.25">
      <c r="A141" s="151"/>
      <c r="B141" s="256">
        <v>40</v>
      </c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1"/>
      <c r="P141" s="151"/>
      <c r="Q141" s="151"/>
      <c r="R141" s="152"/>
    </row>
    <row customHeight="1" ht="14.25">
      <c r="A142" s="151"/>
      <c r="B142" s="256">
        <v>0</v>
      </c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1"/>
      <c r="P142" s="151"/>
      <c r="Q142" s="151"/>
      <c r="R142" s="152"/>
    </row>
    <row customHeight="1" ht="14.25">
      <c r="A143" s="256">
        <f>_xlfn.IFERROR(SUM(B141,B142,B143),"")</f>
        <v>40</v>
      </c>
      <c r="B143" s="256">
        <v>0</v>
      </c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1"/>
      <c r="P143" s="151"/>
      <c r="Q143" s="151"/>
      <c r="R143" s="152"/>
    </row>
    <row customHeight="1" ht="14.25">
      <c r="A144" s="256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1"/>
      <c r="P144" s="151"/>
      <c r="Q144" s="151"/>
      <c r="R144" s="152"/>
    </row>
    <row customHeight="1" ht="14.25">
      <c r="A145" s="256"/>
      <c r="B145" s="261" t="s">
        <v>102</v>
      </c>
      <c r="C145" s="152"/>
      <c r="D145" s="152"/>
      <c r="E145" s="152"/>
      <c r="F145" s="152"/>
      <c r="G145" s="152"/>
      <c r="H145" s="152"/>
      <c r="I145" s="152"/>
      <c r="J145" s="152"/>
      <c r="K145" s="152"/>
      <c r="L145" s="261" t="s">
        <v>103</v>
      </c>
      <c r="M145" s="152"/>
      <c r="N145" s="152"/>
      <c r="O145" s="151"/>
      <c r="P145" s="151"/>
      <c r="Q145" s="151"/>
      <c r="R145" s="152"/>
    </row>
    <row customHeight="1" ht="14.25">
      <c r="A146" s="256"/>
      <c r="B146" s="152">
        <v>0</v>
      </c>
      <c r="C146" s="152"/>
      <c r="D146" s="152"/>
      <c r="E146" s="152"/>
      <c r="F146" s="152"/>
      <c r="G146" s="152"/>
      <c r="H146" s="152"/>
      <c r="I146" s="152"/>
      <c r="J146" s="152"/>
      <c r="K146" s="152"/>
      <c r="L146" s="152">
        <v>0</v>
      </c>
      <c r="M146" s="152"/>
      <c r="N146" s="152"/>
      <c r="O146" s="151"/>
      <c r="P146" s="151"/>
      <c r="Q146" s="151"/>
      <c r="R146" s="152"/>
    </row>
    <row customHeight="1" ht="14.25">
      <c r="A147" s="256"/>
      <c r="B147" s="152">
        <v>0</v>
      </c>
      <c r="C147" s="152"/>
      <c r="D147" s="152"/>
      <c r="E147" s="152"/>
      <c r="F147" s="152"/>
      <c r="G147" s="152"/>
      <c r="H147" s="152"/>
      <c r="I147" s="152"/>
      <c r="J147" s="152"/>
      <c r="K147" s="152"/>
      <c r="L147" s="152">
        <v>0</v>
      </c>
      <c r="M147" s="152"/>
      <c r="N147" s="152"/>
      <c r="O147" s="151"/>
      <c r="P147" s="151"/>
      <c r="Q147" s="151"/>
      <c r="R147" s="152"/>
    </row>
    <row customHeight="1" ht="14.25">
      <c r="A148" s="256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1"/>
      <c r="P148" s="151"/>
      <c r="Q148" s="151"/>
      <c r="R148" s="152"/>
    </row>
    <row customHeight="1" ht="14.25">
      <c r="A149" s="151"/>
      <c r="B149" s="261" t="s">
        <v>104</v>
      </c>
      <c r="C149" s="152"/>
      <c r="D149" s="152"/>
      <c r="E149" s="152"/>
      <c r="F149" s="152"/>
      <c r="G149" s="152"/>
      <c r="H149" s="152"/>
      <c r="I149" s="152"/>
      <c r="J149" s="152"/>
      <c r="K149" s="152"/>
      <c r="L149" s="152" t="s">
        <v>105</v>
      </c>
      <c r="M149" s="152">
        <f>_xlfn.IFERROR(SUM(L150:L151),"")</f>
        <v>0</v>
      </c>
      <c r="N149" s="152"/>
      <c r="O149" s="151"/>
      <c r="P149" s="151"/>
      <c r="Q149" s="151"/>
      <c r="R149" s="152"/>
    </row>
    <row customHeight="1" ht="14.25">
      <c r="A150" s="151"/>
      <c r="B150" s="152">
        <v>0</v>
      </c>
      <c r="C150" s="152"/>
      <c r="D150" s="152"/>
      <c r="E150" s="152"/>
      <c r="F150" s="152"/>
      <c r="G150" s="152"/>
      <c r="H150" s="152"/>
      <c r="I150" s="152"/>
      <c r="J150" s="152"/>
      <c r="K150" s="152"/>
      <c r="L150" s="152">
        <v>0</v>
      </c>
      <c r="M150" s="152"/>
      <c r="N150" s="152"/>
      <c r="O150" s="151"/>
      <c r="P150" s="151"/>
      <c r="Q150" s="151"/>
      <c r="R150" s="152"/>
    </row>
    <row customHeight="1" ht="14.25">
      <c r="A151" s="151"/>
      <c r="B151" s="152">
        <v>0</v>
      </c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1"/>
      <c r="P151" s="151"/>
      <c r="Q151" s="151"/>
      <c r="R151" s="152"/>
    </row>
    <row customHeight="1" ht="14.25">
      <c r="A152" s="151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1"/>
      <c r="P152" s="151"/>
      <c r="Q152" s="151"/>
      <c r="R152" s="152"/>
    </row>
    <row customHeight="1" ht="14.25">
      <c r="A153" s="151"/>
      <c r="B153" s="251" t="s">
        <v>108</v>
      </c>
      <c r="C153" s="251" t="s">
        <v>109</v>
      </c>
      <c r="D153" s="251" t="s">
        <v>110</v>
      </c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1"/>
      <c r="P153" s="151"/>
      <c r="Q153" s="151"/>
      <c r="R153" s="152"/>
    </row>
    <row customHeight="1" ht="14.25">
      <c r="A154" s="151"/>
      <c r="B154" s="152">
        <v>9496</v>
      </c>
      <c r="C154" s="152">
        <v>9496</v>
      </c>
      <c r="D154" s="152">
        <v>9496</v>
      </c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262">
        <f>_xlfn.IFERROR(SUM(B156:B163)/SUM(B154,B155)*100,"")</f>
        <v>49.0785875639044</v>
      </c>
      <c r="P154" s="263">
        <f>_xlfn.IFERROR(SUM(C156:C163)/SUM(C154,C155)*100,"")</f>
        <v>49.0785875639044</v>
      </c>
      <c r="Q154" s="263">
        <f>_xlfn.IFERROR(SUM(D156:D163)/SUM(D154,D155)*100,"")</f>
        <v>49.0785875639044</v>
      </c>
      <c r="R154" s="152"/>
    </row>
    <row customHeight="1" ht="14.25">
      <c r="A155" s="151"/>
      <c r="B155" s="152">
        <v>7326</v>
      </c>
      <c r="C155" s="152">
        <v>7326</v>
      </c>
      <c r="D155" s="152">
        <v>7326</v>
      </c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263">
        <f>_xlfn.IFERROR(SUM(B156:B159)/B154*100,"")</f>
        <v>48.5572872788543</v>
      </c>
      <c r="P155" s="263">
        <f>_xlfn.IFERROR(SUM(C156:C159)/C154*100,"")</f>
        <v>48.5572872788543</v>
      </c>
      <c r="Q155" s="263">
        <f>_xlfn.IFERROR(SUM(D156:D159)/D154*100,"")</f>
        <v>48.5572872788543</v>
      </c>
      <c r="R155" s="152"/>
    </row>
    <row customHeight="1" ht="14.25">
      <c r="A156" s="151"/>
      <c r="B156" s="152">
        <v>1441</v>
      </c>
      <c r="C156" s="152">
        <v>1441</v>
      </c>
      <c r="D156" s="152">
        <v>1441</v>
      </c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263">
        <f>_xlfn.IFERROR(SUM(B160:B163)/B155*100,"")</f>
        <v>49.7542997542998</v>
      </c>
      <c r="P156" s="263">
        <f>_xlfn.IFERROR(SUM(C160:C163)/C155*100,"")</f>
        <v>49.7542997542998</v>
      </c>
      <c r="Q156" s="263">
        <f>_xlfn.IFERROR(SUM(D160:D163)/D155*100,"")</f>
        <v>49.7542997542998</v>
      </c>
      <c r="R156" s="152"/>
    </row>
    <row customHeight="1" ht="14.25">
      <c r="A157" s="151"/>
      <c r="B157" s="152">
        <v>864</v>
      </c>
      <c r="C157" s="152">
        <v>864</v>
      </c>
      <c r="D157" s="152">
        <v>864</v>
      </c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263">
        <f>_xlfn.IFERROR(SUM(B168:B174)/SUM(B164:B167)*100,"")</f>
        <v>87.9440622532988</v>
      </c>
      <c r="P157" s="263">
        <f>_xlfn.IFERROR(SUM(C168:C174)/SUM(C164:C167)*100,"")</f>
        <v>87.9440622532988</v>
      </c>
      <c r="Q157" s="263">
        <f>_xlfn.IFERROR(SUM(D168:D174)/SUM(D164:D167)*100,"")</f>
        <v>87.9440622532988</v>
      </c>
      <c r="R157" s="152"/>
    </row>
    <row customHeight="1" ht="14.25">
      <c r="A158" s="151"/>
      <c r="B158" s="152">
        <v>450</v>
      </c>
      <c r="C158" s="152">
        <v>450</v>
      </c>
      <c r="D158" s="152">
        <v>450</v>
      </c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263">
        <f>_xlfn.IFERROR(SUM(B168:B171)/B164*100,"")</f>
        <v>87.758505670447</v>
      </c>
      <c r="P158" s="263">
        <f>_xlfn.IFERROR(SUM(C168:C171)/C164*100,"")</f>
        <v>87.758505670447</v>
      </c>
      <c r="Q158" s="263">
        <f>_xlfn.IFERROR(SUM(D168:D171)/D164*100,"")</f>
        <v>87.758505670447</v>
      </c>
      <c r="R158" s="152"/>
    </row>
    <row customHeight="1" ht="14.25">
      <c r="A159" s="151"/>
      <c r="B159" s="152">
        <v>1856</v>
      </c>
      <c r="C159" s="152">
        <v>1856</v>
      </c>
      <c r="D159" s="152">
        <v>1856</v>
      </c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263">
        <f>_xlfn.IFERROR(SUM(B172:B174)/SUM(B165:B167)*100,"")</f>
        <v>88.3315917798677</v>
      </c>
      <c r="P159" s="263">
        <f>_xlfn.IFERROR(SUM(C172:C174)/SUM(C165:C167)*100,"")</f>
        <v>88.3315917798677</v>
      </c>
      <c r="Q159" s="263">
        <f>_xlfn.IFERROR(SUM(D172:D174)/SUM(D165:D167)*100,"")</f>
        <v>88.3315917798677</v>
      </c>
      <c r="R159" s="152"/>
    </row>
    <row customHeight="1" ht="14.25">
      <c r="A160" s="151"/>
      <c r="B160" s="152">
        <v>1214</v>
      </c>
      <c r="C160" s="152">
        <v>1214</v>
      </c>
      <c r="D160" s="152">
        <v>1214</v>
      </c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263">
        <f>_xlfn.IFERROR(B175/B176*100,"")</f>
        <v>94.5121951219512</v>
      </c>
      <c r="P160" s="263">
        <f>_xlfn.IFERROR(C175/C176*100,"")</f>
        <v>94.5121951219512</v>
      </c>
      <c r="Q160" s="263">
        <f>_xlfn.IFERROR(D175/D176*100,"")</f>
        <v>94.5121951219512</v>
      </c>
      <c r="R160" s="152"/>
    </row>
    <row customHeight="1" ht="14.25">
      <c r="A161" s="151"/>
      <c r="B161" s="152">
        <v>507</v>
      </c>
      <c r="C161" s="152">
        <v>507</v>
      </c>
      <c r="D161" s="152">
        <v>507</v>
      </c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1"/>
      <c r="P161" s="151"/>
      <c r="Q161" s="151"/>
      <c r="R161" s="152"/>
    </row>
    <row customHeight="1" ht="14.25">
      <c r="A162" s="151"/>
      <c r="B162" s="152">
        <v>1084</v>
      </c>
      <c r="C162" s="152">
        <v>1084</v>
      </c>
      <c r="D162" s="152">
        <v>1084</v>
      </c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1"/>
      <c r="P162" s="151"/>
      <c r="Q162" s="151"/>
      <c r="R162" s="152"/>
    </row>
    <row customHeight="1" ht="14.25">
      <c r="A163" s="151"/>
      <c r="B163" s="152">
        <v>840</v>
      </c>
      <c r="C163" s="152">
        <v>840</v>
      </c>
      <c r="D163" s="152">
        <v>840</v>
      </c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1"/>
      <c r="P163" s="151"/>
      <c r="Q163" s="151"/>
      <c r="R163" s="152"/>
    </row>
    <row customHeight="1" ht="14.25">
      <c r="A164" s="151"/>
      <c r="B164" s="152">
        <v>5996</v>
      </c>
      <c r="C164" s="152">
        <v>5996</v>
      </c>
      <c r="D164" s="152">
        <v>5996</v>
      </c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1"/>
      <c r="P164" s="151"/>
      <c r="Q164" s="151"/>
      <c r="R164" s="152"/>
    </row>
    <row customHeight="1" ht="14.25">
      <c r="A165" s="151"/>
      <c r="B165" s="152">
        <v>2811</v>
      </c>
      <c r="C165" s="152">
        <v>2811</v>
      </c>
      <c r="D165" s="152">
        <v>2811</v>
      </c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1"/>
      <c r="P165" s="151"/>
      <c r="Q165" s="151"/>
      <c r="R165" s="152"/>
    </row>
    <row customHeight="1" ht="14.25">
      <c r="A166" s="151"/>
      <c r="B166" s="152">
        <v>10</v>
      </c>
      <c r="C166" s="152">
        <v>10</v>
      </c>
      <c r="D166" s="152">
        <v>10</v>
      </c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1"/>
      <c r="P166" s="151"/>
      <c r="Q166" s="151"/>
      <c r="R166" s="152"/>
    </row>
    <row customHeight="1" ht="14.25">
      <c r="A167" s="151"/>
      <c r="B167" s="152">
        <v>50</v>
      </c>
      <c r="C167" s="152">
        <v>50</v>
      </c>
      <c r="D167" s="152">
        <v>50</v>
      </c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1"/>
      <c r="P167" s="151"/>
      <c r="Q167" s="151"/>
      <c r="R167" s="152"/>
    </row>
    <row customHeight="1" ht="14.25">
      <c r="A168" s="151"/>
      <c r="B168" s="152">
        <v>854</v>
      </c>
      <c r="C168" s="152">
        <v>854</v>
      </c>
      <c r="D168" s="152">
        <v>854</v>
      </c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1"/>
      <c r="P168" s="151"/>
      <c r="Q168" s="151"/>
      <c r="R168" s="152"/>
    </row>
    <row customHeight="1" ht="14.25">
      <c r="A169" s="151"/>
      <c r="B169" s="152">
        <v>2831</v>
      </c>
      <c r="C169" s="152">
        <v>2831</v>
      </c>
      <c r="D169" s="152">
        <v>2831</v>
      </c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1"/>
      <c r="P169" s="151"/>
      <c r="Q169" s="151"/>
      <c r="R169" s="152"/>
    </row>
    <row customHeight="1" ht="14.25">
      <c r="A170" s="151"/>
      <c r="B170" s="152">
        <v>1521</v>
      </c>
      <c r="C170" s="152">
        <v>1521</v>
      </c>
      <c r="D170" s="152">
        <v>1521</v>
      </c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1"/>
      <c r="P170" s="151"/>
      <c r="Q170" s="151"/>
      <c r="R170" s="152"/>
    </row>
    <row customHeight="1" ht="14.25">
      <c r="A171" s="151"/>
      <c r="B171" s="152">
        <v>56</v>
      </c>
      <c r="C171" s="152">
        <v>56</v>
      </c>
      <c r="D171" s="152">
        <v>56</v>
      </c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1"/>
      <c r="P171" s="151"/>
      <c r="Q171" s="151"/>
      <c r="R171" s="152"/>
    </row>
    <row customHeight="1" ht="14.25">
      <c r="A172" s="151"/>
      <c r="B172" s="152">
        <v>616</v>
      </c>
      <c r="C172" s="152">
        <v>616</v>
      </c>
      <c r="D172" s="152">
        <v>616</v>
      </c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1"/>
      <c r="P172" s="151"/>
      <c r="Q172" s="151"/>
      <c r="R172" s="152"/>
    </row>
    <row customHeight="1" ht="14.25">
      <c r="A173" s="151"/>
      <c r="B173" s="152">
        <v>1365</v>
      </c>
      <c r="C173" s="152">
        <v>1365</v>
      </c>
      <c r="D173" s="152">
        <v>1365</v>
      </c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1"/>
      <c r="P173" s="151"/>
      <c r="Q173" s="151"/>
      <c r="R173" s="152"/>
    </row>
    <row customHeight="1" ht="14.25">
      <c r="A174" s="151"/>
      <c r="B174" s="152">
        <v>555</v>
      </c>
      <c r="C174" s="152">
        <v>555</v>
      </c>
      <c r="D174" s="152">
        <v>555</v>
      </c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1"/>
      <c r="P174" s="151"/>
      <c r="Q174" s="151"/>
      <c r="R174" s="152"/>
    </row>
    <row customHeight="1" ht="14.25">
      <c r="A175" s="151"/>
      <c r="B175" s="152">
        <v>155</v>
      </c>
      <c r="C175" s="152">
        <v>155</v>
      </c>
      <c r="D175" s="152">
        <v>155</v>
      </c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1"/>
      <c r="P175" s="151"/>
      <c r="Q175" s="151"/>
      <c r="R175" s="152"/>
    </row>
    <row customHeight="1" ht="14.25">
      <c r="A176" s="151"/>
      <c r="B176" s="152">
        <v>164</v>
      </c>
      <c r="C176" s="152">
        <v>164</v>
      </c>
      <c r="D176" s="152">
        <v>164</v>
      </c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1"/>
      <c r="P176" s="151"/>
      <c r="Q176" s="151"/>
      <c r="R176" s="152"/>
    </row>
    <row customHeight="1" ht="14.25">
      <c r="A177" s="151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1"/>
      <c r="P177" s="151"/>
      <c r="Q177" s="151"/>
      <c r="R177" s="152"/>
    </row>
    <row customHeight="1" ht="14.25">
      <c r="A178" s="151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1"/>
      <c r="P178" s="151"/>
      <c r="Q178" s="151"/>
      <c r="R178" s="152"/>
    </row>
    <row customHeight="1" ht="14.25">
      <c r="A179" s="151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1"/>
      <c r="P179" s="151"/>
      <c r="Q179" s="151"/>
      <c r="R179" s="152"/>
    </row>
    <row customHeight="1" ht="14.25">
      <c r="A180" s="151"/>
      <c r="B180" s="152" t="s">
        <v>13</v>
      </c>
      <c r="C180" s="152" t="s">
        <v>14</v>
      </c>
      <c r="D180" s="152"/>
      <c r="E180" s="152" t="s">
        <v>18</v>
      </c>
      <c r="F180" s="152"/>
      <c r="G180" s="152"/>
      <c r="H180" s="152"/>
      <c r="I180" s="152"/>
      <c r="J180" s="152"/>
      <c r="K180" s="152"/>
      <c r="L180" s="152"/>
      <c r="M180" s="152"/>
      <c r="N180" s="152"/>
      <c r="O180" s="151"/>
      <c r="P180" s="151"/>
      <c r="Q180" s="151"/>
      <c r="R180" s="152"/>
    </row>
    <row customHeight="1" ht="14.25">
      <c r="A181" s="151" t="s">
        <v>63</v>
      </c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1"/>
      <c r="P181" s="151"/>
      <c r="Q181" s="151"/>
      <c r="R181" s="152"/>
    </row>
    <row customHeight="1" ht="14.25">
      <c r="A182" s="151" t="s">
        <v>64</v>
      </c>
      <c r="B182" s="264">
        <v>0</v>
      </c>
      <c r="C182" s="264">
        <v>0</v>
      </c>
      <c r="D182" s="152"/>
      <c r="E182" s="264">
        <v>0</v>
      </c>
      <c r="F182" s="152"/>
      <c r="G182" s="152"/>
      <c r="H182" s="152"/>
      <c r="I182" s="152"/>
      <c r="J182" s="152"/>
      <c r="K182" s="152"/>
      <c r="L182" s="152"/>
      <c r="M182" s="152"/>
      <c r="N182" s="152"/>
      <c r="O182" s="151"/>
      <c r="P182" s="151"/>
      <c r="Q182" s="151"/>
      <c r="R182" s="152"/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03DDED8-8C7D-8BE8-C758-54DF9343F0F3}" mc:Ignorable="x14ac xr xr2 xr3">
  <dimension ref="A1:R36"/>
  <sheetViews>
    <sheetView topLeftCell="A1" workbookViewId="0">
      <selection activeCell="K22" sqref="K22"/>
    </sheetView>
  </sheetViews>
  <sheetFormatPr defaultColWidth="9.00390625" customHeight="1" defaultRowHeight="13.5"/>
  <cols>
    <col min="2" max="2" style="275" width="16.421875" customWidth="1"/>
  </cols>
  <sheetData>
    <row customHeight="1" ht="13.5">
      <c r="A1" s="152"/>
      <c r="B1" s="151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</row>
    <row customHeight="1" ht="13.5">
      <c r="A2" s="152"/>
      <c r="B2" s="151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</row>
    <row customHeight="1" ht="13.5">
      <c r="A3" s="152"/>
      <c r="B3" s="151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</row>
    <row customHeight="1" ht="13.5">
      <c r="A4" s="152"/>
      <c r="B4" s="151"/>
      <c r="C4" s="152"/>
      <c r="D4" s="152"/>
      <c r="E4" s="152"/>
      <c r="F4" s="152" t="s">
        <v>111</v>
      </c>
      <c r="G4" s="152"/>
      <c r="H4" s="152"/>
      <c r="I4" s="152"/>
      <c r="J4" s="152"/>
      <c r="K4" s="152" t="s">
        <v>111</v>
      </c>
      <c r="L4" s="152"/>
      <c r="M4" s="152"/>
      <c r="N4" s="152"/>
      <c r="O4" s="152"/>
      <c r="P4" s="152"/>
      <c r="Q4" s="152"/>
      <c r="R4" s="152"/>
    </row>
    <row customHeight="1" ht="13.5">
      <c r="A5" s="152"/>
      <c r="B5" s="151"/>
      <c r="C5" s="152" t="s">
        <v>23</v>
      </c>
      <c r="D5" s="152"/>
      <c r="E5" s="152"/>
      <c r="F5" s="152" t="s">
        <v>112</v>
      </c>
      <c r="G5" s="152"/>
      <c r="H5" s="152" t="s">
        <v>22</v>
      </c>
      <c r="I5" s="152"/>
      <c r="J5" s="152"/>
      <c r="K5" s="152" t="s">
        <v>113</v>
      </c>
      <c r="L5" s="152"/>
      <c r="M5" s="152"/>
      <c r="N5" s="152"/>
      <c r="O5" s="152"/>
      <c r="P5" s="152"/>
      <c r="Q5" s="152"/>
      <c r="R5" s="152"/>
    </row>
    <row customHeight="1" ht="13.5">
      <c r="A6" s="152"/>
      <c r="B6" s="269" t="s">
        <v>32</v>
      </c>
      <c r="C6" s="152"/>
      <c r="D6" s="152"/>
      <c r="E6" s="152"/>
      <c r="F6" s="152"/>
      <c r="G6" s="152"/>
      <c r="H6" s="152"/>
      <c r="I6" s="152"/>
      <c r="J6" s="152"/>
      <c r="K6" s="270"/>
      <c r="L6" s="152"/>
      <c r="M6" s="152"/>
      <c r="N6" s="152"/>
      <c r="O6" s="152"/>
      <c r="P6" s="152"/>
      <c r="Q6" s="152"/>
      <c r="R6" s="152"/>
    </row>
    <row customHeight="1" ht="13.5">
      <c r="A7" s="152"/>
      <c r="B7" s="271" t="s">
        <v>33</v>
      </c>
      <c r="C7" s="272">
        <v>27.3</v>
      </c>
      <c r="D7" s="152"/>
      <c r="E7" s="152"/>
      <c r="F7" s="152">
        <v>0</v>
      </c>
      <c r="G7" s="152"/>
      <c r="H7" s="273"/>
      <c r="I7" s="152"/>
      <c r="J7" s="152"/>
      <c r="K7" s="152">
        <v>355</v>
      </c>
      <c r="L7" s="152"/>
      <c r="M7" s="273"/>
      <c r="N7" s="152"/>
      <c r="O7" s="152"/>
      <c r="P7" s="152"/>
      <c r="Q7" s="152"/>
      <c r="R7" s="273"/>
    </row>
    <row customHeight="1" ht="13.5">
      <c r="A8" s="152"/>
      <c r="B8" s="271" t="s">
        <v>34</v>
      </c>
      <c r="C8" s="273">
        <v>20.7</v>
      </c>
      <c r="D8" s="152"/>
      <c r="E8" s="152"/>
      <c r="F8" s="152">
        <v>0</v>
      </c>
      <c r="G8" s="152"/>
      <c r="H8" s="273"/>
      <c r="I8" s="152"/>
      <c r="J8" s="152"/>
      <c r="K8" s="152">
        <v>275</v>
      </c>
      <c r="L8" s="152"/>
      <c r="M8" s="273"/>
      <c r="N8" s="152"/>
      <c r="O8" s="152"/>
      <c r="P8" s="152"/>
      <c r="Q8" s="152"/>
      <c r="R8" s="273"/>
    </row>
    <row customHeight="1" ht="13.5">
      <c r="A9" s="152"/>
      <c r="B9" s="271" t="s">
        <v>35</v>
      </c>
      <c r="C9" s="152"/>
      <c r="D9" s="152"/>
      <c r="E9" s="152"/>
      <c r="F9" s="152"/>
      <c r="G9" s="152"/>
      <c r="H9" s="152"/>
      <c r="I9" s="152"/>
      <c r="J9" s="152"/>
      <c r="K9" s="270">
        <v>0</v>
      </c>
      <c r="L9" s="152"/>
      <c r="M9" s="152"/>
      <c r="N9" s="152"/>
      <c r="O9" s="152"/>
      <c r="P9" s="152"/>
      <c r="Q9" s="152"/>
      <c r="R9" s="152"/>
    </row>
    <row customHeight="1" ht="13.5">
      <c r="A10" s="152"/>
      <c r="B10" s="271" t="s">
        <v>36</v>
      </c>
      <c r="C10" s="273">
        <v>17.6</v>
      </c>
      <c r="D10" s="152"/>
      <c r="E10" s="152"/>
      <c r="F10" s="152">
        <v>0</v>
      </c>
      <c r="G10" s="152"/>
      <c r="H10" s="273"/>
      <c r="I10" s="152"/>
      <c r="J10" s="152"/>
      <c r="K10" s="152">
        <v>213</v>
      </c>
      <c r="L10" s="152"/>
      <c r="M10" s="273"/>
      <c r="N10" s="152"/>
      <c r="O10" s="152"/>
      <c r="P10" s="152"/>
      <c r="Q10" s="152"/>
      <c r="R10" s="273"/>
    </row>
    <row customHeight="1" ht="13.5">
      <c r="A11" s="152"/>
      <c r="B11" s="271" t="s">
        <v>37</v>
      </c>
      <c r="C11" s="273">
        <v>7.9</v>
      </c>
      <c r="D11" s="152"/>
      <c r="E11" s="152"/>
      <c r="F11" s="152">
        <v>0</v>
      </c>
      <c r="G11" s="152"/>
      <c r="H11" s="273"/>
      <c r="I11" s="152"/>
      <c r="J11" s="152"/>
      <c r="K11" s="152">
        <v>95</v>
      </c>
      <c r="L11" s="152"/>
      <c r="M11" s="273"/>
      <c r="N11" s="152"/>
      <c r="O11" s="152"/>
      <c r="P11" s="152"/>
      <c r="Q11" s="152"/>
      <c r="R11" s="273"/>
    </row>
    <row customHeight="1" ht="13.5">
      <c r="A12" s="152"/>
      <c r="B12" s="271" t="s">
        <v>38</v>
      </c>
      <c r="C12" s="273">
        <f>_xlfn.IFERROR(D12/10000,0)</f>
        <v>0.46</v>
      </c>
      <c r="D12" s="273">
        <v>4600</v>
      </c>
      <c r="E12" s="152"/>
      <c r="F12" s="152">
        <v>0</v>
      </c>
      <c r="G12" s="152"/>
      <c r="H12" s="273">
        <f>_xlfn.IFERROR(I12/10000,0)</f>
        <v>0</v>
      </c>
      <c r="I12" s="273"/>
      <c r="J12" s="152"/>
      <c r="K12" s="152">
        <v>5</v>
      </c>
      <c r="L12" s="152"/>
      <c r="M12" s="273"/>
      <c r="N12" s="152"/>
      <c r="O12" s="152"/>
      <c r="P12" s="152"/>
      <c r="Q12" s="152"/>
      <c r="R12" s="273"/>
    </row>
    <row customHeight="1" ht="13.5">
      <c r="A13" s="152"/>
      <c r="B13" s="271" t="s">
        <v>39</v>
      </c>
      <c r="C13" s="273">
        <v>2.77</v>
      </c>
      <c r="D13" s="152"/>
      <c r="E13" s="152"/>
      <c r="F13" s="152">
        <v>0</v>
      </c>
      <c r="G13" s="152"/>
      <c r="H13" s="273"/>
      <c r="I13" s="152"/>
      <c r="J13" s="152"/>
      <c r="K13" s="152">
        <v>30</v>
      </c>
      <c r="L13" s="152"/>
      <c r="M13" s="152"/>
      <c r="N13" s="152"/>
      <c r="O13" s="152"/>
      <c r="P13" s="152"/>
      <c r="Q13" s="152"/>
      <c r="R13" s="152"/>
    </row>
    <row customHeight="1" ht="13.5">
      <c r="A14" s="152"/>
      <c r="B14" s="271" t="s">
        <v>42</v>
      </c>
      <c r="C14" s="273">
        <f>_xlfn.IFERROR(ROUND(D14,0)/10000,0)</f>
        <v>0.9</v>
      </c>
      <c r="D14" s="152">
        <v>9000</v>
      </c>
      <c r="E14" s="152"/>
      <c r="F14" s="152">
        <v>0</v>
      </c>
      <c r="G14" s="152"/>
      <c r="H14" s="273">
        <f>_xlfn.IFERROR(ROUND(I14,0)/10000,0)</f>
        <v>0</v>
      </c>
      <c r="I14" s="152"/>
      <c r="J14" s="152"/>
      <c r="K14" s="152">
        <v>10</v>
      </c>
      <c r="L14" s="152"/>
      <c r="M14" s="152"/>
      <c r="N14" s="152"/>
      <c r="O14" s="152"/>
      <c r="P14" s="152"/>
      <c r="Q14" s="152"/>
      <c r="R14" s="152"/>
    </row>
    <row customHeight="1" ht="13.5">
      <c r="A15" s="152"/>
      <c r="B15" s="271" t="s">
        <v>47</v>
      </c>
      <c r="C15" s="273">
        <f>_xlfn.IFERROR(ROUND(D15,0)/10000,0)</f>
        <v>0.31</v>
      </c>
      <c r="D15" s="152">
        <v>3100</v>
      </c>
      <c r="E15" s="152"/>
      <c r="F15" s="152">
        <v>0</v>
      </c>
      <c r="G15" s="152"/>
      <c r="H15" s="273">
        <f>_xlfn.IFERROR(ROUND(I15,0)/10000,0)</f>
        <v>0</v>
      </c>
      <c r="I15" s="152"/>
      <c r="J15" s="152"/>
      <c r="K15" s="152">
        <v>3.7</v>
      </c>
      <c r="L15" s="152"/>
      <c r="M15" s="152"/>
      <c r="N15" s="152"/>
      <c r="O15" s="152"/>
      <c r="P15" s="152"/>
      <c r="Q15" s="152"/>
      <c r="R15" s="152"/>
    </row>
    <row customHeight="1" ht="13.5">
      <c r="A16" s="152"/>
      <c r="B16" s="271" t="s">
        <v>50</v>
      </c>
      <c r="C16" s="273">
        <f>_xlfn.IFERROR(ROUND(D16,0)/10000,0)</f>
        <v>0.51</v>
      </c>
      <c r="D16" s="152">
        <v>5100</v>
      </c>
      <c r="E16" s="152"/>
      <c r="F16" s="152">
        <v>0</v>
      </c>
      <c r="G16" s="152"/>
      <c r="H16" s="273">
        <f>_xlfn.IFERROR(ROUND(I16,0)/10000,0)</f>
        <v>0</v>
      </c>
      <c r="I16" s="152"/>
      <c r="J16" s="152"/>
      <c r="K16" s="152">
        <v>5.6</v>
      </c>
      <c r="L16" s="152"/>
      <c r="M16" s="152"/>
      <c r="N16" s="152"/>
      <c r="O16" s="152"/>
      <c r="P16" s="152"/>
      <c r="Q16" s="152"/>
      <c r="R16" s="152"/>
    </row>
    <row customHeight="1" ht="13.5">
      <c r="A17" s="152"/>
      <c r="B17" s="271" t="s">
        <v>52</v>
      </c>
      <c r="C17" s="273">
        <f>_xlfn.IFERROR(D17/10000,0)</f>
        <v>14</v>
      </c>
      <c r="D17" s="152">
        <v>140000</v>
      </c>
      <c r="E17" s="152"/>
      <c r="F17" s="152">
        <v>0</v>
      </c>
      <c r="G17" s="152"/>
      <c r="H17" s="273">
        <f>_xlfn.IFERROR(I17/10000,0)</f>
        <v>0</v>
      </c>
      <c r="I17" s="152"/>
      <c r="J17" s="152"/>
      <c r="K17" s="152">
        <v>201.26</v>
      </c>
      <c r="L17" s="152"/>
      <c r="M17" s="152"/>
      <c r="N17" s="152"/>
      <c r="O17" s="152"/>
      <c r="P17" s="152"/>
      <c r="Q17" s="152"/>
      <c r="R17" s="152"/>
    </row>
    <row customHeight="1" ht="13.5">
      <c r="A18" s="152"/>
      <c r="B18" s="271" t="s">
        <v>53</v>
      </c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</row>
    <row customHeight="1" ht="13.5">
      <c r="A19" s="152"/>
      <c r="B19" s="271" t="s">
        <v>54</v>
      </c>
      <c r="C19" s="273">
        <f>_xlfn.IFERROR(D19/10000,0)</f>
        <v>11</v>
      </c>
      <c r="D19" s="152">
        <v>110000</v>
      </c>
      <c r="E19" s="152"/>
      <c r="F19" s="152">
        <v>0</v>
      </c>
      <c r="G19" s="152"/>
      <c r="H19" s="273">
        <f>_xlfn.IFERROR(I19/10000,0)</f>
        <v>0</v>
      </c>
      <c r="I19" s="152"/>
      <c r="J19" s="152"/>
      <c r="K19" s="152">
        <v>106.27</v>
      </c>
      <c r="L19" s="152"/>
      <c r="M19" s="152"/>
      <c r="N19" s="152"/>
      <c r="O19" s="152"/>
      <c r="P19" s="152"/>
      <c r="Q19" s="152"/>
      <c r="R19" s="152"/>
    </row>
    <row customHeight="1" ht="13.5">
      <c r="A20" s="152"/>
      <c r="B20" s="271" t="s">
        <v>55</v>
      </c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</row>
    <row customHeight="1" ht="13.5">
      <c r="A21" s="152"/>
      <c r="B21" s="269" t="s">
        <v>114</v>
      </c>
      <c r="C21" s="272">
        <f>_xlfn.IFERROR(D21/10000,0)</f>
        <v>0</v>
      </c>
      <c r="D21" s="274">
        <v>0</v>
      </c>
      <c r="E21" s="152"/>
      <c r="F21" s="152"/>
      <c r="G21" s="152"/>
      <c r="H21" s="272">
        <f>_xlfn.IFERROR(I21/10000,0)</f>
        <v>0</v>
      </c>
      <c r="I21" s="274"/>
      <c r="J21" s="152"/>
      <c r="K21" s="270">
        <v>4</v>
      </c>
      <c r="L21" s="152"/>
      <c r="M21" s="152"/>
      <c r="N21" s="152"/>
      <c r="O21" s="152"/>
      <c r="P21" s="152"/>
      <c r="Q21" s="152"/>
      <c r="R21" s="152"/>
    </row>
    <row customHeight="1" ht="13.5">
      <c r="A22" s="152"/>
      <c r="B22" s="269" t="s">
        <v>115</v>
      </c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</row>
    <row customHeight="1" ht="13.5">
      <c r="A23" s="152"/>
      <c r="B23" s="271" t="s">
        <v>60</v>
      </c>
      <c r="C23" s="273">
        <f>_xlfn.IFERROR(D23/10000,0)</f>
        <v>18</v>
      </c>
      <c r="D23" s="152">
        <v>180000</v>
      </c>
      <c r="E23" s="152"/>
      <c r="F23" s="152">
        <v>0</v>
      </c>
      <c r="G23" s="152"/>
      <c r="H23" s="273">
        <f>_xlfn.IFERROR(I23/10000,0)</f>
        <v>0</v>
      </c>
      <c r="I23" s="152"/>
      <c r="J23" s="152"/>
      <c r="K23" s="152">
        <v>257.75</v>
      </c>
      <c r="L23" s="152"/>
      <c r="M23" s="152"/>
      <c r="N23" s="152"/>
      <c r="O23" s="152"/>
      <c r="P23" s="152"/>
      <c r="Q23" s="152"/>
      <c r="R23" s="152"/>
    </row>
    <row customHeight="1" ht="13.5">
      <c r="A24" s="152"/>
      <c r="B24" s="271" t="s">
        <v>62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</row>
    <row customHeight="1" ht="13.5">
      <c r="A25" s="152"/>
      <c r="B25" s="151" t="s">
        <v>63</v>
      </c>
      <c r="C25" s="272">
        <v>19200</v>
      </c>
      <c r="D25" s="152"/>
      <c r="E25" s="152"/>
      <c r="F25" s="152">
        <v>0</v>
      </c>
      <c r="G25" s="152"/>
      <c r="H25" s="272"/>
      <c r="I25" s="152"/>
      <c r="J25" s="152"/>
      <c r="K25" s="152">
        <v>15</v>
      </c>
      <c r="L25" s="152"/>
      <c r="M25" s="152"/>
      <c r="N25" s="152"/>
      <c r="O25" s="152"/>
      <c r="P25" s="152"/>
      <c r="Q25" s="152"/>
      <c r="R25" s="152"/>
    </row>
    <row customHeight="1" ht="13.5">
      <c r="A26" s="152"/>
      <c r="B26" s="151" t="s">
        <v>64</v>
      </c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</row>
    <row customHeight="1" ht="13.5">
      <c r="A27" s="152"/>
      <c r="B27" s="151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</row>
    <row customHeight="1" ht="13.5">
      <c r="A28" s="152"/>
      <c r="B28" s="151"/>
      <c r="C28" s="152" t="s">
        <v>9</v>
      </c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</row>
    <row customHeight="1" ht="13.5">
      <c r="A29" s="152"/>
      <c r="B29" s="151"/>
      <c r="C29" s="152" t="s">
        <v>22</v>
      </c>
      <c r="D29" s="152" t="s">
        <v>23</v>
      </c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</row>
    <row customHeight="1" ht="15.75">
      <c r="A30" s="152"/>
      <c r="B30" s="151"/>
      <c r="C30" s="274">
        <v>48.06</v>
      </c>
      <c r="D30" s="152">
        <v>48.06</v>
      </c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</row>
    <row customHeight="1" ht="13.5">
      <c r="A31" s="152"/>
      <c r="B31" s="151"/>
      <c r="C31" s="274">
        <v>48.5</v>
      </c>
      <c r="D31" s="152">
        <v>48.1</v>
      </c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</row>
    <row customHeight="1" ht="13.5">
      <c r="A32" s="152"/>
      <c r="B32" s="151"/>
      <c r="C32" s="274">
        <v>47.6</v>
      </c>
      <c r="D32" s="152">
        <v>48.1</v>
      </c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</row>
    <row customHeight="1" ht="13.5">
      <c r="A33" s="152"/>
      <c r="B33" s="151"/>
      <c r="C33" s="274">
        <v>87.64</v>
      </c>
      <c r="D33" s="152">
        <v>87.64</v>
      </c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</row>
    <row customHeight="1" ht="13.5">
      <c r="A34" s="152"/>
      <c r="B34" s="151"/>
      <c r="C34" s="274">
        <v>87.6</v>
      </c>
      <c r="D34" s="152">
        <v>87.6</v>
      </c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</row>
    <row customHeight="1" ht="13.5">
      <c r="A35" s="152"/>
      <c r="B35" s="151"/>
      <c r="C35" s="274">
        <v>87.7</v>
      </c>
      <c r="D35" s="152">
        <v>87.7</v>
      </c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</row>
    <row customHeight="1" ht="13.5">
      <c r="A36" s="152"/>
      <c r="B36" s="151"/>
      <c r="C36" s="274">
        <v>94</v>
      </c>
      <c r="D36" s="152">
        <v>94.4</v>
      </c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全年生产任务情况统计</vt:lpstr>
      <vt:lpstr>取值</vt:lpstr>
      <vt:lpstr>计划取值</vt:lpstr>
      <vt:lpstr>全年生产任务情况统计!Print_Area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dhc</dc:creator>
  <cp:lastModifiedBy>user</cp:lastModifiedBy>
  <cp:lastPrinted>2024-03-11T01:08:57Z</cp:lastPrinted>
  <dcterms:created xsi:type="dcterms:W3CDTF">2015-06-05T18:19:00Z</dcterms:created>
  <dcterms:modified xsi:type="dcterms:W3CDTF">2024-03-11T01:08:58Z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59108F14B6D743BD8720948C118C469D_12</vt:lpwstr>
  </property>
  <property fmtid="{D5CDD505-2E9C-101B-9397-08002B2CF9AE}" pid="3" name="KSOProductBuildVer">
    <vt:lpwstr>2052-11.1.0.14309</vt:lpwstr>
  </property>
</Properties>
</file>