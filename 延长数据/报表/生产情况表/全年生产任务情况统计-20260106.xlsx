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全年生产任务情况统计" sheetId="1" r:id="rId2"/>
    <sheet name="取值" sheetId="2" state="hidden" r:id="rId3"/>
    <sheet name="计划取值" sheetId="3" state="hidden" r:id="rId4"/>
  </sheets>
  <definedNames>
    <definedName name="_xlnm.Print_Area" localSheetId="0">全年生产任务情况统计!$B$2:$R$31</definedName>
  </definedNames>
  <calcPr calcId="0" iterate="0" iterateCount="100" iterateDelta="0.001"/>
</workbook>
</file>

<file path=xl/comments1.xml><?xml version="1.0" encoding="utf-8"?>
<comments xmlns="http://schemas.openxmlformats.org/spreadsheetml/2006/main">
  <authors>
    <author>Author</author>
  </authors>
  <commentList>
    <comment ref="M6" authorId="0">
      <text>
        <r>
          <rPr>
            <sz val="9"/>
            <color indexed="81"/>
            <rFont val="Arial"/>
            <family val="2"/>
          </rPr>
          <t xml:space="preserve">#Input("延炼_全年生产任务情况统计_原油加工量_收率_年计划",":key{{dw}}")
</t>
        </r>
      </text>
    </comment>
    <comment ref="N6" authorId="0">
      <text>
        <r>
          <rPr>
            <sz val="9"/>
            <color indexed="81"/>
            <rFont val="Arial"/>
            <family val="2"/>
          </rPr>
          <t xml:space="preserve">#Input("延炼_全年生产任务情况统计_原油加工量_收率_月计划",":key{{dw}}")
</t>
        </r>
      </text>
    </comment>
    <comment ref="C7" authorId="0">
      <text>
        <r>
          <rPr>
            <sz val="9"/>
            <color indexed="81"/>
            <rFont val="Arial"/>
            <family val="2"/>
          </rPr>
          <t xml:space="preserve">#Input("延炼_全年生产任务情况统计_300万常压原油加工量_月计划",":key{{dw}}")
</t>
        </r>
      </text>
    </comment>
    <comment ref="H7" authorId="0">
      <text>
        <r>
          <rPr>
            <sz val="9"/>
            <color indexed="81"/>
            <rFont val="Arial"/>
            <family val="2"/>
          </rPr>
          <t xml:space="preserve">#Input("延炼_全年生产任务情况统计_300万常压原油加工量_年计划",":key{{dw}}")
</t>
        </r>
      </text>
    </comment>
    <comment ref="M7" authorId="0">
      <text>
        <r>
          <rPr>
            <sz val="9"/>
            <color indexed="81"/>
            <rFont val="Arial"/>
            <family val="2"/>
          </rPr>
          <t xml:space="preserve">#Input("延炼_全年生产任务情况统计_300万常压原油加工量_收率_年计划",":key{{dw}}")
</t>
        </r>
      </text>
    </comment>
    <comment ref="N7" authorId="0">
      <text>
        <r>
          <rPr>
            <sz val="9"/>
            <color indexed="81"/>
            <rFont val="Arial"/>
            <family val="2"/>
          </rPr>
          <t xml:space="preserve">#Input("延炼_全年生产任务情况统计_300万常压原油加工量_收率_月计划",":key{{dw}}")
</t>
        </r>
      </text>
    </comment>
    <comment ref="X7" authorId="0">
      <text>
        <r>
          <rPr>
            <sz val="9"/>
            <color indexed="81"/>
            <rFont val="Arial"/>
            <family val="2"/>
          </rPr>
          <t xml:space="preserve">#Input("延炼_全年生产任务情况统计_300万常压原油加工量_月计划调整量",":key{{dw}}")
</t>
        </r>
      </text>
    </comment>
    <comment ref="Y7" authorId="0">
      <text>
        <r>
          <rPr>
            <sz val="9"/>
            <color indexed="81"/>
            <rFont val="Arial"/>
            <family val="2"/>
          </rPr>
          <t xml:space="preserve">#Input("延炼_全年生产任务情况统计_300万常压原油加工量_年计划调整量",":key{{dw}}")
</t>
        </r>
      </text>
    </comment>
    <comment ref="C8" authorId="0">
      <text>
        <r>
          <rPr>
            <sz val="9"/>
            <color indexed="81"/>
            <rFont val="Arial"/>
            <family val="2"/>
          </rPr>
          <t xml:space="preserve">#Input("延炼_全年生产任务情况统计_260万常压原油加工量_月计划",":key{{dw}}")
</t>
        </r>
      </text>
    </comment>
    <comment ref="H8" authorId="0">
      <text>
        <r>
          <rPr>
            <sz val="9"/>
            <color indexed="81"/>
            <rFont val="Arial"/>
            <family val="2"/>
          </rPr>
          <t xml:space="preserve">#Input("延炼_全年生产任务情况统计_260万常压原油加工量_年计划",":key{{dw}}")
</t>
        </r>
      </text>
    </comment>
    <comment ref="M8" authorId="0">
      <text>
        <r>
          <rPr>
            <sz val="9"/>
            <color indexed="81"/>
            <rFont val="Arial"/>
            <family val="2"/>
          </rPr>
          <t xml:space="preserve">#Input("延炼_全年生产任务情况统计_260万常压原油加工量_收率_年计划",":key{{dw}}")
</t>
        </r>
      </text>
    </comment>
    <comment ref="N8" authorId="0">
      <text>
        <r>
          <rPr>
            <sz val="9"/>
            <color indexed="81"/>
            <rFont val="Arial"/>
            <family val="2"/>
          </rPr>
          <t xml:space="preserve">#Input("延炼_全年生产任务情况统计_260万常压原油加工量_收率_月计划",":key{{dw}}")
</t>
        </r>
      </text>
    </comment>
    <comment ref="X8" authorId="0">
      <text>
        <r>
          <rPr>
            <sz val="9"/>
            <color indexed="81"/>
            <rFont val="Arial"/>
            <family val="2"/>
          </rPr>
          <t xml:space="preserve">#Input("延炼_全年生产任务情况统计_260万常压原油加工量_月计划调整量",":key{{dw}}")
</t>
        </r>
      </text>
    </comment>
    <comment ref="Y8" authorId="0">
      <text>
        <r>
          <rPr>
            <sz val="9"/>
            <color indexed="81"/>
            <rFont val="Arial"/>
            <family val="2"/>
          </rPr>
          <t xml:space="preserve">#Input("延炼_全年生产任务情况统计_260万常压原油加工量_年计划调整量",":key{{dw}}")
</t>
        </r>
      </text>
    </comment>
    <comment ref="M9" authorId="0">
      <text>
        <r>
          <rPr>
            <sz val="9"/>
            <color indexed="81"/>
            <rFont val="Arial"/>
            <family val="2"/>
          </rPr>
          <t xml:space="preserve">#Input("延炼_全年生产任务情况统计_催化渣油加工量_收率_年计划",":key{{dw}}")
</t>
        </r>
      </text>
    </comment>
    <comment ref="N9" authorId="0">
      <text>
        <r>
          <rPr>
            <sz val="9"/>
            <color indexed="81"/>
            <rFont val="Arial"/>
            <family val="2"/>
          </rPr>
          <t xml:space="preserve">#Input("延炼_全年生产任务情况统计_催化渣油加工量_收率_月计划",":key{{dw}}")
</t>
        </r>
      </text>
    </comment>
    <comment ref="C10" authorId="0">
      <text>
        <r>
          <rPr>
            <sz val="9"/>
            <color indexed="81"/>
            <rFont val="Arial"/>
            <family val="2"/>
          </rPr>
          <t xml:space="preserve">#Input("延炼_全年生产任务情况统计_200万催化渣油加工量_月计划",":key{{dw}}")
</t>
        </r>
      </text>
    </comment>
    <comment ref="H10" authorId="0">
      <text>
        <r>
          <rPr>
            <sz val="9"/>
            <color indexed="81"/>
            <rFont val="Arial"/>
            <family val="2"/>
          </rPr>
          <t xml:space="preserve">#Input("延炼_全年生产任务情况统计_200万催化渣油加工量_年计划",":key{{dw}}")
</t>
        </r>
      </text>
    </comment>
    <comment ref="M10" authorId="0">
      <text>
        <r>
          <rPr>
            <sz val="9"/>
            <color indexed="81"/>
            <rFont val="Arial"/>
            <family val="2"/>
          </rPr>
          <t xml:space="preserve">#Input("延炼_全年生产任务情况统计_200万催化渣油加工量_收率_年计划",":key{{dw}}")
</t>
        </r>
      </text>
    </comment>
    <comment ref="N10" authorId="0">
      <text>
        <r>
          <rPr>
            <sz val="9"/>
            <color indexed="81"/>
            <rFont val="Arial"/>
            <family val="2"/>
          </rPr>
          <t xml:space="preserve">#Input("延炼_全年生产任务情况统计_200万催化渣油加工量_收率_月计划",":key{{dw}}")
</t>
        </r>
      </text>
    </comment>
    <comment ref="X10" authorId="0">
      <text>
        <r>
          <rPr>
            <sz val="9"/>
            <color indexed="81"/>
            <rFont val="Arial"/>
            <family val="2"/>
          </rPr>
          <t xml:space="preserve">#Input("延炼_全年生产任务情况统计_200万催化渣油加工量_月计划调整量",":key{{dw}}")
</t>
        </r>
      </text>
    </comment>
    <comment ref="Y10" authorId="0">
      <text>
        <r>
          <rPr>
            <sz val="9"/>
            <color indexed="81"/>
            <rFont val="Arial"/>
            <family val="2"/>
          </rPr>
          <t xml:space="preserve">#Input("延炼_全年生产任务情况统计_200万催化渣油加工量_年计划调整量",":key{{dw}}")
</t>
        </r>
      </text>
    </comment>
    <comment ref="C11" authorId="0">
      <text>
        <r>
          <rPr>
            <sz val="9"/>
            <color indexed="81"/>
            <rFont val="Arial"/>
            <family val="2"/>
          </rPr>
          <t xml:space="preserve">#Input("延炼_全年生产任务情况统计_100万催化渣油加工量_月计划",":key{{dw}}")
</t>
        </r>
      </text>
    </comment>
    <comment ref="H11" authorId="0">
      <text>
        <r>
          <rPr>
            <sz val="9"/>
            <color indexed="81"/>
            <rFont val="Arial"/>
            <family val="2"/>
          </rPr>
          <t xml:space="preserve">#Input("延炼_全年生产任务情况统计_100万催化渣油加工量_年计划",":key{{dw}}")
</t>
        </r>
      </text>
    </comment>
    <comment ref="M11" authorId="0">
      <text>
        <r>
          <rPr>
            <sz val="9"/>
            <color indexed="81"/>
            <rFont val="Arial"/>
            <family val="2"/>
          </rPr>
          <t xml:space="preserve">#Input("延炼_全年生产任务情况统计_100万催化渣油加工量_收率_年计划",":key{{dw}}")
</t>
        </r>
      </text>
    </comment>
    <comment ref="N11" authorId="0">
      <text>
        <r>
          <rPr>
            <sz val="9"/>
            <color indexed="81"/>
            <rFont val="Arial"/>
            <family val="2"/>
          </rPr>
          <t xml:space="preserve">#Input("延炼_全年生产任务情况统计_100万催化渣油加工量_收率_月计划",":key{{dw}}")
</t>
        </r>
      </text>
    </comment>
    <comment ref="X11" authorId="0">
      <text>
        <r>
          <rPr>
            <sz val="9"/>
            <color indexed="81"/>
            <rFont val="Arial"/>
            <family val="2"/>
          </rPr>
          <t xml:space="preserve">#Input("延炼_全年生产任务情况统计_100万催化渣油加工量_月计划调整量",":key{{dw}}")
</t>
        </r>
      </text>
    </comment>
    <comment ref="Y11" authorId="0">
      <text>
        <r>
          <rPr>
            <sz val="9"/>
            <color indexed="81"/>
            <rFont val="Arial"/>
            <family val="2"/>
          </rPr>
          <t xml:space="preserve">#Input("延炼_全年生产任务情况统计_100万催化渣油加工量_年计划调整量",":key{{dw}}")
</t>
        </r>
      </text>
    </comment>
    <comment ref="C12" authorId="0">
      <text>
        <r>
          <rPr>
            <sz val="9"/>
            <color indexed="81"/>
            <rFont val="Arial"/>
            <family val="2"/>
          </rPr>
          <t xml:space="preserve">#Input("延炼_全年生产任务情况统计_苯乙烯产量_月计划",":key{{dw}}")
</t>
        </r>
      </text>
    </comment>
    <comment ref="H12" authorId="0">
      <text>
        <r>
          <rPr>
            <sz val="9"/>
            <color indexed="81"/>
            <rFont val="Arial"/>
            <family val="2"/>
          </rPr>
          <t xml:space="preserve">#Input("延炼_全年生产任务情况统计_苯乙烯产量_年计划",":key{{dw}}")
</t>
        </r>
      </text>
    </comment>
    <comment ref="M12" authorId="0">
      <text>
        <r>
          <rPr>
            <b/>
            <sz val="9"/>
            <color indexed="81"/>
            <rFont val="宋体"/>
            <family val="2"/>
          </rPr>
          <t xml:space="preserve">#Input("延炼_全年生产任务情况统计_苯乙烯产量_收率_年计划",":key{{dw}}")
</t>
        </r>
      </text>
    </comment>
    <comment ref="N12" authorId="0">
      <text>
        <r>
          <rPr>
            <b/>
            <sz val="9"/>
            <color indexed="81"/>
            <rFont val="宋体"/>
            <family val="2"/>
          </rPr>
          <t>#Input("延炼_全年生产任务情况统计_苯乙烯产量_收率_月计划",":key{{dw}}")</t>
        </r>
      </text>
    </comment>
    <comment ref="X12" authorId="0">
      <text>
        <r>
          <rPr>
            <sz val="9"/>
            <color indexed="81"/>
            <rFont val="Arial"/>
            <family val="2"/>
          </rPr>
          <t xml:space="preserve">#Input("延炼_全年生产任务情况统计_苯乙烯产量_月计划调整量",":key{{dw}}")
</t>
        </r>
      </text>
    </comment>
    <comment ref="Y12" authorId="0">
      <text>
        <r>
          <rPr>
            <sz val="9"/>
            <color indexed="81"/>
            <rFont val="Arial"/>
            <family val="2"/>
          </rPr>
          <t xml:space="preserve">#Input("延炼_全年生产任务情况统计_苯乙烯产量_年计划调整量",":key{{dw}}")
</t>
        </r>
      </text>
    </comment>
    <comment ref="C13" authorId="0">
      <text>
        <r>
          <rPr>
            <sz val="9"/>
            <color indexed="81"/>
            <rFont val="Arial"/>
            <family val="2"/>
          </rPr>
          <t xml:space="preserve">#Input("延炼_全年生产任务情况统计_气分装置加工量_月计划",":key{{dw}}")
</t>
        </r>
      </text>
    </comment>
    <comment ref="H13" authorId="0">
      <text>
        <r>
          <rPr>
            <sz val="9"/>
            <color indexed="81"/>
            <rFont val="Arial"/>
            <family val="2"/>
          </rPr>
          <t xml:space="preserve">#Input("延炼_全年生产任务情况统计_气分装置加工量_年计划",":key{{dw}}")
</t>
        </r>
      </text>
    </comment>
    <comment ref="X13" authorId="0">
      <text>
        <r>
          <rPr>
            <sz val="9"/>
            <color indexed="81"/>
            <rFont val="Arial"/>
            <family val="2"/>
          </rPr>
          <t xml:space="preserve">#Input("延炼_全年生产任务情况统计_气分装置加工量_月计划调整量",":key{{dw}}")
</t>
        </r>
      </text>
    </comment>
    <comment ref="Y13" authorId="0">
      <text>
        <r>
          <rPr>
            <sz val="9"/>
            <color indexed="81"/>
            <rFont val="Arial"/>
            <family val="2"/>
          </rPr>
          <t xml:space="preserve">#Input("延炼_全年生产任务情况统计_气分装置加工量_年计划调整量",":key{{dw}}")
</t>
        </r>
      </text>
    </comment>
    <comment ref="C14" authorId="0">
      <text>
        <r>
          <rPr>
            <sz val="9"/>
            <color indexed="81"/>
            <rFont val="Arial"/>
            <family val="2"/>
          </rPr>
          <t xml:space="preserve">#Input("延炼_全年生产任务情况统计_聚丙烯产量_月计划",":key{{dw}}")
</t>
        </r>
      </text>
    </comment>
    <comment ref="H14" authorId="0">
      <text>
        <r>
          <rPr>
            <sz val="9"/>
            <color indexed="81"/>
            <rFont val="Arial"/>
            <family val="2"/>
          </rPr>
          <t xml:space="preserve">#Input("延炼_全年生产任务情况统计_聚丙烯产量_年计划",":key{{dw}}")
</t>
        </r>
      </text>
    </comment>
    <comment ref="X14" authorId="0">
      <text>
        <r>
          <rPr>
            <sz val="9"/>
            <color indexed="81"/>
            <rFont val="Arial"/>
            <family val="2"/>
          </rPr>
          <t xml:space="preserve">#Input("延炼_全年生产任务情况统计_聚丙烯产量_月计划调整量",":key{{dw}}")
</t>
        </r>
      </text>
    </comment>
    <comment ref="Y14" authorId="0">
      <text>
        <r>
          <rPr>
            <sz val="9"/>
            <color indexed="81"/>
            <rFont val="Arial"/>
            <family val="2"/>
          </rPr>
          <t xml:space="preserve">#Input("延炼_全年生产任务情况统计_聚丙烯产量_年计划调整量",":key{{dw}}")
</t>
        </r>
      </text>
    </comment>
    <comment ref="C15" authorId="0">
      <text>
        <r>
          <rPr>
            <sz val="9"/>
            <color indexed="81"/>
            <rFont val="Arial"/>
            <family val="2"/>
          </rPr>
          <t xml:space="preserve">#Input("延炼_全年生产任务情况统计_MTBE产量_月计划",":key{{dw}}")
</t>
        </r>
      </text>
    </comment>
    <comment ref="H15" authorId="0">
      <text>
        <r>
          <rPr>
            <sz val="9"/>
            <color indexed="81"/>
            <rFont val="Arial"/>
            <family val="2"/>
          </rPr>
          <t xml:space="preserve">#Input("延炼_全年生产任务情况统计_MTBE产量_年计划",":key{{dw}}")
</t>
        </r>
      </text>
    </comment>
    <comment ref="X15" authorId="0">
      <text>
        <r>
          <rPr>
            <sz val="9"/>
            <color indexed="81"/>
            <rFont val="Arial"/>
            <family val="2"/>
          </rPr>
          <t xml:space="preserve">#Input("延炼_全年生产任务情况统计_MTBE产量_月计划调整量",":key{{dw}}")
</t>
        </r>
      </text>
    </comment>
    <comment ref="Y15" authorId="0">
      <text>
        <r>
          <rPr>
            <sz val="9"/>
            <color indexed="81"/>
            <rFont val="Arial"/>
            <family val="2"/>
          </rPr>
          <t xml:space="preserve">#Input("延炼_全年生产任务情况统计_MTBE产量_年计划调整量",":key{{dw}}")
</t>
        </r>
      </text>
    </comment>
    <comment ref="C16" authorId="0">
      <text>
        <r>
          <rPr>
            <sz val="9"/>
            <color indexed="81"/>
            <rFont val="Arial"/>
            <family val="2"/>
          </rPr>
          <t xml:space="preserve">#Input("延炼_全年生产任务情况统计_SBA产量_月计划",":key{{dw}}")
</t>
        </r>
      </text>
    </comment>
    <comment ref="H16" authorId="0">
      <text>
        <r>
          <rPr>
            <sz val="9"/>
            <color indexed="81"/>
            <rFont val="Arial"/>
            <family val="2"/>
          </rPr>
          <t xml:space="preserve">#Input("延炼_全年生产任务情况统计_SBA产量_年计划",":key{{dw}}")
</t>
        </r>
      </text>
    </comment>
    <comment ref="X16" authorId="0">
      <text>
        <r>
          <rPr>
            <sz val="9"/>
            <color indexed="81"/>
            <rFont val="Arial"/>
            <family val="2"/>
          </rPr>
          <t xml:space="preserve">#Input("延炼_全年生产任务情况统计_SBA产量_月计划调整量",":key{{dw}}")
</t>
        </r>
      </text>
    </comment>
    <comment ref="Y16" authorId="0">
      <text>
        <r>
          <rPr>
            <sz val="9"/>
            <color indexed="81"/>
            <rFont val="Arial"/>
            <family val="2"/>
          </rPr>
          <t xml:space="preserve">#Input("延炼_全年生产任务情况统计_SBA产量_年计划调整量",":key{{dw}}")
</t>
        </r>
      </text>
    </comment>
    <comment ref="C17" authorId="0">
      <text>
        <r>
          <rPr>
            <sz val="9"/>
            <color indexed="81"/>
            <rFont val="Arial"/>
            <family val="2"/>
          </rPr>
          <t xml:space="preserve">#Input("延炼_全年生产任务情况统计_92#汽油调合量_月计划",":key{{dw}}")
</t>
        </r>
      </text>
    </comment>
    <comment ref="H17" authorId="0">
      <text>
        <r>
          <rPr>
            <sz val="9"/>
            <color indexed="81"/>
            <rFont val="Arial"/>
            <family val="2"/>
          </rPr>
          <t xml:space="preserve">#Input("延炼_全年生产任务情况统计_92#汽油调合量_年计划",":key{{dw}}")
</t>
        </r>
      </text>
    </comment>
    <comment ref="X17" authorId="0">
      <text>
        <r>
          <rPr>
            <sz val="9"/>
            <color indexed="81"/>
            <rFont val="Arial"/>
            <family val="2"/>
          </rPr>
          <t xml:space="preserve">#Input("延炼_全年生产任务情况统计_92#汽油调合量_月计划调整量",":key{{dw}}")
</t>
        </r>
      </text>
    </comment>
    <comment ref="Y17" authorId="0">
      <text>
        <r>
          <rPr>
            <sz val="9"/>
            <color indexed="81"/>
            <rFont val="Arial"/>
            <family val="2"/>
          </rPr>
          <t xml:space="preserve">#Input("延炼_全年生产任务情况统计_92#汽油调合量_年计划调整量",":key{{dw}}")
</t>
        </r>
      </text>
    </comment>
    <comment ref="C18" authorId="0">
      <text>
        <r>
          <rPr>
            <sz val="9"/>
            <color indexed="81"/>
            <rFont val="Arial"/>
            <family val="2"/>
          </rPr>
          <t xml:space="preserve">#Input("延炼_全年生产任务情况统计_92#汽油销售量_月计划",":key{{dw}}")
</t>
        </r>
      </text>
    </comment>
    <comment ref="H18" authorId="0">
      <text>
        <r>
          <rPr>
            <sz val="9"/>
            <color indexed="81"/>
            <rFont val="Arial"/>
            <family val="2"/>
          </rPr>
          <t xml:space="preserve">#Input("延炼_全年生产任务情况统计_92#汽油销售量_年计划",":key{{dw}}")
</t>
        </r>
      </text>
    </comment>
    <comment ref="C19" authorId="0">
      <text>
        <r>
          <rPr>
            <sz val="9"/>
            <color indexed="81"/>
            <rFont val="Arial"/>
            <family val="2"/>
          </rPr>
          <t xml:space="preserve">#Input("延炼_全年生产任务情况统计_95#汽油调合量_月计划",":key{{dw}}")
</t>
        </r>
      </text>
    </comment>
    <comment ref="H19" authorId="0">
      <text>
        <r>
          <rPr>
            <sz val="9"/>
            <color indexed="81"/>
            <rFont val="Arial"/>
            <family val="2"/>
          </rPr>
          <t xml:space="preserve">#Input("延炼_全年生产任务情况统计_95#汽油调合量_年计划",":key{{dw}}")
</t>
        </r>
      </text>
    </comment>
    <comment ref="X19" authorId="0">
      <text>
        <r>
          <rPr>
            <sz val="9"/>
            <color indexed="81"/>
            <rFont val="Arial"/>
            <family val="2"/>
          </rPr>
          <t xml:space="preserve">#Input("延炼_全年生产任务情况统计_95#汽油调合量_月计划调整量",":key{{dw}}")
</t>
        </r>
      </text>
    </comment>
    <comment ref="Y19" authorId="0">
      <text>
        <r>
          <rPr>
            <sz val="9"/>
            <color indexed="81"/>
            <rFont val="Arial"/>
            <family val="2"/>
          </rPr>
          <t xml:space="preserve">#Input("延炼_全年生产任务情况统计_95#汽油调合量_年计划调整量",":key{{dw}}")
</t>
        </r>
      </text>
    </comment>
    <comment ref="C20" authorId="0">
      <text>
        <r>
          <rPr>
            <sz val="9"/>
            <color indexed="81"/>
            <rFont val="Arial"/>
            <family val="2"/>
          </rPr>
          <t xml:space="preserve">#Input("延炼_全年生产任务情况统计_95#汽油销售量_月计划",":key{{dw}}")
</t>
        </r>
      </text>
    </comment>
    <comment ref="H20" authorId="0">
      <text>
        <r>
          <rPr>
            <sz val="9"/>
            <color indexed="81"/>
            <rFont val="Arial"/>
            <family val="2"/>
          </rPr>
          <t xml:space="preserve">#Input("延炼_全年生产任务情况统计_95#汽油销售量_年计划",":key{{dw}}")
</t>
        </r>
      </text>
    </comment>
    <comment ref="C21" authorId="0">
      <text>
        <r>
          <rPr>
            <sz val="9"/>
            <color indexed="81"/>
            <rFont val="Arial"/>
            <family val="2"/>
          </rPr>
          <t xml:space="preserve">#Input("延炼_全年生产任务情况统计_98#汽油调合量_月计划",":key{{dw}}")
</t>
        </r>
      </text>
    </comment>
    <comment ref="H21" authorId="0">
      <text>
        <r>
          <rPr>
            <sz val="9"/>
            <color indexed="81"/>
            <rFont val="Arial"/>
            <family val="2"/>
          </rPr>
          <t xml:space="preserve">#Input("延炼_全年生产任务情况统计_98#汽油调合量_年计划",":key{{dw}}")
</t>
        </r>
      </text>
    </comment>
    <comment ref="X21" authorId="0">
      <text>
        <r>
          <rPr>
            <sz val="9"/>
            <color indexed="81"/>
            <rFont val="Arial"/>
            <family val="2"/>
          </rPr>
          <t xml:space="preserve">#Input("延炼_全年生产任务情况统计_98#汽油调合量_月计划调整量",":key{{dw}}")
</t>
        </r>
      </text>
    </comment>
    <comment ref="Y21" authorId="0">
      <text>
        <r>
          <rPr>
            <sz val="9"/>
            <color indexed="81"/>
            <rFont val="Arial"/>
            <family val="2"/>
          </rPr>
          <t xml:space="preserve">#Input("延炼_全年生产任务情况统计_98#汽油调合量_年计划调整量",":key{{dw}}")
</t>
        </r>
      </text>
    </comment>
    <comment ref="C22" authorId="0">
      <text>
        <r>
          <rPr>
            <b/>
            <sz val="9"/>
            <color indexed="81"/>
            <rFont val="宋体"/>
            <family val="2"/>
          </rPr>
          <t>#Input("延炼_全年生产任务情况统计_98#汽油销售量_月计划",":key{{dw}}")</t>
        </r>
      </text>
    </comment>
    <comment ref="H22" authorId="0">
      <text>
        <r>
          <rPr>
            <sz val="9"/>
            <color indexed="81"/>
            <rFont val="Arial"/>
            <family val="2"/>
          </rPr>
          <t xml:space="preserve">#Input("延炼_全年生产任务情况统计_98#汽油销售量_年计划",":key{{dw}}")
</t>
        </r>
      </text>
    </comment>
    <comment ref="C23" authorId="0">
      <text>
        <r>
          <rPr>
            <sz val="9"/>
            <color indexed="81"/>
            <rFont val="Arial"/>
            <family val="2"/>
          </rPr>
          <t xml:space="preserve">#Input("延炼_全年生产任务情况统计_汽油总调合量_月计划",":key{{dw}}")
</t>
        </r>
      </text>
    </comment>
    <comment ref="H23" authorId="0">
      <text>
        <r>
          <rPr>
            <sz val="9"/>
            <color indexed="81"/>
            <rFont val="Arial"/>
            <family val="2"/>
          </rPr>
          <t xml:space="preserve">#Input("延炼_全年生产任务情况统计_汽油总调合量_年计划",":key{{dw}}")
</t>
        </r>
      </text>
    </comment>
    <comment ref="C24" authorId="0">
      <text>
        <r>
          <rPr>
            <sz val="9"/>
            <color indexed="81"/>
            <rFont val="Arial"/>
            <family val="2"/>
          </rPr>
          <t xml:space="preserve">#Input("延炼_全年生产任务情况统计_汽油总销售量_月计划",":key{{dw}}")
</t>
        </r>
      </text>
    </comment>
    <comment ref="H24" authorId="0">
      <text>
        <r>
          <rPr>
            <sz val="9"/>
            <color indexed="81"/>
            <rFont val="Arial"/>
            <family val="2"/>
          </rPr>
          <t xml:space="preserve">#Input("延炼_全年生产任务情况统计_汽油总销售量_年计划",":key{{dw}}")
</t>
        </r>
      </text>
    </comment>
    <comment ref="C25" authorId="0">
      <text>
        <r>
          <rPr>
            <sz val="9"/>
            <color indexed="81"/>
            <rFont val="Arial"/>
            <family val="2"/>
          </rPr>
          <t xml:space="preserve">#Input("延炼_全年生产任务情况统计_0#柴油调合量_月计划",":key{{dw}}")
</t>
        </r>
      </text>
    </comment>
    <comment ref="H25" authorId="0">
      <text>
        <r>
          <rPr>
            <sz val="9"/>
            <color indexed="81"/>
            <rFont val="Arial"/>
            <family val="2"/>
          </rPr>
          <t xml:space="preserve">#Input("延炼_全年生产任务情况统计_0#柴油调合量_年计划",":key{{dw}}")
</t>
        </r>
      </text>
    </comment>
    <comment ref="X25" authorId="0">
      <text>
        <r>
          <rPr>
            <sz val="9"/>
            <color indexed="81"/>
            <rFont val="Arial"/>
            <family val="2"/>
          </rPr>
          <t xml:space="preserve">#Input("延炼_全年生产任务情况统计_0#柴油调合量_月计划调整量",":key{{dw}}")
</t>
        </r>
      </text>
    </comment>
    <comment ref="Y25" authorId="0">
      <text>
        <r>
          <rPr>
            <sz val="9"/>
            <color indexed="81"/>
            <rFont val="Arial"/>
            <family val="2"/>
          </rPr>
          <t xml:space="preserve">#Input("延炼_全年生产任务情况统计_0#柴油调合量_年计划调整量",":key{{dw}}")
</t>
        </r>
      </text>
    </comment>
    <comment ref="C26" authorId="0">
      <text>
        <r>
          <rPr>
            <sz val="9"/>
            <color indexed="81"/>
            <rFont val="Arial"/>
            <family val="2"/>
          </rPr>
          <t xml:space="preserve">#Input("延炼_全年生产任务情况统计_0#柴油销售量_月计划",":key{{dw}}")
</t>
        </r>
      </text>
    </comment>
    <comment ref="H26" authorId="0">
      <text>
        <r>
          <rPr>
            <sz val="9"/>
            <color indexed="81"/>
            <rFont val="Arial"/>
            <family val="2"/>
          </rPr>
          <t xml:space="preserve">#Input("延炼_全年生产任务情况统计_0#柴油销售量_年计划",":key{{dw}}")
</t>
        </r>
      </text>
    </comment>
    <comment ref="C27" authorId="0">
      <text>
        <r>
          <rPr>
            <sz val="9"/>
            <color indexed="81"/>
            <rFont val="Arial"/>
            <family val="2"/>
          </rPr>
          <t>#Input("延炼_全年生产任务情况统计_3号喷气燃料产量_月计划",":key{{dw}}")</t>
        </r>
      </text>
    </comment>
    <comment ref="H27" authorId="0">
      <text>
        <r>
          <rPr>
            <sz val="9"/>
            <color indexed="81"/>
            <rFont val="Arial"/>
            <family val="2"/>
          </rPr>
          <t xml:space="preserve">#Input("延炼_全年生产任务情况统计_3号喷气燃料产量_年计划",":key{{dw}}")
</t>
        </r>
      </text>
    </comment>
    <comment ref="X27" authorId="0">
      <text>
        <r>
          <rPr>
            <sz val="9"/>
            <color indexed="81"/>
            <rFont val="Arial"/>
            <family val="2"/>
          </rPr>
          <t xml:space="preserve">#Input("延炼_全年生产任务情况统计_3号喷气燃料产量_月计划调整量",":key{{dw}}")
</t>
        </r>
      </text>
    </comment>
    <comment ref="Y27" authorId="0">
      <text>
        <r>
          <rPr>
            <sz val="9"/>
            <color indexed="81"/>
            <rFont val="Arial"/>
            <family val="2"/>
          </rPr>
          <t xml:space="preserve">#Input("延炼_全年生产任务情况统计_3号喷气燃料产量_年计划调整量",":key{{dw}}")
</t>
        </r>
      </text>
    </comment>
    <comment ref="C28" authorId="0">
      <text>
        <r>
          <rPr>
            <sz val="9"/>
            <color indexed="81"/>
            <rFont val="Arial"/>
            <family val="2"/>
          </rPr>
          <t xml:space="preserve">#Input("延炼_全年生产任务情况统计_3号喷气燃料销售量_月计划",":key{{dw}}")
</t>
        </r>
      </text>
    </comment>
    <comment ref="H28" authorId="0">
      <text>
        <r>
          <rPr>
            <sz val="9"/>
            <color indexed="81"/>
            <rFont val="Arial"/>
            <family val="2"/>
          </rPr>
          <t xml:space="preserve">#Input("延炼_全年生产任务情况统计_3号喷气燃料销售量_年计划",":key{{dw}}")
</t>
        </r>
      </text>
    </comment>
    <comment ref="C29" authorId="0">
      <text>
        <r>
          <rPr>
            <b/>
            <sz val="9"/>
            <color indexed="81"/>
            <rFont val="宋体"/>
            <family val="2"/>
          </rPr>
          <t>#Input("延炼_全年生产任务情况统计_备注1",":key{{dw}}")</t>
        </r>
      </text>
    </comment>
    <comment ref="C30" authorId="0">
      <text>
        <r>
          <rPr>
            <b/>
            <sz val="9"/>
            <color indexed="81"/>
            <rFont val="宋体"/>
            <family val="2"/>
          </rPr>
          <t>#Input("延炼_全年生产任务情况统计_备注2",":key{{dw}}")</t>
        </r>
      </text>
    </comment>
    <comment ref="C31" authorId="0">
      <text>
        <r>
          <rPr>
            <b/>
            <sz val="9"/>
            <color indexed="81"/>
            <rFont val="宋体"/>
            <family val="2"/>
          </rPr>
          <t>#Input("延炼_全年生产任务情况统计_单位负责人",":key{{dw}}")</t>
        </r>
      </text>
    </comment>
    <comment ref="J31" authorId="0">
      <text>
        <r>
          <rPr>
            <b/>
            <sz val="9"/>
            <color indexed="81"/>
            <rFont val="宋体"/>
            <family val="2"/>
          </rPr>
          <t>#Input("延炼_全年生产任务情况统计_审核人",":key{{dw}}")</t>
        </r>
      </text>
    </comment>
    <comment ref="Q31" authorId="0">
      <text>
        <r>
          <rPr>
            <b/>
            <sz val="9"/>
            <color indexed="81"/>
            <rFont val="宋体"/>
            <family val="2"/>
          </rPr>
          <t>#Input("延炼_全年生产任务情况统计_填报人",":key{{dw}}")</t>
        </r>
      </text>
    </comment>
    <comment ref="Z6" authorId="0">
      <text>
        <r>
          <rPr>
            <sz val="9"/>
            <color indexed="81"/>
            <rFont val="Arial"/>
            <family val="2"/>
          </rPr>
          <t>#Input("延炼_全年生产任务情况统计_原油代加工量_榆炼",":key{{dw}}")</t>
        </r>
      </text>
    </comment>
    <comment ref="Y6" authorId="0">
      <text>
        <r>
          <rPr>
            <sz val="9"/>
            <color indexed="81"/>
            <rFont val="Arial"/>
            <family val="2"/>
          </rPr>
          <t xml:space="preserve">#Input("延炼_全年生产任务情况统计_原油加工量_年计划调整量",":key{{dw}}")
</t>
        </r>
      </text>
    </comment>
  </commentList>
</comments>
</file>

<file path=xl/sharedStrings.xml><?xml version="1.0" encoding="utf-8"?>
<sst xmlns="http://schemas.openxmlformats.org/spreadsheetml/2006/main" count="237" uniqueCount="116">
  <si>
    <t>全年生产任务情况统计</t>
  </si>
  <si>
    <t/>
  </si>
  <si>
    <t xml:space="preserve">  编制单位：生产计划部</t>
  </si>
  <si>
    <t>日期：</t>
  </si>
  <si>
    <t>2026-01-06</t>
  </si>
  <si>
    <t>内部数据</t>
  </si>
  <si>
    <t>项    目</t>
  </si>
  <si>
    <t>本月完成情况</t>
  </si>
  <si>
    <t>全年目标任务完成情况</t>
  </si>
  <si>
    <t>收率（催化收率含回炼油）</t>
  </si>
  <si>
    <t>部分指标手动录入</t>
  </si>
  <si>
    <t>项        目</t>
  </si>
  <si>
    <t>计划
（万吨）</t>
  </si>
  <si>
    <t>本日
（吨）</t>
  </si>
  <si>
    <t>累计生产
（万吨）</t>
  </si>
  <si>
    <t>剩余加工量
 (万吨)</t>
  </si>
  <si>
    <t>日处理量
(吨)</t>
  </si>
  <si>
    <t>年计划
（万吨）</t>
  </si>
  <si>
    <t>完成情况
（万吨）</t>
  </si>
  <si>
    <t>剩余加工量
（万吨）</t>
  </si>
  <si>
    <t>剩余日处理量（吨）</t>
  </si>
  <si>
    <t>完成任务比
（%）</t>
  </si>
  <si>
    <t>年计划</t>
  </si>
  <si>
    <t>月计划</t>
  </si>
  <si>
    <t>本日</t>
  </si>
  <si>
    <t>本月</t>
  </si>
  <si>
    <t>本年</t>
  </si>
  <si>
    <t xml:space="preserve">本月
+ -    </t>
  </si>
  <si>
    <t>本月余</t>
  </si>
  <si>
    <t>本年余</t>
  </si>
  <si>
    <t>本月天数</t>
  </si>
  <si>
    <t>本年天数</t>
  </si>
  <si>
    <t>原油加工量</t>
  </si>
  <si>
    <t>其中：300万常压</t>
  </si>
  <si>
    <t>260万常压</t>
  </si>
  <si>
    <t>催化渣油加工量</t>
  </si>
  <si>
    <t>其中：200万催化</t>
  </si>
  <si>
    <t>100万催化</t>
  </si>
  <si>
    <t>苯乙烯产量</t>
  </si>
  <si>
    <t>气分装置加工量</t>
  </si>
  <si>
    <t>每月初输入以下两指标</t>
  </si>
  <si>
    <t>每日输入以下两指标</t>
  </si>
  <si>
    <t>聚丙烯产量</t>
  </si>
  <si>
    <t>项目名称</t>
  </si>
  <si>
    <t>单位</t>
  </si>
  <si>
    <t>月累计</t>
  </si>
  <si>
    <t>年累计</t>
  </si>
  <si>
    <t>MTBE产量</t>
  </si>
  <si>
    <t>3号喷气燃料销售</t>
  </si>
  <si>
    <t>吨</t>
  </si>
  <si>
    <t>SBA产量</t>
  </si>
  <si>
    <t>车</t>
  </si>
  <si>
    <t>92#汽油调合量</t>
  </si>
  <si>
    <t>92#汽油销售量</t>
  </si>
  <si>
    <t>95#汽油调合量</t>
  </si>
  <si>
    <t>95#汽油销售量</t>
  </si>
  <si>
    <r>
      <t>9</t>
    </r>
    <r>
      <rPr>
        <charset val="134"/>
        <family val="3"/>
        <rFont val="等线"/>
        <sz val="11"/>
      </rPr>
      <t>8</t>
    </r>
    <r>
      <rPr>
        <charset val="134"/>
        <family val="3"/>
        <rFont val="等线"/>
        <sz val="11"/>
      </rPr>
      <t>#汽油调合量</t>
    </r>
  </si>
  <si>
    <r>
      <t>9</t>
    </r>
    <r>
      <rPr>
        <charset val="134"/>
        <family val="3"/>
        <rFont val="等线"/>
        <sz val="11"/>
      </rPr>
      <t>8</t>
    </r>
    <r>
      <rPr>
        <charset val="134"/>
        <family val="3"/>
        <rFont val="等线"/>
        <sz val="11"/>
      </rPr>
      <t>#汽油销售量</t>
    </r>
  </si>
  <si>
    <t>汽油总调合量</t>
  </si>
  <si>
    <t>汽油总销售量</t>
  </si>
  <si>
    <t>0#柴油调合量</t>
  </si>
  <si>
    <t>榆炼氨水</t>
  </si>
  <si>
    <t>0#柴油销售量</t>
  </si>
  <si>
    <t>3号喷气燃料产量</t>
  </si>
  <si>
    <t>3号喷气燃料销售量</t>
  </si>
  <si>
    <t>备注</t>
  </si>
  <si>
    <t>本月接收原油11.73万吨，其中接收长庆原油0万吨；全年接收原油11.73万吨，其中接收长庆原油0万吨。</t>
  </si>
  <si>
    <t>距离12月底还有358天。</t>
  </si>
  <si>
    <t>单位负责人：</t>
  </si>
  <si>
    <t>王静</t>
  </si>
  <si>
    <t>审核人：</t>
  </si>
  <si>
    <t>李小军</t>
  </si>
  <si>
    <t>制表人：</t>
  </si>
  <si>
    <t>韩卫玲</t>
  </si>
  <si>
    <t>报表生成时间：</t>
  </si>
  <si>
    <t>2026-01-07</t>
  </si>
  <si>
    <t xml:space="preserve"> 8:00:00</t>
  </si>
  <si>
    <t>本月累计</t>
  </si>
  <si>
    <t>本年累计</t>
  </si>
  <si>
    <t>1.原 油</t>
  </si>
  <si>
    <t>当日-本月</t>
  </si>
  <si>
    <t>当月-本年</t>
  </si>
  <si>
    <t>①.管 输</t>
  </si>
  <si>
    <t xml:space="preserve">   其中:长 庆</t>
  </si>
  <si>
    <t xml:space="preserve">        管道公司</t>
  </si>
  <si>
    <t>本日（吨）</t>
  </si>
  <si>
    <t>②.长庆长东</t>
  </si>
  <si>
    <t>③.钻采公司</t>
  </si>
  <si>
    <t xml:space="preserve">   其中：   英 旺</t>
  </si>
  <si>
    <t xml:space="preserve">         油气勘探</t>
  </si>
  <si>
    <t xml:space="preserve">         旬 邑</t>
  </si>
  <si>
    <t>黄陵指挥部</t>
  </si>
  <si>
    <t>本月接收原油</t>
  </si>
  <si>
    <t>万吨，</t>
  </si>
  <si>
    <t>其中接收长庆原油</t>
  </si>
  <si>
    <t>万吨；</t>
  </si>
  <si>
    <t>全年接收原油</t>
  </si>
  <si>
    <t>万吨。</t>
  </si>
  <si>
    <t>距离12月底还有</t>
  </si>
  <si>
    <t>天。</t>
  </si>
  <si>
    <r>
      <t>9</t>
    </r>
    <r>
      <rPr>
        <b/>
        <charset val="134"/>
        <color theme="1"/>
        <family val="3"/>
        <rFont val="Calibri"/>
        <scheme val="minor"/>
        <sz val="11"/>
      </rPr>
      <t>8</t>
    </r>
    <r>
      <rPr>
        <b/>
        <color theme="1"/>
        <family val="2"/>
        <rFont val="Calibri"/>
        <scheme val="minor"/>
        <sz val="11"/>
      </rPr>
      <t>#汽油调合量</t>
    </r>
  </si>
  <si>
    <r>
      <t>9</t>
    </r>
    <r>
      <rPr>
        <b/>
        <charset val="134"/>
        <color theme="1"/>
        <family val="3"/>
        <rFont val="Calibri"/>
        <scheme val="minor"/>
        <sz val="11"/>
      </rPr>
      <t>8</t>
    </r>
    <r>
      <rPr>
        <b/>
        <color theme="1"/>
        <family val="2"/>
        <rFont val="Calibri"/>
        <scheme val="minor"/>
        <sz val="11"/>
      </rPr>
      <t>#汽油销售量</t>
    </r>
  </si>
  <si>
    <t>正丁烷</t>
  </si>
  <si>
    <t>3号喷气燃料</t>
  </si>
  <si>
    <t>上古轻烃</t>
  </si>
  <si>
    <t>延炼氨水</t>
  </si>
  <si>
    <t>本月（吨）</t>
  </si>
  <si>
    <t>本年（吨）</t>
  </si>
  <si>
    <t>收率本日</t>
  </si>
  <si>
    <t>收率本月</t>
  </si>
  <si>
    <t>收率本年</t>
  </si>
  <si>
    <t>YL_SCJHBTHHZ_Day</t>
  </si>
  <si>
    <t>月计划调整量</t>
  </si>
  <si>
    <t>年计划调整量</t>
  </si>
  <si>
    <t>98#汽油调合量</t>
  </si>
  <si>
    <t>98#汽油销售量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</si>
</sst>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0">
    <numFmt numFmtId="41" formatCode="_(* #,##0_);_(* (#,##0);_(* &quot;-&quot;_);_(@_)"/>
    <numFmt numFmtId="42" formatCode="_(&quot;$&quot;* #,##0_);_(&quot;$&quot;* (#,##0);_(&quot;$&quot;* &quot;-&quot;_);_(@_)"/>
    <numFmt numFmtId="43" formatCode="_(* #,##0.00_);_(* (#,##0.00);_(* &quot;-&quot;??_);_(@_)"/>
    <numFmt numFmtId="44" formatCode="_(&quot;$&quot;* #,##0.00_);_(&quot;$&quot;* (#,##0.00);_(&quot;$&quot;* &quot;-&quot;??_);_(@_)"/>
    <numFmt numFmtId="171" formatCode="0.000"/>
    <numFmt numFmtId="172" formatCode="0.0000"/>
    <numFmt numFmtId="173" formatCode="0.00_ "/>
    <numFmt numFmtId="174" formatCode="0_ "/>
    <numFmt numFmtId="175" formatCode="0.0;\-0.0"/>
    <numFmt numFmtId="176" formatCode="0.000;-0.000"/>
  </numFmts>
  <fonts count="28">
    <font>
      <sz val="11"/>
      <color theme="1"/>
      <name val="Calibri"/>
      <scheme val="minor"/>
    </font>
    <font>
      <sz val="11"/>
      <color theme="0"/>
      <name val="Calibri"/>
      <scheme val="minor"/>
    </font>
    <font>
      <sz val="11"/>
      <color rgb="FF9C0006"/>
      <name val="Calibri"/>
      <scheme val="minor"/>
    </font>
    <font>
      <b/>
      <sz val="11"/>
      <color rgb="FFFA7D00"/>
      <name val="Calibri"/>
      <scheme val="minor"/>
    </font>
    <font>
      <b/>
      <sz val="11"/>
      <color theme="0"/>
      <name val="Calibri"/>
      <scheme val="minor"/>
    </font>
    <font>
      <sz val="11"/>
      <color indexed="0"/>
      <name val="Calibri"/>
      <family val="2"/>
    </font>
    <font>
      <i/>
      <sz val="11"/>
      <color rgb="FF7F7F7F"/>
      <name val="Calibri"/>
      <scheme val="minor"/>
    </font>
    <font>
      <sz val="11"/>
      <color rgb="FF006100"/>
      <name val="Calibri"/>
      <scheme val="minor"/>
    </font>
    <font>
      <b/>
      <sz val="15"/>
      <color theme="3"/>
      <name val="Calibri"/>
      <scheme val="minor"/>
    </font>
    <font>
      <b/>
      <sz val="13"/>
      <color theme="3"/>
      <name val="Calibri"/>
      <scheme val="minor"/>
    </font>
    <font>
      <b/>
      <sz val="11"/>
      <color theme="3"/>
      <name val="Calibri"/>
      <scheme val="minor"/>
    </font>
    <font>
      <sz val="11"/>
      <color rgb="FF3F3F76"/>
      <name val="Calibri"/>
      <scheme val="minor"/>
    </font>
    <font>
      <sz val="11"/>
      <color rgb="FFFA7D00"/>
      <name val="Calibri"/>
      <scheme val="minor"/>
    </font>
    <font>
      <sz val="11"/>
      <color rgb="FF9C6500"/>
      <name val="Calibri"/>
      <scheme val="minor"/>
    </font>
    <font>
      <b/>
      <sz val="11"/>
      <color rgb="FF3F3F3F"/>
      <name val="Calibri"/>
      <scheme val="minor"/>
    </font>
    <font>
      <b/>
      <sz val="18"/>
      <color theme="3"/>
      <name val="Calibri Light"/>
      <scheme val="major"/>
    </font>
    <font>
      <b/>
      <sz val="11"/>
      <color theme="1"/>
      <name val="Calibri"/>
      <scheme val="minor"/>
    </font>
    <font>
      <sz val="11"/>
      <color rgb="FFFF0000"/>
      <name val="Calibri"/>
      <scheme val="minor"/>
    </font>
    <font>
      <sz val="10"/>
      <color auto="1"/>
      <name val="Arial"/>
    </font>
    <font>
      <u/>
      <sz val="11"/>
      <color rgb="FF0000FF"/>
      <name val="Calibri"/>
      <scheme val="minor"/>
    </font>
    <font>
      <u/>
      <sz val="11"/>
      <color rgb="FF800080"/>
      <name val="Calibri"/>
      <scheme val="minor"/>
    </font>
    <font>
      <sz val="11"/>
      <color rgb="FF000000"/>
      <name val="等线"/>
    </font>
    <font>
      <sz val="11"/>
      <color auto="1"/>
      <name val="等线"/>
    </font>
    <font>
      <sz val="13"/>
      <color rgb="FF000000"/>
      <name val="宋体"/>
    </font>
    <font>
      <sz val="9"/>
      <color rgb="FF000000"/>
      <name val="宋体"/>
    </font>
    <font>
      <sz val="8"/>
      <color rgb="FF000000"/>
      <name val="宋体"/>
    </font>
    <font>
      <sz val="11"/>
      <color rgb="FF000000"/>
      <name val="宋体"/>
    </font>
    <font>
      <b/>
      <sz val="18"/>
      <color auto="1"/>
      <name val="等线"/>
    </font>
  </fonts>
  <fills count="38">
    <fill>
      <patternFill patternType="none"/>
    </fill>
    <fill>
      <patternFill patternType="gray125"/>
    </fill>
    <fill>
      <patternFill patternType="solid">
        <fgColor theme="4" tint="0.8"/>
      </patternFill>
    </fill>
    <fill>
      <patternFill patternType="solid">
        <fgColor theme="5" tint="0.8"/>
      </patternFill>
    </fill>
    <fill>
      <patternFill patternType="solid">
        <fgColor theme="6" tint="0.8"/>
      </patternFill>
    </fill>
    <fill>
      <patternFill patternType="solid">
        <fgColor theme="7" tint="0.8"/>
      </patternFill>
    </fill>
    <fill>
      <patternFill patternType="solid">
        <fgColor theme="8" tint="0.8"/>
      </patternFill>
    </fill>
    <fill>
      <patternFill patternType="solid">
        <fgColor theme="9" tint="0.8"/>
      </patternFill>
    </fill>
    <fill>
      <patternFill patternType="solid">
        <fgColor theme="4" tint="0.6"/>
      </patternFill>
    </fill>
    <fill>
      <patternFill patternType="solid">
        <fgColor theme="5" tint="0.6"/>
      </patternFill>
    </fill>
    <fill>
      <patternFill patternType="solid">
        <fgColor theme="6" tint="0.6"/>
      </patternFill>
    </fill>
    <fill>
      <patternFill patternType="solid">
        <fgColor theme="7" tint="0.6"/>
      </patternFill>
    </fill>
    <fill>
      <patternFill patternType="solid">
        <fgColor theme="8" tint="0.6"/>
      </patternFill>
    </fill>
    <fill>
      <patternFill patternType="solid">
        <fgColor theme="9" tint="0.6"/>
      </patternFill>
    </fill>
    <fill>
      <patternFill patternType="solid">
        <fgColor theme="4" tint="0.4"/>
      </patternFill>
    </fill>
    <fill>
      <patternFill patternType="solid">
        <fgColor theme="5" tint="0.4"/>
      </patternFill>
    </fill>
    <fill>
      <patternFill patternType="solid">
        <fgColor theme="6" tint="0.4"/>
      </patternFill>
    </fill>
    <fill>
      <patternFill patternType="solid">
        <fgColor theme="7" tint="0.4"/>
      </patternFill>
    </fill>
    <fill>
      <patternFill patternType="solid">
        <fgColor theme="8" tint="0.4"/>
      </patternFill>
    </fill>
    <fill>
      <patternFill patternType="solid">
        <fgColor theme="9" tint="0.4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FF00"/>
      </patternFill>
    </fill>
    <fill>
      <patternFill patternType="solid">
        <fgColor theme="0"/>
      </patternFill>
    </fill>
    <fill>
      <patternFill patternType="solid">
        <fgColor rgb="FFFFFFFF"/>
      </patternFill>
    </fill>
    <fill>
      <patternFill patternType="solid">
        <fgColor rgb="FF33CCCC"/>
      </patternFill>
    </fill>
    <fill>
      <patternFill patternType="solid">
        <fgColor rgb="FF000000"/>
      </patternFill>
    </fill>
  </fills>
  <borders count="20">
    <border>
      <left/>
      <right/>
      <top/>
      <bottom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thick">
        <color theme="4"/>
      </bottom>
    </border>
    <border>
      <left/>
      <right/>
      <top/>
      <bottom style="thick">
        <color theme="4" tint="0.5"/>
      </bottom>
    </border>
    <border>
      <left/>
      <right/>
      <top/>
      <bottom style="medium">
        <color theme="4" tint="0.4"/>
      </bottom>
    </border>
    <border>
      <left/>
      <right/>
      <top/>
      <bottom style="double">
        <color rgb="FFFF8001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/>
      <right/>
      <top style="thin">
        <color theme="4"/>
      </top>
      <bottom style="double">
        <color theme="4"/>
      </bottom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</borders>
  <cellStyleXfs count="50">
    <xf numFmtId="0" fontId="0" fillId="0" borderId="0" applyFont="1" applyFill="0" applyBorder="0"/>
    <xf numFmtId="0" fontId="0" fillId="2" borderId="0" applyFont="1" applyFill="1" applyBorder="0">
      <alignment vertical="top"/>
    </xf>
    <xf numFmtId="0" fontId="0" fillId="3" borderId="0" applyFont="1" applyFill="1" applyBorder="0">
      <alignment vertical="top"/>
    </xf>
    <xf numFmtId="0" fontId="0" fillId="4" borderId="0" applyFont="1" applyFill="1" applyBorder="0">
      <alignment vertical="top"/>
    </xf>
    <xf numFmtId="0" fontId="0" fillId="5" borderId="0" applyFont="1" applyFill="1" applyBorder="0">
      <alignment vertical="top"/>
    </xf>
    <xf numFmtId="0" fontId="0" fillId="6" borderId="0" applyFont="1" applyFill="1" applyBorder="0">
      <alignment vertical="top"/>
    </xf>
    <xf numFmtId="0" fontId="0" fillId="7" borderId="0" applyFont="1" applyFill="1" applyBorder="0">
      <alignment vertical="top"/>
    </xf>
    <xf numFmtId="0" fontId="0" fillId="8" borderId="0" applyFont="1" applyFill="1" applyBorder="0">
      <alignment vertical="top"/>
    </xf>
    <xf numFmtId="0" fontId="0" fillId="9" borderId="0" applyFont="1" applyFill="1" applyBorder="0">
      <alignment vertical="top"/>
    </xf>
    <xf numFmtId="0" fontId="0" fillId="10" borderId="0" applyFont="1" applyFill="1" applyBorder="0">
      <alignment vertical="top"/>
    </xf>
    <xf numFmtId="0" fontId="0" fillId="11" borderId="0" applyFont="1" applyFill="1" applyBorder="0">
      <alignment vertical="top"/>
    </xf>
    <xf numFmtId="0" fontId="0" fillId="12" borderId="0" applyFont="1" applyFill="1" applyBorder="0">
      <alignment vertical="top"/>
    </xf>
    <xf numFmtId="0" fontId="0" fillId="13" borderId="0" applyFont="1" applyFill="1" applyBorder="0">
      <alignment vertical="top"/>
    </xf>
    <xf numFmtId="0" fontId="1" fillId="14" borderId="0" applyFont="1" applyFill="1" applyBorder="0">
      <alignment vertical="top"/>
    </xf>
    <xf numFmtId="0" fontId="1" fillId="15" borderId="0" applyFont="1" applyFill="1" applyBorder="0">
      <alignment vertical="top"/>
    </xf>
    <xf numFmtId="0" fontId="1" fillId="16" borderId="0" applyFont="1" applyFill="1" applyBorder="0">
      <alignment vertical="top"/>
    </xf>
    <xf numFmtId="0" fontId="1" fillId="17" borderId="0" applyFont="1" applyFill="1" applyBorder="0">
      <alignment vertical="top"/>
    </xf>
    <xf numFmtId="0" fontId="1" fillId="18" borderId="0" applyFont="1" applyFill="1" applyBorder="0">
      <alignment vertical="top"/>
    </xf>
    <xf numFmtId="0" fontId="1" fillId="19" borderId="0" applyFont="1" applyFill="1" applyBorder="0">
      <alignment vertical="top"/>
    </xf>
    <xf numFmtId="0" fontId="1" fillId="20" borderId="0" applyFont="1" applyFill="1" applyBorder="0">
      <alignment vertical="top"/>
    </xf>
    <xf numFmtId="0" fontId="1" fillId="21" borderId="0" applyFont="1" applyFill="1" applyBorder="0">
      <alignment vertical="top"/>
    </xf>
    <xf numFmtId="0" fontId="1" fillId="22" borderId="0" applyFont="1" applyFill="1" applyBorder="0">
      <alignment vertical="top"/>
    </xf>
    <xf numFmtId="0" fontId="1" fillId="23" borderId="0" applyFont="1" applyFill="1" applyBorder="0">
      <alignment vertical="top"/>
    </xf>
    <xf numFmtId="0" fontId="1" fillId="24" borderId="0" applyFont="1" applyFill="1" applyBorder="0">
      <alignment vertical="top"/>
    </xf>
    <xf numFmtId="0" fontId="1" fillId="25" borderId="0" applyFont="1" applyFill="1" applyBorder="0">
      <alignment vertical="top"/>
    </xf>
    <xf numFmtId="0" fontId="2" fillId="26" borderId="0" applyFont="1" applyFill="1" applyBorder="0">
      <alignment vertical="top"/>
    </xf>
    <xf numFmtId="0" fontId="3" fillId="27" borderId="1" applyFont="1" applyFill="1" applyBorder="1">
      <alignment vertical="top"/>
    </xf>
    <xf numFmtId="0" fontId="4" fillId="28" borderId="2" applyFont="1" applyFill="1" applyBorder="1">
      <alignment vertical="top"/>
    </xf>
    <xf numFmtId="43" fontId="5" fillId="0" borderId="0" applyFont="0" applyFill="0" applyBorder="0" applyNumberFormat="1">
      <alignment vertical="top"/>
    </xf>
    <xf numFmtId="41" fontId="5" fillId="0" borderId="0" applyFont="0" applyFill="0" applyBorder="0" applyNumberFormat="1">
      <alignment vertical="top"/>
    </xf>
    <xf numFmtId="44" fontId="5" fillId="0" borderId="0" applyFont="0" applyFill="0" applyBorder="0" applyNumberFormat="1">
      <alignment vertical="top"/>
    </xf>
    <xf numFmtId="42" fontId="5" fillId="0" borderId="0" applyFont="0" applyFill="0" applyBorder="0" applyNumberFormat="1">
      <alignment vertical="top"/>
    </xf>
    <xf numFmtId="0" fontId="6" fillId="0" borderId="0" applyFont="1" applyFill="0" applyBorder="0">
      <alignment vertical="top"/>
    </xf>
    <xf numFmtId="0" fontId="7" fillId="29" borderId="0" applyFont="1" applyFill="1" applyBorder="0">
      <alignment vertical="top"/>
    </xf>
    <xf numFmtId="0" fontId="8" fillId="0" borderId="3" applyFont="1" applyFill="0" applyBorder="1">
      <alignment vertical="top"/>
    </xf>
    <xf numFmtId="0" fontId="9" fillId="0" borderId="4" applyFont="1" applyFill="0" applyBorder="1">
      <alignment vertical="top"/>
    </xf>
    <xf numFmtId="0" fontId="10" fillId="0" borderId="5" applyFont="1" applyFill="0" applyBorder="1">
      <alignment vertical="top"/>
    </xf>
    <xf numFmtId="0" fontId="10" fillId="0" borderId="0" applyFont="1" applyFill="0" applyBorder="0">
      <alignment vertical="top"/>
    </xf>
    <xf numFmtId="0" fontId="11" fillId="30" borderId="1" applyFont="1" applyFill="1" applyBorder="1">
      <alignment vertical="top"/>
    </xf>
    <xf numFmtId="0" fontId="12" fillId="0" borderId="6" applyFont="1" applyFill="0" applyBorder="1">
      <alignment vertical="top"/>
    </xf>
    <xf numFmtId="0" fontId="13" fillId="31" borderId="0" applyFont="1" applyFill="1" applyBorder="0">
      <alignment vertical="top"/>
    </xf>
    <xf numFmtId="0" fontId="5" fillId="32" borderId="7" applyFont="0" applyFill="1" applyBorder="1">
      <alignment vertical="top"/>
    </xf>
    <xf numFmtId="0" fontId="14" fillId="27" borderId="8" applyFont="1" applyFill="1" applyBorder="1">
      <alignment vertical="top"/>
    </xf>
    <xf numFmtId="9" fontId="5" fillId="0" borderId="0" applyFont="0" applyFill="0" applyBorder="0" applyNumberFormat="1">
      <alignment vertical="top"/>
    </xf>
    <xf numFmtId="0" fontId="15" fillId="0" borderId="0" applyFont="1" applyFill="0" applyBorder="0">
      <alignment vertical="top"/>
    </xf>
    <xf numFmtId="0" fontId="16" fillId="0" borderId="9" applyFont="1" applyFill="0" applyBorder="1">
      <alignment vertical="top"/>
    </xf>
    <xf numFmtId="0" fontId="17" fillId="0" borderId="0" applyFont="1" applyFill="0" applyBorder="0">
      <alignment vertical="top"/>
    </xf>
    <xf numFmtId="0" fontId="18" fillId="0" borderId="0" applyFont="1" applyFill="0" applyBorder="0"/>
    <xf numFmtId="0" fontId="19" fillId="0" borderId="0" applyFont="1" applyFill="0" applyBorder="0">
      <alignment vertical="top"/>
    </xf>
    <xf numFmtId="0" fontId="20" fillId="0" borderId="0" applyFont="1" applyFill="0" applyBorder="0">
      <alignment vertical="top"/>
    </xf>
  </cellStyleXfs>
  <cellXfs count="276">
    <xf numFmtId="0" fontId="0" fillId="0" borderId="0" xfId="0" applyFont="1"/>
    <xf numFmtId="0" fontId="0" fillId="2" borderId="0" xfId="1" applyFont="1" applyFill="1">
      <alignment vertical="top"/>
    </xf>
    <xf numFmtId="0" fontId="0" fillId="3" borderId="0" xfId="2" applyFont="1" applyFill="1">
      <alignment vertical="top"/>
    </xf>
    <xf numFmtId="0" fontId="0" fillId="4" borderId="0" xfId="3" applyFont="1" applyFill="1">
      <alignment vertical="top"/>
    </xf>
    <xf numFmtId="0" fontId="0" fillId="5" borderId="0" xfId="4" applyFont="1" applyFill="1">
      <alignment vertical="top"/>
    </xf>
    <xf numFmtId="0" fontId="0" fillId="6" borderId="0" xfId="5" applyFont="1" applyFill="1">
      <alignment vertical="top"/>
    </xf>
    <xf numFmtId="0" fontId="0" fillId="7" borderId="0" xfId="6" applyFont="1" applyFill="1">
      <alignment vertical="top"/>
    </xf>
    <xf numFmtId="0" fontId="0" fillId="8" borderId="0" xfId="7" applyFont="1" applyFill="1">
      <alignment vertical="top"/>
    </xf>
    <xf numFmtId="0" fontId="0" fillId="9" borderId="0" xfId="8" applyFont="1" applyFill="1">
      <alignment vertical="top"/>
    </xf>
    <xf numFmtId="0" fontId="0" fillId="10" borderId="0" xfId="9" applyFont="1" applyFill="1">
      <alignment vertical="top"/>
    </xf>
    <xf numFmtId="0" fontId="0" fillId="11" borderId="0" xfId="10" applyFont="1" applyFill="1">
      <alignment vertical="top"/>
    </xf>
    <xf numFmtId="0" fontId="0" fillId="12" borderId="0" xfId="11" applyFont="1" applyFill="1">
      <alignment vertical="top"/>
    </xf>
    <xf numFmtId="0" fontId="0" fillId="13" borderId="0" xfId="12" applyFont="1" applyFill="1">
      <alignment vertical="top"/>
    </xf>
    <xf numFmtId="0" fontId="1" fillId="14" borderId="0" xfId="13" applyFont="1" applyFill="1">
      <alignment vertical="top"/>
    </xf>
    <xf numFmtId="0" fontId="1" fillId="15" borderId="0" xfId="14" applyFont="1" applyFill="1">
      <alignment vertical="top"/>
    </xf>
    <xf numFmtId="0" fontId="1" fillId="16" borderId="0" xfId="15" applyFont="1" applyFill="1">
      <alignment vertical="top"/>
    </xf>
    <xf numFmtId="0" fontId="1" fillId="17" borderId="0" xfId="16" applyFont="1" applyFill="1">
      <alignment vertical="top"/>
    </xf>
    <xf numFmtId="0" fontId="1" fillId="18" borderId="0" xfId="17" applyFont="1" applyFill="1">
      <alignment vertical="top"/>
    </xf>
    <xf numFmtId="0" fontId="1" fillId="19" borderId="0" xfId="18" applyFont="1" applyFill="1">
      <alignment vertical="top"/>
    </xf>
    <xf numFmtId="0" fontId="1" fillId="20" borderId="0" xfId="19" applyFont="1" applyFill="1">
      <alignment vertical="top"/>
    </xf>
    <xf numFmtId="0" fontId="1" fillId="21" borderId="0" xfId="20" applyFont="1" applyFill="1">
      <alignment vertical="top"/>
    </xf>
    <xf numFmtId="0" fontId="1" fillId="22" borderId="0" xfId="21" applyFont="1" applyFill="1">
      <alignment vertical="top"/>
    </xf>
    <xf numFmtId="0" fontId="1" fillId="23" borderId="0" xfId="22" applyFont="1" applyFill="1">
      <alignment vertical="top"/>
    </xf>
    <xf numFmtId="0" fontId="1" fillId="24" borderId="0" xfId="23" applyFont="1" applyFill="1">
      <alignment vertical="top"/>
    </xf>
    <xf numFmtId="0" fontId="1" fillId="25" borderId="0" xfId="24" applyFont="1" applyFill="1">
      <alignment vertical="top"/>
    </xf>
    <xf numFmtId="0" fontId="2" fillId="26" borderId="0" xfId="25" applyFont="1" applyFill="1">
      <alignment vertical="top"/>
    </xf>
    <xf numFmtId="0" fontId="3" fillId="27" borderId="1" xfId="26" applyFont="1" applyFill="1" applyBorder="1">
      <alignment vertical="top"/>
    </xf>
    <xf numFmtId="0" fontId="4" fillId="28" borderId="2" xfId="27" applyFont="1" applyFill="1" applyBorder="1">
      <alignment vertical="top"/>
    </xf>
    <xf numFmtId="43" fontId="5" fillId="0" borderId="0" xfId="28" applyFont="0" applyNumberFormat="1">
      <alignment vertical="top"/>
    </xf>
    <xf numFmtId="41" fontId="5" fillId="0" borderId="0" xfId="29" applyFont="0" applyNumberFormat="1">
      <alignment vertical="top"/>
    </xf>
    <xf numFmtId="44" fontId="5" fillId="0" borderId="0" xfId="30" applyFont="0" applyNumberFormat="1">
      <alignment vertical="top"/>
    </xf>
    <xf numFmtId="42" fontId="5" fillId="0" borderId="0" xfId="31" applyFont="0" applyNumberFormat="1">
      <alignment vertical="top"/>
    </xf>
    <xf numFmtId="0" fontId="6" fillId="0" borderId="0" xfId="32" applyFont="1">
      <alignment vertical="top"/>
    </xf>
    <xf numFmtId="0" fontId="7" fillId="29" borderId="0" xfId="33" applyFont="1" applyFill="1">
      <alignment vertical="top"/>
    </xf>
    <xf numFmtId="0" fontId="8" fillId="0" borderId="3" xfId="34" applyFont="1" applyBorder="1">
      <alignment vertical="top"/>
    </xf>
    <xf numFmtId="0" fontId="9" fillId="0" borderId="4" xfId="35" applyFont="1" applyBorder="1">
      <alignment vertical="top"/>
    </xf>
    <xf numFmtId="0" fontId="10" fillId="0" borderId="5" xfId="36" applyFont="1" applyBorder="1">
      <alignment vertical="top"/>
    </xf>
    <xf numFmtId="0" fontId="10" fillId="0" borderId="0" xfId="37" applyFont="1">
      <alignment vertical="top"/>
    </xf>
    <xf numFmtId="0" fontId="11" fillId="30" borderId="1" xfId="38" applyFont="1" applyFill="1" applyBorder="1">
      <alignment vertical="top"/>
    </xf>
    <xf numFmtId="0" fontId="12" fillId="0" borderId="6" xfId="39" applyFont="1" applyBorder="1">
      <alignment vertical="top"/>
    </xf>
    <xf numFmtId="0" fontId="13" fillId="31" borderId="0" xfId="40" applyFont="1" applyFill="1">
      <alignment vertical="top"/>
    </xf>
    <xf numFmtId="0" fontId="5" fillId="32" borderId="7" xfId="41" applyFont="0" applyFill="1" applyBorder="1">
      <alignment vertical="top"/>
    </xf>
    <xf numFmtId="0" fontId="14" fillId="27" borderId="8" xfId="42" applyFont="1" applyFill="1" applyBorder="1">
      <alignment vertical="top"/>
    </xf>
    <xf numFmtId="9" fontId="5" fillId="0" borderId="0" xfId="43" applyFont="0" applyNumberFormat="1">
      <alignment vertical="top"/>
    </xf>
    <xf numFmtId="0" fontId="15" fillId="0" borderId="0" xfId="44" applyFont="1">
      <alignment vertical="top"/>
    </xf>
    <xf numFmtId="0" fontId="16" fillId="0" borderId="9" xfId="45" applyFont="1" applyBorder="1">
      <alignment vertical="top"/>
    </xf>
    <xf numFmtId="0" fontId="17" fillId="0" borderId="0" xfId="46" applyFont="1">
      <alignment vertical="top"/>
    </xf>
    <xf numFmtId="0" fontId="18" fillId="0" borderId="0" xfId="47" applyFont="1"/>
    <xf numFmtId="0" fontId="19" fillId="0" borderId="0" xfId="48" applyFont="1">
      <alignment vertical="top"/>
    </xf>
    <xf numFmtId="0" fontId="20" fillId="0" borderId="0" xfId="49" applyFont="1">
      <alignment vertical="top"/>
    </xf>
    <xf numFmtId="0" fontId="0" fillId="0" borderId="0" xfId="0" applyFont="1">
      <alignment horizontal="right"/>
    </xf>
    <xf numFmtId="0" fontId="0" fillId="7" borderId="0" xfId="0" applyFont="1" applyFill="1"/>
    <xf numFmtId="20" fontId="0" fillId="0" borderId="0" xfId="0" applyFont="1" applyNumberFormat="1"/>
    <xf numFmtId="0" fontId="16" fillId="0" borderId="0" xfId="0" applyFont="1">
      <alignment horizontal="center"/>
    </xf>
    <xf numFmtId="0" fontId="0" fillId="33" borderId="0" xfId="0" applyFont="1" applyFill="1"/>
    <xf numFmtId="0" fontId="16" fillId="0" borderId="0" xfId="0" applyFont="1"/>
    <xf numFmtId="2" fontId="0" fillId="33" borderId="0" xfId="0" applyFont="1" applyFill="1" applyNumberFormat="1"/>
    <xf numFmtId="171" fontId="0" fillId="0" borderId="0" xfId="0" applyFont="1" applyNumberFormat="1"/>
    <xf numFmtId="171" fontId="0" fillId="33" borderId="0" xfId="0" applyFont="1" applyFill="1" applyNumberFormat="1"/>
    <xf numFmtId="11" fontId="0" fillId="0" borderId="10" xfId="0" applyFont="1" applyBorder="1" applyNumberFormat="1"/>
    <xf numFmtId="2" fontId="21" fillId="0" borderId="11" xfId="47" applyFont="1" applyBorder="1" applyNumberFormat="1">
      <alignment horizontal="center" vertical="center" wrapText="1"/>
    </xf>
    <xf numFmtId="2" fontId="22" fillId="0" borderId="11" xfId="47" applyFont="1" applyBorder="1" applyNumberFormat="1">
      <alignment horizontal="center" vertical="center" wrapText="1"/>
    </xf>
    <xf numFmtId="2" fontId="22" fillId="0" borderId="12" xfId="47" applyFont="1" applyBorder="1" applyNumberFormat="1">
      <alignment horizontal="left" vertical="center" wrapText="1"/>
    </xf>
    <xf numFmtId="2" fontId="22" fillId="7" borderId="11" xfId="47" applyFont="1" applyFill="1" applyBorder="1" applyNumberFormat="1">
      <alignment horizontal="center" vertical="center"/>
    </xf>
    <xf numFmtId="1" fontId="22" fillId="34" borderId="11" xfId="47" applyFont="1" applyFill="1" applyBorder="1" applyNumberFormat="1">
      <alignment horizontal="center" vertical="center"/>
    </xf>
    <xf numFmtId="172" fontId="22" fillId="34" borderId="11" xfId="47" applyFont="1" applyFill="1" applyBorder="1" applyNumberFormat="1">
      <alignment horizontal="center" vertical="center"/>
    </xf>
    <xf numFmtId="172" fontId="22" fillId="34" borderId="11" xfId="47" applyFont="1" applyFill="1" applyBorder="1" applyNumberFormat="1">
      <alignment horizontal="center" vertical="center" wrapText="1"/>
    </xf>
    <xf numFmtId="2" fontId="22" fillId="0" borderId="12" xfId="47" applyFont="1" applyBorder="1" applyNumberFormat="1">
      <alignment horizontal="right" vertical="center" wrapText="1"/>
    </xf>
    <xf numFmtId="2" fontId="21" fillId="7" borderId="11" xfId="0" applyFont="1" applyFill="1" applyBorder="1" applyNumberFormat="1">
      <alignment horizontal="center" vertical="center"/>
    </xf>
    <xf numFmtId="172" fontId="22" fillId="0" borderId="11" xfId="47" applyFont="1" applyBorder="1" applyNumberFormat="1">
      <alignment horizontal="center" vertical="center" wrapText="1"/>
    </xf>
    <xf numFmtId="2" fontId="22" fillId="7" borderId="11" xfId="47" applyFont="1" applyFill="1" applyBorder="1" applyNumberFormat="1">
      <alignment horizontal="center" vertical="center" wrapText="1"/>
    </xf>
    <xf numFmtId="2" fontId="21" fillId="0" borderId="0" xfId="47" applyFont="1" applyNumberFormat="1">
      <alignment horizontal="right" vertical="center"/>
    </xf>
    <xf numFmtId="2" fontId="21" fillId="7" borderId="0" xfId="47" applyFont="1" applyFill="1" applyNumberFormat="1">
      <alignment horizontal="left" vertical="center"/>
    </xf>
    <xf numFmtId="2" fontId="21" fillId="0" borderId="0" xfId="47" applyFont="1" applyNumberFormat="1">
      <alignment horizontal="left" vertical="center"/>
    </xf>
    <xf numFmtId="2" fontId="21" fillId="0" borderId="11" xfId="47" applyFont="1" applyBorder="1" applyNumberFormat="1">
      <alignment horizontal="center" vertical="center"/>
    </xf>
    <xf numFmtId="1" fontId="22" fillId="0" borderId="11" xfId="47" applyFont="1" applyBorder="1" applyNumberFormat="1">
      <alignment horizontal="center" vertical="center" wrapText="1"/>
    </xf>
    <xf numFmtId="2" fontId="22" fillId="34" borderId="11" xfId="47" applyFont="1" applyFill="1" applyBorder="1" applyNumberFormat="1">
      <alignment horizontal="center" vertical="center"/>
    </xf>
    <xf numFmtId="2" fontId="21" fillId="7" borderId="11" xfId="47" applyFont="1" applyFill="1" applyBorder="1" applyNumberFormat="1">
      <alignment horizontal="center" vertical="center"/>
    </xf>
    <xf numFmtId="2" fontId="22" fillId="34" borderId="11" xfId="47" applyFont="1" applyFill="1" applyBorder="1" applyNumberFormat="1">
      <alignment horizontal="center" vertical="center" wrapText="1"/>
    </xf>
    <xf numFmtId="172" fontId="22" fillId="34" borderId="11" xfId="47" applyFont="1" applyFill="1" applyBorder="1" applyNumberFormat="1">
      <alignment vertical="center" wrapText="1"/>
    </xf>
    <xf numFmtId="172" fontId="22" fillId="7" borderId="11" xfId="47" applyFont="1" applyFill="1" applyBorder="1" applyNumberFormat="1">
      <alignment horizontal="center" vertical="center" wrapText="1"/>
    </xf>
    <xf numFmtId="1" fontId="22" fillId="7" borderId="11" xfId="47" applyFont="1" applyFill="1" applyBorder="1" applyNumberFormat="1">
      <alignment horizontal="center" vertical="center" wrapText="1"/>
    </xf>
    <xf numFmtId="173" fontId="22" fillId="7" borderId="11" xfId="47" applyFont="1" applyFill="1" applyBorder="1" applyNumberFormat="1">
      <alignment horizontal="center" vertical="center"/>
    </xf>
    <xf numFmtId="174" fontId="22" fillId="7" borderId="11" xfId="47" applyFont="1" applyFill="1" applyBorder="1" applyNumberFormat="1">
      <alignment horizontal="center" vertical="center"/>
    </xf>
    <xf numFmtId="2" fontId="23" fillId="0" borderId="0" xfId="47" applyFont="1" applyNumberFormat="1">
      <alignment horizontal="left" vertical="center"/>
    </xf>
    <xf numFmtId="2" fontId="24" fillId="0" borderId="0" xfId="47" applyFont="1" applyNumberFormat="1">
      <alignment horizontal="left" vertical="center"/>
    </xf>
    <xf numFmtId="2" fontId="21" fillId="0" borderId="13" xfId="47" applyFont="1" applyBorder="1" applyNumberFormat="1">
      <alignment horizontal="center" vertical="center"/>
    </xf>
    <xf numFmtId="2" fontId="25" fillId="0" borderId="0" xfId="47" applyFont="1" applyNumberFormat="1">
      <alignment horizontal="left" vertical="center" wrapText="1"/>
    </xf>
    <xf numFmtId="2" fontId="25" fillId="0" borderId="0" xfId="47" applyFont="1" applyNumberFormat="1">
      <alignment horizontal="center" vertical="center" wrapText="1"/>
    </xf>
    <xf numFmtId="2" fontId="25" fillId="0" borderId="0" xfId="47" applyFont="1" applyNumberFormat="1">
      <alignment horizontal="left" vertical="center"/>
    </xf>
    <xf numFmtId="2" fontId="22" fillId="7" borderId="13" xfId="47" applyFont="1" applyFill="1" applyBorder="1" applyNumberFormat="1">
      <alignment horizontal="center" vertical="center" wrapText="1"/>
    </xf>
    <xf numFmtId="1" fontId="26" fillId="35" borderId="0" xfId="47" applyFont="1" applyFill="1" applyNumberFormat="1">
      <alignment horizontal="center" vertical="center"/>
    </xf>
    <xf numFmtId="1" fontId="24" fillId="36" borderId="0" xfId="47" applyFont="1" applyFill="1" applyNumberFormat="1">
      <alignment horizontal="right" vertical="center"/>
    </xf>
    <xf numFmtId="2" fontId="22" fillId="0" borderId="0" xfId="47" applyFont="1" applyNumberFormat="1">
      <alignment horizontal="center" vertical="center"/>
    </xf>
    <xf numFmtId="1" fontId="26" fillId="35" borderId="0" xfId="47" applyFont="1" applyFill="1" applyNumberFormat="1">
      <alignment horizontal="right" vertical="center"/>
    </xf>
    <xf numFmtId="2" fontId="21" fillId="0" borderId="0" xfId="0" applyFont="1" applyNumberFormat="1">
      <alignment horizontal="center" vertical="center"/>
    </xf>
    <xf numFmtId="1" fontId="26" fillId="0" borderId="0" xfId="47" applyFont="1" applyNumberFormat="1">
      <alignment horizontal="right" vertical="center"/>
    </xf>
    <xf numFmtId="2" fontId="24" fillId="37" borderId="0" xfId="47" applyFont="1" applyFill="1" applyNumberFormat="1">
      <alignment horizontal="left" vertical="center"/>
    </xf>
    <xf numFmtId="1" fontId="25" fillId="37" borderId="0" xfId="47" applyFont="1" applyFill="1" applyNumberFormat="1">
      <alignment horizontal="right" vertical="center"/>
    </xf>
    <xf numFmtId="172" fontId="22" fillId="34" borderId="13" xfId="47" applyFont="1" applyFill="1" applyBorder="1" applyNumberFormat="1">
      <alignment vertical="center" wrapText="1"/>
    </xf>
    <xf numFmtId="172" fontId="22" fillId="7" borderId="13" xfId="47" applyFont="1" applyFill="1" applyBorder="1" applyNumberFormat="1">
      <alignment horizontal="center" vertical="center" wrapText="1"/>
    </xf>
    <xf numFmtId="2" fontId="22" fillId="7" borderId="13" xfId="47" applyFont="1" applyFill="1" applyBorder="1" applyNumberFormat="1">
      <alignment vertical="center" wrapText="1"/>
    </xf>
    <xf numFmtId="2" fontId="26" fillId="37" borderId="0" xfId="47" applyFont="1" applyFill="1" applyNumberFormat="1">
      <alignment horizontal="left" vertical="center"/>
    </xf>
    <xf numFmtId="2" fontId="22" fillId="34" borderId="13" xfId="47" applyFont="1" applyFill="1" applyBorder="1" applyNumberFormat="1">
      <alignment horizontal="center" vertical="center" wrapText="1"/>
    </xf>
    <xf numFmtId="2" fontId="26" fillId="0" borderId="0" xfId="47" applyFont="1" applyNumberFormat="1">
      <alignment horizontal="left" vertical="center"/>
    </xf>
    <xf numFmtId="2" fontId="22" fillId="7" borderId="13" xfId="47" applyFont="1" applyFill="1" applyBorder="1" applyNumberFormat="1">
      <alignment horizontal="center" vertical="center"/>
    </xf>
    <xf numFmtId="2" fontId="26" fillId="35" borderId="0" xfId="47" applyFont="1" applyFill="1" applyNumberFormat="1">
      <alignment horizontal="left" vertical="center"/>
    </xf>
    <xf numFmtId="2" fontId="0" fillId="0" borderId="0" xfId="0" applyFont="1" applyNumberFormat="1"/>
    <xf numFmtId="2" fontId="21" fillId="0" borderId="0" xfId="0" applyFont="1" applyNumberFormat="1">
      <alignment horizontal="center" vertical="center"/>
    </xf>
    <xf numFmtId="2" fontId="21" fillId="0" borderId="0" xfId="0" applyFont="1" applyNumberFormat="1">
      <alignment horizontal="right" vertical="center"/>
    </xf>
    <xf numFmtId="2" fontId="0" fillId="33" borderId="0" xfId="0" applyFont="1" applyFill="1" applyNumberFormat="1"/>
    <xf numFmtId="171" fontId="0" fillId="0" borderId="0" xfId="0" applyFont="1" applyNumberFormat="1"/>
    <xf numFmtId="171" fontId="0" fillId="33" borderId="0" xfId="0" applyFont="1" applyFill="1" applyNumberFormat="1"/>
    <xf numFmtId="11" fontId="0" fillId="0" borderId="10" xfId="0" applyFont="1" applyBorder="1" applyNumberFormat="1"/>
    <xf numFmtId="0" fontId="0" fillId="0" borderId="0" xfId="0" applyFont="1">
      <alignment horizontal="right"/>
    </xf>
    <xf numFmtId="2" fontId="22" fillId="0" borderId="12" xfId="47" applyFont="1" applyBorder="1" applyNumberFormat="1">
      <alignment horizontal="left" vertical="center" wrapText="1"/>
    </xf>
    <xf numFmtId="0" fontId="0" fillId="7" borderId="0" xfId="0" applyFont="1" applyFill="1"/>
    <xf numFmtId="0" fontId="0" fillId="33" borderId="0" xfId="0" applyFont="1" applyFill="1"/>
    <xf numFmtId="0" fontId="0" fillId="33" borderId="0" xfId="0" applyFont="1" applyFill="1"/>
    <xf numFmtId="0" fontId="18" fillId="0" borderId="0" xfId="47" applyFont="1"/>
    <xf numFmtId="2" fontId="22" fillId="0" borderId="12" xfId="47" applyFont="1" applyBorder="1" applyNumberFormat="1">
      <alignment horizontal="left" vertical="center" wrapText="1"/>
    </xf>
    <xf numFmtId="0" fontId="16" fillId="0" borderId="0" xfId="0" applyFont="1">
      <alignment horizontal="center"/>
    </xf>
    <xf numFmtId="0" fontId="0" fillId="33" borderId="0" xfId="0" applyFont="1" applyFill="1"/>
    <xf numFmtId="172" fontId="22" fillId="34" borderId="14" xfId="47" applyFont="1" applyFill="1" applyBorder="1" applyNumberFormat="1">
      <alignment horizontal="center" vertical="center" wrapText="1"/>
    </xf>
    <xf numFmtId="172" fontId="22" fillId="34" borderId="11" xfId="47" applyFont="1" applyFill="1" applyBorder="1" applyNumberFormat="1">
      <alignment horizontal="center" vertical="center" wrapText="1"/>
    </xf>
    <xf numFmtId="1" fontId="22" fillId="34" borderId="11" xfId="47" applyFont="1" applyFill="1" applyBorder="1" applyNumberFormat="1">
      <alignment horizontal="center" vertical="center"/>
    </xf>
    <xf numFmtId="1" fontId="22" fillId="34" borderId="11" xfId="47" applyFont="1" applyFill="1" applyBorder="1" applyNumberFormat="1">
      <alignment horizontal="right" vertical="center"/>
    </xf>
    <xf numFmtId="2" fontId="22" fillId="34" borderId="13" xfId="47" applyFont="1" applyFill="1" applyBorder="1" applyNumberFormat="1">
      <alignment horizontal="center" vertical="center"/>
    </xf>
    <xf numFmtId="175" fontId="22" fillId="7" borderId="11" xfId="0" applyFont="1" applyFill="1" applyBorder="1" applyNumberFormat="1">
      <alignment horizontal="center" vertical="center" wrapText="1"/>
    </xf>
    <xf numFmtId="2" fontId="21" fillId="0" borderId="15" xfId="47" applyFont="1" applyBorder="1" applyNumberFormat="1">
      <alignment horizontal="left" vertical="center"/>
    </xf>
    <xf numFmtId="2" fontId="21" fillId="0" borderId="15" xfId="47" applyFont="1" applyBorder="1" applyNumberFormat="1">
      <alignment horizontal="right" vertical="center"/>
    </xf>
    <xf numFmtId="2" fontId="21" fillId="0" borderId="15" xfId="47" applyFont="1" applyBorder="1" applyNumberFormat="1">
      <alignment horizontal="center" vertical="center"/>
    </xf>
    <xf numFmtId="2" fontId="21" fillId="0" borderId="15" xfId="47" applyFont="1" applyBorder="1" applyNumberFormat="1">
      <alignment vertical="center"/>
    </xf>
    <xf numFmtId="2" fontId="22" fillId="0" borderId="12" xfId="47" applyFont="1" applyBorder="1" applyNumberFormat="1">
      <alignment horizontal="center" vertical="center" wrapText="1"/>
    </xf>
    <xf numFmtId="172" fontId="22" fillId="7" borderId="16" xfId="47" applyFont="1" applyFill="1" applyBorder="1" applyNumberFormat="1">
      <alignment horizontal="center" vertical="center" wrapText="1"/>
    </xf>
    <xf numFmtId="172" fontId="22" fillId="7" borderId="14" xfId="47" applyFont="1" applyFill="1" applyBorder="1" applyNumberFormat="1">
      <alignment horizontal="center" vertical="center" wrapText="1"/>
    </xf>
    <xf numFmtId="2" fontId="21" fillId="0" borderId="17" xfId="47" applyFont="1" applyBorder="1" applyNumberFormat="1">
      <alignment horizontal="center" vertical="center"/>
    </xf>
    <xf numFmtId="2" fontId="21" fillId="0" borderId="18" xfId="47" applyFont="1" applyBorder="1" applyNumberFormat="1">
      <alignment horizontal="center" vertical="center"/>
    </xf>
    <xf numFmtId="2" fontId="21" fillId="0" borderId="19" xfId="47" applyFont="1" applyBorder="1" applyNumberFormat="1">
      <alignment horizontal="center" vertical="center"/>
    </xf>
    <xf numFmtId="2" fontId="21" fillId="0" borderId="17" xfId="47" applyFont="1" applyBorder="1" applyNumberFormat="1">
      <alignment horizontal="center" vertical="center" wrapText="1"/>
    </xf>
    <xf numFmtId="2" fontId="21" fillId="0" borderId="18" xfId="47" applyFont="1" applyBorder="1" applyNumberFormat="1">
      <alignment horizontal="center" vertical="center" wrapText="1"/>
    </xf>
    <xf numFmtId="2" fontId="21" fillId="0" borderId="19" xfId="47" applyFont="1" applyBorder="1" applyNumberFormat="1">
      <alignment horizontal="center" vertical="center" wrapText="1"/>
    </xf>
    <xf numFmtId="2" fontId="21" fillId="0" borderId="11" xfId="47" applyFont="1" applyBorder="1" applyNumberFormat="1">
      <alignment horizontal="center" vertical="center"/>
    </xf>
    <xf numFmtId="2" fontId="21" fillId="0" borderId="13" xfId="47" applyFont="1" applyBorder="1" applyNumberFormat="1">
      <alignment horizontal="center" vertical="center"/>
    </xf>
    <xf numFmtId="2" fontId="25" fillId="0" borderId="0" xfId="47" applyFont="1" applyNumberFormat="1">
      <alignment horizontal="center" vertical="center"/>
    </xf>
    <xf numFmtId="2" fontId="22" fillId="7" borderId="11" xfId="47" applyFont="1" applyFill="1" applyBorder="1" applyNumberFormat="1">
      <alignment horizontal="center" vertical="center" wrapText="1"/>
    </xf>
    <xf numFmtId="2" fontId="25" fillId="37" borderId="0" xfId="47" applyFont="1" applyFill="1" applyNumberFormat="1">
      <alignment horizontal="center" vertical="center" wrapText="1"/>
    </xf>
    <xf numFmtId="171" fontId="27" fillId="0" borderId="0" xfId="47" applyFont="1" applyNumberFormat="1">
      <alignment horizontal="center" vertical="center"/>
    </xf>
    <xf numFmtId="2" fontId="21" fillId="0" borderId="15" xfId="47" applyFont="1" applyBorder="1" applyNumberFormat="1">
      <alignment horizontal="left" vertical="center"/>
    </xf>
    <xf numFmtId="2" fontId="21" fillId="0" borderId="15" xfId="47" applyFont="1" applyBorder="1" applyNumberFormat="1">
      <alignment horizontal="right" vertical="center"/>
    </xf>
    <xf numFmtId="0" fontId="18" fillId="0" borderId="0" xfId="47" applyFont="1">
      <alignment wrapText="1"/>
    </xf>
    <xf numFmtId="0" fontId="0" fillId="0" borderId="0" xfId="0" applyFont="1">
      <alignment wrapText="1"/>
    </xf>
    <xf numFmtId="0" fontId="0" fillId="0" borderId="0" xfId="0" applyFont="1">
      <alignment wrapText="1"/>
    </xf>
    <xf numFmtId="171" fontId="27" fillId="0" borderId="0" xfId="0" applyFont="1" applyNumberFormat="1">
      <alignment horizontal="center" vertical="center" wrapText="1"/>
    </xf>
    <xf numFmtId="2" fontId="23" fillId="0" borderId="0" xfId="0" applyFont="1" applyNumberFormat="1">
      <alignment horizontal="left" vertical="center" wrapText="1"/>
    </xf>
    <xf numFmtId="2" fontId="21" fillId="0" borderId="15" xfId="0" applyFont="1" applyBorder="1" applyNumberFormat="1">
      <alignment horizontal="left" vertical="center" wrapText="1"/>
    </xf>
    <xf numFmtId="2" fontId="21" fillId="0" borderId="15" xfId="0" applyFont="1" applyBorder="1" applyNumberFormat="1">
      <alignment horizontal="left" vertical="center" wrapText="1"/>
    </xf>
    <xf numFmtId="2" fontId="21" fillId="0" borderId="15" xfId="0" applyFont="1" applyBorder="1" applyNumberFormat="1">
      <alignment horizontal="right" vertical="center" wrapText="1"/>
    </xf>
    <xf numFmtId="2" fontId="21" fillId="0" borderId="15" xfId="0" applyFont="1" applyBorder="1" applyNumberFormat="1">
      <alignment horizontal="center" vertical="center" wrapText="1"/>
    </xf>
    <xf numFmtId="2" fontId="21" fillId="0" borderId="15" xfId="0" applyFont="1" applyBorder="1" applyNumberFormat="1">
      <alignment vertical="center" wrapText="1"/>
    </xf>
    <xf numFmtId="2" fontId="21" fillId="0" borderId="15" xfId="0" applyFont="1" applyBorder="1" applyNumberFormat="1">
      <alignment horizontal="right" vertical="center" wrapText="1"/>
    </xf>
    <xf numFmtId="2" fontId="24" fillId="0" borderId="0" xfId="0" applyFont="1" applyNumberFormat="1">
      <alignment horizontal="left" vertical="center" wrapText="1"/>
    </xf>
    <xf numFmtId="2" fontId="22" fillId="0" borderId="12" xfId="0" applyFont="1" applyBorder="1" applyNumberFormat="1">
      <alignment horizontal="center" vertical="center" wrapText="1"/>
    </xf>
    <xf numFmtId="2" fontId="21" fillId="0" borderId="17" xfId="0" applyFont="1" applyBorder="1" applyNumberFormat="1">
      <alignment horizontal="center" vertical="center" wrapText="1"/>
    </xf>
    <xf numFmtId="2" fontId="21" fillId="0" borderId="18" xfId="0" applyFont="1" applyBorder="1" applyNumberFormat="1">
      <alignment horizontal="center" vertical="center" wrapText="1"/>
    </xf>
    <xf numFmtId="2" fontId="21" fillId="0" borderId="19" xfId="0" applyFont="1" applyBorder="1" applyNumberFormat="1">
      <alignment horizontal="center" vertical="center" wrapText="1"/>
    </xf>
    <xf numFmtId="2" fontId="21" fillId="0" borderId="17" xfId="0" applyFont="1" applyBorder="1" applyNumberFormat="1">
      <alignment horizontal="center" vertical="center" wrapText="1"/>
    </xf>
    <xf numFmtId="2" fontId="21" fillId="0" borderId="18" xfId="0" applyFont="1" applyBorder="1" applyNumberFormat="1">
      <alignment horizontal="center" vertical="center" wrapText="1"/>
    </xf>
    <xf numFmtId="2" fontId="21" fillId="0" borderId="19" xfId="0" applyFont="1" applyBorder="1" applyNumberFormat="1">
      <alignment horizontal="center" vertical="center" wrapText="1"/>
    </xf>
    <xf numFmtId="2" fontId="21" fillId="0" borderId="11" xfId="0" applyFont="1" applyBorder="1" applyNumberFormat="1">
      <alignment horizontal="center" vertical="center" wrapText="1"/>
    </xf>
    <xf numFmtId="2" fontId="21" fillId="0" borderId="13" xfId="0" applyFont="1" applyBorder="1" applyNumberFormat="1">
      <alignment horizontal="center" vertical="center" wrapText="1"/>
    </xf>
    <xf numFmtId="2" fontId="25" fillId="0" borderId="0" xfId="0" applyFont="1" applyNumberFormat="1">
      <alignment horizontal="center" vertical="center" wrapText="1"/>
    </xf>
    <xf numFmtId="2" fontId="21" fillId="0" borderId="11" xfId="0" applyFont="1" applyBorder="1" applyNumberFormat="1">
      <alignment horizontal="center" vertical="center" wrapText="1"/>
    </xf>
    <xf numFmtId="2" fontId="22" fillId="0" borderId="11" xfId="0" applyFont="1" applyBorder="1" applyNumberFormat="1">
      <alignment horizontal="center" vertical="center" wrapText="1"/>
    </xf>
    <xf numFmtId="2" fontId="21" fillId="0" borderId="11" xfId="0" applyFont="1" applyBorder="1" applyNumberFormat="1">
      <alignment horizontal="center" vertical="center" wrapText="1"/>
    </xf>
    <xf numFmtId="2" fontId="21" fillId="0" borderId="13" xfId="0" applyFont="1" applyBorder="1" applyNumberFormat="1">
      <alignment horizontal="center" vertical="center" wrapText="1"/>
    </xf>
    <xf numFmtId="2" fontId="25" fillId="0" borderId="0" xfId="0" applyFont="1" applyNumberFormat="1">
      <alignment horizontal="left" vertical="center" wrapText="1"/>
    </xf>
    <xf numFmtId="2" fontId="25" fillId="0" borderId="0" xfId="0" applyFont="1" applyNumberFormat="1">
      <alignment horizontal="center" vertical="center" wrapText="1"/>
    </xf>
    <xf numFmtId="2" fontId="25" fillId="0" borderId="0" xfId="0" applyFont="1" applyNumberFormat="1">
      <alignment horizontal="left" vertical="center" wrapText="1"/>
    </xf>
    <xf numFmtId="2" fontId="22" fillId="0" borderId="12" xfId="0" applyFont="1" applyBorder="1" applyNumberFormat="1">
      <alignment horizontal="left" vertical="center" wrapText="1"/>
    </xf>
    <xf numFmtId="2" fontId="22" fillId="7" borderId="11" xfId="0" applyFont="1" applyFill="1" applyBorder="1" applyNumberFormat="1">
      <alignment horizontal="center" vertical="center" wrapText="1"/>
    </xf>
    <xf numFmtId="1" fontId="22" fillId="34" borderId="11" xfId="0" applyFont="1" applyFill="1" applyBorder="1" applyNumberFormat="1">
      <alignment horizontal="center" vertical="center" wrapText="1"/>
    </xf>
    <xf numFmtId="172" fontId="22" fillId="34" borderId="11" xfId="0" applyFont="1" applyFill="1" applyBorder="1" applyNumberFormat="1">
      <alignment horizontal="center" vertical="center" wrapText="1"/>
    </xf>
    <xf numFmtId="172" fontId="22" fillId="34" borderId="11" xfId="0" applyFont="1" applyFill="1" applyBorder="1" applyNumberFormat="1">
      <alignment horizontal="center" vertical="center" wrapText="1"/>
    </xf>
    <xf numFmtId="172" fontId="22" fillId="0" borderId="11" xfId="0" applyFont="1" applyBorder="1" applyNumberFormat="1">
      <alignment horizontal="center" vertical="center" wrapText="1"/>
    </xf>
    <xf numFmtId="1" fontId="22" fillId="0" borderId="11" xfId="0" applyFont="1" applyBorder="1" applyNumberFormat="1">
      <alignment horizontal="center" vertical="center" wrapText="1"/>
    </xf>
    <xf numFmtId="2" fontId="22" fillId="34" borderId="11" xfId="0" applyFont="1" applyFill="1" applyBorder="1" applyNumberFormat="1">
      <alignment horizontal="center" vertical="center" wrapText="1"/>
    </xf>
    <xf numFmtId="2" fontId="21" fillId="7" borderId="11" xfId="0" applyFont="1" applyFill="1" applyBorder="1" applyNumberFormat="1">
      <alignment horizontal="center" vertical="center" wrapText="1"/>
      <protection locked="0"/>
    </xf>
    <xf numFmtId="2" fontId="21" fillId="7" borderId="11" xfId="0" applyFont="1" applyFill="1" applyBorder="1" applyNumberFormat="1">
      <alignment horizontal="center" vertical="center" wrapText="1"/>
      <protection locked="0"/>
    </xf>
    <xf numFmtId="2" fontId="22" fillId="34" borderId="11" xfId="0" applyFont="1" applyFill="1" applyBorder="1" applyNumberFormat="1">
      <alignment horizontal="center" vertical="center" wrapText="1"/>
    </xf>
    <xf numFmtId="2" fontId="22" fillId="7" borderId="13" xfId="0" applyFont="1" applyFill="1" applyBorder="1" applyNumberFormat="1">
      <alignment horizontal="center" vertical="center" wrapText="1"/>
    </xf>
    <xf numFmtId="1" fontId="26" fillId="35" borderId="0" xfId="0" applyFont="1" applyFill="1" applyNumberFormat="1">
      <alignment horizontal="center" vertical="center" wrapText="1"/>
    </xf>
    <xf numFmtId="1" fontId="24" fillId="36" borderId="0" xfId="0" applyFont="1" applyFill="1" applyNumberFormat="1">
      <alignment horizontal="right" vertical="center" wrapText="1"/>
    </xf>
    <xf numFmtId="2" fontId="22" fillId="0" borderId="0" xfId="0" applyFont="1" applyNumberFormat="1">
      <alignment horizontal="center" vertical="center" wrapText="1"/>
    </xf>
    <xf numFmtId="2" fontId="0" fillId="0" borderId="0" xfId="0" applyFont="1" applyNumberFormat="1">
      <alignment wrapText="1"/>
      <protection locked="0"/>
    </xf>
    <xf numFmtId="2" fontId="21" fillId="0" borderId="0" xfId="0" applyFont="1" applyNumberFormat="1">
      <alignment horizontal="center" vertical="center" wrapText="1"/>
      <protection locked="0"/>
    </xf>
    <xf numFmtId="2" fontId="22" fillId="0" borderId="12" xfId="0" applyFont="1" applyBorder="1" applyNumberFormat="1">
      <alignment horizontal="right" vertical="center" wrapText="1"/>
    </xf>
    <xf numFmtId="1" fontId="26" fillId="35" borderId="0" xfId="0" applyFont="1" applyFill="1" applyNumberFormat="1">
      <alignment horizontal="right" vertical="center" wrapText="1"/>
    </xf>
    <xf numFmtId="2" fontId="21" fillId="0" borderId="0" xfId="0" applyFont="1" applyNumberFormat="1">
      <alignment horizontal="center" vertical="center" wrapText="1"/>
      <protection locked="0"/>
    </xf>
    <xf numFmtId="2" fontId="21" fillId="0" borderId="0" xfId="0" applyFont="1" applyNumberFormat="1">
      <alignment horizontal="right" vertical="center" wrapText="1"/>
      <protection locked="0"/>
    </xf>
    <xf numFmtId="2" fontId="21" fillId="0" borderId="0" xfId="0" applyFont="1" applyNumberFormat="1">
      <alignment horizontal="center" vertical="center" wrapText="1"/>
    </xf>
    <xf numFmtId="1" fontId="26" fillId="0" borderId="0" xfId="0" applyFont="1" applyNumberFormat="1">
      <alignment horizontal="right" vertical="center" wrapText="1"/>
    </xf>
    <xf numFmtId="2" fontId="24" fillId="37" borderId="0" xfId="0" applyFont="1" applyFill="1" applyNumberFormat="1">
      <alignment horizontal="left" vertical="center" wrapText="1"/>
    </xf>
    <xf numFmtId="2" fontId="21" fillId="0" borderId="0" xfId="0" applyFont="1" applyNumberFormat="1">
      <alignment horizontal="right" vertical="center" wrapText="1"/>
    </xf>
    <xf numFmtId="176" fontId="21" fillId="7" borderId="11" xfId="0" applyFont="1" applyFill="1" applyBorder="1" applyNumberFormat="1">
      <alignment horizontal="center" vertical="center" wrapText="1"/>
      <protection locked="0"/>
    </xf>
    <xf numFmtId="1" fontId="25" fillId="37" borderId="0" xfId="0" applyFont="1" applyFill="1" applyNumberFormat="1">
      <alignment horizontal="right" vertical="center" wrapText="1"/>
    </xf>
    <xf numFmtId="172" fontId="22" fillId="34" borderId="11" xfId="0" applyFont="1" applyFill="1" applyBorder="1" applyNumberFormat="1">
      <alignment vertical="center" wrapText="1"/>
    </xf>
    <xf numFmtId="172" fontId="22" fillId="34" borderId="13" xfId="0" applyFont="1" applyFill="1" applyBorder="1" applyNumberFormat="1">
      <alignment vertical="center" wrapText="1"/>
    </xf>
    <xf numFmtId="2" fontId="25" fillId="37" borderId="0" xfId="0" applyFont="1" applyFill="1" applyNumberFormat="1">
      <alignment horizontal="center" vertical="center" wrapText="1"/>
    </xf>
    <xf numFmtId="172" fontId="22" fillId="7" borderId="11" xfId="0" applyFont="1" applyFill="1" applyBorder="1" applyNumberFormat="1">
      <alignment horizontal="center" vertical="center" wrapText="1"/>
    </xf>
    <xf numFmtId="172" fontId="22" fillId="7" borderId="13" xfId="0" applyFont="1" applyFill="1" applyBorder="1" applyNumberFormat="1">
      <alignment horizontal="center" vertical="center" wrapText="1"/>
    </xf>
    <xf numFmtId="172" fontId="22" fillId="7" borderId="16" xfId="0" applyFont="1" applyFill="1" applyBorder="1" applyNumberFormat="1">
      <alignment horizontal="center" vertical="center" wrapText="1"/>
    </xf>
    <xf numFmtId="2" fontId="22" fillId="7" borderId="11" xfId="0" applyFont="1" applyFill="1" applyBorder="1" applyNumberFormat="1">
      <alignment horizontal="center" vertical="center" wrapText="1"/>
    </xf>
    <xf numFmtId="175" fontId="22" fillId="7" borderId="11" xfId="0" applyFont="1" applyFill="1" applyBorder="1" applyNumberFormat="1">
      <alignment horizontal="center" vertical="center" wrapText="1"/>
    </xf>
    <xf numFmtId="2" fontId="22" fillId="7" borderId="13" xfId="0" applyFont="1" applyFill="1" applyBorder="1" applyNumberFormat="1">
      <alignment vertical="center" wrapText="1"/>
    </xf>
    <xf numFmtId="172" fontId="22" fillId="7" borderId="14" xfId="0" applyFont="1" applyFill="1" applyBorder="1" applyNumberFormat="1">
      <alignment horizontal="center" vertical="center" wrapText="1"/>
    </xf>
    <xf numFmtId="1" fontId="22" fillId="7" borderId="11" xfId="0" applyFont="1" applyFill="1" applyBorder="1" applyNumberFormat="1">
      <alignment horizontal="center" vertical="center" wrapText="1"/>
    </xf>
    <xf numFmtId="2" fontId="26" fillId="37" borderId="0" xfId="0" applyFont="1" applyFill="1" applyNumberFormat="1">
      <alignment horizontal="left" vertical="center" wrapText="1"/>
    </xf>
    <xf numFmtId="2" fontId="22" fillId="34" borderId="13" xfId="0" applyFont="1" applyFill="1" applyBorder="1" applyNumberFormat="1">
      <alignment horizontal="center" vertical="center" wrapText="1"/>
    </xf>
    <xf numFmtId="172" fontId="22" fillId="34" borderId="14" xfId="0" applyFont="1" applyFill="1" applyBorder="1" applyNumberFormat="1">
      <alignment horizontal="center" vertical="center" wrapText="1"/>
    </xf>
    <xf numFmtId="172" fontId="22" fillId="34" borderId="11" xfId="0" applyFont="1" applyFill="1" applyBorder="1" applyNumberFormat="1">
      <alignment horizontal="center" vertical="center" wrapText="1"/>
    </xf>
    <xf numFmtId="1" fontId="22" fillId="34" borderId="11" xfId="0" applyFont="1" applyFill="1" applyBorder="1" applyNumberFormat="1">
      <alignment horizontal="center" vertical="center" wrapText="1"/>
    </xf>
    <xf numFmtId="1" fontId="22" fillId="34" borderId="11" xfId="0" applyFont="1" applyFill="1" applyBorder="1" applyNumberFormat="1">
      <alignment horizontal="right" vertical="center" wrapText="1"/>
    </xf>
    <xf numFmtId="2" fontId="22" fillId="34" borderId="13" xfId="0" applyFont="1" applyFill="1" applyBorder="1" applyNumberFormat="1">
      <alignment horizontal="center" vertical="center" wrapText="1"/>
    </xf>
    <xf numFmtId="2" fontId="26" fillId="0" borderId="0" xfId="0" applyFont="1" applyNumberFormat="1">
      <alignment horizontal="left" vertical="center" wrapText="1"/>
    </xf>
    <xf numFmtId="2" fontId="21" fillId="0" borderId="0" xfId="0" applyFont="1" applyNumberFormat="1">
      <alignment horizontal="center" vertical="center" wrapText="1"/>
    </xf>
    <xf numFmtId="0" fontId="0" fillId="0" borderId="0" xfId="0" applyFont="1"/>
    <xf numFmtId="0" fontId="18" fillId="0" borderId="0" xfId="0" applyFont="1">
      <alignment wrapText="1"/>
    </xf>
    <xf numFmtId="2" fontId="22" fillId="0" borderId="12" xfId="0" applyFont="1" applyBorder="1" applyNumberFormat="1">
      <alignment horizontal="left" vertical="center" wrapText="1"/>
    </xf>
    <xf numFmtId="0" fontId="0" fillId="0" borderId="0" xfId="0" applyFont="1"/>
    <xf numFmtId="173" fontId="22" fillId="7" borderId="11" xfId="0" applyFont="1" applyFill="1" applyBorder="1" applyNumberFormat="1">
      <alignment horizontal="center" vertical="center" wrapText="1"/>
    </xf>
    <xf numFmtId="2" fontId="22" fillId="7" borderId="13" xfId="0" applyFont="1" applyFill="1" applyBorder="1" applyNumberFormat="1">
      <alignment horizontal="center" vertical="center" wrapText="1"/>
    </xf>
    <xf numFmtId="2" fontId="21" fillId="0" borderId="0" xfId="0" applyFont="1" applyNumberFormat="1">
      <alignment horizontal="center" vertical="center" wrapText="1"/>
      <protection locked="0"/>
    </xf>
    <xf numFmtId="174" fontId="22" fillId="7" borderId="11" xfId="0" applyFont="1" applyFill="1" applyBorder="1" applyNumberFormat="1">
      <alignment horizontal="center" vertical="center" wrapText="1"/>
    </xf>
    <xf numFmtId="0" fontId="0" fillId="0" borderId="0" xfId="0" applyFont="1"/>
    <xf numFmtId="0" fontId="18" fillId="0" borderId="0" xfId="0" applyFont="1">
      <alignment wrapText="1"/>
    </xf>
    <xf numFmtId="2" fontId="22" fillId="0" borderId="12" xfId="0" applyFont="1" applyBorder="1" applyNumberFormat="1">
      <alignment horizontal="left" vertical="center" wrapText="1"/>
    </xf>
    <xf numFmtId="0" fontId="0" fillId="0" borderId="0" xfId="0" applyFont="1"/>
    <xf numFmtId="2" fontId="22" fillId="7" borderId="11" xfId="0" applyFont="1" applyFill="1" applyBorder="1" applyNumberFormat="1">
      <alignment horizontal="center" vertical="center" wrapText="1"/>
      <protection locked="0"/>
    </xf>
    <xf numFmtId="2" fontId="22" fillId="7" borderId="11" xfId="0" applyFont="1" applyFill="1" applyBorder="1" applyNumberFormat="1">
      <alignment horizontal="center" vertical="center" wrapText="1"/>
    </xf>
    <xf numFmtId="2" fontId="26" fillId="35" borderId="0" xfId="0" applyFont="1" applyFill="1" applyNumberFormat="1">
      <alignment horizontal="left" vertical="center" wrapText="1"/>
    </xf>
    <xf numFmtId="2" fontId="21" fillId="0" borderId="0" xfId="0" applyFont="1" applyNumberFormat="1">
      <alignment horizontal="right" vertical="center" wrapText="1"/>
    </xf>
    <xf numFmtId="2" fontId="21" fillId="7" borderId="0" xfId="0" applyFont="1" applyFill="1" applyNumberFormat="1">
      <alignment horizontal="left" vertical="center" wrapText="1"/>
      <protection locked="0"/>
    </xf>
    <xf numFmtId="2" fontId="21" fillId="0" borderId="0" xfId="0" applyFont="1" applyNumberFormat="1">
      <alignment horizontal="left" vertical="center" wrapText="1"/>
    </xf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>
      <alignment wrapText="1"/>
    </xf>
    <xf numFmtId="20" fontId="0" fillId="0" borderId="0" xfId="0" applyFont="1" applyNumberFormat="1">
      <alignment wrapText="1"/>
    </xf>
    <xf numFmtId="2" fontId="0" fillId="33" borderId="0" xfId="0" applyFont="1" applyFill="1" applyNumberFormat="1">
      <alignment wrapText="1"/>
    </xf>
    <xf numFmtId="2" fontId="0" fillId="33" borderId="0" xfId="0" applyFont="1" applyFill="1" applyNumberFormat="1">
      <alignment wrapText="1"/>
    </xf>
    <xf numFmtId="0" fontId="16" fillId="0" borderId="0" xfId="0" applyFont="1">
      <alignment horizontal="center" wrapText="1"/>
    </xf>
    <xf numFmtId="171" fontId="0" fillId="0" borderId="0" xfId="0" applyFont="1" applyNumberFormat="1">
      <alignment wrapText="1"/>
    </xf>
    <xf numFmtId="171" fontId="0" fillId="0" borderId="0" xfId="0" applyFont="1" applyNumberFormat="1">
      <alignment wrapText="1"/>
    </xf>
    <xf numFmtId="171" fontId="0" fillId="33" borderId="0" xfId="0" applyFont="1" applyFill="1" applyNumberFormat="1">
      <alignment wrapText="1"/>
    </xf>
    <xf numFmtId="171" fontId="0" fillId="33" borderId="0" xfId="0" applyFont="1" applyFill="1" applyNumberFormat="1">
      <alignment wrapText="1"/>
    </xf>
    <xf numFmtId="0" fontId="0" fillId="33" borderId="0" xfId="0" applyFont="1" applyFill="1">
      <alignment wrapText="1"/>
    </xf>
    <xf numFmtId="0" fontId="0" fillId="33" borderId="0" xfId="0" applyFont="1" applyFill="1">
      <alignment wrapText="1"/>
    </xf>
    <xf numFmtId="0" fontId="0" fillId="0" borderId="0" xfId="0" applyFont="1">
      <alignment wrapText="1"/>
    </xf>
    <xf numFmtId="0" fontId="16" fillId="0" borderId="0" xfId="0" applyFont="1">
      <alignment horizontal="center" wrapText="1"/>
    </xf>
    <xf numFmtId="0" fontId="0" fillId="33" borderId="0" xfId="0" applyFont="1" applyFill="1">
      <alignment wrapText="1"/>
    </xf>
    <xf numFmtId="0" fontId="16" fillId="0" borderId="0" xfId="0" applyFont="1">
      <alignment wrapText="1"/>
    </xf>
    <xf numFmtId="11" fontId="0" fillId="0" borderId="10" xfId="0" applyFont="1" applyBorder="1" applyNumberFormat="1">
      <alignment wrapText="1"/>
    </xf>
    <xf numFmtId="11" fontId="0" fillId="0" borderId="10" xfId="0" applyFont="1" applyBorder="1" applyNumberFormat="1">
      <alignment wrapText="1"/>
    </xf>
    <xf numFmtId="0" fontId="0" fillId="33" borderId="0" xfId="0" applyFont="1" applyFill="1">
      <alignment wrapText="1"/>
    </xf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>
      <alignment horizontal="right" wrapText="1"/>
    </xf>
    <xf numFmtId="0" fontId="0" fillId="0" borderId="0" xfId="0" applyFont="1">
      <alignment wrapText="1"/>
    </xf>
    <xf numFmtId="0" fontId="0" fillId="0" borderId="0" xfId="0" applyFont="1">
      <alignment horizontal="right" wrapText="1"/>
    </xf>
    <xf numFmtId="0" fontId="0" fillId="7" borderId="0" xfId="0" applyFont="1" applyFill="1">
      <alignment wrapText="1"/>
    </xf>
    <xf numFmtId="0" fontId="0" fillId="7" borderId="0" xfId="0" applyFont="1" applyFill="1">
      <alignment wrapText="1"/>
    </xf>
    <xf numFmtId="0" fontId="0" fillId="0" borderId="0" xfId="0" applyFont="1">
      <alignment wrapText="1"/>
    </xf>
    <xf numFmtId="0" fontId="0" fillId="0" borderId="0" xfId="0" applyFont="1"/>
  </cellXfs>
  <cellStyles count="50">
    <cellStyle name="Normal" xfId="0" builtinId="0"/>
    <cellStyle name="20% - Accent1" xfId="1" builtinId="30"/>
    <cellStyle name="20% - Accent2" xfId="2" builtinId="34"/>
    <cellStyle name="20% - Accent3" xfId="3" builtinId="38"/>
    <cellStyle name="20% - Accent4" xfId="4" builtinId="42"/>
    <cellStyle name="20% - Accent5" xfId="5" builtinId="46"/>
    <cellStyle name="20% - Accent6" xfId="6" builtinId="50"/>
    <cellStyle name="40% - Accent1" xfId="7" builtinId="31"/>
    <cellStyle name="40% - Accent2" xfId="8" builtinId="35"/>
    <cellStyle name="40% - Accent3" xfId="9" builtinId="39"/>
    <cellStyle name="40% - Accent4" xfId="10" builtinId="43"/>
    <cellStyle name="40% - Accent5" xfId="11" builtinId="47"/>
    <cellStyle name="40% - Accent6" xfId="12" builtinId="51"/>
    <cellStyle name="60% - Accent1" xfId="13" builtinId="32"/>
    <cellStyle name="60% - Accent2" xfId="14" builtinId="36"/>
    <cellStyle name="60% - Accent3" xfId="15" builtinId="40"/>
    <cellStyle name="60% - Accent4" xfId="16" builtinId="44"/>
    <cellStyle name="60% - Accent5" xfId="17" builtinId="48"/>
    <cellStyle name="60% - Accent6" xfId="18" builtinId="52"/>
    <cellStyle name="Accent1" xfId="19" builtinId="29"/>
    <cellStyle name="Accent2" xfId="20" builtinId="33"/>
    <cellStyle name="Accent3" xfId="21" builtinId="37"/>
    <cellStyle name="Accent4" xfId="22" builtinId="41"/>
    <cellStyle name="Accent5" xfId="23" builtinId="45"/>
    <cellStyle name="Accent6" xfId="24" builtinId="49"/>
    <cellStyle name="Bad" xfId="25" builtinId="27"/>
    <cellStyle name="Calculation" xfId="26" builtinId="22"/>
    <cellStyle name="Check Cell" xfId="27" builtinId="23"/>
    <cellStyle name="Comma" xfId="28" builtinId="3"/>
    <cellStyle name="Comma [0]" xfId="29" builtinId="6"/>
    <cellStyle name="Currency" xfId="30" builtinId="4"/>
    <cellStyle name="Currency [0]" xfId="31" builtinId="7"/>
    <cellStyle name="Explanatory Text" xfId="32" builtinId="53"/>
    <cellStyle name="Good" xfId="33" builtinId="26"/>
    <cellStyle name="Heading 1" xfId="34" builtinId="16"/>
    <cellStyle name="Heading 2" xfId="35" builtinId="17"/>
    <cellStyle name="Heading 3" xfId="36" builtinId="18"/>
    <cellStyle name="Heading 4" xfId="37" builtinId="19"/>
    <cellStyle name="Input" xfId="38" builtinId="20"/>
    <cellStyle name="Linked Cell" xfId="39" builtinId="24"/>
    <cellStyle name="Neutral" xfId="40" builtinId="28"/>
    <cellStyle name="Note" xfId="41" builtinId="10"/>
    <cellStyle name="Output" xfId="42" builtinId="21"/>
    <cellStyle name="Percent" xfId="43" builtinId="5"/>
    <cellStyle name="Title" xfId="44" builtinId="15"/>
    <cellStyle name="Total" xfId="45" builtinId="25"/>
    <cellStyle name="Warning Text" xfId="46" builtinId="11"/>
    <cellStyle name="常规 2" xfId="47"/>
    <cellStyle name="超链接" xfId="48"/>
    <cellStyle name="已访问的超链接" xfId="49"/>
  </cellStyles>
  <dxfs count="3"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>
        <color rgb="FF006100"/>
      </font>
      <fill>
        <patternFill patternType="solid">
          <fgColor rgb="FFC6EFCE"/>
          <bgColor rgb="FFC6EFCE"/>
        </patternFill>
      </fill>
      <border/>
    </dxf>
    <dxf>
      <font>
        <color theme="0"/>
      </font>
      <border/>
    </dxf>
  </dxfs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Relationship Id="rId6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dr="http://schemas.openxmlformats.org/drawingml/2006/spreadsheetDrawing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09913B48-AF24-5245-00D8-B3FAC09314E2}" mc:Ignorable="x14ac xr xr2 xr3">
  <dimension ref="A1:Z41"/>
  <sheetViews>
    <sheetView defaultGridColor="0" colorId="31" showGridLines="0" workbookViewId="0" tabSelected="1">
      <pane xSplit="2" ySplit="5" topLeftCell="C6" activePane="bottomRight" state="frozen"/>
      <selection pane="bottomLeft" activeCell="A6" sqref="A6"/>
      <selection pane="topRight" activeCell="C1" sqref="C1"/>
      <selection pane="bottomRight" activeCell="A1" sqref="A1"/>
    </sheetView>
  </sheetViews>
  <sheetFormatPr defaultColWidth="12.00390625" customHeight="1" defaultRowHeight="12.75"/>
  <cols>
    <col min="1" max="1" style="47" width="2.57421875" customWidth="1"/>
    <col min="2" max="2" style="47" width="20.57421875" customWidth="1"/>
    <col min="3" max="5" style="47" width="9.57421875" customWidth="1"/>
    <col min="6" max="6" style="47" width="11.57421875" customWidth="1"/>
    <col min="7" max="7" style="47" width="10.57421875" customWidth="1"/>
    <col min="8" max="8" style="47" width="9.57421875" customWidth="1"/>
    <col min="9" max="9" style="47" width="10.57421875" customWidth="1"/>
    <col min="10" max="12" style="47" width="11.57421875" customWidth="1"/>
    <col min="13" max="18" style="47" width="9.57421875" customWidth="1"/>
    <col min="19" max="20" style="47" width="4.57421875" hidden="1" customWidth="1"/>
    <col min="21" max="21" style="47" width="7.7109375" hidden="1" customWidth="1"/>
    <col min="22" max="22" style="47" width="9.421875" hidden="1" customWidth="1"/>
    <col min="23" max="23" style="244" width="9.57421875" customWidth="1"/>
    <col min="24" max="24" style="245" width="9.57421875" customWidth="1"/>
    <col min="25" max="25" style="246" width="9.57421875" customWidth="1"/>
  </cols>
  <sheetData>
    <row customHeight="1" ht="2.25">
      <c r="A1" s="150"/>
      <c r="B1" s="150"/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150"/>
      <c r="Q1" s="150"/>
      <c r="R1" s="150"/>
      <c r="S1" s="150"/>
      <c r="T1" s="150"/>
      <c r="U1" s="150"/>
      <c r="V1" s="150"/>
      <c r="W1" s="151"/>
      <c r="X1" s="151"/>
      <c r="Y1" s="151"/>
      <c r="Z1" s="152"/>
    </row>
    <row customHeight="1" ht="30">
      <c r="A2" s="150"/>
      <c r="B2" s="153" t="s">
        <v>0</v>
      </c>
      <c r="C2" s="153"/>
      <c r="D2" s="153"/>
      <c r="E2" s="153"/>
      <c r="F2" s="153"/>
      <c r="G2" s="153"/>
      <c r="H2" s="153"/>
      <c r="I2" s="153"/>
      <c r="J2" s="153"/>
      <c r="K2" s="153"/>
      <c r="L2" s="153"/>
      <c r="M2" s="153"/>
      <c r="N2" s="153"/>
      <c r="O2" s="153"/>
      <c r="P2" s="153"/>
      <c r="Q2" s="153"/>
      <c r="R2" s="153"/>
      <c r="S2" s="154" t="s">
        <v>1</v>
      </c>
      <c r="T2" s="154" t="s">
        <v>1</v>
      </c>
      <c r="U2" s="154" t="s">
        <v>1</v>
      </c>
      <c r="V2" s="154" t="s">
        <v>1</v>
      </c>
      <c r="W2" s="151"/>
      <c r="X2" s="151"/>
      <c r="Y2" s="151"/>
      <c r="Z2" s="152"/>
    </row>
    <row customHeight="1" ht="24.75">
      <c r="A3" s="150"/>
      <c r="B3" s="155" t="s">
        <v>2</v>
      </c>
      <c r="C3" s="155" t="s">
        <v>2</v>
      </c>
      <c r="D3" s="156"/>
      <c r="E3" s="156" t="s">
        <v>1</v>
      </c>
      <c r="F3" s="156" t="s">
        <v>1</v>
      </c>
      <c r="G3" s="157" t="s">
        <v>3</v>
      </c>
      <c r="H3" s="155" t="s">
        <v>4</v>
      </c>
      <c r="I3" s="155"/>
      <c r="J3" s="158"/>
      <c r="K3" s="158"/>
      <c r="L3" s="155" t="s">
        <v>5</v>
      </c>
      <c r="M3" s="155"/>
      <c r="N3" s="159"/>
      <c r="O3" s="160" t="str">
        <f>取值!A1&amp;取值!B1&amp;取值!C1</f>
        <v>报表生成时间：2026-01-07 8:00:00</v>
      </c>
      <c r="P3" s="160"/>
      <c r="Q3" s="160"/>
      <c r="R3" s="160"/>
      <c r="S3" s="161" t="s">
        <v>1</v>
      </c>
      <c r="T3" s="161" t="s">
        <v>1</v>
      </c>
      <c r="U3" s="161" t="s">
        <v>1</v>
      </c>
      <c r="V3" s="161" t="s">
        <v>1</v>
      </c>
      <c r="W3" s="151"/>
      <c r="X3" s="151"/>
      <c r="Y3" s="151"/>
      <c r="Z3" s="152"/>
    </row>
    <row customHeight="1" ht="24.75">
      <c r="A4" s="150"/>
      <c r="B4" s="133" t="s">
        <v>6</v>
      </c>
      <c r="C4" s="163" t="s">
        <v>7</v>
      </c>
      <c r="D4" s="164"/>
      <c r="E4" s="164"/>
      <c r="F4" s="164"/>
      <c r="G4" s="165"/>
      <c r="H4" s="139" t="s">
        <v>8</v>
      </c>
      <c r="I4" s="140"/>
      <c r="J4" s="140"/>
      <c r="K4" s="140"/>
      <c r="L4" s="141"/>
      <c r="M4" s="169" t="s">
        <v>9</v>
      </c>
      <c r="N4" s="169"/>
      <c r="O4" s="169"/>
      <c r="P4" s="169"/>
      <c r="Q4" s="169"/>
      <c r="R4" s="170"/>
      <c r="S4" s="171" t="s">
        <v>10</v>
      </c>
      <c r="T4" s="171"/>
      <c r="U4" s="171"/>
      <c r="V4" s="171"/>
      <c r="W4" s="151"/>
      <c r="X4" s="151"/>
      <c r="Y4" s="151"/>
      <c r="Z4" s="152"/>
    </row>
    <row customHeight="1" ht="30">
      <c r="A5" s="150"/>
      <c r="B5" s="133" t="s">
        <v>11</v>
      </c>
      <c r="C5" s="60" t="s">
        <v>12</v>
      </c>
      <c r="D5" s="61" t="s">
        <v>13</v>
      </c>
      <c r="E5" s="60" t="s">
        <v>14</v>
      </c>
      <c r="F5" s="60" t="s">
        <v>15</v>
      </c>
      <c r="G5" s="60" t="s">
        <v>16</v>
      </c>
      <c r="H5" s="60" t="s">
        <v>17</v>
      </c>
      <c r="I5" s="60" t="s">
        <v>18</v>
      </c>
      <c r="J5" s="60" t="s">
        <v>19</v>
      </c>
      <c r="K5" s="60" t="s">
        <v>20</v>
      </c>
      <c r="L5" s="60" t="s">
        <v>21</v>
      </c>
      <c r="M5" s="174" t="s">
        <v>22</v>
      </c>
      <c r="N5" s="174" t="s">
        <v>23</v>
      </c>
      <c r="O5" s="174" t="s">
        <v>24</v>
      </c>
      <c r="P5" s="174" t="s">
        <v>25</v>
      </c>
      <c r="Q5" s="174" t="s">
        <v>26</v>
      </c>
      <c r="R5" s="175" t="s">
        <v>27</v>
      </c>
      <c r="S5" s="87" t="s">
        <v>28</v>
      </c>
      <c r="T5" s="87" t="s">
        <v>29</v>
      </c>
      <c r="U5" s="88" t="s">
        <v>30</v>
      </c>
      <c r="V5" s="178" t="s">
        <v>31</v>
      </c>
      <c r="W5" s="151"/>
      <c r="X5" s="151"/>
      <c r="Y5" s="151"/>
      <c r="Z5" s="152"/>
    </row>
    <row customHeight="1" ht="21.75">
      <c r="A6" s="150"/>
      <c r="B6" s="62" t="s">
        <v>32</v>
      </c>
      <c r="C6" s="180">
        <f>_xlfn.IFERROR(SUM(C7,C8),"")</f>
        <v>48</v>
      </c>
      <c r="D6" s="181">
        <f>_xlfn.IFERROR(SUM(D7,D8),"")</f>
        <v>16826</v>
      </c>
      <c r="E6" s="182">
        <f>_xlfn.IFERROR(SUM(E7,E8),"")</f>
        <v>11.772</v>
      </c>
      <c r="F6" s="66">
        <f>_xlfn.IFERROR(C6-E6,"")</f>
        <v>36.228</v>
      </c>
      <c r="G6" s="181">
        <f>_xlfn.IFERROR(F6*10000/取值!B4,"")</f>
        <v>15095</v>
      </c>
      <c r="H6" s="180">
        <f>_xlfn.IFERROR(SUM(H7,H8,Y6),"")</f>
        <v>0</v>
      </c>
      <c r="I6" s="69">
        <f>_xlfn.IFERROR(SUM(I7,I8,Z6),"")</f>
        <v>11.772</v>
      </c>
      <c r="J6" s="69">
        <f>_xlfn.IFERROR(H6-I6,"")</f>
        <v>-11.772</v>
      </c>
      <c r="K6" s="75">
        <f>_xlfn.IFERROR(J6*10000/取值!C4,"")</f>
        <v>-328.826815642458</v>
      </c>
      <c r="L6" s="186" t="str">
        <f>_xlfn.IFERROR(I6/H6*100,"")</f>
        <v/>
      </c>
      <c r="M6" s="187">
        <v>0</v>
      </c>
      <c r="N6" s="188">
        <v>0</v>
      </c>
      <c r="O6" s="78">
        <f>取值!O154</f>
        <v>48.3002496136931</v>
      </c>
      <c r="P6" s="78">
        <f>取值!P154</f>
        <v>48.5474006116208</v>
      </c>
      <c r="Q6" s="78">
        <f>取值!Q154</f>
        <v>48.5474006116208</v>
      </c>
      <c r="R6" s="90">
        <f>_xlfn.IFERROR(P6-N6,"")</f>
        <v>48.5474006116208</v>
      </c>
      <c r="S6" s="191">
        <f>取值!B4</f>
        <v>24</v>
      </c>
      <c r="T6" s="191">
        <f>取值!C4</f>
        <v>358</v>
      </c>
      <c r="U6" s="192"/>
      <c r="V6" s="192"/>
      <c r="W6" s="151"/>
      <c r="X6" s="193"/>
      <c r="Y6" s="194"/>
      <c r="Z6" s="195">
        <v>0</v>
      </c>
    </row>
    <row customHeight="1" ht="21.75">
      <c r="A7" s="150"/>
      <c r="B7" s="67" t="s">
        <v>33</v>
      </c>
      <c r="C7" s="188">
        <v>27.3</v>
      </c>
      <c r="D7" s="181">
        <f>取值!B7</f>
        <v>9501</v>
      </c>
      <c r="E7" s="69">
        <f>_xlfn.IFERROR(取值!B56/10000,"")</f>
        <v>6.6502</v>
      </c>
      <c r="F7" s="66">
        <f>_xlfn.IFERROR(C7-E7,"")</f>
        <v>20.6498</v>
      </c>
      <c r="G7" s="181">
        <f>_xlfn.IFERROR(F7*10000/取值!B4,"")</f>
        <v>8604.08333333333</v>
      </c>
      <c r="H7" s="188">
        <v>0</v>
      </c>
      <c r="I7" s="182">
        <f>_xlfn.IFERROR(取值!B105/10000,"")</f>
        <v>6.6502</v>
      </c>
      <c r="J7" s="69">
        <f>_xlfn.IFERROR(H7-I7,"")</f>
        <v>-6.6502</v>
      </c>
      <c r="K7" s="75">
        <f>_xlfn.IFERROR(J7*10000/取值!C4,"")</f>
        <v>-185.759776536313</v>
      </c>
      <c r="L7" s="186" t="str">
        <f>_xlfn.IFERROR(I7/H7*100,"")</f>
        <v/>
      </c>
      <c r="M7" s="188">
        <v>0</v>
      </c>
      <c r="N7" s="188">
        <v>0</v>
      </c>
      <c r="O7" s="78">
        <f>取值!O155</f>
        <v>48.068624355331</v>
      </c>
      <c r="P7" s="78">
        <f>取值!P155</f>
        <v>48.0526901446573</v>
      </c>
      <c r="Q7" s="78">
        <f>取值!Q155</f>
        <v>48.0526901446573</v>
      </c>
      <c r="R7" s="90">
        <f>_xlfn.IFERROR(P7-N7,"")</f>
        <v>48.0526901446573</v>
      </c>
      <c r="S7" s="197"/>
      <c r="T7" s="197"/>
      <c r="U7" s="192"/>
      <c r="V7" s="192"/>
      <c r="W7" s="151"/>
      <c r="X7" s="198">
        <v>0</v>
      </c>
      <c r="Y7" s="199">
        <v>0</v>
      </c>
      <c r="Z7" s="200"/>
    </row>
    <row customHeight="1" ht="21.75">
      <c r="A8" s="150"/>
      <c r="B8" s="67" t="s">
        <v>34</v>
      </c>
      <c r="C8" s="188">
        <v>20.7</v>
      </c>
      <c r="D8" s="181">
        <f>取值!B8</f>
        <v>7325</v>
      </c>
      <c r="E8" s="69">
        <f>_xlfn.IFERROR(取值!B57/10000,"")</f>
        <v>5.1218</v>
      </c>
      <c r="F8" s="66">
        <f>_xlfn.IFERROR(C8-E8,"")</f>
        <v>15.5782</v>
      </c>
      <c r="G8" s="181">
        <f>_xlfn.IFERROR(F8*10000/取值!B4,"")</f>
        <v>6490.91666666667</v>
      </c>
      <c r="H8" s="188">
        <v>0</v>
      </c>
      <c r="I8" s="182">
        <f>_xlfn.IFERROR(取值!B106/10000,"")</f>
        <v>5.1218</v>
      </c>
      <c r="J8" s="69">
        <f>_xlfn.IFERROR(H8-I8,"")</f>
        <v>-5.1218</v>
      </c>
      <c r="K8" s="75">
        <f>_xlfn.IFERROR(J8*10000/取值!C4,"")</f>
        <v>-143.067039106145</v>
      </c>
      <c r="L8" s="186" t="str">
        <f>_xlfn.IFERROR(I8/H8*100,"")</f>
        <v/>
      </c>
      <c r="M8" s="188">
        <v>0</v>
      </c>
      <c r="N8" s="188">
        <v>0</v>
      </c>
      <c r="O8" s="78">
        <f>取值!O156</f>
        <v>48.6006825938567</v>
      </c>
      <c r="P8" s="78">
        <f>取值!P156</f>
        <v>49.1897379827404</v>
      </c>
      <c r="Q8" s="78">
        <f>取值!Q156</f>
        <v>49.1897379827404</v>
      </c>
      <c r="R8" s="90">
        <f>_xlfn.IFERROR(P8-N8,"")</f>
        <v>49.1897379827404</v>
      </c>
      <c r="S8" s="197"/>
      <c r="T8" s="197"/>
      <c r="U8" s="192"/>
      <c r="V8" s="192"/>
      <c r="W8" s="151"/>
      <c r="X8" s="198">
        <v>0</v>
      </c>
      <c r="Y8" s="199">
        <v>0</v>
      </c>
      <c r="Z8" s="200"/>
    </row>
    <row customHeight="1" ht="21.75">
      <c r="A9" s="150"/>
      <c r="B9" s="62" t="s">
        <v>35</v>
      </c>
      <c r="C9" s="180">
        <f>_xlfn.IFERROR(SUM(C10,C11),"")</f>
        <v>25.5</v>
      </c>
      <c r="D9" s="181">
        <f>_xlfn.IFERROR(SUM(D10,D11),"")</f>
        <v>8809</v>
      </c>
      <c r="E9" s="182">
        <f>_xlfn.IFERROR(SUM(E10,E11),"")</f>
        <v>6.1644</v>
      </c>
      <c r="F9" s="66">
        <f>_xlfn.IFERROR(C9-E9,"")</f>
        <v>19.3356</v>
      </c>
      <c r="G9" s="181">
        <f>_xlfn.IFERROR(F9*10000/取值!B4,"")</f>
        <v>8056.5</v>
      </c>
      <c r="H9" s="180">
        <f>_xlfn.IFERROR(SUM(H10,H11),"")</f>
        <v>0</v>
      </c>
      <c r="I9" s="69">
        <f>_xlfn.IFERROR(SUM(I10,I11),"")</f>
        <v>6.1644</v>
      </c>
      <c r="J9" s="69">
        <f>_xlfn.IFERROR(H9-I9,"")</f>
        <v>-6.1644</v>
      </c>
      <c r="K9" s="75">
        <f>_xlfn.IFERROR(J9*10000/取值!C4,"")</f>
        <v>-172.189944134078</v>
      </c>
      <c r="L9" s="186" t="str">
        <f>_xlfn.IFERROR(I9/H9*100,"")</f>
        <v/>
      </c>
      <c r="M9" s="188">
        <v>0</v>
      </c>
      <c r="N9" s="188">
        <v>0</v>
      </c>
      <c r="O9" s="78">
        <f>取值!O157</f>
        <v>87.9666177963234</v>
      </c>
      <c r="P9" s="78">
        <f>取值!P157</f>
        <v>87.8984689766317</v>
      </c>
      <c r="Q9" s="78">
        <f>取值!Q157</f>
        <v>87.8984689766317</v>
      </c>
      <c r="R9" s="90">
        <f>_xlfn.IFERROR(P9-N9,"")</f>
        <v>87.8984689766317</v>
      </c>
      <c r="S9" s="201"/>
      <c r="T9" s="197"/>
      <c r="U9" s="202" t="s">
        <v>1</v>
      </c>
      <c r="V9" s="202" t="s">
        <v>1</v>
      </c>
      <c r="W9" s="151"/>
      <c r="X9" s="200"/>
      <c r="Y9" s="203"/>
      <c r="Z9" s="200"/>
    </row>
    <row customHeight="1" ht="21.75">
      <c r="A10" s="150"/>
      <c r="B10" s="67" t="s">
        <v>36</v>
      </c>
      <c r="C10" s="188">
        <v>17.6</v>
      </c>
      <c r="D10" s="181">
        <f>取值!B9</f>
        <v>6000</v>
      </c>
      <c r="E10" s="69">
        <f>_xlfn.IFERROR(取值!B58/10000,"")</f>
        <v>4.1996</v>
      </c>
      <c r="F10" s="66">
        <f>_xlfn.IFERROR(C10-E10,"")</f>
        <v>13.4004</v>
      </c>
      <c r="G10" s="181">
        <f>_xlfn.IFERROR(F10*10000/取值!B4,"")</f>
        <v>5583.5</v>
      </c>
      <c r="H10" s="188">
        <v>0</v>
      </c>
      <c r="I10" s="182">
        <f>_xlfn.IFERROR(取值!B107/10000,"")</f>
        <v>4.1996</v>
      </c>
      <c r="J10" s="69">
        <f>_xlfn.IFERROR(H10-I10,"")</f>
        <v>-4.1996</v>
      </c>
      <c r="K10" s="75">
        <f>_xlfn.IFERROR(J10*10000/取值!C4,"")</f>
        <v>-117.307262569832</v>
      </c>
      <c r="L10" s="186" t="str">
        <f>_xlfn.IFERROR(I10/H10*100,"")</f>
        <v/>
      </c>
      <c r="M10" s="188">
        <v>0</v>
      </c>
      <c r="N10" s="188">
        <v>0</v>
      </c>
      <c r="O10" s="78">
        <f>取值!O158</f>
        <v>87.7</v>
      </c>
      <c r="P10" s="78">
        <f>取值!P158</f>
        <v>87.6631107724545</v>
      </c>
      <c r="Q10" s="78">
        <f>取值!Q158</f>
        <v>87.6631107724545</v>
      </c>
      <c r="R10" s="90">
        <f>_xlfn.IFERROR(P10-N10,"")</f>
        <v>87.6631107724545</v>
      </c>
      <c r="S10" s="201"/>
      <c r="T10" s="197"/>
      <c r="U10" s="202"/>
      <c r="V10" s="202"/>
      <c r="W10" s="151"/>
      <c r="X10" s="198">
        <v>0</v>
      </c>
      <c r="Y10" s="199">
        <v>0</v>
      </c>
      <c r="Z10" s="200"/>
    </row>
    <row customHeight="1" ht="21.75">
      <c r="A11" s="150"/>
      <c r="B11" s="67" t="s">
        <v>37</v>
      </c>
      <c r="C11" s="188">
        <v>7.9</v>
      </c>
      <c r="D11" s="181">
        <f>取值!B10</f>
        <v>2809</v>
      </c>
      <c r="E11" s="69">
        <f>_xlfn.IFERROR(取值!B59/10000,"")</f>
        <v>1.9648</v>
      </c>
      <c r="F11" s="66">
        <f>_xlfn.IFERROR(C11-E11,"")</f>
        <v>5.9352</v>
      </c>
      <c r="G11" s="181">
        <f>_xlfn.IFERROR(F11*10000/取值!B4,"")</f>
        <v>2473</v>
      </c>
      <c r="H11" s="188">
        <v>0</v>
      </c>
      <c r="I11" s="182">
        <f>_xlfn.IFERROR(取值!B108/10000,"")</f>
        <v>1.9648</v>
      </c>
      <c r="J11" s="69">
        <f>_xlfn.IFERROR(H11-I11,"")</f>
        <v>-1.9648</v>
      </c>
      <c r="K11" s="75">
        <f>_xlfn.IFERROR(J11*10000/取值!C4,"")</f>
        <v>-54.8826815642458</v>
      </c>
      <c r="L11" s="186" t="str">
        <f>_xlfn.IFERROR(I11/H11*100,"")</f>
        <v/>
      </c>
      <c r="M11" s="188">
        <v>0</v>
      </c>
      <c r="N11" s="188">
        <v>0</v>
      </c>
      <c r="O11" s="78">
        <f>取值!O159</f>
        <v>88.5245901639344</v>
      </c>
      <c r="P11" s="78">
        <f>取值!P159</f>
        <v>88.3913433728932</v>
      </c>
      <c r="Q11" s="78">
        <f>取值!Q159</f>
        <v>88.3913433728932</v>
      </c>
      <c r="R11" s="90">
        <f>_xlfn.IFERROR(P11-N11,"")</f>
        <v>88.3913433728932</v>
      </c>
      <c r="S11" s="201"/>
      <c r="T11" s="197"/>
      <c r="U11" s="202"/>
      <c r="V11" s="202"/>
      <c r="W11" s="151"/>
      <c r="X11" s="198">
        <v>0</v>
      </c>
      <c r="Y11" s="199">
        <v>0</v>
      </c>
      <c r="Z11" s="200"/>
    </row>
    <row customHeight="1" ht="21.75">
      <c r="A12" s="150"/>
      <c r="B12" s="62" t="s">
        <v>38</v>
      </c>
      <c r="C12" s="204">
        <v>0.46</v>
      </c>
      <c r="D12" s="181">
        <f>取值!B21</f>
        <v>151</v>
      </c>
      <c r="E12" s="69">
        <f>_xlfn.IFERROR(取值!B70/10000,"")</f>
        <v>0.1075</v>
      </c>
      <c r="F12" s="66">
        <f>_xlfn.IFERROR(C12-E12,"")</f>
        <v>0.3525</v>
      </c>
      <c r="G12" s="181">
        <f>_xlfn.IFERROR(F12*10000/取值!B4,"")</f>
        <v>146.875</v>
      </c>
      <c r="H12" s="188">
        <v>0</v>
      </c>
      <c r="I12" s="182">
        <f>_xlfn.IFERROR(取值!B119/10000,"")</f>
        <v>0.1075</v>
      </c>
      <c r="J12" s="69">
        <f>_xlfn.IFERROR(H12-I12,"")</f>
        <v>-0.1075</v>
      </c>
      <c r="K12" s="75">
        <f>_xlfn.IFERROR(J12*10000/取值!C4,"")</f>
        <v>-3.00279329608939</v>
      </c>
      <c r="L12" s="186" t="str">
        <f>_xlfn.IFERROR(I12/H12*100,"")</f>
        <v/>
      </c>
      <c r="M12" s="188">
        <v>0</v>
      </c>
      <c r="N12" s="188">
        <v>0</v>
      </c>
      <c r="O12" s="78">
        <f>取值!O160</f>
        <v>94.9685534591195</v>
      </c>
      <c r="P12" s="78">
        <f>取值!P160</f>
        <v>94.6302816901408</v>
      </c>
      <c r="Q12" s="78">
        <f>取值!Q160</f>
        <v>94.6302816901408</v>
      </c>
      <c r="R12" s="90">
        <f>_xlfn.IFERROR(P12-N12,"")</f>
        <v>94.6302816901408</v>
      </c>
      <c r="S12" s="201"/>
      <c r="T12" s="197"/>
      <c r="U12" s="205">
        <v>11920</v>
      </c>
      <c r="V12" s="205"/>
      <c r="W12" s="151"/>
      <c r="X12" s="198">
        <v>0</v>
      </c>
      <c r="Y12" s="199">
        <v>0</v>
      </c>
      <c r="Z12" s="200"/>
    </row>
    <row customHeight="1" ht="21.75">
      <c r="A13" s="150"/>
      <c r="B13" s="62" t="s">
        <v>39</v>
      </c>
      <c r="C13" s="188">
        <v>2.77</v>
      </c>
      <c r="D13" s="181">
        <f>取值!B11</f>
        <v>946</v>
      </c>
      <c r="E13" s="69">
        <f>_xlfn.IFERROR(取值!B60/10000,"")</f>
        <v>0.6135</v>
      </c>
      <c r="F13" s="66">
        <f>_xlfn.IFERROR(C13-E13,"")</f>
        <v>2.1565</v>
      </c>
      <c r="G13" s="181">
        <f>_xlfn.IFERROR(F13*10000/取值!B4,"")</f>
        <v>898.541666666667</v>
      </c>
      <c r="H13" s="188">
        <v>0</v>
      </c>
      <c r="I13" s="182">
        <f>_xlfn.IFERROR(取值!B109/10000,"")</f>
        <v>0.6135</v>
      </c>
      <c r="J13" s="69">
        <f>_xlfn.IFERROR(H13-I13,"")</f>
        <v>-0.6135</v>
      </c>
      <c r="K13" s="75">
        <f>_xlfn.IFERROR(J13*10000/取值!C4,"")</f>
        <v>-17.1368715083799</v>
      </c>
      <c r="L13" s="186" t="str">
        <f>_xlfn.IFERROR(I13/H13*100,"")</f>
        <v/>
      </c>
      <c r="M13" s="79"/>
      <c r="N13" s="79"/>
      <c r="O13" s="79"/>
      <c r="P13" s="79"/>
      <c r="Q13" s="79"/>
      <c r="R13" s="99"/>
      <c r="S13" s="201"/>
      <c r="T13" s="197"/>
      <c r="U13" s="146" t="s">
        <v>40</v>
      </c>
      <c r="V13" s="146" t="s">
        <v>41</v>
      </c>
      <c r="W13" s="151"/>
      <c r="X13" s="198">
        <v>0</v>
      </c>
      <c r="Y13" s="199">
        <v>0</v>
      </c>
      <c r="Z13" s="200"/>
    </row>
    <row customHeight="1" ht="21.75">
      <c r="A14" s="150"/>
      <c r="B14" s="62" t="s">
        <v>42</v>
      </c>
      <c r="C14" s="188">
        <v>0.9</v>
      </c>
      <c r="D14" s="181">
        <f>取值!A18</f>
        <v>305</v>
      </c>
      <c r="E14" s="69">
        <f>_xlfn.IFERROR(取值!A67/10000,"")</f>
        <v>0.21</v>
      </c>
      <c r="F14" s="66">
        <f>_xlfn.IFERROR(C14-E14,"")</f>
        <v>0.69</v>
      </c>
      <c r="G14" s="181">
        <f>_xlfn.IFERROR(F14*10000/取值!B4,"")</f>
        <v>287.5</v>
      </c>
      <c r="H14" s="188">
        <v>0</v>
      </c>
      <c r="I14" s="182">
        <f>_xlfn.IFERROR(取值!A116/10000,"")</f>
        <v>0.21</v>
      </c>
      <c r="J14" s="69">
        <f>_xlfn.IFERROR(H14-I14,"")</f>
        <v>-0.21</v>
      </c>
      <c r="K14" s="75">
        <f>_xlfn.IFERROR(J14*10000/取值!C4,"")</f>
        <v>-5.8659217877095</v>
      </c>
      <c r="L14" s="186" t="str">
        <f>_xlfn.IFERROR(I14/H14*100,"")</f>
        <v/>
      </c>
      <c r="M14" s="80" t="s">
        <v>43</v>
      </c>
      <c r="N14" s="80" t="s">
        <v>44</v>
      </c>
      <c r="O14" s="80" t="s">
        <v>24</v>
      </c>
      <c r="P14" s="80" t="s">
        <v>45</v>
      </c>
      <c r="Q14" s="80" t="s">
        <v>46</v>
      </c>
      <c r="R14" s="100"/>
      <c r="S14" s="201"/>
      <c r="T14" s="197"/>
      <c r="U14" s="146"/>
      <c r="V14" s="146"/>
      <c r="W14" s="151"/>
      <c r="X14" s="198">
        <v>0</v>
      </c>
      <c r="Y14" s="199">
        <v>0</v>
      </c>
      <c r="Z14" s="200"/>
    </row>
    <row customHeight="1" ht="21.75">
      <c r="A15" s="150"/>
      <c r="B15" s="62" t="s">
        <v>47</v>
      </c>
      <c r="C15" s="188">
        <v>0.31</v>
      </c>
      <c r="D15" s="181">
        <f>取值!B19</f>
        <v>108</v>
      </c>
      <c r="E15" s="69">
        <f>_xlfn.IFERROR(取值!B68/10000,"")</f>
        <v>0.0688</v>
      </c>
      <c r="F15" s="66">
        <f>_xlfn.IFERROR(C15-E15,"")</f>
        <v>0.2412</v>
      </c>
      <c r="G15" s="181">
        <f>_xlfn.IFERROR(F15*10000/取值!B4,"")</f>
        <v>100.5</v>
      </c>
      <c r="H15" s="188">
        <v>0</v>
      </c>
      <c r="I15" s="182">
        <f>_xlfn.IFERROR(取值!B117/10000,"")</f>
        <v>0.0688</v>
      </c>
      <c r="J15" s="69">
        <f>_xlfn.IFERROR(H15-I15,"")</f>
        <v>-0.0688</v>
      </c>
      <c r="K15" s="75">
        <f>_xlfn.IFERROR(J15*10000/取值!C4,"")</f>
        <v>-1.92178770949721</v>
      </c>
      <c r="L15" s="186" t="str">
        <f>_xlfn.IFERROR(I15/H15*100,"")</f>
        <v/>
      </c>
      <c r="M15" s="134" t="s">
        <v>48</v>
      </c>
      <c r="N15" s="80" t="s">
        <v>49</v>
      </c>
      <c r="O15" s="70">
        <f>取值!L48</f>
        <v>65.42</v>
      </c>
      <c r="P15" s="70">
        <f>取值!L97</f>
        <v>390.58</v>
      </c>
      <c r="Q15" s="128">
        <f>取值!L146</f>
        <v>390.58</v>
      </c>
      <c r="R15" s="101"/>
      <c r="S15" s="201"/>
      <c r="T15" s="197"/>
      <c r="U15" s="205">
        <v>10941</v>
      </c>
      <c r="V15" s="205"/>
      <c r="W15" s="151"/>
      <c r="X15" s="198">
        <v>0</v>
      </c>
      <c r="Y15" s="199">
        <v>0</v>
      </c>
      <c r="Z15" s="200"/>
    </row>
    <row customHeight="1" ht="21.75">
      <c r="A16" s="150"/>
      <c r="B16" s="62" t="s">
        <v>50</v>
      </c>
      <c r="C16" s="188">
        <v>0.51</v>
      </c>
      <c r="D16" s="181">
        <f>取值!B20</f>
        <v>169</v>
      </c>
      <c r="E16" s="69">
        <f>_xlfn.IFERROR(取值!B69/10000,"")</f>
        <v>0.1128</v>
      </c>
      <c r="F16" s="66">
        <f>_xlfn.IFERROR(C16-E16,"")</f>
        <v>0.3972</v>
      </c>
      <c r="G16" s="181">
        <f>_xlfn.IFERROR(F16*10000/取值!B4,"")</f>
        <v>165.5</v>
      </c>
      <c r="H16" s="188">
        <v>0</v>
      </c>
      <c r="I16" s="182">
        <f>_xlfn.IFERROR(取值!B118/10000,"")</f>
        <v>0.1128</v>
      </c>
      <c r="J16" s="69">
        <f>_xlfn.IFERROR(H16-I16,"")</f>
        <v>-0.1128</v>
      </c>
      <c r="K16" s="75">
        <f>_xlfn.IFERROR(J16*10000/取值!C4,"")</f>
        <v>-3.15083798882682</v>
      </c>
      <c r="L16" s="186" t="str">
        <f>_xlfn.IFERROR(I16/H16*100,"")</f>
        <v/>
      </c>
      <c r="M16" s="135"/>
      <c r="N16" s="80" t="s">
        <v>51</v>
      </c>
      <c r="O16" s="81">
        <f>取值!L49</f>
        <v>2</v>
      </c>
      <c r="P16" s="81">
        <f>取值!L98</f>
        <v>12</v>
      </c>
      <c r="Q16" s="81">
        <f>取值!L147</f>
        <v>12</v>
      </c>
      <c r="R16" s="101"/>
      <c r="S16" s="201"/>
      <c r="T16" s="197"/>
      <c r="U16" s="202" t="s">
        <v>1</v>
      </c>
      <c r="V16" s="217" t="s">
        <v>1</v>
      </c>
      <c r="W16" s="151"/>
      <c r="X16" s="198">
        <v>0</v>
      </c>
      <c r="Y16" s="199">
        <v>0</v>
      </c>
      <c r="Z16" s="200"/>
    </row>
    <row customHeight="1" ht="21.75">
      <c r="A17" s="150"/>
      <c r="B17" s="62" t="s">
        <v>52</v>
      </c>
      <c r="C17" s="188">
        <v>14</v>
      </c>
      <c r="D17" s="181">
        <f>取值!B24</f>
        <v>0</v>
      </c>
      <c r="E17" s="69">
        <f>_xlfn.IFERROR(取值!B73/10000,"")</f>
        <v>2.173</v>
      </c>
      <c r="F17" s="66">
        <f>_xlfn.IFERROR(C17-E17,"")</f>
        <v>11.827</v>
      </c>
      <c r="G17" s="181">
        <f>_xlfn.IFERROR(F17*10000/取值!B4,"")</f>
        <v>4927.91666666667</v>
      </c>
      <c r="H17" s="188">
        <v>0</v>
      </c>
      <c r="I17" s="182">
        <f>_xlfn.IFERROR(取值!B122/10000+Z17,"")</f>
        <v>2.173</v>
      </c>
      <c r="J17" s="69">
        <f>_xlfn.IFERROR(H17-I17,"")</f>
        <v>-2.173</v>
      </c>
      <c r="K17" s="75">
        <f>_xlfn.IFERROR(J17*10000/取值!C4,"")</f>
        <v>-60.6983240223464</v>
      </c>
      <c r="L17" s="186" t="str">
        <f>_xlfn.IFERROR(I17/H17*100,"")</f>
        <v/>
      </c>
      <c r="M17" s="66"/>
      <c r="N17" s="78"/>
      <c r="O17" s="78"/>
      <c r="P17" s="78"/>
      <c r="Q17" s="78"/>
      <c r="R17" s="103"/>
      <c r="S17" s="201"/>
      <c r="T17" s="197"/>
      <c r="U17" s="202" t="s">
        <v>1</v>
      </c>
      <c r="V17" s="217" t="s">
        <v>1</v>
      </c>
      <c r="W17" s="151"/>
      <c r="X17" s="198">
        <v>0</v>
      </c>
      <c r="Y17" s="199">
        <v>0</v>
      </c>
      <c r="Z17" s="200"/>
    </row>
    <row customHeight="1" ht="21.75">
      <c r="A18" s="150"/>
      <c r="B18" s="62" t="s">
        <v>53</v>
      </c>
      <c r="C18" s="188"/>
      <c r="D18" s="181">
        <f>取值!A29</f>
        <v>9857</v>
      </c>
      <c r="E18" s="69">
        <f>_xlfn.IFERROR(取值!A78/10000,"")</f>
        <v>3.2478</v>
      </c>
      <c r="F18" s="66"/>
      <c r="G18" s="181"/>
      <c r="H18" s="188"/>
      <c r="I18" s="182">
        <f>_xlfn.IFERROR(取值!A127/10000,"")</f>
        <v>3.2478</v>
      </c>
      <c r="J18" s="69"/>
      <c r="K18" s="75"/>
      <c r="L18" s="186"/>
      <c r="M18" s="123"/>
      <c r="N18" s="124"/>
      <c r="O18" s="221"/>
      <c r="P18" s="221"/>
      <c r="Q18" s="222"/>
      <c r="R18" s="223"/>
      <c r="S18" s="201"/>
      <c r="T18" s="197"/>
      <c r="U18" s="161" t="s">
        <v>1</v>
      </c>
      <c r="V18" s="224" t="s">
        <v>1</v>
      </c>
      <c r="W18" s="151"/>
      <c r="X18" s="200"/>
      <c r="Y18" s="203"/>
      <c r="Z18" s="200"/>
    </row>
    <row customHeight="1" ht="21.75">
      <c r="A19" s="150"/>
      <c r="B19" s="62" t="s">
        <v>54</v>
      </c>
      <c r="C19" s="188">
        <v>11</v>
      </c>
      <c r="D19" s="181">
        <f>取值!B32</f>
        <v>834</v>
      </c>
      <c r="E19" s="69">
        <f>_xlfn.IFERROR(取值!B81/10000,"")</f>
        <v>2.1545</v>
      </c>
      <c r="F19" s="66">
        <f>_xlfn.IFERROR(C19-E19,"")</f>
        <v>8.8455</v>
      </c>
      <c r="G19" s="181">
        <f>_xlfn.IFERROR(F19*10000/取值!B4,"")</f>
        <v>3685.625</v>
      </c>
      <c r="H19" s="188">
        <v>0</v>
      </c>
      <c r="I19" s="182">
        <f>_xlfn.IFERROR(取值!B130/10000,"")</f>
        <v>2.1545</v>
      </c>
      <c r="J19" s="69">
        <f>_xlfn.IFERROR(H19-I19,"")</f>
        <v>-2.1545</v>
      </c>
      <c r="K19" s="75">
        <f>_xlfn.IFERROR(J19*10000/取值!C4,"")</f>
        <v>-60.1815642458101</v>
      </c>
      <c r="L19" s="186" t="str">
        <f>_xlfn.IFERROR(I19/H19*100,"")</f>
        <v/>
      </c>
      <c r="M19" s="123"/>
      <c r="N19" s="124"/>
      <c r="O19" s="221"/>
      <c r="P19" s="221"/>
      <c r="Q19" s="222"/>
      <c r="R19" s="223"/>
      <c r="S19" s="201"/>
      <c r="T19" s="197"/>
      <c r="U19" s="161" t="s">
        <v>1</v>
      </c>
      <c r="V19" s="224" t="s">
        <v>1</v>
      </c>
      <c r="W19" s="151"/>
      <c r="X19" s="198">
        <v>0</v>
      </c>
      <c r="Y19" s="199">
        <v>0</v>
      </c>
      <c r="Z19" s="200"/>
    </row>
    <row customHeight="1" ht="21.75">
      <c r="A20" s="150"/>
      <c r="B20" s="62" t="s">
        <v>55</v>
      </c>
      <c r="C20" s="188"/>
      <c r="D20" s="181">
        <f>取值!A37</f>
        <v>3322</v>
      </c>
      <c r="E20" s="69">
        <f>_xlfn.IFERROR(取值!A86/10000,"")</f>
        <v>2.4582</v>
      </c>
      <c r="F20" s="66"/>
      <c r="G20" s="181"/>
      <c r="H20" s="188"/>
      <c r="I20" s="182">
        <f>_xlfn.IFERROR(取值!A135/10000,"")</f>
        <v>2.4582</v>
      </c>
      <c r="J20" s="69"/>
      <c r="K20" s="75"/>
      <c r="L20" s="186"/>
      <c r="M20" s="124"/>
      <c r="N20" s="124"/>
      <c r="O20" s="124"/>
      <c r="P20" s="124"/>
      <c r="Q20" s="78"/>
      <c r="R20" s="103"/>
      <c r="S20" s="201"/>
      <c r="T20" s="197"/>
      <c r="U20" s="161" t="s">
        <v>1</v>
      </c>
      <c r="V20" s="224" t="s">
        <v>1</v>
      </c>
      <c r="W20" s="151"/>
      <c r="X20" s="225"/>
      <c r="Y20" s="225"/>
      <c r="Z20" s="200"/>
    </row>
    <row s="226" customFormat="1" customHeight="1" ht="21.75">
      <c r="A21" s="227"/>
      <c r="B21" s="120" t="s">
        <v>56</v>
      </c>
      <c r="C21" s="187">
        <v>0</v>
      </c>
      <c r="D21" s="181">
        <f>取值!L32</f>
        <v>0</v>
      </c>
      <c r="E21" s="69">
        <f>_xlfn.IFERROR(取值!N81/10000,"")</f>
        <v>0</v>
      </c>
      <c r="F21" s="66">
        <f>_xlfn.IFERROR(C21-E21,"")</f>
        <v>0</v>
      </c>
      <c r="G21" s="181">
        <f>_xlfn.IFERROR(F21*10000/取值!B4,"")</f>
        <v>0</v>
      </c>
      <c r="H21" s="187">
        <v>0</v>
      </c>
      <c r="I21" s="182">
        <f>_xlfn.IFERROR(取值!O130/10000,"")</f>
        <v>0</v>
      </c>
      <c r="J21" s="69">
        <f>_xlfn.IFERROR(H21-I21,"")</f>
        <v>0</v>
      </c>
      <c r="K21" s="75">
        <f>_xlfn.IFERROR(J21*10000/取值!C4,"")</f>
        <v>0</v>
      </c>
      <c r="L21" s="186" t="str">
        <f>_xlfn.IFERROR(I21/H21*100,"")</f>
        <v/>
      </c>
      <c r="M21" s="123"/>
      <c r="N21" s="124"/>
      <c r="O21" s="221"/>
      <c r="P21" s="221"/>
      <c r="Q21" s="222"/>
      <c r="R21" s="223"/>
      <c r="S21" s="201"/>
      <c r="T21" s="197"/>
      <c r="U21" s="161"/>
      <c r="V21" s="224"/>
      <c r="W21" s="151"/>
      <c r="X21" s="198">
        <v>0</v>
      </c>
      <c r="Y21" s="199">
        <v>0</v>
      </c>
      <c r="Z21" s="200"/>
    </row>
    <row s="229" customFormat="1" customHeight="1" ht="21.75">
      <c r="A22" s="227"/>
      <c r="B22" s="120" t="s">
        <v>57</v>
      </c>
      <c r="C22" s="188"/>
      <c r="D22" s="181">
        <f>取值!L37</f>
        <v>0</v>
      </c>
      <c r="E22" s="69">
        <f>_xlfn.IFERROR(取值!N86/10000,"")</f>
        <v>0</v>
      </c>
      <c r="F22" s="66"/>
      <c r="G22" s="181"/>
      <c r="H22" s="188"/>
      <c r="I22" s="182">
        <f>_xlfn.IFERROR(取值!O135/10000,"")</f>
        <v>0</v>
      </c>
      <c r="J22" s="69"/>
      <c r="K22" s="75"/>
      <c r="L22" s="186"/>
      <c r="M22" s="123"/>
      <c r="N22" s="124"/>
      <c r="O22" s="221"/>
      <c r="P22" s="221"/>
      <c r="Q22" s="222"/>
      <c r="R22" s="223"/>
      <c r="S22" s="201"/>
      <c r="T22" s="197"/>
      <c r="U22" s="161"/>
      <c r="V22" s="224"/>
      <c r="W22" s="151"/>
      <c r="X22" s="200"/>
      <c r="Y22" s="200"/>
      <c r="Z22" s="200"/>
    </row>
    <row customHeight="1" ht="21.75">
      <c r="A23" s="150"/>
      <c r="B23" s="62" t="s">
        <v>58</v>
      </c>
      <c r="C23" s="188">
        <v>25</v>
      </c>
      <c r="D23" s="181">
        <f>_xlfn.IFERROR(SUM(D17,D19,D21),"")</f>
        <v>834</v>
      </c>
      <c r="E23" s="182">
        <f>_xlfn.IFERROR(SUM(E17,E19,E21),"")</f>
        <v>4.3275</v>
      </c>
      <c r="F23" s="66">
        <f>_xlfn.IFERROR(C23-E23,"")</f>
        <v>20.6725</v>
      </c>
      <c r="G23" s="181">
        <f>_xlfn.IFERROR(F23*10000/取值!B4,"")</f>
        <v>8613.54166666667</v>
      </c>
      <c r="H23" s="188">
        <v>0</v>
      </c>
      <c r="I23" s="182">
        <f>_xlfn.IFERROR(SUM(I17,I19,I21),"")</f>
        <v>4.3275</v>
      </c>
      <c r="J23" s="69">
        <f>_xlfn.IFERROR(H23-I23,"")</f>
        <v>-4.3275</v>
      </c>
      <c r="K23" s="75">
        <f>_xlfn.IFERROR(J23*10000/取值!C4,"")</f>
        <v>-120.879888268156</v>
      </c>
      <c r="L23" s="186" t="str">
        <f>_xlfn.IFERROR(I23/H23*100,"")</f>
        <v/>
      </c>
      <c r="M23" s="66"/>
      <c r="N23" s="66"/>
      <c r="O23" s="66"/>
      <c r="P23" s="66"/>
      <c r="Q23" s="78"/>
      <c r="R23" s="103"/>
      <c r="S23" s="201"/>
      <c r="T23" s="197"/>
      <c r="U23" s="161" t="s">
        <v>1</v>
      </c>
      <c r="V23" s="161" t="s">
        <v>1</v>
      </c>
      <c r="W23" s="151"/>
      <c r="X23" s="225"/>
      <c r="Y23" s="225"/>
      <c r="Z23" s="200"/>
    </row>
    <row customHeight="1" ht="21.75">
      <c r="A24" s="150"/>
      <c r="B24" s="62" t="s">
        <v>59</v>
      </c>
      <c r="C24" s="188"/>
      <c r="D24" s="181">
        <f>_xlfn.IFERROR(SUM(D18,D20,D22),"")</f>
        <v>13179</v>
      </c>
      <c r="E24" s="182">
        <f>_xlfn.IFERROR(SUM(E18,E20,E22),"")</f>
        <v>5.706</v>
      </c>
      <c r="F24" s="66"/>
      <c r="G24" s="181"/>
      <c r="H24" s="188"/>
      <c r="I24" s="182">
        <f>_xlfn.IFERROR(SUM(I18,I20,I22),"")</f>
        <v>5.706</v>
      </c>
      <c r="J24" s="69"/>
      <c r="K24" s="75"/>
      <c r="L24" s="186"/>
      <c r="M24" s="80" t="s">
        <v>43</v>
      </c>
      <c r="N24" s="80" t="s">
        <v>44</v>
      </c>
      <c r="O24" s="80" t="s">
        <v>24</v>
      </c>
      <c r="P24" s="80" t="s">
        <v>45</v>
      </c>
      <c r="Q24" s="80" t="s">
        <v>46</v>
      </c>
      <c r="R24" s="100"/>
      <c r="S24" s="201"/>
      <c r="T24" s="197"/>
      <c r="U24" s="161" t="s">
        <v>1</v>
      </c>
      <c r="V24" s="161" t="s">
        <v>1</v>
      </c>
      <c r="W24" s="151"/>
      <c r="X24" s="225"/>
      <c r="Y24" s="225"/>
      <c r="Z24" s="200"/>
    </row>
    <row customHeight="1" ht="21.75">
      <c r="A25" s="150"/>
      <c r="B25" s="62" t="s">
        <v>60</v>
      </c>
      <c r="C25" s="188">
        <v>18</v>
      </c>
      <c r="D25" s="181">
        <f>取值!B40</f>
        <v>8542</v>
      </c>
      <c r="E25" s="69">
        <f>_xlfn.IFERROR(取值!B89/10000,"")</f>
        <v>5.0161</v>
      </c>
      <c r="F25" s="66">
        <f>_xlfn.IFERROR(C25-E25,"")</f>
        <v>12.9839</v>
      </c>
      <c r="G25" s="181">
        <f>_xlfn.IFERROR(F25*10000/取值!B4,"")</f>
        <v>5409.95833333333</v>
      </c>
      <c r="H25" s="188">
        <v>0</v>
      </c>
      <c r="I25" s="182">
        <f>_xlfn.IFERROR(取值!B138/10000+Z25,"")</f>
        <v>5.0161</v>
      </c>
      <c r="J25" s="69">
        <f>_xlfn.IFERROR(H25-I25,"")</f>
        <v>-5.0161</v>
      </c>
      <c r="K25" s="75">
        <f>_xlfn.IFERROR(J25*10000/取值!C4,"")</f>
        <v>-140.114525139665</v>
      </c>
      <c r="L25" s="186" t="str">
        <f>_xlfn.IFERROR(I25/H25*100,"")</f>
        <v/>
      </c>
      <c r="M25" s="134" t="s">
        <v>61</v>
      </c>
      <c r="N25" s="80" t="s">
        <v>49</v>
      </c>
      <c r="O25" s="230">
        <f>取值!M51</f>
        <v>0</v>
      </c>
      <c r="P25" s="180">
        <f>取值!M100</f>
        <v>0</v>
      </c>
      <c r="Q25" s="180">
        <f>取值!M149</f>
        <v>0</v>
      </c>
      <c r="R25" s="231"/>
      <c r="S25" s="201"/>
      <c r="T25" s="197"/>
      <c r="U25" s="161" t="s">
        <v>1</v>
      </c>
      <c r="V25" s="161" t="s">
        <v>1</v>
      </c>
      <c r="W25" s="151"/>
      <c r="X25" s="232">
        <v>0</v>
      </c>
      <c r="Y25" s="232">
        <v>0</v>
      </c>
      <c r="Z25" s="200"/>
    </row>
    <row customHeight="1" ht="21.75">
      <c r="A26" s="150"/>
      <c r="B26" s="62" t="s">
        <v>62</v>
      </c>
      <c r="C26" s="188"/>
      <c r="D26" s="181">
        <f>取值!A45</f>
        <v>3452</v>
      </c>
      <c r="E26" s="69">
        <f>_xlfn.IFERROR(取值!A94/10000,"")</f>
        <v>4.319</v>
      </c>
      <c r="F26" s="66"/>
      <c r="G26" s="181"/>
      <c r="H26" s="188"/>
      <c r="I26" s="182">
        <f>_xlfn.IFERROR(取值!A143/10000,"")</f>
        <v>4.319</v>
      </c>
      <c r="J26" s="69"/>
      <c r="K26" s="75"/>
      <c r="L26" s="186"/>
      <c r="M26" s="135"/>
      <c r="N26" s="80" t="s">
        <v>51</v>
      </c>
      <c r="O26" s="233">
        <f>_xlfn.IFERROR(ROUND(O25/30,0),"")</f>
        <v>0</v>
      </c>
      <c r="P26" s="233">
        <f>_xlfn.IFERROR(ROUND(P25/30,0),"")</f>
        <v>0</v>
      </c>
      <c r="Q26" s="233">
        <f>_xlfn.IFERROR(ROUND(Q25/30,0),"")</f>
        <v>0</v>
      </c>
      <c r="R26" s="231"/>
      <c r="S26" s="201"/>
      <c r="T26" s="197"/>
      <c r="U26" s="161" t="s">
        <v>1</v>
      </c>
      <c r="V26" s="161" t="s">
        <v>1</v>
      </c>
      <c r="W26" s="151"/>
      <c r="X26" s="225"/>
      <c r="Y26" s="225"/>
      <c r="Z26" s="200"/>
    </row>
    <row s="234" customFormat="1" customHeight="1" ht="21.75">
      <c r="A27" s="235"/>
      <c r="B27" s="115" t="s">
        <v>63</v>
      </c>
      <c r="C27" s="188">
        <v>1.92</v>
      </c>
      <c r="D27" s="181">
        <f>取值!B181</f>
        <v>0</v>
      </c>
      <c r="E27" s="69">
        <f>_xlfn.IFERROR(取值!C181/10000,"")</f>
        <v>0</v>
      </c>
      <c r="F27" s="66">
        <f>_xlfn.IFERROR(C27-E27,"")</f>
        <v>1.92</v>
      </c>
      <c r="G27" s="181">
        <f>_xlfn.IFERROR(F27*10000/取值!B4,"")</f>
        <v>800</v>
      </c>
      <c r="H27" s="188">
        <v>0</v>
      </c>
      <c r="I27" s="182">
        <f>_xlfn.IFERROR(取值!E181/10000,"")</f>
        <v>0</v>
      </c>
      <c r="J27" s="69">
        <f>_xlfn.IFERROR(H27-I27,"")</f>
        <v>0</v>
      </c>
      <c r="K27" s="75">
        <f>_xlfn.IFERROR(J27*10000/取值!C4,"")</f>
        <v>0</v>
      </c>
      <c r="L27" s="186" t="str">
        <f>_xlfn.IFERROR(I27/H27*100,"")</f>
        <v/>
      </c>
      <c r="M27" s="123"/>
      <c r="N27" s="124"/>
      <c r="O27" s="221"/>
      <c r="P27" s="221"/>
      <c r="Q27" s="222"/>
      <c r="R27" s="223"/>
      <c r="S27" s="201"/>
      <c r="T27" s="197"/>
      <c r="U27" s="161"/>
      <c r="V27" s="161"/>
      <c r="W27" s="151"/>
      <c r="X27" s="198">
        <v>0</v>
      </c>
      <c r="Y27" s="198">
        <v>0</v>
      </c>
      <c r="Z27" s="200"/>
    </row>
    <row s="237" customFormat="1" customHeight="1" ht="21.75">
      <c r="A28" s="235"/>
      <c r="B28" s="115" t="s">
        <v>64</v>
      </c>
      <c r="C28" s="188"/>
      <c r="D28" s="181">
        <f>取值!B182</f>
        <v>65.42</v>
      </c>
      <c r="E28" s="69">
        <f>_xlfn.IFERROR(取值!C182/10000,"")</f>
        <v>0.039058</v>
      </c>
      <c r="F28" s="66"/>
      <c r="G28" s="181"/>
      <c r="H28" s="188"/>
      <c r="I28" s="182">
        <f>_xlfn.IFERROR(取值!E182/10000,"")</f>
        <v>0.039058</v>
      </c>
      <c r="J28" s="69"/>
      <c r="K28" s="75"/>
      <c r="L28" s="186"/>
      <c r="M28" s="124"/>
      <c r="N28" s="124"/>
      <c r="O28" s="124"/>
      <c r="P28" s="124"/>
      <c r="Q28" s="78"/>
      <c r="R28" s="103"/>
      <c r="S28" s="201"/>
      <c r="T28" s="197"/>
      <c r="U28" s="161"/>
      <c r="V28" s="161"/>
      <c r="W28" s="151"/>
      <c r="X28" s="200"/>
      <c r="Y28" s="200"/>
      <c r="Z28" s="200"/>
    </row>
    <row customHeight="1" ht="21.75">
      <c r="A29" s="150"/>
      <c r="B29" s="169" t="s">
        <v>65</v>
      </c>
      <c r="C29" s="238" t="s">
        <v>66</v>
      </c>
      <c r="D29" s="145"/>
      <c r="E29" s="145"/>
      <c r="F29" s="145"/>
      <c r="G29" s="145"/>
      <c r="H29" s="145"/>
      <c r="I29" s="145"/>
      <c r="J29" s="145"/>
      <c r="K29" s="145"/>
      <c r="L29" s="145"/>
      <c r="M29" s="145"/>
      <c r="N29" s="145"/>
      <c r="O29" s="145"/>
      <c r="P29" s="145"/>
      <c r="Q29" s="145"/>
      <c r="R29" s="145"/>
      <c r="S29" s="224" t="s">
        <v>1</v>
      </c>
      <c r="T29" s="240" t="s">
        <v>1</v>
      </c>
      <c r="U29" s="161" t="s">
        <v>1</v>
      </c>
      <c r="V29" s="161" t="s">
        <v>1</v>
      </c>
      <c r="W29" s="151"/>
      <c r="X29" s="151"/>
      <c r="Y29" s="151"/>
      <c r="Z29" s="152"/>
    </row>
    <row customHeight="1" ht="21.75">
      <c r="A30" s="150"/>
      <c r="B30" s="169" t="s">
        <v>65</v>
      </c>
      <c r="C30" s="238" t="s">
        <v>67</v>
      </c>
      <c r="D30" s="145"/>
      <c r="E30" s="145"/>
      <c r="F30" s="145"/>
      <c r="G30" s="145"/>
      <c r="H30" s="145"/>
      <c r="I30" s="145"/>
      <c r="J30" s="145"/>
      <c r="K30" s="145"/>
      <c r="L30" s="145"/>
      <c r="M30" s="145"/>
      <c r="N30" s="145"/>
      <c r="O30" s="145"/>
      <c r="P30" s="145"/>
      <c r="Q30" s="145"/>
      <c r="R30" s="145"/>
      <c r="S30" s="224" t="s">
        <v>1</v>
      </c>
      <c r="T30" s="240" t="s">
        <v>1</v>
      </c>
      <c r="U30" s="161" t="s">
        <v>1</v>
      </c>
      <c r="V30" s="161" t="s">
        <v>1</v>
      </c>
      <c r="W30" s="151"/>
      <c r="X30" s="151"/>
      <c r="Y30" s="151"/>
      <c r="Z30" s="152"/>
    </row>
    <row customHeight="1" ht="21.75">
      <c r="A31" s="150"/>
      <c r="B31" s="241" t="s">
        <v>68</v>
      </c>
      <c r="C31" s="242" t="s">
        <v>69</v>
      </c>
      <c r="D31" s="243"/>
      <c r="E31" s="243" t="s">
        <v>1</v>
      </c>
      <c r="F31" s="243" t="s">
        <v>1</v>
      </c>
      <c r="G31" s="243" t="s">
        <v>1</v>
      </c>
      <c r="H31" s="243"/>
      <c r="I31" s="241" t="s">
        <v>70</v>
      </c>
      <c r="J31" s="242" t="s">
        <v>71</v>
      </c>
      <c r="K31" s="243"/>
      <c r="L31" s="243"/>
      <c r="M31" s="243"/>
      <c r="N31" s="243"/>
      <c r="O31" s="243" t="s">
        <v>1</v>
      </c>
      <c r="P31" s="241" t="s">
        <v>72</v>
      </c>
      <c r="Q31" s="242" t="s">
        <v>73</v>
      </c>
      <c r="R31" s="243" t="s">
        <v>1</v>
      </c>
      <c r="S31" s="224" t="s">
        <v>1</v>
      </c>
      <c r="T31" s="240" t="s">
        <v>1</v>
      </c>
      <c r="U31" s="161" t="s">
        <v>1</v>
      </c>
      <c r="V31" s="161" t="s">
        <v>1</v>
      </c>
      <c r="W31" s="151"/>
      <c r="X31" s="151"/>
      <c r="Y31" s="151"/>
      <c r="Z31" s="152"/>
    </row>
    <row customHeight="1" ht="12.75">
      <c r="A32" s="150"/>
      <c r="B32" s="150"/>
      <c r="C32" s="150"/>
      <c r="D32" s="150"/>
      <c r="E32" s="150"/>
      <c r="F32" s="150"/>
      <c r="G32" s="150"/>
      <c r="H32" s="150"/>
      <c r="I32" s="150"/>
      <c r="J32" s="150"/>
      <c r="K32" s="150"/>
      <c r="L32" s="150"/>
      <c r="M32" s="150"/>
      <c r="N32" s="150"/>
      <c r="O32" s="150"/>
      <c r="P32" s="150"/>
      <c r="Q32" s="150"/>
      <c r="R32" s="150"/>
      <c r="S32" s="150"/>
      <c r="T32" s="150"/>
      <c r="U32" s="150"/>
      <c r="V32" s="150"/>
      <c r="W32" s="151"/>
      <c r="X32" s="151"/>
      <c r="Y32" s="151"/>
      <c r="Z32" s="152"/>
    </row>
    <row customHeight="1" ht="12.75">
      <c r="A33" s="150"/>
      <c r="B33" s="150"/>
      <c r="C33" s="150"/>
      <c r="D33" s="150"/>
      <c r="E33" s="150"/>
      <c r="F33" s="150"/>
      <c r="G33" s="150"/>
      <c r="H33" s="150"/>
      <c r="I33" s="150"/>
      <c r="J33" s="150"/>
      <c r="K33" s="150"/>
      <c r="L33" s="150"/>
      <c r="M33" s="150"/>
      <c r="N33" s="150"/>
      <c r="O33" s="150"/>
      <c r="P33" s="150"/>
      <c r="Q33" s="150"/>
      <c r="R33" s="150"/>
      <c r="S33" s="150"/>
      <c r="T33" s="150"/>
      <c r="U33" s="150"/>
      <c r="V33" s="150"/>
      <c r="W33" s="151"/>
      <c r="X33" s="151"/>
      <c r="Y33" s="151"/>
      <c r="Z33" s="152"/>
    </row>
    <row customHeight="1" ht="12.75">
      <c r="A34" s="150"/>
      <c r="B34" s="150"/>
      <c r="C34" s="150"/>
      <c r="D34" s="150"/>
      <c r="E34" s="150"/>
      <c r="F34" s="150"/>
      <c r="G34" s="150"/>
      <c r="H34" s="150"/>
      <c r="I34" s="150"/>
      <c r="J34" s="150"/>
      <c r="K34" s="150"/>
      <c r="L34" s="150"/>
      <c r="M34" s="150"/>
      <c r="N34" s="150"/>
      <c r="O34" s="150"/>
      <c r="P34" s="150"/>
      <c r="Q34" s="150"/>
      <c r="R34" s="150"/>
      <c r="S34" s="150"/>
      <c r="T34" s="150"/>
      <c r="U34" s="150"/>
      <c r="V34" s="150"/>
      <c r="W34" s="151"/>
      <c r="X34" s="151"/>
      <c r="Y34" s="151"/>
      <c r="Z34" s="152"/>
    </row>
    <row customHeight="1" ht="12.75">
      <c r="A35" s="150"/>
      <c r="B35" s="150"/>
      <c r="C35" s="150"/>
      <c r="D35" s="150"/>
      <c r="E35" s="150"/>
      <c r="F35" s="150"/>
      <c r="G35" s="150"/>
      <c r="H35" s="150"/>
      <c r="I35" s="150"/>
      <c r="J35" s="150"/>
      <c r="K35" s="150"/>
      <c r="L35" s="150"/>
      <c r="M35" s="150"/>
      <c r="N35" s="150"/>
      <c r="O35" s="150"/>
      <c r="P35" s="150"/>
      <c r="Q35" s="150"/>
      <c r="R35" s="150"/>
      <c r="S35" s="150"/>
      <c r="T35" s="150"/>
      <c r="U35" s="150"/>
      <c r="V35" s="150"/>
      <c r="W35" s="151"/>
      <c r="X35" s="151"/>
      <c r="Y35" s="151"/>
      <c r="Z35" s="152"/>
    </row>
    <row customHeight="1" ht="12.75">
      <c r="A36" s="150"/>
      <c r="B36" s="150"/>
      <c r="C36" s="150"/>
      <c r="D36" s="150"/>
      <c r="E36" s="150"/>
      <c r="F36" s="150"/>
      <c r="G36" s="150"/>
      <c r="H36" s="150"/>
      <c r="I36" s="150"/>
      <c r="J36" s="150"/>
      <c r="K36" s="150"/>
      <c r="L36" s="150"/>
      <c r="M36" s="150"/>
      <c r="N36" s="150"/>
      <c r="O36" s="150"/>
      <c r="P36" s="150"/>
      <c r="Q36" s="150"/>
      <c r="R36" s="150"/>
      <c r="S36" s="150"/>
      <c r="T36" s="150"/>
      <c r="U36" s="150"/>
      <c r="V36" s="150"/>
      <c r="W36" s="151"/>
      <c r="X36" s="151"/>
      <c r="Y36" s="151"/>
      <c r="Z36" s="152"/>
    </row>
    <row customHeight="1" ht="12.75">
      <c r="A37" s="150"/>
      <c r="B37" s="150"/>
      <c r="C37" s="150"/>
      <c r="D37" s="150"/>
      <c r="E37" s="150"/>
      <c r="F37" s="150"/>
      <c r="G37" s="150"/>
      <c r="H37" s="150"/>
      <c r="I37" s="150"/>
      <c r="J37" s="150"/>
      <c r="K37" s="150"/>
      <c r="L37" s="150"/>
      <c r="M37" s="150"/>
      <c r="N37" s="150"/>
      <c r="O37" s="150"/>
      <c r="P37" s="150"/>
      <c r="Q37" s="150"/>
      <c r="R37" s="150"/>
      <c r="S37" s="150"/>
      <c r="T37" s="150"/>
      <c r="U37" s="150"/>
      <c r="V37" s="150"/>
      <c r="W37" s="151"/>
      <c r="X37" s="151"/>
      <c r="Y37" s="151"/>
      <c r="Z37" s="152"/>
    </row>
    <row customHeight="1" ht="12.75">
      <c r="A38" s="150"/>
      <c r="B38" s="150"/>
      <c r="C38" s="150"/>
      <c r="D38" s="150"/>
      <c r="E38" s="150"/>
      <c r="F38" s="150"/>
      <c r="G38" s="150"/>
      <c r="H38" s="150"/>
      <c r="I38" s="150"/>
      <c r="J38" s="150"/>
      <c r="K38" s="150"/>
      <c r="L38" s="150"/>
      <c r="M38" s="150"/>
      <c r="N38" s="150"/>
      <c r="O38" s="150"/>
      <c r="P38" s="150"/>
      <c r="Q38" s="150"/>
      <c r="R38" s="150"/>
      <c r="S38" s="150"/>
      <c r="T38" s="150"/>
      <c r="U38" s="150"/>
      <c r="V38" s="150"/>
      <c r="W38" s="151"/>
      <c r="X38" s="151"/>
      <c r="Y38" s="151"/>
      <c r="Z38" s="152"/>
    </row>
    <row customHeight="1" ht="12.75">
      <c r="A39" s="150"/>
      <c r="B39" s="150"/>
      <c r="C39" s="150"/>
      <c r="D39" s="150"/>
      <c r="E39" s="150"/>
      <c r="F39" s="150"/>
      <c r="G39" s="150"/>
      <c r="H39" s="150"/>
      <c r="I39" s="150"/>
      <c r="J39" s="150"/>
      <c r="K39" s="150"/>
      <c r="L39" s="150"/>
      <c r="M39" s="150"/>
      <c r="N39" s="150"/>
      <c r="O39" s="150"/>
      <c r="P39" s="150"/>
      <c r="Q39" s="150"/>
      <c r="R39" s="150"/>
      <c r="S39" s="150"/>
      <c r="T39" s="150"/>
      <c r="U39" s="150"/>
      <c r="V39" s="150"/>
      <c r="W39" s="151"/>
      <c r="X39" s="151"/>
      <c r="Y39" s="151"/>
      <c r="Z39" s="152"/>
    </row>
    <row customHeight="1" ht="12.75">
      <c r="A40" s="150"/>
      <c r="B40" s="150"/>
      <c r="C40" s="150"/>
      <c r="D40" s="150"/>
      <c r="E40" s="150"/>
      <c r="F40" s="150"/>
      <c r="G40" s="150"/>
      <c r="H40" s="150"/>
      <c r="I40" s="150"/>
      <c r="J40" s="150"/>
      <c r="K40" s="150"/>
      <c r="L40" s="150"/>
      <c r="M40" s="150"/>
      <c r="N40" s="150"/>
      <c r="O40" s="150"/>
      <c r="P40" s="150"/>
      <c r="Q40" s="150"/>
      <c r="R40" s="150"/>
      <c r="S40" s="150"/>
      <c r="T40" s="150"/>
      <c r="U40" s="150"/>
      <c r="V40" s="150"/>
      <c r="W40" s="151"/>
      <c r="X40" s="151"/>
      <c r="Y40" s="151"/>
      <c r="Z40" s="152"/>
    </row>
    <row customHeight="1" ht="12.75">
      <c r="A41" s="150"/>
      <c r="B41" s="150"/>
      <c r="C41" s="150"/>
      <c r="D41" s="150"/>
      <c r="E41" s="150"/>
      <c r="F41" s="150"/>
      <c r="G41" s="150"/>
      <c r="H41" s="150"/>
      <c r="I41" s="150"/>
      <c r="J41" s="150"/>
      <c r="K41" s="150"/>
      <c r="L41" s="150"/>
      <c r="M41" s="150"/>
      <c r="N41" s="150"/>
      <c r="O41" s="150"/>
      <c r="P41" s="150"/>
      <c r="Q41" s="150"/>
      <c r="R41" s="150"/>
      <c r="S41" s="150"/>
      <c r="T41" s="150"/>
      <c r="U41" s="150"/>
      <c r="V41" s="150"/>
      <c r="W41" s="151"/>
      <c r="X41" s="151"/>
      <c r="Y41" s="151"/>
      <c r="Z41" s="152"/>
    </row>
  </sheetData>
  <mergeCells count="17">
    <mergeCell ref="S4:V4"/>
    <mergeCell ref="C29:R29"/>
    <mergeCell ref="U13:U14"/>
    <mergeCell ref="V13:V14"/>
    <mergeCell ref="B2:R2"/>
    <mergeCell ref="B3:C3"/>
    <mergeCell ref="H3:I3"/>
    <mergeCell ref="L3:M3"/>
    <mergeCell ref="O3:R3"/>
    <mergeCell ref="C30:R30"/>
    <mergeCell ref="B4:B5"/>
    <mergeCell ref="B29:B30"/>
    <mergeCell ref="M15:M16"/>
    <mergeCell ref="M25:M26"/>
    <mergeCell ref="C4:G4"/>
    <mergeCell ref="H4:L4"/>
    <mergeCell ref="M4:R4"/>
  </mergeCells>
  <conditionalFormatting sqref="Q17:R17 R6:R12">
    <cfRule type="cellIs" priority="9" dxfId="0" operator="lessThan">
      <formula>0</formula>
    </cfRule>
  </conditionalFormatting>
  <conditionalFormatting sqref="Q17:R17 R6:R12">
    <cfRule type="cellIs" priority="10" dxfId="1" operator="greaterThan">
      <formula>0</formula>
    </cfRule>
  </conditionalFormatting>
  <conditionalFormatting sqref="X6:Y28">
    <cfRule type="cellIs" priority="1" dxfId="2" operator="equal">
      <formula>0</formula>
    </cfRule>
  </conditionalFormatting>
  <printOptions horizontalCentered="1"/>
  <pageMargins left="0.71" right="0.71" top="0.75" bottom="0.75" header="0.31" footer="0.31"/>
  <pageSetup paperSize="9" scale="70" pageOrder="downThenOver" orientation="landscape"/>
  <headerFooter>
    <oddHeader>&amp;L&amp;C&amp;R</oddHeader>
    <oddFooter>&amp;L&amp;C&amp;R</oddFooter>
    <evenHeader>&amp;L&amp;C&amp;R</evenHeader>
    <evenFooter>&amp;L&amp;C&amp;R</even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61647C7A-D6C8-7EF3-14E8-92A1CE8B1B03}" mc:Ignorable="x14ac xr xr2 xr3">
  <dimension ref="A1:R182"/>
  <sheetViews>
    <sheetView defaultGridColor="0" colorId="31" topLeftCell="A142" workbookViewId="0">
      <selection activeCell="E181" sqref="E181"/>
    </sheetView>
  </sheetViews>
  <sheetFormatPr defaultColWidth="9.00390625" customHeight="1" defaultRowHeight="14.25"/>
  <cols>
    <col min="1" max="1" style="265" width="19.28125" customWidth="1"/>
    <col min="15" max="15" style="266" width="9.421875" customWidth="1"/>
    <col min="16" max="16" style="267" width="9.421875" customWidth="1"/>
    <col min="17" max="17" style="268" width="9.421875" customWidth="1"/>
  </cols>
  <sheetData>
    <row customHeight="1" ht="14.25">
      <c r="A1" s="247" t="s">
        <v>74</v>
      </c>
      <c r="B1" s="247" t="s">
        <v>75</v>
      </c>
      <c r="C1" s="248" t="s">
        <v>76</v>
      </c>
      <c r="D1" s="152"/>
      <c r="E1" s="247" t="s">
        <v>69</v>
      </c>
      <c r="F1" s="152"/>
      <c r="G1" s="152"/>
      <c r="H1" s="152"/>
      <c r="I1" s="152"/>
      <c r="J1" s="152"/>
      <c r="K1" s="152"/>
      <c r="L1" s="152"/>
      <c r="M1" s="152"/>
      <c r="N1" s="152"/>
      <c r="O1" s="247" t="s">
        <v>77</v>
      </c>
      <c r="P1" s="247" t="s">
        <v>78</v>
      </c>
      <c r="Q1" s="151"/>
      <c r="R1" s="152"/>
    </row>
    <row customHeight="1" ht="14.25">
      <c r="A2" s="151"/>
      <c r="B2" s="152"/>
      <c r="C2" s="152"/>
      <c r="D2" s="152"/>
      <c r="E2" s="152" t="s">
        <v>71</v>
      </c>
      <c r="F2" s="152"/>
      <c r="G2" s="152"/>
      <c r="H2" s="152"/>
      <c r="I2" s="152"/>
      <c r="J2" s="152"/>
      <c r="K2" s="152"/>
      <c r="L2" s="152"/>
      <c r="M2" s="152"/>
      <c r="N2" s="152" t="s">
        <v>79</v>
      </c>
      <c r="O2" s="249">
        <f>_xlfn.IFERROR(ROUND(SUM(O3,O6,O7)/10000,2),0)</f>
        <v>11.73</v>
      </c>
      <c r="P2" s="250">
        <f>_xlfn.IFERROR(ROUND(SUM(P3,P6,P7)/10000,2),0)</f>
        <v>11.73</v>
      </c>
      <c r="Q2" s="250">
        <f>_xlfn.IFERROR(ROUND(O4/10000,2),0)</f>
        <v>0</v>
      </c>
      <c r="R2" s="250">
        <f>_xlfn.IFERROR(ROUND(P4/10000,2),0)</f>
        <v>0</v>
      </c>
    </row>
    <row customHeight="1" ht="14.25">
      <c r="A3" s="151"/>
      <c r="B3" s="251" t="s">
        <v>80</v>
      </c>
      <c r="C3" s="251" t="s">
        <v>81</v>
      </c>
      <c r="D3" s="152"/>
      <c r="E3" s="152" t="s">
        <v>73</v>
      </c>
      <c r="F3" s="152"/>
      <c r="G3" s="152"/>
      <c r="H3" s="152"/>
      <c r="I3" s="152"/>
      <c r="J3" s="152"/>
      <c r="K3" s="152"/>
      <c r="L3" s="152"/>
      <c r="M3" s="152"/>
      <c r="N3" s="152" t="s">
        <v>82</v>
      </c>
      <c r="O3" s="252">
        <f>SUM(O4:O5)</f>
        <v>117312.5</v>
      </c>
      <c r="P3" s="253">
        <f>SUM(P4:P5)</f>
        <v>117312.5</v>
      </c>
      <c r="Q3" s="151"/>
      <c r="R3" s="152"/>
    </row>
    <row customHeight="1" ht="14.25">
      <c r="A4" s="151"/>
      <c r="B4" s="152">
        <v>24</v>
      </c>
      <c r="C4" s="152">
        <v>358</v>
      </c>
      <c r="D4" s="152"/>
      <c r="E4" s="152"/>
      <c r="F4" s="152"/>
      <c r="G4" s="152"/>
      <c r="H4" s="152"/>
      <c r="I4" s="152"/>
      <c r="J4" s="152"/>
      <c r="K4" s="152"/>
      <c r="L4" s="152"/>
      <c r="M4" s="152"/>
      <c r="N4" s="152" t="s">
        <v>83</v>
      </c>
      <c r="O4" s="254">
        <v>0</v>
      </c>
      <c r="P4" s="255">
        <v>0</v>
      </c>
      <c r="Q4" s="151"/>
      <c r="R4" s="152"/>
    </row>
    <row customHeight="1" ht="14.25">
      <c r="A5" s="151"/>
      <c r="B5" s="152"/>
      <c r="C5" s="152"/>
      <c r="D5" s="152"/>
      <c r="E5" s="152"/>
      <c r="F5" s="152"/>
      <c r="G5" s="152"/>
      <c r="H5" s="152"/>
      <c r="I5" s="152"/>
      <c r="J5" s="152"/>
      <c r="K5" s="152"/>
      <c r="L5" s="152"/>
      <c r="M5" s="152"/>
      <c r="N5" s="152" t="s">
        <v>84</v>
      </c>
      <c r="O5" s="253">
        <v>117312.5</v>
      </c>
      <c r="P5" s="253">
        <v>117312.5</v>
      </c>
      <c r="Q5" s="151"/>
      <c r="R5" s="152"/>
    </row>
    <row customHeight="1" ht="14.25">
      <c r="A6" s="151"/>
      <c r="B6" s="251" t="s">
        <v>85</v>
      </c>
      <c r="C6" s="251"/>
      <c r="D6" s="152"/>
      <c r="E6" s="152"/>
      <c r="F6" s="152"/>
      <c r="G6" s="152"/>
      <c r="H6" s="152"/>
      <c r="I6" s="152"/>
      <c r="J6" s="152"/>
      <c r="K6" s="152"/>
      <c r="L6" s="152"/>
      <c r="M6" s="152"/>
      <c r="N6" s="152" t="s">
        <v>86</v>
      </c>
      <c r="O6" s="253">
        <v>0</v>
      </c>
      <c r="P6" s="253">
        <v>0</v>
      </c>
      <c r="Q6" s="151"/>
      <c r="R6" s="152"/>
    </row>
    <row customHeight="1" ht="14.25">
      <c r="A7" s="151"/>
      <c r="B7" s="152">
        <v>9501</v>
      </c>
      <c r="C7" s="152"/>
      <c r="D7" s="152"/>
      <c r="E7" s="152"/>
      <c r="F7" s="152"/>
      <c r="G7" s="152"/>
      <c r="H7" s="152"/>
      <c r="I7" s="152"/>
      <c r="J7" s="152"/>
      <c r="K7" s="152"/>
      <c r="L7" s="152"/>
      <c r="M7" s="152"/>
      <c r="N7" s="152" t="s">
        <v>87</v>
      </c>
      <c r="O7" s="253">
        <f>SUM(O8:O11)</f>
        <v>0</v>
      </c>
      <c r="P7" s="253">
        <f>SUM(P8:P11)</f>
        <v>0</v>
      </c>
      <c r="Q7" s="151"/>
      <c r="R7" s="152"/>
    </row>
    <row customHeight="1" ht="14.25">
      <c r="A8" s="151"/>
      <c r="B8" s="152">
        <v>7325</v>
      </c>
      <c r="C8" s="152"/>
      <c r="D8" s="152"/>
      <c r="E8" s="152"/>
      <c r="F8" s="152"/>
      <c r="G8" s="152"/>
      <c r="H8" s="152"/>
      <c r="I8" s="152"/>
      <c r="J8" s="152"/>
      <c r="K8" s="152"/>
      <c r="L8" s="152"/>
      <c r="M8" s="152"/>
      <c r="N8" s="152" t="s">
        <v>88</v>
      </c>
      <c r="O8" s="253">
        <v>0</v>
      </c>
      <c r="P8" s="253">
        <v>0</v>
      </c>
      <c r="Q8" s="151"/>
      <c r="R8" s="152"/>
    </row>
    <row customHeight="1" ht="14.25">
      <c r="A9" s="151"/>
      <c r="B9" s="152">
        <v>6000</v>
      </c>
      <c r="C9" s="152"/>
      <c r="D9" s="152"/>
      <c r="E9" s="152"/>
      <c r="F9" s="152"/>
      <c r="G9" s="152"/>
      <c r="H9" s="152"/>
      <c r="I9" s="152"/>
      <c r="J9" s="152"/>
      <c r="K9" s="152"/>
      <c r="L9" s="152"/>
      <c r="M9" s="152"/>
      <c r="N9" s="152" t="s">
        <v>89</v>
      </c>
      <c r="O9" s="253">
        <v>0</v>
      </c>
      <c r="P9" s="253">
        <v>0</v>
      </c>
      <c r="Q9" s="151"/>
      <c r="R9" s="152"/>
    </row>
    <row customHeight="1" ht="14.25">
      <c r="A10" s="151"/>
      <c r="B10" s="152">
        <v>2809</v>
      </c>
      <c r="C10" s="152"/>
      <c r="D10" s="152"/>
      <c r="E10" s="152"/>
      <c r="F10" s="152"/>
      <c r="G10" s="152"/>
      <c r="H10" s="152"/>
      <c r="I10" s="152"/>
      <c r="J10" s="152"/>
      <c r="K10" s="152"/>
      <c r="L10" s="152"/>
      <c r="M10" s="152"/>
      <c r="N10" s="152" t="s">
        <v>90</v>
      </c>
      <c r="O10" s="253">
        <v>0</v>
      </c>
      <c r="P10" s="253">
        <v>0</v>
      </c>
      <c r="Q10" s="151"/>
      <c r="R10" s="152"/>
    </row>
    <row customHeight="1" ht="14.25">
      <c r="A11" s="151"/>
      <c r="B11" s="152">
        <v>946</v>
      </c>
      <c r="C11" s="152"/>
      <c r="D11" s="152"/>
      <c r="E11" s="152"/>
      <c r="F11" s="152"/>
      <c r="G11" s="152"/>
      <c r="H11" s="152"/>
      <c r="I11" s="152"/>
      <c r="J11" s="152"/>
      <c r="K11" s="152"/>
      <c r="L11" s="152"/>
      <c r="M11" s="152"/>
      <c r="N11" s="152" t="s">
        <v>91</v>
      </c>
      <c r="O11" s="253">
        <v>0</v>
      </c>
      <c r="P11" s="253">
        <v>0</v>
      </c>
      <c r="Q11" s="151"/>
      <c r="R11" s="152"/>
    </row>
    <row customHeight="1" ht="14.25">
      <c r="A12" s="151"/>
      <c r="B12" s="256">
        <v>305</v>
      </c>
      <c r="C12" s="152"/>
      <c r="D12" s="152"/>
      <c r="E12" s="152"/>
      <c r="F12" s="152"/>
      <c r="G12" s="152"/>
      <c r="H12" s="152"/>
      <c r="I12" s="152"/>
      <c r="J12" s="152"/>
      <c r="K12" s="152"/>
      <c r="L12" s="152"/>
      <c r="M12" s="152"/>
      <c r="N12" s="152"/>
      <c r="O12" s="151"/>
      <c r="P12" s="151"/>
      <c r="Q12" s="151"/>
      <c r="R12" s="152"/>
    </row>
    <row customHeight="1" ht="14.25">
      <c r="A13" s="151"/>
      <c r="B13" s="256">
        <v>0</v>
      </c>
      <c r="C13" s="152"/>
      <c r="D13" s="152"/>
      <c r="E13" s="152"/>
      <c r="F13" s="152"/>
      <c r="G13" s="152"/>
      <c r="H13" s="152"/>
      <c r="I13" s="152"/>
      <c r="J13" s="152"/>
      <c r="K13" s="152"/>
      <c r="L13" s="152"/>
      <c r="M13" s="152"/>
      <c r="N13" s="152" t="s">
        <v>92</v>
      </c>
      <c r="O13" s="253"/>
      <c r="P13" s="253"/>
      <c r="Q13" s="151"/>
      <c r="R13" s="152"/>
    </row>
    <row customHeight="1" ht="14.25">
      <c r="A14" s="151"/>
      <c r="B14" s="256">
        <v>0</v>
      </c>
      <c r="C14" s="152"/>
      <c r="D14" s="152"/>
      <c r="E14" s="152"/>
      <c r="F14" s="152"/>
      <c r="G14" s="152"/>
      <c r="H14" s="152"/>
      <c r="I14" s="152"/>
      <c r="J14" s="152"/>
      <c r="K14" s="152"/>
      <c r="L14" s="152"/>
      <c r="M14" s="152"/>
      <c r="N14" s="152" t="s">
        <v>93</v>
      </c>
      <c r="O14" s="151"/>
      <c r="P14" s="151"/>
      <c r="Q14" s="151"/>
      <c r="R14" s="152"/>
    </row>
    <row customHeight="1" ht="14.25">
      <c r="A15" s="151"/>
      <c r="B15" s="256">
        <v>0</v>
      </c>
      <c r="C15" s="152"/>
      <c r="D15" s="152"/>
      <c r="E15" s="152"/>
      <c r="F15" s="152"/>
      <c r="G15" s="152"/>
      <c r="H15" s="152"/>
      <c r="I15" s="152"/>
      <c r="J15" s="152"/>
      <c r="K15" s="152"/>
      <c r="L15" s="152"/>
      <c r="M15" s="152"/>
      <c r="N15" s="247" t="s">
        <v>94</v>
      </c>
      <c r="O15" s="151"/>
      <c r="P15" s="151"/>
      <c r="Q15" s="151"/>
      <c r="R15" s="152"/>
    </row>
    <row customHeight="1" ht="14.25">
      <c r="A16" s="151"/>
      <c r="B16" s="256">
        <v>0</v>
      </c>
      <c r="C16" s="152"/>
      <c r="D16" s="152"/>
      <c r="E16" s="152"/>
      <c r="F16" s="152"/>
      <c r="G16" s="152"/>
      <c r="H16" s="152"/>
      <c r="I16" s="152"/>
      <c r="J16" s="152"/>
      <c r="K16" s="152"/>
      <c r="L16" s="152"/>
      <c r="M16" s="152"/>
      <c r="N16" s="247" t="s">
        <v>95</v>
      </c>
      <c r="O16" s="151"/>
      <c r="P16" s="151"/>
      <c r="Q16" s="151"/>
      <c r="R16" s="152"/>
    </row>
    <row customHeight="1" ht="14.25">
      <c r="A17" s="151"/>
      <c r="B17" s="256">
        <v>0</v>
      </c>
      <c r="C17" s="152"/>
      <c r="D17" s="152"/>
      <c r="E17" s="152"/>
      <c r="F17" s="152"/>
      <c r="G17" s="152"/>
      <c r="H17" s="152"/>
      <c r="I17" s="152"/>
      <c r="J17" s="152"/>
      <c r="K17" s="152"/>
      <c r="L17" s="152"/>
      <c r="M17" s="152"/>
      <c r="N17" s="247" t="s">
        <v>96</v>
      </c>
      <c r="O17" s="151"/>
      <c r="P17" s="151"/>
      <c r="Q17" s="151"/>
      <c r="R17" s="152"/>
    </row>
    <row customHeight="1" ht="14.25">
      <c r="A18" s="257">
        <f>_xlfn.IFERROR(SUM(B12,B13,B14,B15,B16,B17,B18),"")</f>
        <v>305</v>
      </c>
      <c r="B18" s="256">
        <v>0</v>
      </c>
      <c r="C18" s="152"/>
      <c r="D18" s="152"/>
      <c r="E18" s="152"/>
      <c r="F18" s="152"/>
      <c r="G18" s="152"/>
      <c r="H18" s="152"/>
      <c r="I18" s="152"/>
      <c r="J18" s="152"/>
      <c r="K18" s="152"/>
      <c r="L18" s="152"/>
      <c r="M18" s="152"/>
      <c r="N18" s="152" t="s">
        <v>93</v>
      </c>
      <c r="O18" s="151"/>
      <c r="P18" s="151"/>
      <c r="Q18" s="151"/>
      <c r="R18" s="152"/>
    </row>
    <row customHeight="1" ht="14.25">
      <c r="A19" s="151"/>
      <c r="B19" s="152">
        <v>108</v>
      </c>
      <c r="C19" s="152"/>
      <c r="D19" s="152"/>
      <c r="E19" s="152"/>
      <c r="F19" s="152"/>
      <c r="G19" s="152"/>
      <c r="H19" s="152"/>
      <c r="I19" s="152"/>
      <c r="J19" s="152"/>
      <c r="K19" s="152"/>
      <c r="L19" s="152"/>
      <c r="M19" s="152"/>
      <c r="N19" s="152" t="s">
        <v>94</v>
      </c>
      <c r="O19" s="151"/>
      <c r="P19" s="151"/>
      <c r="Q19" s="151"/>
      <c r="R19" s="152"/>
    </row>
    <row customHeight="1" ht="14.25">
      <c r="A20" s="151"/>
      <c r="B20" s="152">
        <v>169</v>
      </c>
      <c r="C20" s="152"/>
      <c r="D20" s="152"/>
      <c r="E20" s="152"/>
      <c r="F20" s="152"/>
      <c r="G20" s="152"/>
      <c r="H20" s="152"/>
      <c r="I20" s="152"/>
      <c r="J20" s="152"/>
      <c r="K20" s="152"/>
      <c r="L20" s="152"/>
      <c r="M20" s="152"/>
      <c r="N20" s="152" t="s">
        <v>97</v>
      </c>
      <c r="O20" s="151"/>
      <c r="P20" s="151"/>
      <c r="Q20" s="151"/>
      <c r="R20" s="152"/>
    </row>
    <row customHeight="1" ht="14.25">
      <c r="A21" s="151"/>
      <c r="B21" s="152">
        <v>151</v>
      </c>
      <c r="C21" s="152"/>
      <c r="D21" s="152"/>
      <c r="E21" s="152"/>
      <c r="F21" s="152"/>
      <c r="G21" s="152"/>
      <c r="H21" s="152"/>
      <c r="I21" s="152"/>
      <c r="J21" s="152"/>
      <c r="K21" s="152"/>
      <c r="L21" s="152"/>
      <c r="M21" s="152"/>
      <c r="N21" s="152" t="s">
        <v>98</v>
      </c>
      <c r="O21" s="151"/>
      <c r="P21" s="151"/>
      <c r="Q21" s="151"/>
      <c r="R21" s="152"/>
    </row>
    <row customHeight="1" ht="14.25">
      <c r="A22" s="151"/>
      <c r="B22" s="152"/>
      <c r="C22" s="152"/>
      <c r="D22" s="152"/>
      <c r="E22" s="152"/>
      <c r="F22" s="152"/>
      <c r="G22" s="152"/>
      <c r="H22" s="152"/>
      <c r="I22" s="152"/>
      <c r="J22" s="152"/>
      <c r="K22" s="152"/>
      <c r="L22" s="152"/>
      <c r="M22" s="152"/>
      <c r="N22" s="152" t="s">
        <v>99</v>
      </c>
      <c r="O22" s="151"/>
      <c r="P22" s="151"/>
      <c r="Q22" s="151"/>
      <c r="R22" s="152"/>
    </row>
    <row customHeight="1" ht="14.25">
      <c r="A23" s="151"/>
      <c r="B23" s="251" t="s">
        <v>52</v>
      </c>
      <c r="C23" s="152"/>
      <c r="D23" s="152"/>
      <c r="E23" s="152"/>
      <c r="F23" s="152"/>
      <c r="G23" s="152"/>
      <c r="H23" s="152"/>
      <c r="I23" s="152"/>
      <c r="J23" s="152"/>
      <c r="K23" s="152"/>
      <c r="L23" s="152"/>
      <c r="M23" s="152"/>
      <c r="N23" s="152">
        <f>SUM(C4)</f>
        <v>358</v>
      </c>
      <c r="O23" s="151"/>
      <c r="P23" s="151"/>
      <c r="Q23" s="151"/>
      <c r="R23" s="152"/>
    </row>
    <row customHeight="1" ht="14.25">
      <c r="A24" s="151"/>
      <c r="B24" s="152"/>
      <c r="C24" s="152"/>
      <c r="D24" s="152"/>
      <c r="E24" s="152"/>
      <c r="F24" s="152"/>
      <c r="G24" s="152"/>
      <c r="H24" s="152"/>
      <c r="I24" s="152"/>
      <c r="J24" s="152"/>
      <c r="K24" s="152"/>
      <c r="L24" s="152"/>
      <c r="M24" s="152"/>
      <c r="N24" s="152"/>
      <c r="O24" s="151"/>
      <c r="P24" s="151"/>
      <c r="Q24" s="151"/>
      <c r="R24" s="152"/>
    </row>
    <row customHeight="1" ht="14.25">
      <c r="A25" s="151"/>
      <c r="B25" s="152"/>
      <c r="C25" s="152"/>
      <c r="D25" s="152"/>
      <c r="E25" s="152"/>
      <c r="F25" s="152"/>
      <c r="G25" s="152"/>
      <c r="H25" s="152"/>
      <c r="I25" s="152"/>
      <c r="J25" s="152"/>
      <c r="K25" s="152"/>
      <c r="L25" s="152"/>
      <c r="M25" s="152"/>
      <c r="N25" s="152" t="str">
        <f>N13&amp;O2&amp;N14&amp;N15&amp;Q2&amp;N16&amp;N17&amp;P2&amp;N18&amp;N19&amp;R2&amp;N20</f>
        <v>本月接收原油11.73万吨，其中接收长庆原油0万吨；全年接收原油11.73万吨，其中接收长庆原油0万吨。</v>
      </c>
      <c r="O25" s="151"/>
      <c r="P25" s="151"/>
      <c r="Q25" s="151"/>
      <c r="R25" s="152"/>
    </row>
    <row customHeight="1" ht="14.25">
      <c r="A26" s="151"/>
      <c r="B26" s="251" t="s">
        <v>53</v>
      </c>
      <c r="C26" s="152"/>
      <c r="D26" s="152"/>
      <c r="E26" s="152"/>
      <c r="F26" s="152"/>
      <c r="G26" s="152"/>
      <c r="H26" s="152"/>
      <c r="I26" s="152"/>
      <c r="J26" s="152"/>
      <c r="K26" s="152"/>
      <c r="L26" s="152"/>
      <c r="M26" s="152"/>
      <c r="N26" s="152" t="str">
        <f>N21&amp;N23&amp;N22</f>
        <v>距离12月底还有358天。</v>
      </c>
      <c r="O26" s="151"/>
      <c r="P26" s="151"/>
      <c r="Q26" s="151"/>
      <c r="R26" s="152"/>
    </row>
    <row customHeight="1" ht="14.25">
      <c r="A27" s="151"/>
      <c r="B27" s="256">
        <v>20</v>
      </c>
      <c r="C27" s="152"/>
      <c r="D27" s="152"/>
      <c r="E27" s="152"/>
      <c r="F27" s="152"/>
      <c r="G27" s="152"/>
      <c r="H27" s="152"/>
      <c r="I27" s="152"/>
      <c r="J27" s="152"/>
      <c r="K27" s="152"/>
      <c r="L27" s="152"/>
      <c r="M27" s="152"/>
      <c r="N27" s="152"/>
      <c r="O27" s="151"/>
      <c r="P27" s="151"/>
      <c r="Q27" s="151"/>
      <c r="R27" s="152"/>
    </row>
    <row customHeight="1" ht="14.25">
      <c r="A28" s="151"/>
      <c r="B28" s="256">
        <v>0</v>
      </c>
      <c r="C28" s="152"/>
      <c r="D28" s="152"/>
      <c r="E28" s="152"/>
      <c r="F28" s="152"/>
      <c r="G28" s="152"/>
      <c r="H28" s="152"/>
      <c r="I28" s="152"/>
      <c r="J28" s="152"/>
      <c r="K28" s="152"/>
      <c r="L28" s="152"/>
      <c r="M28" s="152"/>
      <c r="N28" s="152"/>
      <c r="O28" s="151"/>
      <c r="P28" s="151"/>
      <c r="Q28" s="151"/>
      <c r="R28" s="152"/>
    </row>
    <row customHeight="1" ht="14.25">
      <c r="A29" s="256">
        <f>_xlfn.IFERROR(SUM(B27,B28,B29),"")</f>
        <v>9857</v>
      </c>
      <c r="B29" s="256">
        <v>9837</v>
      </c>
      <c r="C29" s="152"/>
      <c r="D29" s="152"/>
      <c r="E29" s="152"/>
      <c r="F29" s="152"/>
      <c r="G29" s="152"/>
      <c r="H29" s="152"/>
      <c r="I29" s="152"/>
      <c r="J29" s="152"/>
      <c r="K29" s="152"/>
      <c r="L29" s="152"/>
      <c r="M29" s="152"/>
      <c r="N29" s="152"/>
      <c r="O29" s="151"/>
      <c r="P29" s="151"/>
      <c r="Q29" s="151"/>
      <c r="R29" s="152"/>
    </row>
    <row customHeight="1" ht="14.25">
      <c r="A30" s="151"/>
      <c r="B30" s="152"/>
      <c r="C30" s="152"/>
      <c r="D30" s="152"/>
      <c r="E30" s="152"/>
      <c r="F30" s="152"/>
      <c r="G30" s="152"/>
      <c r="H30" s="152"/>
      <c r="I30" s="152"/>
      <c r="J30" s="152"/>
      <c r="K30" s="152"/>
      <c r="L30" s="152"/>
      <c r="M30" s="152"/>
      <c r="N30" s="152"/>
      <c r="O30" s="151"/>
      <c r="P30" s="151"/>
      <c r="Q30" s="151"/>
      <c r="R30" s="152"/>
    </row>
    <row customHeight="1" ht="14.25">
      <c r="A31" s="151"/>
      <c r="B31" s="251" t="s">
        <v>54</v>
      </c>
      <c r="C31" s="152"/>
      <c r="D31" s="152"/>
      <c r="E31" s="152"/>
      <c r="F31" s="152"/>
      <c r="G31" s="152"/>
      <c r="H31" s="152"/>
      <c r="I31" s="152"/>
      <c r="J31" s="152"/>
      <c r="K31" s="258"/>
      <c r="L31" s="259" t="s">
        <v>100</v>
      </c>
      <c r="M31" s="152"/>
      <c r="N31" s="152"/>
      <c r="O31" s="151"/>
      <c r="P31" s="151"/>
      <c r="Q31" s="151"/>
      <c r="R31" s="152"/>
    </row>
    <row customHeight="1" ht="14.25">
      <c r="A32" s="151"/>
      <c r="B32" s="152">
        <v>834</v>
      </c>
      <c r="C32" s="152"/>
      <c r="D32" s="152"/>
      <c r="E32" s="152"/>
      <c r="F32" s="152"/>
      <c r="G32" s="152"/>
      <c r="H32" s="152"/>
      <c r="I32" s="152"/>
      <c r="J32" s="152"/>
      <c r="K32" s="258"/>
      <c r="L32" s="152"/>
      <c r="M32" s="152"/>
      <c r="N32" s="152"/>
      <c r="O32" s="151"/>
      <c r="P32" s="151"/>
      <c r="Q32" s="151"/>
      <c r="R32" s="152"/>
    </row>
    <row customHeight="1" ht="14.25">
      <c r="A33" s="151"/>
      <c r="B33" s="152"/>
      <c r="C33" s="152"/>
      <c r="D33" s="152"/>
      <c r="E33" s="152"/>
      <c r="F33" s="152"/>
      <c r="G33" s="152"/>
      <c r="H33" s="152"/>
      <c r="I33" s="152"/>
      <c r="J33" s="152"/>
      <c r="K33" s="152"/>
      <c r="L33" s="152"/>
      <c r="M33" s="152"/>
      <c r="N33" s="152"/>
      <c r="O33" s="151"/>
      <c r="P33" s="151"/>
      <c r="Q33" s="151"/>
      <c r="R33" s="152"/>
    </row>
    <row customHeight="1" ht="14.25">
      <c r="A34" s="151"/>
      <c r="B34" s="251" t="s">
        <v>55</v>
      </c>
      <c r="C34" s="152"/>
      <c r="D34" s="152"/>
      <c r="E34" s="152"/>
      <c r="F34" s="152"/>
      <c r="G34" s="152"/>
      <c r="H34" s="152"/>
      <c r="I34" s="152"/>
      <c r="J34" s="152"/>
      <c r="K34" s="152"/>
      <c r="L34" s="258"/>
      <c r="M34" s="259" t="s">
        <v>101</v>
      </c>
      <c r="N34" s="152"/>
      <c r="O34" s="151"/>
      <c r="P34" s="151"/>
      <c r="Q34" s="151"/>
      <c r="R34" s="152"/>
    </row>
    <row customHeight="1" ht="14.25">
      <c r="A35" s="151"/>
      <c r="B35" s="256">
        <v>162</v>
      </c>
      <c r="C35" s="152"/>
      <c r="D35" s="152"/>
      <c r="E35" s="152"/>
      <c r="F35" s="152"/>
      <c r="G35" s="152"/>
      <c r="H35" s="152"/>
      <c r="I35" s="152"/>
      <c r="J35" s="152"/>
      <c r="K35" s="152"/>
      <c r="L35" s="258"/>
      <c r="M35" s="260">
        <v>0</v>
      </c>
      <c r="N35" s="152"/>
      <c r="O35" s="151"/>
      <c r="P35" s="151"/>
      <c r="Q35" s="151"/>
      <c r="R35" s="152"/>
    </row>
    <row customHeight="1" ht="14.25">
      <c r="A36" s="151"/>
      <c r="B36" s="256">
        <v>3160</v>
      </c>
      <c r="C36" s="152"/>
      <c r="D36" s="152"/>
      <c r="E36" s="152"/>
      <c r="F36" s="152"/>
      <c r="G36" s="152"/>
      <c r="H36" s="152"/>
      <c r="I36" s="152"/>
      <c r="J36" s="152"/>
      <c r="K36" s="152"/>
      <c r="L36" s="258"/>
      <c r="M36" s="260">
        <v>0</v>
      </c>
      <c r="N36" s="152"/>
      <c r="O36" s="151"/>
      <c r="P36" s="151"/>
      <c r="Q36" s="151"/>
      <c r="R36" s="152"/>
    </row>
    <row customHeight="1" ht="14.25">
      <c r="A37" s="256">
        <f>_xlfn.IFERROR(SUM(B35,B36,B37),"")</f>
        <v>3322</v>
      </c>
      <c r="B37" s="256">
        <v>0</v>
      </c>
      <c r="C37" s="152"/>
      <c r="D37" s="152"/>
      <c r="E37" s="152"/>
      <c r="F37" s="152"/>
      <c r="G37" s="152"/>
      <c r="H37" s="152"/>
      <c r="I37" s="152"/>
      <c r="J37" s="152"/>
      <c r="K37" s="152"/>
      <c r="L37" s="257">
        <f>_xlfn.IFERROR(SUM(M35,M36,M37),"")</f>
        <v>0</v>
      </c>
      <c r="M37" s="260">
        <v>0</v>
      </c>
      <c r="N37" s="152"/>
      <c r="O37" s="151"/>
      <c r="P37" s="151"/>
      <c r="Q37" s="151"/>
      <c r="R37" s="152"/>
    </row>
    <row customHeight="1" ht="14.25">
      <c r="A38" s="151"/>
      <c r="B38" s="152"/>
      <c r="C38" s="152"/>
      <c r="D38" s="152"/>
      <c r="E38" s="152"/>
      <c r="F38" s="152"/>
      <c r="G38" s="152"/>
      <c r="H38" s="152"/>
      <c r="I38" s="152"/>
      <c r="J38" s="152"/>
      <c r="K38" s="152"/>
      <c r="L38" s="152"/>
      <c r="M38" s="152"/>
      <c r="N38" s="152"/>
      <c r="O38" s="151"/>
      <c r="P38" s="151"/>
      <c r="Q38" s="151"/>
      <c r="R38" s="152"/>
    </row>
    <row customHeight="1" ht="14.25">
      <c r="A39" s="151"/>
      <c r="B39" s="251" t="s">
        <v>60</v>
      </c>
      <c r="C39" s="152"/>
      <c r="D39" s="152"/>
      <c r="E39" s="152"/>
      <c r="F39" s="152"/>
      <c r="G39" s="152"/>
      <c r="H39" s="152"/>
      <c r="I39" s="152"/>
      <c r="J39" s="152"/>
      <c r="K39" s="152"/>
      <c r="L39" s="152"/>
      <c r="M39" s="152"/>
      <c r="N39" s="152"/>
      <c r="O39" s="151"/>
      <c r="P39" s="151"/>
      <c r="Q39" s="151"/>
      <c r="R39" s="152"/>
    </row>
    <row customHeight="1" ht="14.25">
      <c r="A40" s="151"/>
      <c r="B40" s="152">
        <v>8542</v>
      </c>
      <c r="C40" s="152"/>
      <c r="D40" s="152"/>
      <c r="E40" s="152"/>
      <c r="F40" s="152"/>
      <c r="G40" s="152"/>
      <c r="H40" s="152"/>
      <c r="I40" s="152"/>
      <c r="J40" s="152"/>
      <c r="K40" s="152"/>
      <c r="L40" s="152"/>
      <c r="M40" s="152"/>
      <c r="N40" s="152"/>
      <c r="O40" s="151"/>
      <c r="P40" s="151"/>
      <c r="Q40" s="151"/>
      <c r="R40" s="152"/>
    </row>
    <row customHeight="1" ht="14.25">
      <c r="A41" s="151"/>
      <c r="B41" s="152"/>
      <c r="C41" s="152"/>
      <c r="D41" s="152"/>
      <c r="E41" s="152"/>
      <c r="F41" s="152"/>
      <c r="G41" s="152"/>
      <c r="H41" s="152"/>
      <c r="I41" s="152"/>
      <c r="J41" s="152"/>
      <c r="K41" s="152"/>
      <c r="L41" s="152"/>
      <c r="M41" s="152"/>
      <c r="N41" s="152"/>
      <c r="O41" s="151"/>
      <c r="P41" s="151"/>
      <c r="Q41" s="151"/>
      <c r="R41" s="152"/>
    </row>
    <row customHeight="1" ht="14.25">
      <c r="A42" s="151"/>
      <c r="B42" s="251" t="s">
        <v>62</v>
      </c>
      <c r="C42" s="152"/>
      <c r="D42" s="152"/>
      <c r="E42" s="152"/>
      <c r="F42" s="152"/>
      <c r="G42" s="152"/>
      <c r="H42" s="152"/>
      <c r="I42" s="152"/>
      <c r="J42" s="152"/>
      <c r="K42" s="152"/>
      <c r="L42" s="152"/>
      <c r="M42" s="152"/>
      <c r="N42" s="152"/>
      <c r="O42" s="151"/>
      <c r="P42" s="151"/>
      <c r="Q42" s="151"/>
      <c r="R42" s="152"/>
    </row>
    <row customHeight="1" ht="14.25">
      <c r="A43" s="151"/>
      <c r="B43" s="256">
        <v>20</v>
      </c>
      <c r="C43" s="152"/>
      <c r="D43" s="152"/>
      <c r="E43" s="152"/>
      <c r="F43" s="152"/>
      <c r="G43" s="152"/>
      <c r="H43" s="152"/>
      <c r="I43" s="152"/>
      <c r="J43" s="152"/>
      <c r="K43" s="152"/>
      <c r="L43" s="152"/>
      <c r="M43" s="152"/>
      <c r="N43" s="152"/>
      <c r="O43" s="151"/>
      <c r="P43" s="151"/>
      <c r="Q43" s="151"/>
      <c r="R43" s="152"/>
    </row>
    <row customHeight="1" ht="14.25">
      <c r="A44" s="151"/>
      <c r="B44" s="256">
        <v>3432</v>
      </c>
      <c r="C44" s="152"/>
      <c r="D44" s="152"/>
      <c r="E44" s="152"/>
      <c r="F44" s="152"/>
      <c r="G44" s="152"/>
      <c r="H44" s="152"/>
      <c r="I44" s="152"/>
      <c r="J44" s="152"/>
      <c r="K44" s="152"/>
      <c r="L44" s="152"/>
      <c r="M44" s="152"/>
      <c r="N44" s="152"/>
      <c r="O44" s="151"/>
      <c r="P44" s="151"/>
      <c r="Q44" s="151"/>
      <c r="R44" s="152"/>
    </row>
    <row customHeight="1" ht="14.25">
      <c r="A45" s="256">
        <f>_xlfn.IFERROR(SUM(B43,B44,B45),"")</f>
        <v>3452</v>
      </c>
      <c r="B45" s="256">
        <v>0</v>
      </c>
      <c r="C45" s="152"/>
      <c r="D45" s="152"/>
      <c r="E45" s="152"/>
      <c r="F45" s="152"/>
      <c r="G45" s="152"/>
      <c r="H45" s="152"/>
      <c r="I45" s="152"/>
      <c r="J45" s="152"/>
      <c r="K45" s="152"/>
      <c r="L45" s="152"/>
      <c r="M45" s="152"/>
      <c r="N45" s="152"/>
      <c r="O45" s="151"/>
      <c r="P45" s="151"/>
      <c r="Q45" s="151"/>
      <c r="R45" s="152"/>
    </row>
    <row customHeight="1" ht="14.25">
      <c r="A46" s="151"/>
      <c r="B46" s="152"/>
      <c r="C46" s="152"/>
      <c r="D46" s="152"/>
      <c r="E46" s="152"/>
      <c r="F46" s="152"/>
      <c r="G46" s="152"/>
      <c r="H46" s="152"/>
      <c r="I46" s="152"/>
      <c r="J46" s="152"/>
      <c r="K46" s="152"/>
      <c r="L46" s="152"/>
      <c r="M46" s="152"/>
      <c r="N46" s="152"/>
      <c r="O46" s="151"/>
      <c r="P46" s="151"/>
      <c r="Q46" s="151"/>
      <c r="R46" s="152"/>
    </row>
    <row customHeight="1" ht="14.25">
      <c r="A47" s="151"/>
      <c r="B47" s="261" t="s">
        <v>102</v>
      </c>
      <c r="C47" s="152"/>
      <c r="D47" s="152"/>
      <c r="E47" s="152"/>
      <c r="F47" s="152"/>
      <c r="G47" s="152"/>
      <c r="H47" s="152"/>
      <c r="I47" s="152"/>
      <c r="J47" s="152"/>
      <c r="K47" s="152"/>
      <c r="L47" s="152" t="s">
        <v>103</v>
      </c>
      <c r="M47" s="152"/>
      <c r="N47" s="152"/>
      <c r="O47" s="151"/>
      <c r="P47" s="151"/>
      <c r="Q47" s="151"/>
      <c r="R47" s="152"/>
    </row>
    <row customHeight="1" ht="14.25">
      <c r="A48" s="151"/>
      <c r="B48" s="152">
        <v>0</v>
      </c>
      <c r="C48" s="152"/>
      <c r="D48" s="152"/>
      <c r="E48" s="152"/>
      <c r="F48" s="152"/>
      <c r="G48" s="152"/>
      <c r="H48" s="152"/>
      <c r="I48" s="152"/>
      <c r="J48" s="152"/>
      <c r="K48" s="152"/>
      <c r="L48" s="152">
        <v>65.42</v>
      </c>
      <c r="M48" s="152"/>
      <c r="N48" s="152"/>
      <c r="O48" s="151"/>
      <c r="P48" s="151"/>
      <c r="Q48" s="151"/>
      <c r="R48" s="152"/>
    </row>
    <row customHeight="1" ht="14.25">
      <c r="A49" s="151"/>
      <c r="B49" s="152">
        <v>0</v>
      </c>
      <c r="C49" s="152"/>
      <c r="D49" s="152"/>
      <c r="E49" s="152"/>
      <c r="F49" s="152"/>
      <c r="G49" s="152"/>
      <c r="H49" s="152"/>
      <c r="I49" s="152"/>
      <c r="J49" s="152"/>
      <c r="K49" s="152"/>
      <c r="L49" s="152">
        <v>2</v>
      </c>
      <c r="M49" s="152"/>
      <c r="N49" s="152"/>
      <c r="O49" s="151"/>
      <c r="P49" s="151"/>
      <c r="Q49" s="151"/>
      <c r="R49" s="152"/>
    </row>
    <row customHeight="1" ht="14.25">
      <c r="A50" s="151"/>
      <c r="B50" s="152"/>
      <c r="C50" s="152"/>
      <c r="D50" s="152"/>
      <c r="E50" s="152"/>
      <c r="F50" s="152"/>
      <c r="G50" s="152"/>
      <c r="H50" s="152"/>
      <c r="I50" s="152"/>
      <c r="J50" s="152"/>
      <c r="K50" s="152"/>
      <c r="L50" s="152"/>
      <c r="M50" s="152"/>
      <c r="N50" s="152"/>
      <c r="O50" s="151"/>
      <c r="P50" s="151"/>
      <c r="Q50" s="151"/>
      <c r="R50" s="152"/>
    </row>
    <row customHeight="1" ht="14.25">
      <c r="A51" s="151"/>
      <c r="B51" s="261" t="s">
        <v>104</v>
      </c>
      <c r="C51" s="152"/>
      <c r="D51" s="152"/>
      <c r="E51" s="152"/>
      <c r="F51" s="152"/>
      <c r="G51" s="152"/>
      <c r="H51" s="152"/>
      <c r="I51" s="152"/>
      <c r="J51" s="152"/>
      <c r="K51" s="152"/>
      <c r="L51" s="152" t="s">
        <v>105</v>
      </c>
      <c r="M51" s="152">
        <f>_xlfn.IFERROR(SUM(L52:L53),"")</f>
        <v>0</v>
      </c>
      <c r="N51" s="152"/>
      <c r="O51" s="151"/>
      <c r="P51" s="151"/>
      <c r="Q51" s="151"/>
      <c r="R51" s="152"/>
    </row>
    <row customHeight="1" ht="14.25">
      <c r="A52" s="151"/>
      <c r="B52" s="152">
        <v>0</v>
      </c>
      <c r="C52" s="152"/>
      <c r="D52" s="152"/>
      <c r="E52" s="152"/>
      <c r="F52" s="152"/>
      <c r="G52" s="152"/>
      <c r="H52" s="152"/>
      <c r="I52" s="152"/>
      <c r="J52" s="152"/>
      <c r="K52" s="152"/>
      <c r="L52" s="152">
        <v>0</v>
      </c>
      <c r="M52" s="152"/>
      <c r="N52" s="152"/>
      <c r="O52" s="151"/>
      <c r="P52" s="151"/>
      <c r="Q52" s="151"/>
      <c r="R52" s="152"/>
    </row>
    <row customHeight="1" ht="14.25">
      <c r="A53" s="151"/>
      <c r="B53" s="152">
        <v>0</v>
      </c>
      <c r="C53" s="152"/>
      <c r="D53" s="152"/>
      <c r="E53" s="152"/>
      <c r="F53" s="152"/>
      <c r="G53" s="152"/>
      <c r="H53" s="152"/>
      <c r="I53" s="152"/>
      <c r="J53" s="152"/>
      <c r="K53" s="152"/>
      <c r="L53" s="152"/>
      <c r="M53" s="152"/>
      <c r="N53" s="152"/>
      <c r="O53" s="151"/>
      <c r="P53" s="151"/>
      <c r="Q53" s="151"/>
      <c r="R53" s="152"/>
    </row>
    <row customHeight="1" ht="14.25">
      <c r="A54" s="151"/>
      <c r="B54" s="152"/>
      <c r="C54" s="152"/>
      <c r="D54" s="152"/>
      <c r="E54" s="152"/>
      <c r="F54" s="152"/>
      <c r="G54" s="152"/>
      <c r="H54" s="152"/>
      <c r="I54" s="152"/>
      <c r="J54" s="152"/>
      <c r="K54" s="152"/>
      <c r="L54" s="152"/>
      <c r="M54" s="152"/>
      <c r="N54" s="152"/>
      <c r="O54" s="151"/>
      <c r="P54" s="151"/>
      <c r="Q54" s="151"/>
      <c r="R54" s="152"/>
    </row>
    <row customHeight="1" ht="14.25">
      <c r="A55" s="151"/>
      <c r="B55" s="251" t="s">
        <v>106</v>
      </c>
      <c r="C55" s="152"/>
      <c r="D55" s="152"/>
      <c r="E55" s="152"/>
      <c r="F55" s="152"/>
      <c r="G55" s="152"/>
      <c r="H55" s="152"/>
      <c r="I55" s="152"/>
      <c r="J55" s="152"/>
      <c r="K55" s="152"/>
      <c r="L55" s="152"/>
      <c r="M55" s="152"/>
      <c r="N55" s="152"/>
      <c r="O55" s="151"/>
      <c r="P55" s="151"/>
      <c r="Q55" s="151"/>
      <c r="R55" s="152"/>
    </row>
    <row customHeight="1" ht="14.25">
      <c r="A56" s="151"/>
      <c r="B56" s="152">
        <v>66502</v>
      </c>
      <c r="C56" s="152"/>
      <c r="D56" s="152"/>
      <c r="E56" s="152"/>
      <c r="F56" s="152"/>
      <c r="G56" s="152"/>
      <c r="H56" s="152"/>
      <c r="I56" s="152"/>
      <c r="J56" s="152"/>
      <c r="K56" s="152"/>
      <c r="L56" s="152"/>
      <c r="M56" s="152"/>
      <c r="N56" s="152"/>
      <c r="O56" s="151"/>
      <c r="P56" s="151"/>
      <c r="Q56" s="151"/>
      <c r="R56" s="152"/>
    </row>
    <row customHeight="1" ht="14.25">
      <c r="A57" s="151"/>
      <c r="B57" s="152">
        <v>51218</v>
      </c>
      <c r="C57" s="152"/>
      <c r="D57" s="152"/>
      <c r="E57" s="152"/>
      <c r="F57" s="152"/>
      <c r="G57" s="152"/>
      <c r="H57" s="152"/>
      <c r="I57" s="152"/>
      <c r="J57" s="152"/>
      <c r="K57" s="152"/>
      <c r="L57" s="152"/>
      <c r="M57" s="152"/>
      <c r="N57" s="152"/>
      <c r="O57" s="151"/>
      <c r="P57" s="151"/>
      <c r="Q57" s="151"/>
      <c r="R57" s="152"/>
    </row>
    <row customHeight="1" ht="14.25">
      <c r="A58" s="151"/>
      <c r="B58" s="152">
        <v>41996</v>
      </c>
      <c r="C58" s="152"/>
      <c r="D58" s="152"/>
      <c r="E58" s="152"/>
      <c r="F58" s="152"/>
      <c r="G58" s="152"/>
      <c r="H58" s="152"/>
      <c r="I58" s="152"/>
      <c r="J58" s="152"/>
      <c r="K58" s="152"/>
      <c r="L58" s="152"/>
      <c r="M58" s="152"/>
      <c r="N58" s="152"/>
      <c r="O58" s="151"/>
      <c r="P58" s="151"/>
      <c r="Q58" s="151"/>
      <c r="R58" s="152"/>
    </row>
    <row customHeight="1" ht="14.25">
      <c r="A59" s="151"/>
      <c r="B59" s="152">
        <v>19648</v>
      </c>
      <c r="C59" s="152"/>
      <c r="D59" s="152"/>
      <c r="E59" s="152"/>
      <c r="F59" s="152"/>
      <c r="G59" s="152"/>
      <c r="H59" s="152"/>
      <c r="I59" s="152"/>
      <c r="J59" s="152"/>
      <c r="K59" s="152"/>
      <c r="L59" s="152"/>
      <c r="M59" s="152"/>
      <c r="N59" s="152"/>
      <c r="O59" s="151"/>
      <c r="P59" s="151"/>
      <c r="Q59" s="151"/>
      <c r="R59" s="152"/>
    </row>
    <row customHeight="1" ht="14.25">
      <c r="A60" s="151"/>
      <c r="B60" s="152">
        <v>6135</v>
      </c>
      <c r="C60" s="152"/>
      <c r="D60" s="152"/>
      <c r="E60" s="152"/>
      <c r="F60" s="152"/>
      <c r="G60" s="152"/>
      <c r="H60" s="152"/>
      <c r="I60" s="152"/>
      <c r="J60" s="152"/>
      <c r="K60" s="152"/>
      <c r="L60" s="152"/>
      <c r="M60" s="152"/>
      <c r="N60" s="152"/>
      <c r="O60" s="151"/>
      <c r="P60" s="151"/>
      <c r="Q60" s="151"/>
      <c r="R60" s="152"/>
    </row>
    <row customHeight="1" ht="14.25">
      <c r="A61" s="151"/>
      <c r="B61" s="256">
        <v>2100</v>
      </c>
      <c r="C61" s="152"/>
      <c r="D61" s="152"/>
      <c r="E61" s="152"/>
      <c r="F61" s="152"/>
      <c r="G61" s="152"/>
      <c r="H61" s="152"/>
      <c r="I61" s="152"/>
      <c r="J61" s="152"/>
      <c r="K61" s="152"/>
      <c r="L61" s="152"/>
      <c r="M61" s="152"/>
      <c r="N61" s="152"/>
      <c r="O61" s="151"/>
      <c r="P61" s="151"/>
      <c r="Q61" s="151"/>
      <c r="R61" s="152"/>
    </row>
    <row customHeight="1" ht="14.25">
      <c r="A62" s="151"/>
      <c r="B62" s="256">
        <v>0</v>
      </c>
      <c r="C62" s="152"/>
      <c r="D62" s="152"/>
      <c r="E62" s="152"/>
      <c r="F62" s="152"/>
      <c r="G62" s="152"/>
      <c r="H62" s="152"/>
      <c r="I62" s="152"/>
      <c r="J62" s="152"/>
      <c r="K62" s="152"/>
      <c r="L62" s="152"/>
      <c r="M62" s="152"/>
      <c r="N62" s="152"/>
      <c r="O62" s="151"/>
      <c r="P62" s="151"/>
      <c r="Q62" s="151"/>
      <c r="R62" s="152"/>
    </row>
    <row customHeight="1" ht="14.25">
      <c r="A63" s="151"/>
      <c r="B63" s="256">
        <v>0</v>
      </c>
      <c r="C63" s="152"/>
      <c r="D63" s="152"/>
      <c r="E63" s="152"/>
      <c r="F63" s="152"/>
      <c r="G63" s="152"/>
      <c r="H63" s="152"/>
      <c r="I63" s="152"/>
      <c r="J63" s="152"/>
      <c r="K63" s="152"/>
      <c r="L63" s="152"/>
      <c r="M63" s="152"/>
      <c r="N63" s="152"/>
      <c r="O63" s="151"/>
      <c r="P63" s="151"/>
      <c r="Q63" s="151"/>
      <c r="R63" s="152"/>
    </row>
    <row customHeight="1" ht="14.25">
      <c r="A64" s="151"/>
      <c r="B64" s="256">
        <v>0</v>
      </c>
      <c r="C64" s="152"/>
      <c r="D64" s="152"/>
      <c r="E64" s="152"/>
      <c r="F64" s="152"/>
      <c r="G64" s="152"/>
      <c r="H64" s="152"/>
      <c r="I64" s="152"/>
      <c r="J64" s="152"/>
      <c r="K64" s="152"/>
      <c r="L64" s="152"/>
      <c r="M64" s="152"/>
      <c r="N64" s="152"/>
      <c r="O64" s="151"/>
      <c r="P64" s="151"/>
      <c r="Q64" s="151"/>
      <c r="R64" s="152"/>
    </row>
    <row customHeight="1" ht="14.25">
      <c r="A65" s="151"/>
      <c r="B65" s="256">
        <v>0</v>
      </c>
      <c r="C65" s="152"/>
      <c r="D65" s="152"/>
      <c r="E65" s="152"/>
      <c r="F65" s="152"/>
      <c r="G65" s="152"/>
      <c r="H65" s="152"/>
      <c r="I65" s="152"/>
      <c r="J65" s="152"/>
      <c r="K65" s="152"/>
      <c r="L65" s="152"/>
      <c r="M65" s="152"/>
      <c r="N65" s="152"/>
      <c r="O65" s="151"/>
      <c r="P65" s="151"/>
      <c r="Q65" s="151"/>
      <c r="R65" s="152"/>
    </row>
    <row customHeight="1" ht="14.25">
      <c r="A66" s="151"/>
      <c r="B66" s="256">
        <v>0</v>
      </c>
      <c r="C66" s="152"/>
      <c r="D66" s="152"/>
      <c r="E66" s="152"/>
      <c r="F66" s="152"/>
      <c r="G66" s="152"/>
      <c r="H66" s="152"/>
      <c r="I66" s="152"/>
      <c r="J66" s="152"/>
      <c r="K66" s="152"/>
      <c r="L66" s="152"/>
      <c r="M66" s="152"/>
      <c r="N66" s="152"/>
      <c r="O66" s="151"/>
      <c r="P66" s="151"/>
      <c r="Q66" s="151"/>
      <c r="R66" s="152"/>
    </row>
    <row customHeight="1" ht="14.25">
      <c r="A67" s="256">
        <f>_xlfn.IFERROR(SUM(B61,B62,B63,B64,B65,B66,B67),"")</f>
        <v>2100</v>
      </c>
      <c r="B67" s="256">
        <v>0</v>
      </c>
      <c r="C67" s="152"/>
      <c r="D67" s="152"/>
      <c r="E67" s="152"/>
      <c r="F67" s="152"/>
      <c r="G67" s="152"/>
      <c r="H67" s="152"/>
      <c r="I67" s="152"/>
      <c r="J67" s="152"/>
      <c r="K67" s="152"/>
      <c r="L67" s="152"/>
      <c r="M67" s="152"/>
      <c r="N67" s="152"/>
      <c r="O67" s="151"/>
      <c r="P67" s="151"/>
      <c r="Q67" s="151"/>
      <c r="R67" s="152"/>
    </row>
    <row customHeight="1" ht="14.25">
      <c r="A68" s="151"/>
      <c r="B68" s="152">
        <v>688</v>
      </c>
      <c r="C68" s="152"/>
      <c r="D68" s="152"/>
      <c r="E68" s="152"/>
      <c r="F68" s="152"/>
      <c r="G68" s="152"/>
      <c r="H68" s="152"/>
      <c r="I68" s="152"/>
      <c r="J68" s="152"/>
      <c r="K68" s="152"/>
      <c r="L68" s="152"/>
      <c r="M68" s="152"/>
      <c r="N68" s="152"/>
      <c r="O68" s="151"/>
      <c r="P68" s="151"/>
      <c r="Q68" s="151"/>
      <c r="R68" s="152"/>
    </row>
    <row customHeight="1" ht="14.25">
      <c r="A69" s="151"/>
      <c r="B69" s="152">
        <v>1128</v>
      </c>
      <c r="C69" s="152"/>
      <c r="D69" s="152"/>
      <c r="E69" s="152"/>
      <c r="F69" s="152"/>
      <c r="G69" s="152"/>
      <c r="H69" s="152"/>
      <c r="I69" s="152"/>
      <c r="J69" s="152"/>
      <c r="K69" s="152"/>
      <c r="L69" s="152"/>
      <c r="M69" s="152"/>
      <c r="N69" s="152"/>
      <c r="O69" s="151"/>
      <c r="P69" s="151"/>
      <c r="Q69" s="151"/>
      <c r="R69" s="152"/>
    </row>
    <row customHeight="1" ht="14.25">
      <c r="A70" s="151"/>
      <c r="B70" s="152">
        <v>1075</v>
      </c>
      <c r="C70" s="152"/>
      <c r="D70" s="152"/>
      <c r="E70" s="152"/>
      <c r="F70" s="152"/>
      <c r="G70" s="152"/>
      <c r="H70" s="152"/>
      <c r="I70" s="152"/>
      <c r="J70" s="152"/>
      <c r="K70" s="152"/>
      <c r="L70" s="152"/>
      <c r="M70" s="152"/>
      <c r="N70" s="152"/>
      <c r="O70" s="151"/>
      <c r="P70" s="151"/>
      <c r="Q70" s="151"/>
      <c r="R70" s="152"/>
    </row>
    <row customHeight="1" ht="14.25">
      <c r="A71" s="151"/>
      <c r="B71" s="152"/>
      <c r="C71" s="152"/>
      <c r="D71" s="152"/>
      <c r="E71" s="152"/>
      <c r="F71" s="152"/>
      <c r="G71" s="152"/>
      <c r="H71" s="152"/>
      <c r="I71" s="152"/>
      <c r="J71" s="152"/>
      <c r="K71" s="152"/>
      <c r="L71" s="152"/>
      <c r="M71" s="152"/>
      <c r="N71" s="152"/>
      <c r="O71" s="151"/>
      <c r="P71" s="151"/>
      <c r="Q71" s="151"/>
      <c r="R71" s="152"/>
    </row>
    <row customHeight="1" ht="14.25">
      <c r="A72" s="151"/>
      <c r="B72" s="251" t="s">
        <v>52</v>
      </c>
      <c r="C72" s="152"/>
      <c r="D72" s="152"/>
      <c r="E72" s="152"/>
      <c r="F72" s="152"/>
      <c r="G72" s="152"/>
      <c r="H72" s="152"/>
      <c r="I72" s="152"/>
      <c r="J72" s="152"/>
      <c r="K72" s="152"/>
      <c r="L72" s="152"/>
      <c r="M72" s="152"/>
      <c r="N72" s="152"/>
      <c r="O72" s="151"/>
      <c r="P72" s="151"/>
      <c r="Q72" s="151"/>
      <c r="R72" s="152"/>
    </row>
    <row customHeight="1" ht="14.25">
      <c r="A73" s="151"/>
      <c r="B73" s="152">
        <v>21730</v>
      </c>
      <c r="C73" s="152"/>
      <c r="D73" s="152"/>
      <c r="E73" s="152"/>
      <c r="F73" s="152"/>
      <c r="G73" s="152"/>
      <c r="H73" s="152"/>
      <c r="I73" s="152"/>
      <c r="J73" s="152"/>
      <c r="K73" s="152"/>
      <c r="L73" s="152"/>
      <c r="M73" s="152"/>
      <c r="N73" s="152"/>
      <c r="O73" s="151"/>
      <c r="P73" s="151"/>
      <c r="Q73" s="151"/>
      <c r="R73" s="152"/>
    </row>
    <row customHeight="1" ht="14.25">
      <c r="A74" s="151"/>
      <c r="B74" s="152"/>
      <c r="C74" s="152"/>
      <c r="D74" s="152"/>
      <c r="E74" s="152"/>
      <c r="F74" s="152"/>
      <c r="G74" s="152"/>
      <c r="H74" s="152"/>
      <c r="I74" s="152"/>
      <c r="J74" s="152"/>
      <c r="K74" s="152"/>
      <c r="L74" s="152"/>
      <c r="M74" s="152"/>
      <c r="N74" s="152"/>
      <c r="O74" s="151"/>
      <c r="P74" s="151"/>
      <c r="Q74" s="151"/>
      <c r="R74" s="152"/>
    </row>
    <row customHeight="1" ht="14.25">
      <c r="A75" s="151"/>
      <c r="B75" s="251" t="s">
        <v>53</v>
      </c>
      <c r="C75" s="152"/>
      <c r="D75" s="152"/>
      <c r="E75" s="152"/>
      <c r="F75" s="152"/>
      <c r="G75" s="152"/>
      <c r="H75" s="152"/>
      <c r="I75" s="152"/>
      <c r="J75" s="152"/>
      <c r="K75" s="152"/>
      <c r="L75" s="152"/>
      <c r="M75" s="152"/>
      <c r="N75" s="152"/>
      <c r="O75" s="151"/>
      <c r="P75" s="151"/>
      <c r="Q75" s="151"/>
      <c r="R75" s="152"/>
    </row>
    <row customHeight="1" ht="14.25">
      <c r="A76" s="151"/>
      <c r="B76" s="256">
        <v>482</v>
      </c>
      <c r="C76" s="152"/>
      <c r="D76" s="152"/>
      <c r="E76" s="152"/>
      <c r="F76" s="152"/>
      <c r="G76" s="152"/>
      <c r="H76" s="152"/>
      <c r="I76" s="152"/>
      <c r="J76" s="152"/>
      <c r="K76" s="152"/>
      <c r="L76" s="152"/>
      <c r="M76" s="152"/>
      <c r="N76" s="152"/>
      <c r="O76" s="151"/>
      <c r="P76" s="151"/>
      <c r="Q76" s="151"/>
      <c r="R76" s="152"/>
    </row>
    <row customHeight="1" ht="14.25">
      <c r="A77" s="151"/>
      <c r="B77" s="256">
        <v>0</v>
      </c>
      <c r="C77" s="152"/>
      <c r="D77" s="152"/>
      <c r="E77" s="152"/>
      <c r="F77" s="152"/>
      <c r="G77" s="152"/>
      <c r="H77" s="152"/>
      <c r="I77" s="152"/>
      <c r="J77" s="152"/>
      <c r="K77" s="152"/>
      <c r="L77" s="152"/>
      <c r="M77" s="152"/>
      <c r="N77" s="152"/>
      <c r="O77" s="151"/>
      <c r="P77" s="151"/>
      <c r="Q77" s="151"/>
      <c r="R77" s="152"/>
    </row>
    <row customHeight="1" ht="14.25">
      <c r="A78" s="256">
        <f>_xlfn.IFERROR(SUM(B76,B77,B78),"")</f>
        <v>32478</v>
      </c>
      <c r="B78" s="256">
        <v>31996</v>
      </c>
      <c r="C78" s="152"/>
      <c r="D78" s="152"/>
      <c r="E78" s="152"/>
      <c r="F78" s="152"/>
      <c r="G78" s="152"/>
      <c r="H78" s="152"/>
      <c r="I78" s="152"/>
      <c r="J78" s="152"/>
      <c r="K78" s="152"/>
      <c r="L78" s="152"/>
      <c r="M78" s="152"/>
      <c r="N78" s="152"/>
      <c r="O78" s="151"/>
      <c r="P78" s="151"/>
      <c r="Q78" s="151"/>
      <c r="R78" s="152"/>
    </row>
    <row customHeight="1" ht="14.25">
      <c r="A79" s="151"/>
      <c r="B79" s="152"/>
      <c r="C79" s="152"/>
      <c r="D79" s="152"/>
      <c r="E79" s="152"/>
      <c r="F79" s="152"/>
      <c r="G79" s="152"/>
      <c r="H79" s="152"/>
      <c r="I79" s="152"/>
      <c r="J79" s="152"/>
      <c r="K79" s="152"/>
      <c r="L79" s="152"/>
      <c r="M79" s="152"/>
      <c r="N79" s="152"/>
      <c r="O79" s="151"/>
      <c r="P79" s="151"/>
      <c r="Q79" s="151"/>
      <c r="R79" s="152"/>
    </row>
    <row customHeight="1" ht="14.25">
      <c r="A80" s="151"/>
      <c r="B80" s="251" t="s">
        <v>54</v>
      </c>
      <c r="C80" s="152"/>
      <c r="D80" s="152"/>
      <c r="E80" s="152"/>
      <c r="F80" s="152"/>
      <c r="G80" s="152"/>
      <c r="H80" s="152"/>
      <c r="I80" s="152"/>
      <c r="J80" s="152"/>
      <c r="K80" s="152"/>
      <c r="L80" s="152"/>
      <c r="M80" s="258"/>
      <c r="N80" s="259" t="s">
        <v>100</v>
      </c>
      <c r="O80" s="151"/>
      <c r="P80" s="151"/>
      <c r="Q80" s="151"/>
      <c r="R80" s="152"/>
    </row>
    <row customHeight="1" ht="14.25">
      <c r="A81" s="151"/>
      <c r="B81" s="152">
        <v>21545</v>
      </c>
      <c r="C81" s="152"/>
      <c r="D81" s="152"/>
      <c r="E81" s="152"/>
      <c r="F81" s="152"/>
      <c r="G81" s="152"/>
      <c r="H81" s="152"/>
      <c r="I81" s="152"/>
      <c r="J81" s="152"/>
      <c r="K81" s="152"/>
      <c r="L81" s="152"/>
      <c r="M81" s="258"/>
      <c r="N81" s="152"/>
      <c r="O81" s="151"/>
      <c r="P81" s="151"/>
      <c r="Q81" s="151"/>
      <c r="R81" s="152"/>
    </row>
    <row customHeight="1" ht="14.25">
      <c r="A82" s="151"/>
      <c r="B82" s="152"/>
      <c r="C82" s="152"/>
      <c r="D82" s="152"/>
      <c r="E82" s="152"/>
      <c r="F82" s="152"/>
      <c r="G82" s="152"/>
      <c r="H82" s="152"/>
      <c r="I82" s="152"/>
      <c r="J82" s="152"/>
      <c r="K82" s="152"/>
      <c r="L82" s="152"/>
      <c r="M82" s="152"/>
      <c r="N82" s="152"/>
      <c r="O82" s="151"/>
      <c r="P82" s="151"/>
      <c r="Q82" s="151"/>
      <c r="R82" s="152"/>
    </row>
    <row customHeight="1" ht="14.25">
      <c r="A83" s="151"/>
      <c r="B83" s="251" t="s">
        <v>55</v>
      </c>
      <c r="C83" s="152"/>
      <c r="D83" s="152"/>
      <c r="E83" s="152"/>
      <c r="F83" s="152"/>
      <c r="G83" s="152"/>
      <c r="H83" s="152"/>
      <c r="I83" s="152"/>
      <c r="J83" s="152"/>
      <c r="K83" s="152"/>
      <c r="L83" s="152"/>
      <c r="M83" s="152"/>
      <c r="N83" s="258"/>
      <c r="O83" s="251" t="s">
        <v>55</v>
      </c>
      <c r="P83" s="151"/>
      <c r="Q83" s="151"/>
      <c r="R83" s="152"/>
    </row>
    <row customHeight="1" ht="14.25">
      <c r="A84" s="151"/>
      <c r="B84" s="256">
        <v>952</v>
      </c>
      <c r="C84" s="152"/>
      <c r="D84" s="152"/>
      <c r="E84" s="152"/>
      <c r="F84" s="152"/>
      <c r="G84" s="152"/>
      <c r="H84" s="152"/>
      <c r="I84" s="152"/>
      <c r="J84" s="152"/>
      <c r="K84" s="152"/>
      <c r="L84" s="152"/>
      <c r="M84" s="152"/>
      <c r="N84" s="258"/>
      <c r="O84" s="260">
        <v>0</v>
      </c>
      <c r="P84" s="151"/>
      <c r="Q84" s="151"/>
      <c r="R84" s="152"/>
    </row>
    <row customHeight="1" ht="14.25">
      <c r="A85" s="151"/>
      <c r="B85" s="256">
        <v>21152</v>
      </c>
      <c r="C85" s="152"/>
      <c r="D85" s="152"/>
      <c r="E85" s="152"/>
      <c r="F85" s="152"/>
      <c r="G85" s="152"/>
      <c r="H85" s="152"/>
      <c r="I85" s="152"/>
      <c r="J85" s="152"/>
      <c r="K85" s="152"/>
      <c r="L85" s="152"/>
      <c r="M85" s="152"/>
      <c r="N85" s="258"/>
      <c r="O85" s="260">
        <v>0</v>
      </c>
      <c r="P85" s="151"/>
      <c r="Q85" s="151"/>
      <c r="R85" s="152"/>
    </row>
    <row customHeight="1" ht="14.25">
      <c r="A86" s="256">
        <f>_xlfn.IFERROR(SUM(B84,B85,B86),"")</f>
        <v>24582</v>
      </c>
      <c r="B86" s="256">
        <v>2478</v>
      </c>
      <c r="C86" s="152"/>
      <c r="D86" s="152"/>
      <c r="E86" s="152"/>
      <c r="F86" s="152"/>
      <c r="G86" s="152"/>
      <c r="H86" s="152"/>
      <c r="I86" s="152"/>
      <c r="J86" s="152"/>
      <c r="K86" s="152"/>
      <c r="L86" s="152"/>
      <c r="M86" s="152"/>
      <c r="N86" s="257">
        <f>_xlfn.IFERROR(SUM(O84,O85,O86),"")</f>
        <v>0</v>
      </c>
      <c r="O86" s="260">
        <v>0</v>
      </c>
      <c r="P86" s="151"/>
      <c r="Q86" s="151"/>
      <c r="R86" s="152"/>
    </row>
    <row customHeight="1" ht="14.25">
      <c r="A87" s="151"/>
      <c r="B87" s="152"/>
      <c r="C87" s="152"/>
      <c r="D87" s="152"/>
      <c r="E87" s="152"/>
      <c r="F87" s="152"/>
      <c r="G87" s="152"/>
      <c r="H87" s="152"/>
      <c r="I87" s="152"/>
      <c r="J87" s="152"/>
      <c r="K87" s="152"/>
      <c r="L87" s="152"/>
      <c r="M87" s="152"/>
      <c r="N87" s="152"/>
      <c r="O87" s="151"/>
      <c r="P87" s="151"/>
      <c r="Q87" s="151"/>
      <c r="R87" s="152"/>
    </row>
    <row customHeight="1" ht="14.25">
      <c r="A88" s="151"/>
      <c r="B88" s="251" t="s">
        <v>60</v>
      </c>
      <c r="C88" s="152"/>
      <c r="D88" s="152"/>
      <c r="E88" s="152"/>
      <c r="F88" s="152"/>
      <c r="G88" s="152"/>
      <c r="H88" s="152"/>
      <c r="I88" s="152"/>
      <c r="J88" s="152"/>
      <c r="K88" s="152"/>
      <c r="L88" s="152"/>
      <c r="M88" s="152"/>
      <c r="N88" s="152"/>
      <c r="O88" s="151"/>
      <c r="P88" s="151"/>
      <c r="Q88" s="151"/>
      <c r="R88" s="152"/>
    </row>
    <row customHeight="1" ht="14.25">
      <c r="A89" s="151"/>
      <c r="B89" s="152">
        <v>50161</v>
      </c>
      <c r="C89" s="152"/>
      <c r="D89" s="152"/>
      <c r="E89" s="152"/>
      <c r="F89" s="152"/>
      <c r="G89" s="152"/>
      <c r="H89" s="152"/>
      <c r="I89" s="152"/>
      <c r="J89" s="152"/>
      <c r="K89" s="152"/>
      <c r="L89" s="152"/>
      <c r="M89" s="152"/>
      <c r="N89" s="152"/>
      <c r="O89" s="151"/>
      <c r="P89" s="151"/>
      <c r="Q89" s="151"/>
      <c r="R89" s="152"/>
    </row>
    <row customHeight="1" ht="14.25">
      <c r="A90" s="151"/>
      <c r="B90" s="152"/>
      <c r="C90" s="152"/>
      <c r="D90" s="152"/>
      <c r="E90" s="152"/>
      <c r="F90" s="152"/>
      <c r="G90" s="152"/>
      <c r="H90" s="152"/>
      <c r="I90" s="152"/>
      <c r="J90" s="152"/>
      <c r="K90" s="152"/>
      <c r="L90" s="152"/>
      <c r="M90" s="152"/>
      <c r="N90" s="152"/>
      <c r="O90" s="151"/>
      <c r="P90" s="151"/>
      <c r="Q90" s="151"/>
      <c r="R90" s="152"/>
    </row>
    <row customHeight="1" ht="14.25">
      <c r="A91" s="151"/>
      <c r="B91" s="251" t="s">
        <v>62</v>
      </c>
      <c r="C91" s="152"/>
      <c r="D91" s="152"/>
      <c r="E91" s="152"/>
      <c r="F91" s="152"/>
      <c r="G91" s="152"/>
      <c r="H91" s="152"/>
      <c r="I91" s="152"/>
      <c r="J91" s="152"/>
      <c r="K91" s="152"/>
      <c r="L91" s="152"/>
      <c r="M91" s="152"/>
      <c r="N91" s="152"/>
      <c r="O91" s="151"/>
      <c r="P91" s="151"/>
      <c r="Q91" s="151"/>
      <c r="R91" s="152"/>
    </row>
    <row customHeight="1" ht="14.25">
      <c r="A92" s="151"/>
      <c r="B92" s="256">
        <v>293</v>
      </c>
      <c r="C92" s="152"/>
      <c r="D92" s="152"/>
      <c r="E92" s="152"/>
      <c r="F92" s="152"/>
      <c r="G92" s="152"/>
      <c r="H92" s="152"/>
      <c r="I92" s="152"/>
      <c r="J92" s="152"/>
      <c r="K92" s="152"/>
      <c r="L92" s="152"/>
      <c r="M92" s="152"/>
      <c r="N92" s="152"/>
      <c r="O92" s="151"/>
      <c r="P92" s="151"/>
      <c r="Q92" s="151"/>
      <c r="R92" s="152"/>
    </row>
    <row customHeight="1" ht="14.25">
      <c r="A93" s="151"/>
      <c r="B93" s="256">
        <v>5213</v>
      </c>
      <c r="C93" s="152"/>
      <c r="D93" s="152"/>
      <c r="E93" s="152"/>
      <c r="F93" s="152"/>
      <c r="G93" s="152"/>
      <c r="H93" s="152"/>
      <c r="I93" s="152"/>
      <c r="J93" s="152"/>
      <c r="K93" s="152"/>
      <c r="L93" s="152"/>
      <c r="M93" s="152"/>
      <c r="N93" s="152"/>
      <c r="O93" s="151"/>
      <c r="P93" s="151"/>
      <c r="Q93" s="151"/>
      <c r="R93" s="152"/>
    </row>
    <row customHeight="1" ht="14.25">
      <c r="A94" s="256">
        <f>_xlfn.IFERROR(SUM(B92,B93,B94),"")</f>
        <v>43190</v>
      </c>
      <c r="B94" s="256">
        <v>37684</v>
      </c>
      <c r="C94" s="152"/>
      <c r="D94" s="152"/>
      <c r="E94" s="152"/>
      <c r="F94" s="152"/>
      <c r="G94" s="152"/>
      <c r="H94" s="152"/>
      <c r="I94" s="152"/>
      <c r="J94" s="152"/>
      <c r="K94" s="152"/>
      <c r="L94" s="152"/>
      <c r="M94" s="152"/>
      <c r="N94" s="152"/>
      <c r="O94" s="151"/>
      <c r="P94" s="151"/>
      <c r="Q94" s="151"/>
      <c r="R94" s="152"/>
    </row>
    <row customHeight="1" ht="14.25">
      <c r="A95" s="256"/>
      <c r="B95" s="152"/>
      <c r="C95" s="152"/>
      <c r="D95" s="152"/>
      <c r="E95" s="152"/>
      <c r="F95" s="152"/>
      <c r="G95" s="152"/>
      <c r="H95" s="152"/>
      <c r="I95" s="152"/>
      <c r="J95" s="152"/>
      <c r="K95" s="152"/>
      <c r="L95" s="152"/>
      <c r="M95" s="152"/>
      <c r="N95" s="152"/>
      <c r="O95" s="151"/>
      <c r="P95" s="151"/>
      <c r="Q95" s="151"/>
      <c r="R95" s="152"/>
    </row>
    <row customHeight="1" ht="14.25">
      <c r="A96" s="256"/>
      <c r="B96" s="261" t="s">
        <v>102</v>
      </c>
      <c r="C96" s="152"/>
      <c r="D96" s="152"/>
      <c r="E96" s="152"/>
      <c r="F96" s="152"/>
      <c r="G96" s="152"/>
      <c r="H96" s="152"/>
      <c r="I96" s="152"/>
      <c r="J96" s="152"/>
      <c r="K96" s="152"/>
      <c r="L96" s="261" t="s">
        <v>103</v>
      </c>
      <c r="M96" s="152"/>
      <c r="N96" s="152"/>
      <c r="O96" s="151"/>
      <c r="P96" s="151"/>
      <c r="Q96" s="151"/>
      <c r="R96" s="152"/>
    </row>
    <row customHeight="1" ht="14.25">
      <c r="A97" s="256"/>
      <c r="B97" s="152">
        <v>0</v>
      </c>
      <c r="C97" s="152"/>
      <c r="D97" s="152"/>
      <c r="E97" s="152"/>
      <c r="F97" s="152"/>
      <c r="G97" s="152"/>
      <c r="H97" s="152"/>
      <c r="I97" s="152"/>
      <c r="J97" s="152"/>
      <c r="K97" s="152"/>
      <c r="L97" s="152">
        <v>390.58</v>
      </c>
      <c r="M97" s="152"/>
      <c r="N97" s="152"/>
      <c r="O97" s="151"/>
      <c r="P97" s="151"/>
      <c r="Q97" s="151"/>
      <c r="R97" s="152"/>
    </row>
    <row customHeight="1" ht="14.25">
      <c r="A98" s="256"/>
      <c r="B98" s="152">
        <v>0</v>
      </c>
      <c r="C98" s="152"/>
      <c r="D98" s="152"/>
      <c r="E98" s="152"/>
      <c r="F98" s="152"/>
      <c r="G98" s="152"/>
      <c r="H98" s="152"/>
      <c r="I98" s="152"/>
      <c r="J98" s="152"/>
      <c r="K98" s="152"/>
      <c r="L98" s="152">
        <v>12</v>
      </c>
      <c r="M98" s="152"/>
      <c r="N98" s="152"/>
      <c r="O98" s="151"/>
      <c r="P98" s="151"/>
      <c r="Q98" s="151"/>
      <c r="R98" s="152"/>
    </row>
    <row customHeight="1" ht="14.25">
      <c r="A99" s="256"/>
      <c r="B99" s="152"/>
      <c r="C99" s="152"/>
      <c r="D99" s="152"/>
      <c r="E99" s="152"/>
      <c r="F99" s="152"/>
      <c r="G99" s="152"/>
      <c r="H99" s="152"/>
      <c r="I99" s="152"/>
      <c r="J99" s="152"/>
      <c r="K99" s="152"/>
      <c r="L99" s="152"/>
      <c r="M99" s="152"/>
      <c r="N99" s="152"/>
      <c r="O99" s="151"/>
      <c r="P99" s="151"/>
      <c r="Q99" s="151"/>
      <c r="R99" s="152"/>
    </row>
    <row customHeight="1" ht="14.25">
      <c r="A100" s="151"/>
      <c r="B100" s="261" t="s">
        <v>104</v>
      </c>
      <c r="C100" s="152"/>
      <c r="D100" s="152"/>
      <c r="E100" s="152"/>
      <c r="F100" s="152"/>
      <c r="G100" s="152"/>
      <c r="H100" s="152"/>
      <c r="I100" s="152"/>
      <c r="J100" s="152"/>
      <c r="K100" s="152"/>
      <c r="L100" s="152" t="s">
        <v>105</v>
      </c>
      <c r="M100" s="152">
        <f>_xlfn.IFERROR(SUM(L101:L102),"")</f>
        <v>0</v>
      </c>
      <c r="N100" s="152"/>
      <c r="O100" s="151"/>
      <c r="P100" s="151"/>
      <c r="Q100" s="151"/>
      <c r="R100" s="152"/>
    </row>
    <row customHeight="1" ht="14.25">
      <c r="A101" s="151"/>
      <c r="B101" s="152">
        <v>0</v>
      </c>
      <c r="C101" s="152"/>
      <c r="D101" s="152"/>
      <c r="E101" s="152"/>
      <c r="F101" s="152"/>
      <c r="G101" s="152"/>
      <c r="H101" s="152"/>
      <c r="I101" s="152"/>
      <c r="J101" s="152"/>
      <c r="K101" s="152"/>
      <c r="L101" s="152">
        <v>0</v>
      </c>
      <c r="M101" s="152"/>
      <c r="N101" s="152"/>
      <c r="O101" s="151"/>
      <c r="P101" s="151"/>
      <c r="Q101" s="151"/>
      <c r="R101" s="152"/>
    </row>
    <row customHeight="1" ht="14.25">
      <c r="A102" s="151"/>
      <c r="B102" s="152">
        <v>0</v>
      </c>
      <c r="C102" s="152"/>
      <c r="D102" s="152"/>
      <c r="E102" s="152"/>
      <c r="F102" s="152"/>
      <c r="G102" s="152"/>
      <c r="H102" s="152"/>
      <c r="I102" s="152"/>
      <c r="J102" s="152"/>
      <c r="K102" s="152"/>
      <c r="L102" s="152"/>
      <c r="M102" s="152"/>
      <c r="N102" s="152"/>
      <c r="O102" s="151"/>
      <c r="P102" s="151"/>
      <c r="Q102" s="151"/>
      <c r="R102" s="152"/>
    </row>
    <row customHeight="1" ht="14.25">
      <c r="A103" s="151"/>
      <c r="B103" s="152"/>
      <c r="C103" s="152"/>
      <c r="D103" s="152"/>
      <c r="E103" s="152"/>
      <c r="F103" s="152"/>
      <c r="G103" s="152"/>
      <c r="H103" s="152"/>
      <c r="I103" s="152"/>
      <c r="J103" s="152"/>
      <c r="K103" s="152"/>
      <c r="L103" s="152"/>
      <c r="M103" s="152"/>
      <c r="N103" s="152"/>
      <c r="O103" s="151"/>
      <c r="P103" s="151"/>
      <c r="Q103" s="151"/>
      <c r="R103" s="152"/>
    </row>
    <row customHeight="1" ht="14.25">
      <c r="A104" s="151"/>
      <c r="B104" s="251" t="s">
        <v>107</v>
      </c>
      <c r="C104" s="152"/>
      <c r="D104" s="152"/>
      <c r="E104" s="152"/>
      <c r="F104" s="152"/>
      <c r="G104" s="152"/>
      <c r="H104" s="152"/>
      <c r="I104" s="152"/>
      <c r="J104" s="152"/>
      <c r="K104" s="152"/>
      <c r="L104" s="152"/>
      <c r="M104" s="152"/>
      <c r="N104" s="152"/>
      <c r="O104" s="151"/>
      <c r="P104" s="151"/>
      <c r="Q104" s="151"/>
      <c r="R104" s="152"/>
    </row>
    <row customHeight="1" ht="14.25">
      <c r="A105" s="151"/>
      <c r="B105" s="152">
        <v>66502</v>
      </c>
      <c r="C105" s="152"/>
      <c r="D105" s="152"/>
      <c r="E105" s="152"/>
      <c r="F105" s="152"/>
      <c r="G105" s="152"/>
      <c r="H105" s="152"/>
      <c r="I105" s="152"/>
      <c r="J105" s="152"/>
      <c r="K105" s="152"/>
      <c r="L105" s="152"/>
      <c r="M105" s="152"/>
      <c r="N105" s="152"/>
      <c r="O105" s="151"/>
      <c r="P105" s="151"/>
      <c r="Q105" s="151"/>
      <c r="R105" s="152"/>
    </row>
    <row customHeight="1" ht="14.25">
      <c r="A106" s="151"/>
      <c r="B106" s="152">
        <v>51218</v>
      </c>
      <c r="C106" s="152"/>
      <c r="D106" s="152"/>
      <c r="E106" s="152"/>
      <c r="F106" s="152"/>
      <c r="G106" s="152"/>
      <c r="H106" s="152"/>
      <c r="I106" s="152"/>
      <c r="J106" s="152"/>
      <c r="K106" s="152"/>
      <c r="L106" s="152"/>
      <c r="M106" s="152"/>
      <c r="N106" s="152"/>
      <c r="O106" s="151"/>
      <c r="P106" s="151"/>
      <c r="Q106" s="151"/>
      <c r="R106" s="152"/>
    </row>
    <row customHeight="1" ht="14.25">
      <c r="A107" s="151"/>
      <c r="B107" s="152">
        <v>41996</v>
      </c>
      <c r="C107" s="152"/>
      <c r="D107" s="152"/>
      <c r="E107" s="152"/>
      <c r="F107" s="152"/>
      <c r="G107" s="152"/>
      <c r="H107" s="152"/>
      <c r="I107" s="152"/>
      <c r="J107" s="152"/>
      <c r="K107" s="152"/>
      <c r="L107" s="152"/>
      <c r="M107" s="152"/>
      <c r="N107" s="152"/>
      <c r="O107" s="151"/>
      <c r="P107" s="151"/>
      <c r="Q107" s="151"/>
      <c r="R107" s="152"/>
    </row>
    <row customHeight="1" ht="14.25">
      <c r="A108" s="151"/>
      <c r="B108" s="152">
        <v>19648</v>
      </c>
      <c r="C108" s="152"/>
      <c r="D108" s="152"/>
      <c r="E108" s="152"/>
      <c r="F108" s="152"/>
      <c r="G108" s="152"/>
      <c r="H108" s="152"/>
      <c r="I108" s="152"/>
      <c r="J108" s="152"/>
      <c r="K108" s="152"/>
      <c r="L108" s="152"/>
      <c r="M108" s="152"/>
      <c r="N108" s="152"/>
      <c r="O108" s="151"/>
      <c r="P108" s="151"/>
      <c r="Q108" s="151"/>
      <c r="R108" s="152"/>
    </row>
    <row customHeight="1" ht="14.25">
      <c r="A109" s="151"/>
      <c r="B109" s="152">
        <v>6135</v>
      </c>
      <c r="C109" s="152"/>
      <c r="D109" s="152"/>
      <c r="E109" s="152"/>
      <c r="F109" s="152"/>
      <c r="G109" s="152"/>
      <c r="H109" s="152"/>
      <c r="I109" s="152"/>
      <c r="J109" s="152"/>
      <c r="K109" s="152"/>
      <c r="L109" s="152"/>
      <c r="M109" s="152"/>
      <c r="N109" s="152"/>
      <c r="O109" s="151"/>
      <c r="P109" s="151"/>
      <c r="Q109" s="151"/>
      <c r="R109" s="152"/>
    </row>
    <row customHeight="1" ht="14.25">
      <c r="A110" s="151"/>
      <c r="B110" s="256">
        <v>2100</v>
      </c>
      <c r="C110" s="152"/>
      <c r="D110" s="152"/>
      <c r="E110" s="152"/>
      <c r="F110" s="152"/>
      <c r="G110" s="152"/>
      <c r="H110" s="152"/>
      <c r="I110" s="152"/>
      <c r="J110" s="152"/>
      <c r="K110" s="152"/>
      <c r="L110" s="152"/>
      <c r="M110" s="152"/>
      <c r="N110" s="152"/>
      <c r="O110" s="151"/>
      <c r="P110" s="151"/>
      <c r="Q110" s="151"/>
      <c r="R110" s="152"/>
    </row>
    <row customHeight="1" ht="14.25">
      <c r="A111" s="151"/>
      <c r="B111" s="256">
        <v>0</v>
      </c>
      <c r="C111" s="152"/>
      <c r="D111" s="152"/>
      <c r="E111" s="152"/>
      <c r="F111" s="152"/>
      <c r="G111" s="152"/>
      <c r="H111" s="152"/>
      <c r="I111" s="152"/>
      <c r="J111" s="152"/>
      <c r="K111" s="152"/>
      <c r="L111" s="152"/>
      <c r="M111" s="152"/>
      <c r="N111" s="152"/>
      <c r="O111" s="151"/>
      <c r="P111" s="151"/>
      <c r="Q111" s="151"/>
      <c r="R111" s="152"/>
    </row>
    <row customHeight="1" ht="14.25">
      <c r="A112" s="151"/>
      <c r="B112" s="256">
        <v>0</v>
      </c>
      <c r="C112" s="152"/>
      <c r="D112" s="152"/>
      <c r="E112" s="152"/>
      <c r="F112" s="152"/>
      <c r="G112" s="152"/>
      <c r="H112" s="152"/>
      <c r="I112" s="152"/>
      <c r="J112" s="152"/>
      <c r="K112" s="152"/>
      <c r="L112" s="152"/>
      <c r="M112" s="152"/>
      <c r="N112" s="152"/>
      <c r="O112" s="151"/>
      <c r="P112" s="151"/>
      <c r="Q112" s="151"/>
      <c r="R112" s="152"/>
    </row>
    <row customHeight="1" ht="14.25">
      <c r="A113" s="151"/>
      <c r="B113" s="256">
        <v>0</v>
      </c>
      <c r="C113" s="152"/>
      <c r="D113" s="152"/>
      <c r="E113" s="152"/>
      <c r="F113" s="152"/>
      <c r="G113" s="152"/>
      <c r="H113" s="152"/>
      <c r="I113" s="152"/>
      <c r="J113" s="152"/>
      <c r="K113" s="152"/>
      <c r="L113" s="152"/>
      <c r="M113" s="152"/>
      <c r="N113" s="152"/>
      <c r="O113" s="151"/>
      <c r="P113" s="151"/>
      <c r="Q113" s="151"/>
      <c r="R113" s="152"/>
    </row>
    <row customHeight="1" ht="14.25">
      <c r="A114" s="151"/>
      <c r="B114" s="256">
        <v>0</v>
      </c>
      <c r="C114" s="152"/>
      <c r="D114" s="152"/>
      <c r="E114" s="152"/>
      <c r="F114" s="152"/>
      <c r="G114" s="152"/>
      <c r="H114" s="152"/>
      <c r="I114" s="152"/>
      <c r="J114" s="152"/>
      <c r="K114" s="152"/>
      <c r="L114" s="152"/>
      <c r="M114" s="152"/>
      <c r="N114" s="152"/>
      <c r="O114" s="151"/>
      <c r="P114" s="151"/>
      <c r="Q114" s="151"/>
      <c r="R114" s="152"/>
    </row>
    <row customHeight="1" ht="14.25">
      <c r="A115" s="151"/>
      <c r="B115" s="256">
        <v>0</v>
      </c>
      <c r="C115" s="152"/>
      <c r="D115" s="152"/>
      <c r="E115" s="152"/>
      <c r="F115" s="152"/>
      <c r="G115" s="152"/>
      <c r="H115" s="152"/>
      <c r="I115" s="152"/>
      <c r="J115" s="152"/>
      <c r="K115" s="152"/>
      <c r="L115" s="152"/>
      <c r="M115" s="152"/>
      <c r="N115" s="152"/>
      <c r="O115" s="151"/>
      <c r="P115" s="151"/>
      <c r="Q115" s="151"/>
      <c r="R115" s="152"/>
    </row>
    <row customHeight="1" ht="14.25">
      <c r="A116" s="256">
        <f>_xlfn.IFERROR(SUM(B110,B111,B112,B113,B114,B115,B116),"")</f>
        <v>2100</v>
      </c>
      <c r="B116" s="256">
        <v>0</v>
      </c>
      <c r="C116" s="152"/>
      <c r="D116" s="152"/>
      <c r="E116" s="152"/>
      <c r="F116" s="152"/>
      <c r="G116" s="152"/>
      <c r="H116" s="152"/>
      <c r="I116" s="152"/>
      <c r="J116" s="152"/>
      <c r="K116" s="152"/>
      <c r="L116" s="152"/>
      <c r="M116" s="152"/>
      <c r="N116" s="152"/>
      <c r="O116" s="151"/>
      <c r="P116" s="151"/>
      <c r="Q116" s="151"/>
      <c r="R116" s="152"/>
    </row>
    <row customHeight="1" ht="14.25">
      <c r="A117" s="151"/>
      <c r="B117" s="152">
        <v>688</v>
      </c>
      <c r="C117" s="152"/>
      <c r="D117" s="152"/>
      <c r="E117" s="152"/>
      <c r="F117" s="152"/>
      <c r="G117" s="152"/>
      <c r="H117" s="152"/>
      <c r="I117" s="152"/>
      <c r="J117" s="152"/>
      <c r="K117" s="152"/>
      <c r="L117" s="152"/>
      <c r="M117" s="152"/>
      <c r="N117" s="152"/>
      <c r="O117" s="151"/>
      <c r="P117" s="151"/>
      <c r="Q117" s="151"/>
      <c r="R117" s="152"/>
    </row>
    <row customHeight="1" ht="14.25">
      <c r="A118" s="151"/>
      <c r="B118" s="152">
        <v>1128</v>
      </c>
      <c r="C118" s="152"/>
      <c r="D118" s="152"/>
      <c r="E118" s="152"/>
      <c r="F118" s="152"/>
      <c r="G118" s="152"/>
      <c r="H118" s="152"/>
      <c r="I118" s="152"/>
      <c r="J118" s="152"/>
      <c r="K118" s="152"/>
      <c r="L118" s="152"/>
      <c r="M118" s="152"/>
      <c r="N118" s="152"/>
      <c r="O118" s="151"/>
      <c r="P118" s="151"/>
      <c r="Q118" s="151"/>
      <c r="R118" s="152"/>
    </row>
    <row customHeight="1" ht="14.25">
      <c r="A119" s="151"/>
      <c r="B119" s="152">
        <v>1075</v>
      </c>
      <c r="C119" s="152"/>
      <c r="D119" s="152"/>
      <c r="E119" s="152"/>
      <c r="F119" s="152"/>
      <c r="G119" s="152"/>
      <c r="H119" s="152"/>
      <c r="I119" s="152"/>
      <c r="J119" s="152"/>
      <c r="K119" s="152"/>
      <c r="L119" s="152"/>
      <c r="M119" s="152"/>
      <c r="N119" s="152"/>
      <c r="O119" s="151"/>
      <c r="P119" s="151"/>
      <c r="Q119" s="151"/>
      <c r="R119" s="152"/>
    </row>
    <row customHeight="1" ht="14.25">
      <c r="A120" s="151"/>
      <c r="B120" s="152"/>
      <c r="C120" s="152"/>
      <c r="D120" s="152"/>
      <c r="E120" s="152"/>
      <c r="F120" s="152"/>
      <c r="G120" s="152"/>
      <c r="H120" s="152"/>
      <c r="I120" s="152"/>
      <c r="J120" s="152"/>
      <c r="K120" s="152"/>
      <c r="L120" s="152"/>
      <c r="M120" s="152"/>
      <c r="N120" s="152"/>
      <c r="O120" s="151"/>
      <c r="P120" s="151"/>
      <c r="Q120" s="151"/>
      <c r="R120" s="152"/>
    </row>
    <row customHeight="1" ht="14.25">
      <c r="A121" s="151"/>
      <c r="B121" s="251" t="s">
        <v>52</v>
      </c>
      <c r="C121" s="152"/>
      <c r="D121" s="152"/>
      <c r="E121" s="152"/>
      <c r="F121" s="152"/>
      <c r="G121" s="152"/>
      <c r="H121" s="152"/>
      <c r="I121" s="152"/>
      <c r="J121" s="152"/>
      <c r="K121" s="152"/>
      <c r="L121" s="152"/>
      <c r="M121" s="152"/>
      <c r="N121" s="152"/>
      <c r="O121" s="151"/>
      <c r="P121" s="151"/>
      <c r="Q121" s="151"/>
      <c r="R121" s="152"/>
    </row>
    <row customHeight="1" ht="14.25">
      <c r="A122" s="151"/>
      <c r="B122" s="152">
        <v>21730</v>
      </c>
      <c r="C122" s="152"/>
      <c r="D122" s="152"/>
      <c r="E122" s="152"/>
      <c r="F122" s="152"/>
      <c r="G122" s="152"/>
      <c r="H122" s="152"/>
      <c r="I122" s="152"/>
      <c r="J122" s="152"/>
      <c r="K122" s="152"/>
      <c r="L122" s="152"/>
      <c r="M122" s="152"/>
      <c r="N122" s="152"/>
      <c r="O122" s="151"/>
      <c r="P122" s="151"/>
      <c r="Q122" s="151"/>
      <c r="R122" s="152"/>
    </row>
    <row customHeight="1" ht="14.25">
      <c r="A123" s="151"/>
      <c r="B123" s="152"/>
      <c r="C123" s="152"/>
      <c r="D123" s="152"/>
      <c r="E123" s="152"/>
      <c r="F123" s="152"/>
      <c r="G123" s="152"/>
      <c r="H123" s="152"/>
      <c r="I123" s="152"/>
      <c r="J123" s="152"/>
      <c r="K123" s="152"/>
      <c r="L123" s="152"/>
      <c r="M123" s="152"/>
      <c r="N123" s="152"/>
      <c r="O123" s="151"/>
      <c r="P123" s="151"/>
      <c r="Q123" s="151"/>
      <c r="R123" s="152"/>
    </row>
    <row customHeight="1" ht="14.25">
      <c r="A124" s="151"/>
      <c r="B124" s="251" t="s">
        <v>53</v>
      </c>
      <c r="C124" s="152"/>
      <c r="D124" s="152"/>
      <c r="E124" s="152"/>
      <c r="F124" s="152"/>
      <c r="G124" s="152"/>
      <c r="H124" s="152"/>
      <c r="I124" s="152"/>
      <c r="J124" s="152"/>
      <c r="K124" s="152"/>
      <c r="L124" s="152"/>
      <c r="M124" s="152"/>
      <c r="N124" s="152"/>
      <c r="O124" s="151"/>
      <c r="P124" s="151"/>
      <c r="Q124" s="151"/>
      <c r="R124" s="152"/>
    </row>
    <row customHeight="1" ht="14.25">
      <c r="A125" s="151"/>
      <c r="B125" s="256">
        <v>482</v>
      </c>
      <c r="C125" s="152"/>
      <c r="D125" s="152"/>
      <c r="E125" s="152"/>
      <c r="F125" s="152"/>
      <c r="G125" s="152"/>
      <c r="H125" s="152"/>
      <c r="I125" s="152"/>
      <c r="J125" s="152"/>
      <c r="K125" s="152"/>
      <c r="L125" s="152"/>
      <c r="M125" s="152"/>
      <c r="N125" s="152"/>
      <c r="O125" s="151"/>
      <c r="P125" s="151"/>
      <c r="Q125" s="151"/>
      <c r="R125" s="152"/>
    </row>
    <row customHeight="1" ht="14.25">
      <c r="A126" s="151"/>
      <c r="B126" s="256">
        <v>0</v>
      </c>
      <c r="C126" s="152"/>
      <c r="D126" s="152"/>
      <c r="E126" s="152"/>
      <c r="F126" s="152"/>
      <c r="G126" s="152"/>
      <c r="H126" s="152"/>
      <c r="I126" s="152"/>
      <c r="J126" s="152"/>
      <c r="K126" s="152"/>
      <c r="L126" s="152"/>
      <c r="M126" s="152"/>
      <c r="N126" s="152"/>
      <c r="O126" s="151"/>
      <c r="P126" s="151"/>
      <c r="Q126" s="151"/>
      <c r="R126" s="152"/>
    </row>
    <row customHeight="1" ht="14.25">
      <c r="A127" s="256">
        <f>_xlfn.IFERROR(SUM(B125,B126,B127),"")</f>
        <v>32478</v>
      </c>
      <c r="B127" s="256">
        <v>31996</v>
      </c>
      <c r="C127" s="152"/>
      <c r="D127" s="152"/>
      <c r="E127" s="152"/>
      <c r="F127" s="152"/>
      <c r="G127" s="152"/>
      <c r="H127" s="152"/>
      <c r="I127" s="152"/>
      <c r="J127" s="152"/>
      <c r="K127" s="152"/>
      <c r="L127" s="152"/>
      <c r="M127" s="152"/>
      <c r="N127" s="152"/>
      <c r="O127" s="151"/>
      <c r="P127" s="151"/>
      <c r="Q127" s="151"/>
      <c r="R127" s="152"/>
    </row>
    <row customHeight="1" ht="14.25">
      <c r="A128" s="151"/>
      <c r="B128" s="152"/>
      <c r="C128" s="152"/>
      <c r="D128" s="152"/>
      <c r="E128" s="152"/>
      <c r="F128" s="152"/>
      <c r="G128" s="152"/>
      <c r="H128" s="152"/>
      <c r="I128" s="152"/>
      <c r="J128" s="152"/>
      <c r="K128" s="152"/>
      <c r="L128" s="152"/>
      <c r="M128" s="152"/>
      <c r="N128" s="152"/>
      <c r="O128" s="151"/>
      <c r="P128" s="151"/>
      <c r="Q128" s="151"/>
      <c r="R128" s="152"/>
    </row>
    <row customHeight="1" ht="14.25">
      <c r="A129" s="151"/>
      <c r="B129" s="251" t="s">
        <v>54</v>
      </c>
      <c r="C129" s="152"/>
      <c r="D129" s="152"/>
      <c r="E129" s="152"/>
      <c r="F129" s="152"/>
      <c r="G129" s="152"/>
      <c r="H129" s="152"/>
      <c r="I129" s="152"/>
      <c r="J129" s="152"/>
      <c r="K129" s="152"/>
      <c r="L129" s="152"/>
      <c r="M129" s="152"/>
      <c r="N129" s="258"/>
      <c r="O129" s="259" t="s">
        <v>100</v>
      </c>
      <c r="P129" s="151"/>
      <c r="Q129" s="151"/>
      <c r="R129" s="152"/>
    </row>
    <row customHeight="1" ht="14.25">
      <c r="A130" s="151"/>
      <c r="B130" s="152">
        <v>21545</v>
      </c>
      <c r="C130" s="152"/>
      <c r="D130" s="152"/>
      <c r="E130" s="152"/>
      <c r="F130" s="152"/>
      <c r="G130" s="152"/>
      <c r="H130" s="152"/>
      <c r="I130" s="152"/>
      <c r="J130" s="152"/>
      <c r="K130" s="152"/>
      <c r="L130" s="152"/>
      <c r="M130" s="152"/>
      <c r="N130" s="258"/>
      <c r="O130" s="151"/>
      <c r="P130" s="151"/>
      <c r="Q130" s="151"/>
      <c r="R130" s="152"/>
    </row>
    <row customHeight="1" ht="14.25">
      <c r="A131" s="151"/>
      <c r="B131" s="152"/>
      <c r="C131" s="152"/>
      <c r="D131" s="152"/>
      <c r="E131" s="152"/>
      <c r="F131" s="152"/>
      <c r="G131" s="152"/>
      <c r="H131" s="152"/>
      <c r="I131" s="152"/>
      <c r="J131" s="152"/>
      <c r="K131" s="152"/>
      <c r="L131" s="152"/>
      <c r="M131" s="152"/>
      <c r="N131" s="152"/>
      <c r="O131" s="151"/>
      <c r="P131" s="151"/>
      <c r="Q131" s="151"/>
      <c r="R131" s="152"/>
    </row>
    <row customHeight="1" ht="14.25">
      <c r="A132" s="151"/>
      <c r="B132" s="251" t="s">
        <v>55</v>
      </c>
      <c r="C132" s="152"/>
      <c r="D132" s="152"/>
      <c r="E132" s="152"/>
      <c r="F132" s="152"/>
      <c r="G132" s="152"/>
      <c r="H132" s="152"/>
      <c r="I132" s="152"/>
      <c r="J132" s="152"/>
      <c r="K132" s="152"/>
      <c r="L132" s="152"/>
      <c r="M132" s="152"/>
      <c r="N132" s="152"/>
      <c r="O132" s="151"/>
      <c r="P132" s="259" t="s">
        <v>101</v>
      </c>
      <c r="Q132" s="151"/>
      <c r="R132" s="152"/>
    </row>
    <row customHeight="1" ht="14.25">
      <c r="A133" s="151"/>
      <c r="B133" s="256">
        <v>952</v>
      </c>
      <c r="C133" s="152"/>
      <c r="D133" s="152"/>
      <c r="E133" s="152"/>
      <c r="F133" s="152"/>
      <c r="G133" s="152"/>
      <c r="H133" s="152"/>
      <c r="I133" s="152"/>
      <c r="J133" s="152"/>
      <c r="K133" s="152"/>
      <c r="L133" s="152"/>
      <c r="M133" s="152"/>
      <c r="N133" s="152"/>
      <c r="O133" s="151"/>
      <c r="P133" s="260">
        <v>0</v>
      </c>
      <c r="Q133" s="151"/>
      <c r="R133" s="152"/>
    </row>
    <row customHeight="1" ht="14.25">
      <c r="A134" s="151"/>
      <c r="B134" s="256">
        <v>21152</v>
      </c>
      <c r="C134" s="152"/>
      <c r="D134" s="152"/>
      <c r="E134" s="152"/>
      <c r="F134" s="152"/>
      <c r="G134" s="152"/>
      <c r="H134" s="152"/>
      <c r="I134" s="152"/>
      <c r="J134" s="152"/>
      <c r="K134" s="152"/>
      <c r="L134" s="152"/>
      <c r="M134" s="152"/>
      <c r="N134" s="152"/>
      <c r="O134" s="151"/>
      <c r="P134" s="260">
        <v>0</v>
      </c>
      <c r="Q134" s="151"/>
      <c r="R134" s="152"/>
    </row>
    <row customHeight="1" ht="14.25">
      <c r="A135" s="256">
        <f>_xlfn.IFERROR(SUM(B133,B134,B135),"")</f>
        <v>24582</v>
      </c>
      <c r="B135" s="256">
        <v>2478</v>
      </c>
      <c r="C135" s="152"/>
      <c r="D135" s="152"/>
      <c r="E135" s="152"/>
      <c r="F135" s="152"/>
      <c r="G135" s="152"/>
      <c r="H135" s="152"/>
      <c r="I135" s="152"/>
      <c r="J135" s="152"/>
      <c r="K135" s="152"/>
      <c r="L135" s="152"/>
      <c r="M135" s="152"/>
      <c r="N135" s="152"/>
      <c r="O135" s="257">
        <f>_xlfn.IFERROR(SUM(P133,P134,P135),"")</f>
        <v>0</v>
      </c>
      <c r="P135" s="260">
        <v>0</v>
      </c>
      <c r="Q135" s="151"/>
      <c r="R135" s="152"/>
    </row>
    <row customHeight="1" ht="14.25">
      <c r="A136" s="151"/>
      <c r="B136" s="152"/>
      <c r="C136" s="152"/>
      <c r="D136" s="152"/>
      <c r="E136" s="152"/>
      <c r="F136" s="152"/>
      <c r="G136" s="152"/>
      <c r="H136" s="152"/>
      <c r="I136" s="152"/>
      <c r="J136" s="152"/>
      <c r="K136" s="152"/>
      <c r="L136" s="152"/>
      <c r="M136" s="152"/>
      <c r="N136" s="152"/>
      <c r="O136" s="151"/>
      <c r="P136" s="151"/>
      <c r="Q136" s="151"/>
      <c r="R136" s="152"/>
    </row>
    <row customHeight="1" ht="14.25">
      <c r="A137" s="151"/>
      <c r="B137" s="251" t="s">
        <v>60</v>
      </c>
      <c r="C137" s="152"/>
      <c r="D137" s="152"/>
      <c r="E137" s="152"/>
      <c r="F137" s="152"/>
      <c r="G137" s="152"/>
      <c r="H137" s="152"/>
      <c r="I137" s="152"/>
      <c r="J137" s="152"/>
      <c r="K137" s="152"/>
      <c r="L137" s="152"/>
      <c r="M137" s="152"/>
      <c r="N137" s="152"/>
      <c r="O137" s="151"/>
      <c r="P137" s="151"/>
      <c r="Q137" s="151"/>
      <c r="R137" s="152"/>
    </row>
    <row customHeight="1" ht="14.25">
      <c r="A138" s="151"/>
      <c r="B138" s="152">
        <v>50161</v>
      </c>
      <c r="C138" s="152"/>
      <c r="D138" s="152"/>
      <c r="E138" s="152"/>
      <c r="F138" s="152"/>
      <c r="G138" s="152"/>
      <c r="H138" s="152"/>
      <c r="I138" s="152"/>
      <c r="J138" s="152"/>
      <c r="K138" s="152"/>
      <c r="L138" s="152"/>
      <c r="M138" s="152"/>
      <c r="N138" s="152"/>
      <c r="O138" s="151"/>
      <c r="P138" s="151"/>
      <c r="Q138" s="151"/>
      <c r="R138" s="152"/>
    </row>
    <row customHeight="1" ht="14.25">
      <c r="A139" s="151"/>
      <c r="B139" s="152"/>
      <c r="C139" s="152"/>
      <c r="D139" s="152"/>
      <c r="E139" s="152"/>
      <c r="F139" s="152"/>
      <c r="G139" s="152"/>
      <c r="H139" s="152"/>
      <c r="I139" s="152"/>
      <c r="J139" s="152"/>
      <c r="K139" s="152"/>
      <c r="L139" s="152"/>
      <c r="M139" s="152"/>
      <c r="N139" s="152"/>
      <c r="O139" s="151"/>
      <c r="P139" s="151"/>
      <c r="Q139" s="151"/>
      <c r="R139" s="152"/>
    </row>
    <row customHeight="1" ht="14.25">
      <c r="A140" s="151"/>
      <c r="B140" s="251" t="s">
        <v>62</v>
      </c>
      <c r="C140" s="152"/>
      <c r="D140" s="152"/>
      <c r="E140" s="152"/>
      <c r="F140" s="152"/>
      <c r="G140" s="152"/>
      <c r="H140" s="152"/>
      <c r="I140" s="152"/>
      <c r="J140" s="152"/>
      <c r="K140" s="152"/>
      <c r="L140" s="152"/>
      <c r="M140" s="152"/>
      <c r="N140" s="152"/>
      <c r="O140" s="151"/>
      <c r="P140" s="151"/>
      <c r="Q140" s="151"/>
      <c r="R140" s="152"/>
    </row>
    <row customHeight="1" ht="14.25">
      <c r="A141" s="151"/>
      <c r="B141" s="256">
        <v>293</v>
      </c>
      <c r="C141" s="152"/>
      <c r="D141" s="152"/>
      <c r="E141" s="152"/>
      <c r="F141" s="152"/>
      <c r="G141" s="152"/>
      <c r="H141" s="152"/>
      <c r="I141" s="152"/>
      <c r="J141" s="152"/>
      <c r="K141" s="152"/>
      <c r="L141" s="152"/>
      <c r="M141" s="152"/>
      <c r="N141" s="152"/>
      <c r="O141" s="151"/>
      <c r="P141" s="151"/>
      <c r="Q141" s="151"/>
      <c r="R141" s="152"/>
    </row>
    <row customHeight="1" ht="14.25">
      <c r="A142" s="151"/>
      <c r="B142" s="256">
        <v>5213</v>
      </c>
      <c r="C142" s="152"/>
      <c r="D142" s="152"/>
      <c r="E142" s="152"/>
      <c r="F142" s="152"/>
      <c r="G142" s="152"/>
      <c r="H142" s="152"/>
      <c r="I142" s="152"/>
      <c r="J142" s="152"/>
      <c r="K142" s="152"/>
      <c r="L142" s="152"/>
      <c r="M142" s="152"/>
      <c r="N142" s="152"/>
      <c r="O142" s="151"/>
      <c r="P142" s="151"/>
      <c r="Q142" s="151"/>
      <c r="R142" s="152"/>
    </row>
    <row customHeight="1" ht="14.25">
      <c r="A143" s="256">
        <f>_xlfn.IFERROR(SUM(B141,B142,B143),"")</f>
        <v>43190</v>
      </c>
      <c r="B143" s="256">
        <v>37684</v>
      </c>
      <c r="C143" s="152"/>
      <c r="D143" s="152"/>
      <c r="E143" s="152"/>
      <c r="F143" s="152"/>
      <c r="G143" s="152"/>
      <c r="H143" s="152"/>
      <c r="I143" s="152"/>
      <c r="J143" s="152"/>
      <c r="K143" s="152"/>
      <c r="L143" s="152"/>
      <c r="M143" s="152"/>
      <c r="N143" s="152"/>
      <c r="O143" s="151"/>
      <c r="P143" s="151"/>
      <c r="Q143" s="151"/>
      <c r="R143" s="152"/>
    </row>
    <row customHeight="1" ht="14.25">
      <c r="A144" s="256"/>
      <c r="B144" s="152"/>
      <c r="C144" s="152"/>
      <c r="D144" s="152"/>
      <c r="E144" s="152"/>
      <c r="F144" s="152"/>
      <c r="G144" s="152"/>
      <c r="H144" s="152"/>
      <c r="I144" s="152"/>
      <c r="J144" s="152"/>
      <c r="K144" s="152"/>
      <c r="L144" s="152"/>
      <c r="M144" s="152"/>
      <c r="N144" s="152"/>
      <c r="O144" s="151"/>
      <c r="P144" s="151"/>
      <c r="Q144" s="151"/>
      <c r="R144" s="152"/>
    </row>
    <row customHeight="1" ht="14.25">
      <c r="A145" s="256"/>
      <c r="B145" s="261" t="s">
        <v>102</v>
      </c>
      <c r="C145" s="152"/>
      <c r="D145" s="152"/>
      <c r="E145" s="152"/>
      <c r="F145" s="152"/>
      <c r="G145" s="152"/>
      <c r="H145" s="152"/>
      <c r="I145" s="152"/>
      <c r="J145" s="152"/>
      <c r="K145" s="152"/>
      <c r="L145" s="261" t="s">
        <v>103</v>
      </c>
      <c r="M145" s="152"/>
      <c r="N145" s="152"/>
      <c r="O145" s="151"/>
      <c r="P145" s="151"/>
      <c r="Q145" s="151"/>
      <c r="R145" s="152"/>
    </row>
    <row customHeight="1" ht="14.25">
      <c r="A146" s="256"/>
      <c r="B146" s="152">
        <v>0</v>
      </c>
      <c r="C146" s="152"/>
      <c r="D146" s="152"/>
      <c r="E146" s="152"/>
      <c r="F146" s="152"/>
      <c r="G146" s="152"/>
      <c r="H146" s="152"/>
      <c r="I146" s="152"/>
      <c r="J146" s="152"/>
      <c r="K146" s="152"/>
      <c r="L146" s="152">
        <v>390.58</v>
      </c>
      <c r="M146" s="152"/>
      <c r="N146" s="152"/>
      <c r="O146" s="151"/>
      <c r="P146" s="151"/>
      <c r="Q146" s="151"/>
      <c r="R146" s="152"/>
    </row>
    <row customHeight="1" ht="14.25">
      <c r="A147" s="256"/>
      <c r="B147" s="152">
        <v>0</v>
      </c>
      <c r="C147" s="152"/>
      <c r="D147" s="152"/>
      <c r="E147" s="152"/>
      <c r="F147" s="152"/>
      <c r="G147" s="152"/>
      <c r="H147" s="152"/>
      <c r="I147" s="152"/>
      <c r="J147" s="152"/>
      <c r="K147" s="152"/>
      <c r="L147" s="152">
        <v>12</v>
      </c>
      <c r="M147" s="152"/>
      <c r="N147" s="152"/>
      <c r="O147" s="151"/>
      <c r="P147" s="151"/>
      <c r="Q147" s="151"/>
      <c r="R147" s="152"/>
    </row>
    <row customHeight="1" ht="14.25">
      <c r="A148" s="256"/>
      <c r="B148" s="152"/>
      <c r="C148" s="152"/>
      <c r="D148" s="152"/>
      <c r="E148" s="152"/>
      <c r="F148" s="152"/>
      <c r="G148" s="152"/>
      <c r="H148" s="152"/>
      <c r="I148" s="152"/>
      <c r="J148" s="152"/>
      <c r="K148" s="152"/>
      <c r="L148" s="152"/>
      <c r="M148" s="152"/>
      <c r="N148" s="152"/>
      <c r="O148" s="151"/>
      <c r="P148" s="151"/>
      <c r="Q148" s="151"/>
      <c r="R148" s="152"/>
    </row>
    <row customHeight="1" ht="14.25">
      <c r="A149" s="151"/>
      <c r="B149" s="261" t="s">
        <v>104</v>
      </c>
      <c r="C149" s="152"/>
      <c r="D149" s="152"/>
      <c r="E149" s="152"/>
      <c r="F149" s="152"/>
      <c r="G149" s="152"/>
      <c r="H149" s="152"/>
      <c r="I149" s="152"/>
      <c r="J149" s="152"/>
      <c r="K149" s="152"/>
      <c r="L149" s="152" t="s">
        <v>105</v>
      </c>
      <c r="M149" s="152">
        <f>_xlfn.IFERROR(SUM(L150:L151),"")</f>
        <v>0</v>
      </c>
      <c r="N149" s="152"/>
      <c r="O149" s="151"/>
      <c r="P149" s="151"/>
      <c r="Q149" s="151"/>
      <c r="R149" s="152"/>
    </row>
    <row customHeight="1" ht="14.25">
      <c r="A150" s="151"/>
      <c r="B150" s="152">
        <v>0</v>
      </c>
      <c r="C150" s="152"/>
      <c r="D150" s="152"/>
      <c r="E150" s="152"/>
      <c r="F150" s="152"/>
      <c r="G150" s="152"/>
      <c r="H150" s="152"/>
      <c r="I150" s="152"/>
      <c r="J150" s="152"/>
      <c r="K150" s="152"/>
      <c r="L150" s="152">
        <v>0</v>
      </c>
      <c r="M150" s="152"/>
      <c r="N150" s="152"/>
      <c r="O150" s="151"/>
      <c r="P150" s="151"/>
      <c r="Q150" s="151"/>
      <c r="R150" s="152"/>
    </row>
    <row customHeight="1" ht="14.25">
      <c r="A151" s="151"/>
      <c r="B151" s="152">
        <v>0</v>
      </c>
      <c r="C151" s="152"/>
      <c r="D151" s="152"/>
      <c r="E151" s="152"/>
      <c r="F151" s="152"/>
      <c r="G151" s="152"/>
      <c r="H151" s="152"/>
      <c r="I151" s="152"/>
      <c r="J151" s="152"/>
      <c r="K151" s="152"/>
      <c r="L151" s="152"/>
      <c r="M151" s="152"/>
      <c r="N151" s="152"/>
      <c r="O151" s="151"/>
      <c r="P151" s="151"/>
      <c r="Q151" s="151"/>
      <c r="R151" s="152"/>
    </row>
    <row customHeight="1" ht="14.25">
      <c r="A152" s="151"/>
      <c r="B152" s="152"/>
      <c r="C152" s="152"/>
      <c r="D152" s="152"/>
      <c r="E152" s="152"/>
      <c r="F152" s="152"/>
      <c r="G152" s="152"/>
      <c r="H152" s="152"/>
      <c r="I152" s="152"/>
      <c r="J152" s="152"/>
      <c r="K152" s="152"/>
      <c r="L152" s="152"/>
      <c r="M152" s="152"/>
      <c r="N152" s="152"/>
      <c r="O152" s="151"/>
      <c r="P152" s="151"/>
      <c r="Q152" s="151"/>
      <c r="R152" s="152"/>
    </row>
    <row customHeight="1" ht="14.25">
      <c r="A153" s="151"/>
      <c r="B153" s="251" t="s">
        <v>108</v>
      </c>
      <c r="C153" s="251" t="s">
        <v>109</v>
      </c>
      <c r="D153" s="251" t="s">
        <v>110</v>
      </c>
      <c r="E153" s="152"/>
      <c r="F153" s="152"/>
      <c r="G153" s="152"/>
      <c r="H153" s="152"/>
      <c r="I153" s="152"/>
      <c r="J153" s="152"/>
      <c r="K153" s="152"/>
      <c r="L153" s="152"/>
      <c r="M153" s="152"/>
      <c r="N153" s="152"/>
      <c r="O153" s="151"/>
      <c r="P153" s="151"/>
      <c r="Q153" s="151"/>
      <c r="R153" s="152"/>
    </row>
    <row customHeight="1" ht="14.25">
      <c r="A154" s="151"/>
      <c r="B154" s="152">
        <v>9501</v>
      </c>
      <c r="C154" s="152">
        <v>66502</v>
      </c>
      <c r="D154" s="152">
        <v>66502</v>
      </c>
      <c r="E154" s="152"/>
      <c r="F154" s="152"/>
      <c r="G154" s="152"/>
      <c r="H154" s="152"/>
      <c r="I154" s="152"/>
      <c r="J154" s="152"/>
      <c r="K154" s="152"/>
      <c r="L154" s="152"/>
      <c r="M154" s="152"/>
      <c r="N154" s="152"/>
      <c r="O154" s="262">
        <f>_xlfn.IFERROR(SUM(B156:B163)/SUM(B154,B155)*100,"")</f>
        <v>48.3002496136931</v>
      </c>
      <c r="P154" s="263">
        <f>_xlfn.IFERROR(SUM(C156:C163)/SUM(C154,C155)*100,"")</f>
        <v>48.5474006116208</v>
      </c>
      <c r="Q154" s="263">
        <f>_xlfn.IFERROR(SUM(D156:D163)/SUM(D154,D155)*100,"")</f>
        <v>48.5474006116208</v>
      </c>
      <c r="R154" s="152"/>
    </row>
    <row customHeight="1" ht="14.25">
      <c r="A155" s="151"/>
      <c r="B155" s="152">
        <v>7325</v>
      </c>
      <c r="C155" s="152">
        <v>51218</v>
      </c>
      <c r="D155" s="152">
        <v>51218</v>
      </c>
      <c r="E155" s="152"/>
      <c r="F155" s="152"/>
      <c r="G155" s="152"/>
      <c r="H155" s="152"/>
      <c r="I155" s="152"/>
      <c r="J155" s="152"/>
      <c r="K155" s="152"/>
      <c r="L155" s="152"/>
      <c r="M155" s="152"/>
      <c r="N155" s="152"/>
      <c r="O155" s="263">
        <f>_xlfn.IFERROR(SUM(B156:B159)/B154*100,"")</f>
        <v>48.068624355331</v>
      </c>
      <c r="P155" s="263">
        <f>_xlfn.IFERROR(SUM(C156:C159)/C154*100,"")</f>
        <v>48.0526901446573</v>
      </c>
      <c r="Q155" s="263">
        <f>_xlfn.IFERROR(SUM(D156:D159)/D154*100,"")</f>
        <v>48.0526901446573</v>
      </c>
      <c r="R155" s="152"/>
    </row>
    <row customHeight="1" ht="14.25">
      <c r="A156" s="151"/>
      <c r="B156" s="152">
        <v>1417</v>
      </c>
      <c r="C156" s="152">
        <v>9930</v>
      </c>
      <c r="D156" s="152">
        <v>9930</v>
      </c>
      <c r="E156" s="152"/>
      <c r="F156" s="152"/>
      <c r="G156" s="152"/>
      <c r="H156" s="152"/>
      <c r="I156" s="152"/>
      <c r="J156" s="152"/>
      <c r="K156" s="152"/>
      <c r="L156" s="152"/>
      <c r="M156" s="152"/>
      <c r="N156" s="152"/>
      <c r="O156" s="263">
        <f>_xlfn.IFERROR(SUM(B160:B163)/B155*100,"")</f>
        <v>48.6006825938567</v>
      </c>
      <c r="P156" s="263">
        <f>_xlfn.IFERROR(SUM(C160:C163)/C155*100,"")</f>
        <v>49.1897379827404</v>
      </c>
      <c r="Q156" s="263">
        <f>_xlfn.IFERROR(SUM(D160:D163)/D155*100,"")</f>
        <v>49.1897379827404</v>
      </c>
      <c r="R156" s="152"/>
    </row>
    <row customHeight="1" ht="14.25">
      <c r="A157" s="151"/>
      <c r="B157" s="152">
        <v>875</v>
      </c>
      <c r="C157" s="152">
        <v>6163</v>
      </c>
      <c r="D157" s="152">
        <v>6163</v>
      </c>
      <c r="E157" s="152"/>
      <c r="F157" s="152"/>
      <c r="G157" s="152"/>
      <c r="H157" s="152"/>
      <c r="I157" s="152"/>
      <c r="J157" s="152"/>
      <c r="K157" s="152"/>
      <c r="L157" s="152"/>
      <c r="M157" s="152"/>
      <c r="N157" s="152"/>
      <c r="O157" s="263">
        <f>_xlfn.IFERROR(SUM(B168:B174)/SUM(B164:B167)*100,"")</f>
        <v>87.9666177963234</v>
      </c>
      <c r="P157" s="263">
        <f>_xlfn.IFERROR(SUM(C168:C174)/SUM(C164:C167)*100,"")</f>
        <v>87.8984689766317</v>
      </c>
      <c r="Q157" s="263">
        <f>_xlfn.IFERROR(SUM(D168:D174)/SUM(D164:D167)*100,"")</f>
        <v>87.8984689766317</v>
      </c>
      <c r="R157" s="152"/>
    </row>
    <row customHeight="1" ht="14.25">
      <c r="A158" s="151"/>
      <c r="B158" s="152">
        <v>442</v>
      </c>
      <c r="C158" s="152">
        <v>3092</v>
      </c>
      <c r="D158" s="152">
        <v>3092</v>
      </c>
      <c r="E158" s="152"/>
      <c r="F158" s="152"/>
      <c r="G158" s="152"/>
      <c r="H158" s="152"/>
      <c r="I158" s="152"/>
      <c r="J158" s="152"/>
      <c r="K158" s="152"/>
      <c r="L158" s="152"/>
      <c r="M158" s="152"/>
      <c r="N158" s="152"/>
      <c r="O158" s="263">
        <f>_xlfn.IFERROR(SUM(B168:B171)/B164*100,"")</f>
        <v>87.7</v>
      </c>
      <c r="P158" s="263">
        <f>_xlfn.IFERROR(SUM(C168:C171)/C164*100,"")</f>
        <v>87.6631107724545</v>
      </c>
      <c r="Q158" s="263">
        <f>_xlfn.IFERROR(SUM(D168:D171)/D164*100,"")</f>
        <v>87.6631107724545</v>
      </c>
      <c r="R158" s="152"/>
    </row>
    <row customHeight="1" ht="14.25">
      <c r="A159" s="151"/>
      <c r="B159" s="152">
        <v>1833</v>
      </c>
      <c r="C159" s="152">
        <v>12771</v>
      </c>
      <c r="D159" s="152">
        <v>12771</v>
      </c>
      <c r="E159" s="152"/>
      <c r="F159" s="152"/>
      <c r="G159" s="152"/>
      <c r="H159" s="152"/>
      <c r="I159" s="152"/>
      <c r="J159" s="152"/>
      <c r="K159" s="152"/>
      <c r="L159" s="152"/>
      <c r="M159" s="152"/>
      <c r="N159" s="152"/>
      <c r="O159" s="263">
        <f>_xlfn.IFERROR(SUM(B172:B174)/SUM(B165:B167)*100,"")</f>
        <v>88.5245901639344</v>
      </c>
      <c r="P159" s="263">
        <f>_xlfn.IFERROR(SUM(C172:C174)/SUM(C165:C167)*100,"")</f>
        <v>88.3913433728932</v>
      </c>
      <c r="Q159" s="263">
        <f>_xlfn.IFERROR(SUM(D172:D174)/SUM(D165:D167)*100,"")</f>
        <v>88.3913433728932</v>
      </c>
      <c r="R159" s="152"/>
    </row>
    <row customHeight="1" ht="14.25">
      <c r="A160" s="151"/>
      <c r="B160" s="152">
        <v>1150</v>
      </c>
      <c r="C160" s="152">
        <v>8226</v>
      </c>
      <c r="D160" s="152">
        <v>8226</v>
      </c>
      <c r="E160" s="152"/>
      <c r="F160" s="152"/>
      <c r="G160" s="152"/>
      <c r="H160" s="152"/>
      <c r="I160" s="152"/>
      <c r="J160" s="152"/>
      <c r="K160" s="152"/>
      <c r="L160" s="152"/>
      <c r="M160" s="152"/>
      <c r="N160" s="152"/>
      <c r="O160" s="263">
        <f>_xlfn.IFERROR(B175/B176*100,"")</f>
        <v>94.9685534591195</v>
      </c>
      <c r="P160" s="263">
        <f>_xlfn.IFERROR(C175/C176*100,"")</f>
        <v>94.6302816901408</v>
      </c>
      <c r="Q160" s="263">
        <f>_xlfn.IFERROR(D175/D176*100,"")</f>
        <v>94.6302816901408</v>
      </c>
      <c r="R160" s="152"/>
    </row>
    <row customHeight="1" ht="14.25">
      <c r="A161" s="151"/>
      <c r="B161" s="152">
        <v>510</v>
      </c>
      <c r="C161" s="152">
        <v>3540</v>
      </c>
      <c r="D161" s="152">
        <v>3540</v>
      </c>
      <c r="E161" s="152"/>
      <c r="F161" s="152"/>
      <c r="G161" s="152"/>
      <c r="H161" s="152"/>
      <c r="I161" s="152"/>
      <c r="J161" s="152"/>
      <c r="K161" s="152"/>
      <c r="L161" s="152"/>
      <c r="M161" s="152"/>
      <c r="N161" s="152"/>
      <c r="O161" s="151"/>
      <c r="P161" s="151"/>
      <c r="Q161" s="151"/>
      <c r="R161" s="152"/>
    </row>
    <row customHeight="1" ht="14.25">
      <c r="A162" s="151"/>
      <c r="B162" s="152">
        <v>1055</v>
      </c>
      <c r="C162" s="152">
        <v>7538</v>
      </c>
      <c r="D162" s="152">
        <v>7538</v>
      </c>
      <c r="E162" s="152"/>
      <c r="F162" s="152"/>
      <c r="G162" s="152"/>
      <c r="H162" s="152"/>
      <c r="I162" s="152"/>
      <c r="J162" s="152"/>
      <c r="K162" s="152"/>
      <c r="L162" s="152"/>
      <c r="M162" s="152"/>
      <c r="N162" s="152"/>
      <c r="O162" s="151"/>
      <c r="P162" s="151"/>
      <c r="Q162" s="151"/>
      <c r="R162" s="152"/>
    </row>
    <row customHeight="1" ht="14.25">
      <c r="A163" s="151"/>
      <c r="B163" s="152">
        <v>845</v>
      </c>
      <c r="C163" s="152">
        <v>5890</v>
      </c>
      <c r="D163" s="152">
        <v>5890</v>
      </c>
      <c r="E163" s="152"/>
      <c r="F163" s="152"/>
      <c r="G163" s="152"/>
      <c r="H163" s="152"/>
      <c r="I163" s="152"/>
      <c r="J163" s="152"/>
      <c r="K163" s="152"/>
      <c r="L163" s="152"/>
      <c r="M163" s="152"/>
      <c r="N163" s="152"/>
      <c r="O163" s="151"/>
      <c r="P163" s="151"/>
      <c r="Q163" s="151"/>
      <c r="R163" s="152"/>
    </row>
    <row customHeight="1" ht="14.25">
      <c r="A164" s="151"/>
      <c r="B164" s="152">
        <v>6000</v>
      </c>
      <c r="C164" s="152">
        <v>41996</v>
      </c>
      <c r="D164" s="152">
        <v>41996</v>
      </c>
      <c r="E164" s="152"/>
      <c r="F164" s="152"/>
      <c r="G164" s="152"/>
      <c r="H164" s="152"/>
      <c r="I164" s="152"/>
      <c r="J164" s="152"/>
      <c r="K164" s="152"/>
      <c r="L164" s="152"/>
      <c r="M164" s="152"/>
      <c r="N164" s="152"/>
      <c r="O164" s="151"/>
      <c r="P164" s="151"/>
      <c r="Q164" s="151"/>
      <c r="R164" s="152"/>
    </row>
    <row customHeight="1" ht="14.25">
      <c r="A165" s="151"/>
      <c r="B165" s="152">
        <v>2809</v>
      </c>
      <c r="C165" s="152">
        <v>19648</v>
      </c>
      <c r="D165" s="152">
        <v>19648</v>
      </c>
      <c r="E165" s="152"/>
      <c r="F165" s="152"/>
      <c r="G165" s="152"/>
      <c r="H165" s="152"/>
      <c r="I165" s="152"/>
      <c r="J165" s="152"/>
      <c r="K165" s="152"/>
      <c r="L165" s="152"/>
      <c r="M165" s="152"/>
      <c r="N165" s="152"/>
      <c r="O165" s="151"/>
      <c r="P165" s="151"/>
      <c r="Q165" s="151"/>
      <c r="R165" s="152"/>
    </row>
    <row customHeight="1" ht="14.25">
      <c r="A166" s="151"/>
      <c r="B166" s="152">
        <v>10</v>
      </c>
      <c r="C166" s="152">
        <v>71</v>
      </c>
      <c r="D166" s="152">
        <v>71</v>
      </c>
      <c r="E166" s="152"/>
      <c r="F166" s="152"/>
      <c r="G166" s="152"/>
      <c r="H166" s="152"/>
      <c r="I166" s="152"/>
      <c r="J166" s="152"/>
      <c r="K166" s="152"/>
      <c r="L166" s="152"/>
      <c r="M166" s="152"/>
      <c r="N166" s="152"/>
      <c r="O166" s="151"/>
      <c r="P166" s="151"/>
      <c r="Q166" s="151"/>
      <c r="R166" s="152"/>
    </row>
    <row customHeight="1" ht="14.25">
      <c r="A167" s="151"/>
      <c r="B167" s="152">
        <v>48</v>
      </c>
      <c r="C167" s="152">
        <v>335</v>
      </c>
      <c r="D167" s="152">
        <v>335</v>
      </c>
      <c r="E167" s="152"/>
      <c r="F167" s="152"/>
      <c r="G167" s="152"/>
      <c r="H167" s="152"/>
      <c r="I167" s="152"/>
      <c r="J167" s="152"/>
      <c r="K167" s="152"/>
      <c r="L167" s="152"/>
      <c r="M167" s="152"/>
      <c r="N167" s="152"/>
      <c r="O167" s="151"/>
      <c r="P167" s="151"/>
      <c r="Q167" s="151"/>
      <c r="R167" s="152"/>
    </row>
    <row customHeight="1" ht="14.25">
      <c r="A168" s="151"/>
      <c r="B168" s="152">
        <v>833</v>
      </c>
      <c r="C168" s="152">
        <v>5859</v>
      </c>
      <c r="D168" s="152">
        <v>5859</v>
      </c>
      <c r="E168" s="152"/>
      <c r="F168" s="152"/>
      <c r="G168" s="152"/>
      <c r="H168" s="152"/>
      <c r="I168" s="152"/>
      <c r="J168" s="152"/>
      <c r="K168" s="152"/>
      <c r="L168" s="152"/>
      <c r="M168" s="152"/>
      <c r="N168" s="152"/>
      <c r="O168" s="151"/>
      <c r="P168" s="151"/>
      <c r="Q168" s="151"/>
      <c r="R168" s="152"/>
    </row>
    <row customHeight="1" ht="14.25">
      <c r="A169" s="151"/>
      <c r="B169" s="152">
        <v>2814</v>
      </c>
      <c r="C169" s="152">
        <v>19749</v>
      </c>
      <c r="D169" s="152">
        <v>19749</v>
      </c>
      <c r="E169" s="152"/>
      <c r="F169" s="152"/>
      <c r="G169" s="152"/>
      <c r="H169" s="152"/>
      <c r="I169" s="152"/>
      <c r="J169" s="152"/>
      <c r="K169" s="152"/>
      <c r="L169" s="152"/>
      <c r="M169" s="152"/>
      <c r="N169" s="152"/>
      <c r="O169" s="151"/>
      <c r="P169" s="151"/>
      <c r="Q169" s="151"/>
      <c r="R169" s="152"/>
    </row>
    <row customHeight="1" ht="14.25">
      <c r="A170" s="151"/>
      <c r="B170" s="152">
        <v>1537</v>
      </c>
      <c r="C170" s="152">
        <v>10736</v>
      </c>
      <c r="D170" s="152">
        <v>10736</v>
      </c>
      <c r="E170" s="152"/>
      <c r="F170" s="152"/>
      <c r="G170" s="152"/>
      <c r="H170" s="152"/>
      <c r="I170" s="152"/>
      <c r="J170" s="152"/>
      <c r="K170" s="152"/>
      <c r="L170" s="152"/>
      <c r="M170" s="152"/>
      <c r="N170" s="152"/>
      <c r="O170" s="151"/>
      <c r="P170" s="151"/>
      <c r="Q170" s="151"/>
      <c r="R170" s="152"/>
    </row>
    <row customHeight="1" ht="14.25">
      <c r="A171" s="151"/>
      <c r="B171" s="152">
        <v>78</v>
      </c>
      <c r="C171" s="152">
        <v>471</v>
      </c>
      <c r="D171" s="152">
        <v>471</v>
      </c>
      <c r="E171" s="152"/>
      <c r="F171" s="152"/>
      <c r="G171" s="152"/>
      <c r="H171" s="152"/>
      <c r="I171" s="152"/>
      <c r="J171" s="152"/>
      <c r="K171" s="152"/>
      <c r="L171" s="152"/>
      <c r="M171" s="152"/>
      <c r="N171" s="152"/>
      <c r="O171" s="151"/>
      <c r="P171" s="151"/>
      <c r="Q171" s="151"/>
      <c r="R171" s="152"/>
    </row>
    <row customHeight="1" ht="14.25">
      <c r="A172" s="151"/>
      <c r="B172" s="152">
        <v>603</v>
      </c>
      <c r="C172" s="152">
        <v>4346</v>
      </c>
      <c r="D172" s="152">
        <v>4346</v>
      </c>
      <c r="E172" s="152"/>
      <c r="F172" s="152"/>
      <c r="G172" s="152"/>
      <c r="H172" s="152"/>
      <c r="I172" s="152"/>
      <c r="J172" s="152"/>
      <c r="K172" s="152"/>
      <c r="L172" s="152"/>
      <c r="M172" s="152"/>
      <c r="N172" s="152"/>
      <c r="O172" s="151"/>
      <c r="P172" s="151"/>
      <c r="Q172" s="151"/>
      <c r="R172" s="152"/>
    </row>
    <row customHeight="1" ht="14.25">
      <c r="A173" s="151"/>
      <c r="B173" s="152">
        <v>1361</v>
      </c>
      <c r="C173" s="152">
        <v>9536</v>
      </c>
      <c r="D173" s="152">
        <v>9536</v>
      </c>
      <c r="E173" s="152"/>
      <c r="F173" s="152"/>
      <c r="G173" s="152"/>
      <c r="H173" s="152"/>
      <c r="I173" s="152"/>
      <c r="J173" s="152"/>
      <c r="K173" s="152"/>
      <c r="L173" s="152"/>
      <c r="M173" s="152"/>
      <c r="N173" s="152"/>
      <c r="O173" s="151"/>
      <c r="P173" s="151"/>
      <c r="Q173" s="151"/>
      <c r="R173" s="152"/>
    </row>
    <row customHeight="1" ht="14.25">
      <c r="A174" s="151"/>
      <c r="B174" s="152">
        <v>574</v>
      </c>
      <c r="C174" s="152">
        <v>3844</v>
      </c>
      <c r="D174" s="152">
        <v>3844</v>
      </c>
      <c r="E174" s="152"/>
      <c r="F174" s="152"/>
      <c r="G174" s="152"/>
      <c r="H174" s="152"/>
      <c r="I174" s="152"/>
      <c r="J174" s="152"/>
      <c r="K174" s="152"/>
      <c r="L174" s="152"/>
      <c r="M174" s="152"/>
      <c r="N174" s="152"/>
      <c r="O174" s="151"/>
      <c r="P174" s="151"/>
      <c r="Q174" s="151"/>
      <c r="R174" s="152"/>
    </row>
    <row customHeight="1" ht="14.25">
      <c r="A175" s="151"/>
      <c r="B175" s="152">
        <v>151</v>
      </c>
      <c r="C175" s="152">
        <v>1075</v>
      </c>
      <c r="D175" s="152">
        <v>1075</v>
      </c>
      <c r="E175" s="152"/>
      <c r="F175" s="152"/>
      <c r="G175" s="152"/>
      <c r="H175" s="152"/>
      <c r="I175" s="152"/>
      <c r="J175" s="152"/>
      <c r="K175" s="152"/>
      <c r="L175" s="152"/>
      <c r="M175" s="152"/>
      <c r="N175" s="152"/>
      <c r="O175" s="151"/>
      <c r="P175" s="151"/>
      <c r="Q175" s="151"/>
      <c r="R175" s="152"/>
    </row>
    <row customHeight="1" ht="14.25">
      <c r="A176" s="151"/>
      <c r="B176" s="152">
        <v>159</v>
      </c>
      <c r="C176" s="152">
        <v>1136</v>
      </c>
      <c r="D176" s="152">
        <v>1136</v>
      </c>
      <c r="E176" s="152"/>
      <c r="F176" s="152"/>
      <c r="G176" s="152"/>
      <c r="H176" s="152"/>
      <c r="I176" s="152"/>
      <c r="J176" s="152"/>
      <c r="K176" s="152"/>
      <c r="L176" s="152"/>
      <c r="M176" s="152"/>
      <c r="N176" s="152"/>
      <c r="O176" s="151"/>
      <c r="P176" s="151"/>
      <c r="Q176" s="151"/>
      <c r="R176" s="152"/>
    </row>
    <row customHeight="1" ht="14.25">
      <c r="A177" s="151"/>
      <c r="B177" s="152"/>
      <c r="C177" s="152"/>
      <c r="D177" s="152"/>
      <c r="E177" s="152"/>
      <c r="F177" s="152"/>
      <c r="G177" s="152"/>
      <c r="H177" s="152"/>
      <c r="I177" s="152"/>
      <c r="J177" s="152"/>
      <c r="K177" s="152"/>
      <c r="L177" s="152"/>
      <c r="M177" s="152"/>
      <c r="N177" s="152"/>
      <c r="O177" s="151"/>
      <c r="P177" s="151"/>
      <c r="Q177" s="151"/>
      <c r="R177" s="152"/>
    </row>
    <row customHeight="1" ht="14.25">
      <c r="A178" s="151"/>
      <c r="B178" s="152"/>
      <c r="C178" s="152"/>
      <c r="D178" s="152"/>
      <c r="E178" s="152"/>
      <c r="F178" s="152"/>
      <c r="G178" s="152"/>
      <c r="H178" s="152"/>
      <c r="I178" s="152"/>
      <c r="J178" s="152"/>
      <c r="K178" s="152"/>
      <c r="L178" s="152"/>
      <c r="M178" s="152"/>
      <c r="N178" s="152"/>
      <c r="O178" s="151"/>
      <c r="P178" s="151"/>
      <c r="Q178" s="151"/>
      <c r="R178" s="152"/>
    </row>
    <row customHeight="1" ht="14.25">
      <c r="A179" s="151"/>
      <c r="B179" s="152"/>
      <c r="C179" s="152"/>
      <c r="D179" s="152"/>
      <c r="E179" s="152"/>
      <c r="F179" s="152"/>
      <c r="G179" s="152"/>
      <c r="H179" s="152"/>
      <c r="I179" s="152"/>
      <c r="J179" s="152"/>
      <c r="K179" s="152"/>
      <c r="L179" s="152"/>
      <c r="M179" s="152"/>
      <c r="N179" s="152"/>
      <c r="O179" s="151"/>
      <c r="P179" s="151"/>
      <c r="Q179" s="151"/>
      <c r="R179" s="152"/>
    </row>
    <row customHeight="1" ht="14.25">
      <c r="A180" s="151"/>
      <c r="B180" s="152" t="s">
        <v>13</v>
      </c>
      <c r="C180" s="152" t="s">
        <v>14</v>
      </c>
      <c r="D180" s="152"/>
      <c r="E180" s="152" t="s">
        <v>18</v>
      </c>
      <c r="F180" s="152"/>
      <c r="G180" s="152"/>
      <c r="H180" s="152"/>
      <c r="I180" s="152"/>
      <c r="J180" s="152"/>
      <c r="K180" s="152"/>
      <c r="L180" s="152"/>
      <c r="M180" s="152"/>
      <c r="N180" s="152"/>
      <c r="O180" s="151"/>
      <c r="P180" s="151"/>
      <c r="Q180" s="151"/>
      <c r="R180" s="152"/>
    </row>
    <row customHeight="1" ht="14.25">
      <c r="A181" s="151" t="s">
        <v>63</v>
      </c>
      <c r="B181" s="152"/>
      <c r="C181" s="152"/>
      <c r="D181" s="152"/>
      <c r="E181" s="152"/>
      <c r="F181" s="152"/>
      <c r="G181" s="152"/>
      <c r="H181" s="152"/>
      <c r="I181" s="152"/>
      <c r="J181" s="152"/>
      <c r="K181" s="152"/>
      <c r="L181" s="152"/>
      <c r="M181" s="152"/>
      <c r="N181" s="152"/>
      <c r="O181" s="151"/>
      <c r="P181" s="151"/>
      <c r="Q181" s="151"/>
      <c r="R181" s="152"/>
    </row>
    <row customHeight="1" ht="14.25">
      <c r="A182" s="151" t="s">
        <v>64</v>
      </c>
      <c r="B182" s="264">
        <v>65.42</v>
      </c>
      <c r="C182" s="264">
        <v>390.58</v>
      </c>
      <c r="D182" s="152"/>
      <c r="E182" s="264">
        <v>390.58</v>
      </c>
      <c r="F182" s="152"/>
      <c r="G182" s="152"/>
      <c r="H182" s="152"/>
      <c r="I182" s="152"/>
      <c r="J182" s="152"/>
      <c r="K182" s="152"/>
      <c r="L182" s="152"/>
      <c r="M182" s="152"/>
      <c r="N182" s="152"/>
      <c r="O182" s="151"/>
      <c r="P182" s="151"/>
      <c r="Q182" s="151"/>
      <c r="R182" s="152"/>
    </row>
  </sheetData>
  <pageMargins left="0.70" right="0.70" top="0.75" bottom="0.75" header="0.30" footer="0.30"/>
  <pageSetup pageOrder="downThenOver" orientation="portrait"/>
  <headerFooter>
    <oddHeader>&amp;L&amp;C&amp;R</oddHeader>
    <oddFooter>&amp;L&amp;C&amp;R</oddFooter>
    <evenHeader>&amp;L&amp;C&amp;R</evenHeader>
    <evenFooter>&amp;L&amp;C&amp;R</even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E0985008-91F8-CF9E-3918-B33EB30C2FE8}" mc:Ignorable="x14ac xr xr2 xr3">
  <dimension ref="A1:R36"/>
  <sheetViews>
    <sheetView topLeftCell="A1" workbookViewId="0">
      <selection activeCell="K22" sqref="K22"/>
    </sheetView>
  </sheetViews>
  <sheetFormatPr defaultColWidth="9.00390625" customHeight="1" defaultRowHeight="13.5"/>
  <cols>
    <col min="2" max="2" style="275" width="16.421875" customWidth="1"/>
  </cols>
  <sheetData>
    <row customHeight="1" ht="13.5">
      <c r="A1" s="152"/>
      <c r="B1" s="151"/>
      <c r="C1" s="152"/>
      <c r="D1" s="152"/>
      <c r="E1" s="152"/>
      <c r="F1" s="152"/>
      <c r="G1" s="152"/>
      <c r="H1" s="152"/>
      <c r="I1" s="152"/>
      <c r="J1" s="152"/>
      <c r="K1" s="152"/>
      <c r="L1" s="152"/>
      <c r="M1" s="152"/>
      <c r="N1" s="152"/>
      <c r="O1" s="152"/>
      <c r="P1" s="152"/>
      <c r="Q1" s="152"/>
      <c r="R1" s="152"/>
    </row>
    <row customHeight="1" ht="13.5">
      <c r="A2" s="152"/>
      <c r="B2" s="151"/>
      <c r="C2" s="152"/>
      <c r="D2" s="152"/>
      <c r="E2" s="152"/>
      <c r="F2" s="152"/>
      <c r="G2" s="152"/>
      <c r="H2" s="152"/>
      <c r="I2" s="152"/>
      <c r="J2" s="152"/>
      <c r="K2" s="152"/>
      <c r="L2" s="152"/>
      <c r="M2" s="152"/>
      <c r="N2" s="152"/>
      <c r="O2" s="152"/>
      <c r="P2" s="152"/>
      <c r="Q2" s="152"/>
      <c r="R2" s="152"/>
    </row>
    <row customHeight="1" ht="13.5">
      <c r="A3" s="152"/>
      <c r="B3" s="151"/>
      <c r="C3" s="152"/>
      <c r="D3" s="152"/>
      <c r="E3" s="152"/>
      <c r="F3" s="152"/>
      <c r="G3" s="152"/>
      <c r="H3" s="152"/>
      <c r="I3" s="152"/>
      <c r="J3" s="152"/>
      <c r="K3" s="152"/>
      <c r="L3" s="152"/>
      <c r="M3" s="152"/>
      <c r="N3" s="152"/>
      <c r="O3" s="152"/>
      <c r="P3" s="152"/>
      <c r="Q3" s="152"/>
      <c r="R3" s="152"/>
    </row>
    <row customHeight="1" ht="13.5">
      <c r="A4" s="152"/>
      <c r="B4" s="151"/>
      <c r="C4" s="152"/>
      <c r="D4" s="152"/>
      <c r="E4" s="152"/>
      <c r="F4" s="152" t="s">
        <v>111</v>
      </c>
      <c r="G4" s="152"/>
      <c r="H4" s="152"/>
      <c r="I4" s="152"/>
      <c r="J4" s="152"/>
      <c r="K4" s="152" t="s">
        <v>111</v>
      </c>
      <c r="L4" s="152"/>
      <c r="M4" s="152"/>
      <c r="N4" s="152"/>
      <c r="O4" s="152"/>
      <c r="P4" s="152"/>
      <c r="Q4" s="152"/>
      <c r="R4" s="152"/>
    </row>
    <row customHeight="1" ht="13.5">
      <c r="A5" s="152"/>
      <c r="B5" s="151"/>
      <c r="C5" s="152" t="s">
        <v>23</v>
      </c>
      <c r="D5" s="152"/>
      <c r="E5" s="152"/>
      <c r="F5" s="152" t="s">
        <v>112</v>
      </c>
      <c r="G5" s="152"/>
      <c r="H5" s="152" t="s">
        <v>22</v>
      </c>
      <c r="I5" s="152"/>
      <c r="J5" s="152"/>
      <c r="K5" s="152" t="s">
        <v>113</v>
      </c>
      <c r="L5" s="152"/>
      <c r="M5" s="152"/>
      <c r="N5" s="152"/>
      <c r="O5" s="152"/>
      <c r="P5" s="152"/>
      <c r="Q5" s="152"/>
      <c r="R5" s="152"/>
    </row>
    <row customHeight="1" ht="13.5">
      <c r="A6" s="152"/>
      <c r="B6" s="269" t="s">
        <v>32</v>
      </c>
      <c r="C6" s="152"/>
      <c r="D6" s="152"/>
      <c r="E6" s="152"/>
      <c r="F6" s="152"/>
      <c r="G6" s="152"/>
      <c r="H6" s="152"/>
      <c r="I6" s="152"/>
      <c r="J6" s="152"/>
      <c r="K6" s="270"/>
      <c r="L6" s="152"/>
      <c r="M6" s="152"/>
      <c r="N6" s="152"/>
      <c r="O6" s="152"/>
      <c r="P6" s="152"/>
      <c r="Q6" s="152"/>
      <c r="R6" s="152"/>
    </row>
    <row customHeight="1" ht="13.5">
      <c r="A7" s="152"/>
      <c r="B7" s="271" t="s">
        <v>33</v>
      </c>
      <c r="C7" s="272">
        <v>27.3</v>
      </c>
      <c r="D7" s="152"/>
      <c r="E7" s="152"/>
      <c r="F7" s="152">
        <v>0</v>
      </c>
      <c r="G7" s="152"/>
      <c r="H7" s="273"/>
      <c r="I7" s="152"/>
      <c r="J7" s="152"/>
      <c r="K7" s="152">
        <v>0</v>
      </c>
      <c r="L7" s="152"/>
      <c r="M7" s="273"/>
      <c r="N7" s="152"/>
      <c r="O7" s="152"/>
      <c r="P7" s="152"/>
      <c r="Q7" s="152"/>
      <c r="R7" s="273"/>
    </row>
    <row customHeight="1" ht="13.5">
      <c r="A8" s="152"/>
      <c r="B8" s="271" t="s">
        <v>34</v>
      </c>
      <c r="C8" s="273">
        <v>20.7</v>
      </c>
      <c r="D8" s="152"/>
      <c r="E8" s="152"/>
      <c r="F8" s="152">
        <v>0</v>
      </c>
      <c r="G8" s="152"/>
      <c r="H8" s="273"/>
      <c r="I8" s="152"/>
      <c r="J8" s="152"/>
      <c r="K8" s="152">
        <v>0</v>
      </c>
      <c r="L8" s="152"/>
      <c r="M8" s="273"/>
      <c r="N8" s="152"/>
      <c r="O8" s="152"/>
      <c r="P8" s="152"/>
      <c r="Q8" s="152"/>
      <c r="R8" s="273"/>
    </row>
    <row customHeight="1" ht="13.5">
      <c r="A9" s="152"/>
      <c r="B9" s="271" t="s">
        <v>35</v>
      </c>
      <c r="C9" s="152"/>
      <c r="D9" s="152"/>
      <c r="E9" s="152"/>
      <c r="F9" s="152"/>
      <c r="G9" s="152"/>
      <c r="H9" s="152"/>
      <c r="I9" s="152"/>
      <c r="J9" s="152"/>
      <c r="K9" s="270">
        <v>0</v>
      </c>
      <c r="L9" s="152"/>
      <c r="M9" s="152"/>
      <c r="N9" s="152"/>
      <c r="O9" s="152"/>
      <c r="P9" s="152"/>
      <c r="Q9" s="152"/>
      <c r="R9" s="152"/>
    </row>
    <row customHeight="1" ht="13.5">
      <c r="A10" s="152"/>
      <c r="B10" s="271" t="s">
        <v>36</v>
      </c>
      <c r="C10" s="273">
        <v>17.6</v>
      </c>
      <c r="D10" s="152"/>
      <c r="E10" s="152"/>
      <c r="F10" s="152">
        <v>0</v>
      </c>
      <c r="G10" s="152"/>
      <c r="H10" s="273"/>
      <c r="I10" s="152"/>
      <c r="J10" s="152"/>
      <c r="K10" s="152">
        <v>0</v>
      </c>
      <c r="L10" s="152"/>
      <c r="M10" s="273"/>
      <c r="N10" s="152"/>
      <c r="O10" s="152"/>
      <c r="P10" s="152"/>
      <c r="Q10" s="152"/>
      <c r="R10" s="273"/>
    </row>
    <row customHeight="1" ht="13.5">
      <c r="A11" s="152"/>
      <c r="B11" s="271" t="s">
        <v>37</v>
      </c>
      <c r="C11" s="273">
        <v>7.9</v>
      </c>
      <c r="D11" s="152"/>
      <c r="E11" s="152"/>
      <c r="F11" s="152">
        <v>0</v>
      </c>
      <c r="G11" s="152"/>
      <c r="H11" s="273"/>
      <c r="I11" s="152"/>
      <c r="J11" s="152"/>
      <c r="K11" s="152">
        <v>0</v>
      </c>
      <c r="L11" s="152"/>
      <c r="M11" s="273"/>
      <c r="N11" s="152"/>
      <c r="O11" s="152"/>
      <c r="P11" s="152"/>
      <c r="Q11" s="152"/>
      <c r="R11" s="273"/>
    </row>
    <row customHeight="1" ht="13.5">
      <c r="A12" s="152"/>
      <c r="B12" s="271" t="s">
        <v>38</v>
      </c>
      <c r="C12" s="273">
        <f>_xlfn.IFERROR(D12/10000,0)</f>
        <v>0.46</v>
      </c>
      <c r="D12" s="273">
        <v>4600</v>
      </c>
      <c r="E12" s="152"/>
      <c r="F12" s="152">
        <v>0</v>
      </c>
      <c r="G12" s="152"/>
      <c r="H12" s="273">
        <f>_xlfn.IFERROR(I12/10000,0)</f>
        <v>0</v>
      </c>
      <c r="I12" s="273"/>
      <c r="J12" s="152"/>
      <c r="K12" s="152">
        <v>0</v>
      </c>
      <c r="L12" s="152"/>
      <c r="M12" s="273"/>
      <c r="N12" s="152"/>
      <c r="O12" s="152"/>
      <c r="P12" s="152"/>
      <c r="Q12" s="152"/>
      <c r="R12" s="273"/>
    </row>
    <row customHeight="1" ht="13.5">
      <c r="A13" s="152"/>
      <c r="B13" s="271" t="s">
        <v>39</v>
      </c>
      <c r="C13" s="273">
        <v>2.77</v>
      </c>
      <c r="D13" s="152"/>
      <c r="E13" s="152"/>
      <c r="F13" s="152">
        <v>0</v>
      </c>
      <c r="G13" s="152"/>
      <c r="H13" s="273"/>
      <c r="I13" s="152"/>
      <c r="J13" s="152"/>
      <c r="K13" s="152">
        <v>0</v>
      </c>
      <c r="L13" s="152"/>
      <c r="M13" s="152"/>
      <c r="N13" s="152"/>
      <c r="O13" s="152"/>
      <c r="P13" s="152"/>
      <c r="Q13" s="152"/>
      <c r="R13" s="152"/>
    </row>
    <row customHeight="1" ht="13.5">
      <c r="A14" s="152"/>
      <c r="B14" s="271" t="s">
        <v>42</v>
      </c>
      <c r="C14" s="273">
        <f>_xlfn.IFERROR(ROUND(D14,0)/10000,0)</f>
        <v>0.9</v>
      </c>
      <c r="D14" s="152">
        <v>9000</v>
      </c>
      <c r="E14" s="152"/>
      <c r="F14" s="152">
        <v>0</v>
      </c>
      <c r="G14" s="152"/>
      <c r="H14" s="273">
        <f>_xlfn.IFERROR(ROUND(I14,0)/10000,0)</f>
        <v>0</v>
      </c>
      <c r="I14" s="152"/>
      <c r="J14" s="152"/>
      <c r="K14" s="152">
        <v>0</v>
      </c>
      <c r="L14" s="152"/>
      <c r="M14" s="152"/>
      <c r="N14" s="152"/>
      <c r="O14" s="152"/>
      <c r="P14" s="152"/>
      <c r="Q14" s="152"/>
      <c r="R14" s="152"/>
    </row>
    <row customHeight="1" ht="13.5">
      <c r="A15" s="152"/>
      <c r="B15" s="271" t="s">
        <v>47</v>
      </c>
      <c r="C15" s="273">
        <f>_xlfn.IFERROR(ROUND(D15,0)/10000,0)</f>
        <v>0.31</v>
      </c>
      <c r="D15" s="152">
        <v>3100</v>
      </c>
      <c r="E15" s="152"/>
      <c r="F15" s="152">
        <v>0</v>
      </c>
      <c r="G15" s="152"/>
      <c r="H15" s="273">
        <f>_xlfn.IFERROR(ROUND(I15,0)/10000,0)</f>
        <v>0</v>
      </c>
      <c r="I15" s="152"/>
      <c r="J15" s="152"/>
      <c r="K15" s="152">
        <v>0</v>
      </c>
      <c r="L15" s="152"/>
      <c r="M15" s="152"/>
      <c r="N15" s="152"/>
      <c r="O15" s="152"/>
      <c r="P15" s="152"/>
      <c r="Q15" s="152"/>
      <c r="R15" s="152"/>
    </row>
    <row customHeight="1" ht="13.5">
      <c r="A16" s="152"/>
      <c r="B16" s="271" t="s">
        <v>50</v>
      </c>
      <c r="C16" s="273">
        <f>_xlfn.IFERROR(ROUND(D16,0)/10000,0)</f>
        <v>0.51</v>
      </c>
      <c r="D16" s="152">
        <v>5100</v>
      </c>
      <c r="E16" s="152"/>
      <c r="F16" s="152">
        <v>0</v>
      </c>
      <c r="G16" s="152"/>
      <c r="H16" s="273">
        <f>_xlfn.IFERROR(ROUND(I16,0)/10000,0)</f>
        <v>0</v>
      </c>
      <c r="I16" s="152"/>
      <c r="J16" s="152"/>
      <c r="K16" s="152">
        <v>0</v>
      </c>
      <c r="L16" s="152"/>
      <c r="M16" s="152"/>
      <c r="N16" s="152"/>
      <c r="O16" s="152"/>
      <c r="P16" s="152"/>
      <c r="Q16" s="152"/>
      <c r="R16" s="152"/>
    </row>
    <row customHeight="1" ht="13.5">
      <c r="A17" s="152"/>
      <c r="B17" s="271" t="s">
        <v>52</v>
      </c>
      <c r="C17" s="273">
        <f>_xlfn.IFERROR(D17/10000,0)</f>
        <v>14</v>
      </c>
      <c r="D17" s="152">
        <v>140000</v>
      </c>
      <c r="E17" s="152"/>
      <c r="F17" s="152">
        <v>0</v>
      </c>
      <c r="G17" s="152"/>
      <c r="H17" s="273">
        <f>_xlfn.IFERROR(I17/10000,0)</f>
        <v>0</v>
      </c>
      <c r="I17" s="152"/>
      <c r="J17" s="152"/>
      <c r="K17" s="152">
        <v>0</v>
      </c>
      <c r="L17" s="152"/>
      <c r="M17" s="152"/>
      <c r="N17" s="152"/>
      <c r="O17" s="152"/>
      <c r="P17" s="152"/>
      <c r="Q17" s="152"/>
      <c r="R17" s="152"/>
    </row>
    <row customHeight="1" ht="13.5">
      <c r="A18" s="152"/>
      <c r="B18" s="271" t="s">
        <v>53</v>
      </c>
      <c r="C18" s="152"/>
      <c r="D18" s="152"/>
      <c r="E18" s="152"/>
      <c r="F18" s="152"/>
      <c r="G18" s="152"/>
      <c r="H18" s="152"/>
      <c r="I18" s="152"/>
      <c r="J18" s="152"/>
      <c r="K18" s="152"/>
      <c r="L18" s="152"/>
      <c r="M18" s="152"/>
      <c r="N18" s="152"/>
      <c r="O18" s="152"/>
      <c r="P18" s="152"/>
      <c r="Q18" s="152"/>
      <c r="R18" s="152"/>
    </row>
    <row customHeight="1" ht="13.5">
      <c r="A19" s="152"/>
      <c r="B19" s="271" t="s">
        <v>54</v>
      </c>
      <c r="C19" s="273">
        <f>_xlfn.IFERROR(D19/10000,0)</f>
        <v>11</v>
      </c>
      <c r="D19" s="152">
        <v>110000</v>
      </c>
      <c r="E19" s="152"/>
      <c r="F19" s="152">
        <v>0</v>
      </c>
      <c r="G19" s="152"/>
      <c r="H19" s="273">
        <f>_xlfn.IFERROR(I19/10000,0)</f>
        <v>0</v>
      </c>
      <c r="I19" s="152"/>
      <c r="J19" s="152"/>
      <c r="K19" s="152">
        <v>0</v>
      </c>
      <c r="L19" s="152"/>
      <c r="M19" s="152"/>
      <c r="N19" s="152"/>
      <c r="O19" s="152"/>
      <c r="P19" s="152"/>
      <c r="Q19" s="152"/>
      <c r="R19" s="152"/>
    </row>
    <row customHeight="1" ht="13.5">
      <c r="A20" s="152"/>
      <c r="B20" s="271" t="s">
        <v>55</v>
      </c>
      <c r="C20" s="152"/>
      <c r="D20" s="152"/>
      <c r="E20" s="152"/>
      <c r="F20" s="152"/>
      <c r="G20" s="152"/>
      <c r="H20" s="152"/>
      <c r="I20" s="152"/>
      <c r="J20" s="152"/>
      <c r="K20" s="152"/>
      <c r="L20" s="152"/>
      <c r="M20" s="152"/>
      <c r="N20" s="152"/>
      <c r="O20" s="152"/>
      <c r="P20" s="152"/>
      <c r="Q20" s="152"/>
      <c r="R20" s="152"/>
    </row>
    <row customHeight="1" ht="13.5">
      <c r="A21" s="152"/>
      <c r="B21" s="269" t="s">
        <v>114</v>
      </c>
      <c r="C21" s="272">
        <f>_xlfn.IFERROR(D21/10000,0)</f>
        <v>0</v>
      </c>
      <c r="D21" s="274">
        <v>0</v>
      </c>
      <c r="E21" s="152"/>
      <c r="F21" s="152"/>
      <c r="G21" s="152"/>
      <c r="H21" s="272">
        <f>_xlfn.IFERROR(I21/10000,0)</f>
        <v>0</v>
      </c>
      <c r="I21" s="274"/>
      <c r="J21" s="152"/>
      <c r="K21" s="270">
        <v>0</v>
      </c>
      <c r="L21" s="152"/>
      <c r="M21" s="152"/>
      <c r="N21" s="152"/>
      <c r="O21" s="152"/>
      <c r="P21" s="152"/>
      <c r="Q21" s="152"/>
      <c r="R21" s="152"/>
    </row>
    <row customHeight="1" ht="13.5">
      <c r="A22" s="152"/>
      <c r="B22" s="269" t="s">
        <v>115</v>
      </c>
      <c r="C22" s="152"/>
      <c r="D22" s="152"/>
      <c r="E22" s="152"/>
      <c r="F22" s="152"/>
      <c r="G22" s="152"/>
      <c r="H22" s="152"/>
      <c r="I22" s="152"/>
      <c r="J22" s="152"/>
      <c r="K22" s="152"/>
      <c r="L22" s="152"/>
      <c r="M22" s="152"/>
      <c r="N22" s="152"/>
      <c r="O22" s="152"/>
      <c r="P22" s="152"/>
      <c r="Q22" s="152"/>
      <c r="R22" s="152"/>
    </row>
    <row customHeight="1" ht="13.5">
      <c r="A23" s="152"/>
      <c r="B23" s="271" t="s">
        <v>60</v>
      </c>
      <c r="C23" s="273">
        <f>_xlfn.IFERROR(D23/10000,0)</f>
        <v>18</v>
      </c>
      <c r="D23" s="152">
        <v>180000</v>
      </c>
      <c r="E23" s="152"/>
      <c r="F23" s="152">
        <v>0</v>
      </c>
      <c r="G23" s="152"/>
      <c r="H23" s="273">
        <f>_xlfn.IFERROR(I23/10000,0)</f>
        <v>0</v>
      </c>
      <c r="I23" s="152"/>
      <c r="J23" s="152"/>
      <c r="K23" s="152">
        <v>0</v>
      </c>
      <c r="L23" s="152"/>
      <c r="M23" s="152"/>
      <c r="N23" s="152"/>
      <c r="O23" s="152"/>
      <c r="P23" s="152"/>
      <c r="Q23" s="152"/>
      <c r="R23" s="152"/>
    </row>
    <row customHeight="1" ht="13.5">
      <c r="A24" s="152"/>
      <c r="B24" s="271" t="s">
        <v>62</v>
      </c>
      <c r="C24" s="152"/>
      <c r="D24" s="152"/>
      <c r="E24" s="152"/>
      <c r="F24" s="152"/>
      <c r="G24" s="152"/>
      <c r="H24" s="152"/>
      <c r="I24" s="152"/>
      <c r="J24" s="152"/>
      <c r="K24" s="152"/>
      <c r="L24" s="152"/>
      <c r="M24" s="152"/>
      <c r="N24" s="152"/>
      <c r="O24" s="152"/>
      <c r="P24" s="152"/>
      <c r="Q24" s="152"/>
      <c r="R24" s="152"/>
    </row>
    <row customHeight="1" ht="13.5">
      <c r="A25" s="152"/>
      <c r="B25" s="151" t="s">
        <v>63</v>
      </c>
      <c r="C25" s="272">
        <v>19200</v>
      </c>
      <c r="D25" s="152"/>
      <c r="E25" s="152"/>
      <c r="F25" s="152">
        <v>0</v>
      </c>
      <c r="G25" s="152"/>
      <c r="H25" s="272"/>
      <c r="I25" s="152"/>
      <c r="J25" s="152"/>
      <c r="K25" s="152">
        <v>0</v>
      </c>
      <c r="L25" s="152"/>
      <c r="M25" s="152"/>
      <c r="N25" s="152"/>
      <c r="O25" s="152"/>
      <c r="P25" s="152"/>
      <c r="Q25" s="152"/>
      <c r="R25" s="152"/>
    </row>
    <row customHeight="1" ht="13.5">
      <c r="A26" s="152"/>
      <c r="B26" s="151" t="s">
        <v>64</v>
      </c>
      <c r="C26" s="152"/>
      <c r="D26" s="152"/>
      <c r="E26" s="152"/>
      <c r="F26" s="152"/>
      <c r="G26" s="152"/>
      <c r="H26" s="152"/>
      <c r="I26" s="152"/>
      <c r="J26" s="152"/>
      <c r="K26" s="152"/>
      <c r="L26" s="152"/>
      <c r="M26" s="152"/>
      <c r="N26" s="152"/>
      <c r="O26" s="152"/>
      <c r="P26" s="152"/>
      <c r="Q26" s="152"/>
      <c r="R26" s="152"/>
    </row>
    <row customHeight="1" ht="13.5">
      <c r="A27" s="152"/>
      <c r="B27" s="151"/>
      <c r="C27" s="152"/>
      <c r="D27" s="152"/>
      <c r="E27" s="152"/>
      <c r="F27" s="152"/>
      <c r="G27" s="152"/>
      <c r="H27" s="152"/>
      <c r="I27" s="152"/>
      <c r="J27" s="152"/>
      <c r="K27" s="152"/>
      <c r="L27" s="152"/>
      <c r="M27" s="152"/>
      <c r="N27" s="152"/>
      <c r="O27" s="152"/>
      <c r="P27" s="152"/>
      <c r="Q27" s="152"/>
      <c r="R27" s="152"/>
    </row>
    <row customHeight="1" ht="13.5">
      <c r="A28" s="152"/>
      <c r="B28" s="151"/>
      <c r="C28" s="152" t="s">
        <v>9</v>
      </c>
      <c r="D28" s="152"/>
      <c r="E28" s="152"/>
      <c r="F28" s="152"/>
      <c r="G28" s="152"/>
      <c r="H28" s="152"/>
      <c r="I28" s="152"/>
      <c r="J28" s="152"/>
      <c r="K28" s="152"/>
      <c r="L28" s="152"/>
      <c r="M28" s="152"/>
      <c r="N28" s="152"/>
      <c r="O28" s="152"/>
      <c r="P28" s="152"/>
      <c r="Q28" s="152"/>
      <c r="R28" s="152"/>
    </row>
    <row customHeight="1" ht="13.5">
      <c r="A29" s="152"/>
      <c r="B29" s="151"/>
      <c r="C29" s="152" t="s">
        <v>22</v>
      </c>
      <c r="D29" s="152" t="s">
        <v>23</v>
      </c>
      <c r="E29" s="152"/>
      <c r="F29" s="152"/>
      <c r="G29" s="152"/>
      <c r="H29" s="152"/>
      <c r="I29" s="152"/>
      <c r="J29" s="152"/>
      <c r="K29" s="152"/>
      <c r="L29" s="152"/>
      <c r="M29" s="152"/>
      <c r="N29" s="152"/>
      <c r="O29" s="152"/>
      <c r="P29" s="152"/>
      <c r="Q29" s="152"/>
      <c r="R29" s="152"/>
    </row>
    <row customHeight="1" ht="15.75">
      <c r="A30" s="152"/>
      <c r="B30" s="151"/>
      <c r="C30" s="274">
        <v>0</v>
      </c>
      <c r="D30" s="152">
        <v>0</v>
      </c>
      <c r="E30" s="152"/>
      <c r="F30" s="152"/>
      <c r="G30" s="152"/>
      <c r="H30" s="152"/>
      <c r="I30" s="152"/>
      <c r="J30" s="152"/>
      <c r="K30" s="152"/>
      <c r="L30" s="152"/>
      <c r="M30" s="152"/>
      <c r="N30" s="152"/>
      <c r="O30" s="152"/>
      <c r="P30" s="152"/>
      <c r="Q30" s="152"/>
      <c r="R30" s="152"/>
    </row>
    <row customHeight="1" ht="13.5">
      <c r="A31" s="152"/>
      <c r="B31" s="151"/>
      <c r="C31" s="274">
        <v>0</v>
      </c>
      <c r="D31" s="152">
        <v>0</v>
      </c>
      <c r="E31" s="152"/>
      <c r="F31" s="152"/>
      <c r="G31" s="152"/>
      <c r="H31" s="152"/>
      <c r="I31" s="152"/>
      <c r="J31" s="152"/>
      <c r="K31" s="152"/>
      <c r="L31" s="152"/>
      <c r="M31" s="152"/>
      <c r="N31" s="152"/>
      <c r="O31" s="152"/>
      <c r="P31" s="152"/>
      <c r="Q31" s="152"/>
      <c r="R31" s="152"/>
    </row>
    <row customHeight="1" ht="13.5">
      <c r="A32" s="152"/>
      <c r="B32" s="151"/>
      <c r="C32" s="274">
        <v>0</v>
      </c>
      <c r="D32" s="152">
        <v>0</v>
      </c>
      <c r="E32" s="152"/>
      <c r="F32" s="152"/>
      <c r="G32" s="152"/>
      <c r="H32" s="152"/>
      <c r="I32" s="152"/>
      <c r="J32" s="152"/>
      <c r="K32" s="152"/>
      <c r="L32" s="152"/>
      <c r="M32" s="152"/>
      <c r="N32" s="152"/>
      <c r="O32" s="152"/>
      <c r="P32" s="152"/>
      <c r="Q32" s="152"/>
      <c r="R32" s="152"/>
    </row>
    <row customHeight="1" ht="13.5">
      <c r="A33" s="152"/>
      <c r="B33" s="151"/>
      <c r="C33" s="274">
        <v>0</v>
      </c>
      <c r="D33" s="152">
        <v>0</v>
      </c>
      <c r="E33" s="152"/>
      <c r="F33" s="152"/>
      <c r="G33" s="152"/>
      <c r="H33" s="152"/>
      <c r="I33" s="152"/>
      <c r="J33" s="152"/>
      <c r="K33" s="152"/>
      <c r="L33" s="152"/>
      <c r="M33" s="152"/>
      <c r="N33" s="152"/>
      <c r="O33" s="152"/>
      <c r="P33" s="152"/>
      <c r="Q33" s="152"/>
      <c r="R33" s="152"/>
    </row>
    <row customHeight="1" ht="13.5">
      <c r="A34" s="152"/>
      <c r="B34" s="151"/>
      <c r="C34" s="274">
        <v>0</v>
      </c>
      <c r="D34" s="152">
        <v>0</v>
      </c>
      <c r="E34" s="152"/>
      <c r="F34" s="152"/>
      <c r="G34" s="152"/>
      <c r="H34" s="152"/>
      <c r="I34" s="152"/>
      <c r="J34" s="152"/>
      <c r="K34" s="152"/>
      <c r="L34" s="152"/>
      <c r="M34" s="152"/>
      <c r="N34" s="152"/>
      <c r="O34" s="152"/>
      <c r="P34" s="152"/>
      <c r="Q34" s="152"/>
      <c r="R34" s="152"/>
    </row>
    <row customHeight="1" ht="13.5">
      <c r="A35" s="152"/>
      <c r="B35" s="151"/>
      <c r="C35" s="274">
        <v>0</v>
      </c>
      <c r="D35" s="152">
        <v>0</v>
      </c>
      <c r="E35" s="152"/>
      <c r="F35" s="152"/>
      <c r="G35" s="152"/>
      <c r="H35" s="152"/>
      <c r="I35" s="152"/>
      <c r="J35" s="152"/>
      <c r="K35" s="152"/>
      <c r="L35" s="152"/>
      <c r="M35" s="152"/>
      <c r="N35" s="152"/>
      <c r="O35" s="152"/>
      <c r="P35" s="152"/>
      <c r="Q35" s="152"/>
      <c r="R35" s="152"/>
    </row>
    <row customHeight="1" ht="13.5">
      <c r="A36" s="152"/>
      <c r="B36" s="151"/>
      <c r="C36" s="274">
        <v>0</v>
      </c>
      <c r="D36" s="152">
        <v>0</v>
      </c>
      <c r="E36" s="152"/>
      <c r="F36" s="152"/>
      <c r="G36" s="152"/>
      <c r="H36" s="152"/>
      <c r="I36" s="152"/>
      <c r="J36" s="152"/>
      <c r="K36" s="152"/>
      <c r="L36" s="152"/>
      <c r="M36" s="152"/>
      <c r="N36" s="152"/>
      <c r="O36" s="152"/>
      <c r="P36" s="152"/>
      <c r="Q36" s="152"/>
      <c r="R36" s="152"/>
    </row>
  </sheetData>
  <pageMargins left="0.70" right="0.70" top="0.75" bottom="0.75" header="0.30" footer="0.30"/>
  <pageSetup pageOrder="downThenOver" orientation="portrait"/>
  <headerFooter>
    <oddHeader>&amp;L&amp;C&amp;R</oddHeader>
    <oddFooter>&amp;L&amp;C&amp;R</oddFooter>
    <evenHeader>&amp;L&amp;C&amp;R</evenHeader>
    <evenFooter>&amp;L&amp;C&amp;R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1</vt:i4>
      </vt:variant>
    </vt:vector>
  </HeadingPairs>
  <TitlesOfParts>
    <vt:vector size="4" baseType="lpstr">
      <vt:lpstr>全年生产任务情况统计</vt:lpstr>
      <vt:lpstr>取值</vt:lpstr>
      <vt:lpstr>计划取值</vt:lpstr>
      <vt:lpstr>全年生产任务情况统计!Print_Area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dhc</dc:creator>
  <cp:lastModifiedBy>user</cp:lastModifiedBy>
  <cp:lastPrinted>2024-03-11T01:08:57Z</cp:lastPrinted>
  <dcterms:created xsi:type="dcterms:W3CDTF">2015-06-05T18:19:00Z</dcterms:created>
  <dcterms:modified xsi:type="dcterms:W3CDTF">2024-03-11T01:08:58Z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59108F14B6D743BD8720948C118C469D_12</vt:lpwstr>
  </property>
  <property fmtid="{D5CDD505-2E9C-101B-9397-08002B2CF9AE}" pid="3" name="KSOProductBuildVer">
    <vt:lpwstr>2052-11.1.0.14309</vt:lpwstr>
  </property>
</Properties>
</file>