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延安石化厂装置生产完成情况（3-3）" sheetId="1" r:id="rId2"/>
    <sheet name="公式" sheetId="2" state="hidden" r:id="rId3"/>
    <sheet name="取值" sheetId="3" state="hidden" r:id="rId4"/>
  </sheets>
  <calcPr calcId="0" iterate="0" iterateCount="100" iterateDelta="0.001"/>
</workbook>
</file>

<file path=xl/comments1.xml><?xml version="1.0" encoding="utf-8"?>
<comments xmlns="http://schemas.openxmlformats.org/spreadsheetml/2006/main">
  <authors>
    <author>Author</author>
  </authors>
  <commentList>
    <comment ref="E6" authorId="0">
      <text>
        <r>
          <rPr>
            <b/>
            <sz val="9"/>
            <color indexed="81"/>
            <rFont val="宋体"/>
            <family val="2"/>
          </rPr>
          <t>#Input("延安石油化工厂_生产_装置生产完成情况3_60精制装置_原料处理量",":key{{dw}}")</t>
        </r>
      </text>
    </comment>
    <comment ref="E7" authorId="0">
      <text>
        <r>
          <rPr>
            <b/>
            <sz val="9"/>
            <color indexed="81"/>
            <rFont val="宋体"/>
            <family val="2"/>
          </rPr>
          <t>#Input("延安石油化工厂_生产_装置生产完成情况3_60精制装置_催化液化气",":key{{dw}}")</t>
        </r>
      </text>
    </comment>
    <comment ref="E8" authorId="0">
      <text>
        <r>
          <rPr>
            <b/>
            <sz val="9"/>
            <color indexed="81"/>
            <rFont val="宋体"/>
            <family val="2"/>
          </rPr>
          <t>#Input("延安石油化工厂_生产_装置生产完成情况3_60精制装置_加氢液化气",":key{{dw}}")</t>
        </r>
      </text>
    </comment>
    <comment ref="E9" authorId="0">
      <text>
        <r>
          <rPr>
            <b/>
            <sz val="9"/>
            <color indexed="81"/>
            <rFont val="宋体"/>
            <family val="2"/>
          </rPr>
          <t>#Input("延安石油化工厂_生产_装置生产完成情况3_60精制装置_精制液化气",":key{{dw}}")</t>
        </r>
      </text>
    </comment>
    <comment ref="E10" authorId="0">
      <text>
        <r>
          <rPr>
            <b/>
            <sz val="9"/>
            <color indexed="81"/>
            <rFont val="宋体"/>
            <family val="2"/>
          </rPr>
          <t>#Input("延安石油化工厂_生产_装置生产完成情况3_60精制装置_酸性气",":key{{dw}}")</t>
        </r>
      </text>
    </comment>
    <comment ref="E11" authorId="0">
      <text>
        <r>
          <rPr>
            <b/>
            <sz val="9"/>
            <color indexed="81"/>
            <rFont val="宋体"/>
            <family val="2"/>
          </rPr>
          <t>#Input("延安石油化工厂_生产_装置生产完成情况3_60精制装置_不合格液化气",":key{{dw}}")</t>
        </r>
      </text>
    </comment>
    <comment ref="E13" authorId="0">
      <text>
        <r>
          <rPr>
            <b/>
            <sz val="9"/>
            <color indexed="81"/>
            <rFont val="宋体"/>
            <family val="2"/>
          </rPr>
          <t>#Input("延安石油化工厂_生产_装置生产完成情况3_0.4硫磺回收装置_酸性气原料",":key{{dw}}")</t>
        </r>
      </text>
    </comment>
    <comment ref="E14" authorId="0">
      <text>
        <r>
          <rPr>
            <b/>
            <sz val="9"/>
            <color indexed="81"/>
            <rFont val="宋体"/>
            <family val="2"/>
          </rPr>
          <t>#Input("延安石油化工厂_生产_装置生产完成情况3_0.4硫磺回收装置_粗硫磺",":key{{dw}}")</t>
        </r>
      </text>
    </comment>
    <comment ref="E15" authorId="0">
      <text>
        <r>
          <rPr>
            <b/>
            <sz val="9"/>
            <color indexed="81"/>
            <rFont val="宋体"/>
            <family val="2"/>
          </rPr>
          <t>#Input("延安石油化工厂_生产_装置生产完成情况3_0.4硫磺回收装置_烟道气",":key{{dw}}")</t>
        </r>
      </text>
    </comment>
    <comment ref="E16" authorId="0">
      <text>
        <r>
          <rPr>
            <b/>
            <sz val="9"/>
            <color indexed="81"/>
            <rFont val="宋体"/>
            <family val="2"/>
          </rPr>
          <t>#Input("延安石油化工厂_生产_装置生产完成情况3_2硫磺精制装置_粗硫磺",":key{{dw}}")</t>
        </r>
      </text>
    </comment>
    <comment ref="E17" authorId="0">
      <text>
        <r>
          <rPr>
            <b/>
            <sz val="9"/>
            <color indexed="81"/>
            <rFont val="宋体"/>
            <family val="2"/>
          </rPr>
          <t>#Input("延安石油化工厂_生产_装置生产完成情况3_0.4硫磺回收装置_精制硫磺",":key{{dw}}")</t>
        </r>
      </text>
    </comment>
    <comment ref="E18" authorId="0">
      <text>
        <r>
          <rPr>
            <b/>
            <sz val="9"/>
            <color indexed="81"/>
            <rFont val="宋体"/>
            <family val="2"/>
          </rPr>
          <t>#Input("延安石油化工厂_生产_装置生产完成情况3_0.4硫磺回收装置_污水",":key{{dw}}")</t>
        </r>
      </text>
    </comment>
    <comment ref="E19" authorId="0">
      <text>
        <r>
          <rPr>
            <b/>
            <sz val="9"/>
            <color indexed="81"/>
            <rFont val="宋体"/>
            <family val="2"/>
          </rPr>
          <t>#Input("延安石油化工厂_生产_装置生产完成情况3_180汽油精制装置_原料处理量",":key{{dw}}")</t>
        </r>
      </text>
    </comment>
    <comment ref="E20" authorId="0">
      <text>
        <r>
          <rPr>
            <b/>
            <sz val="9"/>
            <color indexed="81"/>
            <rFont val="宋体"/>
            <family val="2"/>
          </rPr>
          <t>#Input("延安石油化工厂_生产_装置生产完成情况3_180汽油精制装置_催化汽油",":key{{dw}}")</t>
        </r>
      </text>
    </comment>
    <comment ref="E21" authorId="0">
      <text>
        <r>
          <rPr>
            <b/>
            <sz val="9"/>
            <color indexed="81"/>
            <rFont val="宋体"/>
            <family val="2"/>
          </rPr>
          <t>#Input("延安石油化工厂_生产_装置生产完成情况3_180汽油精制装置_氢气",":key{{dw}}")</t>
        </r>
      </text>
    </comment>
    <comment ref="E22" authorId="0">
      <text>
        <r>
          <rPr>
            <b/>
            <sz val="9"/>
            <color indexed="81"/>
            <rFont val="宋体"/>
            <family val="2"/>
          </rPr>
          <t>#Input("延安石油化工厂_生产_装置生产完成情况3_180汽油精制装置_戊烷",":key{{dw}}")</t>
        </r>
      </text>
    </comment>
    <comment ref="E23" authorId="0">
      <text>
        <r>
          <rPr>
            <b/>
            <sz val="9"/>
            <color indexed="81"/>
            <rFont val="宋体"/>
            <family val="2"/>
          </rPr>
          <t>#Input("延安石油化工厂_生产_装置生产完成情况3_180汽油精制装置_精制汽油",":key{{dw}}")</t>
        </r>
      </text>
    </comment>
    <comment ref="E24" authorId="0">
      <text>
        <r>
          <rPr>
            <b/>
            <sz val="9"/>
            <color indexed="81"/>
            <rFont val="宋体"/>
            <family val="2"/>
          </rPr>
          <t>#Input("延安石油化工厂_生产_装置生产完成情况3_180汽油精制装置_燃料气",":key{{dw}}")</t>
        </r>
      </text>
    </comment>
    <comment ref="E25" authorId="0">
      <text>
        <r>
          <rPr>
            <b/>
            <sz val="9"/>
            <color indexed="81"/>
            <rFont val="宋体"/>
            <family val="2"/>
          </rPr>
          <t>#Input("延安石油化工厂_生产_装置生产完成情况3_180汽油精制装置_不合格汽油",":key{{dw}}")</t>
        </r>
      </text>
    </comment>
    <comment ref="E26" authorId="0">
      <text>
        <r>
          <rPr>
            <b/>
            <sz val="9"/>
            <color indexed="81"/>
            <rFont val="宋体"/>
            <family val="2"/>
          </rPr>
          <t>#Input("延安石油化工厂_生产_装置生产完成情况3_180汽油精制装置_污油",":key{{dw}}")</t>
        </r>
      </text>
    </comment>
    <comment ref="E28" authorId="0">
      <text>
        <r>
          <rPr>
            <b/>
            <sz val="9"/>
            <color indexed="81"/>
            <rFont val="宋体"/>
            <family val="2"/>
          </rPr>
          <t>#Input("延安石油化工厂_生产_装置生产完成情况3_240柴油加氢装置_原料处理量",":key{{dw}}")</t>
        </r>
      </text>
    </comment>
    <comment ref="E29" authorId="0">
      <text>
        <r>
          <rPr>
            <b/>
            <sz val="9"/>
            <color indexed="81"/>
            <rFont val="宋体"/>
            <family val="2"/>
          </rPr>
          <t>#Input("延安石油化工厂_生产_装置生产完成情况3_240柴油加氢装置_常压柴油",":key{{dw}}")</t>
        </r>
      </text>
    </comment>
    <comment ref="E30" authorId="0">
      <text>
        <r>
          <rPr>
            <b/>
            <sz val="9"/>
            <color indexed="81"/>
            <rFont val="宋体"/>
            <family val="2"/>
          </rPr>
          <t>#Input("延安石油化工厂_生产_装置生产完成情况3_240柴油加氢装置_氢气",":key{{dw}}")</t>
        </r>
      </text>
    </comment>
    <comment ref="E31" authorId="0">
      <text>
        <r>
          <rPr>
            <b/>
            <sz val="9"/>
            <color indexed="81"/>
            <rFont val="宋体"/>
            <family val="2"/>
          </rPr>
          <t>#Input("延安石油化工厂_生产_装置生产完成情况3_240柴油加氢装置_精制柴油",":key{{dw}}")</t>
        </r>
      </text>
    </comment>
    <comment ref="E32" authorId="0">
      <text>
        <r>
          <rPr>
            <b/>
            <sz val="9"/>
            <color indexed="81"/>
            <rFont val="宋体"/>
            <family val="2"/>
          </rPr>
          <t>#Input("延安石油化工厂_生产_装置生产完成情况3_240柴油加氢装置_石脑油",":key{{dw}}")</t>
        </r>
      </text>
    </comment>
    <comment ref="E33" authorId="0">
      <text>
        <r>
          <rPr>
            <b/>
            <sz val="9"/>
            <color indexed="81"/>
            <rFont val="宋体"/>
            <family val="2"/>
          </rPr>
          <t>#Input("延安石油化工厂_生产_装置生产完成情况3_240柴油加氢装置_轻烃",":key{{dw}}")</t>
        </r>
      </text>
    </comment>
    <comment ref="E34" authorId="0">
      <text>
        <r>
          <rPr>
            <b/>
            <sz val="9"/>
            <color indexed="81"/>
            <rFont val="宋体"/>
            <family val="2"/>
          </rPr>
          <t>#Input("延安石油化工厂_生产_装置生产完成情况3_240柴油加氢装置_富气",":key{{dw}}")</t>
        </r>
      </text>
    </comment>
    <comment ref="E35" authorId="0">
      <text>
        <r>
          <rPr>
            <b/>
            <sz val="9"/>
            <color indexed="81"/>
            <rFont val="宋体"/>
            <family val="2"/>
          </rPr>
          <t>#Input("延安石油化工厂_生产_装置生产完成情况3_240柴油加氢装置_高、低气分",":key{{dw}}")</t>
        </r>
      </text>
    </comment>
    <comment ref="E36" authorId="0">
      <text>
        <r>
          <rPr>
            <b/>
            <sz val="9"/>
            <color indexed="81"/>
            <rFont val="宋体"/>
            <family val="2"/>
          </rPr>
          <t>#Input("延安石油化工厂_生产_装置生产完成情况3_240柴油加氢装置_不合格柴油",":key{{dw}}")</t>
        </r>
      </text>
    </comment>
    <comment ref="E37" authorId="0">
      <text>
        <r>
          <rPr>
            <b/>
            <sz val="9"/>
            <color indexed="81"/>
            <rFont val="宋体"/>
            <family val="2"/>
          </rPr>
          <t>#Input("延安石油化工厂_生产_装置生产完成情况3_240柴油加氢装置_污油",":key{{dw}}")</t>
        </r>
      </text>
    </comment>
    <comment ref="D40" authorId="0">
      <text>
        <r>
          <rPr>
            <b/>
            <sz val="9"/>
            <color indexed="81"/>
            <rFont val="宋体"/>
            <family val="2"/>
          </rPr>
          <t>#Input("延安石油化工厂_生产_装置生产完成情况3_主管领导",":key{{dw}}")</t>
        </r>
      </text>
    </comment>
    <comment ref="G40" authorId="0">
      <text>
        <r>
          <rPr>
            <b/>
            <sz val="9"/>
            <color indexed="81"/>
            <rFont val="宋体"/>
            <family val="2"/>
          </rPr>
          <t>#Input("延安石油化工厂_生产_装置生产完成情况3_单位负责人",":key{{dw}}")</t>
        </r>
      </text>
    </comment>
    <comment ref="J40" authorId="0">
      <text>
        <r>
          <rPr>
            <b/>
            <sz val="9"/>
            <color indexed="81"/>
            <rFont val="宋体"/>
            <family val="2"/>
          </rPr>
          <t>#Input("延安石油化工厂_生产_装置生产完成情况3_填报人",":key{{dw}}")</t>
        </r>
      </text>
    </comment>
  </commentList>
</comments>
</file>

<file path=xl/sharedStrings.xml><?xml version="1.0" encoding="utf-8"?>
<sst xmlns="http://schemas.openxmlformats.org/spreadsheetml/2006/main" count="348" uniqueCount="102">
  <si>
    <t>延安石化厂装置生产完成情况（3-3）</t>
  </si>
  <si>
    <t>编制单位：延安石油化工厂</t>
  </si>
  <si>
    <t>日期：</t>
  </si>
  <si>
    <t>2025-12</t>
  </si>
  <si>
    <t>附表3-3</t>
  </si>
  <si>
    <t>单位名称</t>
  </si>
  <si>
    <t>装置名称</t>
  </si>
  <si>
    <t>指标名称</t>
  </si>
  <si>
    <t>产量（吨）</t>
  </si>
  <si>
    <t>收率（%）</t>
  </si>
  <si>
    <t>去年同期</t>
  </si>
  <si>
    <t>备注</t>
  </si>
  <si>
    <t>本月</t>
  </si>
  <si>
    <t>累计</t>
  </si>
  <si>
    <t>产量</t>
  </si>
  <si>
    <t>收率</t>
  </si>
  <si>
    <t>联
合
四
车
间</t>
  </si>
  <si>
    <t xml:space="preserve"> 60万吨/
年精制
装置</t>
  </si>
  <si>
    <t xml:space="preserve"> 原料处理量</t>
  </si>
  <si>
    <t>/</t>
  </si>
  <si>
    <t xml:space="preserve"> 其中：催化液化气</t>
  </si>
  <si>
    <t xml:space="preserve">      加氢液化气</t>
  </si>
  <si>
    <t xml:space="preserve"> 精制液化气</t>
  </si>
  <si>
    <t xml:space="preserve"> 酸性气</t>
  </si>
  <si>
    <t xml:space="preserve"> 不合格液化气</t>
  </si>
  <si>
    <t xml:space="preserve"> 加工损失</t>
  </si>
  <si>
    <t>0.40万吨/
年硫磺回收</t>
  </si>
  <si>
    <t xml:space="preserve"> 酸性气原料</t>
  </si>
  <si>
    <t xml:space="preserve"> 粗硫磺</t>
  </si>
  <si>
    <t xml:space="preserve"> 烟道气</t>
  </si>
  <si>
    <t xml:space="preserve"> 2万吨/年
硫磺精制</t>
  </si>
  <si>
    <t xml:space="preserve"> 精制硫磺</t>
  </si>
  <si>
    <t xml:space="preserve"> 污水</t>
  </si>
  <si>
    <t>联
合
三
车
间</t>
  </si>
  <si>
    <t xml:space="preserve"> 180万吨/年
汽油精制
装置</t>
  </si>
  <si>
    <t xml:space="preserve"> 其中：催化汽油</t>
  </si>
  <si>
    <t xml:space="preserve">       氢气</t>
  </si>
  <si>
    <t xml:space="preserve">       戊烷</t>
  </si>
  <si>
    <t xml:space="preserve"> 精制汽油</t>
  </si>
  <si>
    <t xml:space="preserve"> 燃料气</t>
  </si>
  <si>
    <t xml:space="preserve"> 不合格汽油</t>
  </si>
  <si>
    <t xml:space="preserve"> 污油</t>
  </si>
  <si>
    <t xml:space="preserve"> 240万吨/
年柴油加氢
装置</t>
  </si>
  <si>
    <t xml:space="preserve"> 其中：常压柴油</t>
  </si>
  <si>
    <t xml:space="preserve"> 精制柴油</t>
  </si>
  <si>
    <t xml:space="preserve"> 石脑油</t>
  </si>
  <si>
    <t xml:space="preserve"> 轻烃</t>
  </si>
  <si>
    <t xml:space="preserve"> 富气</t>
  </si>
  <si>
    <t xml:space="preserve"> 高、低气分</t>
  </si>
  <si>
    <t xml:space="preserve"> 不合格柴油</t>
  </si>
  <si>
    <t>备注：</t>
  </si>
  <si>
    <t>主管领导：</t>
  </si>
  <si>
    <t>陈张友</t>
  </si>
  <si>
    <t>单位负责人：</t>
  </si>
  <si>
    <t>温铜川</t>
  </si>
  <si>
    <t>填报人：</t>
  </si>
  <si>
    <t>李洛娟</t>
  </si>
  <si>
    <t>公式类型</t>
  </si>
  <si>
    <t>数据源</t>
  </si>
  <si>
    <t>取值</t>
  </si>
  <si>
    <t>计量点名称</t>
  </si>
  <si>
    <t>取值条件</t>
  </si>
  <si>
    <t>#SQL</t>
  </si>
  <si>
    <t>("</t>
  </si>
  <si>
    <t>SH_PM_ALL_ByMonth</t>
  </si>
  <si>
    <t>","</t>
  </si>
  <si>
    <t>VALUE</t>
  </si>
  <si>
    <t>",":where{NAME=</t>
  </si>
  <si>
    <t>延安石油化工厂_生产_联合四车间_60万吨/年液化气精制装置_进_催化液化气</t>
  </si>
  <si>
    <t>}")</t>
  </si>
  <si>
    <t>延安石油化工厂_生产_联合四车间_60万吨/年液化气精制装置_进_加氢液化气</t>
  </si>
  <si>
    <t>延安石油化工厂_生产_联合四车间_60万吨/年液化气精制装置_出_精制液化气</t>
  </si>
  <si>
    <t>延安石油化工厂_生产_联合四车间_60万吨/年液化气精制装置_出_酸性气</t>
  </si>
  <si>
    <t>延安石油化工厂_生产_联合四车间_60万吨/年液化气精制装置_出_不合格液化气</t>
  </si>
  <si>
    <t>延安石油化工厂_生产_联合四车间_60万吨/年液化气精制装置_出_加工损失</t>
  </si>
  <si>
    <t>延安石油化工厂_生产_联合四车间_4000吨/年硫磺回收装置_进_ 酸性气原料</t>
  </si>
  <si>
    <t>延安石油化工厂_生产_联合四车间_4000吨/年硫磺回收装置_出_ 粗硫磺</t>
  </si>
  <si>
    <t>延安石油化工厂_生产_联合四车间_4000吨/年硫磺回收装置_出_ 烟道气</t>
  </si>
  <si>
    <t>延安石油化工厂_生产_联合四车间_ 2万吨/年硫磺精制_进_ 粗硫磺</t>
  </si>
  <si>
    <t>延安石油化工厂_生产_联合四车间_ 2万吨/年硫磺精制_出_ 精制硫磺</t>
  </si>
  <si>
    <t>延安石油化工厂_生产_联合四车间_ 2万吨/年硫磺精制_出_ 污水</t>
  </si>
  <si>
    <t>延安石油化工厂_生产_联合三车间_180万吨/年汽油精制装置_进_催化汽油</t>
  </si>
  <si>
    <t>延安石油化工厂_生产_联合三车间_180万吨/年汽油精制装置_进_氢气</t>
  </si>
  <si>
    <t>延安石油化工厂_生产_联合三车间_180万吨/年汽油精制装置_进_戊烷</t>
  </si>
  <si>
    <t>延安石油化工厂_生产_联合三车间_180万吨/年汽油精制装置_出_精制汽油</t>
  </si>
  <si>
    <t>延安石油化工厂_生产_联合三车间_180万吨/年汽油精制装置_出_燃料气</t>
  </si>
  <si>
    <t>延安石油化工厂_生产_联合三车间_180万吨/年汽油精制装置_出_不合格汽油</t>
  </si>
  <si>
    <t>延安石油化工厂_生产_联合三车间_180万吨/年汽油精制装置_出_污油</t>
  </si>
  <si>
    <t>延安石油化工厂_生产_联合三车间_180万吨/年汽油精制装置_出_加工损失</t>
  </si>
  <si>
    <t>延安石油化工厂_生产_联合三车间_240万吨/年柴油精制装置_进_常压柴油</t>
  </si>
  <si>
    <t>延安石油化工厂_生产_联合三车间_240万吨/年柴油精制装置_进_氢气</t>
  </si>
  <si>
    <t>延安石油化工厂_生产_联合三车间_240万吨/年柴油精制装置_出_精制柴油</t>
  </si>
  <si>
    <t>延安石油化工厂_生产_联合三车间_240万吨/年柴油精制装置_出_石脑油（常压）</t>
  </si>
  <si>
    <t>延安石油化工厂_生产_联合三车间_240万吨/年柴油精制装置_出_轻烃</t>
  </si>
  <si>
    <t>延安石油化工厂_生产_联合三车间_240万吨/年柴油精制装置_出_含硫气体</t>
  </si>
  <si>
    <t>延安石油化工厂_生产_联合三车间_240万吨/年柴油精制装置_出_高、低气分</t>
  </si>
  <si>
    <t>延安石油化工厂_生产_联合三车间_240万吨/年柴油精制装置_出_不合格柴油</t>
  </si>
  <si>
    <t>延安石油化工厂_生产_联合三车间_240万吨/年柴油精制装置_出_污油</t>
  </si>
  <si>
    <t>延安石油化工厂_生产_联合三车间_240万吨/年柴油精制装置_出_加工损失</t>
  </si>
  <si>
    <t>报表生成时间：</t>
  </si>
  <si>
    <t>2026-01-01</t>
  </si>
  <si>
    <t xml:space="preserve"> 8:00:00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</si>
</sst>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  <numFmt numFmtId="171" formatCode="0.00_ "/>
    <numFmt numFmtId="172" formatCode="0_ "/>
  </numFmts>
  <fonts count="21">
    <font>
      <sz val="11"/>
      <color theme="1"/>
      <name val="Calibri"/>
      <scheme val="minor"/>
    </font>
    <font>
      <sz val="11"/>
      <color theme="0"/>
      <name val="Calibri"/>
      <scheme val="minor"/>
    </font>
    <font>
      <sz val="11"/>
      <color rgb="FF9C0006"/>
      <name val="Calibri"/>
      <scheme val="minor"/>
    </font>
    <font>
      <b/>
      <sz val="11"/>
      <color rgb="FFFA7D00"/>
      <name val="Calibri"/>
      <scheme val="minor"/>
    </font>
    <font>
      <b/>
      <sz val="11"/>
      <color theme="0"/>
      <name val="Calibri"/>
      <scheme val="minor"/>
    </font>
    <font>
      <sz val="11"/>
      <color indexed="0"/>
      <name val="Calibri"/>
      <family val="2"/>
    </font>
    <font>
      <i/>
      <sz val="11"/>
      <color rgb="FF7F7F7F"/>
      <name val="Calibri"/>
      <scheme val="minor"/>
    </font>
    <font>
      <sz val="11"/>
      <color rgb="FF006100"/>
      <name val="Calibri"/>
      <scheme val="min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3F3F76"/>
      <name val="Calibri"/>
      <scheme val="minor"/>
    </font>
    <font>
      <sz val="11"/>
      <color rgb="FFFA7D00"/>
      <name val="Calibri"/>
      <scheme val="minor"/>
    </font>
    <font>
      <sz val="11"/>
      <color rgb="FF9C6500"/>
      <name val="Calibri"/>
      <scheme val="minor"/>
    </font>
    <font>
      <b/>
      <sz val="11"/>
      <color rgb="FF3F3F3F"/>
      <name val="Calibri"/>
      <scheme val="minor"/>
    </font>
    <font>
      <b/>
      <sz val="18"/>
      <color theme="3"/>
      <name val="Calibri Light"/>
      <scheme val="major"/>
    </font>
    <font>
      <b/>
      <sz val="11"/>
      <color theme="1"/>
      <name val="Calibri"/>
      <scheme val="minor"/>
    </font>
    <font>
      <sz val="11"/>
      <color rgb="FFFF0000"/>
      <name val="Calibri"/>
      <scheme val="minor"/>
    </font>
    <font>
      <sz val="11"/>
      <color theme="1"/>
      <name val="等线"/>
    </font>
    <font>
      <b/>
      <sz val="18"/>
      <color theme="1"/>
      <name val="Calibri"/>
      <scheme val="minor"/>
    </font>
    <font>
      <b/>
      <sz val="11"/>
      <color theme="1"/>
      <name val="Calibri"/>
    </font>
  </fonts>
  <fills count="33">
    <fill>
      <patternFill patternType="none"/>
    </fill>
    <fill>
      <patternFill patternType="gray125"/>
    </fill>
    <fill>
      <patternFill patternType="solid">
        <fgColor theme="4" tint="0.8"/>
      </patternFill>
    </fill>
    <fill>
      <patternFill patternType="solid">
        <fgColor theme="5" tint="0.8"/>
      </patternFill>
    </fill>
    <fill>
      <patternFill patternType="solid">
        <fgColor theme="6" tint="0.8"/>
      </patternFill>
    </fill>
    <fill>
      <patternFill patternType="solid">
        <fgColor theme="7" tint="0.8"/>
      </patternFill>
    </fill>
    <fill>
      <patternFill patternType="solid">
        <fgColor theme="8" tint="0.8"/>
      </patternFill>
    </fill>
    <fill>
      <patternFill patternType="solid">
        <fgColor theme="9" tint="0.8"/>
      </patternFill>
    </fill>
    <fill>
      <patternFill patternType="solid">
        <fgColor theme="4" tint="0.6"/>
      </patternFill>
    </fill>
    <fill>
      <patternFill patternType="solid">
        <fgColor theme="5" tint="0.6"/>
      </patternFill>
    </fill>
    <fill>
      <patternFill patternType="solid">
        <fgColor theme="6" tint="0.6"/>
      </patternFill>
    </fill>
    <fill>
      <patternFill patternType="solid">
        <fgColor theme="7" tint="0.6"/>
      </patternFill>
    </fill>
    <fill>
      <patternFill patternType="solid">
        <fgColor theme="8" tint="0.6"/>
      </patternFill>
    </fill>
    <fill>
      <patternFill patternType="solid">
        <fgColor theme="9" tint="0.6"/>
      </patternFill>
    </fill>
    <fill>
      <patternFill patternType="solid">
        <fgColor theme="4" tint="0.4"/>
      </patternFill>
    </fill>
    <fill>
      <patternFill patternType="solid">
        <fgColor theme="5" tint="0.4"/>
      </patternFill>
    </fill>
    <fill>
      <patternFill patternType="solid">
        <fgColor theme="6" tint="0.4"/>
      </patternFill>
    </fill>
    <fill>
      <patternFill patternType="solid">
        <fgColor theme="7" tint="0.4"/>
      </patternFill>
    </fill>
    <fill>
      <patternFill patternType="solid">
        <fgColor theme="8" tint="0.4"/>
      </patternFill>
    </fill>
    <fill>
      <patternFill patternType="solid">
        <fgColor theme="9" tint="0.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22">
    <border>
      <left/>
      <right/>
      <top/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thick">
        <color theme="4"/>
      </bottom>
    </border>
    <border>
      <left/>
      <right/>
      <top/>
      <bottom style="thick">
        <color theme="4" tint="0.5"/>
      </bottom>
    </border>
    <border>
      <left/>
      <right/>
      <top/>
      <bottom style="medium">
        <color theme="4" tint="0.4"/>
      </bottom>
    </border>
    <border>
      <left/>
      <right/>
      <top/>
      <bottom style="double">
        <color rgb="FFFF800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47">
    <xf numFmtId="0" fontId="0" fillId="0" borderId="0" applyFont="1" applyFill="0" applyBorder="0"/>
    <xf numFmtId="0" fontId="0" fillId="2" borderId="0" applyFont="1" applyFill="1" applyBorder="0">
      <alignment vertical="top"/>
    </xf>
    <xf numFmtId="0" fontId="0" fillId="3" borderId="0" applyFont="1" applyFill="1" applyBorder="0">
      <alignment vertical="top"/>
    </xf>
    <xf numFmtId="0" fontId="0" fillId="4" borderId="0" applyFont="1" applyFill="1" applyBorder="0">
      <alignment vertical="top"/>
    </xf>
    <xf numFmtId="0" fontId="0" fillId="5" borderId="0" applyFont="1" applyFill="1" applyBorder="0">
      <alignment vertical="top"/>
    </xf>
    <xf numFmtId="0" fontId="0" fillId="6" borderId="0" applyFont="1" applyFill="1" applyBorder="0">
      <alignment vertical="top"/>
    </xf>
    <xf numFmtId="0" fontId="0" fillId="7" borderId="0" applyFont="1" applyFill="1" applyBorder="0">
      <alignment vertical="top"/>
    </xf>
    <xf numFmtId="0" fontId="0" fillId="8" borderId="0" applyFont="1" applyFill="1" applyBorder="0">
      <alignment vertical="top"/>
    </xf>
    <xf numFmtId="0" fontId="0" fillId="9" borderId="0" applyFont="1" applyFill="1" applyBorder="0">
      <alignment vertical="top"/>
    </xf>
    <xf numFmtId="0" fontId="0" fillId="10" borderId="0" applyFont="1" applyFill="1" applyBorder="0">
      <alignment vertical="top"/>
    </xf>
    <xf numFmtId="0" fontId="0" fillId="11" borderId="0" applyFont="1" applyFill="1" applyBorder="0">
      <alignment vertical="top"/>
    </xf>
    <xf numFmtId="0" fontId="0" fillId="12" borderId="0" applyFont="1" applyFill="1" applyBorder="0">
      <alignment vertical="top"/>
    </xf>
    <xf numFmtId="0" fontId="0" fillId="13" borderId="0" applyFont="1" applyFill="1" applyBorder="0">
      <alignment vertical="top"/>
    </xf>
    <xf numFmtId="0" fontId="1" fillId="14" borderId="0" applyFont="1" applyFill="1" applyBorder="0">
      <alignment vertical="top"/>
    </xf>
    <xf numFmtId="0" fontId="1" fillId="15" borderId="0" applyFont="1" applyFill="1" applyBorder="0">
      <alignment vertical="top"/>
    </xf>
    <xf numFmtId="0" fontId="1" fillId="16" borderId="0" applyFont="1" applyFill="1" applyBorder="0">
      <alignment vertical="top"/>
    </xf>
    <xf numFmtId="0" fontId="1" fillId="17" borderId="0" applyFont="1" applyFill="1" applyBorder="0">
      <alignment vertical="top"/>
    </xf>
    <xf numFmtId="0" fontId="1" fillId="18" borderId="0" applyFont="1" applyFill="1" applyBorder="0">
      <alignment vertical="top"/>
    </xf>
    <xf numFmtId="0" fontId="1" fillId="19" borderId="0" applyFont="1" applyFill="1" applyBorder="0">
      <alignment vertical="top"/>
    </xf>
    <xf numFmtId="0" fontId="1" fillId="20" borderId="0" applyFont="1" applyFill="1" applyBorder="0">
      <alignment vertical="top"/>
    </xf>
    <xf numFmtId="0" fontId="1" fillId="21" borderId="0" applyFont="1" applyFill="1" applyBorder="0">
      <alignment vertical="top"/>
    </xf>
    <xf numFmtId="0" fontId="1" fillId="22" borderId="0" applyFont="1" applyFill="1" applyBorder="0">
      <alignment vertical="top"/>
    </xf>
    <xf numFmtId="0" fontId="1" fillId="23" borderId="0" applyFont="1" applyFill="1" applyBorder="0">
      <alignment vertical="top"/>
    </xf>
    <xf numFmtId="0" fontId="1" fillId="24" borderId="0" applyFont="1" applyFill="1" applyBorder="0">
      <alignment vertical="top"/>
    </xf>
    <xf numFmtId="0" fontId="1" fillId="25" borderId="0" applyFont="1" applyFill="1" applyBorder="0">
      <alignment vertical="top"/>
    </xf>
    <xf numFmtId="0" fontId="2" fillId="26" borderId="0" applyFont="1" applyFill="1" applyBorder="0">
      <alignment vertical="top"/>
    </xf>
    <xf numFmtId="0" fontId="3" fillId="27" borderId="1" applyFont="1" applyFill="1" applyBorder="1">
      <alignment vertical="top"/>
    </xf>
    <xf numFmtId="0" fontId="4" fillId="28" borderId="2" applyFont="1" applyFill="1" applyBorder="1">
      <alignment vertical="top"/>
    </xf>
    <xf numFmtId="43" fontId="5" fillId="0" borderId="0" applyFont="0" applyFill="0" applyBorder="0" applyNumberFormat="1">
      <alignment vertical="top"/>
    </xf>
    <xf numFmtId="41" fontId="5" fillId="0" borderId="0" applyFont="0" applyFill="0" applyBorder="0" applyNumberFormat="1">
      <alignment vertical="top"/>
    </xf>
    <xf numFmtId="44" fontId="5" fillId="0" borderId="0" applyFont="0" applyFill="0" applyBorder="0" applyNumberFormat="1">
      <alignment vertical="top"/>
    </xf>
    <xf numFmtId="42" fontId="5" fillId="0" borderId="0" applyFont="0" applyFill="0" applyBorder="0" applyNumberFormat="1">
      <alignment vertical="top"/>
    </xf>
    <xf numFmtId="0" fontId="6" fillId="0" borderId="0" applyFont="1" applyFill="0" applyBorder="0">
      <alignment vertical="top"/>
    </xf>
    <xf numFmtId="0" fontId="7" fillId="29" borderId="0" applyFont="1" applyFill="1" applyBorder="0">
      <alignment vertical="top"/>
    </xf>
    <xf numFmtId="0" fontId="8" fillId="0" borderId="3" applyFont="1" applyFill="0" applyBorder="1">
      <alignment vertical="top"/>
    </xf>
    <xf numFmtId="0" fontId="9" fillId="0" borderId="4" applyFont="1" applyFill="0" applyBorder="1">
      <alignment vertical="top"/>
    </xf>
    <xf numFmtId="0" fontId="10" fillId="0" borderId="5" applyFont="1" applyFill="0" applyBorder="1">
      <alignment vertical="top"/>
    </xf>
    <xf numFmtId="0" fontId="10" fillId="0" borderId="0" applyFont="1" applyFill="0" applyBorder="0">
      <alignment vertical="top"/>
    </xf>
    <xf numFmtId="0" fontId="11" fillId="30" borderId="1" applyFont="1" applyFill="1" applyBorder="1">
      <alignment vertical="top"/>
    </xf>
    <xf numFmtId="0" fontId="12" fillId="0" borderId="6" applyFont="1" applyFill="0" applyBorder="1">
      <alignment vertical="top"/>
    </xf>
    <xf numFmtId="0" fontId="13" fillId="31" borderId="0" applyFont="1" applyFill="1" applyBorder="0">
      <alignment vertical="top"/>
    </xf>
    <xf numFmtId="0" fontId="5" fillId="32" borderId="7" applyFont="0" applyFill="1" applyBorder="1">
      <alignment vertical="top"/>
    </xf>
    <xf numFmtId="0" fontId="14" fillId="27" borderId="8" applyFont="1" applyFill="1" applyBorder="1">
      <alignment vertical="top"/>
    </xf>
    <xf numFmtId="9" fontId="5" fillId="0" borderId="0" applyFont="0" applyFill="0" applyBorder="0" applyNumberFormat="1">
      <alignment vertical="top"/>
    </xf>
    <xf numFmtId="0" fontId="15" fillId="0" borderId="0" applyFont="1" applyFill="0" applyBorder="0">
      <alignment vertical="top"/>
    </xf>
    <xf numFmtId="0" fontId="16" fillId="0" borderId="9" applyFont="1" applyFill="0" applyBorder="1">
      <alignment vertical="top"/>
    </xf>
    <xf numFmtId="0" fontId="17" fillId="0" borderId="0" applyFont="1" applyFill="0" applyBorder="0">
      <alignment vertical="top"/>
    </xf>
  </cellStyleXfs>
  <cellXfs count="113">
    <xf numFmtId="0" fontId="0" fillId="0" borderId="0" xfId="0" applyFont="1"/>
    <xf numFmtId="0" fontId="0" fillId="2" borderId="0" xfId="1" applyFont="1" applyFill="1">
      <alignment vertical="top"/>
    </xf>
    <xf numFmtId="0" fontId="0" fillId="3" borderId="0" xfId="2" applyFont="1" applyFill="1">
      <alignment vertical="top"/>
    </xf>
    <xf numFmtId="0" fontId="0" fillId="4" borderId="0" xfId="3" applyFont="1" applyFill="1">
      <alignment vertical="top"/>
    </xf>
    <xf numFmtId="0" fontId="0" fillId="5" borderId="0" xfId="4" applyFont="1" applyFill="1">
      <alignment vertical="top"/>
    </xf>
    <xf numFmtId="0" fontId="0" fillId="6" borderId="0" xfId="5" applyFont="1" applyFill="1">
      <alignment vertical="top"/>
    </xf>
    <xf numFmtId="0" fontId="0" fillId="7" borderId="0" xfId="6" applyFont="1" applyFill="1">
      <alignment vertical="top"/>
    </xf>
    <xf numFmtId="0" fontId="0" fillId="8" borderId="0" xfId="7" applyFont="1" applyFill="1">
      <alignment vertical="top"/>
    </xf>
    <xf numFmtId="0" fontId="0" fillId="9" borderId="0" xfId="8" applyFont="1" applyFill="1">
      <alignment vertical="top"/>
    </xf>
    <xf numFmtId="0" fontId="0" fillId="10" borderId="0" xfId="9" applyFont="1" applyFill="1">
      <alignment vertical="top"/>
    </xf>
    <xf numFmtId="0" fontId="0" fillId="11" borderId="0" xfId="10" applyFont="1" applyFill="1">
      <alignment vertical="top"/>
    </xf>
    <xf numFmtId="0" fontId="0" fillId="12" borderId="0" xfId="11" applyFont="1" applyFill="1">
      <alignment vertical="top"/>
    </xf>
    <xf numFmtId="0" fontId="0" fillId="13" borderId="0" xfId="12" applyFont="1" applyFill="1">
      <alignment vertical="top"/>
    </xf>
    <xf numFmtId="0" fontId="1" fillId="14" borderId="0" xfId="13" applyFont="1" applyFill="1">
      <alignment vertical="top"/>
    </xf>
    <xf numFmtId="0" fontId="1" fillId="15" borderId="0" xfId="14" applyFont="1" applyFill="1">
      <alignment vertical="top"/>
    </xf>
    <xf numFmtId="0" fontId="1" fillId="16" borderId="0" xfId="15" applyFont="1" applyFill="1">
      <alignment vertical="top"/>
    </xf>
    <xf numFmtId="0" fontId="1" fillId="17" borderId="0" xfId="16" applyFont="1" applyFill="1">
      <alignment vertical="top"/>
    </xf>
    <xf numFmtId="0" fontId="1" fillId="18" borderId="0" xfId="17" applyFont="1" applyFill="1">
      <alignment vertical="top"/>
    </xf>
    <xf numFmtId="0" fontId="1" fillId="19" borderId="0" xfId="18" applyFont="1" applyFill="1">
      <alignment vertical="top"/>
    </xf>
    <xf numFmtId="0" fontId="1" fillId="20" borderId="0" xfId="19" applyFont="1" applyFill="1">
      <alignment vertical="top"/>
    </xf>
    <xf numFmtId="0" fontId="1" fillId="21" borderId="0" xfId="20" applyFont="1" applyFill="1">
      <alignment vertical="top"/>
    </xf>
    <xf numFmtId="0" fontId="1" fillId="22" borderId="0" xfId="21" applyFont="1" applyFill="1">
      <alignment vertical="top"/>
    </xf>
    <xf numFmtId="0" fontId="1" fillId="23" borderId="0" xfId="22" applyFont="1" applyFill="1">
      <alignment vertical="top"/>
    </xf>
    <xf numFmtId="0" fontId="1" fillId="24" borderId="0" xfId="23" applyFont="1" applyFill="1">
      <alignment vertical="top"/>
    </xf>
    <xf numFmtId="0" fontId="1" fillId="25" borderId="0" xfId="24" applyFont="1" applyFill="1">
      <alignment vertical="top"/>
    </xf>
    <xf numFmtId="0" fontId="2" fillId="26" borderId="0" xfId="25" applyFont="1" applyFill="1">
      <alignment vertical="top"/>
    </xf>
    <xf numFmtId="0" fontId="3" fillId="27" borderId="1" xfId="26" applyFont="1" applyFill="1" applyBorder="1">
      <alignment vertical="top"/>
    </xf>
    <xf numFmtId="0" fontId="4" fillId="28" borderId="2" xfId="27" applyFont="1" applyFill="1" applyBorder="1">
      <alignment vertical="top"/>
    </xf>
    <xf numFmtId="43" fontId="5" fillId="0" borderId="0" xfId="28" applyFont="0" applyNumberFormat="1">
      <alignment vertical="top"/>
    </xf>
    <xf numFmtId="41" fontId="5" fillId="0" borderId="0" xfId="29" applyFont="0" applyNumberFormat="1">
      <alignment vertical="top"/>
    </xf>
    <xf numFmtId="44" fontId="5" fillId="0" borderId="0" xfId="30" applyFont="0" applyNumberFormat="1">
      <alignment vertical="top"/>
    </xf>
    <xf numFmtId="42" fontId="5" fillId="0" borderId="0" xfId="31" applyFont="0" applyNumberFormat="1">
      <alignment vertical="top"/>
    </xf>
    <xf numFmtId="0" fontId="6" fillId="0" borderId="0" xfId="32" applyFont="1">
      <alignment vertical="top"/>
    </xf>
    <xf numFmtId="0" fontId="7" fillId="29" borderId="0" xfId="33" applyFont="1" applyFill="1">
      <alignment vertical="top"/>
    </xf>
    <xf numFmtId="0" fontId="8" fillId="0" borderId="3" xfId="34" applyFont="1" applyBorder="1">
      <alignment vertical="top"/>
    </xf>
    <xf numFmtId="0" fontId="9" fillId="0" borderId="4" xfId="35" applyFont="1" applyBorder="1">
      <alignment vertical="top"/>
    </xf>
    <xf numFmtId="0" fontId="10" fillId="0" borderId="5" xfId="36" applyFont="1" applyBorder="1">
      <alignment vertical="top"/>
    </xf>
    <xf numFmtId="0" fontId="10" fillId="0" borderId="0" xfId="37" applyFont="1">
      <alignment vertical="top"/>
    </xf>
    <xf numFmtId="0" fontId="11" fillId="30" borderId="1" xfId="38" applyFont="1" applyFill="1" applyBorder="1">
      <alignment vertical="top"/>
    </xf>
    <xf numFmtId="0" fontId="12" fillId="0" borderId="6" xfId="39" applyFont="1" applyBorder="1">
      <alignment vertical="top"/>
    </xf>
    <xf numFmtId="0" fontId="13" fillId="31" borderId="0" xfId="40" applyFont="1" applyFill="1">
      <alignment vertical="top"/>
    </xf>
    <xf numFmtId="0" fontId="5" fillId="32" borderId="7" xfId="41" applyFont="0" applyFill="1" applyBorder="1">
      <alignment vertical="top"/>
    </xf>
    <xf numFmtId="0" fontId="14" fillId="27" borderId="8" xfId="42" applyFont="1" applyFill="1" applyBorder="1">
      <alignment vertical="top"/>
    </xf>
    <xf numFmtId="9" fontId="5" fillId="0" borderId="0" xfId="43" applyFont="0" applyNumberFormat="1">
      <alignment vertical="top"/>
    </xf>
    <xf numFmtId="0" fontId="15" fillId="0" borderId="0" xfId="44" applyFont="1">
      <alignment vertical="top"/>
    </xf>
    <xf numFmtId="0" fontId="16" fillId="0" borderId="9" xfId="45" applyFont="1" applyBorder="1">
      <alignment vertical="top"/>
    </xf>
    <xf numFmtId="0" fontId="17" fillId="0" borderId="0" xfId="46" applyFont="1">
      <alignment vertical="top"/>
    </xf>
    <xf numFmtId="0" fontId="0" fillId="0" borderId="10" xfId="0" applyFont="1" applyBorder="1">
      <alignment vertical="center"/>
    </xf>
    <xf numFmtId="0" fontId="0" fillId="0" borderId="10" xfId="0" applyFont="1" applyBorder="1">
      <alignment horizontal="center" vertical="center"/>
    </xf>
    <xf numFmtId="171" fontId="0" fillId="0" borderId="10" xfId="0" applyFont="1" applyBorder="1" applyNumberFormat="1">
      <alignment vertical="center"/>
    </xf>
    <xf numFmtId="0" fontId="0" fillId="0" borderId="11" xfId="0" applyFont="1" applyBorder="1">
      <alignment vertical="center"/>
    </xf>
    <xf numFmtId="0" fontId="0" fillId="0" borderId="12" xfId="0" applyFont="1" applyBorder="1">
      <alignment horizontal="center" vertical="center"/>
    </xf>
    <xf numFmtId="0" fontId="18" fillId="0" borderId="0" xfId="0" applyFont="1"/>
    <xf numFmtId="172" fontId="0" fillId="0" borderId="10" xfId="0" applyFont="1" applyBorder="1" applyNumberFormat="1">
      <alignment vertical="center"/>
    </xf>
    <xf numFmtId="172" fontId="0" fillId="0" borderId="10" xfId="0" applyFont="1" applyBorder="1" applyNumberFormat="1">
      <alignment horizontal="right" vertical="center"/>
    </xf>
    <xf numFmtId="0" fontId="0" fillId="0" borderId="13" xfId="0" applyFont="1" applyBorder="1">
      <alignment vertical="center"/>
    </xf>
    <xf numFmtId="0" fontId="0" fillId="0" borderId="13" xfId="0" applyFont="1" applyBorder="1">
      <alignment horizontal="right" vertical="center"/>
    </xf>
    <xf numFmtId="172" fontId="0" fillId="0" borderId="10" xfId="0" applyFont="1" applyBorder="1" applyNumberFormat="1">
      <alignment horizontal="left" vertical="center"/>
    </xf>
    <xf numFmtId="172" fontId="0" fillId="0" borderId="10" xfId="0" applyFont="1" applyBorder="1" applyNumberFormat="1">
      <alignment horizontal="left" vertical="center"/>
    </xf>
    <xf numFmtId="0" fontId="0" fillId="0" borderId="10" xfId="0" applyFont="1" applyBorder="1">
      <alignment horizontal="center" vertical="center"/>
    </xf>
    <xf numFmtId="171" fontId="0" fillId="0" borderId="10" xfId="0" applyFont="1" applyBorder="1" applyNumberFormat="1">
      <alignment horizontal="center" vertical="center"/>
    </xf>
    <xf numFmtId="0" fontId="19" fillId="0" borderId="14" xfId="0" applyFont="1" applyBorder="1">
      <alignment horizontal="center" vertical="center"/>
    </xf>
    <xf numFmtId="0" fontId="19" fillId="0" borderId="15" xfId="0" applyFont="1" applyBorder="1">
      <alignment horizontal="center" vertical="center"/>
    </xf>
    <xf numFmtId="0" fontId="19" fillId="0" borderId="16" xfId="0" applyFont="1" applyBorder="1">
      <alignment horizontal="center" vertical="center"/>
    </xf>
    <xf numFmtId="0" fontId="0" fillId="0" borderId="17" xfId="0" applyFont="1" applyBorder="1">
      <alignment horizontal="center" vertical="center"/>
    </xf>
    <xf numFmtId="0" fontId="0" fillId="0" borderId="12" xfId="0" applyFont="1" applyBorder="1">
      <alignment horizontal="center" vertical="center"/>
    </xf>
    <xf numFmtId="0" fontId="0" fillId="0" borderId="18" xfId="0" applyFont="1" applyBorder="1">
      <alignment horizontal="center" vertical="center"/>
    </xf>
    <xf numFmtId="0" fontId="0" fillId="0" borderId="19" xfId="0" applyFont="1" applyBorder="1">
      <alignment horizontal="center" vertical="center"/>
    </xf>
    <xf numFmtId="0" fontId="0" fillId="0" borderId="13" xfId="0" applyFont="1" applyBorder="1">
      <alignment horizontal="right" vertical="center"/>
    </xf>
    <xf numFmtId="0" fontId="0" fillId="0" borderId="20" xfId="0" applyFont="1" applyBorder="1">
      <alignment horizontal="left" vertical="center"/>
    </xf>
    <xf numFmtId="0" fontId="0" fillId="0" borderId="13" xfId="0" applyFont="1" applyBorder="1">
      <alignment horizontal="left" vertical="center"/>
    </xf>
    <xf numFmtId="0" fontId="0" fillId="0" borderId="20" xfId="0" applyFont="1" applyBorder="1">
      <alignment horizontal="center" vertical="center"/>
    </xf>
    <xf numFmtId="0" fontId="0" fillId="0" borderId="13" xfId="0" applyFont="1" applyBorder="1">
      <alignment horizontal="center" vertical="center"/>
    </xf>
    <xf numFmtId="0" fontId="0" fillId="0" borderId="11" xfId="0" applyFont="1" applyBorder="1">
      <alignment horizontal="center" vertical="center"/>
    </xf>
    <xf numFmtId="0" fontId="0" fillId="0" borderId="21" xfId="0" applyFont="1" applyBorder="1">
      <alignment horizontal="center" vertical="center" wrapText="1"/>
    </xf>
    <xf numFmtId="0" fontId="16" fillId="0" borderId="0" xfId="0" applyFont="1">
      <alignment horizontal="right" vertical="center"/>
    </xf>
    <xf numFmtId="0" fontId="16" fillId="0" borderId="0" xfId="0" applyFont="1">
      <alignment horizontal="left" vertical="center"/>
    </xf>
    <xf numFmtId="0" fontId="0" fillId="0" borderId="0" xfId="0" applyFont="1">
      <alignment wrapText="1"/>
    </xf>
    <xf numFmtId="0" fontId="19" fillId="0" borderId="14" xfId="0" applyFont="1" applyBorder="1">
      <alignment horizontal="center" vertical="center" wrapText="1"/>
    </xf>
    <xf numFmtId="0" fontId="19" fillId="0" borderId="15" xfId="0" applyFont="1" applyBorder="1">
      <alignment horizontal="center" vertical="center" wrapText="1"/>
    </xf>
    <xf numFmtId="0" fontId="19" fillId="0" borderId="16" xfId="0" applyFont="1" applyBorder="1">
      <alignment horizontal="center" vertical="center" wrapText="1"/>
    </xf>
    <xf numFmtId="0" fontId="0" fillId="0" borderId="20" xfId="0" applyFont="1" applyBorder="1">
      <alignment horizontal="left" vertical="center" wrapText="1"/>
    </xf>
    <xf numFmtId="0" fontId="0" fillId="0" borderId="13" xfId="0" applyFont="1" applyBorder="1">
      <alignment horizontal="left" vertical="center" wrapText="1"/>
    </xf>
    <xf numFmtId="0" fontId="0" fillId="0" borderId="13" xfId="0" applyFont="1" applyBorder="1">
      <alignment horizontal="right" vertical="center" wrapText="1"/>
    </xf>
    <xf numFmtId="0" fontId="0" fillId="0" borderId="13" xfId="0" applyFont="1" applyBorder="1">
      <alignment vertical="center" wrapText="1"/>
    </xf>
    <xf numFmtId="0" fontId="0" fillId="0" borderId="13" xfId="0" applyFont="1" applyBorder="1">
      <alignment horizontal="right" vertical="center" wrapText="1"/>
    </xf>
    <xf numFmtId="0" fontId="0" fillId="0" borderId="11" xfId="0" applyFont="1" applyBorder="1">
      <alignment vertical="center" wrapText="1"/>
    </xf>
    <xf numFmtId="0" fontId="0" fillId="0" borderId="17" xfId="0" applyFont="1" applyBorder="1">
      <alignment horizontal="center" vertical="center" wrapText="1"/>
    </xf>
    <xf numFmtId="0" fontId="0" fillId="0" borderId="18" xfId="0" applyFont="1" applyBorder="1">
      <alignment horizontal="center" vertical="center" wrapText="1"/>
    </xf>
    <xf numFmtId="0" fontId="0" fillId="0" borderId="19" xfId="0" applyFont="1" applyBorder="1">
      <alignment horizontal="center" vertical="center" wrapText="1"/>
    </xf>
    <xf numFmtId="0" fontId="0" fillId="0" borderId="12" xfId="0" applyFont="1" applyBorder="1">
      <alignment horizontal="center" vertical="center" wrapText="1"/>
    </xf>
    <xf numFmtId="0" fontId="0" fillId="0" borderId="12" xfId="0" applyFont="1" applyBorder="1">
      <alignment horizontal="center" vertical="center" wrapText="1"/>
    </xf>
    <xf numFmtId="0" fontId="0" fillId="0" borderId="10" xfId="0" applyFont="1" applyBorder="1">
      <alignment horizontal="center" vertical="center" wrapText="1"/>
    </xf>
    <xf numFmtId="0" fontId="0" fillId="0" borderId="10" xfId="0" applyFont="1" applyBorder="1">
      <alignment vertical="center" wrapText="1"/>
    </xf>
    <xf numFmtId="0" fontId="0" fillId="0" borderId="21" xfId="0" applyFont="1" applyBorder="1">
      <alignment horizontal="center" vertical="center" wrapText="1"/>
    </xf>
    <xf numFmtId="172" fontId="0" fillId="0" borderId="10" xfId="0" applyFont="1" applyBorder="1" applyNumberFormat="1">
      <alignment vertical="center" wrapText="1"/>
      <protection locked="0"/>
    </xf>
    <xf numFmtId="172" fontId="0" fillId="0" borderId="10" xfId="0" applyFont="1" applyBorder="1" applyNumberFormat="1">
      <alignment vertical="center" wrapText="1"/>
    </xf>
    <xf numFmtId="172" fontId="0" fillId="0" borderId="10" xfId="0" applyFont="1" applyBorder="1" applyNumberFormat="1">
      <alignment horizontal="right" vertical="center" wrapText="1"/>
      <protection locked="0"/>
    </xf>
    <xf numFmtId="172" fontId="0" fillId="0" borderId="10" xfId="0" applyFont="1" applyBorder="1" applyNumberFormat="1">
      <alignment horizontal="right" vertical="center" wrapText="1"/>
    </xf>
    <xf numFmtId="171" fontId="0" fillId="0" borderId="10" xfId="0" applyFont="1" applyBorder="1" applyNumberFormat="1">
      <alignment vertical="center" wrapText="1"/>
    </xf>
    <xf numFmtId="171" fontId="0" fillId="0" borderId="10" xfId="0" applyFont="1" applyBorder="1" applyNumberFormat="1">
      <alignment horizontal="center" vertical="center" wrapText="1"/>
    </xf>
    <xf numFmtId="0" fontId="0" fillId="0" borderId="10" xfId="0" applyFont="1" applyBorder="1">
      <alignment horizontal="center" vertical="center" wrapText="1"/>
    </xf>
    <xf numFmtId="0" fontId="0" fillId="0" borderId="20" xfId="0" applyFont="1" applyBorder="1">
      <alignment horizontal="center" vertical="center" wrapText="1"/>
    </xf>
    <xf numFmtId="0" fontId="0" fillId="0" borderId="13" xfId="0" applyFont="1" applyBorder="1">
      <alignment horizontal="center" vertical="center" wrapText="1"/>
    </xf>
    <xf numFmtId="0" fontId="0" fillId="0" borderId="11" xfId="0" applyFont="1" applyBorder="1">
      <alignment horizontal="center" vertical="center" wrapText="1"/>
    </xf>
    <xf numFmtId="0" fontId="20" fillId="0" borderId="0" xfId="0" applyFont="1">
      <alignment horizontal="right" vertical="center" wrapText="1"/>
    </xf>
    <xf numFmtId="0" fontId="20" fillId="0" borderId="0" xfId="0" applyFont="1">
      <alignment horizontal="right" vertical="center" wrapText="1"/>
    </xf>
    <xf numFmtId="0" fontId="16" fillId="0" borderId="0" xfId="0" applyFont="1">
      <alignment horizontal="left" vertical="center" wrapText="1"/>
      <protection locked="0"/>
    </xf>
    <xf numFmtId="0" fontId="18" fillId="0" borderId="0" xfId="0" applyFont="1">
      <alignment wrapText="1"/>
    </xf>
    <xf numFmtId="0" fontId="0" fillId="0" borderId="0" xfId="0" applyFont="1">
      <alignment wrapText="1"/>
    </xf>
    <xf numFmtId="172" fontId="0" fillId="0" borderId="10" xfId="0" applyFont="1" applyBorder="1" applyNumberFormat="1">
      <alignment horizontal="left" vertical="center" wrapText="1"/>
    </xf>
    <xf numFmtId="172" fontId="0" fillId="0" borderId="10" xfId="0" applyFont="1" applyBorder="1" applyNumberFormat="1">
      <alignment horizontal="left" vertical="center" wrapText="1"/>
    </xf>
    <xf numFmtId="0" fontId="0" fillId="0" borderId="0" xfId="0" applyFont="1">
      <alignment wrapText="1"/>
    </xf>
  </cellXfs>
  <cellStyles count="47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Comma [0]" xfId="29" builtinId="6"/>
    <cellStyle name="Currency" xfId="30" builtinId="4"/>
    <cellStyle name="Currency [0]" xfId="31" builtinId="7"/>
    <cellStyle name="Explanatory Text" xfId="32" builtinId="53"/>
    <cellStyle name="Good" xfId="33" builtinId="26"/>
    <cellStyle name="Heading 1" xfId="34" builtinId="16"/>
    <cellStyle name="Heading 2" xfId="35" builtinId="17"/>
    <cellStyle name="Heading 3" xfId="36" builtinId="18"/>
    <cellStyle name="Heading 4" xfId="37" builtinId="19"/>
    <cellStyle name="Input" xfId="38" builtinId="20"/>
    <cellStyle name="Linked Cell" xfId="39" builtinId="24"/>
    <cellStyle name="Neutral" xfId="40" builtinId="28"/>
    <cellStyle name="Note" xfId="41" builtinId="10"/>
    <cellStyle name="Output" xfId="42" builtinId="21"/>
    <cellStyle name="Percent" xfId="43" builtinId="5"/>
    <cellStyle name="Title" xfId="44" builtinId="15"/>
    <cellStyle name="Total" xfId="45" builtinId="25"/>
    <cellStyle name="Warning Text" xfId="46" builtinId="1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Relationship Id="rId6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92B480C8-F248-FCBE-3911-A3045B80800D}" mc:Ignorable="x14ac xr xr2 xr3">
  <dimension ref="A1:L40"/>
  <sheetViews>
    <sheetView defaultGridColor="0" colorId="31" showGridLines="0" workbookViewId="0" tabSelected="1">
      <pane xSplit="3" ySplit="5" topLeftCell="D24" activePane="bottomRight" state="frozen"/>
      <selection pane="bottomLeft" activeCell="A6" sqref="A6"/>
      <selection pane="topRight" activeCell="D1" sqref="D1"/>
      <selection pane="bottomRight" activeCell="A1" sqref="A1"/>
    </sheetView>
  </sheetViews>
  <sheetFormatPr customHeight="1" defaultRowHeight="14.100000000000001"/>
  <cols>
    <col min="1" max="1" width="2.7109375" customWidth="1"/>
    <col min="2" max="3" width="10.7109375" customWidth="1"/>
    <col min="4" max="4" width="17.7109375" customWidth="1"/>
    <col min="5" max="6" width="15.8515625" customWidth="1"/>
    <col min="7" max="8" width="12.421875" customWidth="1"/>
    <col min="9" max="9" width="14.57421875" customWidth="1"/>
    <col min="10" max="10" width="15.8515625" customWidth="1"/>
  </cols>
  <sheetData>
    <row customHeight="1" ht="2.25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</row>
    <row customHeight="1" ht="22.5">
      <c r="A2" s="77"/>
      <c r="B2" s="78" t="s">
        <v>0</v>
      </c>
      <c r="C2" s="79"/>
      <c r="D2" s="79"/>
      <c r="E2" s="79"/>
      <c r="F2" s="79"/>
      <c r="G2" s="79"/>
      <c r="H2" s="79"/>
      <c r="I2" s="79"/>
      <c r="J2" s="79"/>
      <c r="K2" s="80"/>
      <c r="L2" s="77"/>
    </row>
    <row customHeight="1" ht="14.25">
      <c r="A3" s="77"/>
      <c r="B3" s="81" t="s">
        <v>1</v>
      </c>
      <c r="C3" s="82"/>
      <c r="D3" s="82"/>
      <c r="E3" s="83" t="s">
        <v>2</v>
      </c>
      <c r="F3" s="84" t="s">
        <v>3</v>
      </c>
      <c r="G3" s="85" t="str">
        <f>取值!A7&amp;取值!B7&amp;取值!C7</f>
        <v>报表生成时间：2026-01-01 8:00:00</v>
      </c>
      <c r="H3" s="85"/>
      <c r="I3" s="85"/>
      <c r="J3" s="85"/>
      <c r="K3" s="86" t="s">
        <v>4</v>
      </c>
      <c r="L3" s="77"/>
    </row>
    <row customHeight="1" ht="14.25">
      <c r="A4" s="77"/>
      <c r="B4" s="87" t="s">
        <v>5</v>
      </c>
      <c r="C4" s="87" t="s">
        <v>6</v>
      </c>
      <c r="D4" s="87" t="s">
        <v>7</v>
      </c>
      <c r="E4" s="88" t="s">
        <v>8</v>
      </c>
      <c r="F4" s="89"/>
      <c r="G4" s="88" t="s">
        <v>9</v>
      </c>
      <c r="H4" s="89"/>
      <c r="I4" s="88" t="s">
        <v>10</v>
      </c>
      <c r="J4" s="89"/>
      <c r="K4" s="90" t="s">
        <v>11</v>
      </c>
      <c r="L4" s="77"/>
    </row>
    <row customHeight="1" ht="14.25">
      <c r="A5" s="77"/>
      <c r="B5" s="91"/>
      <c r="C5" s="91"/>
      <c r="D5" s="91"/>
      <c r="E5" s="92" t="s">
        <v>12</v>
      </c>
      <c r="F5" s="92" t="s">
        <v>13</v>
      </c>
      <c r="G5" s="92" t="s">
        <v>12</v>
      </c>
      <c r="H5" s="92" t="s">
        <v>13</v>
      </c>
      <c r="I5" s="92" t="s">
        <v>14</v>
      </c>
      <c r="J5" s="92" t="s">
        <v>15</v>
      </c>
      <c r="K5" s="93"/>
      <c r="L5" s="77"/>
    </row>
    <row customHeight="1" ht="15">
      <c r="A6" s="77"/>
      <c r="B6" s="74" t="s">
        <v>16</v>
      </c>
      <c r="C6" s="74" t="s">
        <v>17</v>
      </c>
      <c r="D6" s="93" t="s">
        <v>18</v>
      </c>
      <c r="E6" s="95">
        <v>57350</v>
      </c>
      <c r="F6" s="96">
        <f>_xlfn.IFERROR(SUM(F7:F8),"")</f>
        <v>657090</v>
      </c>
      <c r="G6" s="92" t="s">
        <v>19</v>
      </c>
      <c r="H6" s="92" t="s">
        <v>19</v>
      </c>
      <c r="I6" s="96">
        <f>取值!M7</f>
        <v>57035</v>
      </c>
      <c r="J6" s="92" t="s">
        <v>19</v>
      </c>
      <c r="K6" s="93"/>
      <c r="L6" s="77"/>
    </row>
    <row customHeight="1" ht="15">
      <c r="A7" s="77"/>
      <c r="B7" s="87"/>
      <c r="C7" s="87"/>
      <c r="D7" s="93" t="s">
        <v>20</v>
      </c>
      <c r="E7" s="97">
        <v>53893</v>
      </c>
      <c r="F7" s="98">
        <f>取值!F7</f>
        <v>621089</v>
      </c>
      <c r="G7" s="92" t="s">
        <v>19</v>
      </c>
      <c r="H7" s="92" t="s">
        <v>19</v>
      </c>
      <c r="I7" s="96">
        <f>取值!M8</f>
        <v>54016</v>
      </c>
      <c r="J7" s="92" t="s">
        <v>19</v>
      </c>
      <c r="K7" s="93"/>
      <c r="L7" s="77"/>
    </row>
    <row customHeight="1" ht="15">
      <c r="A8" s="77"/>
      <c r="B8" s="87"/>
      <c r="C8" s="87"/>
      <c r="D8" s="93" t="s">
        <v>21</v>
      </c>
      <c r="E8" s="97">
        <v>3457</v>
      </c>
      <c r="F8" s="98">
        <f>取值!F8</f>
        <v>36001</v>
      </c>
      <c r="G8" s="92" t="s">
        <v>19</v>
      </c>
      <c r="H8" s="92" t="s">
        <v>19</v>
      </c>
      <c r="I8" s="96">
        <f>取值!M9</f>
        <v>3019</v>
      </c>
      <c r="J8" s="92" t="s">
        <v>19</v>
      </c>
      <c r="K8" s="93"/>
      <c r="L8" s="77"/>
    </row>
    <row customHeight="1" ht="15">
      <c r="A9" s="77"/>
      <c r="B9" s="87"/>
      <c r="C9" s="87"/>
      <c r="D9" s="93" t="s">
        <v>22</v>
      </c>
      <c r="E9" s="97">
        <v>57335</v>
      </c>
      <c r="F9" s="98">
        <f>取值!F9</f>
        <v>656868</v>
      </c>
      <c r="G9" s="99">
        <f>_xlfn.IFERROR(E9/E6*100,0)</f>
        <v>99.9738448125545</v>
      </c>
      <c r="H9" s="99">
        <f>_xlfn.IFERROR(F9/F6*100,0)</f>
        <v>99.966214673789</v>
      </c>
      <c r="I9" s="96">
        <f>取值!M10</f>
        <v>57018</v>
      </c>
      <c r="J9" s="99">
        <f>_xlfn.IFERROR(I9/I$6*100,0)</f>
        <v>99.9701937406855</v>
      </c>
      <c r="K9" s="93"/>
      <c r="L9" s="77"/>
    </row>
    <row customHeight="1" ht="15">
      <c r="A10" s="77"/>
      <c r="B10" s="87"/>
      <c r="C10" s="87"/>
      <c r="D10" s="93" t="s">
        <v>23</v>
      </c>
      <c r="E10" s="97">
        <v>0</v>
      </c>
      <c r="F10" s="98">
        <f>取值!F10</f>
        <v>0</v>
      </c>
      <c r="G10" s="99">
        <f>_xlfn.IFERROR(E10/E6*100,0)</f>
        <v>0</v>
      </c>
      <c r="H10" s="99">
        <f>_xlfn.IFERROR(F10/F6*100,0)</f>
        <v>0</v>
      </c>
      <c r="I10" s="96">
        <f>取值!M11</f>
        <v>0</v>
      </c>
      <c r="J10" s="99">
        <f>_xlfn.IFERROR(I10/I$6*100,0)</f>
        <v>0</v>
      </c>
      <c r="K10" s="93"/>
      <c r="L10" s="77"/>
    </row>
    <row customHeight="1" ht="15">
      <c r="A11" s="77"/>
      <c r="B11" s="87"/>
      <c r="C11" s="87"/>
      <c r="D11" s="93" t="s">
        <v>24</v>
      </c>
      <c r="E11" s="97">
        <v>0</v>
      </c>
      <c r="F11" s="98">
        <f>取值!F11</f>
        <v>0</v>
      </c>
      <c r="G11" s="99">
        <f>_xlfn.IFERROR(E11/E6*100,0)</f>
        <v>0</v>
      </c>
      <c r="H11" s="99">
        <f>_xlfn.IFERROR(F11/F6*100,0)</f>
        <v>0</v>
      </c>
      <c r="I11" s="96">
        <f>取值!M12</f>
        <v>0</v>
      </c>
      <c r="J11" s="99">
        <f>_xlfn.IFERROR(I11/I$6*100,0)</f>
        <v>0</v>
      </c>
      <c r="K11" s="93"/>
      <c r="L11" s="77"/>
    </row>
    <row customHeight="1" ht="15">
      <c r="A12" s="77"/>
      <c r="B12" s="87"/>
      <c r="C12" s="91"/>
      <c r="D12" s="93" t="s">
        <v>25</v>
      </c>
      <c r="E12" s="98">
        <f>E6-SUM(E9,E10,E11)</f>
        <v>15</v>
      </c>
      <c r="F12" s="98">
        <f>F6-SUM(F9,F10,F11)</f>
        <v>222</v>
      </c>
      <c r="G12" s="99">
        <f>_xlfn.IFERROR(E12/E6*100,0)</f>
        <v>0.02615518744551</v>
      </c>
      <c r="H12" s="99">
        <f>_xlfn.IFERROR(F12/F6*100,0)</f>
        <v>0.0337853262110213</v>
      </c>
      <c r="I12" s="98">
        <f>_xlfn.IFERROR(I6-SUM(I9,I10,I11),0)</f>
        <v>17</v>
      </c>
      <c r="J12" s="99">
        <f>_xlfn.IFERROR(I12/I$6*100,0)</f>
        <v>0.029806259314456</v>
      </c>
      <c r="K12" s="93"/>
      <c r="L12" s="77"/>
    </row>
    <row customHeight="1" ht="15">
      <c r="A13" s="77"/>
      <c r="B13" s="87"/>
      <c r="C13" s="74" t="s">
        <v>26</v>
      </c>
      <c r="D13" s="93" t="s">
        <v>27</v>
      </c>
      <c r="E13" s="97">
        <v>1652</v>
      </c>
      <c r="F13" s="98">
        <f>取值!F13</f>
        <v>13576</v>
      </c>
      <c r="G13" s="92" t="s">
        <v>19</v>
      </c>
      <c r="H13" s="92" t="s">
        <v>19</v>
      </c>
      <c r="I13" s="96">
        <f>取值!M14</f>
        <v>876</v>
      </c>
      <c r="J13" s="92" t="s">
        <v>19</v>
      </c>
      <c r="K13" s="93"/>
      <c r="L13" s="77"/>
    </row>
    <row customHeight="1" ht="15">
      <c r="A14" s="77"/>
      <c r="B14" s="87"/>
      <c r="C14" s="87"/>
      <c r="D14" s="93" t="s">
        <v>28</v>
      </c>
      <c r="E14" s="97">
        <v>412</v>
      </c>
      <c r="F14" s="98">
        <f>取值!F14</f>
        <v>3393</v>
      </c>
      <c r="G14" s="99">
        <f>_xlfn.IFERROR(E14/E13*100,0)</f>
        <v>24.9394673123487</v>
      </c>
      <c r="H14" s="99">
        <f>_xlfn.IFERROR(F14/F13*100,0)</f>
        <v>24.9926340601061</v>
      </c>
      <c r="I14" s="96">
        <f>取值!M15</f>
        <v>219</v>
      </c>
      <c r="J14" s="99">
        <f>_xlfn.IFERROR(I14/I$13*100,0)</f>
        <v>25</v>
      </c>
      <c r="K14" s="93"/>
      <c r="L14" s="77"/>
    </row>
    <row customHeight="1" ht="15">
      <c r="A15" s="77"/>
      <c r="B15" s="87"/>
      <c r="C15" s="91"/>
      <c r="D15" s="93" t="s">
        <v>29</v>
      </c>
      <c r="E15" s="97">
        <v>1240</v>
      </c>
      <c r="F15" s="98">
        <f>F13-F14</f>
        <v>10183</v>
      </c>
      <c r="G15" s="99">
        <f>_xlfn.IFERROR(E15/E13*100,0)</f>
        <v>75.0605326876513</v>
      </c>
      <c r="H15" s="99">
        <f>_xlfn.IFERROR(F15/F13*100,0)</f>
        <v>75.0073659398939</v>
      </c>
      <c r="I15" s="96">
        <f>取值!M16</f>
        <v>657</v>
      </c>
      <c r="J15" s="99">
        <f>_xlfn.IFERROR(I15/I$13*100,0)</f>
        <v>75</v>
      </c>
      <c r="K15" s="93"/>
      <c r="L15" s="77"/>
    </row>
    <row customHeight="1" ht="15">
      <c r="A16" s="77"/>
      <c r="B16" s="87"/>
      <c r="C16" s="74" t="s">
        <v>30</v>
      </c>
      <c r="D16" s="93" t="s">
        <v>28</v>
      </c>
      <c r="E16" s="97">
        <v>342</v>
      </c>
      <c r="F16" s="98">
        <f>取值!F16</f>
        <v>3194</v>
      </c>
      <c r="G16" s="92" t="s">
        <v>19</v>
      </c>
      <c r="H16" s="92" t="s">
        <v>19</v>
      </c>
      <c r="I16" s="96">
        <f>取值!M17</f>
        <v>219</v>
      </c>
      <c r="J16" s="92" t="s">
        <v>19</v>
      </c>
      <c r="K16" s="93"/>
      <c r="L16" s="77"/>
    </row>
    <row customHeight="1" ht="15">
      <c r="A17" s="77"/>
      <c r="B17" s="87"/>
      <c r="C17" s="87"/>
      <c r="D17" s="93" t="s">
        <v>31</v>
      </c>
      <c r="E17" s="97">
        <v>292</v>
      </c>
      <c r="F17" s="98">
        <f>取值!F17</f>
        <v>2231</v>
      </c>
      <c r="G17" s="99">
        <f>_xlfn.IFERROR(E17/E16*100,0)</f>
        <v>85.3801169590643</v>
      </c>
      <c r="H17" s="99">
        <f>_xlfn.IFERROR(F17/F16*100,0)</f>
        <v>69.8497182216656</v>
      </c>
      <c r="I17" s="96">
        <f>取值!M18</f>
        <v>115</v>
      </c>
      <c r="J17" s="99">
        <f>_xlfn.IFERROR(I17/I$16*100,0)</f>
        <v>52.5114155251142</v>
      </c>
      <c r="K17" s="93"/>
      <c r="L17" s="77"/>
    </row>
    <row customHeight="1" ht="15">
      <c r="A18" s="77"/>
      <c r="B18" s="91"/>
      <c r="C18" s="91"/>
      <c r="D18" s="93" t="s">
        <v>32</v>
      </c>
      <c r="E18" s="97">
        <v>50</v>
      </c>
      <c r="F18" s="98">
        <f>F16-F17</f>
        <v>963</v>
      </c>
      <c r="G18" s="99">
        <f>_xlfn.IFERROR(E18/E16*100,0)</f>
        <v>14.6198830409357</v>
      </c>
      <c r="H18" s="99">
        <f>_xlfn.IFERROR(F18/F16*100,0)</f>
        <v>30.1502817783344</v>
      </c>
      <c r="I18" s="96">
        <f>取值!M19</f>
        <v>104</v>
      </c>
      <c r="J18" s="99">
        <f>_xlfn.IFERROR(I18/I$16*100,0)</f>
        <v>47.4885844748858</v>
      </c>
      <c r="K18" s="93"/>
      <c r="L18" s="77"/>
    </row>
    <row customHeight="1" ht="15">
      <c r="A19" s="77"/>
      <c r="B19" s="74" t="s">
        <v>33</v>
      </c>
      <c r="C19" s="74" t="s">
        <v>34</v>
      </c>
      <c r="D19" s="93" t="s">
        <v>18</v>
      </c>
      <c r="E19" s="97">
        <v>129722</v>
      </c>
      <c r="F19" s="98">
        <f>_xlfn.IFERROR(SUM(F20:F22),"")</f>
        <v>1540872</v>
      </c>
      <c r="G19" s="99"/>
      <c r="H19" s="99"/>
      <c r="I19" s="96">
        <f>取值!M20</f>
        <v>117174</v>
      </c>
      <c r="J19" s="100" t="s">
        <v>19</v>
      </c>
      <c r="K19" s="93"/>
      <c r="L19" s="77"/>
    </row>
    <row customHeight="1" ht="15">
      <c r="A20" s="77"/>
      <c r="B20" s="87"/>
      <c r="C20" s="87"/>
      <c r="D20" s="93" t="s">
        <v>35</v>
      </c>
      <c r="E20" s="97">
        <v>129316</v>
      </c>
      <c r="F20" s="98">
        <f>取值!F20</f>
        <v>1533158</v>
      </c>
      <c r="G20" s="92" t="s">
        <v>19</v>
      </c>
      <c r="H20" s="92" t="s">
        <v>19</v>
      </c>
      <c r="I20" s="96">
        <f>取值!M21</f>
        <v>116898</v>
      </c>
      <c r="J20" s="92" t="s">
        <v>19</v>
      </c>
      <c r="K20" s="93"/>
      <c r="L20" s="77"/>
    </row>
    <row customHeight="1" ht="15">
      <c r="A21" s="77"/>
      <c r="B21" s="87"/>
      <c r="C21" s="87"/>
      <c r="D21" s="93" t="s">
        <v>36</v>
      </c>
      <c r="E21" s="97">
        <v>393</v>
      </c>
      <c r="F21" s="98">
        <f>取值!F21</f>
        <v>5937</v>
      </c>
      <c r="G21" s="92" t="s">
        <v>19</v>
      </c>
      <c r="H21" s="92" t="s">
        <v>19</v>
      </c>
      <c r="I21" s="96">
        <f>取值!M22</f>
        <v>276</v>
      </c>
      <c r="J21" s="92" t="s">
        <v>19</v>
      </c>
      <c r="K21" s="93"/>
      <c r="L21" s="77"/>
    </row>
    <row customHeight="1" ht="15">
      <c r="A22" s="77"/>
      <c r="B22" s="87"/>
      <c r="C22" s="87"/>
      <c r="D22" s="93" t="s">
        <v>37</v>
      </c>
      <c r="E22" s="97">
        <v>13</v>
      </c>
      <c r="F22" s="98">
        <f>取值!F22</f>
        <v>1777</v>
      </c>
      <c r="G22" s="92" t="s">
        <v>19</v>
      </c>
      <c r="H22" s="92" t="s">
        <v>19</v>
      </c>
      <c r="I22" s="96">
        <f>取值!M23</f>
        <v>0</v>
      </c>
      <c r="J22" s="92" t="s">
        <v>19</v>
      </c>
      <c r="K22" s="93"/>
      <c r="L22" s="77"/>
    </row>
    <row customHeight="1" ht="15">
      <c r="A23" s="77"/>
      <c r="B23" s="87"/>
      <c r="C23" s="87"/>
      <c r="D23" s="93" t="s">
        <v>38</v>
      </c>
      <c r="E23" s="97">
        <v>128090</v>
      </c>
      <c r="F23" s="98">
        <f>取值!F23</f>
        <v>1517866</v>
      </c>
      <c r="G23" s="99">
        <f>_xlfn.IFERROR(E23/E19*100,0)</f>
        <v>98.7419250397003</v>
      </c>
      <c r="H23" s="99">
        <f>_xlfn.IFERROR(F23/F19*100,0)</f>
        <v>98.5069493118182</v>
      </c>
      <c r="I23" s="96">
        <f>取值!M24</f>
        <v>114910</v>
      </c>
      <c r="J23" s="99">
        <f>_xlfn.IFERROR(I23/I$19*100,0)</f>
        <v>98.0678307474354</v>
      </c>
      <c r="K23" s="93"/>
      <c r="L23" s="77"/>
    </row>
    <row customHeight="1" ht="15">
      <c r="A24" s="77"/>
      <c r="B24" s="87"/>
      <c r="C24" s="87"/>
      <c r="D24" s="93" t="s">
        <v>39</v>
      </c>
      <c r="E24" s="97">
        <v>1494</v>
      </c>
      <c r="F24" s="98">
        <f>取值!F24</f>
        <v>20599</v>
      </c>
      <c r="G24" s="99">
        <f>_xlfn.IFERROR(E24/E19*100,0)</f>
        <v>1.15169362174496</v>
      </c>
      <c r="H24" s="99">
        <f>_xlfn.IFERROR(F24/F19*100,0)</f>
        <v>1.33684043840111</v>
      </c>
      <c r="I24" s="96">
        <f>取值!M25</f>
        <v>1885</v>
      </c>
      <c r="J24" s="99">
        <f>_xlfn.IFERROR(I24/I$19*100,0)</f>
        <v>1.6087186577227</v>
      </c>
      <c r="K24" s="93"/>
      <c r="L24" s="77"/>
    </row>
    <row customHeight="1" ht="15">
      <c r="A25" s="77"/>
      <c r="B25" s="87"/>
      <c r="C25" s="87"/>
      <c r="D25" s="93" t="s">
        <v>40</v>
      </c>
      <c r="E25" s="97">
        <v>0</v>
      </c>
      <c r="F25" s="98">
        <f>取值!F25</f>
        <v>0</v>
      </c>
      <c r="G25" s="99">
        <f>_xlfn.IFERROR(E25/E19*100,0)</f>
        <v>0</v>
      </c>
      <c r="H25" s="99">
        <f>_xlfn.IFERROR(F25/F19*100,0)</f>
        <v>0</v>
      </c>
      <c r="I25" s="96">
        <f>取值!M26</f>
        <v>0</v>
      </c>
      <c r="J25" s="99">
        <f>_xlfn.IFERROR(I25/I$19*100,0)</f>
        <v>0</v>
      </c>
      <c r="K25" s="93"/>
      <c r="L25" s="77"/>
    </row>
    <row customHeight="1" ht="15">
      <c r="A26" s="77"/>
      <c r="B26" s="87"/>
      <c r="C26" s="87"/>
      <c r="D26" s="93" t="s">
        <v>41</v>
      </c>
      <c r="E26" s="97">
        <v>86</v>
      </c>
      <c r="F26" s="98">
        <f>取值!F26</f>
        <v>167</v>
      </c>
      <c r="G26" s="99">
        <f>_xlfn.IFERROR(E26/E19*100,0)</f>
        <v>0.0662956167804998</v>
      </c>
      <c r="H26" s="99">
        <f>_xlfn.IFERROR(F26/F19*100,0)</f>
        <v>0.0108380189918436</v>
      </c>
      <c r="I26" s="96">
        <f>取值!M27</f>
        <v>11</v>
      </c>
      <c r="J26" s="99">
        <f>_xlfn.IFERROR(I26/I$19*100,0)</f>
        <v>0.00938774813525185</v>
      </c>
      <c r="K26" s="93"/>
      <c r="L26" s="77"/>
    </row>
    <row customHeight="1" ht="15">
      <c r="A27" s="77"/>
      <c r="B27" s="87"/>
      <c r="C27" s="91"/>
      <c r="D27" s="93" t="s">
        <v>25</v>
      </c>
      <c r="E27" s="98">
        <f>E19-SUM(E23,E24,E25,E26)</f>
        <v>52</v>
      </c>
      <c r="F27" s="98">
        <f>F19-SUM(F23,F24,F25,F26)</f>
        <v>2240</v>
      </c>
      <c r="G27" s="99">
        <f>_xlfn.IFERROR(E27/E19*100,0)</f>
        <v>0.0400857217742557</v>
      </c>
      <c r="H27" s="99">
        <f>_xlfn.IFERROR(F27/F19*100,0)</f>
        <v>0.1453722307888</v>
      </c>
      <c r="I27" s="98">
        <f>_xlfn.IFERROR(I19-SUM(I23,I24,I25,I26),0)</f>
        <v>368</v>
      </c>
      <c r="J27" s="99">
        <f>_xlfn.IFERROR(I27/I$19*100,0)</f>
        <v>0.314062846706607</v>
      </c>
      <c r="K27" s="93"/>
      <c r="L27" s="77"/>
    </row>
    <row customHeight="1" ht="15">
      <c r="A28" s="77"/>
      <c r="B28" s="87"/>
      <c r="C28" s="74" t="s">
        <v>42</v>
      </c>
      <c r="D28" s="93" t="s">
        <v>18</v>
      </c>
      <c r="E28" s="97">
        <v>143531</v>
      </c>
      <c r="F28" s="98">
        <f>_xlfn.IFERROR(SUM(F29:F30),"")</f>
        <v>1868244</v>
      </c>
      <c r="G28" s="99"/>
      <c r="H28" s="99"/>
      <c r="I28" s="96">
        <f>取值!M29</f>
        <v>156453</v>
      </c>
      <c r="J28" s="101" t="s">
        <v>19</v>
      </c>
      <c r="K28" s="93"/>
      <c r="L28" s="77"/>
    </row>
    <row customHeight="1" ht="15">
      <c r="A29" s="77"/>
      <c r="B29" s="87"/>
      <c r="C29" s="87"/>
      <c r="D29" s="93" t="s">
        <v>43</v>
      </c>
      <c r="E29" s="97">
        <v>143241</v>
      </c>
      <c r="F29" s="98">
        <f>取值!F29</f>
        <v>1864458</v>
      </c>
      <c r="G29" s="92" t="s">
        <v>19</v>
      </c>
      <c r="H29" s="101" t="s">
        <v>19</v>
      </c>
      <c r="I29" s="96">
        <f>取值!M30</f>
        <v>156187</v>
      </c>
      <c r="J29" s="101" t="s">
        <v>19</v>
      </c>
      <c r="K29" s="93"/>
      <c r="L29" s="77"/>
    </row>
    <row customHeight="1" ht="15">
      <c r="A30" s="77"/>
      <c r="B30" s="87"/>
      <c r="C30" s="87"/>
      <c r="D30" s="93" t="s">
        <v>36</v>
      </c>
      <c r="E30" s="97">
        <v>290</v>
      </c>
      <c r="F30" s="98">
        <f>取值!F30</f>
        <v>3786</v>
      </c>
      <c r="G30" s="92" t="s">
        <v>19</v>
      </c>
      <c r="H30" s="92" t="s">
        <v>19</v>
      </c>
      <c r="I30" s="96">
        <f>取值!M31</f>
        <v>266</v>
      </c>
      <c r="J30" s="92" t="s">
        <v>19</v>
      </c>
      <c r="K30" s="93"/>
      <c r="L30" s="77"/>
    </row>
    <row customHeight="1" ht="15">
      <c r="A31" s="77"/>
      <c r="B31" s="87"/>
      <c r="C31" s="87"/>
      <c r="D31" s="93" t="s">
        <v>44</v>
      </c>
      <c r="E31" s="97">
        <v>133093</v>
      </c>
      <c r="F31" s="98">
        <f>取值!F31</f>
        <v>1743551</v>
      </c>
      <c r="G31" s="99">
        <f>_xlfn.IFERROR(E31/E28*100,0)</f>
        <v>92.7277034229539</v>
      </c>
      <c r="H31" s="99">
        <f>_xlfn.IFERROR(F31/F28*100,0)</f>
        <v>93.3256576764063</v>
      </c>
      <c r="I31" s="96">
        <f>取值!M32</f>
        <v>145602</v>
      </c>
      <c r="J31" s="99">
        <f>_xlfn.IFERROR(I31/I$28*100,0)</f>
        <v>93.0643707694963</v>
      </c>
      <c r="K31" s="93"/>
      <c r="L31" s="77"/>
    </row>
    <row customHeight="1" ht="15">
      <c r="A32" s="77"/>
      <c r="B32" s="87"/>
      <c r="C32" s="87"/>
      <c r="D32" s="93" t="s">
        <v>45</v>
      </c>
      <c r="E32" s="97">
        <v>5301</v>
      </c>
      <c r="F32" s="98">
        <f>取值!F32</f>
        <v>74643</v>
      </c>
      <c r="G32" s="99">
        <f>_xlfn.IFERROR(E32/E28*100,0)</f>
        <v>3.69327880388209</v>
      </c>
      <c r="H32" s="99">
        <f>_xlfn.IFERROR(F32/F28*100,0)</f>
        <v>3.99535606698054</v>
      </c>
      <c r="I32" s="96">
        <f>取值!M33</f>
        <v>7473</v>
      </c>
      <c r="J32" s="99">
        <f>_xlfn.IFERROR(I32/I$28*100,0)</f>
        <v>4.77651435255316</v>
      </c>
      <c r="K32" s="93"/>
      <c r="L32" s="77"/>
    </row>
    <row customHeight="1" ht="15">
      <c r="A33" s="77"/>
      <c r="B33" s="87"/>
      <c r="C33" s="87"/>
      <c r="D33" s="93" t="s">
        <v>46</v>
      </c>
      <c r="E33" s="97">
        <v>2770</v>
      </c>
      <c r="F33" s="98">
        <f>取值!F33</f>
        <v>21141</v>
      </c>
      <c r="G33" s="99">
        <f>_xlfn.IFERROR(E33/E28*100,0)</f>
        <v>1.92989667737283</v>
      </c>
      <c r="H33" s="99">
        <f>_xlfn.IFERROR(F33/F28*100,0)</f>
        <v>1.13159737164953</v>
      </c>
      <c r="I33" s="96">
        <f>取值!M34</f>
        <v>1593</v>
      </c>
      <c r="J33" s="99">
        <f>_xlfn.IFERROR(I33/I$28*100,0)</f>
        <v>1.018197158252</v>
      </c>
      <c r="K33" s="93"/>
      <c r="L33" s="77"/>
    </row>
    <row customHeight="1" ht="15">
      <c r="A34" s="77"/>
      <c r="B34" s="87"/>
      <c r="C34" s="87"/>
      <c r="D34" s="93" t="s">
        <v>47</v>
      </c>
      <c r="E34" s="97">
        <v>885</v>
      </c>
      <c r="F34" s="98">
        <f>取值!F34</f>
        <v>11768</v>
      </c>
      <c r="G34" s="99">
        <f>_xlfn.IFERROR(E34/E28*100,0)</f>
        <v>0.616591537716591</v>
      </c>
      <c r="H34" s="99">
        <f>_xlfn.IFERROR(F34/F28*100,0)</f>
        <v>0.629896309047426</v>
      </c>
      <c r="I34" s="96">
        <f>取值!M35</f>
        <v>988</v>
      </c>
      <c r="J34" s="99">
        <f>_xlfn.IFERROR(I34/I$28*100,0)</f>
        <v>0.631499555777134</v>
      </c>
      <c r="K34" s="93"/>
      <c r="L34" s="77"/>
    </row>
    <row customHeight="1" ht="15">
      <c r="A35" s="77"/>
      <c r="B35" s="87"/>
      <c r="C35" s="87"/>
      <c r="D35" s="93" t="s">
        <v>48</v>
      </c>
      <c r="E35" s="97">
        <v>361</v>
      </c>
      <c r="F35" s="98">
        <f>取值!F35</f>
        <v>3978</v>
      </c>
      <c r="G35" s="99">
        <f>_xlfn.IFERROR(E35/E28*100,0)</f>
        <v>0.251513610300214</v>
      </c>
      <c r="H35" s="99">
        <f>_xlfn.IFERROR(F35/F28*100,0)</f>
        <v>0.212927219356786</v>
      </c>
      <c r="I35" s="96">
        <f>取值!M36</f>
        <v>337</v>
      </c>
      <c r="J35" s="99">
        <f>_xlfn.IFERROR(I35/I$28*100,0)</f>
        <v>0.215400152122363</v>
      </c>
      <c r="K35" s="93"/>
      <c r="L35" s="77"/>
    </row>
    <row customHeight="1" ht="15">
      <c r="A36" s="77"/>
      <c r="B36" s="87"/>
      <c r="C36" s="87"/>
      <c r="D36" s="93" t="s">
        <v>49</v>
      </c>
      <c r="E36" s="97">
        <v>0</v>
      </c>
      <c r="F36" s="98">
        <f>取值!F36</f>
        <v>0</v>
      </c>
      <c r="G36" s="99">
        <f>_xlfn.IFERROR(E36/E28*100,0)</f>
        <v>0</v>
      </c>
      <c r="H36" s="99">
        <f>_xlfn.IFERROR(F36/F28*100,0)</f>
        <v>0</v>
      </c>
      <c r="I36" s="96">
        <f>取值!M37</f>
        <v>0</v>
      </c>
      <c r="J36" s="99">
        <f>_xlfn.IFERROR(I36/I$28*100,0)</f>
        <v>0</v>
      </c>
      <c r="K36" s="93"/>
      <c r="L36" s="77"/>
    </row>
    <row customHeight="1" ht="15">
      <c r="A37" s="77"/>
      <c r="B37" s="87"/>
      <c r="C37" s="87"/>
      <c r="D37" s="93" t="s">
        <v>41</v>
      </c>
      <c r="E37" s="97">
        <v>1088</v>
      </c>
      <c r="F37" s="98">
        <f>取值!F37</f>
        <v>12277</v>
      </c>
      <c r="G37" s="99">
        <f>_xlfn.IFERROR(E37/E28*100,0)</f>
        <v>0.75802439891034</v>
      </c>
      <c r="H37" s="99">
        <f>_xlfn.IFERROR(F37/F28*100,0)</f>
        <v>0.657141144304491</v>
      </c>
      <c r="I37" s="96">
        <f>取值!M38</f>
        <v>394</v>
      </c>
      <c r="J37" s="99">
        <f>_xlfn.IFERROR(I37/I$28*100,0)</f>
        <v>0.251832818801813</v>
      </c>
      <c r="K37" s="93"/>
      <c r="L37" s="77"/>
    </row>
    <row customHeight="1" ht="15">
      <c r="A38" s="77"/>
      <c r="B38" s="91"/>
      <c r="C38" s="91"/>
      <c r="D38" s="93" t="s">
        <v>25</v>
      </c>
      <c r="E38" s="98">
        <f>E28-SUM(E31,E32,E33,E34,E35,E36,E37)</f>
        <v>33</v>
      </c>
      <c r="F38" s="98">
        <f>F28-SUM(F31,F32,F33,F34,F35,F36,F37)</f>
        <v>886</v>
      </c>
      <c r="G38" s="99">
        <f>_xlfn.IFERROR(E38/E28*100,0)</f>
        <v>0.0229915488640085</v>
      </c>
      <c r="H38" s="99">
        <f>_xlfn.IFERROR(F38/F28*100,0)</f>
        <v>0.0474242122549303</v>
      </c>
      <c r="I38" s="98">
        <f>_xlfn.IFERROR(I28-SUM(I31,I32,I33,I34,I35,I36,I37),0)</f>
        <v>66</v>
      </c>
      <c r="J38" s="99">
        <f>_xlfn.IFERROR(I38/I$28*100,0)</f>
        <v>0.042185192997258</v>
      </c>
      <c r="K38" s="93"/>
      <c r="L38" s="77"/>
    </row>
    <row customHeight="1" ht="18">
      <c r="A39" s="77"/>
      <c r="B39" s="92" t="s">
        <v>50</v>
      </c>
      <c r="C39" s="102"/>
      <c r="D39" s="103"/>
      <c r="E39" s="103"/>
      <c r="F39" s="103"/>
      <c r="G39" s="103"/>
      <c r="H39" s="103"/>
      <c r="I39" s="103"/>
      <c r="J39" s="103"/>
      <c r="K39" s="104"/>
      <c r="L39" s="77"/>
    </row>
    <row customHeight="1" ht="14.25">
      <c r="A40" s="77"/>
      <c r="B40" s="105" t="s">
        <v>51</v>
      </c>
      <c r="C40" s="106"/>
      <c r="D40" s="107" t="s">
        <v>52</v>
      </c>
      <c r="E40" s="105" t="s">
        <v>53</v>
      </c>
      <c r="F40" s="106"/>
      <c r="G40" s="107" t="s">
        <v>54</v>
      </c>
      <c r="H40" s="105" t="s">
        <v>55</v>
      </c>
      <c r="I40" s="106"/>
      <c r="J40" s="107" t="s">
        <v>56</v>
      </c>
      <c r="K40" s="77"/>
      <c r="L40" s="77"/>
    </row>
  </sheetData>
  <mergeCells count="20">
    <mergeCell ref="C39:K39"/>
    <mergeCell ref="C6:C12"/>
    <mergeCell ref="C13:C15"/>
    <mergeCell ref="C16:C18"/>
    <mergeCell ref="B6:B18"/>
    <mergeCell ref="B19:B38"/>
    <mergeCell ref="C19:C27"/>
    <mergeCell ref="C28:C38"/>
    <mergeCell ref="B2:K2"/>
    <mergeCell ref="B4:B5"/>
    <mergeCell ref="C4:C5"/>
    <mergeCell ref="D4:D5"/>
    <mergeCell ref="E4:F4"/>
    <mergeCell ref="G4:H4"/>
    <mergeCell ref="I4:J4"/>
    <mergeCell ref="G3:J3"/>
    <mergeCell ref="B3:D3"/>
    <mergeCell ref="B40:C40"/>
    <mergeCell ref="E40:F40"/>
    <mergeCell ref="H40:I40"/>
  </mergeCells>
  <pageMargins left="0.70" right="0.70" top="0.75" bottom="0.75" header="0.30" footer="0.3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A03A4D96-9488-F8A8-A728-29B2EBA11F08}" mc:Ignorable="x14ac xr xr2 xr3">
  <dimension ref="A1:I31"/>
  <sheetViews>
    <sheetView defaultGridColor="0" colorId="31" topLeftCell="A1" workbookViewId="0">
      <selection activeCell="A1" sqref="A1"/>
    </sheetView>
  </sheetViews>
  <sheetFormatPr customHeight="1" defaultRowHeight="14.100000000000001"/>
  <cols>
    <col min="3" max="3" width="17.421875" customWidth="1"/>
    <col min="6" max="6" width="17.140625" customWidth="1"/>
    <col min="7" max="7" width="73.7109375" customWidth="1"/>
  </cols>
  <sheetData>
    <row customHeight="1" ht="14.25">
      <c r="A1" s="77" t="s">
        <v>57</v>
      </c>
      <c r="B1" s="108"/>
      <c r="C1" s="108" t="s">
        <v>58</v>
      </c>
      <c r="D1" s="108"/>
      <c r="E1" s="108" t="s">
        <v>59</v>
      </c>
      <c r="F1" s="108"/>
      <c r="G1" s="108" t="s">
        <v>60</v>
      </c>
      <c r="H1" s="108"/>
      <c r="I1" s="108" t="s">
        <v>61</v>
      </c>
    </row>
    <row customHeight="1" ht="14.25">
      <c r="A2" s="77" t="s">
        <v>62</v>
      </c>
      <c r="B2" s="108" t="s">
        <v>63</v>
      </c>
      <c r="C2" s="108" t="s">
        <v>64</v>
      </c>
      <c r="D2" s="108" t="s">
        <v>65</v>
      </c>
      <c r="E2" s="108" t="s">
        <v>66</v>
      </c>
      <c r="F2" s="108" t="s">
        <v>67</v>
      </c>
      <c r="G2" s="108" t="s">
        <v>68</v>
      </c>
      <c r="H2" s="108" t="s">
        <v>69</v>
      </c>
      <c r="I2" s="108" t="str">
        <f>A2&amp;B2&amp;C2&amp;D2&amp;E2&amp;F2&amp;G2&amp;H2</f>
        <v>#SQL("SH_PM_ALL_ByMonth","VALUE",":where{NAME=延安石油化工厂_生产_联合四车间_60万吨/年液化气精制装置_进_催化液化气}")</v>
      </c>
    </row>
    <row customHeight="1" ht="14.25">
      <c r="A3" s="77" t="s">
        <v>62</v>
      </c>
      <c r="B3" s="108" t="s">
        <v>63</v>
      </c>
      <c r="C3" s="108" t="s">
        <v>64</v>
      </c>
      <c r="D3" s="108" t="s">
        <v>65</v>
      </c>
      <c r="E3" s="108" t="s">
        <v>66</v>
      </c>
      <c r="F3" s="108" t="s">
        <v>67</v>
      </c>
      <c r="G3" s="77" t="s">
        <v>70</v>
      </c>
      <c r="H3" s="108" t="s">
        <v>69</v>
      </c>
      <c r="I3" s="108" t="str">
        <f>A3&amp;B3&amp;C3&amp;D3&amp;E3&amp;F3&amp;G3&amp;H3</f>
        <v>#SQL("SH_PM_ALL_ByMonth","VALUE",":where{NAME=延安石油化工厂_生产_联合四车间_60万吨/年液化气精制装置_进_加氢液化气}")</v>
      </c>
    </row>
    <row customHeight="1" ht="14.25">
      <c r="A4" s="77" t="s">
        <v>62</v>
      </c>
      <c r="B4" s="108" t="s">
        <v>63</v>
      </c>
      <c r="C4" s="108" t="s">
        <v>64</v>
      </c>
      <c r="D4" s="108" t="s">
        <v>65</v>
      </c>
      <c r="E4" s="108" t="s">
        <v>66</v>
      </c>
      <c r="F4" s="108" t="s">
        <v>67</v>
      </c>
      <c r="G4" s="77" t="s">
        <v>71</v>
      </c>
      <c r="H4" s="108" t="s">
        <v>69</v>
      </c>
      <c r="I4" s="108" t="str">
        <f>A4&amp;B4&amp;C4&amp;D4&amp;E4&amp;F4&amp;G4&amp;H4</f>
        <v>#SQL("SH_PM_ALL_ByMonth","VALUE",":where{NAME=延安石油化工厂_生产_联合四车间_60万吨/年液化气精制装置_出_精制液化气}")</v>
      </c>
    </row>
    <row customHeight="1" ht="14.25">
      <c r="A5" s="77" t="s">
        <v>62</v>
      </c>
      <c r="B5" s="108" t="s">
        <v>63</v>
      </c>
      <c r="C5" s="108" t="s">
        <v>64</v>
      </c>
      <c r="D5" s="108" t="s">
        <v>65</v>
      </c>
      <c r="E5" s="108" t="s">
        <v>66</v>
      </c>
      <c r="F5" s="108" t="s">
        <v>67</v>
      </c>
      <c r="G5" s="77" t="s">
        <v>72</v>
      </c>
      <c r="H5" s="108" t="s">
        <v>69</v>
      </c>
      <c r="I5" s="108" t="str">
        <f>A5&amp;B5&amp;C5&amp;D5&amp;E5&amp;F5&amp;G5&amp;H5</f>
        <v>#SQL("SH_PM_ALL_ByMonth","VALUE",":where{NAME=延安石油化工厂_生产_联合四车间_60万吨/年液化气精制装置_出_酸性气}")</v>
      </c>
    </row>
    <row customHeight="1" ht="14.25">
      <c r="A6" s="77" t="s">
        <v>62</v>
      </c>
      <c r="B6" s="108" t="s">
        <v>63</v>
      </c>
      <c r="C6" s="108" t="s">
        <v>64</v>
      </c>
      <c r="D6" s="108" t="s">
        <v>65</v>
      </c>
      <c r="E6" s="108" t="s">
        <v>66</v>
      </c>
      <c r="F6" s="108" t="s">
        <v>67</v>
      </c>
      <c r="G6" s="77" t="s">
        <v>73</v>
      </c>
      <c r="H6" s="108" t="s">
        <v>69</v>
      </c>
      <c r="I6" s="108" t="str">
        <f>A6&amp;B6&amp;C6&amp;D6&amp;E6&amp;F6&amp;G6&amp;H6</f>
        <v>#SQL("SH_PM_ALL_ByMonth","VALUE",":where{NAME=延安石油化工厂_生产_联合四车间_60万吨/年液化气精制装置_出_不合格液化气}")</v>
      </c>
    </row>
    <row customHeight="1" ht="14.25">
      <c r="A7" s="77" t="s">
        <v>62</v>
      </c>
      <c r="B7" s="108" t="s">
        <v>63</v>
      </c>
      <c r="C7" s="108" t="s">
        <v>64</v>
      </c>
      <c r="D7" s="108" t="s">
        <v>65</v>
      </c>
      <c r="E7" s="108" t="s">
        <v>66</v>
      </c>
      <c r="F7" s="108" t="s">
        <v>67</v>
      </c>
      <c r="G7" s="77" t="s">
        <v>74</v>
      </c>
      <c r="H7" s="108" t="s">
        <v>69</v>
      </c>
      <c r="I7" s="108" t="str">
        <f>A7&amp;B7&amp;C7&amp;D7&amp;E7&amp;F7&amp;G7&amp;H7</f>
        <v>#SQL("SH_PM_ALL_ByMonth","VALUE",":where{NAME=延安石油化工厂_生产_联合四车间_60万吨/年液化气精制装置_出_加工损失}")</v>
      </c>
    </row>
    <row customHeight="1" ht="14.25">
      <c r="A8" s="77" t="s">
        <v>62</v>
      </c>
      <c r="B8" s="108" t="s">
        <v>63</v>
      </c>
      <c r="C8" s="108" t="s">
        <v>64</v>
      </c>
      <c r="D8" s="108" t="s">
        <v>65</v>
      </c>
      <c r="E8" s="108" t="s">
        <v>66</v>
      </c>
      <c r="F8" s="108" t="s">
        <v>67</v>
      </c>
      <c r="G8" s="77" t="s">
        <v>75</v>
      </c>
      <c r="H8" s="108" t="s">
        <v>69</v>
      </c>
      <c r="I8" s="108" t="str">
        <f>A8&amp;B8&amp;C8&amp;D8&amp;E8&amp;F8&amp;G8&amp;H8</f>
        <v>#SQL("SH_PM_ALL_ByMonth","VALUE",":where{NAME=延安石油化工厂_生产_联合四车间_4000吨/年硫磺回收装置_进_ 酸性气原料}")</v>
      </c>
    </row>
    <row customHeight="1" ht="14.25">
      <c r="A9" s="77" t="s">
        <v>62</v>
      </c>
      <c r="B9" s="108" t="s">
        <v>63</v>
      </c>
      <c r="C9" s="108" t="s">
        <v>64</v>
      </c>
      <c r="D9" s="108" t="s">
        <v>65</v>
      </c>
      <c r="E9" s="108" t="s">
        <v>66</v>
      </c>
      <c r="F9" s="108" t="s">
        <v>67</v>
      </c>
      <c r="G9" s="77" t="s">
        <v>76</v>
      </c>
      <c r="H9" s="108" t="s">
        <v>69</v>
      </c>
      <c r="I9" s="108" t="str">
        <f>A9&amp;B9&amp;C9&amp;D9&amp;E9&amp;F9&amp;G9&amp;H9</f>
        <v>#SQL("SH_PM_ALL_ByMonth","VALUE",":where{NAME=延安石油化工厂_生产_联合四车间_4000吨/年硫磺回收装置_出_ 粗硫磺}")</v>
      </c>
    </row>
    <row customHeight="1" ht="14.25">
      <c r="A10" s="77" t="s">
        <v>62</v>
      </c>
      <c r="B10" s="108" t="s">
        <v>63</v>
      </c>
      <c r="C10" s="108" t="s">
        <v>64</v>
      </c>
      <c r="D10" s="108" t="s">
        <v>65</v>
      </c>
      <c r="E10" s="108" t="s">
        <v>66</v>
      </c>
      <c r="F10" s="108" t="s">
        <v>67</v>
      </c>
      <c r="G10" s="77" t="s">
        <v>77</v>
      </c>
      <c r="H10" s="108" t="s">
        <v>69</v>
      </c>
      <c r="I10" s="108" t="str">
        <f>A10&amp;B10&amp;C10&amp;D10&amp;E10&amp;F10&amp;G10&amp;H10</f>
        <v>#SQL("SH_PM_ALL_ByMonth","VALUE",":where{NAME=延安石油化工厂_生产_联合四车间_4000吨/年硫磺回收装置_出_ 烟道气}")</v>
      </c>
    </row>
    <row customHeight="1" ht="14.25">
      <c r="A11" s="77" t="s">
        <v>62</v>
      </c>
      <c r="B11" s="108" t="s">
        <v>63</v>
      </c>
      <c r="C11" s="108" t="s">
        <v>64</v>
      </c>
      <c r="D11" s="108" t="s">
        <v>65</v>
      </c>
      <c r="E11" s="108" t="s">
        <v>66</v>
      </c>
      <c r="F11" s="108" t="s">
        <v>67</v>
      </c>
      <c r="G11" s="77" t="s">
        <v>78</v>
      </c>
      <c r="H11" s="108" t="s">
        <v>69</v>
      </c>
      <c r="I11" s="108" t="str">
        <f>A11&amp;B11&amp;C11&amp;D11&amp;E11&amp;F11&amp;G11&amp;H11</f>
        <v>#SQL("SH_PM_ALL_ByMonth","VALUE",":where{NAME=延安石油化工厂_生产_联合四车间_ 2万吨/年硫磺精制_进_ 粗硫磺}")</v>
      </c>
    </row>
    <row customHeight="1" ht="14.25">
      <c r="A12" s="77" t="s">
        <v>62</v>
      </c>
      <c r="B12" s="108" t="s">
        <v>63</v>
      </c>
      <c r="C12" s="108" t="s">
        <v>64</v>
      </c>
      <c r="D12" s="108" t="s">
        <v>65</v>
      </c>
      <c r="E12" s="108" t="s">
        <v>66</v>
      </c>
      <c r="F12" s="108" t="s">
        <v>67</v>
      </c>
      <c r="G12" s="77" t="s">
        <v>79</v>
      </c>
      <c r="H12" s="108" t="s">
        <v>69</v>
      </c>
      <c r="I12" s="108" t="str">
        <f>A12&amp;B12&amp;C12&amp;D12&amp;E12&amp;F12&amp;G12&amp;H12</f>
        <v>#SQL("SH_PM_ALL_ByMonth","VALUE",":where{NAME=延安石油化工厂_生产_联合四车间_ 2万吨/年硫磺精制_出_ 精制硫磺}")</v>
      </c>
    </row>
    <row customHeight="1" ht="14.25">
      <c r="A13" s="77" t="s">
        <v>62</v>
      </c>
      <c r="B13" s="108" t="s">
        <v>63</v>
      </c>
      <c r="C13" s="108" t="s">
        <v>64</v>
      </c>
      <c r="D13" s="108" t="s">
        <v>65</v>
      </c>
      <c r="E13" s="108" t="s">
        <v>66</v>
      </c>
      <c r="F13" s="108" t="s">
        <v>67</v>
      </c>
      <c r="G13" s="77" t="s">
        <v>80</v>
      </c>
      <c r="H13" s="108" t="s">
        <v>69</v>
      </c>
      <c r="I13" s="108" t="str">
        <f>A13&amp;B13&amp;C13&amp;D13&amp;E13&amp;F13&amp;G13&amp;H13</f>
        <v>#SQL("SH_PM_ALL_ByMonth","VALUE",":where{NAME=延安石油化工厂_生产_联合四车间_ 2万吨/年硫磺精制_出_ 污水}")</v>
      </c>
    </row>
    <row customHeight="1" ht="14.25">
      <c r="A14" s="77" t="s">
        <v>62</v>
      </c>
      <c r="B14" s="108" t="s">
        <v>63</v>
      </c>
      <c r="C14" s="108" t="s">
        <v>64</v>
      </c>
      <c r="D14" s="108" t="s">
        <v>65</v>
      </c>
      <c r="E14" s="108" t="s">
        <v>66</v>
      </c>
      <c r="F14" s="108" t="s">
        <v>67</v>
      </c>
      <c r="G14" s="77" t="s">
        <v>81</v>
      </c>
      <c r="H14" s="108" t="s">
        <v>69</v>
      </c>
      <c r="I14" s="108" t="str">
        <f>A14&amp;B14&amp;C14&amp;D14&amp;E14&amp;F14&amp;G14&amp;H14</f>
        <v>#SQL("SH_PM_ALL_ByMonth","VALUE",":where{NAME=延安石油化工厂_生产_联合三车间_180万吨/年汽油精制装置_进_催化汽油}")</v>
      </c>
    </row>
    <row customHeight="1" ht="14.25">
      <c r="A15" s="77" t="s">
        <v>62</v>
      </c>
      <c r="B15" s="108" t="s">
        <v>63</v>
      </c>
      <c r="C15" s="108" t="s">
        <v>64</v>
      </c>
      <c r="D15" s="108" t="s">
        <v>65</v>
      </c>
      <c r="E15" s="108" t="s">
        <v>66</v>
      </c>
      <c r="F15" s="108" t="s">
        <v>67</v>
      </c>
      <c r="G15" s="77" t="s">
        <v>82</v>
      </c>
      <c r="H15" s="108" t="s">
        <v>69</v>
      </c>
      <c r="I15" s="108" t="str">
        <f>A15&amp;B15&amp;C15&amp;D15&amp;E15&amp;F15&amp;G15&amp;H15</f>
        <v>#SQL("SH_PM_ALL_ByMonth","VALUE",":where{NAME=延安石油化工厂_生产_联合三车间_180万吨/年汽油精制装置_进_氢气}")</v>
      </c>
    </row>
    <row customHeight="1" ht="14.25">
      <c r="A16" s="77" t="s">
        <v>62</v>
      </c>
      <c r="B16" s="108" t="s">
        <v>63</v>
      </c>
      <c r="C16" s="108" t="s">
        <v>64</v>
      </c>
      <c r="D16" s="108" t="s">
        <v>65</v>
      </c>
      <c r="E16" s="108" t="s">
        <v>66</v>
      </c>
      <c r="F16" s="108" t="s">
        <v>67</v>
      </c>
      <c r="G16" s="77" t="s">
        <v>83</v>
      </c>
      <c r="H16" s="108" t="s">
        <v>69</v>
      </c>
      <c r="I16" s="108" t="str">
        <f>A16&amp;B16&amp;C16&amp;D16&amp;E16&amp;F16&amp;G16&amp;H16</f>
        <v>#SQL("SH_PM_ALL_ByMonth","VALUE",":where{NAME=延安石油化工厂_生产_联合三车间_180万吨/年汽油精制装置_进_戊烷}")</v>
      </c>
    </row>
    <row customHeight="1" ht="14.25">
      <c r="A17" s="77" t="s">
        <v>62</v>
      </c>
      <c r="B17" s="108" t="s">
        <v>63</v>
      </c>
      <c r="C17" s="108" t="s">
        <v>64</v>
      </c>
      <c r="D17" s="108" t="s">
        <v>65</v>
      </c>
      <c r="E17" s="108" t="s">
        <v>66</v>
      </c>
      <c r="F17" s="108" t="s">
        <v>67</v>
      </c>
      <c r="G17" s="77" t="s">
        <v>84</v>
      </c>
      <c r="H17" s="108" t="s">
        <v>69</v>
      </c>
      <c r="I17" s="108" t="str">
        <f>A17&amp;B17&amp;C17&amp;D17&amp;E17&amp;F17&amp;G17&amp;H17</f>
        <v>#SQL("SH_PM_ALL_ByMonth","VALUE",":where{NAME=延安石油化工厂_生产_联合三车间_180万吨/年汽油精制装置_出_精制汽油}")</v>
      </c>
    </row>
    <row customHeight="1" ht="14.25">
      <c r="A18" s="77" t="s">
        <v>62</v>
      </c>
      <c r="B18" s="108" t="s">
        <v>63</v>
      </c>
      <c r="C18" s="108" t="s">
        <v>64</v>
      </c>
      <c r="D18" s="108" t="s">
        <v>65</v>
      </c>
      <c r="E18" s="108" t="s">
        <v>66</v>
      </c>
      <c r="F18" s="108" t="s">
        <v>67</v>
      </c>
      <c r="G18" s="77" t="s">
        <v>85</v>
      </c>
      <c r="H18" s="108" t="s">
        <v>69</v>
      </c>
      <c r="I18" s="108" t="str">
        <f>A18&amp;B18&amp;C18&amp;D18&amp;E18&amp;F18&amp;G18&amp;H18</f>
        <v>#SQL("SH_PM_ALL_ByMonth","VALUE",":where{NAME=延安石油化工厂_生产_联合三车间_180万吨/年汽油精制装置_出_燃料气}")</v>
      </c>
    </row>
    <row customHeight="1" ht="14.25">
      <c r="A19" s="77" t="s">
        <v>62</v>
      </c>
      <c r="B19" s="108" t="s">
        <v>63</v>
      </c>
      <c r="C19" s="108" t="s">
        <v>64</v>
      </c>
      <c r="D19" s="108" t="s">
        <v>65</v>
      </c>
      <c r="E19" s="108" t="s">
        <v>66</v>
      </c>
      <c r="F19" s="108" t="s">
        <v>67</v>
      </c>
      <c r="G19" s="77" t="s">
        <v>86</v>
      </c>
      <c r="H19" s="108" t="s">
        <v>69</v>
      </c>
      <c r="I19" s="108" t="str">
        <f>A19&amp;B19&amp;C19&amp;D19&amp;E19&amp;F19&amp;G19&amp;H19</f>
        <v>#SQL("SH_PM_ALL_ByMonth","VALUE",":where{NAME=延安石油化工厂_生产_联合三车间_180万吨/年汽油精制装置_出_不合格汽油}")</v>
      </c>
    </row>
    <row customHeight="1" ht="14.25">
      <c r="A20" s="77" t="s">
        <v>62</v>
      </c>
      <c r="B20" s="108" t="s">
        <v>63</v>
      </c>
      <c r="C20" s="108" t="s">
        <v>64</v>
      </c>
      <c r="D20" s="108" t="s">
        <v>65</v>
      </c>
      <c r="E20" s="108" t="s">
        <v>66</v>
      </c>
      <c r="F20" s="108" t="s">
        <v>67</v>
      </c>
      <c r="G20" s="77" t="s">
        <v>87</v>
      </c>
      <c r="H20" s="108" t="s">
        <v>69</v>
      </c>
      <c r="I20" s="108" t="str">
        <f>A20&amp;B20&amp;C20&amp;D20&amp;E20&amp;F20&amp;G20&amp;H20</f>
        <v>#SQL("SH_PM_ALL_ByMonth","VALUE",":where{NAME=延安石油化工厂_生产_联合三车间_180万吨/年汽油精制装置_出_污油}")</v>
      </c>
    </row>
    <row customHeight="1" ht="14.25">
      <c r="A21" s="77" t="s">
        <v>62</v>
      </c>
      <c r="B21" s="108" t="s">
        <v>63</v>
      </c>
      <c r="C21" s="108" t="s">
        <v>64</v>
      </c>
      <c r="D21" s="108" t="s">
        <v>65</v>
      </c>
      <c r="E21" s="108" t="s">
        <v>66</v>
      </c>
      <c r="F21" s="108" t="s">
        <v>67</v>
      </c>
      <c r="G21" s="77" t="s">
        <v>88</v>
      </c>
      <c r="H21" s="108" t="s">
        <v>69</v>
      </c>
      <c r="I21" s="108" t="str">
        <f>A21&amp;B21&amp;C21&amp;D21&amp;E21&amp;F21&amp;G21&amp;H21</f>
        <v>#SQL("SH_PM_ALL_ByMonth","VALUE",":where{NAME=延安石油化工厂_生产_联合三车间_180万吨/年汽油精制装置_出_加工损失}")</v>
      </c>
    </row>
    <row customHeight="1" ht="14.25">
      <c r="A22" s="77" t="s">
        <v>62</v>
      </c>
      <c r="B22" s="108" t="s">
        <v>63</v>
      </c>
      <c r="C22" s="108" t="s">
        <v>64</v>
      </c>
      <c r="D22" s="108" t="s">
        <v>65</v>
      </c>
      <c r="E22" s="108" t="s">
        <v>66</v>
      </c>
      <c r="F22" s="108" t="s">
        <v>67</v>
      </c>
      <c r="G22" s="77" t="s">
        <v>89</v>
      </c>
      <c r="H22" s="108" t="s">
        <v>69</v>
      </c>
      <c r="I22" s="108" t="str">
        <f>A22&amp;B22&amp;C22&amp;D22&amp;E22&amp;F22&amp;G22&amp;H22</f>
        <v>#SQL("SH_PM_ALL_ByMonth","VALUE",":where{NAME=延安石油化工厂_生产_联合三车间_240万吨/年柴油精制装置_进_常压柴油}")</v>
      </c>
    </row>
    <row customHeight="1" ht="14.25">
      <c r="A23" s="77" t="s">
        <v>62</v>
      </c>
      <c r="B23" s="108" t="s">
        <v>63</v>
      </c>
      <c r="C23" s="108" t="s">
        <v>64</v>
      </c>
      <c r="D23" s="108" t="s">
        <v>65</v>
      </c>
      <c r="E23" s="108" t="s">
        <v>66</v>
      </c>
      <c r="F23" s="108" t="s">
        <v>67</v>
      </c>
      <c r="G23" s="77" t="s">
        <v>90</v>
      </c>
      <c r="H23" s="108" t="s">
        <v>69</v>
      </c>
      <c r="I23" s="108" t="str">
        <f>A23&amp;B23&amp;C23&amp;D23&amp;E23&amp;F23&amp;G23&amp;H23</f>
        <v>#SQL("SH_PM_ALL_ByMonth","VALUE",":where{NAME=延安石油化工厂_生产_联合三车间_240万吨/年柴油精制装置_进_氢气}")</v>
      </c>
    </row>
    <row customHeight="1" ht="14.25">
      <c r="A24" s="77" t="s">
        <v>62</v>
      </c>
      <c r="B24" s="108" t="s">
        <v>63</v>
      </c>
      <c r="C24" s="108" t="s">
        <v>64</v>
      </c>
      <c r="D24" s="108" t="s">
        <v>65</v>
      </c>
      <c r="E24" s="108" t="s">
        <v>66</v>
      </c>
      <c r="F24" s="108" t="s">
        <v>67</v>
      </c>
      <c r="G24" s="77" t="s">
        <v>91</v>
      </c>
      <c r="H24" s="108" t="s">
        <v>69</v>
      </c>
      <c r="I24" s="108" t="str">
        <f>A24&amp;B24&amp;C24&amp;D24&amp;E24&amp;F24&amp;G24&amp;H24</f>
        <v>#SQL("SH_PM_ALL_ByMonth","VALUE",":where{NAME=延安石油化工厂_生产_联合三车间_240万吨/年柴油精制装置_出_精制柴油}")</v>
      </c>
    </row>
    <row customHeight="1" ht="14.25">
      <c r="A25" s="77" t="s">
        <v>62</v>
      </c>
      <c r="B25" s="108" t="s">
        <v>63</v>
      </c>
      <c r="C25" s="108" t="s">
        <v>64</v>
      </c>
      <c r="D25" s="108" t="s">
        <v>65</v>
      </c>
      <c r="E25" s="108" t="s">
        <v>66</v>
      </c>
      <c r="F25" s="108" t="s">
        <v>67</v>
      </c>
      <c r="G25" s="77" t="s">
        <v>92</v>
      </c>
      <c r="H25" s="108" t="s">
        <v>69</v>
      </c>
      <c r="I25" s="108" t="str">
        <f>A25&amp;B25&amp;C25&amp;D25&amp;E25&amp;F25&amp;G25&amp;H25</f>
        <v>#SQL("SH_PM_ALL_ByMonth","VALUE",":where{NAME=延安石油化工厂_生产_联合三车间_240万吨/年柴油精制装置_出_石脑油（常压）}")</v>
      </c>
    </row>
    <row customHeight="1" ht="14.25">
      <c r="A26" s="77" t="s">
        <v>62</v>
      </c>
      <c r="B26" s="108" t="s">
        <v>63</v>
      </c>
      <c r="C26" s="108" t="s">
        <v>64</v>
      </c>
      <c r="D26" s="108" t="s">
        <v>65</v>
      </c>
      <c r="E26" s="108" t="s">
        <v>66</v>
      </c>
      <c r="F26" s="108" t="s">
        <v>67</v>
      </c>
      <c r="G26" s="77" t="s">
        <v>93</v>
      </c>
      <c r="H26" s="108" t="s">
        <v>69</v>
      </c>
      <c r="I26" s="108" t="str">
        <f>A26&amp;B26&amp;C26&amp;D26&amp;E26&amp;F26&amp;G26&amp;H26</f>
        <v>#SQL("SH_PM_ALL_ByMonth","VALUE",":where{NAME=延安石油化工厂_生产_联合三车间_240万吨/年柴油精制装置_出_轻烃}")</v>
      </c>
    </row>
    <row customHeight="1" ht="14.25">
      <c r="A27" s="77" t="s">
        <v>62</v>
      </c>
      <c r="B27" s="108" t="s">
        <v>63</v>
      </c>
      <c r="C27" s="108" t="s">
        <v>64</v>
      </c>
      <c r="D27" s="108" t="s">
        <v>65</v>
      </c>
      <c r="E27" s="108" t="s">
        <v>66</v>
      </c>
      <c r="F27" s="108" t="s">
        <v>67</v>
      </c>
      <c r="G27" s="77" t="s">
        <v>94</v>
      </c>
      <c r="H27" s="108" t="s">
        <v>69</v>
      </c>
      <c r="I27" s="108" t="str">
        <f>A27&amp;B27&amp;C27&amp;D27&amp;E27&amp;F27&amp;G27&amp;H27</f>
        <v>#SQL("SH_PM_ALL_ByMonth","VALUE",":where{NAME=延安石油化工厂_生产_联合三车间_240万吨/年柴油精制装置_出_含硫气体}")</v>
      </c>
    </row>
    <row customHeight="1" ht="14.25">
      <c r="A28" s="77" t="s">
        <v>62</v>
      </c>
      <c r="B28" s="108" t="s">
        <v>63</v>
      </c>
      <c r="C28" s="108" t="s">
        <v>64</v>
      </c>
      <c r="D28" s="108" t="s">
        <v>65</v>
      </c>
      <c r="E28" s="108" t="s">
        <v>66</v>
      </c>
      <c r="F28" s="108" t="s">
        <v>67</v>
      </c>
      <c r="G28" s="77" t="s">
        <v>95</v>
      </c>
      <c r="H28" s="108" t="s">
        <v>69</v>
      </c>
      <c r="I28" s="108" t="str">
        <f>A28&amp;B28&amp;C28&amp;D28&amp;E28&amp;F28&amp;G28&amp;H28</f>
        <v>#SQL("SH_PM_ALL_ByMonth","VALUE",":where{NAME=延安石油化工厂_生产_联合三车间_240万吨/年柴油精制装置_出_高、低气分}")</v>
      </c>
    </row>
    <row customHeight="1" ht="14.25">
      <c r="A29" s="77" t="s">
        <v>62</v>
      </c>
      <c r="B29" s="108" t="s">
        <v>63</v>
      </c>
      <c r="C29" s="108" t="s">
        <v>64</v>
      </c>
      <c r="D29" s="108" t="s">
        <v>65</v>
      </c>
      <c r="E29" s="108" t="s">
        <v>66</v>
      </c>
      <c r="F29" s="108" t="s">
        <v>67</v>
      </c>
      <c r="G29" s="77" t="s">
        <v>96</v>
      </c>
      <c r="H29" s="108" t="s">
        <v>69</v>
      </c>
      <c r="I29" s="108" t="str">
        <f>A29&amp;B29&amp;C29&amp;D29&amp;E29&amp;F29&amp;G29&amp;H29</f>
        <v>#SQL("SH_PM_ALL_ByMonth","VALUE",":where{NAME=延安石油化工厂_生产_联合三车间_240万吨/年柴油精制装置_出_不合格柴油}")</v>
      </c>
    </row>
    <row customHeight="1" ht="14.25">
      <c r="A30" s="77" t="s">
        <v>62</v>
      </c>
      <c r="B30" s="108" t="s">
        <v>63</v>
      </c>
      <c r="C30" s="108" t="s">
        <v>64</v>
      </c>
      <c r="D30" s="108" t="s">
        <v>65</v>
      </c>
      <c r="E30" s="108" t="s">
        <v>66</v>
      </c>
      <c r="F30" s="108" t="s">
        <v>67</v>
      </c>
      <c r="G30" s="77" t="s">
        <v>97</v>
      </c>
      <c r="H30" s="108" t="s">
        <v>69</v>
      </c>
      <c r="I30" s="108" t="str">
        <f>A30&amp;B30&amp;C30&amp;D30&amp;E30&amp;F30&amp;G30&amp;H30</f>
        <v>#SQL("SH_PM_ALL_ByMonth","VALUE",":where{NAME=延安石油化工厂_生产_联合三车间_240万吨/年柴油精制装置_出_污油}")</v>
      </c>
    </row>
    <row customHeight="1" ht="14.25">
      <c r="A31" s="77" t="s">
        <v>62</v>
      </c>
      <c r="B31" s="108" t="s">
        <v>63</v>
      </c>
      <c r="C31" s="108" t="s">
        <v>64</v>
      </c>
      <c r="D31" s="108" t="s">
        <v>65</v>
      </c>
      <c r="E31" s="108" t="s">
        <v>66</v>
      </c>
      <c r="F31" s="108" t="s">
        <v>67</v>
      </c>
      <c r="G31" s="77" t="s">
        <v>98</v>
      </c>
      <c r="H31" s="108" t="s">
        <v>69</v>
      </c>
      <c r="I31" s="108" t="str">
        <f>A31&amp;B31&amp;C31&amp;D31&amp;E31&amp;F31&amp;G31&amp;H31</f>
        <v>#SQL("SH_PM_ALL_ByMonth","VALUE",":where{NAME=延安石油化工厂_生产_联合三车间_240万吨/年柴油精制装置_出_加工损失}")</v>
      </c>
    </row>
  </sheetData>
  <pageMargins left="0.70" right="0.70" top="0.75" bottom="0.75" header="0.30" footer="0.3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A8AB0E38-D688-E818-7D91-1F6FF3257E68}" mc:Ignorable="x14ac xr xr2 xr3">
  <dimension ref="A1:M45"/>
  <sheetViews>
    <sheetView defaultGridColor="0" colorId="31" topLeftCell="A7" workbookViewId="0">
      <selection activeCell="C45" sqref="C45"/>
    </sheetView>
  </sheetViews>
  <sheetFormatPr customHeight="1" defaultRowHeight="14.100000000000001"/>
  <sheetData>
    <row customHeight="1" ht="14.100000000000001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</row>
    <row customHeight="1" ht="14.100000000000001">
      <c r="A2" s="77"/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</row>
    <row customHeight="1" ht="14.100000000000001">
      <c r="A3" s="77"/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</row>
    <row customHeight="1" ht="14.100000000000001">
      <c r="A4" s="77"/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</row>
    <row customHeight="1" ht="14.100000000000001">
      <c r="A5" s="77"/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</row>
    <row customHeight="1" ht="14.100000000000001">
      <c r="A6" s="77"/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</row>
    <row customHeight="1" ht="14.25">
      <c r="A7" s="77" t="s">
        <v>99</v>
      </c>
      <c r="B7" s="77" t="s">
        <v>100</v>
      </c>
      <c r="C7" s="77" t="s">
        <v>101</v>
      </c>
      <c r="D7" s="77"/>
      <c r="E7" s="109">
        <v>53893</v>
      </c>
      <c r="F7" s="77">
        <v>621089</v>
      </c>
      <c r="G7" s="77"/>
      <c r="H7" s="77"/>
      <c r="I7" s="77">
        <v>626994</v>
      </c>
      <c r="J7" s="77"/>
      <c r="K7" s="77"/>
      <c r="L7" s="77"/>
      <c r="M7" s="110">
        <v>57035</v>
      </c>
    </row>
    <row customHeight="1" ht="14.25">
      <c r="A8" s="77"/>
      <c r="B8" s="77"/>
      <c r="C8" s="77"/>
      <c r="D8" s="77"/>
      <c r="E8" s="77">
        <v>3457</v>
      </c>
      <c r="F8" s="77">
        <v>36001</v>
      </c>
      <c r="G8" s="77"/>
      <c r="H8" s="77"/>
      <c r="I8" s="77">
        <v>30026</v>
      </c>
      <c r="J8" s="77"/>
      <c r="K8" s="77"/>
      <c r="L8" s="77"/>
      <c r="M8" s="111">
        <v>54016</v>
      </c>
    </row>
    <row customHeight="1" ht="14.25">
      <c r="A9" s="77"/>
      <c r="B9" s="77"/>
      <c r="C9" s="77"/>
      <c r="D9" s="77"/>
      <c r="E9" s="77">
        <v>57335</v>
      </c>
      <c r="F9" s="77">
        <v>656868</v>
      </c>
      <c r="G9" s="77"/>
      <c r="H9" s="77"/>
      <c r="I9" s="77">
        <v>656805</v>
      </c>
      <c r="J9" s="77"/>
      <c r="K9" s="77"/>
      <c r="L9" s="77"/>
      <c r="M9" s="111">
        <v>3019</v>
      </c>
    </row>
    <row customHeight="1" ht="14.25">
      <c r="A10" s="77"/>
      <c r="B10" s="77"/>
      <c r="C10" s="77"/>
      <c r="D10" s="77"/>
      <c r="E10" s="77">
        <v>0</v>
      </c>
      <c r="F10" s="77">
        <v>0</v>
      </c>
      <c r="G10" s="77"/>
      <c r="H10" s="77"/>
      <c r="I10" s="77">
        <v>0</v>
      </c>
      <c r="J10" s="77"/>
      <c r="K10" s="77"/>
      <c r="L10" s="77"/>
      <c r="M10" s="111">
        <v>57018</v>
      </c>
    </row>
    <row customHeight="1" ht="14.25">
      <c r="A11" s="77"/>
      <c r="B11" s="77"/>
      <c r="C11" s="77"/>
      <c r="D11" s="77"/>
      <c r="E11" s="77">
        <v>0</v>
      </c>
      <c r="F11" s="77">
        <v>0</v>
      </c>
      <c r="G11" s="77"/>
      <c r="H11" s="77"/>
      <c r="I11" s="77">
        <v>0</v>
      </c>
      <c r="J11" s="77"/>
      <c r="K11" s="77"/>
      <c r="L11" s="77"/>
      <c r="M11" s="111">
        <v>0</v>
      </c>
    </row>
    <row customHeight="1" ht="14.25">
      <c r="A12" s="77"/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111">
        <v>0</v>
      </c>
    </row>
    <row customHeight="1" ht="14.25">
      <c r="A13" s="77"/>
      <c r="B13" s="77"/>
      <c r="C13" s="77"/>
      <c r="D13" s="77"/>
      <c r="E13" s="77">
        <v>1652</v>
      </c>
      <c r="F13" s="77">
        <v>13576</v>
      </c>
      <c r="G13" s="77"/>
      <c r="H13" s="77"/>
      <c r="I13" s="77">
        <v>11020</v>
      </c>
      <c r="J13" s="77"/>
      <c r="K13" s="77"/>
      <c r="L13" s="77"/>
      <c r="M13" s="111"/>
    </row>
    <row customHeight="1" ht="14.25">
      <c r="A14" s="77"/>
      <c r="B14" s="77"/>
      <c r="C14" s="77"/>
      <c r="D14" s="77"/>
      <c r="E14" s="77">
        <v>412</v>
      </c>
      <c r="F14" s="77">
        <v>3393</v>
      </c>
      <c r="G14" s="77"/>
      <c r="H14" s="77"/>
      <c r="I14" s="77">
        <v>2755</v>
      </c>
      <c r="J14" s="77"/>
      <c r="K14" s="77"/>
      <c r="L14" s="77"/>
      <c r="M14" s="111">
        <v>876</v>
      </c>
    </row>
    <row customHeight="1" ht="14.25">
      <c r="A15" s="77"/>
      <c r="B15" s="77"/>
      <c r="C15" s="77"/>
      <c r="D15" s="77"/>
      <c r="E15" s="77"/>
      <c r="F15" s="77"/>
      <c r="G15" s="77"/>
      <c r="H15" s="77"/>
      <c r="I15" s="77"/>
      <c r="J15" s="77"/>
      <c r="K15" s="77"/>
      <c r="L15" s="77"/>
      <c r="M15" s="111">
        <v>219</v>
      </c>
    </row>
    <row customHeight="1" ht="14.25">
      <c r="A16" s="77"/>
      <c r="B16" s="77"/>
      <c r="C16" s="77"/>
      <c r="D16" s="77"/>
      <c r="E16" s="77">
        <v>342</v>
      </c>
      <c r="F16" s="77">
        <v>3194</v>
      </c>
      <c r="G16" s="77"/>
      <c r="H16" s="77"/>
      <c r="I16" s="77"/>
      <c r="J16" s="77"/>
      <c r="K16" s="77"/>
      <c r="L16" s="77"/>
      <c r="M16" s="111">
        <v>657</v>
      </c>
    </row>
    <row customHeight="1" ht="14.25">
      <c r="A17" s="77"/>
      <c r="B17" s="77"/>
      <c r="C17" s="77"/>
      <c r="D17" s="77"/>
      <c r="E17" s="77">
        <v>292</v>
      </c>
      <c r="F17" s="77">
        <v>2231</v>
      </c>
      <c r="G17" s="77"/>
      <c r="H17" s="77"/>
      <c r="I17" s="77"/>
      <c r="J17" s="77"/>
      <c r="K17" s="77"/>
      <c r="L17" s="77"/>
      <c r="M17" s="111">
        <v>219</v>
      </c>
    </row>
    <row customHeight="1" ht="14.25">
      <c r="A18" s="77"/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111">
        <v>115</v>
      </c>
    </row>
    <row customHeight="1" ht="14.25">
      <c r="A19" s="77"/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111">
        <v>104</v>
      </c>
    </row>
    <row customHeight="1" ht="14.25">
      <c r="A20" s="77"/>
      <c r="B20" s="77"/>
      <c r="C20" s="77"/>
      <c r="D20" s="77"/>
      <c r="E20" s="77">
        <v>129316</v>
      </c>
      <c r="F20" s="77">
        <v>1533158</v>
      </c>
      <c r="G20" s="77"/>
      <c r="H20" s="77"/>
      <c r="I20" s="77">
        <v>1501498</v>
      </c>
      <c r="J20" s="77"/>
      <c r="K20" s="77"/>
      <c r="L20" s="77"/>
      <c r="M20" s="111">
        <v>117174</v>
      </c>
    </row>
    <row customHeight="1" ht="14.25">
      <c r="A21" s="77"/>
      <c r="B21" s="77"/>
      <c r="C21" s="77"/>
      <c r="D21" s="77"/>
      <c r="E21" s="77">
        <v>393</v>
      </c>
      <c r="F21" s="77">
        <v>5937</v>
      </c>
      <c r="G21" s="77"/>
      <c r="H21" s="77"/>
      <c r="I21" s="77">
        <v>4293</v>
      </c>
      <c r="J21" s="77"/>
      <c r="K21" s="77"/>
      <c r="L21" s="77"/>
      <c r="M21" s="111">
        <v>116898</v>
      </c>
    </row>
    <row customHeight="1" ht="14.25">
      <c r="A22" s="77"/>
      <c r="B22" s="77"/>
      <c r="C22" s="77"/>
      <c r="D22" s="77"/>
      <c r="E22" s="77">
        <v>13</v>
      </c>
      <c r="F22" s="77">
        <v>1777</v>
      </c>
      <c r="G22" s="77"/>
      <c r="H22" s="77"/>
      <c r="I22" s="77">
        <v>652</v>
      </c>
      <c r="J22" s="77"/>
      <c r="K22" s="77"/>
      <c r="L22" s="77"/>
      <c r="M22" s="111">
        <v>276</v>
      </c>
    </row>
    <row customHeight="1" ht="14.25">
      <c r="A23" s="77"/>
      <c r="B23" s="77"/>
      <c r="C23" s="77"/>
      <c r="D23" s="77"/>
      <c r="E23" s="77">
        <v>128090</v>
      </c>
      <c r="F23" s="77">
        <v>1517866</v>
      </c>
      <c r="G23" s="77"/>
      <c r="H23" s="77"/>
      <c r="I23" s="77">
        <v>1485118</v>
      </c>
      <c r="J23" s="77"/>
      <c r="K23" s="77"/>
      <c r="L23" s="77"/>
      <c r="M23" s="111">
        <v>0</v>
      </c>
    </row>
    <row customHeight="1" ht="14.25">
      <c r="A24" s="77"/>
      <c r="B24" s="77"/>
      <c r="C24" s="77"/>
      <c r="D24" s="77"/>
      <c r="E24" s="77">
        <v>1494</v>
      </c>
      <c r="F24" s="77">
        <v>20599</v>
      </c>
      <c r="G24" s="77"/>
      <c r="H24" s="77"/>
      <c r="I24" s="77">
        <v>15974</v>
      </c>
      <c r="J24" s="77"/>
      <c r="K24" s="77"/>
      <c r="L24" s="77"/>
      <c r="M24" s="111">
        <v>114910</v>
      </c>
    </row>
    <row customHeight="1" ht="14.25">
      <c r="A25" s="77"/>
      <c r="B25" s="77"/>
      <c r="C25" s="77"/>
      <c r="D25" s="77"/>
      <c r="E25" s="77">
        <v>0</v>
      </c>
      <c r="F25" s="77">
        <v>0</v>
      </c>
      <c r="G25" s="77"/>
      <c r="H25" s="77"/>
      <c r="I25" s="77">
        <v>0</v>
      </c>
      <c r="J25" s="77"/>
      <c r="K25" s="77"/>
      <c r="L25" s="77"/>
      <c r="M25" s="111">
        <v>1885</v>
      </c>
    </row>
    <row customHeight="1" ht="14.25">
      <c r="A26" s="77"/>
      <c r="B26" s="77"/>
      <c r="C26" s="77"/>
      <c r="D26" s="77"/>
      <c r="E26" s="77">
        <v>86</v>
      </c>
      <c r="F26" s="77">
        <v>167</v>
      </c>
      <c r="G26" s="77"/>
      <c r="H26" s="77"/>
      <c r="I26" s="77">
        <v>934</v>
      </c>
      <c r="J26" s="77"/>
      <c r="K26" s="77"/>
      <c r="L26" s="77"/>
      <c r="M26" s="111">
        <v>0</v>
      </c>
    </row>
    <row customHeight="1" ht="14.25">
      <c r="A27" s="77"/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111">
        <v>11</v>
      </c>
    </row>
    <row customHeight="1" ht="14.25">
      <c r="A28" s="77"/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111"/>
    </row>
    <row customHeight="1" ht="14.25">
      <c r="A29" s="77"/>
      <c r="B29" s="77"/>
      <c r="C29" s="77"/>
      <c r="D29" s="77"/>
      <c r="E29" s="77">
        <v>143241</v>
      </c>
      <c r="F29" s="77">
        <v>1864458</v>
      </c>
      <c r="G29" s="77"/>
      <c r="H29" s="77"/>
      <c r="I29" s="77">
        <v>1828344</v>
      </c>
      <c r="J29" s="77"/>
      <c r="K29" s="77"/>
      <c r="L29" s="77"/>
      <c r="M29" s="111">
        <v>156453</v>
      </c>
    </row>
    <row customHeight="1" ht="14.25">
      <c r="A30" s="77"/>
      <c r="B30" s="77"/>
      <c r="C30" s="77"/>
      <c r="D30" s="77"/>
      <c r="E30" s="77">
        <v>290</v>
      </c>
      <c r="F30" s="77">
        <v>3786</v>
      </c>
      <c r="G30" s="77"/>
      <c r="H30" s="77"/>
      <c r="I30" s="77">
        <v>5480</v>
      </c>
      <c r="J30" s="77"/>
      <c r="K30" s="77"/>
      <c r="L30" s="77"/>
      <c r="M30" s="111">
        <v>156187</v>
      </c>
    </row>
    <row customHeight="1" ht="14.25">
      <c r="A31" s="77"/>
      <c r="B31" s="77"/>
      <c r="C31" s="77"/>
      <c r="D31" s="77"/>
      <c r="E31" s="77">
        <v>133093</v>
      </c>
      <c r="F31" s="77">
        <v>1743551</v>
      </c>
      <c r="G31" s="77"/>
      <c r="H31" s="77"/>
      <c r="I31" s="77">
        <v>1728578</v>
      </c>
      <c r="J31" s="77"/>
      <c r="K31" s="77"/>
      <c r="L31" s="77"/>
      <c r="M31" s="111">
        <v>266</v>
      </c>
    </row>
    <row customHeight="1" ht="14.25">
      <c r="A32" s="77"/>
      <c r="B32" s="77"/>
      <c r="C32" s="77"/>
      <c r="D32" s="77"/>
      <c r="E32" s="77">
        <v>5301</v>
      </c>
      <c r="F32" s="77">
        <v>74643</v>
      </c>
      <c r="G32" s="77"/>
      <c r="H32" s="77"/>
      <c r="I32" s="77">
        <v>62166</v>
      </c>
      <c r="J32" s="77"/>
      <c r="K32" s="77"/>
      <c r="L32" s="77"/>
      <c r="M32" s="111">
        <v>145602</v>
      </c>
    </row>
    <row customHeight="1" ht="14.25">
      <c r="A33" s="77"/>
      <c r="B33" s="77"/>
      <c r="C33" s="77"/>
      <c r="D33" s="77"/>
      <c r="E33" s="77">
        <v>2770</v>
      </c>
      <c r="F33" s="77">
        <v>21141</v>
      </c>
      <c r="G33" s="77"/>
      <c r="H33" s="77"/>
      <c r="I33" s="77">
        <v>16176</v>
      </c>
      <c r="J33" s="77"/>
      <c r="K33" s="77"/>
      <c r="L33" s="77"/>
      <c r="M33" s="111">
        <v>7473</v>
      </c>
    </row>
    <row customHeight="1" ht="14.25">
      <c r="A34" s="77"/>
      <c r="B34" s="77"/>
      <c r="C34" s="77"/>
      <c r="D34" s="77"/>
      <c r="E34" s="77">
        <v>885</v>
      </c>
      <c r="F34" s="77">
        <v>11768</v>
      </c>
      <c r="G34" s="77"/>
      <c r="H34" s="77"/>
      <c r="I34" s="77">
        <v>12230</v>
      </c>
      <c r="J34" s="77"/>
      <c r="K34" s="77"/>
      <c r="L34" s="77"/>
      <c r="M34" s="111">
        <v>1593</v>
      </c>
    </row>
    <row customHeight="1" ht="14.25">
      <c r="A35" s="77"/>
      <c r="B35" s="77"/>
      <c r="C35" s="77"/>
      <c r="D35" s="77"/>
      <c r="E35" s="77">
        <v>361</v>
      </c>
      <c r="F35" s="77">
        <v>3978</v>
      </c>
      <c r="G35" s="77"/>
      <c r="H35" s="77"/>
      <c r="I35" s="77">
        <v>4172</v>
      </c>
      <c r="J35" s="77"/>
      <c r="K35" s="77"/>
      <c r="L35" s="77"/>
      <c r="M35" s="111">
        <v>988</v>
      </c>
    </row>
    <row customHeight="1" ht="14.25">
      <c r="A36" s="77"/>
      <c r="B36" s="77"/>
      <c r="C36" s="77"/>
      <c r="D36" s="77"/>
      <c r="E36" s="77">
        <v>0</v>
      </c>
      <c r="F36" s="77">
        <v>0</v>
      </c>
      <c r="G36" s="77"/>
      <c r="H36" s="77"/>
      <c r="I36" s="77">
        <v>0</v>
      </c>
      <c r="J36" s="77"/>
      <c r="K36" s="77"/>
      <c r="L36" s="77"/>
      <c r="M36" s="111">
        <v>337</v>
      </c>
    </row>
    <row customHeight="1" ht="14.25">
      <c r="A37" s="77"/>
      <c r="B37" s="77"/>
      <c r="C37" s="77"/>
      <c r="D37" s="77"/>
      <c r="E37" s="77">
        <v>1088</v>
      </c>
      <c r="F37" s="77">
        <v>12277</v>
      </c>
      <c r="G37" s="77"/>
      <c r="H37" s="77"/>
      <c r="I37" s="77">
        <v>9126</v>
      </c>
      <c r="J37" s="77"/>
      <c r="K37" s="77"/>
      <c r="L37" s="77"/>
      <c r="M37" s="111">
        <v>0</v>
      </c>
    </row>
    <row customHeight="1" ht="14.25">
      <c r="A38" s="77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111">
        <v>394</v>
      </c>
    </row>
    <row customHeight="1" ht="14.25">
      <c r="A39" s="77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111"/>
    </row>
    <row customHeight="1" ht="14.100000000000001">
      <c r="A40" s="77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</row>
    <row customHeight="1" ht="14.25">
      <c r="A41" s="112" t="s">
        <v>52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</row>
    <row customHeight="1" ht="14.25">
      <c r="A42" s="112" t="s">
        <v>54</v>
      </c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</row>
    <row customHeight="1" ht="14.25">
      <c r="A43" s="112" t="s">
        <v>56</v>
      </c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</row>
    <row customHeight="1" ht="14.100000000000001">
      <c r="A44" s="77"/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</row>
    <row customHeight="1" ht="14.100000000000001">
      <c r="A45" s="77"/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</row>
  </sheetData>
  <pageMargins left="0.70" right="0.70" top="0.75" bottom="0.75" header="0.30" footer="0.3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延安石化厂装置生产完成情况（3-3）</vt:lpstr>
      <vt:lpstr>公式</vt:lpstr>
      <vt:lpstr>取值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dhc</cp:lastModifiedBy>
  <dcterms:created xsi:type="dcterms:W3CDTF">2015-06-05T18:19:34Z</dcterms:created>
  <dcterms:modified xsi:type="dcterms:W3CDTF">2024-01-07T08:33:25Z</dcterms:modified>
</cp:coreProperties>
</file>