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计划指标完成情况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#Input("油田气科技公司_生产计划部_生产计划完成情况月报表_月度计划_BDO",":key{{dw}}")
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#Input("油田气科技公司_生产计划部_生产计划完成情况月报表_BDO实际完成_本月",":key{{dw}}",":read")</t>
        </r>
      </text>
    </comment>
    <comment ref="G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#Input("油田气科技公司_生产计划部_生产计划完成情况月报表_年度计划_BDO",":key{{dw}}")</t>
        </r>
      </text>
    </comment>
    <comment ref="H6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#Input("油田气科技公司_生产计划部_生产计划完成情况月报表_BDO实际完成_本年",":key{{dw}}",":read")
</t>
        </r>
      </text>
    </comment>
    <comment ref="J6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#Input("油田气科技公司_生产计划部_生产计划完成情况月报表_上月完成_BDO",":key{{dw}}")
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#Input("油田气科技公司_生产计划部_生产计划完成情况月报表_去年同期_BDO",":key{{dw}}")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#Input("油田气科技公司_生产计划部_生产计划完成情况月报表_月度计划_PTMEG1800",":key{{dw}}")</t>
        </r>
      </text>
    </comment>
    <comment ref="E7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#Input("油田气科技公司_生产计划部_生产计划完成情况月报表_PTMEG1800实际完成_本月",":key{{dw}}",":read")
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#Input("油田气科技公司_生产计划部_生产计划完成情况月报表_年度计划_PTMEG1800",":key{{dw}}")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#Input("油田气科技公司_生产计划部_生产计划完成情况月报表_PTMEG1800实际完成_本年",":key{{dw}}",":read")
</t>
        </r>
      </text>
    </comment>
    <comment ref="J7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#Input("油田气科技公司_生产计划部_生产计划完成情况月报表_PTMEG1800实际完成_上月",":key{{dw}}",":read")
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#Input("油田气科技公司_生产计划部_生产计划完成情况月报表_去年同期_PTMEG1800",":key{{dw}}")</t>
        </r>
      </text>
    </comment>
    <comment ref="E8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#Input("油田气科技公司_生产计划部_生产计划完成情况月报表_PTMEG1800客标实际完成_本月",":key{{dw}}",":read")</t>
        </r>
      </text>
    </comment>
    <comment ref="H8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#Input("油田气科技公司_生产计划部_生产计划完成情况月报表_PTMEG1800客标实际完成_本年",":key{{dw}}",":read")</t>
        </r>
      </text>
    </comment>
    <comment ref="J8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#Input("油田气科技公司_生产计划部_生产计划完成情况月报表_PTMEG1800客标实际完成_上月",":key{{dw}}",":read")</t>
        </r>
      </text>
    </comment>
    <comment ref="L8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#Input("油田气科技公司_生产计划部_生产计划完成情况月报表_去年同期_PTMEG1800客标",":key{{dw}}")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#Input("油田气科技公司_生产计划部_生产计划完成情况月报表_PTMEG2000实际完成_本月",":key{{dw}}",":read")</t>
        </r>
      </text>
    </comment>
    <comment ref="H9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#Input("油田气科技公司_生产计划部_生产计划完成情况月报表_PTMEG2000实际完成_本年",":key{{dw}}",":read")
</t>
        </r>
      </text>
    </comment>
    <comment ref="J9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#Input("油田气科技公司_生产计划部_生产计划完成情况月报表_PTMEG2000实际完成_上月",":key{{dw}}",":read")
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#Input("油田气科技公司_生产计划部_生产计划完成情况月报表_去年同期_PTMEG2000",":key{{dw}}")</t>
        </r>
      </text>
    </comment>
    <comment ref="E10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#Input("油田气科技公司_生产计划部_生产计划完成情况月报表_PTMEG2000客标实际完成_本月",":key{{dw}}",":read")</t>
        </r>
      </text>
    </comment>
    <comment ref="H10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#Input("油田气科技公司_生产计划部_生产计划完成情况月报表_PTMEG2000客标实际完成_本年",":key{{dw}}",":read")</t>
        </r>
      </text>
    </comment>
    <comment ref="J10" authorId="0">
      <text>
        <r>
          <rPr>
            <sz val="9"/>
            <color indexed="81"/>
            <rFont val="宋体"/>
            <family val="2"/>
          </rPr>
          <t>#Input("油田气科技公司_生产计划部_生产计划完成情况月报表_PTMEG2000客标实际完成_上月",":key{{dw}}",":read")</t>
        </r>
      </text>
    </comment>
    <comment ref="L10" authorId="0">
      <text>
        <r>
          <rPr>
            <sz val="9"/>
            <color indexed="81"/>
            <rFont val="宋体"/>
            <family val="2"/>
          </rPr>
          <t xml:space="preserve">#Input("油田气科技公司_生产计划部_生产计划完成情况月报表_去年同期_PTMEG2000客标",":key{{dw}}")
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#Input("油田气科技公司_生产计划部_生产计划完成情况月报表_月度计划_聚酯级乙二醇",":key{{dw}}")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#Input("油田气科技公司_生产计划部_生产计划完成情况月报表_聚酯级乙二醇实际完成_本月",":key{{dw}}",":read")</t>
        </r>
      </text>
    </comment>
    <comment ref="G1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#Input("油田气科技公司_生产计划部_生产计划完成情况月报表_年度计划_聚酯级乙二醇",":key{{dw}}")</t>
        </r>
      </text>
    </comment>
    <comment ref="H1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#Input("油田气科技公司_生产计划部_生产计划完成情况月报表_聚酯级乙二醇实际完成_本年",":key{{dw}}",":read")</t>
        </r>
      </text>
    </comment>
    <comment ref="J11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#Input("油田气科技公司_生产计划部_生产计划完成情况月报表_聚酯级乙二醇实际完成_上月",":key{{dw}}",":read")
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#Input("油田气科技公司_生产计划部_生产计划完成情况月报表_去年同期_聚酯级乙二醇",":key{{dw}}")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#Input("油田气科技公司_生产计划部_生产计划完成情况月报表_工业级乙二醇实际完成_本月",":key{{dw}}",":read")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#Input("油田气科技公司_生产计划部_生产计划完成情况月报表_工业级乙二醇实际完成_本年",":key{{dw}}",":read")</t>
        </r>
      </text>
    </comment>
    <comment ref="J12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#Input("油田气科技公司_生产计划部_生产计划完成情况月报表_工业级乙二醇实际完成_上月",":key{{dw}}",":read")
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#Input("油田气科技公司_生产计划部_生产计划完成情况月报表_去年同期_工业级乙二醇",":key{{dw}}")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#Input("油田气科技公司_生产计划部_生产计划完成情况月报表_轻质多元醇实际完成_本月",":key{{dw}}",":read")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#Input("油田气科技公司_生产计划部_生产计划完成情况月报表_轻质多元醇实际完成_本年",":key{{dw}}",":read")</t>
        </r>
      </text>
    </comment>
    <comment ref="J13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#Input("油田气科技公司_生产计划部_生产计划完成情况月报表_轻质多元醇实际完成_上月",":key{{dw}}",":read")
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#Input("油田气科技公司_生产计划部_生产计划完成情况月报表_去年同期_轻质多元醇",":key{{dw}}")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#Input("油田气科技公司_生产计划部_生产计划完成情况月报表_重质多元醇实际完成_本月",":key{{dw}}",":read")</t>
        </r>
      </text>
    </comment>
    <comment ref="H14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#Input("油田气科技公司_生产计划部_生产计划完成情况月报表_重质多元醇实际完成_本年",":key{{dw}}",":read")</t>
        </r>
      </text>
    </comment>
    <comment ref="J14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#Input("油田气科技公司_生产计划部_生产计划完成情况月报表_重质多元醇实际完成_上月",":key{{dw}}",":read")
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#Input("油田气科技公司_生产计划部_生产计划完成情况月报表_去年同期_重质多元醇",":key{{dw}}")</t>
        </r>
      </text>
    </comment>
    <comment ref="D1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#Input("油田气科技公司_生产计划部_生产计划完成情况月报表_月度计划_耗原料天然气",":key{{dw}}")</t>
        </r>
      </text>
    </comment>
    <comment ref="E16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#Input("油田气科技公司_生产计划部_生产计划完成情况月报表_生产乙炔耗原料天然气实际完成_本月",":key{{dw}}")
</t>
        </r>
      </text>
    </comment>
    <comment ref="G1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#Input("油田气科技公司_生产计划部_生产计划完成情况月报表_年度计划_耗原料天然气",":key{{dw}}")</t>
        </r>
      </text>
    </comment>
    <comment ref="H1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#Input("油田气科技公司_生产计划部_生产计划完成情况月报表_生产乙炔耗原料天然气实际完成_本年",":key{{dw}}")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#Input("油田气科技公司_生产计划部_生产计划完成情况月报表_生产乙炔耗原料天然气实际完成_上月",":key{{dw}}",":read")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#Input("油田气科技公司_生产计划部_生产计划完成情况月报表_去年同期_耗原料天然气",":key{{dw}}")</t>
        </r>
      </text>
    </comment>
    <comment ref="D17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#Input("油田气科技公司_生产计划部_生产计划完成情况月报表_月度计划_耗原料甲醇",":key{{dw}}")
</t>
        </r>
      </text>
    </comment>
    <comment ref="E17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#Input("油田气科技公司_生产计划部_生产计划完成情况月报表_生产甲醛耗原料甲醇实际完成_本月",":key{{dw}}",":read")
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#Input("油田气科技公司_生产计划部_生产计划完成情况月报表_年度计划_耗原料甲醇",":key{{dw}}")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#Input("油田气科技公司_生产计划部_生产计划完成情况月报表_生产甲醛耗原料甲醇实际完成_本年",":key{{dw}}",":read")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#Input("油田气科技公司_生产计划部_生产计划完成情况月报表_生产甲醛耗原料甲醇实际完成_上月",":key{{dw}}",":read")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#Input("油田气科技公司_生产计划部_生产计划完成情况月报表_去年同期_耗原料甲醇",":key{{dw}}")</t>
        </r>
      </text>
    </comment>
    <comment ref="D18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#Input("油田气科技公司_生产计划部_生产计划完成情况月报表_月度计划_耗原料乙炔",":key{{dw}}")
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#Input("油田气科技公司_生产计划部_生产计划完成情况月报表_生产BDO耗原料乙炔实际完成_本月",":key{{dw}}",":read")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#Input("油田气科技公司_生产计划部_生产计划完成情况月报表_年度计划_耗原料乙炔",":key{{dw}}")</t>
        </r>
      </text>
    </comment>
    <comment ref="H18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#Input("油田气科技公司_生产计划部_生产计划完成情况月报表_生产BDO耗原料乙炔实际完成_本年",":key{{dw}}",":read")
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#Input("油田气科技公司_生产计划部_生产计划完成情况月报表_生产BDO耗原料乙炔实际完成_上月",":key{{dw}}",":read")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#Input("油田气科技公司_生产计划部_生产计划完成情况月报表_去年同期_耗原料乙炔",":key{{dw}}")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#Input("油田气科技公司_生产计划部_生产计划完成情况月报表_月度计划_耗BDO",":key{{dw}}")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#Input("油田气科技公司_生产计划部_生产计划完成情况月报表_生产PTMEG耗原料BDO实际完成_本月",":key{{dw}}",":read")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#Input("油田气科技公司_生产计划部_生产计划完成情况月报表_年度计划_耗BDO",":key{{dw}}")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#Input("油田气科技公司_生产计划部_生产计划完成情况月报表_生产PTMEG耗原料BDO实际完成_本年",":key{{dw}}")</t>
        </r>
      </text>
    </comment>
    <comment ref="J19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#Input("油田气科技公司_生产计划部_生产计划完成情况月报表_生产PTMEG耗原料BDO实际完成_上月",":key{{dw}}",":read")
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#Input("油田气科技公司_生产计划部_生产计划完成情况月报表_去年同期_耗BDO",":key{{dw}}")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#Input("油田气科技公司_生产计划部_生产计划完成情况月报表_月度计划_耗CO",":key{{dw}}")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#Input("油田气科技公司_生产计划部_生产计划完成情况月报表_生产乙二醇耗CO实际完成_本月",":key{{dw}})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#Input("油田气科技公司_生产计划部_生产计划完成情况月报表_年度计划_耗CO",":key{{dw}}")</t>
        </r>
      </text>
    </comment>
    <comment ref="H20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#Input("油田气科技公司_生产计划部_生产计划完成情况月报表_生产乙二醇耗CO实际完成_本年",":key{{dw}}")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#Input("油田气科技公司_生产计划部_生产计划完成情况月报表_生产乙二醇耗CO实际完成_上月",":key{{dw}}",":read")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#Input("油田气科技公司_生产计划部_生产计划完成情况月报表_去年同期_耗CO",":key{{dw}}")</t>
        </r>
      </text>
    </comment>
    <comment ref="D21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#Input("油田气科技公司_生产计划部_生产计划完成情况月报表_月度计划_全厂综合能耗",":key{{dw}}")
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#Input("油田气科技公司_生产计划部_生产计划完成情况月报表_全厂综合能耗_本月",":key{{dw}}",":read")</t>
        </r>
      </text>
    </comment>
    <comment ref="G21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#Input("油田气科技公司_生产计划部_生产计划完成情况月报表_年度计划_全厂综合能耗",":key{{dw}}")
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#Input("油田气科技公司_生产计划部_生产计划完成情况月报表_全厂综合能耗_本年",":key{{dw}}",":read")</t>
        </r>
      </text>
    </comment>
    <comment ref="J21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#Input("油田气科技公司_生产计划部_生产计划完成情况月报表_全厂综合能耗_上月",":key{{dw}}",":read")
</t>
        </r>
      </text>
    </comment>
    <comment ref="L21" authorId="0">
      <text>
        <r>
          <rPr>
            <sz val="9"/>
            <color indexed="81"/>
            <rFont val="Arial"/>
            <family val="2"/>
          </rPr>
          <t>#Input("油田气科技公司_生产计划部_生产计划完成情况月报表_去年同期_全厂综合能耗",":key{{dw}}")</t>
        </r>
      </text>
    </comment>
    <comment ref="C22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#Input("油田气科技公司_生产计划部_生产计划完成情况月报表_备注_单位负责人",":key{{dw}}")</t>
        </r>
      </text>
    </comment>
    <comment ref="L22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#Input("油田气科技公司_生产计划部_生产计划完成情况月报表_备注_填报人",":key{{dw}}")</t>
        </r>
      </text>
    </comment>
  </commentList>
</comments>
</file>

<file path=xl/sharedStrings.xml><?xml version="1.0" encoding="utf-8"?>
<sst xmlns="http://schemas.openxmlformats.org/spreadsheetml/2006/main" count="125" uniqueCount="51">
  <si>
    <t>油田气生产计划指标完成情况表</t>
  </si>
  <si>
    <t>编制单位：油田气科技公司</t>
  </si>
  <si>
    <t/>
  </si>
  <si>
    <t>日期：</t>
  </si>
  <si>
    <t>2025-12</t>
  </si>
  <si>
    <t>指标名称</t>
  </si>
  <si>
    <t>计量</t>
  </si>
  <si>
    <t>本月</t>
  </si>
  <si>
    <t>年累计</t>
  </si>
  <si>
    <t>历史数据</t>
  </si>
  <si>
    <t>单位</t>
  </si>
  <si>
    <t>月度计划</t>
  </si>
  <si>
    <t>实际完成</t>
  </si>
  <si>
    <t>完成情况（%）</t>
  </si>
  <si>
    <t>年度计划</t>
  </si>
  <si>
    <t>上月完成</t>
  </si>
  <si>
    <t>环比增长（%）</t>
  </si>
  <si>
    <t>去年同期</t>
  </si>
  <si>
    <t>同比增长（%）</t>
  </si>
  <si>
    <t>一、加工量及主要产品产量</t>
  </si>
  <si>
    <t>BDO</t>
  </si>
  <si>
    <t>t</t>
  </si>
  <si>
    <t>PTMEG1800</t>
  </si>
  <si>
    <t>国标</t>
  </si>
  <si>
    <t>行标</t>
  </si>
  <si>
    <t>PTMEG2000</t>
  </si>
  <si>
    <t>聚酯级乙二醇</t>
  </si>
  <si>
    <t>工业级乙二醇</t>
  </si>
  <si>
    <t>轻质多元醇</t>
  </si>
  <si>
    <t>重质多元醇</t>
  </si>
  <si>
    <t>二、技术经济指标</t>
  </si>
  <si>
    <t>1、生产吨乙炔耗原料天然气</t>
  </si>
  <si>
    <t>Nm3/t</t>
  </si>
  <si>
    <t>2、生产吨甲醛耗原料甲醇</t>
  </si>
  <si>
    <t>t/t</t>
  </si>
  <si>
    <t>3、生产吨BDO耗原料乙炔</t>
  </si>
  <si>
    <t>4、生产吨PTMEG耗BDO</t>
  </si>
  <si>
    <t>5、生产吨乙二醇耗CO</t>
  </si>
  <si>
    <t>6、全厂综合能耗</t>
  </si>
  <si>
    <r>
      <rPr>
        <charset val="134"/>
        <color rgb="FF000000"/>
        <family val="3"/>
        <rFont val="等线"/>
        <sz val="10"/>
      </rPr>
      <t>kgce</t>
    </r>
    <r>
      <rPr>
        <charset val="134"/>
        <color rgb="FF000000"/>
        <family val="3"/>
        <rFont val="等线"/>
        <sz val="10"/>
      </rPr>
      <t>/t</t>
    </r>
  </si>
  <si>
    <t>单位负责人：</t>
  </si>
  <si>
    <t>李刚</t>
  </si>
  <si>
    <t>填报人：</t>
  </si>
  <si>
    <t>霍宇</t>
  </si>
  <si>
    <t>报表生成时间：</t>
  </si>
  <si>
    <t>2026-01-01</t>
  </si>
  <si>
    <t xml:space="preserve"> 8:00:00</t>
  </si>
  <si>
    <t>完成情况</t>
  </si>
  <si>
    <t>环比%
( + -)</t>
  </si>
  <si>
    <t>·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</si>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</sst>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.00;\-0.00"/>
    <numFmt numFmtId="173" formatCode="0.000;\-0.000"/>
    <numFmt numFmtId="174" formatCode="0.00;[Red]0.00"/>
    <numFmt numFmtId="175" formatCode="yyyy\-mm"/>
    <numFmt numFmtId="176" formatCode="0.00;-0.00"/>
  </numFmts>
  <fonts count="27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2"/>
      <color auto="1"/>
      <name val="宋体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0"/>
      <color rgb="FF000000"/>
      <name val="等线"/>
    </font>
    <font>
      <sz val="10"/>
      <color theme="1"/>
      <name val="等线"/>
    </font>
    <font>
      <sz val="10"/>
      <color auto="1"/>
      <name val="等线"/>
    </font>
    <font>
      <b/>
      <sz val="10"/>
      <color auto="1"/>
      <name val="等线"/>
    </font>
    <font>
      <b/>
      <sz val="20"/>
      <color auto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1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51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  <xf numFmtId="0" fontId="19" fillId="0" borderId="0" applyFont="1" applyFill="0" applyBorder="0"/>
    <xf numFmtId="0" fontId="20" fillId="0" borderId="0" applyFont="1" applyFill="0" applyBorder="0">
      <alignment vertical="top"/>
    </xf>
    <xf numFmtId="0" fontId="21" fillId="0" borderId="0" applyFont="1" applyFill="0" applyBorder="0">
      <alignment vertical="top"/>
    </xf>
  </cellStyleXfs>
  <cellXfs count="22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48" applyFont="1"/>
    <xf numFmtId="0" fontId="20" fillId="0" borderId="0" xfId="49" applyFont="1">
      <alignment vertical="top"/>
    </xf>
    <xf numFmtId="0" fontId="21" fillId="0" borderId="0" xfId="50" applyFont="1">
      <alignment vertical="top"/>
    </xf>
    <xf numFmtId="2" fontId="22" fillId="0" borderId="0" xfId="0" applyFont="1" applyNumberFormat="1">
      <alignment horizontal="center" vertical="center"/>
    </xf>
    <xf numFmtId="0" fontId="23" fillId="0" borderId="0" xfId="0" applyFont="1">
      <alignment horizontal="right" vertical="center"/>
    </xf>
    <xf numFmtId="0" fontId="24" fillId="0" borderId="10" xfId="0" applyFont="1" applyBorder="1">
      <alignment horizontal="center" vertical="center"/>
    </xf>
    <xf numFmtId="0" fontId="25" fillId="0" borderId="10" xfId="0" applyFont="1" applyBorder="1">
      <alignment horizontal="center" vertical="center"/>
    </xf>
    <xf numFmtId="171" fontId="24" fillId="0" borderId="10" xfId="0" applyFont="1" applyBorder="1" applyNumberFormat="1">
      <alignment horizontal="center" vertical="center"/>
    </xf>
    <xf numFmtId="0" fontId="24" fillId="33" borderId="10" xfId="0" applyFont="1" applyFill="1" applyBorder="1">
      <alignment horizontal="center" vertical="center"/>
    </xf>
    <xf numFmtId="2" fontId="24" fillId="33" borderId="10" xfId="0" applyFont="1" applyFill="1" applyBorder="1" applyNumberFormat="1">
      <alignment horizontal="center" vertical="center"/>
    </xf>
    <xf numFmtId="2" fontId="24" fillId="0" borderId="11" xfId="0" applyFont="1" applyBorder="1" applyNumberFormat="1">
      <alignment horizontal="center" vertical="center"/>
    </xf>
    <xf numFmtId="171" fontId="24" fillId="33" borderId="10" xfId="0" applyFont="1" applyFill="1" applyBorder="1" applyNumberFormat="1">
      <alignment horizontal="center" vertical="center"/>
    </xf>
    <xf numFmtId="0" fontId="24" fillId="0" borderId="10" xfId="48" applyFont="1" applyBorder="1">
      <alignment horizontal="center" vertical="center" wrapText="1"/>
    </xf>
    <xf numFmtId="2" fontId="24" fillId="0" borderId="10" xfId="0" applyFont="1" applyBorder="1" applyNumberFormat="1">
      <alignment horizontal="center" vertical="center"/>
    </xf>
    <xf numFmtId="2" fontId="22" fillId="0" borderId="10" xfId="0" applyFont="1" applyBorder="1" applyNumberFormat="1">
      <alignment horizontal="center" vertical="center"/>
    </xf>
    <xf numFmtId="0" fontId="24" fillId="0" borderId="0" xfId="0" applyFont="1">
      <alignment horizontal="right" vertical="center"/>
    </xf>
    <xf numFmtId="0" fontId="24" fillId="0" borderId="0" xfId="0" applyFont="1">
      <alignment horizontal="left" vertical="center"/>
    </xf>
    <xf numFmtId="0" fontId="24" fillId="0" borderId="0" xfId="0" applyFont="1">
      <alignment horizontal="center"/>
    </xf>
    <xf numFmtId="171" fontId="24" fillId="0" borderId="0" xfId="0" applyFont="1" applyNumberFormat="1">
      <alignment horizontal="center"/>
    </xf>
    <xf numFmtId="172" fontId="0" fillId="0" borderId="0" xfId="0" applyFont="1" applyNumberFormat="1"/>
    <xf numFmtId="172" fontId="0" fillId="0" borderId="0" xfId="0" applyFont="1" applyNumberFormat="1">
      <alignment horizontal="center"/>
    </xf>
    <xf numFmtId="0" fontId="24" fillId="33" borderId="10" xfId="0" applyFont="1" applyFill="1" applyBorder="1">
      <alignment horizontal="center" vertical="center" wrapText="1"/>
    </xf>
    <xf numFmtId="0" fontId="24" fillId="33" borderId="0" xfId="0" applyFont="1" applyFill="1">
      <alignment horizontal="center" vertical="center"/>
    </xf>
    <xf numFmtId="0" fontId="24" fillId="33" borderId="12" xfId="0" applyFont="1" applyFill="1" applyBorder="1">
      <alignment horizontal="right" vertical="center"/>
    </xf>
    <xf numFmtId="0" fontId="23" fillId="0" borderId="0" xfId="0" applyFont="1"/>
    <xf numFmtId="173" fontId="24" fillId="33" borderId="10" xfId="0" applyFont="1" applyFill="1" applyBorder="1" applyNumberFormat="1">
      <alignment horizontal="center" vertical="center"/>
    </xf>
    <xf numFmtId="172" fontId="24" fillId="33" borderId="10" xfId="0" applyFont="1" applyFill="1" applyBorder="1" applyNumberFormat="1">
      <alignment horizontal="center" vertical="center"/>
    </xf>
    <xf numFmtId="0" fontId="23" fillId="0" borderId="0" xfId="0" applyFont="1">
      <alignment horizontal="right" vertical="center"/>
    </xf>
    <xf numFmtId="0" fontId="24" fillId="0" borderId="10" xfId="0" applyFont="1" applyBorder="1">
      <alignment horizontal="center" vertical="center"/>
    </xf>
    <xf numFmtId="0" fontId="24" fillId="33" borderId="10" xfId="0" applyFont="1" applyFill="1" applyBorder="1">
      <alignment horizontal="center" vertical="center" wrapText="1"/>
    </xf>
    <xf numFmtId="0" fontId="25" fillId="0" borderId="10" xfId="0" applyFont="1" applyBorder="1">
      <alignment horizontal="center" vertical="center"/>
    </xf>
    <xf numFmtId="171" fontId="24" fillId="0" borderId="10" xfId="0" applyFont="1" applyBorder="1" applyNumberFormat="1">
      <alignment horizontal="center" vertical="center"/>
    </xf>
    <xf numFmtId="171" fontId="24" fillId="33" borderId="10" xfId="0" applyFont="1" applyFill="1" applyBorder="1" applyNumberFormat="1">
      <alignment horizontal="center" vertical="center"/>
    </xf>
    <xf numFmtId="2" fontId="24" fillId="33" borderId="10" xfId="0" applyFont="1" applyFill="1" applyBorder="1" applyNumberFormat="1">
      <alignment horizontal="center" vertical="center"/>
    </xf>
    <xf numFmtId="9" fontId="24" fillId="33" borderId="10" xfId="0" applyFont="1" applyFill="1" applyBorder="1" applyNumberFormat="1">
      <alignment horizontal="center" vertical="center"/>
    </xf>
    <xf numFmtId="2" fontId="24" fillId="0" borderId="10" xfId="0" applyFont="1" applyBorder="1" applyNumberFormat="1">
      <alignment horizontal="center" vertical="center"/>
    </xf>
    <xf numFmtId="172" fontId="24" fillId="33" borderId="10" xfId="0" applyFont="1" applyFill="1" applyBorder="1" applyNumberFormat="1">
      <alignment horizontal="center" vertical="center"/>
    </xf>
    <xf numFmtId="173" fontId="24" fillId="33" borderId="10" xfId="0" applyFont="1" applyFill="1" applyBorder="1" applyNumberFormat="1">
      <alignment horizontal="center" vertical="center"/>
    </xf>
    <xf numFmtId="2" fontId="22" fillId="0" borderId="10" xfId="0" applyFont="1" applyBorder="1" applyNumberFormat="1">
      <alignment horizontal="center" vertical="center"/>
    </xf>
    <xf numFmtId="174" fontId="24" fillId="33" borderId="10" xfId="0" applyFont="1" applyFill="1" applyBorder="1" applyNumberFormat="1">
      <alignment horizontal="center" vertical="center"/>
    </xf>
    <xf numFmtId="0" fontId="24" fillId="0" borderId="0" xfId="0" applyFont="1">
      <alignment horizontal="right" vertical="center"/>
    </xf>
    <xf numFmtId="0" fontId="24" fillId="0" borderId="0" xfId="0" applyFont="1">
      <alignment horizontal="left" vertical="center"/>
    </xf>
    <xf numFmtId="0" fontId="24" fillId="0" borderId="0" xfId="0" applyFont="1">
      <alignment horizontal="center"/>
    </xf>
    <xf numFmtId="171" fontId="24" fillId="0" borderId="0" xfId="0" applyFont="1" applyNumberFormat="1">
      <alignment horizontal="center"/>
    </xf>
    <xf numFmtId="0" fontId="24" fillId="33" borderId="0" xfId="0" applyFont="1" applyFill="1">
      <alignment horizontal="center" vertical="center"/>
    </xf>
    <xf numFmtId="0" fontId="24" fillId="33" borderId="12" xfId="0" applyFont="1" applyFill="1" applyBorder="1">
      <alignment horizontal="right" vertical="center"/>
    </xf>
    <xf numFmtId="172" fontId="0" fillId="0" borderId="0" xfId="0" applyFont="1" applyNumberFormat="1"/>
    <xf numFmtId="0" fontId="26" fillId="0" borderId="0" xfId="0" applyFont="1">
      <alignment horizontal="center" vertical="center"/>
    </xf>
    <xf numFmtId="2" fontId="22" fillId="0" borderId="0" xfId="0" applyFont="1" applyNumberFormat="1">
      <alignment horizontal="left" vertical="center"/>
    </xf>
    <xf numFmtId="2" fontId="22" fillId="0" borderId="0" xfId="0" applyFont="1" applyNumberFormat="1">
      <alignment horizontal="center" vertical="center"/>
    </xf>
    <xf numFmtId="175" fontId="23" fillId="0" borderId="13" xfId="0" applyFont="1" applyBorder="1" applyNumberFormat="1">
      <alignment horizontal="left" vertical="center"/>
    </xf>
    <xf numFmtId="2" fontId="22" fillId="0" borderId="13" xfId="0" applyFont="1" applyBorder="1" applyNumberFormat="1">
      <alignment horizontal="right" vertical="center"/>
    </xf>
    <xf numFmtId="0" fontId="24" fillId="0" borderId="10" xfId="0" applyFont="1" applyBorder="1">
      <alignment horizontal="center" vertical="center"/>
    </xf>
    <xf numFmtId="0" fontId="24" fillId="33" borderId="10" xfId="0" applyFont="1" applyFill="1" applyBorder="1">
      <alignment horizontal="center" vertical="center"/>
    </xf>
    <xf numFmtId="0" fontId="25" fillId="0" borderId="10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/>
    </xf>
    <xf numFmtId="0" fontId="25" fillId="0" borderId="10" xfId="0" applyFont="1" applyBorder="1">
      <alignment horizontal="center" vertical="center"/>
    </xf>
    <xf numFmtId="0" fontId="25" fillId="33" borderId="10" xfId="0" applyFont="1" applyFill="1" applyBorder="1">
      <alignment horizontal="center" vertical="center"/>
    </xf>
    <xf numFmtId="171" fontId="24" fillId="0" borderId="10" xfId="0" applyFont="1" applyBorder="1" applyNumberFormat="1">
      <alignment horizontal="left" vertical="center"/>
    </xf>
    <xf numFmtId="0" fontId="24" fillId="0" borderId="12" xfId="0" applyFont="1" applyBorder="1">
      <alignment horizontal="left" vertical="center"/>
    </xf>
    <xf numFmtId="0" fontId="24" fillId="33" borderId="12" xfId="0" applyFont="1" applyFill="1" applyBorder="1">
      <alignment horizontal="left" vertical="center"/>
    </xf>
    <xf numFmtId="2" fontId="24" fillId="33" borderId="14" xfId="0" applyFont="1" applyFill="1" applyBorder="1" applyNumberFormat="1">
      <alignment horizontal="center" vertical="center"/>
    </xf>
    <xf numFmtId="2" fontId="24" fillId="33" borderId="15" xfId="0" applyFont="1" applyFill="1" applyBorder="1" applyNumberFormat="1">
      <alignment horizontal="center" vertical="center"/>
    </xf>
    <xf numFmtId="2" fontId="24" fillId="33" borderId="11" xfId="0" applyFont="1" applyFill="1" applyBorder="1" applyNumberFormat="1">
      <alignment horizontal="center" vertical="center"/>
    </xf>
    <xf numFmtId="171" fontId="24" fillId="33" borderId="14" xfId="0" applyFont="1" applyFill="1" applyBorder="1" applyNumberFormat="1">
      <alignment horizontal="center" vertical="center"/>
    </xf>
    <xf numFmtId="171" fontId="24" fillId="33" borderId="15" xfId="0" applyFont="1" applyFill="1" applyBorder="1" applyNumberFormat="1">
      <alignment horizontal="center" vertical="center"/>
    </xf>
    <xf numFmtId="171" fontId="24" fillId="33" borderId="11" xfId="0" applyFont="1" applyFill="1" applyBorder="1" applyNumberFormat="1">
      <alignment horizontal="center" vertical="center"/>
    </xf>
    <xf numFmtId="14" fontId="23" fillId="0" borderId="0" xfId="0" applyFont="1" applyNumberFormat="1">
      <alignment horizontal="left" vertical="center"/>
    </xf>
    <xf numFmtId="2" fontId="24" fillId="0" borderId="14" xfId="0" applyFont="1" applyBorder="1" applyNumberFormat="1">
      <alignment horizontal="center" vertical="center"/>
    </xf>
    <xf numFmtId="2" fontId="24" fillId="0" borderId="15" xfId="0" applyFont="1" applyBorder="1" applyNumberFormat="1">
      <alignment horizontal="center" vertical="center"/>
    </xf>
    <xf numFmtId="2" fontId="24" fillId="0" borderId="11" xfId="0" applyFont="1" applyBorder="1" applyNumberFormat="1">
      <alignment horizontal="center" vertical="center"/>
    </xf>
    <xf numFmtId="172" fontId="0" fillId="0" borderId="0" xfId="0" applyFont="1" applyNumberFormat="1">
      <alignment horizontal="center"/>
    </xf>
    <xf numFmtId="172" fontId="0" fillId="0" borderId="0" xfId="0" applyFont="1" applyNumberFormat="1"/>
    <xf numFmtId="0" fontId="26" fillId="0" borderId="0" xfId="0" applyFont="1">
      <alignment horizontal="center" vertical="center" wrapText="1"/>
    </xf>
    <xf numFmtId="0" fontId="0" fillId="0" borderId="0" xfId="0" applyFont="1">
      <alignment wrapText="1"/>
    </xf>
    <xf numFmtId="2" fontId="22" fillId="0" borderId="0" xfId="0" applyFont="1" applyNumberFormat="1">
      <alignment horizontal="left" vertical="center" wrapText="1"/>
    </xf>
    <xf numFmtId="2" fontId="22" fillId="0" borderId="0" xfId="0" applyFont="1" applyNumberFormat="1">
      <alignment horizontal="center" vertical="center" wrapText="1"/>
    </xf>
    <xf numFmtId="0" fontId="23" fillId="0" borderId="0" xfId="0" applyFont="1">
      <alignment horizontal="right" vertical="center" wrapText="1"/>
    </xf>
    <xf numFmtId="175" fontId="23" fillId="0" borderId="13" xfId="0" applyFont="1" applyBorder="1" applyNumberFormat="1">
      <alignment horizontal="left" vertical="center" wrapText="1"/>
    </xf>
    <xf numFmtId="2" fontId="22" fillId="0" borderId="13" xfId="0" applyFont="1" applyBorder="1" applyNumberFormat="1">
      <alignment horizontal="right" vertical="center" wrapText="1"/>
    </xf>
    <xf numFmtId="0" fontId="23" fillId="0" borderId="0" xfId="0" applyFont="1">
      <alignment wrapText="1"/>
    </xf>
    <xf numFmtId="0" fontId="24" fillId="0" borderId="10" xfId="0" applyFont="1" applyBorder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0" fontId="24" fillId="33" borderId="10" xfId="0" applyFont="1" applyFill="1" applyBorder="1">
      <alignment horizontal="center" vertical="center" wrapText="1"/>
    </xf>
    <xf numFmtId="0" fontId="24" fillId="33" borderId="10" xfId="0" applyFont="1" applyFill="1" applyBorder="1">
      <alignment horizontal="center" vertical="center" wrapText="1"/>
    </xf>
    <xf numFmtId="0" fontId="24" fillId="33" borderId="10" xfId="0" applyFont="1" applyFill="1" applyBorder="1">
      <alignment horizontal="center" vertical="center" wrapText="1"/>
    </xf>
    <xf numFmtId="0" fontId="24" fillId="33" borderId="10" xfId="0" applyFont="1" applyFill="1" applyBorder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171" fontId="24" fillId="33" borderId="10" xfId="0" applyFont="1" applyFill="1" applyBorder="1" applyNumberFormat="1">
      <alignment horizontal="center" vertical="center" wrapText="1"/>
    </xf>
    <xf numFmtId="2" fontId="24" fillId="33" borderId="10" xfId="0" applyFont="1" applyFill="1" applyBorder="1" applyNumberFormat="1">
      <alignment horizontal="center" vertical="center" wrapText="1"/>
      <protection locked="0"/>
    </xf>
    <xf numFmtId="2" fontId="24" fillId="33" borderId="10" xfId="0" applyFont="1" applyFill="1" applyBorder="1" applyNumberFormat="1">
      <alignment horizontal="center" vertical="center" wrapText="1"/>
    </xf>
    <xf numFmtId="171" fontId="24" fillId="33" borderId="10" xfId="0" applyFont="1" applyFill="1" applyBorder="1" applyNumberFormat="1">
      <alignment horizontal="center" vertical="center" wrapText="1"/>
    </xf>
    <xf numFmtId="2" fontId="24" fillId="33" borderId="10" xfId="0" applyFont="1" applyFill="1" applyBorder="1" applyNumberFormat="1">
      <alignment horizontal="center" vertical="center" wrapText="1"/>
      <protection locked="0"/>
    </xf>
    <xf numFmtId="2" fontId="24" fillId="33" borderId="14" xfId="0" applyFont="1" applyFill="1" applyBorder="1" applyNumberFormat="1">
      <alignment horizontal="center" vertical="center" wrapText="1"/>
      <protection locked="0"/>
    </xf>
    <xf numFmtId="171" fontId="24" fillId="33" borderId="14" xfId="0" applyFont="1" applyFill="1" applyBorder="1" applyNumberFormat="1">
      <alignment horizontal="center" vertical="center" wrapText="1"/>
    </xf>
    <xf numFmtId="2" fontId="24" fillId="33" borderId="15" xfId="0" applyFont="1" applyFill="1" applyBorder="1" applyNumberFormat="1">
      <alignment horizontal="center" vertical="center" wrapText="1"/>
    </xf>
    <xf numFmtId="171" fontId="24" fillId="33" borderId="15" xfId="0" applyFont="1" applyFill="1" applyBorder="1" applyNumberFormat="1">
      <alignment horizontal="center" vertical="center" wrapText="1"/>
    </xf>
    <xf numFmtId="2" fontId="24" fillId="33" borderId="11" xfId="0" applyFont="1" applyFill="1" applyBorder="1" applyNumberFormat="1">
      <alignment horizontal="center" vertical="center" wrapText="1"/>
    </xf>
    <xf numFmtId="171" fontId="24" fillId="33" borderId="11" xfId="0" applyFont="1" applyFill="1" applyBorder="1" applyNumberFormat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2" fontId="24" fillId="33" borderId="10" xfId="0" applyFont="1" applyFill="1" applyBorder="1" applyNumberFormat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0" fontId="25" fillId="33" borderId="10" xfId="0" applyFont="1" applyFill="1" applyBorder="1">
      <alignment horizontal="center" vertical="center" wrapText="1"/>
    </xf>
    <xf numFmtId="176" fontId="24" fillId="33" borderId="10" xfId="0" applyFont="1" applyFill="1" applyBorder="1" applyNumberFormat="1">
      <alignment horizontal="center" vertical="center" wrapText="1"/>
    </xf>
    <xf numFmtId="9" fontId="24" fillId="33" borderId="10" xfId="0" applyFont="1" applyFill="1" applyBorder="1" applyNumberFormat="1">
      <alignment horizontal="center" vertical="center" wrapText="1"/>
    </xf>
    <xf numFmtId="171" fontId="24" fillId="0" borderId="10" xfId="0" applyFont="1" applyBorder="1" applyNumberFormat="1">
      <alignment horizontal="left" vertical="center" wrapText="1"/>
    </xf>
    <xf numFmtId="0" fontId="24" fillId="0" borderId="10" xfId="0" applyFont="1" applyBorder="1">
      <alignment horizontal="center" vertical="center" wrapText="1"/>
    </xf>
    <xf numFmtId="2" fontId="24" fillId="0" borderId="10" xfId="0" applyFont="1" applyBorder="1" applyNumberFormat="1">
      <alignment horizontal="center" vertical="center" wrapText="1"/>
      <protection locked="0"/>
    </xf>
    <xf numFmtId="2" fontId="24" fillId="0" borderId="10" xfId="0" applyFont="1" applyBorder="1" applyNumberFormat="1">
      <alignment horizontal="center" vertical="center" wrapText="1"/>
    </xf>
    <xf numFmtId="172" fontId="24" fillId="33" borderId="10" xfId="0" applyFont="1" applyFill="1" applyBorder="1" applyNumberFormat="1">
      <alignment horizontal="center" vertical="center" wrapText="1"/>
    </xf>
    <xf numFmtId="2" fontId="24" fillId="0" borderId="10" xfId="0" applyFont="1" applyBorder="1" applyNumberFormat="1">
      <alignment horizontal="center" vertical="center" wrapText="1"/>
      <protection locked="0"/>
    </xf>
    <xf numFmtId="173" fontId="24" fillId="33" borderId="10" xfId="0" applyFont="1" applyFill="1" applyBorder="1" applyNumberFormat="1">
      <alignment horizontal="center" vertical="center" wrapText="1"/>
    </xf>
    <xf numFmtId="173" fontId="24" fillId="33" borderId="10" xfId="0" applyFont="1" applyFill="1" applyBorder="1" applyNumberFormat="1">
      <alignment horizontal="center" vertical="center" wrapText="1"/>
    </xf>
    <xf numFmtId="172" fontId="24" fillId="33" borderId="10" xfId="0" applyFont="1" applyFill="1" applyBorder="1" applyNumberFormat="1">
      <alignment horizontal="center" vertical="center" wrapText="1"/>
    </xf>
    <xf numFmtId="2" fontId="22" fillId="0" borderId="10" xfId="0" applyFont="1" applyBorder="1" applyNumberFormat="1">
      <alignment horizontal="center" vertical="center" wrapText="1"/>
    </xf>
    <xf numFmtId="174" fontId="24" fillId="33" borderId="10" xfId="0" applyFont="1" applyFill="1" applyBorder="1" applyNumberFormat="1">
      <alignment horizontal="center" vertical="center" wrapText="1"/>
      <protection locked="0"/>
    </xf>
    <xf numFmtId="0" fontId="24" fillId="0" borderId="0" xfId="0" applyFont="1">
      <alignment horizontal="right" vertical="center" wrapText="1"/>
    </xf>
    <xf numFmtId="0" fontId="24" fillId="0" borderId="0" xfId="0" applyFont="1">
      <alignment horizontal="left" vertical="center" wrapText="1"/>
    </xf>
    <xf numFmtId="0" fontId="24" fillId="0" borderId="12" xfId="0" applyFont="1" applyBorder="1">
      <alignment horizontal="left" vertical="center" wrapText="1"/>
      <protection locked="0"/>
    </xf>
    <xf numFmtId="0" fontId="24" fillId="0" borderId="12" xfId="0" applyFont="1" applyBorder="1">
      <alignment horizontal="left" vertical="center" wrapText="1"/>
    </xf>
    <xf numFmtId="0" fontId="24" fillId="0" borderId="0" xfId="0" applyFont="1">
      <alignment horizontal="center" wrapText="1"/>
    </xf>
    <xf numFmtId="171" fontId="24" fillId="0" borderId="0" xfId="0" applyFont="1" applyNumberFormat="1">
      <alignment horizontal="center" wrapText="1"/>
    </xf>
    <xf numFmtId="0" fontId="24" fillId="33" borderId="0" xfId="0" applyFont="1" applyFill="1">
      <alignment horizontal="center" vertical="center" wrapText="1"/>
    </xf>
    <xf numFmtId="0" fontId="24" fillId="33" borderId="12" xfId="0" applyFont="1" applyFill="1" applyBorder="1">
      <alignment horizontal="right" vertical="center" wrapText="1"/>
    </xf>
    <xf numFmtId="0" fontId="24" fillId="33" borderId="12" xfId="0" applyFont="1" applyFill="1" applyBorder="1">
      <alignment horizontal="left" vertical="center" wrapText="1"/>
      <protection locked="0"/>
    </xf>
    <xf numFmtId="0" fontId="24" fillId="33" borderId="12" xfId="0" applyFont="1" applyFill="1" applyBorder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23" fillId="0" borderId="0" xfId="0" applyFont="1">
      <alignment horizontal="right" vertical="center" wrapText="1"/>
    </xf>
    <xf numFmtId="14" fontId="23" fillId="0" borderId="0" xfId="0" applyFont="1" applyNumberFormat="1">
      <alignment horizontal="left" vertical="center" wrapText="1"/>
    </xf>
    <xf numFmtId="2" fontId="22" fillId="0" borderId="0" xfId="0" applyFont="1" applyNumberFormat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2" fontId="24" fillId="33" borderId="14" xfId="0" applyFont="1" applyFill="1" applyBorder="1" applyNumberFormat="1">
      <alignment horizontal="center" vertical="center" wrapText="1"/>
    </xf>
    <xf numFmtId="2" fontId="24" fillId="0" borderId="14" xfId="0" applyFont="1" applyBorder="1" applyNumberFormat="1">
      <alignment horizontal="center" vertical="center" wrapText="1"/>
    </xf>
    <xf numFmtId="2" fontId="24" fillId="0" borderId="15" xfId="0" applyFont="1" applyBorder="1" applyNumberFormat="1">
      <alignment horizontal="center" vertical="center" wrapText="1"/>
    </xf>
    <xf numFmtId="2" fontId="24" fillId="0" borderId="11" xfId="0" applyFont="1" applyBorder="1" applyNumberFormat="1">
      <alignment horizontal="center" vertical="center" wrapText="1"/>
    </xf>
    <xf numFmtId="0" fontId="0" fillId="0" borderId="0" xfId="0" applyFont="1"/>
    <xf numFmtId="2" fontId="24" fillId="0" borderId="11" xfId="0" applyFont="1" applyBorder="1" applyNumberFormat="1">
      <alignment horizontal="center" vertical="center" wrapText="1"/>
    </xf>
    <xf numFmtId="2" fontId="22" fillId="0" borderId="10" xfId="0" applyFont="1" applyBorder="1" applyNumberFormat="1">
      <alignment horizontal="center" vertical="center" wrapText="1"/>
    </xf>
    <xf numFmtId="0" fontId="24" fillId="0" borderId="0" xfId="0" applyFont="1">
      <alignment horizontal="right" vertical="center" wrapText="1"/>
    </xf>
    <xf numFmtId="0" fontId="24" fillId="0" borderId="0" xfId="0" applyFont="1">
      <alignment horizontal="left" vertical="center" wrapText="1"/>
    </xf>
    <xf numFmtId="0" fontId="24" fillId="0" borderId="0" xfId="0" applyFont="1">
      <alignment horizontal="center" wrapText="1"/>
    </xf>
    <xf numFmtId="171" fontId="24" fillId="0" borderId="0" xfId="0" applyFont="1" applyNumberFormat="1">
      <alignment horizontal="center" wrapText="1"/>
    </xf>
    <xf numFmtId="0" fontId="24" fillId="33" borderId="0" xfId="0" applyFont="1" applyFill="1">
      <alignment horizontal="center" vertical="center" wrapText="1"/>
    </xf>
    <xf numFmtId="0" fontId="24" fillId="33" borderId="12" xfId="0" applyFont="1" applyFill="1" applyBorder="1">
      <alignment horizontal="right" vertical="center" wrapText="1"/>
    </xf>
    <xf numFmtId="172" fontId="0" fillId="0" borderId="0" xfId="0" applyFont="1" applyNumberFormat="1">
      <alignment wrapText="1"/>
    </xf>
    <xf numFmtId="172" fontId="0" fillId="0" borderId="0" xfId="0" applyFont="1" applyNumberFormat="1">
      <alignment wrapText="1"/>
    </xf>
    <xf numFmtId="172" fontId="0" fillId="0" borderId="0" xfId="0" applyFont="1" applyNumberFormat="1">
      <alignment horizontal="center" wrapText="1"/>
    </xf>
    <xf numFmtId="172" fontId="0" fillId="0" borderId="0" xfId="0" applyFont="1" applyNumberFormat="1">
      <alignment horizontal="center" wrapText="1"/>
    </xf>
    <xf numFmtId="172" fontId="0" fillId="0" borderId="0" xfId="0" applyFont="1" applyNumberFormat="1">
      <alignment wrapText="1"/>
    </xf>
    <xf numFmtId="172" fontId="0" fillId="0" borderId="0" xfId="0" applyFont="1" applyNumberForma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5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  <cellStyle name="常规 2 3" xfId="47"/>
    <cellStyle name="常规_Sheet1" xfId="48"/>
    <cellStyle name="超链接" xfId="49"/>
    <cellStyle name="已访问的超链接" xfId="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8D3798D-CFE8-8DE8-4848-B0D77A72DE48}" mc:Ignorable="x14ac xr xr2 xr3">
  <dimension ref="A1:P27"/>
  <sheetViews>
    <sheetView topLeftCell="A1" showGridLines="0" workbookViewId="0" tabSelected="1">
      <selection activeCell="A1" sqref="A1:M1"/>
    </sheetView>
  </sheetViews>
  <sheetFormatPr defaultColWidth="9.00390625" customHeight="1" defaultRowHeight="13.5"/>
  <cols>
    <col min="1" max="1" style="178" width="16.140625" customWidth="1"/>
    <col min="2" max="2" style="179" width="9.57421875" customWidth="1"/>
    <col min="3" max="3" style="180" width="6.8515625" customWidth="1"/>
    <col min="4" max="4" style="181" width="13.57421875" customWidth="1"/>
    <col min="5" max="5" style="182" width="13.57421875" customWidth="1"/>
    <col min="6" max="6" style="183" width="13.57421875" customWidth="1"/>
    <col min="7" max="7" style="184" width="13.57421875" customWidth="1"/>
    <col min="8" max="8" style="185" width="13.57421875" customWidth="1"/>
    <col min="9" max="9" style="186" width="13.57421875" customWidth="1"/>
    <col min="10" max="10" style="187" width="13.57421875" customWidth="1"/>
    <col min="11" max="11" style="188" width="13.57421875" customWidth="1"/>
    <col min="12" max="12" style="189" width="13.57421875" customWidth="1"/>
    <col min="13" max="13" style="190" width="13.57421875" customWidth="1"/>
  </cols>
  <sheetData>
    <row customHeight="1" ht="25.5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2"/>
      <c r="O1" s="122"/>
      <c r="P1" s="122"/>
    </row>
    <row s="72" customFormat="1" customHeight="1" ht="18">
      <c r="A2" s="123" t="s">
        <v>1</v>
      </c>
      <c r="B2" s="123"/>
      <c r="C2" s="123"/>
      <c r="D2" s="124" t="s">
        <v>2</v>
      </c>
      <c r="E2" s="124"/>
      <c r="F2" s="125" t="s">
        <v>3</v>
      </c>
      <c r="G2" s="126" t="s">
        <v>4</v>
      </c>
      <c r="H2" s="126"/>
      <c r="I2" s="126"/>
      <c r="J2" s="127" t="str">
        <f>取值!O1&amp;取值!P1&amp;取值!Q1</f>
        <v>报表生成时间：2026-01-01 8:00:00</v>
      </c>
      <c r="K2" s="127"/>
      <c r="L2" s="127"/>
      <c r="M2" s="127"/>
      <c r="N2" s="128"/>
      <c r="O2" s="128"/>
      <c r="P2" s="128"/>
    </row>
    <row s="72" customFormat="1" customHeight="1" ht="19.5">
      <c r="A3" s="129" t="s">
        <v>5</v>
      </c>
      <c r="B3" s="129"/>
      <c r="C3" s="130" t="s">
        <v>6</v>
      </c>
      <c r="D3" s="129" t="s">
        <v>7</v>
      </c>
      <c r="E3" s="129"/>
      <c r="F3" s="129"/>
      <c r="G3" s="129" t="s">
        <v>8</v>
      </c>
      <c r="H3" s="129"/>
      <c r="I3" s="129"/>
      <c r="J3" s="131" t="s">
        <v>9</v>
      </c>
      <c r="K3" s="131"/>
      <c r="L3" s="131"/>
      <c r="M3" s="131"/>
      <c r="N3" s="128"/>
      <c r="O3" s="128"/>
      <c r="P3" s="128"/>
    </row>
    <row s="72" customFormat="1" customHeight="1" ht="33">
      <c r="A4" s="129"/>
      <c r="B4" s="129"/>
      <c r="C4" s="130" t="s">
        <v>10</v>
      </c>
      <c r="D4" s="130" t="s">
        <v>11</v>
      </c>
      <c r="E4" s="130" t="s">
        <v>12</v>
      </c>
      <c r="F4" s="130" t="s">
        <v>13</v>
      </c>
      <c r="G4" s="130" t="s">
        <v>14</v>
      </c>
      <c r="H4" s="130" t="s">
        <v>12</v>
      </c>
      <c r="I4" s="130" t="s">
        <v>13</v>
      </c>
      <c r="J4" s="132" t="s">
        <v>15</v>
      </c>
      <c r="K4" s="77" t="s">
        <v>16</v>
      </c>
      <c r="L4" s="132" t="s">
        <v>17</v>
      </c>
      <c r="M4" s="69" t="s">
        <v>18</v>
      </c>
      <c r="N4" s="128"/>
      <c r="O4" s="128"/>
      <c r="P4" s="128"/>
    </row>
    <row s="72" customFormat="1" customHeight="1" ht="30.75">
      <c r="A5" s="102" t="s">
        <v>19</v>
      </c>
      <c r="B5" s="102"/>
      <c r="C5" s="130"/>
      <c r="D5" s="136"/>
      <c r="E5" s="136"/>
      <c r="F5" s="137"/>
      <c r="G5" s="130"/>
      <c r="H5" s="130"/>
      <c r="I5" s="137"/>
      <c r="J5" s="132"/>
      <c r="K5" s="138"/>
      <c r="L5" s="132"/>
      <c r="M5" s="138"/>
      <c r="N5" s="128"/>
      <c r="O5" s="128"/>
      <c r="P5" s="128"/>
    </row>
    <row s="72" customFormat="1" customHeight="1" ht="18">
      <c r="A6" s="102" t="s">
        <v>20</v>
      </c>
      <c r="B6" s="102"/>
      <c r="C6" s="130" t="s">
        <v>21</v>
      </c>
      <c r="D6" s="139">
        <v>5000</v>
      </c>
      <c r="E6" s="140">
        <f>取值!E6</f>
        <v>6490.02</v>
      </c>
      <c r="F6" s="141">
        <f>_xlfn.IFERROR(SUM(E6/D6)*100,"")</f>
        <v>129.8004</v>
      </c>
      <c r="G6" s="142">
        <v>83000</v>
      </c>
      <c r="H6" s="140">
        <f>取值!H6</f>
        <v>89597.99</v>
      </c>
      <c r="I6" s="141">
        <f>_xlfn.IFERROR(SUM(H6/G6)*100,"")</f>
        <v>107.949385542169</v>
      </c>
      <c r="J6" s="142">
        <v>6116.41</v>
      </c>
      <c r="K6" s="141">
        <f>_xlfn.IFERROR(IF(SUM(SUM(E6-J6)/J6)*100=0,"",SUM(SUM(E6-J6)/J6))*100,"")</f>
        <v>6.10832171159227</v>
      </c>
      <c r="L6" s="142">
        <v>8238.38</v>
      </c>
      <c r="M6" s="141">
        <f>_xlfn.IFERROR(IF(SUM(SUM(E6-L6)/L6=0)*100,"",SUM(SUM(E6-L6)/L6))*100,"")</f>
        <v>-21.2221334776983</v>
      </c>
      <c r="N6" s="128"/>
      <c r="O6" s="128"/>
      <c r="P6" s="128"/>
    </row>
    <row s="72" customFormat="1" customHeight="1" ht="18">
      <c r="A7" s="131" t="s">
        <v>22</v>
      </c>
      <c r="B7" s="130" t="s">
        <v>23</v>
      </c>
      <c r="C7" s="130" t="s">
        <v>21</v>
      </c>
      <c r="D7" s="143">
        <v>0</v>
      </c>
      <c r="E7" s="140">
        <f>取值!E7</f>
        <v>0</v>
      </c>
      <c r="F7" s="144" t="str">
        <f>_xlfn.IFERROR(SUM(E7,E9)/D7*100,"")</f>
        <v/>
      </c>
      <c r="G7" s="143">
        <v>26300</v>
      </c>
      <c r="H7" s="140">
        <f>取值!H7</f>
        <v>2857.9</v>
      </c>
      <c r="I7" s="144">
        <f>_xlfn.IFERROR(SUM(H7,H9)/G7*100,"")</f>
        <v>10.8665399239544</v>
      </c>
      <c r="J7" s="140">
        <f>取值!J7</f>
        <v>0</v>
      </c>
      <c r="K7" s="141" t="str">
        <f>_xlfn.IFERROR(IF(E7=0,"",SUM(SUM(E7-J7)/J7))*100,"")</f>
        <v/>
      </c>
      <c r="L7" s="142">
        <v>2248</v>
      </c>
      <c r="M7" s="141">
        <f>_xlfn.IFERROR(IF(SUM(SUM(E7-L7)/L7=0)*100,"",SUM(SUM(E7-L7)/L7))*100,"")</f>
        <v>-100</v>
      </c>
      <c r="N7" s="128"/>
      <c r="O7" s="128"/>
      <c r="P7" s="128"/>
    </row>
    <row s="72" customFormat="1" customHeight="1" ht="18">
      <c r="A8" s="131"/>
      <c r="B8" s="130" t="s">
        <v>24</v>
      </c>
      <c r="C8" s="130" t="s">
        <v>21</v>
      </c>
      <c r="D8" s="145"/>
      <c r="E8" s="140">
        <f>取值!E8</f>
        <v>0</v>
      </c>
      <c r="F8" s="146"/>
      <c r="G8" s="145"/>
      <c r="H8" s="140">
        <f>取值!H8</f>
        <v>0</v>
      </c>
      <c r="I8" s="146"/>
      <c r="J8" s="140">
        <f>取值!J8</f>
        <v>0</v>
      </c>
      <c r="K8" s="141" t="str">
        <f>_xlfn.IFERROR(IF(E8=0,"",SUM(SUM(E8-J8)/J8))*100,"")</f>
        <v/>
      </c>
      <c r="L8" s="142">
        <v>0</v>
      </c>
      <c r="M8" s="141" t="str">
        <f>_xlfn.IFERROR(IF(SUM(SUM(E8-L8)/L8=0)*100,"",SUM(SUM(E8-L8)/L8))*100,"")</f>
        <v/>
      </c>
      <c r="N8" s="128"/>
      <c r="O8" s="128"/>
      <c r="P8" s="128"/>
    </row>
    <row s="72" customFormat="1" customHeight="1" ht="18">
      <c r="A9" s="131" t="s">
        <v>25</v>
      </c>
      <c r="B9" s="130" t="s">
        <v>23</v>
      </c>
      <c r="C9" s="130" t="s">
        <v>21</v>
      </c>
      <c r="D9" s="147"/>
      <c r="E9" s="140">
        <f>取值!E9</f>
        <v>0</v>
      </c>
      <c r="F9" s="148"/>
      <c r="G9" s="147"/>
      <c r="H9" s="140">
        <f>取值!H9</f>
        <v>0</v>
      </c>
      <c r="I9" s="148"/>
      <c r="J9" s="140">
        <f>取值!J9</f>
        <v>0</v>
      </c>
      <c r="K9" s="141" t="str">
        <f>_xlfn.IFERROR(IF(SUM(SUM(E9-J9)/J9)*100=0,"",SUM(SUM(E9-J9)/J9))*100,"")</f>
        <v/>
      </c>
      <c r="L9" s="142">
        <v>0</v>
      </c>
      <c r="M9" s="141" t="str">
        <f>_xlfn.IFERROR(IF(SUM(SUM(E9-L9)/L9=0)*100,"",SUM(SUM(E9-L9)/L9))*100,"")</f>
        <v/>
      </c>
      <c r="N9" s="128"/>
      <c r="O9" s="128"/>
      <c r="P9" s="128"/>
    </row>
    <row s="72" customFormat="1" customHeight="1" ht="18">
      <c r="A10" s="131"/>
      <c r="B10" s="130" t="s">
        <v>24</v>
      </c>
      <c r="C10" s="130" t="s">
        <v>21</v>
      </c>
      <c r="D10" s="145"/>
      <c r="E10" s="140">
        <f>取值!E10</f>
        <v>0</v>
      </c>
      <c r="F10" s="146"/>
      <c r="G10" s="145"/>
      <c r="H10" s="140">
        <f>取值!H10</f>
        <v>0</v>
      </c>
      <c r="I10" s="146"/>
      <c r="J10" s="140">
        <f>取值!J10</f>
        <v>0</v>
      </c>
      <c r="K10" s="141" t="str">
        <f>_xlfn.IFERROR(IF(SUM(SUM(E10-J10)/J10)*100=0,"",SUM(SUM(E10-J10)/J10))*100,"")</f>
        <v/>
      </c>
      <c r="L10" s="142">
        <v>0</v>
      </c>
      <c r="M10" s="141" t="str">
        <f>_xlfn.IFERROR(IF(SUM(SUM(E10-L10)/L10=0)*100,"",SUM(SUM(E10-L10)/L10))*100,"")</f>
        <v/>
      </c>
      <c r="N10" s="128"/>
      <c r="O10" s="128"/>
      <c r="P10" s="128"/>
    </row>
    <row s="72" customFormat="1" customHeight="1" ht="18">
      <c r="A11" s="149" t="s">
        <v>26</v>
      </c>
      <c r="B11" s="149"/>
      <c r="C11" s="130" t="s">
        <v>21</v>
      </c>
      <c r="D11" s="143">
        <v>5000</v>
      </c>
      <c r="E11" s="140">
        <f>取值!E11</f>
        <v>4813</v>
      </c>
      <c r="F11" s="144">
        <f>_xlfn.IFERROR(SUM(SUM(E11,E12,E13,E14)/D11)*100,"")</f>
        <v>116.942</v>
      </c>
      <c r="G11" s="143">
        <v>74000</v>
      </c>
      <c r="H11" s="140">
        <f>取值!H11</f>
        <v>63696</v>
      </c>
      <c r="I11" s="144">
        <f>_xlfn.IFERROR(SUM(SUM(H11,H12,H13,H14)/G11)*100,"")</f>
        <v>114.250594594595</v>
      </c>
      <c r="J11" s="140">
        <f>取值!J11</f>
        <v>5605</v>
      </c>
      <c r="K11" s="141">
        <f>_xlfn.IFERROR(IF(E11=0,"",SUM(SUM(E11-J11)/J11))*100,"")</f>
        <v>-14.1302408563782</v>
      </c>
      <c r="L11" s="142">
        <v>6106</v>
      </c>
      <c r="M11" s="141">
        <f>_xlfn.IFERROR(IF(SUM(SUM(E11-L11)/L11=0)*100,"",SUM(SUM(E11-L11)/L11))*100,"")</f>
        <v>-21.1758925646905</v>
      </c>
      <c r="N11" s="128"/>
      <c r="O11" s="128"/>
      <c r="P11" s="128"/>
    </row>
    <row s="72" customFormat="1" customHeight="1" ht="18">
      <c r="A12" s="149" t="s">
        <v>27</v>
      </c>
      <c r="B12" s="149"/>
      <c r="C12" s="130" t="s">
        <v>21</v>
      </c>
      <c r="D12" s="145"/>
      <c r="E12" s="140">
        <f>取值!E12</f>
        <v>0</v>
      </c>
      <c r="F12" s="146"/>
      <c r="G12" s="145"/>
      <c r="H12" s="140">
        <f>取值!H12</f>
        <v>0</v>
      </c>
      <c r="I12" s="146"/>
      <c r="J12" s="140">
        <f>取值!J12</f>
        <v>0</v>
      </c>
      <c r="K12" s="141" t="str">
        <f>_xlfn.IFERROR(IF(SUM(SUM(E12-J12)/J12)*100=0,"",SUM(SUM(E12-J12)/J12))*100,"")</f>
        <v/>
      </c>
      <c r="L12" s="142">
        <v>0</v>
      </c>
      <c r="M12" s="141" t="str">
        <f>_xlfn.IFERROR(IF(SUM(SUM(E12-L12)/L12=0)*100,"",SUM(SUM(E12-L12)/L12))*100,"")</f>
        <v/>
      </c>
      <c r="N12" s="128"/>
      <c r="O12" s="128"/>
      <c r="P12" s="128"/>
    </row>
    <row s="72" customFormat="1" customHeight="1" ht="18">
      <c r="A13" s="149" t="s">
        <v>28</v>
      </c>
      <c r="B13" s="149"/>
      <c r="C13" s="130" t="s">
        <v>21</v>
      </c>
      <c r="D13" s="145"/>
      <c r="E13" s="140">
        <f>取值!E13</f>
        <v>473.2</v>
      </c>
      <c r="F13" s="146"/>
      <c r="G13" s="145"/>
      <c r="H13" s="140">
        <f>取值!H13</f>
        <v>13767.94</v>
      </c>
      <c r="I13" s="146"/>
      <c r="J13" s="140">
        <f>取值!J13</f>
        <v>780.8</v>
      </c>
      <c r="K13" s="141">
        <f>_xlfn.IFERROR(IF(SUM(SUM(E13-J13)/J13)*100=0,"",SUM(SUM(E13-J13)/J13))*100,"")</f>
        <v>-39.3954918032787</v>
      </c>
      <c r="L13" s="142">
        <v>1295.9</v>
      </c>
      <c r="M13" s="141">
        <f>_xlfn.IFERROR(IF(SUM(SUM(E13-L13)/L13=0)*100,"",SUM(SUM(E13-L13)/L13))*100,"")</f>
        <v>-63.4848367929624</v>
      </c>
      <c r="N13" s="128"/>
      <c r="O13" s="128"/>
      <c r="P13" s="128"/>
    </row>
    <row s="72" customFormat="1" customHeight="1" ht="18">
      <c r="A14" s="149" t="s">
        <v>29</v>
      </c>
      <c r="B14" s="149"/>
      <c r="C14" s="150" t="s">
        <v>21</v>
      </c>
      <c r="D14" s="147"/>
      <c r="E14" s="151">
        <f>取值!E14</f>
        <v>560.9</v>
      </c>
      <c r="F14" s="148"/>
      <c r="G14" s="147"/>
      <c r="H14" s="151">
        <f>取值!H14</f>
        <v>7081.5</v>
      </c>
      <c r="I14" s="148"/>
      <c r="J14" s="151">
        <f>取值!J14</f>
        <v>493.7</v>
      </c>
      <c r="K14" s="138">
        <f>_xlfn.IFERROR(IF(SUM(SUM(E14-J14)/J14)*100=0,"",SUM(SUM(E14-J14)/J14))*100,"")</f>
        <v>13.6115049625278</v>
      </c>
      <c r="L14" s="139">
        <v>531.5</v>
      </c>
      <c r="M14" s="138">
        <f>_xlfn.IFERROR(IF(SUM(SUM(E14-L14)/L14=0)*100,"",SUM(SUM(E14-L14)/L14))*100,"")</f>
        <v>5.53151458137347</v>
      </c>
      <c r="N14" s="128"/>
      <c r="O14" s="128"/>
      <c r="P14" s="128"/>
    </row>
    <row s="72" customFormat="1" customHeight="1" ht="18">
      <c r="A15" s="152" t="s">
        <v>30</v>
      </c>
      <c r="B15" s="153"/>
      <c r="C15" s="132"/>
      <c r="D15" s="140"/>
      <c r="E15" s="140">
        <f>E11+E12+E13+E14</f>
        <v>5847.1</v>
      </c>
      <c r="F15" s="154">
        <f>E11/E15*100</f>
        <v>82.3143096577791</v>
      </c>
      <c r="G15" s="140"/>
      <c r="H15" s="140"/>
      <c r="I15" s="140"/>
      <c r="J15" s="140"/>
      <c r="K15" s="155"/>
      <c r="L15" s="140"/>
      <c r="M15" s="155"/>
      <c r="N15" s="128"/>
      <c r="O15" s="128"/>
      <c r="P15" s="128"/>
    </row>
    <row s="72" customFormat="1" customHeight="1" ht="18">
      <c r="A16" s="156" t="s">
        <v>31</v>
      </c>
      <c r="B16" s="156"/>
      <c r="C16" s="60" t="s">
        <v>32</v>
      </c>
      <c r="D16" s="158">
        <v>7250</v>
      </c>
      <c r="E16" s="142">
        <v>6964.03323099151</v>
      </c>
      <c r="F16" s="159">
        <f>_xlfn.IFERROR(E16-D16,"")</f>
        <v>-285.96676900849</v>
      </c>
      <c r="G16" s="142">
        <v>7450</v>
      </c>
      <c r="H16" s="142">
        <v>7061.33008396595</v>
      </c>
      <c r="I16" s="140">
        <f>_xlfn.IFERROR(SUM(H16-G16),"")</f>
        <v>-388.66991603405</v>
      </c>
      <c r="J16" s="140">
        <f>取值!J16</f>
        <v>7075.36569836848</v>
      </c>
      <c r="K16" s="141">
        <f>_xlfn.IFERROR(E16-J16,"")</f>
        <v>-111.332467376969</v>
      </c>
      <c r="L16" s="142">
        <v>7211.49417833456</v>
      </c>
      <c r="M16" s="160">
        <f>_xlfn.IFERROR(E16-L16,"")</f>
        <v>-247.46094734305</v>
      </c>
      <c r="N16" s="128"/>
      <c r="O16" s="128"/>
      <c r="P16" s="128"/>
    </row>
    <row s="72" customFormat="1" customHeight="1" ht="18">
      <c r="A17" s="156" t="s">
        <v>33</v>
      </c>
      <c r="B17" s="156"/>
      <c r="C17" s="60" t="s">
        <v>34</v>
      </c>
      <c r="D17" s="161">
        <v>0.42</v>
      </c>
      <c r="E17" s="162">
        <f>取值!E17</f>
        <v>0.420985528932592</v>
      </c>
      <c r="F17" s="159">
        <f>_xlfn.IFERROR(E17-D17,"")</f>
        <v>0.000985528932592017</v>
      </c>
      <c r="G17" s="142">
        <v>0.43</v>
      </c>
      <c r="H17" s="163">
        <f>取值!H17</f>
        <v>0.417563958177872</v>
      </c>
      <c r="I17" s="140">
        <f>_xlfn.IFERROR(SUM(H17-G17),"")</f>
        <v>-0.012436041822128</v>
      </c>
      <c r="J17" s="163">
        <f>取值!J17</f>
        <v>0.423507249141549</v>
      </c>
      <c r="K17" s="141">
        <f>_xlfn.IFERROR(E17-J17,"")</f>
        <v>-0.00252172020895702</v>
      </c>
      <c r="L17" s="142">
        <v>0.394494604800781</v>
      </c>
      <c r="M17" s="164">
        <f>_xlfn.IFERROR(E17-L17,"")</f>
        <v>0.026490924131811</v>
      </c>
      <c r="N17" s="128"/>
      <c r="O17" s="128"/>
      <c r="P17" s="128"/>
    </row>
    <row s="72" customFormat="1" customHeight="1" ht="18">
      <c r="A18" s="156" t="s">
        <v>35</v>
      </c>
      <c r="B18" s="156"/>
      <c r="C18" s="60" t="s">
        <v>34</v>
      </c>
      <c r="D18" s="161">
        <v>0.42</v>
      </c>
      <c r="E18" s="140">
        <f>取值!E18</f>
        <v>0.413905180804129</v>
      </c>
      <c r="F18" s="159">
        <f>_xlfn.IFERROR(E18-D18,"")</f>
        <v>-0.00609481919587096</v>
      </c>
      <c r="G18" s="142">
        <v>0.4</v>
      </c>
      <c r="H18" s="140">
        <f>取值!H18</f>
        <v>0.380971000768874</v>
      </c>
      <c r="I18" s="140">
        <f>_xlfn.IFERROR(SUM(H18-G18),"")</f>
        <v>-0.019028999231126</v>
      </c>
      <c r="J18" s="140">
        <f>取值!J18</f>
        <v>0.394995984024118</v>
      </c>
      <c r="K18" s="141">
        <f>_xlfn.IFERROR(E18-J18,"")</f>
        <v>0.018909196780011</v>
      </c>
      <c r="L18" s="142">
        <v>0.365808684577625</v>
      </c>
      <c r="M18" s="164">
        <f>_xlfn.IFERROR(E18-L18,"")</f>
        <v>0.048096496226504</v>
      </c>
      <c r="N18" s="128"/>
      <c r="O18" s="128"/>
      <c r="P18" s="128"/>
    </row>
    <row s="72" customFormat="1" customHeight="1" ht="18">
      <c r="A19" s="156" t="s">
        <v>36</v>
      </c>
      <c r="B19" s="156"/>
      <c r="C19" s="60" t="s">
        <v>34</v>
      </c>
      <c r="D19" s="161">
        <v>0</v>
      </c>
      <c r="E19" s="140" t="str">
        <f>取值!E19</f>
        <v/>
      </c>
      <c r="F19" s="159" t="str">
        <f>_xlfn.IFERROR(E19-D19,"")</f>
        <v/>
      </c>
      <c r="G19" s="142">
        <v>1.38</v>
      </c>
      <c r="H19" s="142">
        <v>1.71624980759091</v>
      </c>
      <c r="I19" s="140">
        <f>_xlfn.IFERROR(SUM(H19-G19),"")</f>
        <v>0.33624980759091</v>
      </c>
      <c r="J19" s="140" t="str">
        <f>取值!J19</f>
        <v/>
      </c>
      <c r="K19" s="141" t="str">
        <f>_xlfn.IFERROR(E19-J19,"")</f>
        <v/>
      </c>
      <c r="L19" s="142">
        <v>1.06528726396143</v>
      </c>
      <c r="M19" s="164" t="str">
        <f>_xlfn.IFERROR(E19-L19,"")</f>
        <v/>
      </c>
      <c r="N19" s="128"/>
      <c r="O19" s="128"/>
      <c r="P19" s="128"/>
    </row>
    <row s="72" customFormat="1" customHeight="1" ht="18">
      <c r="A20" s="156" t="s">
        <v>37</v>
      </c>
      <c r="B20" s="156"/>
      <c r="C20" s="60" t="s">
        <v>32</v>
      </c>
      <c r="D20" s="161">
        <v>1100</v>
      </c>
      <c r="E20" s="141">
        <f>_xlfn.IFERROR(ROUND(取值!E20,2),"")</f>
        <v>862.52</v>
      </c>
      <c r="F20" s="159">
        <f>_xlfn.IFERROR(E20-D20,"")</f>
        <v>-237.48</v>
      </c>
      <c r="G20" s="142">
        <v>1020</v>
      </c>
      <c r="H20" s="142">
        <v>935.047720632455</v>
      </c>
      <c r="I20" s="140">
        <f>_xlfn.IFERROR(SUM(H20-G20),"")</f>
        <v>-84.952279367545</v>
      </c>
      <c r="J20" s="141">
        <f>_xlfn.IFERROR(ROUND(取值!J20,2),"")</f>
        <v>965.92</v>
      </c>
      <c r="K20" s="141">
        <f>_xlfn.IFERROR(E20-J20,"")</f>
        <v>-103.4</v>
      </c>
      <c r="L20" s="142">
        <v>1095.72038122582</v>
      </c>
      <c r="M20" s="164">
        <f>_xlfn.IFERROR(E20-L20,"")</f>
        <v>-233.20038122582</v>
      </c>
      <c r="N20" s="128"/>
      <c r="O20" s="128"/>
      <c r="P20" s="128"/>
    </row>
    <row s="72" customFormat="1" customHeight="1" ht="18">
      <c r="A21" s="156" t="s">
        <v>38</v>
      </c>
      <c r="B21" s="156"/>
      <c r="C21" s="165" t="s">
        <v>39</v>
      </c>
      <c r="D21" s="166">
        <v>2980</v>
      </c>
      <c r="E21" s="141">
        <f>取值!E38</f>
        <v>2724.02</v>
      </c>
      <c r="F21" s="159">
        <f>_xlfn.IFERROR(E21-D21,"")</f>
        <v>-255.98</v>
      </c>
      <c r="G21" s="142">
        <v>3400</v>
      </c>
      <c r="H21" s="140">
        <f>取值!H38</f>
        <v>2485.28</v>
      </c>
      <c r="I21" s="140">
        <f>_xlfn.IFERROR(SUM(H21-G21),"")</f>
        <v>-914.72</v>
      </c>
      <c r="J21" s="141">
        <f>_xlfn.IFERROR(ROUND(取值!J21,2),"")</f>
        <v>2598</v>
      </c>
      <c r="K21" s="141">
        <f>_xlfn.IFERROR(E21-J21,"")</f>
        <v>126.02</v>
      </c>
      <c r="L21" s="142">
        <v>2612.62</v>
      </c>
      <c r="M21" s="164">
        <f>_xlfn.IFERROR(E21-L21,"")</f>
        <v>111.4</v>
      </c>
      <c r="N21" s="128"/>
      <c r="O21" s="128"/>
      <c r="P21" s="128"/>
    </row>
    <row s="72" customFormat="1" customHeight="1" ht="18">
      <c r="A22" s="167" t="s">
        <v>40</v>
      </c>
      <c r="B22" s="168"/>
      <c r="C22" s="169" t="s">
        <v>41</v>
      </c>
      <c r="D22" s="170"/>
      <c r="E22" s="171"/>
      <c r="F22" s="172"/>
      <c r="G22" s="171"/>
      <c r="H22" s="171"/>
      <c r="I22" s="172"/>
      <c r="J22" s="173"/>
      <c r="K22" s="174" t="s">
        <v>42</v>
      </c>
      <c r="L22" s="175" t="s">
        <v>43</v>
      </c>
      <c r="M22" s="176"/>
      <c r="N22" s="128"/>
      <c r="O22" s="128"/>
      <c r="P22" s="128"/>
    </row>
    <row customHeight="1" ht="13.5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22"/>
      <c r="O23" s="122"/>
      <c r="P23" s="122"/>
    </row>
    <row customHeight="1" ht="13.5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22"/>
      <c r="O24" s="122"/>
      <c r="P24" s="122"/>
    </row>
    <row customHeight="1" ht="13.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22"/>
      <c r="O25" s="122"/>
      <c r="P25" s="122"/>
    </row>
    <row customHeight="1" ht="13.5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22"/>
      <c r="O26" s="122"/>
      <c r="P26" s="122"/>
    </row>
    <row customHeight="1" ht="13.5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22"/>
      <c r="O27" s="122"/>
      <c r="P27" s="122"/>
    </row>
  </sheetData>
  <mergeCells count="34">
    <mergeCell ref="I11:I14"/>
    <mergeCell ref="C22:D22"/>
    <mergeCell ref="L22:M22"/>
    <mergeCell ref="A7:A8"/>
    <mergeCell ref="A9:A10"/>
    <mergeCell ref="D7:D10"/>
    <mergeCell ref="F7:F10"/>
    <mergeCell ref="G7:G10"/>
    <mergeCell ref="I7:I10"/>
    <mergeCell ref="A14:B14"/>
    <mergeCell ref="D11:D14"/>
    <mergeCell ref="F11:F14"/>
    <mergeCell ref="G11:G14"/>
    <mergeCell ref="A17:B17"/>
    <mergeCell ref="A18:B18"/>
    <mergeCell ref="A19:B19"/>
    <mergeCell ref="A20:B20"/>
    <mergeCell ref="A21:B21"/>
    <mergeCell ref="A11:B11"/>
    <mergeCell ref="A12:B12"/>
    <mergeCell ref="A13:B13"/>
    <mergeCell ref="A15:B15"/>
    <mergeCell ref="A16:B16"/>
    <mergeCell ref="D3:F3"/>
    <mergeCell ref="G3:I3"/>
    <mergeCell ref="J3:M3"/>
    <mergeCell ref="A5:B5"/>
    <mergeCell ref="A6:B6"/>
    <mergeCell ref="A3:B4"/>
    <mergeCell ref="A1:M1"/>
    <mergeCell ref="A2:C2"/>
    <mergeCell ref="D2:E2"/>
    <mergeCell ref="G2:I2"/>
    <mergeCell ref="J2:M2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995BCC8-1299-E756-5E38-A71A2253BDC8}" mc:Ignorable="x14ac xr xr2 xr3">
  <dimension ref="A1:Q65"/>
  <sheetViews>
    <sheetView topLeftCell="A34" workbookViewId="0">
      <selection activeCell="C51" sqref="C51"/>
    </sheetView>
  </sheetViews>
  <sheetFormatPr defaultColWidth="9.00390625" customHeight="1" defaultRowHeight="13.5"/>
  <cols>
    <col min="1" max="1" style="216" width="15.8515625" customWidth="1"/>
    <col min="5" max="5" style="217" width="11.7109375" customWidth="1"/>
    <col min="8" max="8" style="218" width="12.140625" customWidth="1"/>
    <col min="10" max="10" style="219" width="13.421875" customWidth="1"/>
    <col min="12" max="12" style="220" width="13.00390625" customWidth="1"/>
  </cols>
  <sheetData>
    <row customHeight="1" ht="25.5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2"/>
      <c r="O1" s="191" t="s">
        <v>44</v>
      </c>
      <c r="P1" s="191" t="s">
        <v>45</v>
      </c>
      <c r="Q1" s="191" t="s">
        <v>46</v>
      </c>
    </row>
    <row customHeight="1" ht="13.5">
      <c r="A2" s="123" t="s">
        <v>1</v>
      </c>
      <c r="B2" s="123"/>
      <c r="C2" s="123"/>
      <c r="D2" s="124" t="s">
        <v>2</v>
      </c>
      <c r="E2" s="124"/>
      <c r="F2" s="192" t="s">
        <v>3</v>
      </c>
      <c r="G2" s="193" t="s">
        <v>4</v>
      </c>
      <c r="H2" s="193"/>
      <c r="I2" s="194" t="s">
        <v>2</v>
      </c>
      <c r="J2" s="127"/>
      <c r="K2" s="127"/>
      <c r="L2" s="127"/>
      <c r="M2" s="127"/>
      <c r="N2" s="122"/>
      <c r="O2" s="122"/>
      <c r="P2" s="122"/>
      <c r="Q2" s="122"/>
    </row>
    <row customHeight="1" ht="13.5">
      <c r="A3" s="129" t="s">
        <v>5</v>
      </c>
      <c r="B3" s="129"/>
      <c r="C3" s="130" t="s">
        <v>6</v>
      </c>
      <c r="D3" s="129" t="s">
        <v>7</v>
      </c>
      <c r="E3" s="129"/>
      <c r="F3" s="129"/>
      <c r="G3" s="129" t="s">
        <v>8</v>
      </c>
      <c r="H3" s="129"/>
      <c r="I3" s="129"/>
      <c r="J3" s="131" t="s">
        <v>9</v>
      </c>
      <c r="K3" s="131"/>
      <c r="L3" s="131"/>
      <c r="M3" s="131"/>
      <c r="N3" s="122"/>
      <c r="O3" s="122"/>
      <c r="P3" s="122"/>
      <c r="Q3" s="122"/>
    </row>
    <row customHeight="1" ht="25.5">
      <c r="A4" s="129"/>
      <c r="B4" s="129"/>
      <c r="C4" s="130" t="s">
        <v>10</v>
      </c>
      <c r="D4" s="130" t="s">
        <v>11</v>
      </c>
      <c r="E4" s="130" t="s">
        <v>12</v>
      </c>
      <c r="F4" s="130" t="s">
        <v>47</v>
      </c>
      <c r="G4" s="130" t="s">
        <v>14</v>
      </c>
      <c r="H4" s="130" t="s">
        <v>12</v>
      </c>
      <c r="I4" s="130" t="s">
        <v>47</v>
      </c>
      <c r="J4" s="132" t="s">
        <v>15</v>
      </c>
      <c r="K4" s="69" t="s">
        <v>48</v>
      </c>
      <c r="L4" s="132" t="s">
        <v>17</v>
      </c>
      <c r="M4" s="69" t="s">
        <v>49</v>
      </c>
      <c r="N4" s="122"/>
      <c r="O4" s="122"/>
      <c r="P4" s="122"/>
      <c r="Q4" s="122"/>
    </row>
    <row customHeight="1" ht="13.5">
      <c r="A5" s="102" t="s">
        <v>19</v>
      </c>
      <c r="B5" s="102"/>
      <c r="C5" s="130"/>
      <c r="D5" s="195"/>
      <c r="E5" s="195"/>
      <c r="F5" s="196" t="s">
        <v>50</v>
      </c>
      <c r="G5" s="130"/>
      <c r="H5" s="130"/>
      <c r="I5" s="196" t="s">
        <v>50</v>
      </c>
      <c r="J5" s="132"/>
      <c r="K5" s="141" t="s">
        <v>50</v>
      </c>
      <c r="L5" s="132"/>
      <c r="M5" s="141" t="s">
        <v>50</v>
      </c>
      <c r="N5" s="122"/>
      <c r="O5" s="122"/>
      <c r="P5" s="122"/>
      <c r="Q5" s="122"/>
    </row>
    <row customHeight="1" ht="13.5">
      <c r="A6" s="131" t="s">
        <v>20</v>
      </c>
      <c r="B6" s="131"/>
      <c r="C6" s="130" t="s">
        <v>21</v>
      </c>
      <c r="D6" s="140">
        <f>D24</f>
        <v>5000</v>
      </c>
      <c r="E6" s="140">
        <f>_xlfn.IFERROR(SUM(E24,E61),"")</f>
        <v>6490.02</v>
      </c>
      <c r="F6" s="140">
        <f>_xlfn.IFERROR(E6/D6,"")</f>
        <v>1.298004</v>
      </c>
      <c r="G6" s="140">
        <f>G24</f>
        <v>83000</v>
      </c>
      <c r="H6" s="140">
        <f>_xlfn.IFERROR(SUM(H24,H61),"")</f>
        <v>89597.99</v>
      </c>
      <c r="I6" s="140">
        <f>_xlfn.IFERROR(H6/G6,"")</f>
        <v>1.07949385542169</v>
      </c>
      <c r="J6" s="140">
        <f>_xlfn.IFERROR(SUM(J24),"")</f>
        <v>6116.41</v>
      </c>
      <c r="K6" s="140"/>
      <c r="L6" s="140">
        <f>_xlfn.IFERROR(SUM(L24,L61),"")</f>
        <v>8238.38</v>
      </c>
      <c r="M6" s="140"/>
      <c r="N6" s="122"/>
      <c r="O6" s="122"/>
      <c r="P6" s="122"/>
      <c r="Q6" s="122"/>
    </row>
    <row customHeight="1" ht="13.5">
      <c r="A7" s="131" t="s">
        <v>22</v>
      </c>
      <c r="B7" s="130" t="s">
        <v>23</v>
      </c>
      <c r="C7" s="130" t="s">
        <v>21</v>
      </c>
      <c r="D7" s="197">
        <f>D27</f>
        <v>0</v>
      </c>
      <c r="E7" s="140">
        <f>E25</f>
        <v>0</v>
      </c>
      <c r="F7" s="140" t="str">
        <f>_xlfn.IFERROR(E7/D7,"")</f>
        <v/>
      </c>
      <c r="G7" s="198">
        <f>G25</f>
        <v>26300</v>
      </c>
      <c r="H7" s="140">
        <f>H25</f>
        <v>2857.9</v>
      </c>
      <c r="I7" s="140">
        <f>_xlfn.IFERROR(H7/G7,"")</f>
        <v>0.108665399239544</v>
      </c>
      <c r="J7" s="140">
        <f>J25</f>
        <v>0</v>
      </c>
      <c r="K7" s="140"/>
      <c r="L7" s="140">
        <f>L25</f>
        <v>2248</v>
      </c>
      <c r="M7" s="140"/>
      <c r="N7" s="122"/>
      <c r="O7" s="122"/>
      <c r="P7" s="122"/>
      <c r="Q7" s="122"/>
    </row>
    <row customHeight="1" ht="13.5">
      <c r="A8" s="131"/>
      <c r="B8" s="130" t="s">
        <v>24</v>
      </c>
      <c r="C8" s="130" t="s">
        <v>21</v>
      </c>
      <c r="D8" s="145"/>
      <c r="E8" s="140">
        <f>E26</f>
        <v>0</v>
      </c>
      <c r="F8" s="140"/>
      <c r="G8" s="199"/>
      <c r="H8" s="140">
        <f>H26</f>
        <v>0</v>
      </c>
      <c r="I8" s="140"/>
      <c r="J8" s="140">
        <f>J26</f>
        <v>0</v>
      </c>
      <c r="K8" s="140"/>
      <c r="L8" s="140">
        <f>L26</f>
        <v>0</v>
      </c>
      <c r="M8" s="140"/>
      <c r="N8" s="122"/>
      <c r="O8" s="122"/>
      <c r="P8" s="122"/>
      <c r="Q8" s="122"/>
    </row>
    <row customHeight="1" ht="13.5">
      <c r="A9" s="131" t="s">
        <v>25</v>
      </c>
      <c r="B9" s="130" t="s">
        <v>23</v>
      </c>
      <c r="C9" s="130" t="s">
        <v>21</v>
      </c>
      <c r="D9" s="147"/>
      <c r="E9" s="140">
        <f>E27</f>
        <v>0</v>
      </c>
      <c r="F9" s="140" t="str">
        <f>_xlfn.IFERROR(E9/D9,"")</f>
        <v/>
      </c>
      <c r="G9" s="200"/>
      <c r="H9" s="140">
        <f>H27</f>
        <v>0</v>
      </c>
      <c r="I9" s="140" t="str">
        <f>_xlfn.IFERROR(H9/G9,"")</f>
        <v/>
      </c>
      <c r="J9" s="140">
        <f>J27</f>
        <v>0</v>
      </c>
      <c r="K9" s="140"/>
      <c r="L9" s="140">
        <f>L27</f>
        <v>0</v>
      </c>
      <c r="M9" s="140"/>
      <c r="N9" s="122"/>
      <c r="O9" s="122"/>
      <c r="P9" s="122"/>
      <c r="Q9" s="122"/>
    </row>
    <row customHeight="1" ht="13.5">
      <c r="A10" s="131"/>
      <c r="B10" s="130" t="s">
        <v>24</v>
      </c>
      <c r="C10" s="130" t="s">
        <v>21</v>
      </c>
      <c r="D10" s="147"/>
      <c r="E10" s="140">
        <f>E28</f>
        <v>0</v>
      </c>
      <c r="F10" s="140"/>
      <c r="G10" s="199"/>
      <c r="H10" s="140">
        <f>H28</f>
        <v>0</v>
      </c>
      <c r="I10" s="140"/>
      <c r="J10" s="140">
        <f>J28</f>
        <v>0</v>
      </c>
      <c r="K10" s="140"/>
      <c r="L10" s="140">
        <f>L28</f>
        <v>0</v>
      </c>
      <c r="M10" s="140"/>
      <c r="N10" s="122"/>
      <c r="O10" s="122"/>
      <c r="P10" s="122"/>
      <c r="Q10" s="122"/>
    </row>
    <row customHeight="1" ht="13.5">
      <c r="A11" s="149" t="s">
        <v>26</v>
      </c>
      <c r="B11" s="149"/>
      <c r="C11" s="130" t="s">
        <v>21</v>
      </c>
      <c r="D11" s="140">
        <f>D29</f>
        <v>5000</v>
      </c>
      <c r="E11" s="140">
        <f>E29</f>
        <v>4813</v>
      </c>
      <c r="F11" s="140">
        <f>_xlfn.IFERROR(E11/D11,"")</f>
        <v>0.9626</v>
      </c>
      <c r="G11" s="198">
        <f>G29</f>
        <v>74000</v>
      </c>
      <c r="H11" s="140">
        <f>H29</f>
        <v>63696</v>
      </c>
      <c r="I11" s="140">
        <f>_xlfn.IFERROR(H11/G11,"")</f>
        <v>0.860756756756757</v>
      </c>
      <c r="J11" s="140">
        <f>J29</f>
        <v>5605</v>
      </c>
      <c r="K11" s="140"/>
      <c r="L11" s="140">
        <f>L29</f>
        <v>6106</v>
      </c>
      <c r="M11" s="140"/>
      <c r="N11" s="122"/>
      <c r="O11" s="122"/>
      <c r="P11" s="122"/>
      <c r="Q11" s="122"/>
    </row>
    <row customHeight="1" ht="13.5">
      <c r="A12" s="149" t="s">
        <v>27</v>
      </c>
      <c r="B12" s="149"/>
      <c r="C12" s="130" t="s">
        <v>21</v>
      </c>
      <c r="D12" s="140"/>
      <c r="E12" s="140">
        <f>E30</f>
        <v>0</v>
      </c>
      <c r="F12" s="140" t="str">
        <f>_xlfn.IFERROR(E12/D12,"")</f>
        <v/>
      </c>
      <c r="G12" s="199"/>
      <c r="H12" s="140">
        <f>H30</f>
        <v>0</v>
      </c>
      <c r="I12" s="140" t="str">
        <f>_xlfn.IFERROR(H12/G12,"")</f>
        <v/>
      </c>
      <c r="J12" s="140">
        <f>J30</f>
        <v>0</v>
      </c>
      <c r="K12" s="140"/>
      <c r="L12" s="140">
        <f>L30</f>
        <v>0</v>
      </c>
      <c r="M12" s="140"/>
      <c r="N12" s="122"/>
      <c r="O12" s="122"/>
      <c r="P12" s="122"/>
      <c r="Q12" s="122"/>
    </row>
    <row customHeight="1" ht="13.5">
      <c r="A13" s="149" t="s">
        <v>28</v>
      </c>
      <c r="B13" s="149"/>
      <c r="C13" s="130" t="s">
        <v>21</v>
      </c>
      <c r="D13" s="140"/>
      <c r="E13" s="140">
        <f>E31</f>
        <v>473.2</v>
      </c>
      <c r="F13" s="140" t="str">
        <f>_xlfn.IFERROR(E13/D13,"")</f>
        <v/>
      </c>
      <c r="G13" s="200"/>
      <c r="H13" s="140">
        <f>H31</f>
        <v>13767.94</v>
      </c>
      <c r="I13" s="140" t="str">
        <f>_xlfn.IFERROR(H13/G13,"")</f>
        <v/>
      </c>
      <c r="J13" s="140">
        <f>J31</f>
        <v>780.8</v>
      </c>
      <c r="K13" s="140"/>
      <c r="L13" s="140">
        <f>L31</f>
        <v>1295.9</v>
      </c>
      <c r="M13" s="140"/>
      <c r="N13" s="122"/>
      <c r="O13" s="122"/>
      <c r="P13" s="122"/>
      <c r="Q13" s="122"/>
    </row>
    <row s="201" customFormat="1" customHeight="1" ht="13.5">
      <c r="A14" s="149" t="s">
        <v>29</v>
      </c>
      <c r="B14" s="149"/>
      <c r="C14" s="150"/>
      <c r="D14" s="151"/>
      <c r="E14" s="151">
        <f>E32</f>
        <v>560.9</v>
      </c>
      <c r="F14" s="151" t="str">
        <f>_xlfn.IFERROR(E14/D14,"")</f>
        <v/>
      </c>
      <c r="G14" s="202"/>
      <c r="H14" s="151">
        <f>H32</f>
        <v>7081.5</v>
      </c>
      <c r="I14" s="151" t="str">
        <f>_xlfn.IFERROR(H14/G14,"")</f>
        <v/>
      </c>
      <c r="J14" s="151">
        <f>J32</f>
        <v>493.7</v>
      </c>
      <c r="K14" s="151"/>
      <c r="L14" s="151">
        <f>L32</f>
        <v>531.5</v>
      </c>
      <c r="M14" s="151"/>
      <c r="N14" s="177"/>
      <c r="O14" s="177"/>
      <c r="P14" s="177"/>
      <c r="Q14" s="177"/>
    </row>
    <row customHeight="1" ht="13.5">
      <c r="A15" s="152" t="s">
        <v>30</v>
      </c>
      <c r="B15" s="153"/>
      <c r="C15" s="132"/>
      <c r="D15" s="132"/>
      <c r="E15" s="140"/>
      <c r="F15" s="141"/>
      <c r="G15" s="132"/>
      <c r="H15" s="140"/>
      <c r="I15" s="141"/>
      <c r="J15" s="141"/>
      <c r="K15" s="141"/>
      <c r="L15" s="140"/>
      <c r="M15" s="141"/>
      <c r="N15" s="122"/>
      <c r="O15" s="122"/>
      <c r="P15" s="122"/>
      <c r="Q15" s="122"/>
    </row>
    <row customHeight="1" ht="13.5">
      <c r="A16" s="149" t="s">
        <v>31</v>
      </c>
      <c r="B16" s="149"/>
      <c r="C16" s="60" t="s">
        <v>32</v>
      </c>
      <c r="D16" s="159">
        <f>D33</f>
        <v>7250</v>
      </c>
      <c r="E16" s="140">
        <f>E33</f>
        <v>6964.03323099151</v>
      </c>
      <c r="F16" s="159">
        <f>_xlfn.IFERROR(D16-E16,"")</f>
        <v>285.96676900849</v>
      </c>
      <c r="G16" s="140">
        <f>G33</f>
        <v>7450</v>
      </c>
      <c r="H16" s="140">
        <f>H33</f>
        <v>7061.33008396595</v>
      </c>
      <c r="I16" s="140">
        <f>_xlfn.IFERROR(G16-H16,"")</f>
        <v>388.66991603405</v>
      </c>
      <c r="J16" s="140">
        <f>J33</f>
        <v>7075.36569836848</v>
      </c>
      <c r="K16" s="140"/>
      <c r="L16" s="140">
        <f>L33</f>
        <v>7211.49417833456</v>
      </c>
      <c r="M16" s="140"/>
      <c r="N16" s="122"/>
      <c r="O16" s="122"/>
      <c r="P16" s="122"/>
      <c r="Q16" s="122"/>
    </row>
    <row customHeight="1" ht="13.5">
      <c r="A17" s="149" t="s">
        <v>33</v>
      </c>
      <c r="B17" s="149"/>
      <c r="C17" s="60" t="s">
        <v>34</v>
      </c>
      <c r="D17" s="159">
        <f>D34</f>
        <v>0.42</v>
      </c>
      <c r="E17" s="140">
        <f>E34</f>
        <v>0.420985528932592</v>
      </c>
      <c r="F17" s="159">
        <f>_xlfn.IFERROR(D17-E17,"")</f>
        <v>-0.000985528932592017</v>
      </c>
      <c r="G17" s="140">
        <f>G34</f>
        <v>0.43</v>
      </c>
      <c r="H17" s="140">
        <f>H34</f>
        <v>0.417563958177872</v>
      </c>
      <c r="I17" s="140">
        <f>_xlfn.IFERROR(G17-H17,"")</f>
        <v>0.012436041822128</v>
      </c>
      <c r="J17" s="140">
        <f>J34</f>
        <v>0.423507249141549</v>
      </c>
      <c r="K17" s="140"/>
      <c r="L17" s="140">
        <f>L34</f>
        <v>0.394494604800781</v>
      </c>
      <c r="M17" s="140"/>
      <c r="N17" s="122"/>
      <c r="O17" s="122"/>
      <c r="P17" s="122"/>
      <c r="Q17" s="122"/>
    </row>
    <row customHeight="1" ht="13.5">
      <c r="A18" s="149" t="s">
        <v>35</v>
      </c>
      <c r="B18" s="149"/>
      <c r="C18" s="60" t="s">
        <v>34</v>
      </c>
      <c r="D18" s="159">
        <f>D35</f>
        <v>0.42</v>
      </c>
      <c r="E18" s="140">
        <f>E35</f>
        <v>0.413905180804129</v>
      </c>
      <c r="F18" s="159">
        <f>_xlfn.IFERROR(D18-E18,"")</f>
        <v>0.00609481919587096</v>
      </c>
      <c r="G18" s="140">
        <f>G35</f>
        <v>0.4</v>
      </c>
      <c r="H18" s="140">
        <f>H35</f>
        <v>0.380971000768874</v>
      </c>
      <c r="I18" s="140">
        <f>_xlfn.IFERROR(G18-H18,"")</f>
        <v>0.019028999231126</v>
      </c>
      <c r="J18" s="140">
        <f>J35</f>
        <v>0.394995984024118</v>
      </c>
      <c r="K18" s="140"/>
      <c r="L18" s="140">
        <f>L35</f>
        <v>0.365808684577625</v>
      </c>
      <c r="M18" s="140"/>
      <c r="N18" s="122"/>
      <c r="O18" s="122"/>
      <c r="P18" s="122"/>
      <c r="Q18" s="122"/>
    </row>
    <row customHeight="1" ht="13.5">
      <c r="A19" s="149" t="s">
        <v>36</v>
      </c>
      <c r="B19" s="149"/>
      <c r="C19" s="60" t="s">
        <v>34</v>
      </c>
      <c r="D19" s="159">
        <f>D36</f>
        <v>0</v>
      </c>
      <c r="E19" s="140" t="str">
        <f>E36</f>
        <v/>
      </c>
      <c r="F19" s="159" t="str">
        <f>_xlfn.IFERROR(D19-E19,"")</f>
        <v/>
      </c>
      <c r="G19" s="140">
        <f>G36</f>
        <v>1.38</v>
      </c>
      <c r="H19" s="140">
        <f>H36</f>
        <v>1.71624980759091</v>
      </c>
      <c r="I19" s="140">
        <f>_xlfn.IFERROR(G19-H19,"")</f>
        <v>-0.33624980759091</v>
      </c>
      <c r="J19" s="140" t="str">
        <f>J36</f>
        <v/>
      </c>
      <c r="K19" s="140"/>
      <c r="L19" s="140">
        <f>L36</f>
        <v>1.06528726396143</v>
      </c>
      <c r="M19" s="140"/>
      <c r="N19" s="122"/>
      <c r="O19" s="122"/>
      <c r="P19" s="122"/>
      <c r="Q19" s="122"/>
    </row>
    <row customHeight="1" ht="13.5">
      <c r="A20" s="149" t="s">
        <v>37</v>
      </c>
      <c r="B20" s="149"/>
      <c r="C20" s="60" t="s">
        <v>32</v>
      </c>
      <c r="D20" s="159">
        <f>D37</f>
        <v>1100</v>
      </c>
      <c r="E20" s="140">
        <f>E37</f>
        <v>862.519890284001</v>
      </c>
      <c r="F20" s="159">
        <f>_xlfn.IFERROR(D20-E20,"")</f>
        <v>237.480109715999</v>
      </c>
      <c r="G20" s="140">
        <f>G37</f>
        <v>1020</v>
      </c>
      <c r="H20" s="140">
        <f>H37</f>
        <v>935.047720632455</v>
      </c>
      <c r="I20" s="140">
        <f>_xlfn.IFERROR(G20-H20,"")</f>
        <v>84.952279367545</v>
      </c>
      <c r="J20" s="140">
        <f>J37</f>
        <v>965.917485265226</v>
      </c>
      <c r="K20" s="140"/>
      <c r="L20" s="140">
        <f>L37</f>
        <v>1095.72038122582</v>
      </c>
      <c r="M20" s="140"/>
      <c r="N20" s="122"/>
      <c r="O20" s="122"/>
      <c r="P20" s="122"/>
      <c r="Q20" s="122"/>
    </row>
    <row customHeight="1" ht="13.5">
      <c r="A21" s="149" t="s">
        <v>38</v>
      </c>
      <c r="B21" s="149"/>
      <c r="C21" s="203" t="s">
        <v>39</v>
      </c>
      <c r="D21" s="159">
        <f>D38</f>
        <v>2980</v>
      </c>
      <c r="E21" s="140">
        <f>E38</f>
        <v>2724.02</v>
      </c>
      <c r="F21" s="140"/>
      <c r="G21" s="140">
        <f>G38</f>
        <v>3400</v>
      </c>
      <c r="H21" s="140">
        <f>H38</f>
        <v>2485.28</v>
      </c>
      <c r="I21" s="140"/>
      <c r="J21" s="140">
        <f>J38</f>
        <v>2598</v>
      </c>
      <c r="K21" s="141"/>
      <c r="L21" s="140">
        <f>L38</f>
        <v>2612.62</v>
      </c>
      <c r="M21" s="141"/>
      <c r="N21" s="122"/>
      <c r="O21" s="122"/>
      <c r="P21" s="122"/>
      <c r="Q21" s="122"/>
    </row>
    <row customHeight="1" ht="14.25">
      <c r="A22" s="204" t="s">
        <v>40</v>
      </c>
      <c r="B22" s="205"/>
      <c r="C22" s="170"/>
      <c r="D22" s="170"/>
      <c r="E22" s="206"/>
      <c r="F22" s="207"/>
      <c r="G22" s="206"/>
      <c r="H22" s="206"/>
      <c r="I22" s="207"/>
      <c r="J22" s="208"/>
      <c r="K22" s="209" t="s">
        <v>42</v>
      </c>
      <c r="L22" s="176"/>
      <c r="M22" s="176"/>
      <c r="N22" s="122"/>
      <c r="O22" s="122"/>
      <c r="P22" s="122"/>
      <c r="Q22" s="122"/>
    </row>
    <row customHeight="1" ht="13.5">
      <c r="A23" s="177"/>
      <c r="B23" s="210"/>
      <c r="C23" s="210"/>
      <c r="D23" s="210"/>
      <c r="E23" s="211"/>
      <c r="F23" s="210"/>
      <c r="G23" s="210"/>
      <c r="H23" s="211"/>
      <c r="I23" s="210"/>
      <c r="J23" s="211"/>
      <c r="K23" s="210"/>
      <c r="L23" s="211"/>
      <c r="M23" s="210"/>
      <c r="N23" s="210"/>
      <c r="O23" s="210"/>
      <c r="P23" s="210"/>
      <c r="Q23" s="210"/>
    </row>
    <row customHeight="1" ht="13.5">
      <c r="A24" s="177"/>
      <c r="B24" s="210"/>
      <c r="C24" s="210"/>
      <c r="D24" s="210">
        <v>5000</v>
      </c>
      <c r="E24" s="210">
        <v>6490.02</v>
      </c>
      <c r="F24" s="210"/>
      <c r="G24" s="210">
        <v>83000</v>
      </c>
      <c r="H24" s="210">
        <v>89597.99</v>
      </c>
      <c r="I24" s="210"/>
      <c r="J24" s="210">
        <v>6116.41</v>
      </c>
      <c r="K24" s="210"/>
      <c r="L24" s="210">
        <v>8238.38</v>
      </c>
      <c r="M24" s="210"/>
      <c r="N24" s="210"/>
      <c r="O24" s="210"/>
      <c r="P24" s="210"/>
      <c r="Q24" s="210"/>
    </row>
    <row customHeight="1" ht="13.5">
      <c r="A25" s="177"/>
      <c r="B25" s="210"/>
      <c r="C25" s="210"/>
      <c r="D25" s="210"/>
      <c r="E25" s="210">
        <v>0</v>
      </c>
      <c r="F25" s="210"/>
      <c r="G25" s="212">
        <v>26300</v>
      </c>
      <c r="H25" s="210">
        <v>2857.9</v>
      </c>
      <c r="I25" s="210"/>
      <c r="J25" s="210">
        <v>0</v>
      </c>
      <c r="K25" s="210"/>
      <c r="L25" s="210">
        <v>2248</v>
      </c>
      <c r="M25" s="210"/>
      <c r="N25" s="210"/>
      <c r="O25" s="210"/>
      <c r="P25" s="210"/>
      <c r="Q25" s="210"/>
    </row>
    <row customHeight="1" ht="13.5">
      <c r="A26" s="177"/>
      <c r="B26" s="210"/>
      <c r="C26" s="210"/>
      <c r="D26" s="210"/>
      <c r="E26" s="210">
        <v>0</v>
      </c>
      <c r="F26" s="210"/>
      <c r="G26" s="212"/>
      <c r="H26" s="210">
        <v>0</v>
      </c>
      <c r="I26" s="210"/>
      <c r="J26" s="210">
        <v>0</v>
      </c>
      <c r="K26" s="210"/>
      <c r="L26" s="210">
        <v>0</v>
      </c>
      <c r="M26" s="210"/>
      <c r="N26" s="210"/>
      <c r="O26" s="210"/>
      <c r="P26" s="210"/>
      <c r="Q26" s="210"/>
    </row>
    <row customHeight="1" ht="13.5">
      <c r="A27" s="177"/>
      <c r="B27" s="210"/>
      <c r="C27" s="210"/>
      <c r="D27" s="210">
        <v>0</v>
      </c>
      <c r="E27" s="210">
        <v>0</v>
      </c>
      <c r="F27" s="210"/>
      <c r="G27" s="212"/>
      <c r="H27" s="210">
        <v>0</v>
      </c>
      <c r="I27" s="210"/>
      <c r="J27" s="210">
        <v>0</v>
      </c>
      <c r="K27" s="210"/>
      <c r="L27" s="210">
        <v>0</v>
      </c>
      <c r="M27" s="122"/>
      <c r="N27" s="210"/>
      <c r="O27" s="210"/>
      <c r="P27" s="210"/>
      <c r="Q27" s="210"/>
    </row>
    <row customHeight="1" ht="13.5">
      <c r="A28" s="177"/>
      <c r="B28" s="210"/>
      <c r="C28" s="210"/>
      <c r="D28" s="210"/>
      <c r="E28" s="210">
        <v>0</v>
      </c>
      <c r="F28" s="210"/>
      <c r="G28" s="213"/>
      <c r="H28" s="210">
        <v>0</v>
      </c>
      <c r="I28" s="210"/>
      <c r="J28" s="210">
        <v>0</v>
      </c>
      <c r="K28" s="210"/>
      <c r="L28" s="210">
        <v>0</v>
      </c>
      <c r="M28" s="210"/>
      <c r="N28" s="210"/>
      <c r="O28" s="210"/>
      <c r="P28" s="210"/>
      <c r="Q28" s="210"/>
    </row>
    <row customHeight="1" ht="13.5">
      <c r="A29" s="177"/>
      <c r="B29" s="210"/>
      <c r="C29" s="210"/>
      <c r="D29" s="210">
        <v>5000</v>
      </c>
      <c r="E29" s="210">
        <v>4813</v>
      </c>
      <c r="F29" s="210"/>
      <c r="G29" s="212">
        <v>74000</v>
      </c>
      <c r="H29" s="210">
        <v>63696</v>
      </c>
      <c r="I29" s="210"/>
      <c r="J29" s="210">
        <v>5605</v>
      </c>
      <c r="K29" s="210"/>
      <c r="L29" s="210">
        <v>6106</v>
      </c>
      <c r="M29" s="210"/>
      <c r="N29" s="210"/>
      <c r="O29" s="210"/>
      <c r="P29" s="210"/>
      <c r="Q29" s="210"/>
    </row>
    <row customHeight="1" ht="13.5">
      <c r="A30" s="177"/>
      <c r="B30" s="210"/>
      <c r="C30" s="210"/>
      <c r="D30" s="210"/>
      <c r="E30" s="210">
        <v>0</v>
      </c>
      <c r="F30" s="210"/>
      <c r="G30" s="212"/>
      <c r="H30" s="210">
        <v>0</v>
      </c>
      <c r="I30" s="210"/>
      <c r="J30" s="210">
        <v>0</v>
      </c>
      <c r="K30" s="210"/>
      <c r="L30" s="210">
        <v>0</v>
      </c>
      <c r="M30" s="210"/>
      <c r="N30" s="210"/>
      <c r="O30" s="210"/>
      <c r="P30" s="210"/>
      <c r="Q30" s="210"/>
    </row>
    <row customHeight="1" ht="13.5">
      <c r="A31" s="177"/>
      <c r="B31" s="210"/>
      <c r="C31" s="210"/>
      <c r="D31" s="210"/>
      <c r="E31" s="210">
        <v>473.2</v>
      </c>
      <c r="F31" s="210"/>
      <c r="G31" s="212"/>
      <c r="H31" s="210">
        <v>13767.94</v>
      </c>
      <c r="I31" s="210"/>
      <c r="J31" s="210">
        <v>780.8</v>
      </c>
      <c r="K31" s="210"/>
      <c r="L31" s="210">
        <v>1295.9</v>
      </c>
      <c r="M31" s="210"/>
      <c r="N31" s="210"/>
      <c r="O31" s="210"/>
      <c r="P31" s="210"/>
      <c r="Q31" s="210"/>
    </row>
    <row customHeight="1" ht="13.5">
      <c r="A32" s="177"/>
      <c r="B32" s="210"/>
      <c r="C32" s="210"/>
      <c r="D32" s="210"/>
      <c r="E32" s="214">
        <v>560.9</v>
      </c>
      <c r="F32" s="210"/>
      <c r="G32" s="210"/>
      <c r="H32" s="214">
        <v>7081.5</v>
      </c>
      <c r="I32" s="210"/>
      <c r="J32" s="214">
        <v>493.7</v>
      </c>
      <c r="K32" s="210"/>
      <c r="L32" s="214">
        <v>531.5</v>
      </c>
      <c r="M32" s="210"/>
      <c r="N32" s="210"/>
      <c r="O32" s="210"/>
      <c r="P32" s="210"/>
      <c r="Q32" s="210"/>
    </row>
    <row customHeight="1" ht="13.5">
      <c r="A33" s="177"/>
      <c r="B33" s="210"/>
      <c r="C33" s="210"/>
      <c r="D33" s="210">
        <v>7250</v>
      </c>
      <c r="E33" s="210">
        <f>_xlfn.IFERROR(SUM(E40)/E41,"")</f>
        <v>6964.03323099151</v>
      </c>
      <c r="F33" s="210"/>
      <c r="G33" s="210">
        <v>7450</v>
      </c>
      <c r="H33" s="210">
        <f>_xlfn.IFERROR(H40/H41,"")</f>
        <v>7061.33008396595</v>
      </c>
      <c r="I33" s="210"/>
      <c r="J33" s="210">
        <f>_xlfn.IFERROR(J40/J41,"")</f>
        <v>7075.36569836848</v>
      </c>
      <c r="K33" s="210"/>
      <c r="L33" s="210">
        <f>_xlfn.IFERROR(SUM(L40)/L41,"")</f>
        <v>7211.49417833456</v>
      </c>
      <c r="M33" s="210"/>
      <c r="N33" s="210"/>
      <c r="O33" s="210"/>
      <c r="P33" s="210"/>
      <c r="Q33" s="210"/>
    </row>
    <row customHeight="1" ht="13.5">
      <c r="A34" s="177"/>
      <c r="B34" s="210"/>
      <c r="C34" s="210"/>
      <c r="D34" s="210">
        <v>0.42</v>
      </c>
      <c r="E34" s="210">
        <f>_xlfn.IFERROR(E43/E44,"")</f>
        <v>0.420985528932592</v>
      </c>
      <c r="F34" s="210"/>
      <c r="G34" s="210">
        <v>0.43</v>
      </c>
      <c r="H34" s="210">
        <f>_xlfn.IFERROR(H43/H44,"")</f>
        <v>0.417563958177872</v>
      </c>
      <c r="I34" s="210"/>
      <c r="J34" s="210">
        <f>_xlfn.IFERROR(J43/J44,"")</f>
        <v>0.423507249141549</v>
      </c>
      <c r="K34" s="210">
        <f>_xlfn.IFERROR(SUM(J34/E34),"")</f>
        <v>1.00599004012169</v>
      </c>
      <c r="L34" s="210">
        <f>_xlfn.IFERROR(L43/L44,"")</f>
        <v>0.394494604800781</v>
      </c>
      <c r="M34" s="210"/>
      <c r="N34" s="210"/>
      <c r="O34" s="210"/>
      <c r="P34" s="210"/>
      <c r="Q34" s="210"/>
    </row>
    <row customHeight="1" ht="13.5">
      <c r="A35" s="177"/>
      <c r="B35" s="210"/>
      <c r="C35" s="210"/>
      <c r="D35" s="210">
        <v>0.42</v>
      </c>
      <c r="E35" s="210">
        <f>_xlfn.IFERROR(E46/E47,"")</f>
        <v>0.413905180804129</v>
      </c>
      <c r="F35" s="210"/>
      <c r="G35" s="210">
        <v>0.4</v>
      </c>
      <c r="H35" s="210">
        <f>_xlfn.IFERROR(H46/H47,"")</f>
        <v>0.380971000768874</v>
      </c>
      <c r="I35" s="210"/>
      <c r="J35" s="210">
        <f>_xlfn.IFERROR(J46/J47,"")</f>
        <v>0.394995984024118</v>
      </c>
      <c r="K35" s="210"/>
      <c r="L35" s="210">
        <f>_xlfn.IFERROR(L46/L47,"")</f>
        <v>0.365808684577625</v>
      </c>
      <c r="M35" s="210"/>
      <c r="N35" s="210"/>
      <c r="O35" s="210"/>
      <c r="P35" s="210"/>
      <c r="Q35" s="210"/>
    </row>
    <row customHeight="1" ht="13.5">
      <c r="A36" s="177"/>
      <c r="B36" s="210"/>
      <c r="C36" s="210"/>
      <c r="D36" s="210">
        <v>0</v>
      </c>
      <c r="E36" s="210" t="str">
        <f>_xlfn.IFERROR(E49/SUM(E50,E51),"")</f>
        <v/>
      </c>
      <c r="F36" s="210"/>
      <c r="G36" s="210">
        <v>1.38</v>
      </c>
      <c r="H36" s="210">
        <f>_xlfn.IFERROR(H49/SUM(H50,H51),"")</f>
        <v>1.71624980759091</v>
      </c>
      <c r="I36" s="210"/>
      <c r="J36" s="210" t="str">
        <f>_xlfn.IFERROR(J49/SUM(J50,J51),"")</f>
        <v/>
      </c>
      <c r="K36" s="210"/>
      <c r="L36" s="210">
        <f>_xlfn.IFERROR(L49/SUM(L50,L51),"")</f>
        <v>1.06528726396143</v>
      </c>
      <c r="M36" s="210"/>
      <c r="N36" s="210"/>
      <c r="O36" s="210"/>
      <c r="P36" s="210"/>
      <c r="Q36" s="210"/>
    </row>
    <row customHeight="1" ht="13.5">
      <c r="A37" s="177"/>
      <c r="B37" s="210"/>
      <c r="C37" s="210"/>
      <c r="D37" s="210">
        <v>1100</v>
      </c>
      <c r="E37" s="210">
        <f>_xlfn.IFERROR(E53/SUM(E54,E55,E56,E32),"")</f>
        <v>862.519890284001</v>
      </c>
      <c r="F37" s="210"/>
      <c r="G37" s="210">
        <v>1020</v>
      </c>
      <c r="H37" s="210">
        <f>_xlfn.IFERROR(H53/SUM(H54,H55,H56,H57),"")</f>
        <v>935.047720632455</v>
      </c>
      <c r="I37" s="210"/>
      <c r="J37" s="210">
        <f>_xlfn.IFERROR(J53/SUM(J54,J55,J56,J57),"")</f>
        <v>965.917485265226</v>
      </c>
      <c r="K37" s="210"/>
      <c r="L37" s="210">
        <f>_xlfn.IFERROR(L53/SUM(L54,L55,L56,L57),"")</f>
        <v>1095.72038122582</v>
      </c>
      <c r="M37" s="210"/>
      <c r="N37" s="210"/>
      <c r="O37" s="210"/>
      <c r="P37" s="210"/>
      <c r="Q37" s="210"/>
    </row>
    <row customHeight="1" ht="13.5">
      <c r="A38" s="177"/>
      <c r="B38" s="210"/>
      <c r="C38" s="210"/>
      <c r="D38" s="210">
        <v>2980</v>
      </c>
      <c r="E38" s="210">
        <v>2724.02</v>
      </c>
      <c r="F38" s="210"/>
      <c r="G38" s="210">
        <v>3400</v>
      </c>
      <c r="H38" s="210">
        <v>2485.28</v>
      </c>
      <c r="I38" s="210"/>
      <c r="J38" s="210">
        <v>2598</v>
      </c>
      <c r="K38" s="210"/>
      <c r="L38" s="210">
        <v>2612.62</v>
      </c>
      <c r="M38" s="210"/>
      <c r="N38" s="210"/>
      <c r="O38" s="210"/>
      <c r="P38" s="210"/>
      <c r="Q38" s="210"/>
    </row>
    <row customHeight="1" ht="13.5">
      <c r="A39" s="177"/>
      <c r="B39" s="210"/>
      <c r="C39" s="210"/>
      <c r="D39" s="210"/>
      <c r="E39" s="211"/>
      <c r="F39" s="210"/>
      <c r="G39" s="210"/>
      <c r="H39" s="211"/>
      <c r="I39" s="210"/>
      <c r="J39" s="211"/>
      <c r="K39" s="210"/>
      <c r="L39" s="211"/>
      <c r="M39" s="210"/>
      <c r="N39" s="210"/>
      <c r="O39" s="210"/>
      <c r="P39" s="210"/>
      <c r="Q39" s="210"/>
    </row>
    <row customHeight="1" ht="13.5">
      <c r="A40" s="177"/>
      <c r="B40" s="122"/>
      <c r="C40" s="122"/>
      <c r="D40" s="122"/>
      <c r="E40" s="210">
        <v>19279926</v>
      </c>
      <c r="F40" s="210"/>
      <c r="G40" s="210"/>
      <c r="H40" s="210">
        <v>245564815</v>
      </c>
      <c r="I40" s="210"/>
      <c r="J40" s="210">
        <v>17780394</v>
      </c>
      <c r="K40" s="210"/>
      <c r="L40" s="210">
        <v>24464994</v>
      </c>
      <c r="M40" s="210"/>
      <c r="N40" s="210"/>
      <c r="O40" s="210"/>
      <c r="P40" s="210"/>
      <c r="Q40" s="210"/>
    </row>
    <row customHeight="1" ht="13.5">
      <c r="A41" s="177"/>
      <c r="B41" s="122"/>
      <c r="C41" s="122"/>
      <c r="D41" s="122"/>
      <c r="E41" s="210">
        <v>2768.5</v>
      </c>
      <c r="F41" s="210"/>
      <c r="G41" s="210"/>
      <c r="H41" s="210">
        <v>34776</v>
      </c>
      <c r="I41" s="210"/>
      <c r="J41" s="210">
        <v>2513</v>
      </c>
      <c r="K41" s="210"/>
      <c r="L41" s="210">
        <v>3392.5</v>
      </c>
      <c r="M41" s="210"/>
      <c r="N41" s="210"/>
      <c r="O41" s="210"/>
      <c r="P41" s="210"/>
      <c r="Q41" s="210"/>
    </row>
    <row customHeight="1" ht="13.5">
      <c r="A42" s="177"/>
      <c r="B42" s="122"/>
      <c r="C42" s="122"/>
      <c r="D42" s="122"/>
      <c r="E42" s="211"/>
      <c r="F42" s="210"/>
      <c r="G42" s="210"/>
      <c r="H42" s="211"/>
      <c r="I42" s="210"/>
      <c r="J42" s="211"/>
      <c r="K42" s="210"/>
      <c r="L42" s="211"/>
      <c r="M42" s="210"/>
      <c r="N42" s="210"/>
      <c r="O42" s="210"/>
      <c r="P42" s="210"/>
      <c r="Q42" s="210"/>
    </row>
    <row customHeight="1" ht="13.5">
      <c r="A43" s="177"/>
      <c r="B43" s="122"/>
      <c r="C43" s="122"/>
      <c r="D43" s="122"/>
      <c r="E43" s="210">
        <v>5514.3</v>
      </c>
      <c r="F43" s="210"/>
      <c r="G43" s="210"/>
      <c r="H43" s="210">
        <v>79666.99</v>
      </c>
      <c r="I43" s="210"/>
      <c r="J43" s="210">
        <v>6216.07</v>
      </c>
      <c r="K43" s="210"/>
      <c r="L43" s="210">
        <v>7883.02</v>
      </c>
      <c r="M43" s="210"/>
      <c r="N43" s="210"/>
      <c r="O43" s="210"/>
      <c r="P43" s="210"/>
      <c r="Q43" s="210"/>
    </row>
    <row customHeight="1" ht="13.5">
      <c r="A44" s="177"/>
      <c r="B44" s="122"/>
      <c r="C44" s="122"/>
      <c r="D44" s="122"/>
      <c r="E44" s="210">
        <v>13098.55</v>
      </c>
      <c r="F44" s="210"/>
      <c r="G44" s="210"/>
      <c r="H44" s="210">
        <v>190789.91</v>
      </c>
      <c r="I44" s="210"/>
      <c r="J44" s="210">
        <v>14677.6</v>
      </c>
      <c r="K44" s="210"/>
      <c r="L44" s="210">
        <v>19982.58</v>
      </c>
      <c r="M44" s="210"/>
      <c r="N44" s="210"/>
      <c r="O44" s="210"/>
      <c r="P44" s="210"/>
      <c r="Q44" s="210"/>
    </row>
    <row customHeight="1" ht="13.5">
      <c r="A45" s="177"/>
      <c r="B45" s="122"/>
      <c r="C45" s="122"/>
      <c r="D45" s="122"/>
      <c r="E45" s="211"/>
      <c r="F45" s="210"/>
      <c r="G45" s="210"/>
      <c r="H45" s="211"/>
      <c r="I45" s="210"/>
      <c r="J45" s="211"/>
      <c r="K45" s="210"/>
      <c r="L45" s="211"/>
      <c r="M45" s="210"/>
      <c r="N45" s="210"/>
      <c r="O45" s="210"/>
      <c r="P45" s="210"/>
      <c r="Q45" s="210"/>
    </row>
    <row customHeight="1" ht="13.5">
      <c r="A46" s="177"/>
      <c r="B46" s="122"/>
      <c r="C46" s="122"/>
      <c r="D46" s="122"/>
      <c r="E46" s="210">
        <v>2768.5</v>
      </c>
      <c r="F46" s="210"/>
      <c r="G46" s="210"/>
      <c r="H46" s="210">
        <v>34743.9</v>
      </c>
      <c r="I46" s="210"/>
      <c r="J46" s="210">
        <v>2513</v>
      </c>
      <c r="K46" s="210"/>
      <c r="L46" s="210">
        <v>3194</v>
      </c>
      <c r="M46" s="210"/>
      <c r="N46" s="210"/>
      <c r="O46" s="210"/>
      <c r="P46" s="210"/>
      <c r="Q46" s="210"/>
    </row>
    <row customHeight="1" ht="13.5">
      <c r="A47" s="177"/>
      <c r="B47" s="122"/>
      <c r="C47" s="122"/>
      <c r="D47" s="122"/>
      <c r="E47" s="210">
        <v>6688.73</v>
      </c>
      <c r="F47" s="210"/>
      <c r="G47" s="210"/>
      <c r="H47" s="210">
        <v>91198.28</v>
      </c>
      <c r="I47" s="210"/>
      <c r="J47" s="210">
        <v>6362.09</v>
      </c>
      <c r="K47" s="210"/>
      <c r="L47" s="210">
        <v>8731.34</v>
      </c>
      <c r="M47" s="210"/>
      <c r="N47" s="210"/>
      <c r="O47" s="210"/>
      <c r="P47" s="210"/>
      <c r="Q47" s="210"/>
    </row>
    <row customHeight="1" ht="13.5">
      <c r="A48" s="177"/>
      <c r="B48" s="122"/>
      <c r="C48" s="122"/>
      <c r="D48" s="122"/>
      <c r="E48" s="211"/>
      <c r="F48" s="210"/>
      <c r="G48" s="210"/>
      <c r="H48" s="211"/>
      <c r="I48" s="210"/>
      <c r="J48" s="211"/>
      <c r="K48" s="210"/>
      <c r="L48" s="211"/>
      <c r="M48" s="210"/>
      <c r="N48" s="210"/>
      <c r="O48" s="210"/>
      <c r="P48" s="210"/>
      <c r="Q48" s="210"/>
    </row>
    <row customHeight="1" ht="13.5">
      <c r="A49" s="177"/>
      <c r="B49" s="122"/>
      <c r="C49" s="122"/>
      <c r="D49" s="122"/>
      <c r="E49" s="210">
        <v>0</v>
      </c>
      <c r="F49" s="210"/>
      <c r="G49" s="210"/>
      <c r="H49" s="210">
        <v>5240.38</v>
      </c>
      <c r="I49" s="210"/>
      <c r="J49" s="210">
        <v>510.4</v>
      </c>
      <c r="K49" s="210"/>
      <c r="L49" s="210">
        <v>2386.35</v>
      </c>
      <c r="M49" s="210"/>
      <c r="N49" s="210"/>
      <c r="O49" s="210"/>
      <c r="P49" s="210"/>
      <c r="Q49" s="210"/>
    </row>
    <row customHeight="1" ht="13.5">
      <c r="A50" s="177"/>
      <c r="B50" s="122"/>
      <c r="C50" s="122"/>
      <c r="D50" s="122"/>
      <c r="E50" s="210">
        <v>0</v>
      </c>
      <c r="F50" s="210"/>
      <c r="G50" s="210"/>
      <c r="H50" s="210">
        <v>3053.39</v>
      </c>
      <c r="I50" s="210"/>
      <c r="J50" s="210">
        <v>0</v>
      </c>
      <c r="K50" s="210"/>
      <c r="L50" s="210">
        <v>2240.1</v>
      </c>
      <c r="M50" s="210"/>
      <c r="N50" s="210"/>
      <c r="O50" s="210"/>
      <c r="P50" s="210"/>
      <c r="Q50" s="210"/>
    </row>
    <row customHeight="1" ht="13.5">
      <c r="A51" s="177"/>
      <c r="B51" s="122"/>
      <c r="C51" s="122"/>
      <c r="D51" s="122" t="s">
        <v>41</v>
      </c>
      <c r="E51" s="210">
        <v>0</v>
      </c>
      <c r="F51" s="210"/>
      <c r="G51" s="210"/>
      <c r="H51" s="210">
        <v>0</v>
      </c>
      <c r="I51" s="210"/>
      <c r="J51" s="210">
        <v>0</v>
      </c>
      <c r="K51" s="210"/>
      <c r="L51" s="210">
        <v>0</v>
      </c>
      <c r="M51" s="210"/>
      <c r="N51" s="210"/>
      <c r="O51" s="210"/>
      <c r="P51" s="210"/>
      <c r="Q51" s="210"/>
    </row>
    <row customHeight="1" ht="13.5">
      <c r="A52" s="177"/>
      <c r="B52" s="122"/>
      <c r="C52" s="122"/>
      <c r="D52" s="122" t="s">
        <v>43</v>
      </c>
      <c r="E52" s="211"/>
      <c r="F52" s="210"/>
      <c r="G52" s="210"/>
      <c r="H52" s="211"/>
      <c r="I52" s="210"/>
      <c r="J52" s="211"/>
      <c r="K52" s="210"/>
      <c r="L52" s="211"/>
      <c r="M52" s="210"/>
      <c r="N52" s="210"/>
      <c r="O52" s="210"/>
      <c r="P52" s="210"/>
      <c r="Q52" s="210"/>
    </row>
    <row customHeight="1" ht="13.5">
      <c r="A53" s="177"/>
      <c r="B53" s="122"/>
      <c r="C53" s="122"/>
      <c r="D53" s="122"/>
      <c r="E53" s="210">
        <v>5062733</v>
      </c>
      <c r="F53" s="210"/>
      <c r="G53" s="210"/>
      <c r="H53" s="210">
        <v>78984229</v>
      </c>
      <c r="I53" s="210"/>
      <c r="J53" s="210">
        <v>6637302</v>
      </c>
      <c r="K53" s="210"/>
      <c r="L53" s="210">
        <v>8243214</v>
      </c>
      <c r="M53" s="210"/>
      <c r="N53" s="210"/>
      <c r="O53" s="210"/>
      <c r="P53" s="210"/>
      <c r="Q53" s="210"/>
    </row>
    <row customHeight="1" ht="13.5">
      <c r="A54" s="177"/>
      <c r="B54" s="122"/>
      <c r="C54" s="122"/>
      <c r="D54" s="122"/>
      <c r="E54" s="210">
        <v>4818</v>
      </c>
      <c r="F54" s="210"/>
      <c r="G54" s="210"/>
      <c r="H54" s="210">
        <v>63730</v>
      </c>
      <c r="I54" s="210"/>
      <c r="J54" s="210">
        <v>5608.5</v>
      </c>
      <c r="K54" s="210"/>
      <c r="L54" s="210">
        <v>6091.8</v>
      </c>
      <c r="M54" s="210"/>
      <c r="N54" s="210"/>
      <c r="O54" s="210"/>
      <c r="P54" s="210"/>
      <c r="Q54" s="210"/>
    </row>
    <row customHeight="1" ht="13.5">
      <c r="A55" s="177"/>
      <c r="B55" s="122"/>
      <c r="C55" s="122"/>
      <c r="D55" s="122"/>
      <c r="E55" s="210">
        <v>0</v>
      </c>
      <c r="F55" s="210"/>
      <c r="G55" s="210"/>
      <c r="H55" s="210">
        <v>0</v>
      </c>
      <c r="I55" s="210"/>
      <c r="J55" s="210">
        <v>0</v>
      </c>
      <c r="K55" s="210"/>
      <c r="L55" s="210">
        <v>0</v>
      </c>
      <c r="M55" s="210"/>
      <c r="N55" s="210"/>
      <c r="O55" s="210"/>
      <c r="P55" s="210"/>
      <c r="Q55" s="210"/>
    </row>
    <row customHeight="1" ht="13.5">
      <c r="A56" s="177"/>
      <c r="B56" s="122"/>
      <c r="C56" s="122"/>
      <c r="D56" s="122"/>
      <c r="E56" s="177">
        <v>490.8</v>
      </c>
      <c r="F56" s="122"/>
      <c r="G56" s="122"/>
      <c r="H56" s="210">
        <v>13659.3</v>
      </c>
      <c r="I56" s="122"/>
      <c r="J56" s="210">
        <v>773</v>
      </c>
      <c r="K56" s="122"/>
      <c r="L56" s="177">
        <v>1431.3</v>
      </c>
      <c r="M56" s="122"/>
      <c r="N56" s="122"/>
      <c r="O56" s="122"/>
      <c r="P56" s="122"/>
      <c r="Q56" s="122"/>
    </row>
    <row customHeight="1" ht="13.5">
      <c r="A57" s="177"/>
      <c r="B57" s="122"/>
      <c r="C57" s="122"/>
      <c r="D57" s="122"/>
      <c r="E57" s="177"/>
      <c r="F57" s="122"/>
      <c r="G57" s="122"/>
      <c r="H57" s="215">
        <v>7081.5</v>
      </c>
      <c r="I57" s="122"/>
      <c r="J57" s="215">
        <v>490</v>
      </c>
      <c r="K57" s="122"/>
      <c r="L57" s="177"/>
      <c r="M57" s="122"/>
      <c r="N57" s="122"/>
      <c r="O57" s="122"/>
      <c r="P57" s="122"/>
      <c r="Q57" s="122"/>
    </row>
    <row customHeight="1" ht="13.5">
      <c r="A58" s="177"/>
      <c r="B58" s="122"/>
      <c r="C58" s="122"/>
      <c r="D58" s="122"/>
      <c r="E58" s="177"/>
      <c r="F58" s="122"/>
      <c r="G58" s="122"/>
      <c r="H58" s="177"/>
      <c r="I58" s="122"/>
      <c r="J58" s="177"/>
      <c r="K58" s="122"/>
      <c r="L58" s="177"/>
      <c r="M58" s="122"/>
      <c r="N58" s="122"/>
      <c r="O58" s="122"/>
      <c r="P58" s="122"/>
      <c r="Q58" s="122"/>
    </row>
    <row customHeight="1" ht="13.5">
      <c r="A59" s="177"/>
      <c r="B59" s="122"/>
      <c r="C59" s="122"/>
      <c r="D59" s="122"/>
      <c r="E59" s="177"/>
      <c r="F59" s="122"/>
      <c r="G59" s="122"/>
      <c r="H59" s="177"/>
      <c r="I59" s="122"/>
      <c r="J59" s="177"/>
      <c r="K59" s="122"/>
      <c r="L59" s="177"/>
      <c r="M59" s="122"/>
      <c r="N59" s="122"/>
      <c r="O59" s="122"/>
      <c r="P59" s="122"/>
      <c r="Q59" s="122"/>
    </row>
    <row customHeight="1" ht="13.5">
      <c r="A60" s="177"/>
      <c r="B60" s="122"/>
      <c r="C60" s="122"/>
      <c r="D60" s="122"/>
      <c r="E60" s="177"/>
      <c r="F60" s="122"/>
      <c r="G60" s="122"/>
      <c r="H60" s="177"/>
      <c r="I60" s="122"/>
      <c r="J60" s="177"/>
      <c r="K60" s="122"/>
      <c r="L60" s="177"/>
      <c r="M60" s="122"/>
      <c r="N60" s="122"/>
      <c r="O60" s="122"/>
      <c r="P60" s="122"/>
      <c r="Q60" s="122"/>
    </row>
    <row customHeight="1" ht="13.5">
      <c r="A61" s="177"/>
      <c r="B61" s="122"/>
      <c r="C61" s="122"/>
      <c r="D61" s="122"/>
      <c r="E61" s="177">
        <v>0</v>
      </c>
      <c r="F61" s="122"/>
      <c r="G61" s="122"/>
      <c r="H61" s="210">
        <v>0</v>
      </c>
      <c r="I61" s="122"/>
      <c r="J61" s="177"/>
      <c r="K61" s="122"/>
      <c r="L61" s="177">
        <v>0</v>
      </c>
      <c r="M61" s="122"/>
      <c r="N61" s="122"/>
      <c r="O61" s="122"/>
      <c r="P61" s="122"/>
      <c r="Q61" s="122"/>
    </row>
    <row customHeight="1" ht="13.5">
      <c r="A62" s="177"/>
      <c r="B62" s="122"/>
      <c r="C62" s="122"/>
      <c r="D62" s="122"/>
      <c r="E62" s="177"/>
      <c r="F62" s="122"/>
      <c r="G62" s="122"/>
      <c r="H62" s="177"/>
      <c r="I62" s="122"/>
      <c r="J62" s="177"/>
      <c r="K62" s="122"/>
      <c r="L62" s="177"/>
      <c r="M62" s="122"/>
      <c r="N62" s="122"/>
      <c r="O62" s="122"/>
      <c r="P62" s="122"/>
      <c r="Q62" s="122"/>
    </row>
    <row customHeight="1" ht="13.5">
      <c r="A63" s="177"/>
      <c r="B63" s="122"/>
      <c r="C63" s="122"/>
      <c r="D63" s="122"/>
      <c r="E63" s="177"/>
      <c r="F63" s="122"/>
      <c r="G63" s="122"/>
      <c r="H63" s="177"/>
      <c r="I63" s="122"/>
      <c r="J63" s="177"/>
      <c r="K63" s="122"/>
      <c r="L63" s="177"/>
      <c r="M63" s="122"/>
      <c r="N63" s="122"/>
      <c r="O63" s="122"/>
      <c r="P63" s="122"/>
      <c r="Q63" s="122"/>
    </row>
    <row customHeight="1" ht="13.5">
      <c r="A64" s="177"/>
      <c r="B64" s="122"/>
      <c r="C64" s="122"/>
      <c r="D64" s="122"/>
      <c r="E64" s="177"/>
      <c r="F64" s="122"/>
      <c r="G64" s="122"/>
      <c r="H64" s="177"/>
      <c r="I64" s="122"/>
      <c r="J64" s="177"/>
      <c r="K64" s="122"/>
      <c r="L64" s="177"/>
      <c r="M64" s="122"/>
      <c r="N64" s="122"/>
      <c r="O64" s="122"/>
      <c r="P64" s="122"/>
      <c r="Q64" s="122"/>
    </row>
    <row customHeight="1" ht="13.5">
      <c r="A65" s="177"/>
      <c r="B65" s="122"/>
      <c r="C65" s="122"/>
      <c r="D65" s="122"/>
      <c r="E65" s="177"/>
      <c r="F65" s="122"/>
      <c r="G65" s="122"/>
      <c r="H65" s="177"/>
      <c r="I65" s="122"/>
      <c r="J65" s="177"/>
      <c r="K65" s="122"/>
      <c r="L65" s="177"/>
      <c r="M65" s="122"/>
      <c r="N65" s="122"/>
      <c r="O65" s="122"/>
      <c r="P65" s="122"/>
      <c r="Q65" s="122"/>
    </row>
  </sheetData>
  <mergeCells count="31">
    <mergeCell ref="G25:G27"/>
    <mergeCell ref="G29:G31"/>
    <mergeCell ref="A3:B4"/>
    <mergeCell ref="A14:B14"/>
    <mergeCell ref="C22:D22"/>
    <mergeCell ref="L22:M22"/>
    <mergeCell ref="A7:A8"/>
    <mergeCell ref="A9:A10"/>
    <mergeCell ref="D7:D10"/>
    <mergeCell ref="G7:G10"/>
    <mergeCell ref="G11:G13"/>
    <mergeCell ref="A17:B17"/>
    <mergeCell ref="A18:B18"/>
    <mergeCell ref="A19:B19"/>
    <mergeCell ref="A20:B20"/>
    <mergeCell ref="A21:B21"/>
    <mergeCell ref="A11:B11"/>
    <mergeCell ref="A12:B12"/>
    <mergeCell ref="A13:B13"/>
    <mergeCell ref="A15:B15"/>
    <mergeCell ref="A16:B16"/>
    <mergeCell ref="D3:F3"/>
    <mergeCell ref="G3:I3"/>
    <mergeCell ref="J3:M3"/>
    <mergeCell ref="A5:B5"/>
    <mergeCell ref="A6:B6"/>
    <mergeCell ref="A1:M1"/>
    <mergeCell ref="A2:C2"/>
    <mergeCell ref="D2:E2"/>
    <mergeCell ref="G2:H2"/>
    <mergeCell ref="J2:M2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生产计划指标完成情况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dhc</cp:lastModifiedBy>
  <dcterms:created xsi:type="dcterms:W3CDTF">2006-09-16T00:00:00Z</dcterms:created>
  <dcterms:modified xsi:type="dcterms:W3CDTF">2023-08-31T02:35:30Z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B83AEEC3EA1F404EA964DB3219E9AAF6</vt:lpwstr>
  </property>
  <property fmtid="{D5CDD505-2E9C-101B-9397-08002B2CF9AE}" pid="3" name="KSOProductBuildVer">
    <vt:lpwstr>2052-11.1.0.14309</vt:lpwstr>
  </property>
</Properties>
</file>