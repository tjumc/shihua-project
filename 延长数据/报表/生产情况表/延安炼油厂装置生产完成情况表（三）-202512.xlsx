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装置生产完成情况表（三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#Input("延炼_生产计划部_延炼装置生产完成情况表3_30万液化气精制装置_原料处理量",":key{{dw}}",":read")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#Input("延炼_生产计划部_延炼装置生产完成情况表3_30万气体分馏装置_原料处理量",":key{{dw}}",":read")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#Input("延炼_生产计划部_延炼装置生产完成情况表3_30万液化气精制装置_精制液化气",":key{{dw}}",":read")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#Input("延炼_生产计划部_延炼装置生产完成情况表3_30万气体分馏装置_燃料气",":key{{dw}}",":read")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#Input("延炼_生产计划部_延炼装置生产完成情况表3_30万液化气精制装置_不合格液化气",":key{{dw}}",":read")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#Input("延炼_生产计划部_延炼装置生产完成情况表3_30万气体分馏装置_丙烯",":key{{dw}}",":read")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#Input("延炼_生产计划部_延炼装置生产完成情况表3_30万液化气精制装置_酸性气",":key{{dw}}",":read")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#Input("延炼_生产计划部_延炼装置生产完成情况表3_30万气体分馏装置_丙烷",":key{{dw}}",":read")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#Input("延炼_生产计划部_延炼装置生产完成情况表3_30万液化气精制装置_加工损失",":key{{dw}}",":read")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#Input("延炼_生产计划部_延炼装置生产完成情况表3_30万气体分馏装置_碳四馏分",":key{{dw}}",":read")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#Input("延炼_生产计划部_延炼装置生产完成情况表3_30万气体分馏装置_戊烷馏分",":key{{dw}}",":read")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#Input("延炼_生产计划部_延炼装置生产完成情况表3_30万气体分馏装置_不合格丙烯",":key{{dw}}",":read")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#Input("延炼_生产计划部_延炼装置生产完成情况表3_30万气体分馏装置_加工损失",":key{{dw}}",":read")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#Input("延炼_生产计划部_延炼装置生产完成情况表3_30万气体分馏装置_掺炼丙烯量",":key{{dw}}",":read")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#Input("延炼_生产计划部_延炼装置生产完成情况表3_30万气体分馏装置_冲减后丙烯产量",":key{{dw}}",":read")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#Input("延炼_生产计划部_延炼装置生产完成情况表3_10万聚丙烯装置_原料处理量",":key{{dw}}",":read")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#Input("延炼_生产计划部_延炼装置生产完成情况表3_6万MTBE装置_原料处理量",":key{{dw}}",":read")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#Input("延炼_生产计划部_延炼装置生产完成情况表3_10万聚丙烯装置_聚丙烯产量合计",":key{{dw}}",":read")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#Input("延炼_生产计划部_延炼装置生产完成情况表3_6万MTBE装置_C4",":key{{dw}}",":read")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#Input("延炼_生产计划部_延炼装置生产完成情况表3_10万聚丙烯装置_聚丙烯粒料T30S",":key{{dw}}",":read")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#Input("延炼_生产计划部_延炼装置生产完成情况表3_6万MTBE装置_甲醇",":key{{dw}}",":read")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#Input("延炼_生产计划部_延炼装置生产完成情况表3_10万聚丙烯装置_聚丙烯粉料",":key{{dw}}",":read")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#Input("延炼_生产计划部_延炼装置生产完成情况表3_6万MTBE装置_MTBE",":key{{dw}}",":read")</t>
        </r>
      </text>
    </comment>
    <comment ref="D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#Input("延炼_生产计划部_延炼装置生产完成情况表3_10万聚丙烯装置_大块料",":key{{dw}}",":read")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#Input("延炼_生产计划部_延炼装置生产完成情况表3_6万MTBE装置_醚后C4",":key{{dw}}",":read")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#Input("延炼_生产计划部_延炼装置生产完成情况表3_10万聚丙烯装置_过度料",":key{{dw}}",":read")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#Input("延炼_生产计划部_延炼装置生产完成情况表3_6万MTBE装置_次品MTBE",":key{{dw}}",":read")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#Input("延炼_生产计划部_延炼装置生产完成情况表3_10万聚丙烯装置_粉尘料",":key{{dw}}",":read")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#Input("延炼_生产计划部_延炼装置生产完成情况表3_6万MTBE装置_加工损失",":key{{dw}}",":read")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#Input("延炼_生产计划部_延炼装置生产完成情况表3_10万聚丙烯装置_聚丙烯粒料T36F",":key{{dw}}",":read")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#Input("延炼_生产计划部_延炼装置生产完成情况表3_6万MTBE装置_异丁烯本月转换率",":key{{dw}}",":read")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#Input("延炼_生产计划部_延炼装置生产完成情况表3_6万MTBE装置_异丁烯本年转换率",":key{{dw}}",":read")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#Input("延炼_生产计划部_延炼装置生产完成情况表3_10万聚丙烯装置_轻度氧化处理品",":key{{dw}}",":read")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#Input("延炼_生产计划部_延炼装置生产完成情况表3_10万聚丙烯装置_回收气OG",":key{{dw}}",":read")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#Input("延炼_生产计划部_延炼装置生产完成情况表3_10万聚丙烯装置_加工损失",":key{{dw}}",":read")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#Input("延炼_延安炼油厂装置生产完成情况表（三）_单位负责人",":key{{dw}}")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#Input("延炼_延安炼油厂装置生产完成情况表（三）_填报人",":key{{dw}}")</t>
        </r>
      </text>
    </comment>
  </commentList>
</comments>
</file>

<file path=xl/sharedStrings.xml><?xml version="1.0" encoding="utf-8"?>
<sst xmlns="http://schemas.openxmlformats.org/spreadsheetml/2006/main" count="200" uniqueCount="58">
  <si>
    <t>延安炼油厂装置生产完成情况表（三）</t>
  </si>
  <si>
    <t>填报单位：生产计划部</t>
  </si>
  <si>
    <t/>
  </si>
  <si>
    <t>日期：</t>
  </si>
  <si>
    <t>2025-12</t>
  </si>
  <si>
    <t>陕油延炼计统YB106-3表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</si>
  <si>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</si>
  <si>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</si>
  <si>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</si>
  <si>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</si>
  <si>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</si>
  <si>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</si>
  <si>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</si>
  <si>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</si>
  <si>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 量</t>
  </si>
  <si>
    <t>收 率</t>
  </si>
  <si>
    <t>30
万
吨
液
化
气
精
制
装
置</t>
  </si>
  <si>
    <t>原料处理量</t>
  </si>
  <si>
    <t>/</t>
  </si>
  <si>
    <t>30
万
吨
气
体
分
馏
装
置</t>
  </si>
  <si>
    <t>精制液化气</t>
  </si>
  <si>
    <t>燃料气</t>
  </si>
  <si>
    <t>不合格液化气</t>
  </si>
  <si>
    <t>丙烯</t>
  </si>
  <si>
    <t>酸性气</t>
  </si>
  <si>
    <t>丙烷</t>
  </si>
  <si>
    <t>加工损失</t>
  </si>
  <si>
    <t>碳四馏分</t>
  </si>
  <si>
    <t>戊烷馏分</t>
  </si>
  <si>
    <t>不合格丙烯</t>
  </si>
  <si>
    <t>掺炼丙烯量</t>
  </si>
  <si>
    <t>冲减后丙烯产量</t>
  </si>
  <si>
    <t>10
万
吨
聚
丙
烯
装
置</t>
  </si>
  <si>
    <t>6
万
吨
MTBE
装
置</t>
  </si>
  <si>
    <t>聚丙烯产量合计</t>
  </si>
  <si>
    <t>其中：C4</t>
  </si>
  <si>
    <t>聚丙烯粒料T30S</t>
  </si>
  <si>
    <t>甲醇</t>
  </si>
  <si>
    <t>聚丙烯粉料</t>
  </si>
  <si>
    <t>MTBE</t>
  </si>
  <si>
    <t>大块料</t>
  </si>
  <si>
    <t>醚后C4</t>
  </si>
  <si>
    <t>过度料</t>
  </si>
  <si>
    <t>次品MTBE</t>
  </si>
  <si>
    <t>粉尘料</t>
  </si>
  <si>
    <t>聚丙烯粒料T36F</t>
  </si>
  <si>
    <t>异丁烯转化率</t>
  </si>
  <si>
    <t>轻度氧化处理品</t>
  </si>
  <si>
    <t>回收气OG</t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</si>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</sst>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\-mm\-dd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theme="1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8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58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/>
    </xf>
    <xf numFmtId="0" fontId="18" fillId="0" borderId="11" xfId="0" applyFont="1" applyBorder="1">
      <alignment horizontal="center" vertical="center"/>
    </xf>
    <xf numFmtId="0" fontId="18" fillId="0" borderId="10" xfId="0" applyFont="1" applyBorder="1">
      <alignment vertical="center"/>
    </xf>
    <xf numFmtId="171" fontId="18" fillId="7" borderId="10" xfId="0" applyFont="1" applyFill="1" applyBorder="1" applyNumberFormat="1">
      <alignment horizontal="right" vertical="center"/>
    </xf>
    <xf numFmtId="171" fontId="18" fillId="0" borderId="10" xfId="0" applyFont="1" applyBorder="1" applyNumberFormat="1">
      <alignment horizontal="right" vertical="center"/>
    </xf>
    <xf numFmtId="172" fontId="18" fillId="0" borderId="10" xfId="0" applyFont="1" applyBorder="1" applyNumberFormat="1">
      <alignment vertical="center"/>
    </xf>
    <xf numFmtId="172" fontId="18" fillId="0" borderId="11" xfId="0" applyFont="1" applyBorder="1" applyNumberFormat="1">
      <alignment vertical="center"/>
    </xf>
    <xf numFmtId="0" fontId="18" fillId="7" borderId="10" xfId="0" applyFont="1" applyFill="1" applyBorder="1">
      <alignment horizontal="right" vertical="center"/>
    </xf>
    <xf numFmtId="172" fontId="18" fillId="0" borderId="10" xfId="0" applyFont="1" applyBorder="1" applyNumberFormat="1">
      <alignment horizontal="center" vertical="center"/>
    </xf>
    <xf numFmtId="0" fontId="18" fillId="0" borderId="11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3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4" xfId="0" applyFont="1" applyBorder="1">
      <alignment horizontal="right" vertical="center"/>
    </xf>
    <xf numFmtId="172" fontId="18" fillId="0" borderId="11" xfId="0" applyFont="1" applyBorder="1" applyNumberFormat="1">
      <alignment horizontal="center" vertical="center"/>
    </xf>
    <xf numFmtId="0" fontId="18" fillId="0" borderId="10" xfId="0" applyFont="1" applyBorder="1">
      <alignment vertical="center"/>
    </xf>
    <xf numFmtId="171" fontId="18" fillId="7" borderId="10" xfId="0" applyFont="1" applyFill="1" applyBorder="1" applyNumberFormat="1">
      <alignment horizontal="right" vertical="center"/>
    </xf>
    <xf numFmtId="171" fontId="18" fillId="0" borderId="10" xfId="0" applyFont="1" applyBorder="1" applyNumberFormat="1">
      <alignment horizontal="right" vertical="center"/>
    </xf>
    <xf numFmtId="172" fontId="18" fillId="0" borderId="10" xfId="0" applyFont="1" applyBorder="1" applyNumberFormat="1">
      <alignment vertical="center"/>
    </xf>
    <xf numFmtId="0" fontId="18" fillId="0" borderId="10" xfId="0" applyFont="1" applyBorder="1">
      <alignment horizontal="right" vertical="center"/>
    </xf>
    <xf numFmtId="171" fontId="18" fillId="0" borderId="10" xfId="0" applyFont="1" applyBorder="1" applyNumberFormat="1">
      <alignment horizontal="right" vertical="center"/>
    </xf>
    <xf numFmtId="0" fontId="18" fillId="0" borderId="11" xfId="0" applyFont="1" applyBorder="1">
      <alignment horizontal="right" vertical="center"/>
    </xf>
    <xf numFmtId="0" fontId="18" fillId="0" borderId="15" xfId="0" applyFont="1" applyBorder="1"/>
    <xf numFmtId="0" fontId="18" fillId="0" borderId="15" xfId="0" applyFont="1" applyBorder="1">
      <alignment horizontal="right" vertical="center"/>
    </xf>
    <xf numFmtId="0" fontId="18" fillId="7" borderId="15" xfId="0" applyFont="1" applyFill="1" applyBorder="1">
      <alignment horizontal="left" vertical="center"/>
    </xf>
    <xf numFmtId="0" fontId="18" fillId="0" borderId="0" xfId="0" applyFont="1"/>
    <xf numFmtId="0" fontId="19" fillId="0" borderId="0" xfId="0" applyFont="1">
      <alignment vertical="top"/>
    </xf>
    <xf numFmtId="173" fontId="19" fillId="0" borderId="0" xfId="0" applyFont="1" applyNumberFormat="1">
      <alignment vertical="top"/>
    </xf>
    <xf numFmtId="173" fontId="0" fillId="0" borderId="0" xfId="0" applyFont="1" applyNumberFormat="1"/>
    <xf numFmtId="2" fontId="18" fillId="7" borderId="10" xfId="0" applyFont="1" applyFill="1" applyBorder="1" applyNumberFormat="1">
      <alignment horizontal="right" vertical="center"/>
    </xf>
    <xf numFmtId="0" fontId="18" fillId="0" borderId="15" xfId="0" applyFont="1" applyBorder="1">
      <alignment horizontal="right" vertical="center"/>
    </xf>
    <xf numFmtId="173" fontId="18" fillId="0" borderId="15" xfId="0" applyFont="1" applyBorder="1" applyNumberFormat="1">
      <alignment horizontal="left" vertical="center"/>
    </xf>
    <xf numFmtId="0" fontId="18" fillId="0" borderId="16" xfId="0" applyFont="1" applyBorder="1">
      <alignment horizontal="center" vertical="center" wrapText="1"/>
    </xf>
    <xf numFmtId="0" fontId="18" fillId="0" borderId="17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/>
    </xf>
    <xf numFmtId="0" fontId="18" fillId="0" borderId="17" xfId="0" applyFont="1" applyBorder="1">
      <alignment horizontal="center" vertical="center"/>
    </xf>
    <xf numFmtId="0" fontId="18" fillId="0" borderId="18" xfId="0" applyFont="1" applyBorder="1">
      <alignment horizontal="center" vertical="center"/>
    </xf>
    <xf numFmtId="0" fontId="18" fillId="0" borderId="12" xfId="0" applyFont="1" applyBorder="1">
      <alignment horizontal="center" vertical="center"/>
    </xf>
    <xf numFmtId="0" fontId="20" fillId="0" borderId="19" xfId="0" applyFont="1" applyBorder="1">
      <alignment horizontal="center" vertical="center"/>
    </xf>
    <xf numFmtId="0" fontId="20" fillId="0" borderId="15" xfId="0" applyFont="1" applyBorder="1">
      <alignment horizontal="center" vertical="center"/>
    </xf>
    <xf numFmtId="0" fontId="20" fillId="0" borderId="20" xfId="0" applyFont="1" applyBorder="1">
      <alignment horizontal="center" vertical="center"/>
    </xf>
    <xf numFmtId="0" fontId="18" fillId="0" borderId="21" xfId="0" applyFont="1" applyBorder="1">
      <alignment horizontal="center" vertical="center"/>
    </xf>
    <xf numFmtId="0" fontId="18" fillId="0" borderId="16" xfId="0" applyFont="1" applyBorder="1">
      <alignment horizontal="center" vertical="center"/>
    </xf>
    <xf numFmtId="0" fontId="18" fillId="0" borderId="22" xfId="0" applyFont="1" applyBorder="1">
      <alignment horizontal="center" vertical="center"/>
    </xf>
    <xf numFmtId="0" fontId="18" fillId="0" borderId="23" xfId="0" applyFont="1" applyBorder="1">
      <alignment horizontal="center" vertical="center"/>
    </xf>
    <xf numFmtId="0" fontId="18" fillId="0" borderId="24" xfId="0" applyFont="1" applyBorder="1">
      <alignment horizontal="center" vertical="center"/>
    </xf>
    <xf numFmtId="0" fontId="18" fillId="0" borderId="14" xfId="0" applyFont="1" applyBorder="1">
      <alignment horizontal="left" vertical="center"/>
    </xf>
    <xf numFmtId="0" fontId="18" fillId="0" borderId="25" xfId="0" applyFont="1" applyBorder="1">
      <alignment horizontal="left" vertical="center"/>
    </xf>
    <xf numFmtId="0" fontId="18" fillId="0" borderId="26" xfId="0" applyFont="1" applyBorder="1">
      <alignment horizontal="left" vertical="center"/>
    </xf>
    <xf numFmtId="0" fontId="18" fillId="0" borderId="14" xfId="0" applyFont="1" applyBorder="1">
      <alignment horizontal="right" vertical="center"/>
    </xf>
    <xf numFmtId="0" fontId="18" fillId="0" borderId="27" xfId="0" applyFont="1" applyBorder="1">
      <alignment horizontal="right" vertical="center"/>
    </xf>
    <xf numFmtId="0" fontId="0" fillId="0" borderId="0" xfId="0" applyFont="1">
      <alignment wrapText="1"/>
    </xf>
    <xf numFmtId="0" fontId="20" fillId="0" borderId="19" xfId="0" applyFont="1" applyBorder="1">
      <alignment horizontal="center" vertical="center" wrapText="1"/>
    </xf>
    <xf numFmtId="0" fontId="20" fillId="0" borderId="15" xfId="0" applyFont="1" applyBorder="1">
      <alignment horizontal="center" vertical="center" wrapText="1"/>
    </xf>
    <xf numFmtId="0" fontId="20" fillId="0" borderId="20" xfId="0" applyFont="1" applyBorder="1">
      <alignment horizontal="center" vertical="center" wrapText="1"/>
    </xf>
    <xf numFmtId="0" fontId="18" fillId="0" borderId="25" xfId="0" applyFont="1" applyBorder="1">
      <alignment horizontal="left" vertical="center" wrapText="1"/>
    </xf>
    <xf numFmtId="0" fontId="18" fillId="0" borderId="26" xfId="0" applyFont="1" applyBorder="1">
      <alignment horizontal="left" vertical="center" wrapText="1"/>
    </xf>
    <xf numFmtId="0" fontId="18" fillId="0" borderId="14" xfId="0" applyFont="1" applyBorder="1">
      <alignment vertical="center" wrapText="1"/>
    </xf>
    <xf numFmtId="0" fontId="18" fillId="0" borderId="14" xfId="0" applyFont="1" applyBorder="1">
      <alignment horizontal="right" vertical="center" wrapText="1"/>
    </xf>
    <xf numFmtId="0" fontId="18" fillId="0" borderId="14" xfId="0" applyFont="1" applyBorder="1">
      <alignment horizontal="left" vertical="center" wrapText="1"/>
    </xf>
    <xf numFmtId="0" fontId="18" fillId="0" borderId="14" xfId="0" applyFont="1" applyBorder="1">
      <alignment horizontal="right" vertical="center" wrapText="1"/>
    </xf>
    <xf numFmtId="0" fontId="18" fillId="0" borderId="27" xfId="0" applyFont="1" applyBorder="1">
      <alignment horizontal="right" vertical="center" wrapText="1"/>
    </xf>
    <xf numFmtId="0" fontId="18" fillId="0" borderId="21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22" xfId="0" applyFont="1" applyBorder="1">
      <alignment horizontal="center" vertical="center" wrapText="1"/>
    </xf>
    <xf numFmtId="0" fontId="18" fillId="0" borderId="23" xfId="0" applyFont="1" applyBorder="1">
      <alignment horizontal="center" vertical="center" wrapText="1"/>
    </xf>
    <xf numFmtId="0" fontId="18" fillId="0" borderId="24" xfId="0" applyFont="1" applyBorder="1">
      <alignment horizontal="center" vertical="center" wrapText="1"/>
    </xf>
    <xf numFmtId="0" fontId="18" fillId="0" borderId="16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6" xfId="0" applyFont="1" applyBorder="1">
      <alignment horizontal="center" vertical="center" wrapText="1"/>
    </xf>
    <xf numFmtId="0" fontId="18" fillId="0" borderId="10" xfId="0" applyFont="1" applyBorder="1">
      <alignment vertical="center" wrapText="1"/>
    </xf>
    <xf numFmtId="171" fontId="18" fillId="7" borderId="10" xfId="0" applyFont="1" applyFill="1" applyBorder="1" applyNumberFormat="1">
      <alignment horizontal="right" vertical="center" wrapText="1"/>
    </xf>
    <xf numFmtId="171" fontId="18" fillId="0" borderId="10" xfId="0" applyFont="1" applyBorder="1" applyNumberFormat="1">
      <alignment horizontal="right" vertical="center" wrapText="1"/>
    </xf>
    <xf numFmtId="171" fontId="18" fillId="0" borderId="10" xfId="0" applyFont="1" applyBorder="1" applyNumberFormat="1">
      <alignment horizontal="right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vertical="center" wrapText="1"/>
    </xf>
    <xf numFmtId="171" fontId="18" fillId="7" borderId="10" xfId="0" applyFont="1" applyFill="1" applyBorder="1" applyNumberFormat="1">
      <alignment horizontal="right" vertical="center" wrapText="1"/>
    </xf>
    <xf numFmtId="171" fontId="18" fillId="0" borderId="10" xfId="0" applyFont="1" applyBorder="1" applyNumberFormat="1">
      <alignment horizontal="right" vertical="center" wrapText="1"/>
    </xf>
    <xf numFmtId="0" fontId="18" fillId="0" borderId="17" xfId="0" applyFont="1" applyBorder="1">
      <alignment horizontal="center" vertical="center" wrapText="1"/>
    </xf>
    <xf numFmtId="172" fontId="18" fillId="0" borderId="10" xfId="0" applyFont="1" applyBorder="1" applyNumberFormat="1">
      <alignment vertical="center" wrapText="1"/>
    </xf>
    <xf numFmtId="172" fontId="18" fillId="0" borderId="11" xfId="0" applyFont="1" applyBorder="1" applyNumberFormat="1">
      <alignment vertical="center" wrapText="1"/>
    </xf>
    <xf numFmtId="0" fontId="18" fillId="7" borderId="10" xfId="0" applyFont="1" applyFill="1" applyBorder="1">
      <alignment horizontal="right" vertical="center" wrapText="1"/>
    </xf>
    <xf numFmtId="172" fontId="18" fillId="0" borderId="10" xfId="0" applyFont="1" applyBorder="1" applyNumberFormat="1">
      <alignment horizontal="center" vertical="center" wrapText="1"/>
    </xf>
    <xf numFmtId="172" fontId="18" fillId="0" borderId="11" xfId="0" applyFont="1" applyBorder="1" applyNumberFormat="1">
      <alignment horizontal="center" vertical="center" wrapText="1"/>
    </xf>
    <xf numFmtId="172" fontId="18" fillId="0" borderId="10" xfId="0" applyFont="1" applyBorder="1" applyNumberFormat="1">
      <alignment vertical="center" wrapText="1"/>
    </xf>
    <xf numFmtId="0" fontId="18" fillId="0" borderId="11" xfId="0" applyFont="1" applyBorder="1">
      <alignment vertical="center" wrapText="1"/>
    </xf>
    <xf numFmtId="0" fontId="18" fillId="0" borderId="17" xfId="0" applyFont="1" applyBorder="1">
      <alignment horizontal="center" vertical="center" wrapText="1"/>
    </xf>
    <xf numFmtId="0" fontId="18" fillId="0" borderId="10" xfId="0" applyFont="1" applyBorder="1">
      <alignment horizontal="right" vertical="center" wrapText="1"/>
    </xf>
    <xf numFmtId="2" fontId="18" fillId="7" borderId="10" xfId="0" applyFont="1" applyFill="1" applyBorder="1" applyNumberFormat="1">
      <alignment horizontal="right" vertical="center" wrapText="1"/>
    </xf>
    <xf numFmtId="0" fontId="18" fillId="0" borderId="11" xfId="0" applyFont="1" applyBorder="1">
      <alignment horizontal="right" vertical="center" wrapText="1"/>
    </xf>
    <xf numFmtId="0" fontId="18" fillId="0" borderId="18" xfId="0" applyFont="1" applyBorder="1">
      <alignment horizontal="center" vertical="center" wrapText="1"/>
    </xf>
    <xf numFmtId="0" fontId="18" fillId="0" borderId="12" xfId="0" applyFont="1" applyBorder="1">
      <alignment vertical="center" wrapText="1"/>
    </xf>
    <xf numFmtId="0" fontId="18" fillId="0" borderId="12" xfId="0" applyFont="1" applyBorder="1">
      <alignment horizontal="center" vertical="center" wrapText="1"/>
    </xf>
    <xf numFmtId="0" fontId="18" fillId="0" borderId="13" xfId="0" applyFont="1" applyBorder="1">
      <alignment vertical="center" wrapText="1"/>
    </xf>
    <xf numFmtId="0" fontId="0" fillId="0" borderId="0" xfId="0" applyFont="1"/>
    <xf numFmtId="0" fontId="0" fillId="0" borderId="0" xfId="0" applyFont="1">
      <alignment wrapText="1"/>
    </xf>
    <xf numFmtId="0" fontId="18" fillId="0" borderId="15" xfId="0" applyFont="1" applyBorder="1">
      <alignment wrapText="1"/>
    </xf>
    <xf numFmtId="0" fontId="18" fillId="0" borderId="15" xfId="0" applyFont="1" applyBorder="1">
      <alignment horizontal="right" vertical="center" wrapText="1"/>
    </xf>
    <xf numFmtId="0" fontId="18" fillId="7" borderId="15" xfId="0" applyFont="1" applyFill="1" applyBorder="1">
      <alignment horizontal="left" vertical="center" wrapText="1"/>
      <protection locked="0"/>
    </xf>
    <xf numFmtId="0" fontId="18" fillId="0" borderId="0" xfId="0" applyFont="1">
      <alignment wrapText="1"/>
    </xf>
    <xf numFmtId="0" fontId="18" fillId="0" borderId="15" xfId="0" applyFont="1" applyBorder="1">
      <alignment horizontal="right" vertical="center" wrapText="1"/>
    </xf>
    <xf numFmtId="173" fontId="18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19" fillId="0" borderId="0" xfId="0" applyFont="1">
      <alignment vertical="top" wrapText="1"/>
    </xf>
    <xf numFmtId="173" fontId="19" fillId="0" borderId="0" xfId="0" applyFont="1" applyNumberFormat="1">
      <alignment vertical="top" wrapText="1"/>
    </xf>
    <xf numFmtId="173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014A82-1DA8-BF59-4FA8-1F1B084EE988}" mc:Ignorable="x14ac xr xr2 xr3">
  <sheetPr>
    <pageSetUpPr fitToPage="1"/>
  </sheetPr>
  <dimension ref="A1:Q30"/>
  <sheetViews>
    <sheetView defaultGridColor="0" colorId="31" topLeftCell="A1" showGridLines="0" workbookViewId="0" tabSelected="1">
      <pane ySplit="5" topLeftCell="A6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3" max="3" width="16.7109375" customWidth="1"/>
    <col min="6" max="6" width="10.57421875" customWidth="1"/>
    <col min="10" max="10" width="9.00390625" customWidth="1"/>
    <col min="11" max="11" width="16.7109375" customWidth="1"/>
  </cols>
  <sheetData>
    <row customHeight="1" ht="2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customHeight="1" ht="27.75">
      <c r="A2" s="99"/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2"/>
    </row>
    <row customHeight="1" ht="20.25">
      <c r="A3" s="99"/>
      <c r="B3" s="103" t="s">
        <v>1</v>
      </c>
      <c r="C3" s="104"/>
      <c r="D3" s="105" t="s">
        <v>2</v>
      </c>
      <c r="E3" s="105" t="s">
        <v>2</v>
      </c>
      <c r="F3" s="106"/>
      <c r="G3" s="105"/>
      <c r="H3" s="106" t="s">
        <v>3</v>
      </c>
      <c r="I3" s="107" t="s">
        <v>4</v>
      </c>
      <c r="J3" s="107"/>
      <c r="K3" s="107"/>
      <c r="L3" s="108" t="s">
        <v>5</v>
      </c>
      <c r="M3" s="108"/>
      <c r="N3" s="108"/>
      <c r="O3" s="108"/>
      <c r="P3" s="108"/>
      <c r="Q3" s="109"/>
    </row>
    <row customHeight="1" ht="20.25">
      <c r="A4" s="99"/>
      <c r="B4" s="110" t="s">
        <v>6</v>
      </c>
      <c r="C4" s="111" t="s">
        <v>7</v>
      </c>
      <c r="D4" s="112" t="s">
        <v>8</v>
      </c>
      <c r="E4" s="113"/>
      <c r="F4" s="112" t="s">
        <v>9</v>
      </c>
      <c r="G4" s="113"/>
      <c r="H4" s="112" t="s">
        <v>10</v>
      </c>
      <c r="I4" s="113"/>
      <c r="J4" s="111" t="s">
        <v>6</v>
      </c>
      <c r="K4" s="111" t="s">
        <v>7</v>
      </c>
      <c r="L4" s="112" t="s">
        <v>8</v>
      </c>
      <c r="M4" s="113"/>
      <c r="N4" s="112" t="s">
        <v>9</v>
      </c>
      <c r="O4" s="113"/>
      <c r="P4" s="112" t="s">
        <v>10</v>
      </c>
      <c r="Q4" s="114"/>
    </row>
    <row customHeight="1" ht="20.25">
      <c r="A5" s="99"/>
      <c r="B5" s="115"/>
      <c r="C5" s="111"/>
      <c r="D5" s="116" t="s">
        <v>11</v>
      </c>
      <c r="E5" s="116" t="s">
        <v>12</v>
      </c>
      <c r="F5" s="116" t="s">
        <v>11</v>
      </c>
      <c r="G5" s="116" t="s">
        <v>13</v>
      </c>
      <c r="H5" s="116" t="s">
        <v>14</v>
      </c>
      <c r="I5" s="116" t="s">
        <v>15</v>
      </c>
      <c r="J5" s="111"/>
      <c r="K5" s="111"/>
      <c r="L5" s="116" t="s">
        <v>11</v>
      </c>
      <c r="M5" s="116" t="s">
        <v>12</v>
      </c>
      <c r="N5" s="116" t="s">
        <v>11</v>
      </c>
      <c r="O5" s="116" t="s">
        <v>13</v>
      </c>
      <c r="P5" s="116" t="s">
        <v>14</v>
      </c>
      <c r="Q5" s="117" t="s">
        <v>15</v>
      </c>
    </row>
    <row customHeight="1" ht="20.25">
      <c r="A6" s="99"/>
      <c r="B6" s="79" t="s">
        <v>16</v>
      </c>
      <c r="C6" s="119" t="s">
        <v>17</v>
      </c>
      <c r="D6" s="120">
        <f>取值!D6</f>
        <v>29009</v>
      </c>
      <c r="E6" s="121">
        <f>_xlfn.IFERROR(SUM(取值!E6,D6),"")</f>
        <v>333212</v>
      </c>
      <c r="F6" s="116" t="s">
        <v>18</v>
      </c>
      <c r="G6" s="116" t="s">
        <v>18</v>
      </c>
      <c r="H6" s="122">
        <f>取值!H6</f>
        <v>30335</v>
      </c>
      <c r="I6" s="116" t="s">
        <v>18</v>
      </c>
      <c r="J6" s="81" t="s">
        <v>19</v>
      </c>
      <c r="K6" s="124" t="s">
        <v>17</v>
      </c>
      <c r="L6" s="125">
        <f>取值!L6</f>
        <v>28916</v>
      </c>
      <c r="M6" s="126">
        <f>_xlfn.IFERROR(SUM(取值!M6,L6),"")</f>
        <v>332118</v>
      </c>
      <c r="N6" s="116" t="s">
        <v>18</v>
      </c>
      <c r="O6" s="116" t="s">
        <v>18</v>
      </c>
      <c r="P6" s="126">
        <f>取值!P6</f>
        <v>30242</v>
      </c>
      <c r="Q6" s="117" t="s">
        <v>18</v>
      </c>
    </row>
    <row customHeight="1" ht="20.25">
      <c r="A7" s="99"/>
      <c r="B7" s="80"/>
      <c r="C7" s="124" t="s">
        <v>20</v>
      </c>
      <c r="D7" s="120">
        <f>取值!D7</f>
        <v>28916</v>
      </c>
      <c r="E7" s="122">
        <f>_xlfn.IFERROR(SUM(取值!E7,D7),"")</f>
        <v>332118</v>
      </c>
      <c r="F7" s="128">
        <f>_xlfn.IFERROR(D7/D6*100,0)</f>
        <v>99.679409838326</v>
      </c>
      <c r="G7" s="128">
        <f>_xlfn.IFERROR(E7/E6*100,0)</f>
        <v>99.671680491699</v>
      </c>
      <c r="H7" s="122">
        <f>取值!H7</f>
        <v>30242</v>
      </c>
      <c r="I7" s="128">
        <f>_xlfn.IFERROR(H7/H6*100,0)</f>
        <v>99.6934234382726</v>
      </c>
      <c r="J7" s="111"/>
      <c r="K7" s="124" t="s">
        <v>21</v>
      </c>
      <c r="L7" s="125">
        <f>取值!L7</f>
        <v>1</v>
      </c>
      <c r="M7" s="122">
        <f>_xlfn.IFERROR(SUM(取值!M7,L7),"")</f>
        <v>166</v>
      </c>
      <c r="N7" s="128">
        <f>_xlfn.IFERROR(L7/L6*100,0)</f>
        <v>0.00345829298658182</v>
      </c>
      <c r="O7" s="128">
        <f>_xlfn.IFERROR(M7/M6*100,0)</f>
        <v>0.0499822352296473</v>
      </c>
      <c r="P7" s="122">
        <f>取值!P7</f>
        <v>2</v>
      </c>
      <c r="Q7" s="129">
        <f>_xlfn.IFERROR(P7/P6*100,0)</f>
        <v>0.00661331922491899</v>
      </c>
    </row>
    <row customHeight="1" ht="20.25">
      <c r="A8" s="99"/>
      <c r="B8" s="80"/>
      <c r="C8" s="124" t="s">
        <v>22</v>
      </c>
      <c r="D8" s="120">
        <f>取值!D8</f>
        <v>0</v>
      </c>
      <c r="E8" s="122">
        <f>_xlfn.IFERROR(SUM(取值!E8,D8),"")</f>
        <v>0</v>
      </c>
      <c r="F8" s="128">
        <f>_xlfn.IFERROR(D8/D6*100,0)</f>
        <v>0</v>
      </c>
      <c r="G8" s="128">
        <f>_xlfn.IFERROR(E8/E6*100,0)</f>
        <v>0</v>
      </c>
      <c r="H8" s="122">
        <f>取值!H8</f>
        <v>0</v>
      </c>
      <c r="I8" s="128">
        <f>_xlfn.IFERROR(H8/H6*100,0)</f>
        <v>0</v>
      </c>
      <c r="J8" s="111"/>
      <c r="K8" s="124" t="s">
        <v>23</v>
      </c>
      <c r="L8" s="125">
        <f>取值!L8</f>
        <v>8136</v>
      </c>
      <c r="M8" s="122">
        <f>_xlfn.IFERROR(SUM(取值!M8,L8),"")</f>
        <v>92386</v>
      </c>
      <c r="N8" s="128">
        <f>_xlfn.IFERROR(L8/L6*100,0)</f>
        <v>28.1366717388297</v>
      </c>
      <c r="O8" s="128">
        <f>_xlfn.IFERROR(M8/M6*100,0)</f>
        <v>27.8172215899168</v>
      </c>
      <c r="P8" s="122">
        <f>取值!P8</f>
        <v>8477</v>
      </c>
      <c r="Q8" s="129">
        <f>_xlfn.IFERROR(P8/P6*100,0)</f>
        <v>28.0305535348191</v>
      </c>
    </row>
    <row customHeight="1" ht="20.25">
      <c r="A9" s="99"/>
      <c r="B9" s="80"/>
      <c r="C9" s="124" t="s">
        <v>24</v>
      </c>
      <c r="D9" s="120">
        <f>取值!D9</f>
        <v>53</v>
      </c>
      <c r="E9" s="122">
        <f>_xlfn.IFERROR(SUM(取值!E9,D9),"")</f>
        <v>613</v>
      </c>
      <c r="F9" s="128">
        <f>_xlfn.IFERROR(D9/D6*100,0)</f>
        <v>0.182701920093764</v>
      </c>
      <c r="G9" s="128">
        <f>_xlfn.IFERROR(E9/E6*100,0)</f>
        <v>0.183966963974887</v>
      </c>
      <c r="H9" s="122">
        <f>取值!H9</f>
        <v>47</v>
      </c>
      <c r="I9" s="128">
        <f>_xlfn.IFERROR(H9/H6*100,0)</f>
        <v>0.154936541948245</v>
      </c>
      <c r="J9" s="111"/>
      <c r="K9" s="124" t="s">
        <v>25</v>
      </c>
      <c r="L9" s="125">
        <f>取值!L9</f>
        <v>2590</v>
      </c>
      <c r="M9" s="122">
        <f>_xlfn.IFERROR(SUM(取值!M9,L9),"")</f>
        <v>31882</v>
      </c>
      <c r="N9" s="128">
        <f>_xlfn.IFERROR(L9/L6*100,0)</f>
        <v>8.95697883524692</v>
      </c>
      <c r="O9" s="128">
        <f>_xlfn.IFERROR(M9/M6*100,0)</f>
        <v>9.59960014211816</v>
      </c>
      <c r="P9" s="122">
        <f>取值!P9</f>
        <v>3217</v>
      </c>
      <c r="Q9" s="129">
        <f>_xlfn.IFERROR(P9/P6*100,0)</f>
        <v>10.6375239732822</v>
      </c>
    </row>
    <row customHeight="1" ht="20.25">
      <c r="A10" s="99"/>
      <c r="B10" s="80"/>
      <c r="C10" s="124" t="s">
        <v>26</v>
      </c>
      <c r="D10" s="120">
        <f>_xlfn.IFERROR(D6-SUM(D7:D9),"")</f>
        <v>40</v>
      </c>
      <c r="E10" s="122">
        <f>_xlfn.IFERROR(SUM(取值!E10,D10),"")</f>
        <v>481</v>
      </c>
      <c r="F10" s="128">
        <f>_xlfn.IFERROR(D10/D6*100,0)</f>
        <v>0.137888241580199</v>
      </c>
      <c r="G10" s="128">
        <f>_xlfn.IFERROR(E10/E6*100,0)</f>
        <v>0.144352544326135</v>
      </c>
      <c r="H10" s="122">
        <f>取值!H10</f>
        <v>46</v>
      </c>
      <c r="I10" s="128">
        <f>_xlfn.IFERROR(H10/H6*100,0)</f>
        <v>0.151640019779133</v>
      </c>
      <c r="J10" s="111"/>
      <c r="K10" s="124" t="s">
        <v>27</v>
      </c>
      <c r="L10" s="125">
        <f>取值!L10</f>
        <v>16451</v>
      </c>
      <c r="M10" s="122">
        <f>_xlfn.IFERROR(SUM(取值!M10,L10),"")</f>
        <v>194448</v>
      </c>
      <c r="N10" s="128">
        <f>_xlfn.IFERROR(L10/L6*100,0)</f>
        <v>56.8923779222576</v>
      </c>
      <c r="O10" s="128">
        <f>_xlfn.IFERROR(M10/M6*100,0)</f>
        <v>58.5478655176775</v>
      </c>
      <c r="P10" s="122">
        <f>取值!P10</f>
        <v>17784</v>
      </c>
      <c r="Q10" s="129">
        <f>_xlfn.IFERROR(P10/P6*100,0)</f>
        <v>58.8056345479796</v>
      </c>
    </row>
    <row customHeight="1" ht="20.25">
      <c r="A11" s="99"/>
      <c r="B11" s="80"/>
      <c r="C11" s="124" t="s">
        <v>2</v>
      </c>
      <c r="D11" s="124" t="s">
        <v>2</v>
      </c>
      <c r="E11" s="124" t="s">
        <v>2</v>
      </c>
      <c r="F11" s="124" t="s">
        <v>2</v>
      </c>
      <c r="G11" s="124" t="s">
        <v>2</v>
      </c>
      <c r="H11" s="124" t="s">
        <v>2</v>
      </c>
      <c r="I11" s="124" t="s">
        <v>2</v>
      </c>
      <c r="J11" s="111"/>
      <c r="K11" s="124" t="s">
        <v>28</v>
      </c>
      <c r="L11" s="125">
        <f>取值!L11</f>
        <v>1645</v>
      </c>
      <c r="M11" s="122">
        <f>_xlfn.IFERROR(SUM(取值!M11,L11),"")</f>
        <v>12140</v>
      </c>
      <c r="N11" s="128">
        <f>_xlfn.IFERROR(L11/L6*100,0)</f>
        <v>5.6888919629271</v>
      </c>
      <c r="O11" s="128">
        <f>_xlfn.IFERROR(M11/M6*100,0)</f>
        <v>3.65532732342119</v>
      </c>
      <c r="P11" s="122">
        <f>取值!P11</f>
        <v>667</v>
      </c>
      <c r="Q11" s="129">
        <f>_xlfn.IFERROR(P11/P6*100,0)</f>
        <v>2.20554196151048</v>
      </c>
    </row>
    <row customHeight="1" ht="20.25">
      <c r="A12" s="99"/>
      <c r="B12" s="80"/>
      <c r="C12" s="124" t="s">
        <v>2</v>
      </c>
      <c r="D12" s="124" t="s">
        <v>2</v>
      </c>
      <c r="E12" s="124" t="s">
        <v>2</v>
      </c>
      <c r="F12" s="124" t="s">
        <v>2</v>
      </c>
      <c r="G12" s="124" t="s">
        <v>2</v>
      </c>
      <c r="H12" s="124"/>
      <c r="I12" s="124" t="s">
        <v>2</v>
      </c>
      <c r="J12" s="111"/>
      <c r="K12" s="124" t="s">
        <v>29</v>
      </c>
      <c r="L12" s="125">
        <f>取值!L12</f>
        <v>0</v>
      </c>
      <c r="M12" s="122">
        <f>_xlfn.IFERROR(SUM(取值!M12,L12),"")</f>
        <v>0</v>
      </c>
      <c r="N12" s="128">
        <f>_xlfn.IFERROR(L12/L6*100,0)</f>
        <v>0</v>
      </c>
      <c r="O12" s="128">
        <f>_xlfn.IFERROR(M12/M6*100,0)</f>
        <v>0</v>
      </c>
      <c r="P12" s="122">
        <f>取值!P12</f>
        <v>0</v>
      </c>
      <c r="Q12" s="129">
        <f>_xlfn.IFERROR(P12/P6*100,0)</f>
        <v>0</v>
      </c>
    </row>
    <row customHeight="1" ht="20.25">
      <c r="A13" s="99"/>
      <c r="B13" s="80"/>
      <c r="C13" s="124" t="s">
        <v>2</v>
      </c>
      <c r="D13" s="124" t="s">
        <v>2</v>
      </c>
      <c r="E13" s="124" t="s">
        <v>2</v>
      </c>
      <c r="F13" s="124" t="s">
        <v>2</v>
      </c>
      <c r="G13" s="124" t="s">
        <v>2</v>
      </c>
      <c r="H13" s="124"/>
      <c r="I13" s="124" t="s">
        <v>2</v>
      </c>
      <c r="J13" s="111"/>
      <c r="K13" s="124" t="s">
        <v>26</v>
      </c>
      <c r="L13" s="125">
        <f>_xlfn.IFERROR(L6-SUM(L7:L12),"")</f>
        <v>93</v>
      </c>
      <c r="M13" s="122">
        <f>_xlfn.IFERROR(SUM(取值!M13,L13),"")</f>
        <v>1096</v>
      </c>
      <c r="N13" s="128">
        <f>_xlfn.IFERROR(L13/L6*100,0)</f>
        <v>0.32162124775211</v>
      </c>
      <c r="O13" s="128">
        <f>_xlfn.IFERROR(M13/M6*100,0)</f>
        <v>0.330003191636707</v>
      </c>
      <c r="P13" s="122">
        <f>取值!P13</f>
        <v>95</v>
      </c>
      <c r="Q13" s="129">
        <f>_xlfn.IFERROR(P13/P6*100,0)</f>
        <v>0.314132663183652</v>
      </c>
    </row>
    <row customHeight="1" ht="20.25">
      <c r="A14" s="99"/>
      <c r="B14" s="80"/>
      <c r="C14" s="124" t="s">
        <v>2</v>
      </c>
      <c r="D14" s="124" t="s">
        <v>2</v>
      </c>
      <c r="E14" s="124" t="s">
        <v>2</v>
      </c>
      <c r="F14" s="124" t="s">
        <v>2</v>
      </c>
      <c r="G14" s="124" t="s">
        <v>2</v>
      </c>
      <c r="H14" s="124"/>
      <c r="I14" s="124" t="s">
        <v>2</v>
      </c>
      <c r="J14" s="111"/>
      <c r="K14" s="124" t="s">
        <v>30</v>
      </c>
      <c r="L14" s="130">
        <f>取值!L13</f>
        <v>0</v>
      </c>
      <c r="M14" s="122">
        <f>_xlfn.IFERROR(SUM(取值!M14,L14),"")</f>
        <v>191</v>
      </c>
      <c r="N14" s="131" t="s">
        <v>18</v>
      </c>
      <c r="O14" s="116" t="s">
        <v>18</v>
      </c>
      <c r="P14" s="122">
        <f>取值!P14</f>
        <v>0</v>
      </c>
      <c r="Q14" s="132" t="s">
        <v>18</v>
      </c>
    </row>
    <row customHeight="1" ht="20.25">
      <c r="A15" s="99"/>
      <c r="B15" s="80"/>
      <c r="C15" s="124" t="s">
        <v>2</v>
      </c>
      <c r="D15" s="124" t="s">
        <v>2</v>
      </c>
      <c r="E15" s="124" t="s">
        <v>2</v>
      </c>
      <c r="F15" s="124" t="s">
        <v>2</v>
      </c>
      <c r="G15" s="124" t="s">
        <v>2</v>
      </c>
      <c r="H15" s="124"/>
      <c r="I15" s="124" t="s">
        <v>2</v>
      </c>
      <c r="J15" s="111"/>
      <c r="K15" s="124" t="s">
        <v>31</v>
      </c>
      <c r="L15" s="130">
        <f>取值!L14</f>
        <v>8136</v>
      </c>
      <c r="M15" s="122">
        <f>_xlfn.IFERROR(SUM(取值!M15,L15),"")</f>
        <v>92195</v>
      </c>
      <c r="N15" s="133">
        <f>_xlfn.IFERROR(L15/(L6-L14)*100,0)</f>
        <v>28.1366717388297</v>
      </c>
      <c r="O15" s="133">
        <f>_xlfn.IFERROR(M15/(M6-M14)*100,0)</f>
        <v>27.7756856176207</v>
      </c>
      <c r="P15" s="122">
        <f>取值!P15</f>
        <v>8477</v>
      </c>
      <c r="Q15" s="133">
        <f>_xlfn.IFERROR(P15/(P6-P14)*100,0)</f>
        <v>28.0305535348191</v>
      </c>
    </row>
    <row customHeight="1" ht="20.25">
      <c r="A16" s="99"/>
      <c r="B16" s="80"/>
      <c r="C16" s="124" t="s">
        <v>2</v>
      </c>
      <c r="D16" s="124" t="s">
        <v>2</v>
      </c>
      <c r="E16" s="124" t="s">
        <v>2</v>
      </c>
      <c r="F16" s="124" t="s">
        <v>2</v>
      </c>
      <c r="G16" s="124" t="s">
        <v>2</v>
      </c>
      <c r="H16" s="124"/>
      <c r="I16" s="124" t="s">
        <v>2</v>
      </c>
      <c r="J16" s="111"/>
      <c r="K16" s="124" t="s">
        <v>2</v>
      </c>
      <c r="L16" s="124" t="s">
        <v>2</v>
      </c>
      <c r="M16" s="124" t="s">
        <v>2</v>
      </c>
      <c r="N16" s="124" t="s">
        <v>2</v>
      </c>
      <c r="O16" s="124" t="s">
        <v>2</v>
      </c>
      <c r="P16" s="124" t="s">
        <v>2</v>
      </c>
      <c r="Q16" s="134" t="s">
        <v>2</v>
      </c>
    </row>
    <row customHeight="1" ht="20.25">
      <c r="A17" s="99"/>
      <c r="B17" s="80"/>
      <c r="C17" s="124" t="s">
        <v>2</v>
      </c>
      <c r="D17" s="124" t="s">
        <v>2</v>
      </c>
      <c r="E17" s="124" t="s">
        <v>2</v>
      </c>
      <c r="F17" s="124" t="s">
        <v>2</v>
      </c>
      <c r="G17" s="124" t="s">
        <v>2</v>
      </c>
      <c r="H17" s="124"/>
      <c r="I17" s="124" t="s">
        <v>2</v>
      </c>
      <c r="J17" s="111"/>
      <c r="K17" s="124" t="s">
        <v>2</v>
      </c>
      <c r="L17" s="124" t="s">
        <v>2</v>
      </c>
      <c r="M17" s="124" t="s">
        <v>2</v>
      </c>
      <c r="N17" s="124" t="s">
        <v>2</v>
      </c>
      <c r="O17" s="124" t="s">
        <v>2</v>
      </c>
      <c r="P17" s="124" t="s">
        <v>2</v>
      </c>
      <c r="Q17" s="134" t="s">
        <v>2</v>
      </c>
    </row>
    <row customHeight="1" ht="20.25">
      <c r="A18" s="99"/>
      <c r="B18" s="80" t="s">
        <v>32</v>
      </c>
      <c r="C18" s="124" t="s">
        <v>17</v>
      </c>
      <c r="D18" s="125">
        <f>取值!D18</f>
        <v>9491</v>
      </c>
      <c r="E18" s="126">
        <f>_xlfn.IFERROR(SUM(D18,取值!E18),"")</f>
        <v>107779</v>
      </c>
      <c r="F18" s="116" t="s">
        <v>18</v>
      </c>
      <c r="G18" s="116" t="s">
        <v>18</v>
      </c>
      <c r="H18" s="126">
        <f>取值!H18</f>
        <v>9492</v>
      </c>
      <c r="I18" s="116" t="s">
        <v>18</v>
      </c>
      <c r="J18" s="81" t="s">
        <v>33</v>
      </c>
      <c r="K18" s="124" t="s">
        <v>17</v>
      </c>
      <c r="L18" s="125">
        <f>_xlfn.IFERROR(SUM(L19,L20),"")</f>
        <v>17726</v>
      </c>
      <c r="M18" s="122">
        <f>_xlfn.IFERROR(SUM(L18,取值!M18),"")</f>
        <v>209464</v>
      </c>
      <c r="N18" s="116" t="s">
        <v>18</v>
      </c>
      <c r="O18" s="116" t="s">
        <v>18</v>
      </c>
      <c r="P18" s="122">
        <f>取值!P18</f>
        <v>18992</v>
      </c>
      <c r="Q18" s="117" t="s">
        <v>18</v>
      </c>
    </row>
    <row customHeight="1" ht="20.25">
      <c r="A19" s="99"/>
      <c r="B19" s="135"/>
      <c r="C19" s="124" t="s">
        <v>34</v>
      </c>
      <c r="D19" s="125">
        <f>_xlfn.IFERROR(SUM(D20:D26),"")</f>
        <v>9121</v>
      </c>
      <c r="E19" s="122">
        <f>_xlfn.IFERROR(SUM(D19,取值!E19),"")</f>
        <v>103425.12</v>
      </c>
      <c r="F19" s="128">
        <f>_xlfn.IFERROR(D19/D18*100,0)</f>
        <v>96.1015699083342</v>
      </c>
      <c r="G19" s="128">
        <f>_xlfn.IFERROR(E19/E18*100,0)</f>
        <v>95.9603633360859</v>
      </c>
      <c r="H19" s="122">
        <f>取值!H19</f>
        <v>9108</v>
      </c>
      <c r="I19" s="128">
        <f>_xlfn.IFERROR(H19/H18*100,0)</f>
        <v>95.9544879898862</v>
      </c>
      <c r="J19" s="111"/>
      <c r="K19" s="136" t="s">
        <v>35</v>
      </c>
      <c r="L19" s="125">
        <f>取值!L19</f>
        <v>16471</v>
      </c>
      <c r="M19" s="122">
        <f>_xlfn.IFERROR(SUM(L19,取值!M19),"")</f>
        <v>194539</v>
      </c>
      <c r="N19" s="116" t="s">
        <v>18</v>
      </c>
      <c r="O19" s="116" t="s">
        <v>18</v>
      </c>
      <c r="P19" s="122">
        <f>取值!P19</f>
        <v>17587</v>
      </c>
      <c r="Q19" s="117" t="s">
        <v>18</v>
      </c>
    </row>
    <row customHeight="1" ht="20.25">
      <c r="A20" s="99"/>
      <c r="B20" s="135"/>
      <c r="C20" s="124" t="s">
        <v>36</v>
      </c>
      <c r="D20" s="125">
        <f>取值!D20</f>
        <v>9102</v>
      </c>
      <c r="E20" s="122">
        <f>_xlfn.IFERROR(SUM(D20,取值!E20),"")</f>
        <v>103329</v>
      </c>
      <c r="F20" s="128">
        <f>_xlfn.IFERROR(D20/D18*100,0)</f>
        <v>95.9013802549784</v>
      </c>
      <c r="G20" s="128">
        <f>_xlfn.IFERROR(E20/E18*100,0)</f>
        <v>95.8711808422791</v>
      </c>
      <c r="H20" s="122">
        <f>取值!H20</f>
        <v>9083</v>
      </c>
      <c r="I20" s="128">
        <f>_xlfn.IFERROR(H20/H18*100,0)</f>
        <v>95.6911083017278</v>
      </c>
      <c r="J20" s="111"/>
      <c r="K20" s="136" t="s">
        <v>37</v>
      </c>
      <c r="L20" s="125">
        <f>取值!L20</f>
        <v>1255</v>
      </c>
      <c r="M20" s="122">
        <f>_xlfn.IFERROR(SUM(L20,取值!M20),"")</f>
        <v>14925</v>
      </c>
      <c r="N20" s="116" t="s">
        <v>18</v>
      </c>
      <c r="O20" s="116" t="s">
        <v>18</v>
      </c>
      <c r="P20" s="122">
        <f>取值!P20</f>
        <v>1405</v>
      </c>
      <c r="Q20" s="117" t="s">
        <v>18</v>
      </c>
    </row>
    <row customHeight="1" ht="20.25">
      <c r="A21" s="99"/>
      <c r="B21" s="135"/>
      <c r="C21" s="124" t="s">
        <v>38</v>
      </c>
      <c r="D21" s="125">
        <f>取值!D21</f>
        <v>0</v>
      </c>
      <c r="E21" s="122">
        <f>_xlfn.IFERROR(SUM(D21,取值!E21),"")</f>
        <v>0</v>
      </c>
      <c r="F21" s="128">
        <f>_xlfn.IFERROR(D21/D18*100,0)</f>
        <v>0</v>
      </c>
      <c r="G21" s="128">
        <f>_xlfn.IFERROR(E21/E18*100,0)</f>
        <v>0</v>
      </c>
      <c r="H21" s="122">
        <f>取值!H21</f>
        <v>25</v>
      </c>
      <c r="I21" s="128">
        <f>_xlfn.IFERROR(H21/H18*100,0)</f>
        <v>0.263379688158449</v>
      </c>
      <c r="J21" s="111"/>
      <c r="K21" s="124" t="s">
        <v>39</v>
      </c>
      <c r="L21" s="125">
        <f>取值!L21</f>
        <v>3355</v>
      </c>
      <c r="M21" s="122">
        <f>_xlfn.IFERROR(SUM(L21,取值!M21),"")</f>
        <v>40319</v>
      </c>
      <c r="N21" s="128">
        <f>_xlfn.IFERROR(L21/L18*100,0)</f>
        <v>18.9269998871714</v>
      </c>
      <c r="O21" s="128">
        <f>_xlfn.IFERROR(M21/M18*100,0)</f>
        <v>19.2486537066035</v>
      </c>
      <c r="P21" s="122">
        <f>取值!P21</f>
        <v>3777</v>
      </c>
      <c r="Q21" s="129">
        <f>_xlfn.IFERROR(P21/P18*100,0)</f>
        <v>19.8873209772536</v>
      </c>
    </row>
    <row customHeight="1" ht="20.25">
      <c r="A22" s="99"/>
      <c r="B22" s="135"/>
      <c r="C22" s="124" t="s">
        <v>40</v>
      </c>
      <c r="D22" s="125">
        <f>取值!D22</f>
        <v>0</v>
      </c>
      <c r="E22" s="122">
        <f>_xlfn.IFERROR(SUM(D22,取值!E22),"")</f>
        <v>0</v>
      </c>
      <c r="F22" s="128">
        <f>_xlfn.IFERROR(D22/D18*100,0)</f>
        <v>0</v>
      </c>
      <c r="G22" s="128">
        <f>_xlfn.IFERROR(E22/E18*100,0)</f>
        <v>0</v>
      </c>
      <c r="H22" s="122">
        <f>取值!H22</f>
        <v>0</v>
      </c>
      <c r="I22" s="128">
        <f>_xlfn.IFERROR(H22/H18*100,0)</f>
        <v>0</v>
      </c>
      <c r="J22" s="111"/>
      <c r="K22" s="124" t="s">
        <v>41</v>
      </c>
      <c r="L22" s="125">
        <f>取值!L22</f>
        <v>14148</v>
      </c>
      <c r="M22" s="122">
        <f>_xlfn.IFERROR(SUM(L22,取值!M22),"")</f>
        <v>166720</v>
      </c>
      <c r="N22" s="128">
        <f>_xlfn.IFERROR(L22/L18*100,0)</f>
        <v>79.8149610741284</v>
      </c>
      <c r="O22" s="128">
        <f>_xlfn.IFERROR(M22/M18*100,0)</f>
        <v>79.593629454226</v>
      </c>
      <c r="P22" s="122">
        <f>取值!P22</f>
        <v>15154</v>
      </c>
      <c r="Q22" s="129">
        <f>_xlfn.IFERROR(P22/P18*100,0)</f>
        <v>79.7914911541702</v>
      </c>
    </row>
    <row customHeight="1" ht="20.25">
      <c r="A23" s="99"/>
      <c r="B23" s="135"/>
      <c r="C23" s="124" t="s">
        <v>42</v>
      </c>
      <c r="D23" s="125">
        <f>取值!D23</f>
        <v>0</v>
      </c>
      <c r="E23" s="122">
        <f>_xlfn.IFERROR(SUM(D23,取值!E23),"")</f>
        <v>48.78</v>
      </c>
      <c r="F23" s="128">
        <f>_xlfn.IFERROR(D23/D18*100,0)</f>
        <v>0</v>
      </c>
      <c r="G23" s="128">
        <f>_xlfn.IFERROR(E23/E18*100,0)</f>
        <v>0.0452592805648596</v>
      </c>
      <c r="H23" s="122">
        <f>取值!H23</f>
        <v>0</v>
      </c>
      <c r="I23" s="128">
        <f>_xlfn.IFERROR(H23/H18*100,0)</f>
        <v>0</v>
      </c>
      <c r="J23" s="111"/>
      <c r="K23" s="124" t="s">
        <v>43</v>
      </c>
      <c r="L23" s="125">
        <f>取值!L23</f>
        <v>0</v>
      </c>
      <c r="M23" s="122">
        <f>_xlfn.IFERROR(SUM(L23,取值!M23),"")</f>
        <v>0</v>
      </c>
      <c r="N23" s="128">
        <f>_xlfn.IFERROR(L23/L18*100,0)</f>
        <v>0</v>
      </c>
      <c r="O23" s="128">
        <f>_xlfn.IFERROR(M23/M18*100,0)</f>
        <v>0</v>
      </c>
      <c r="P23" s="122">
        <f>取值!P23</f>
        <v>0</v>
      </c>
      <c r="Q23" s="129">
        <f>_xlfn.IFERROR(P23/P18*100,0)</f>
        <v>0</v>
      </c>
    </row>
    <row customHeight="1" ht="20.25">
      <c r="A24" s="99"/>
      <c r="B24" s="135"/>
      <c r="C24" s="124" t="s">
        <v>44</v>
      </c>
      <c r="D24" s="125">
        <f>取值!D24</f>
        <v>19</v>
      </c>
      <c r="E24" s="122">
        <f>_xlfn.IFERROR(SUM(D24,取值!E24),"")</f>
        <v>47.34</v>
      </c>
      <c r="F24" s="128">
        <f>_xlfn.IFERROR(D24/D18*100,0)</f>
        <v>0.200189653355811</v>
      </c>
      <c r="G24" s="128">
        <f>_xlfn.IFERROR(E24/E18*100,0)</f>
        <v>0.0439232132419117</v>
      </c>
      <c r="H24" s="122">
        <f>取值!H24</f>
        <v>0</v>
      </c>
      <c r="I24" s="128">
        <f>_xlfn.IFERROR(H24/H18*100,0)</f>
        <v>0</v>
      </c>
      <c r="J24" s="111"/>
      <c r="K24" s="124" t="s">
        <v>26</v>
      </c>
      <c r="L24" s="125">
        <f>_xlfn.IFERROR(L18-SUM(L21:L23),"")</f>
        <v>223</v>
      </c>
      <c r="M24" s="122">
        <f>_xlfn.IFERROR(SUM(L24,取值!M24),"")</f>
        <v>2425</v>
      </c>
      <c r="N24" s="128">
        <f>_xlfn.IFERROR(L24/L18*100,0)</f>
        <v>1.25803903870021</v>
      </c>
      <c r="O24" s="128">
        <f>_xlfn.IFERROR(M24/M18*100,0)</f>
        <v>1.15771683917045</v>
      </c>
      <c r="P24" s="122">
        <f>取值!P24</f>
        <v>61</v>
      </c>
      <c r="Q24" s="129">
        <f>_xlfn.IFERROR(P24/P18*100,0)</f>
        <v>0.321187868576243</v>
      </c>
    </row>
    <row customHeight="1" ht="20.25">
      <c r="A25" s="99"/>
      <c r="B25" s="135"/>
      <c r="C25" s="124" t="s">
        <v>45</v>
      </c>
      <c r="D25" s="125">
        <f>取值!D25</f>
        <v>0</v>
      </c>
      <c r="E25" s="122">
        <f>_xlfn.IFERROR(SUM(D25,取值!E25),"")</f>
        <v>0</v>
      </c>
      <c r="F25" s="128">
        <f>_xlfn.IFERROR(D25/D18*100,0)</f>
        <v>0</v>
      </c>
      <c r="G25" s="128">
        <f>_xlfn.IFERROR(E25/E18*100,0)</f>
        <v>0</v>
      </c>
      <c r="H25" s="122">
        <f>取值!H25</f>
        <v>0</v>
      </c>
      <c r="I25" s="128">
        <f>_xlfn.IFERROR(H25/H18*100,0)</f>
        <v>0</v>
      </c>
      <c r="J25" s="111"/>
      <c r="K25" s="124" t="s">
        <v>46</v>
      </c>
      <c r="L25" s="137">
        <f>取值!L25</f>
        <v>99.34</v>
      </c>
      <c r="M25" s="137">
        <f>取值!M25</f>
        <v>99.69</v>
      </c>
      <c r="N25" s="124" t="s">
        <v>2</v>
      </c>
      <c r="O25" s="124" t="s">
        <v>2</v>
      </c>
      <c r="P25" s="122">
        <f>取值!P25</f>
        <v>99.9</v>
      </c>
      <c r="Q25" s="138">
        <f>取值!Q25</f>
        <v>99.89</v>
      </c>
    </row>
    <row customHeight="1" ht="20.25">
      <c r="A26" s="99"/>
      <c r="B26" s="135"/>
      <c r="C26" s="124" t="s">
        <v>47</v>
      </c>
      <c r="D26" s="125">
        <f>取值!D26</f>
        <v>0</v>
      </c>
      <c r="E26" s="122">
        <f>_xlfn.IFERROR(SUM(D26,取值!E26),"")</f>
        <v>0</v>
      </c>
      <c r="F26" s="128">
        <f>_xlfn.IFERROR(D26/D18*100,0)</f>
        <v>0</v>
      </c>
      <c r="G26" s="128">
        <f>_xlfn.IFERROR(E26/E18*100,0)</f>
        <v>0</v>
      </c>
      <c r="H26" s="122">
        <f>取值!H26</f>
        <v>0</v>
      </c>
      <c r="I26" s="128">
        <f>_xlfn.IFERROR(H26/H18*100,0)</f>
        <v>0</v>
      </c>
      <c r="J26" s="111"/>
      <c r="K26" s="124" t="s">
        <v>2</v>
      </c>
      <c r="L26" s="124" t="s">
        <v>2</v>
      </c>
      <c r="M26" s="124" t="s">
        <v>2</v>
      </c>
      <c r="N26" s="124" t="s">
        <v>2</v>
      </c>
      <c r="O26" s="124" t="s">
        <v>2</v>
      </c>
      <c r="P26" s="124" t="s">
        <v>2</v>
      </c>
      <c r="Q26" s="134" t="s">
        <v>2</v>
      </c>
    </row>
    <row customHeight="1" ht="20.25">
      <c r="A27" s="99"/>
      <c r="B27" s="135"/>
      <c r="C27" s="124" t="s">
        <v>48</v>
      </c>
      <c r="D27" s="125">
        <f>取值!D27</f>
        <v>288</v>
      </c>
      <c r="E27" s="122">
        <f>_xlfn.IFERROR(SUM(D27,取值!E27),"")</f>
        <v>3475</v>
      </c>
      <c r="F27" s="128">
        <f>_xlfn.IFERROR(D27/D18*100,0)</f>
        <v>3.03445369297229</v>
      </c>
      <c r="G27" s="128">
        <f>_xlfn.IFERROR(E27/E18*100,0)</f>
        <v>3.2241902411416</v>
      </c>
      <c r="H27" s="122">
        <f>取值!H27</f>
        <v>327</v>
      </c>
      <c r="I27" s="128">
        <f>_xlfn.IFERROR(H27/H18*100,0)</f>
        <v>3.44500632111252</v>
      </c>
      <c r="J27" s="111"/>
      <c r="K27" s="124" t="s">
        <v>2</v>
      </c>
      <c r="L27" s="124" t="s">
        <v>2</v>
      </c>
      <c r="M27" s="124" t="s">
        <v>2</v>
      </c>
      <c r="N27" s="124" t="s">
        <v>2</v>
      </c>
      <c r="O27" s="124" t="s">
        <v>2</v>
      </c>
      <c r="P27" s="124" t="s">
        <v>2</v>
      </c>
      <c r="Q27" s="134" t="s">
        <v>2</v>
      </c>
    </row>
    <row customHeight="1" ht="20.25">
      <c r="A28" s="99"/>
      <c r="B28" s="135"/>
      <c r="C28" s="124" t="s">
        <v>26</v>
      </c>
      <c r="D28" s="125">
        <f>_xlfn.IFERROR(D18-SUM(D20:D27),"")</f>
        <v>82</v>
      </c>
      <c r="E28" s="122">
        <f>_xlfn.IFERROR(SUM(D28,取值!E28),"")</f>
        <v>878.879999999999</v>
      </c>
      <c r="F28" s="128">
        <f>_xlfn.IFERROR(D28/D18*100,0)</f>
        <v>0.863976398693499</v>
      </c>
      <c r="G28" s="128">
        <f>_xlfn.IFERROR(E28/E18*100,0)</f>
        <v>0.815446422772524</v>
      </c>
      <c r="H28" s="122">
        <f>取值!H28</f>
        <v>57</v>
      </c>
      <c r="I28" s="128">
        <f>_xlfn.IFERROR(H28/H18*100,0)</f>
        <v>0.600505689001264</v>
      </c>
      <c r="J28" s="111"/>
      <c r="K28" s="124" t="s">
        <v>2</v>
      </c>
      <c r="L28" s="124" t="s">
        <v>2</v>
      </c>
      <c r="M28" s="124" t="s">
        <v>2</v>
      </c>
      <c r="N28" s="124" t="s">
        <v>2</v>
      </c>
      <c r="O28" s="124" t="s">
        <v>2</v>
      </c>
      <c r="P28" s="124" t="s">
        <v>2</v>
      </c>
      <c r="Q28" s="134" t="s">
        <v>2</v>
      </c>
    </row>
    <row customHeight="1" ht="20.25">
      <c r="A29" s="99"/>
      <c r="B29" s="139"/>
      <c r="C29" s="140" t="s">
        <v>2</v>
      </c>
      <c r="D29" s="140" t="s">
        <v>2</v>
      </c>
      <c r="E29" s="140" t="s">
        <v>2</v>
      </c>
      <c r="F29" s="140" t="s">
        <v>2</v>
      </c>
      <c r="G29" s="140" t="s">
        <v>2</v>
      </c>
      <c r="H29" s="140" t="s">
        <v>2</v>
      </c>
      <c r="I29" s="140" t="s">
        <v>2</v>
      </c>
      <c r="J29" s="141"/>
      <c r="K29" s="140" t="s">
        <v>2</v>
      </c>
      <c r="L29" s="140" t="s">
        <v>2</v>
      </c>
      <c r="M29" s="140" t="s">
        <v>2</v>
      </c>
      <c r="N29" s="140" t="s">
        <v>2</v>
      </c>
      <c r="O29" s="140" t="s">
        <v>2</v>
      </c>
      <c r="P29" s="140" t="s">
        <v>2</v>
      </c>
      <c r="Q29" s="142" t="s">
        <v>2</v>
      </c>
    </row>
    <row s="143" customFormat="1" customHeight="1" ht="20.25">
      <c r="A30" s="144"/>
      <c r="B30" s="145"/>
      <c r="C30" s="146" t="s">
        <v>49</v>
      </c>
      <c r="D30" s="147" t="s">
        <v>50</v>
      </c>
      <c r="E30" s="145"/>
      <c r="F30" s="145"/>
      <c r="G30" s="145"/>
      <c r="H30" s="148"/>
      <c r="I30" s="149" t="s">
        <v>51</v>
      </c>
      <c r="J30" s="149"/>
      <c r="K30" s="147" t="s">
        <v>52</v>
      </c>
      <c r="L30" s="145"/>
      <c r="M30" s="145"/>
      <c r="N30" s="149" t="s">
        <v>53</v>
      </c>
      <c r="O30" s="149"/>
      <c r="P30" s="150">
        <f>_xlfn.IFERROR(取值!B3,"")</f>
        <v>46022</v>
      </c>
      <c r="Q30" s="150"/>
    </row>
  </sheetData>
  <mergeCells count="21">
    <mergeCell ref="B2:Q2"/>
    <mergeCell ref="B4:B5"/>
    <mergeCell ref="C4:C5"/>
    <mergeCell ref="D4:E4"/>
    <mergeCell ref="F4:G4"/>
    <mergeCell ref="H4:I4"/>
    <mergeCell ref="J4:J5"/>
    <mergeCell ref="K4:K5"/>
    <mergeCell ref="L4:M4"/>
    <mergeCell ref="N4:O4"/>
    <mergeCell ref="P4:Q4"/>
    <mergeCell ref="I3:K3"/>
    <mergeCell ref="B3:C3"/>
    <mergeCell ref="L3:Q3"/>
    <mergeCell ref="N30:O30"/>
    <mergeCell ref="P30:Q30"/>
    <mergeCell ref="B6:B17"/>
    <mergeCell ref="J6:J17"/>
    <mergeCell ref="B18:B29"/>
    <mergeCell ref="J18:J29"/>
    <mergeCell ref="I30:J30"/>
  </mergeCells>
  <pageMargins left="0.82" right="0.71" top="0.95" bottom="0.75" header="0.31" footer="0.31"/>
  <pageSetup paperSize="9" scale="79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C381D68-39B8-7628-B5FA-81368BCD2F88}" mc:Ignorable="x14ac xr xr2 xr3">
  <dimension ref="A1:Q31"/>
  <sheetViews>
    <sheetView defaultGridColor="0" colorId="31" topLeftCell="A7" workbookViewId="0">
      <selection activeCell="P18" sqref="P18"/>
    </sheetView>
  </sheetViews>
  <sheetFormatPr customHeight="1" defaultRowHeight="14.100000000000001"/>
  <sheetData>
    <row customHeight="1" ht="14.25">
      <c r="A1" s="151" t="s">
        <v>54</v>
      </c>
      <c r="B1" s="152" t="s">
        <v>4</v>
      </c>
      <c r="C1" s="151" t="s">
        <v>55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customHeight="1" ht="14.25">
      <c r="A2" s="99"/>
      <c r="B2" s="153" t="str">
        <f>EDATE(B1,1)</f>
        <v>46023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</row>
    <row customHeight="1" ht="14.25">
      <c r="A3" s="99"/>
      <c r="B3" s="154">
        <f>B2-1</f>
        <v>46022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customHeight="1" ht="14.10000000000000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customHeight="1" ht="14.25">
      <c r="A5" s="99"/>
      <c r="B5" s="99"/>
      <c r="C5" s="99"/>
      <c r="D5" s="99"/>
      <c r="E5" s="155" t="s">
        <v>56</v>
      </c>
      <c r="F5" s="99"/>
      <c r="G5" s="99"/>
      <c r="H5" s="155" t="s">
        <v>57</v>
      </c>
      <c r="I5" s="99"/>
      <c r="J5" s="99"/>
      <c r="K5" s="99"/>
      <c r="L5" s="99"/>
      <c r="M5" s="155" t="s">
        <v>56</v>
      </c>
      <c r="N5" s="99"/>
      <c r="O5" s="99"/>
      <c r="P5" s="155" t="s">
        <v>57</v>
      </c>
      <c r="Q5" s="99"/>
    </row>
    <row customHeight="1" ht="14.25">
      <c r="A6" s="99"/>
      <c r="B6" s="99"/>
      <c r="C6" s="99"/>
      <c r="D6" s="99">
        <v>29009</v>
      </c>
      <c r="E6" s="155">
        <v>304203</v>
      </c>
      <c r="F6" s="99"/>
      <c r="G6" s="99"/>
      <c r="H6" s="155">
        <v>30335</v>
      </c>
      <c r="I6" s="99"/>
      <c r="J6" s="99"/>
      <c r="K6" s="99"/>
      <c r="L6" s="99">
        <v>28916</v>
      </c>
      <c r="M6" s="155">
        <v>303202</v>
      </c>
      <c r="N6" s="99"/>
      <c r="O6" s="99"/>
      <c r="P6" s="155">
        <v>30242</v>
      </c>
      <c r="Q6" s="99"/>
    </row>
    <row customHeight="1" ht="14.25">
      <c r="A7" s="99"/>
      <c r="B7" s="99"/>
      <c r="C7" s="99"/>
      <c r="D7" s="99">
        <v>28916</v>
      </c>
      <c r="E7" s="155">
        <v>303202</v>
      </c>
      <c r="F7" s="99"/>
      <c r="G7" s="99"/>
      <c r="H7" s="155">
        <v>30242</v>
      </c>
      <c r="I7" s="99"/>
      <c r="J7" s="99"/>
      <c r="K7" s="99"/>
      <c r="L7" s="99">
        <v>1</v>
      </c>
      <c r="M7" s="155">
        <v>165</v>
      </c>
      <c r="N7" s="99"/>
      <c r="O7" s="99"/>
      <c r="P7" s="155">
        <v>2</v>
      </c>
      <c r="Q7" s="99"/>
    </row>
    <row customHeight="1" ht="14.25">
      <c r="A8" s="99"/>
      <c r="B8" s="99"/>
      <c r="C8" s="99"/>
      <c r="D8" s="99">
        <v>0</v>
      </c>
      <c r="E8" s="155">
        <v>0</v>
      </c>
      <c r="F8" s="99"/>
      <c r="G8" s="99"/>
      <c r="H8" s="155">
        <v>0</v>
      </c>
      <c r="I8" s="99"/>
      <c r="J8" s="99"/>
      <c r="K8" s="99"/>
      <c r="L8" s="99">
        <v>8136</v>
      </c>
      <c r="M8" s="155">
        <v>84250</v>
      </c>
      <c r="N8" s="99"/>
      <c r="O8" s="99"/>
      <c r="P8" s="155">
        <v>8477</v>
      </c>
      <c r="Q8" s="99"/>
    </row>
    <row customHeight="1" ht="14.25">
      <c r="A9" s="99"/>
      <c r="B9" s="99"/>
      <c r="C9" s="99"/>
      <c r="D9" s="99">
        <v>53</v>
      </c>
      <c r="E9" s="155">
        <v>560</v>
      </c>
      <c r="F9" s="99"/>
      <c r="G9" s="99"/>
      <c r="H9" s="155">
        <v>47</v>
      </c>
      <c r="I9" s="99"/>
      <c r="J9" s="99"/>
      <c r="K9" s="99"/>
      <c r="L9" s="99">
        <v>2590</v>
      </c>
      <c r="M9" s="155">
        <v>29292</v>
      </c>
      <c r="N9" s="99"/>
      <c r="O9" s="99"/>
      <c r="P9" s="155">
        <v>3217</v>
      </c>
      <c r="Q9" s="99"/>
    </row>
    <row customHeight="1" ht="14.25">
      <c r="A10" s="99"/>
      <c r="B10" s="99"/>
      <c r="C10" s="99"/>
      <c r="D10" s="99"/>
      <c r="E10" s="155">
        <v>441</v>
      </c>
      <c r="F10" s="99"/>
      <c r="G10" s="99"/>
      <c r="H10" s="155">
        <v>46</v>
      </c>
      <c r="I10" s="99"/>
      <c r="J10" s="99"/>
      <c r="K10" s="99"/>
      <c r="L10" s="99">
        <v>16451</v>
      </c>
      <c r="M10" s="155">
        <v>177997</v>
      </c>
      <c r="N10" s="99"/>
      <c r="O10" s="99"/>
      <c r="P10" s="155">
        <v>17784</v>
      </c>
      <c r="Q10" s="99"/>
    </row>
    <row customHeight="1" ht="14.25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>
        <v>1645</v>
      </c>
      <c r="M11" s="155">
        <v>10495</v>
      </c>
      <c r="N11" s="99"/>
      <c r="O11" s="99"/>
      <c r="P11" s="155">
        <v>667</v>
      </c>
      <c r="Q11" s="99"/>
    </row>
    <row customHeight="1" ht="14.25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>
        <v>0</v>
      </c>
      <c r="M12" s="155">
        <v>0</v>
      </c>
      <c r="N12" s="99"/>
      <c r="O12" s="99"/>
      <c r="P12" s="155">
        <v>0</v>
      </c>
      <c r="Q12" s="99"/>
    </row>
    <row customHeight="1" ht="14.25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156">
        <v>0</v>
      </c>
      <c r="M13" s="155">
        <v>1003</v>
      </c>
      <c r="N13" s="99"/>
      <c r="O13" s="99"/>
      <c r="P13" s="155">
        <v>95</v>
      </c>
      <c r="Q13" s="99"/>
    </row>
    <row customHeight="1" ht="14.25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56">
        <v>8136</v>
      </c>
      <c r="M14" s="155">
        <v>191</v>
      </c>
      <c r="N14" s="99"/>
      <c r="O14" s="99"/>
      <c r="P14" s="155">
        <v>0</v>
      </c>
      <c r="Q14" s="99"/>
    </row>
    <row customHeight="1" ht="14.2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155">
        <v>84059</v>
      </c>
      <c r="N15" s="99"/>
      <c r="O15" s="99"/>
      <c r="P15" s="155">
        <v>8477</v>
      </c>
      <c r="Q15" s="99"/>
    </row>
    <row customHeight="1" ht="14.100000000000001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</row>
    <row customHeight="1" ht="14.25">
      <c r="A17" s="99"/>
      <c r="B17" s="99"/>
      <c r="C17" s="99"/>
      <c r="D17" s="99"/>
      <c r="E17" s="155" t="s">
        <v>56</v>
      </c>
      <c r="F17" s="157"/>
      <c r="G17" s="157"/>
      <c r="H17" s="155" t="s">
        <v>57</v>
      </c>
      <c r="I17" s="157"/>
      <c r="J17" s="157"/>
      <c r="K17" s="157"/>
      <c r="L17" s="157"/>
      <c r="M17" s="155" t="s">
        <v>56</v>
      </c>
      <c r="N17" s="157"/>
      <c r="O17" s="157"/>
      <c r="P17" s="155" t="s">
        <v>57</v>
      </c>
      <c r="Q17" s="99"/>
    </row>
    <row customHeight="1" ht="14.25">
      <c r="A18" s="99"/>
      <c r="B18" s="99"/>
      <c r="C18" s="99"/>
      <c r="D18" s="99">
        <v>9491</v>
      </c>
      <c r="E18" s="155">
        <v>98288</v>
      </c>
      <c r="F18" s="99"/>
      <c r="G18" s="99"/>
      <c r="H18" s="155">
        <v>9492</v>
      </c>
      <c r="I18" s="99"/>
      <c r="J18" s="99"/>
      <c r="K18" s="99"/>
      <c r="L18" s="99"/>
      <c r="M18" s="155">
        <v>191738</v>
      </c>
      <c r="N18" s="99"/>
      <c r="O18" s="99"/>
      <c r="P18" s="155">
        <v>18992</v>
      </c>
      <c r="Q18" s="99"/>
    </row>
    <row customHeight="1" ht="14.25">
      <c r="A19" s="99"/>
      <c r="B19" s="99"/>
      <c r="C19" s="99"/>
      <c r="D19" s="99"/>
      <c r="E19" s="155">
        <v>94304.12</v>
      </c>
      <c r="F19" s="99"/>
      <c r="G19" s="99"/>
      <c r="H19" s="155">
        <v>9108</v>
      </c>
      <c r="I19" s="99"/>
      <c r="J19" s="99"/>
      <c r="K19" s="99"/>
      <c r="L19" s="99">
        <v>16471</v>
      </c>
      <c r="M19" s="155">
        <v>178068</v>
      </c>
      <c r="N19" s="99"/>
      <c r="O19" s="99"/>
      <c r="P19" s="155">
        <v>17587</v>
      </c>
      <c r="Q19" s="99"/>
    </row>
    <row customHeight="1" ht="14.25">
      <c r="A20" s="99"/>
      <c r="B20" s="99"/>
      <c r="C20" s="99"/>
      <c r="D20" s="99">
        <v>9102</v>
      </c>
      <c r="E20" s="155">
        <v>94227</v>
      </c>
      <c r="F20" s="99"/>
      <c r="G20" s="99"/>
      <c r="H20" s="155">
        <v>9083</v>
      </c>
      <c r="I20" s="99"/>
      <c r="J20" s="99"/>
      <c r="K20" s="99"/>
      <c r="L20" s="99">
        <v>1255</v>
      </c>
      <c r="M20" s="155">
        <v>13670</v>
      </c>
      <c r="N20" s="99"/>
      <c r="O20" s="99"/>
      <c r="P20" s="155">
        <v>1405</v>
      </c>
      <c r="Q20" s="99"/>
    </row>
    <row customHeight="1" ht="14.25">
      <c r="A21" s="99"/>
      <c r="B21" s="99"/>
      <c r="C21" s="99"/>
      <c r="D21" s="99">
        <v>0</v>
      </c>
      <c r="E21" s="155">
        <v>0</v>
      </c>
      <c r="F21" s="99"/>
      <c r="G21" s="99"/>
      <c r="H21" s="155">
        <v>25</v>
      </c>
      <c r="I21" s="99"/>
      <c r="J21" s="99"/>
      <c r="K21" s="99"/>
      <c r="L21" s="99">
        <v>3355</v>
      </c>
      <c r="M21" s="155">
        <v>36964</v>
      </c>
      <c r="N21" s="99"/>
      <c r="O21" s="99"/>
      <c r="P21" s="155">
        <v>3777</v>
      </c>
      <c r="Q21" s="99"/>
    </row>
    <row customHeight="1" ht="14.25">
      <c r="A22" s="99"/>
      <c r="B22" s="99"/>
      <c r="C22" s="99"/>
      <c r="D22" s="99">
        <v>0</v>
      </c>
      <c r="E22" s="155">
        <v>0</v>
      </c>
      <c r="F22" s="99"/>
      <c r="G22" s="99"/>
      <c r="H22" s="155">
        <v>0</v>
      </c>
      <c r="I22" s="99"/>
      <c r="J22" s="99"/>
      <c r="K22" s="99"/>
      <c r="L22" s="99">
        <v>14148</v>
      </c>
      <c r="M22" s="155">
        <v>152572</v>
      </c>
      <c r="N22" s="99"/>
      <c r="O22" s="99"/>
      <c r="P22" s="155">
        <v>15154</v>
      </c>
      <c r="Q22" s="99"/>
    </row>
    <row customHeight="1" ht="14.25">
      <c r="A23" s="99"/>
      <c r="B23" s="99"/>
      <c r="C23" s="99"/>
      <c r="D23" s="99">
        <v>0</v>
      </c>
      <c r="E23" s="155">
        <v>48.78</v>
      </c>
      <c r="F23" s="99"/>
      <c r="G23" s="99"/>
      <c r="H23" s="155">
        <v>0</v>
      </c>
      <c r="I23" s="99"/>
      <c r="J23" s="99"/>
      <c r="K23" s="99"/>
      <c r="L23" s="99">
        <v>0</v>
      </c>
      <c r="M23" s="155">
        <v>0</v>
      </c>
      <c r="N23" s="99"/>
      <c r="O23" s="99"/>
      <c r="P23" s="155">
        <v>0</v>
      </c>
      <c r="Q23" s="99"/>
    </row>
    <row customHeight="1" ht="14.25">
      <c r="A24" s="99"/>
      <c r="B24" s="99"/>
      <c r="C24" s="99"/>
      <c r="D24" s="99">
        <v>19</v>
      </c>
      <c r="E24" s="155">
        <v>28.34</v>
      </c>
      <c r="F24" s="99"/>
      <c r="G24" s="99"/>
      <c r="H24" s="155">
        <v>0</v>
      </c>
      <c r="I24" s="99"/>
      <c r="J24" s="99"/>
      <c r="K24" s="99"/>
      <c r="L24" s="99"/>
      <c r="M24" s="155">
        <v>2202</v>
      </c>
      <c r="N24" s="99"/>
      <c r="O24" s="99"/>
      <c r="P24" s="155">
        <v>61</v>
      </c>
      <c r="Q24" s="99"/>
    </row>
    <row customHeight="1" ht="14.25">
      <c r="A25" s="99"/>
      <c r="B25" s="99"/>
      <c r="C25" s="99"/>
      <c r="D25" s="99">
        <v>0</v>
      </c>
      <c r="E25" s="155">
        <v>0</v>
      </c>
      <c r="F25" s="99"/>
      <c r="G25" s="99"/>
      <c r="H25" s="155">
        <v>0</v>
      </c>
      <c r="I25" s="99"/>
      <c r="J25" s="99"/>
      <c r="K25" s="99"/>
      <c r="L25" s="156">
        <v>99.34</v>
      </c>
      <c r="M25" s="156">
        <v>99.69</v>
      </c>
      <c r="N25" s="99"/>
      <c r="O25" s="99"/>
      <c r="P25" s="155">
        <v>99.9</v>
      </c>
      <c r="Q25" s="155">
        <v>99.89</v>
      </c>
    </row>
    <row customHeight="1" ht="14.25">
      <c r="A26" s="99"/>
      <c r="B26" s="99"/>
      <c r="C26" s="99"/>
      <c r="D26" s="99">
        <v>0</v>
      </c>
      <c r="E26" s="155">
        <v>0</v>
      </c>
      <c r="F26" s="99"/>
      <c r="G26" s="99"/>
      <c r="H26" s="155">
        <v>0</v>
      </c>
      <c r="I26" s="99"/>
      <c r="J26" s="99"/>
      <c r="K26" s="99"/>
      <c r="L26" s="99"/>
      <c r="M26" s="99"/>
      <c r="N26" s="99"/>
      <c r="O26" s="99"/>
      <c r="P26" s="99"/>
      <c r="Q26" s="99"/>
    </row>
    <row customHeight="1" ht="14.25">
      <c r="A27" s="99"/>
      <c r="B27" s="99"/>
      <c r="C27" s="99"/>
      <c r="D27" s="99">
        <v>288</v>
      </c>
      <c r="E27" s="155">
        <v>3187</v>
      </c>
      <c r="F27" s="99"/>
      <c r="G27" s="99"/>
      <c r="H27" s="155">
        <v>327</v>
      </c>
      <c r="I27" s="99"/>
      <c r="J27" s="99"/>
      <c r="K27" s="99"/>
      <c r="L27" s="99"/>
      <c r="M27" s="99"/>
      <c r="N27" s="99"/>
      <c r="O27" s="99"/>
      <c r="P27" s="99"/>
      <c r="Q27" s="99"/>
    </row>
    <row customHeight="1" ht="14.25">
      <c r="A28" s="99"/>
      <c r="B28" s="99"/>
      <c r="C28" s="99"/>
      <c r="D28" s="99"/>
      <c r="E28" s="155">
        <v>796.8799999999992</v>
      </c>
      <c r="F28" s="99"/>
      <c r="G28" s="99"/>
      <c r="H28" s="155">
        <v>57</v>
      </c>
      <c r="I28" s="99"/>
      <c r="J28" s="99"/>
      <c r="K28" s="99"/>
      <c r="L28" s="99"/>
      <c r="M28" s="99"/>
      <c r="N28" s="99"/>
      <c r="O28" s="99"/>
      <c r="P28" s="99"/>
      <c r="Q28" s="99"/>
    </row>
    <row customHeight="1" ht="14.10000000000000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</row>
    <row customHeight="1" ht="14.25">
      <c r="A30" s="99"/>
      <c r="B30" s="99"/>
      <c r="C30" s="99"/>
      <c r="D30" s="155" t="s">
        <v>50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</row>
    <row customHeight="1" ht="14.25">
      <c r="A31" s="99"/>
      <c r="B31" s="99"/>
      <c r="C31" s="99"/>
      <c r="D31" s="155" t="s">
        <v>52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延安炼油厂装置生产完成情况表（三）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2022-05-27T03:05:46Z</cp:lastPrinted>
  <dcterms:created xsi:type="dcterms:W3CDTF">2015-06-05T18:19:34Z</dcterms:created>
  <dcterms:modified xsi:type="dcterms:W3CDTF">2022-06-30T08:46:32Z</dcterms:modified>
</cp:coreProperties>
</file>