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炼油厂装置生产完成情况表（二）" sheetId="1" r:id="rId2"/>
    <sheet name="取值" sheetId="2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L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#Input("延炼_生产计划部_延炼装置生产完成情况表2_200万催化装置_原料处理量",":key{{dw}}",":read")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#Input("延炼_生产计划部_延炼装置生产完成情况表2_200万催化装置_1#渣油",":key{{dw}}",":read")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#Input("延炼_生产计划部_延炼装置生产完成情况表2_200万催化装置_石脑油Ⅲ",":key{{dw}}",":read")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#Input("延炼_生产计划部_延炼装置生产完成情况表2_200万催化装置_干气产量",":key{{dw}}",":read")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#Input("延炼_生产计划部_延炼装置生产完成情况表2_200万催化装置_液化气产量",":key{{dw}}",":read")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#Input("延炼_生产计划部_延炼装置生产完成情况表2_200万催化装置_汽油产量",":key{{dw}}",":read")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#Input("延炼_生产计划部_延炼装置生产完成情况表2_200万催化装置_柴油产量",":key{{dw}}",":read")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#Input("延炼_生产计划部_延炼装置生产完成情况表2_200万催化装置_生焦量",":key{{dw}}",":read")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#Input("延炼_生产计划部_延炼装置生产完成情况表2_200万催化装置_2#渣油产量",":key{{dw}}",":read")</t>
        </r>
      </text>
    </comment>
    <comment ref="L1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#Input("延炼_生产计划部_延炼装置生产完成情况表2_200万催化装置_加工损失量",":key{{dw}}",":read")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#Input("延炼_生产计划部_延炼装置生产完成情况表2_200万催化装置_轻质油产量合计",":key{{dw}}",":read")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#Input("延炼_生产计划部_延炼装置生产完成情况表2_200万催化装置_汽柴液产量合计",":key{{dw}}",":read")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#Input("延炼_生产计划部_延炼装置生产完成情况表2_100万催化装置_原料处理量",":key{{dw}}",":read")</t>
        </r>
      </text>
    </comment>
    <comment ref="D2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#Input("延炼_生产计划部_延炼装置生产完成情况表2_100万催化装置_1#渣油",":key{{dw}}",":read")</t>
        </r>
      </text>
    </comment>
    <comment ref="D2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#Input("延炼_生产计划部_延炼装置生产完成情况表2_100万催化装置_OG气",":key{{dw}}",":read")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#Input("延炼_生产计划部_延炼装置生产完成情况表2_100万催化装置_戊烷",":key{{dw}}",":read")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#Input("延炼_生产计划部_延炼装置生产完成情况表2_100万催化装置_石脑油Ⅲ",":key{{dw}}",":read")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#Input("延炼_生产计划部_延炼装置生产完成情况表2_100万催化装置_干气产量",":key{{dw}}",":read")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#Input("延炼_生产计划部_延炼装置生产完成情况表2_100万催化装置_液化气产量",":key{{dw}}",":read")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#Input("延炼_生产计划部_延炼装置生产完成情况表2_100万催化装置_汽油产量",":key{{dw}}",":read")</t>
        </r>
      </text>
    </comment>
    <comment ref="D2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#Input("延炼_生产计划部_延炼装置生产完成情况表2_100万催化装置_柴油产量",":key{{dw}}",":read")</t>
        </r>
      </text>
    </comment>
    <comment ref="D2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#Input("延炼_生产计划部_延炼装置生产完成情况表2_100万催化装置_生焦量",":key{{dw}}",":read")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#Input("延炼_生产计划部_延炼装置生产完成情况表2_100万催化装置_2#渣油产量",":key{{dw}}",":read")</t>
        </r>
      </text>
    </comment>
    <comment ref="D3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#Input("延炼_生产计划部_延炼装置生产完成情况表2_100万催化装置_加工损失量",":key{{dw}}",":read")</t>
        </r>
      </text>
    </comment>
    <comment ref="D3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#Input("延炼_生产计划部_延炼装置生产完成情况表2_100万催化装置_轻质油产量合计",":key{{dw}}",":read")</t>
        </r>
      </text>
    </comment>
    <comment ref="D3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#Input("延炼_生产计划部_延炼装置生产完成情况表2_100万催化装置_汽柴液产量合计",":key{{dw}}",":read")</t>
        </r>
      </text>
    </comment>
    <comment ref="D34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#Input("延炼_延安炼油厂装置生产完成情况表（二）_单位负责人",":key{{dw}}")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#Input("延炼_延安炼油厂装置生产完成情况表（二）_填报人",":key{{dw}}")</t>
        </r>
      </text>
    </comment>
  </commentList>
</comments>
</file>

<file path=xl/sharedStrings.xml><?xml version="1.0" encoding="utf-8"?>
<sst xmlns="http://schemas.openxmlformats.org/spreadsheetml/2006/main" count="123" uniqueCount="44">
  <si>
    <t>延安炼油厂装置生产完成情况表（二）</t>
  </si>
  <si>
    <t>填报单位：生产计划部</t>
  </si>
  <si>
    <t/>
  </si>
  <si>
    <t>日期：</t>
  </si>
  <si>
    <t>2025-12</t>
  </si>
  <si>
    <t>陕油延炼计统YB106-2表</t>
  </si>
  <si>
    <t>装置名称</t>
  </si>
  <si>
    <t>指标名称</t>
  </si>
  <si>
    <t>产量（吨）</t>
  </si>
  <si>
    <t>收率（％）</t>
  </si>
  <si>
    <t>去年同期</t>
  </si>
  <si>
    <t>本 月</t>
  </si>
  <si>
    <t>累 计</t>
  </si>
  <si>
    <t>平 均</t>
  </si>
  <si>
    <t>产量</t>
  </si>
  <si>
    <t>收 率</t>
  </si>
  <si>
    <t>催
化
装
置
合
计</t>
  </si>
  <si>
    <t>原料处理量</t>
  </si>
  <si>
    <t>/</t>
  </si>
  <si>
    <t>200
万
催
化
装
置</t>
  </si>
  <si>
    <t xml:space="preserve">  其中：1#渣油</t>
  </si>
  <si>
    <t>OG气</t>
  </si>
  <si>
    <t>戊烷</t>
  </si>
  <si>
    <t>石脑油Ⅲ</t>
  </si>
  <si>
    <t>干气产量</t>
  </si>
  <si>
    <t>液化气产量</t>
  </si>
  <si>
    <t>汽油产量</t>
  </si>
  <si>
    <t>柴油产量</t>
  </si>
  <si>
    <t>生焦量</t>
  </si>
  <si>
    <t>2#渣油产量</t>
  </si>
  <si>
    <t>油浆产量</t>
  </si>
  <si>
    <t>加工损失量</t>
  </si>
  <si>
    <t>轻质油产量合计</t>
  </si>
  <si>
    <t>汽柴液产量合计</t>
  </si>
  <si>
    <t>100
万
催
化
装
置</t>
  </si>
  <si>
    <t>单位领导：</t>
  </si>
  <si>
    <t>王静</t>
  </si>
  <si>
    <t>填报人：</t>
  </si>
  <si>
    <t>黄宏飞</t>
  </si>
  <si>
    <t>报出日期：</t>
  </si>
  <si>
    <t>报表生成时间：</t>
  </si>
  <si>
    <t xml:space="preserve"> 8:00:00</t>
  </si>
  <si>
    <t>YL_SC_ALL_YearSum</t>
  </si>
  <si>
    <t>YL_SC_Year_Compare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</si>
</sst>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.00_ "/>
    <numFmt numFmtId="173" formatCode="yyyy\-mm\-dd"/>
  </numFmts>
  <fonts count="2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sz val="11"/>
      <color rgb="FF000000"/>
      <name val="Calibri"/>
      <scheme val="minor"/>
    </font>
    <font>
      <b/>
      <sz val="18"/>
      <color theme="1"/>
      <name val="等线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54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0" applyFont="1"/>
    <xf numFmtId="0" fontId="18" fillId="0" borderId="10" xfId="0" applyFont="1" applyBorder="1">
      <alignment horizontal="center" vertical="center"/>
    </xf>
    <xf numFmtId="0" fontId="18" fillId="0" borderId="11" xfId="0" applyFont="1" applyBorder="1">
      <alignment horizontal="center" vertical="center"/>
    </xf>
    <xf numFmtId="0" fontId="18" fillId="0" borderId="10" xfId="0" applyFont="1" applyBorder="1">
      <alignment vertical="center"/>
    </xf>
    <xf numFmtId="171" fontId="18" fillId="0" borderId="10" xfId="0" applyFont="1" applyBorder="1" applyNumberFormat="1">
      <alignment vertical="center"/>
    </xf>
    <xf numFmtId="171" fontId="18" fillId="7" borderId="10" xfId="0" applyFont="1" applyFill="1" applyBorder="1" applyNumberFormat="1">
      <alignment vertical="center"/>
    </xf>
    <xf numFmtId="171" fontId="18" fillId="7" borderId="10" xfId="0" applyFont="1" applyFill="1" applyBorder="1" applyNumberFormat="1">
      <alignment horizontal="right" vertical="center"/>
    </xf>
    <xf numFmtId="172" fontId="18" fillId="0" borderId="10" xfId="0" applyFont="1" applyBorder="1" applyNumberFormat="1">
      <alignment vertical="center"/>
    </xf>
    <xf numFmtId="172" fontId="18" fillId="0" borderId="11" xfId="0" applyFont="1" applyBorder="1" applyNumberFormat="1">
      <alignment vertical="center"/>
    </xf>
    <xf numFmtId="0" fontId="18" fillId="0" borderId="12" xfId="0" applyFont="1" applyBorder="1">
      <alignment vertical="center"/>
    </xf>
    <xf numFmtId="171" fontId="18" fillId="7" borderId="12" xfId="0" applyFont="1" applyFill="1" applyBorder="1" applyNumberFormat="1">
      <alignment vertical="center"/>
    </xf>
    <xf numFmtId="171" fontId="18" fillId="0" borderId="12" xfId="0" applyFont="1" applyBorder="1" applyNumberFormat="1">
      <alignment vertical="center"/>
    </xf>
    <xf numFmtId="0" fontId="18" fillId="0" borderId="11" xfId="0" applyFont="1" applyBorder="1">
      <alignment vertical="center"/>
    </xf>
    <xf numFmtId="172" fontId="18" fillId="0" borderId="12" xfId="0" applyFont="1" applyBorder="1" applyNumberFormat="1">
      <alignment vertical="center"/>
    </xf>
    <xf numFmtId="0" fontId="18" fillId="0" borderId="13" xfId="0" applyFont="1" applyBorder="1">
      <alignment vertical="center"/>
    </xf>
    <xf numFmtId="0" fontId="18" fillId="0" borderId="14" xfId="0" applyFont="1" applyBorder="1">
      <alignment vertical="center"/>
    </xf>
    <xf numFmtId="0" fontId="18" fillId="0" borderId="14" xfId="0" applyFont="1" applyBorder="1">
      <alignment horizontal="right" vertical="center"/>
    </xf>
    <xf numFmtId="0" fontId="18" fillId="0" borderId="14" xfId="0" applyFont="1" applyBorder="1">
      <alignment horizontal="left" vertical="center"/>
    </xf>
    <xf numFmtId="0" fontId="18" fillId="0" borderId="10" xfId="0" applyFont="1" applyBorder="1">
      <alignment horizontal="center" vertical="center"/>
    </xf>
    <xf numFmtId="0" fontId="18" fillId="0" borderId="11" xfId="0" applyFont="1" applyBorder="1">
      <alignment horizontal="center" vertical="center"/>
    </xf>
    <xf numFmtId="0" fontId="18" fillId="0" borderId="10" xfId="0" applyFont="1" applyBorder="1">
      <alignment vertical="center"/>
    </xf>
    <xf numFmtId="171" fontId="18" fillId="0" borderId="10" xfId="0" applyFont="1" applyBorder="1" applyNumberFormat="1">
      <alignment vertical="center"/>
    </xf>
    <xf numFmtId="171" fontId="18" fillId="7" borderId="10" xfId="0" applyFont="1" applyFill="1" applyBorder="1" applyNumberFormat="1">
      <alignment horizontal="right" vertical="center"/>
    </xf>
    <xf numFmtId="0" fontId="18" fillId="0" borderId="11" xfId="0" applyFont="1" applyBorder="1">
      <alignment vertical="center"/>
    </xf>
    <xf numFmtId="171" fontId="18" fillId="0" borderId="10" xfId="0" applyFont="1" applyBorder="1" applyNumberFormat="1">
      <alignment horizontal="right" vertical="center"/>
    </xf>
    <xf numFmtId="0" fontId="18" fillId="0" borderId="10" xfId="0" applyFont="1" applyBorder="1">
      <alignment horizontal="right" vertical="center"/>
    </xf>
    <xf numFmtId="0" fontId="19" fillId="0" borderId="0" xfId="0" applyFont="1">
      <alignment vertical="top"/>
    </xf>
    <xf numFmtId="173" fontId="19" fillId="0" borderId="0" xfId="0" applyFont="1" applyNumberFormat="1">
      <alignment vertical="top"/>
    </xf>
    <xf numFmtId="173" fontId="0" fillId="0" borderId="0" xfId="0" applyFont="1" applyNumberFormat="1"/>
    <xf numFmtId="0" fontId="18" fillId="0" borderId="15" xfId="0" applyFont="1" applyBorder="1">
      <alignment horizontal="right" vertical="center"/>
    </xf>
    <xf numFmtId="0" fontId="18" fillId="0" borderId="15" xfId="0" applyFont="1" applyBorder="1"/>
    <xf numFmtId="0" fontId="18" fillId="7" borderId="15" xfId="0" applyFont="1" applyFill="1" applyBorder="1">
      <alignment horizontal="left" vertical="center"/>
    </xf>
    <xf numFmtId="171" fontId="18" fillId="0" borderId="12" xfId="0" applyFont="1" applyBorder="1" applyNumberFormat="1">
      <alignment horizontal="right" vertical="center"/>
    </xf>
    <xf numFmtId="0" fontId="18" fillId="0" borderId="16" xfId="0" applyFont="1" applyBorder="1">
      <alignment horizontal="center" vertical="center" wrapText="1"/>
    </xf>
    <xf numFmtId="0" fontId="18" fillId="0" borderId="16" xfId="0" applyFont="1" applyBorder="1">
      <alignment horizontal="center" vertical="center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/>
    </xf>
    <xf numFmtId="0" fontId="18" fillId="0" borderId="17" xfId="0" applyFont="1" applyBorder="1">
      <alignment horizontal="center" vertical="center"/>
    </xf>
    <xf numFmtId="0" fontId="18" fillId="0" borderId="15" xfId="0" applyFont="1" applyBorder="1">
      <alignment horizontal="right" vertical="center"/>
    </xf>
    <xf numFmtId="173" fontId="18" fillId="0" borderId="15" xfId="0" applyFont="1" applyBorder="1" applyNumberFormat="1">
      <alignment horizontal="left" vertical="center"/>
    </xf>
    <xf numFmtId="0" fontId="20" fillId="0" borderId="18" xfId="0" applyFont="1" applyBorder="1">
      <alignment horizontal="center" vertical="center"/>
    </xf>
    <xf numFmtId="0" fontId="20" fillId="0" borderId="15" xfId="0" applyFont="1" applyBorder="1">
      <alignment horizontal="center" vertical="center"/>
    </xf>
    <xf numFmtId="0" fontId="20" fillId="0" borderId="19" xfId="0" applyFont="1" applyBorder="1">
      <alignment horizontal="center" vertical="center"/>
    </xf>
    <xf numFmtId="0" fontId="18" fillId="0" borderId="11" xfId="0" applyFont="1" applyBorder="1">
      <alignment horizontal="center" vertical="center"/>
    </xf>
    <xf numFmtId="0" fontId="18" fillId="0" borderId="14" xfId="0" applyFont="1" applyBorder="1">
      <alignment horizontal="left" vertical="center"/>
    </xf>
    <xf numFmtId="0" fontId="18" fillId="0" borderId="14" xfId="0" applyFont="1" applyBorder="1">
      <alignment horizontal="right" vertical="center"/>
    </xf>
    <xf numFmtId="0" fontId="18" fillId="0" borderId="20" xfId="0" applyFont="1" applyBorder="1">
      <alignment horizontal="right" vertical="center"/>
    </xf>
    <xf numFmtId="0" fontId="18" fillId="0" borderId="21" xfId="0" applyFont="1" applyBorder="1">
      <alignment horizontal="left" vertical="center"/>
    </xf>
    <xf numFmtId="0" fontId="18" fillId="0" borderId="22" xfId="0" applyFont="1" applyBorder="1">
      <alignment horizontal="left" vertical="center"/>
    </xf>
    <xf numFmtId="0" fontId="0" fillId="0" borderId="0" xfId="0" applyFont="1">
      <alignment wrapText="1"/>
    </xf>
    <xf numFmtId="0" fontId="20" fillId="0" borderId="18" xfId="0" applyFont="1" applyBorder="1">
      <alignment horizontal="center" vertical="center" wrapText="1"/>
    </xf>
    <xf numFmtId="0" fontId="20" fillId="0" borderId="15" xfId="0" applyFont="1" applyBorder="1">
      <alignment horizontal="center" vertical="center" wrapText="1"/>
    </xf>
    <xf numFmtId="0" fontId="20" fillId="0" borderId="19" xfId="0" applyFont="1" applyBorder="1">
      <alignment horizontal="center" vertical="center" wrapText="1"/>
    </xf>
    <xf numFmtId="0" fontId="18" fillId="0" borderId="21" xfId="0" applyFont="1" applyBorder="1">
      <alignment horizontal="left" vertical="center" wrapText="1"/>
    </xf>
    <xf numFmtId="0" fontId="18" fillId="0" borderId="22" xfId="0" applyFont="1" applyBorder="1">
      <alignment horizontal="left" vertical="center" wrapText="1"/>
    </xf>
    <xf numFmtId="0" fontId="18" fillId="0" borderId="14" xfId="0" applyFont="1" applyBorder="1">
      <alignment vertical="center" wrapText="1"/>
    </xf>
    <xf numFmtId="0" fontId="18" fillId="0" borderId="14" xfId="0" applyFont="1" applyBorder="1">
      <alignment horizontal="right" vertical="center" wrapText="1"/>
    </xf>
    <xf numFmtId="0" fontId="18" fillId="0" borderId="14" xfId="0" applyFont="1" applyBorder="1">
      <alignment horizontal="left" vertical="center" wrapText="1"/>
    </xf>
    <xf numFmtId="0" fontId="18" fillId="0" borderId="14" xfId="0" applyFont="1" applyBorder="1">
      <alignment horizontal="left" vertical="center" wrapText="1"/>
    </xf>
    <xf numFmtId="0" fontId="18" fillId="0" borderId="14" xfId="0" applyFont="1" applyBorder="1">
      <alignment horizontal="right" vertical="center" wrapText="1"/>
    </xf>
    <xf numFmtId="0" fontId="18" fillId="0" borderId="20" xfId="0" applyFont="1" applyBorder="1">
      <alignment horizontal="right" vertical="center" wrapText="1"/>
    </xf>
    <xf numFmtId="0" fontId="18" fillId="0" borderId="16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18" fillId="0" borderId="16" xfId="0" applyFont="1" applyBorder="1">
      <alignment horizontal="center" vertical="center" wrapText="1"/>
    </xf>
    <xf numFmtId="0" fontId="18" fillId="0" borderId="10" xfId="0" applyFont="1" applyBorder="1">
      <alignment vertical="center" wrapText="1"/>
    </xf>
    <xf numFmtId="171" fontId="18" fillId="0" borderId="10" xfId="0" applyFont="1" applyBorder="1" applyNumberFormat="1">
      <alignment vertical="center" wrapText="1"/>
    </xf>
    <xf numFmtId="0" fontId="18" fillId="0" borderId="10" xfId="0" applyFont="1" applyBorder="1">
      <alignment horizontal="center" vertical="center" wrapText="1"/>
    </xf>
    <xf numFmtId="171" fontId="18" fillId="7" borderId="10" xfId="0" applyFont="1" applyFill="1" applyBorder="1" applyNumberFormat="1">
      <alignment vertical="center" wrapText="1"/>
    </xf>
    <xf numFmtId="171" fontId="18" fillId="0" borderId="10" xfId="0" applyFont="1" applyBorder="1" applyNumberFormat="1">
      <alignment horizontal="right" vertical="center" wrapText="1"/>
    </xf>
    <xf numFmtId="0" fontId="18" fillId="0" borderId="10" xfId="0" applyFont="1" applyBorder="1">
      <alignment horizontal="right" vertical="center" wrapText="1"/>
    </xf>
    <xf numFmtId="171" fontId="18" fillId="7" borderId="10" xfId="0" applyFont="1" applyFill="1" applyBorder="1" applyNumberFormat="1">
      <alignment horizontal="right" vertical="center" wrapText="1"/>
    </xf>
    <xf numFmtId="171" fontId="18" fillId="0" borderId="10" xfId="0" applyFont="1" applyBorder="1" applyNumberFormat="1">
      <alignment vertical="center" wrapText="1"/>
    </xf>
    <xf numFmtId="0" fontId="0" fillId="0" borderId="0" xfId="0" applyFont="1"/>
    <xf numFmtId="0" fontId="0" fillId="0" borderId="0" xfId="0" applyFont="1">
      <alignment wrapText="1"/>
    </xf>
    <xf numFmtId="0" fontId="18" fillId="0" borderId="10" xfId="0" applyFont="1" applyBorder="1">
      <alignment horizontal="center" vertical="center" wrapText="1"/>
    </xf>
    <xf numFmtId="0" fontId="18" fillId="0" borderId="10" xfId="0" applyFont="1" applyBorder="1">
      <alignment vertical="center" wrapText="1"/>
    </xf>
    <xf numFmtId="171" fontId="18" fillId="7" borderId="10" xfId="0" applyFont="1" applyFill="1" applyBorder="1" applyNumberFormat="1">
      <alignment horizontal="right" vertical="center" wrapText="1"/>
    </xf>
    <xf numFmtId="0" fontId="18" fillId="0" borderId="11" xfId="0" applyFont="1" applyBorder="1">
      <alignment horizontal="center" vertical="center" wrapText="1"/>
    </xf>
    <xf numFmtId="172" fontId="18" fillId="0" borderId="10" xfId="0" applyFont="1" applyBorder="1" applyNumberFormat="1">
      <alignment vertical="center" wrapText="1"/>
    </xf>
    <xf numFmtId="172" fontId="18" fillId="0" borderId="11" xfId="0" applyFont="1" applyBorder="1" applyNumberFormat="1">
      <alignment vertical="center" wrapText="1"/>
    </xf>
    <xf numFmtId="0" fontId="18" fillId="0" borderId="11" xfId="0" applyFont="1" applyBorder="1">
      <alignment vertical="center" wrapText="1"/>
    </xf>
    <xf numFmtId="0" fontId="0" fillId="0" borderId="0" xfId="0" applyFont="1"/>
    <xf numFmtId="0" fontId="18" fillId="0" borderId="11" xfId="0" applyFont="1" applyBorder="1">
      <alignment vertical="center" wrapText="1"/>
    </xf>
    <xf numFmtId="0" fontId="18" fillId="0" borderId="17" xfId="0" applyFont="1" applyBorder="1">
      <alignment horizontal="center" vertical="center" wrapText="1"/>
    </xf>
    <xf numFmtId="0" fontId="18" fillId="0" borderId="12" xfId="0" applyFont="1" applyBorder="1">
      <alignment vertical="center" wrapText="1"/>
    </xf>
    <xf numFmtId="171" fontId="18" fillId="7" borderId="12" xfId="0" applyFont="1" applyFill="1" applyBorder="1" applyNumberFormat="1">
      <alignment vertical="center" wrapText="1"/>
    </xf>
    <xf numFmtId="171" fontId="18" fillId="0" borderId="12" xfId="0" applyFont="1" applyBorder="1" applyNumberFormat="1">
      <alignment vertical="center" wrapText="1"/>
    </xf>
    <xf numFmtId="172" fontId="18" fillId="0" borderId="12" xfId="0" applyFont="1" applyBorder="1" applyNumberFormat="1">
      <alignment vertical="center" wrapText="1"/>
    </xf>
    <xf numFmtId="171" fontId="18" fillId="0" borderId="12" xfId="0" applyFont="1" applyBorder="1" applyNumberFormat="1">
      <alignment horizontal="right" vertical="center" wrapText="1"/>
    </xf>
    <xf numFmtId="0" fontId="18" fillId="0" borderId="13" xfId="0" applyFont="1" applyBorder="1">
      <alignment vertical="center" wrapText="1"/>
    </xf>
    <xf numFmtId="0" fontId="0" fillId="0" borderId="0" xfId="0" applyFont="1"/>
    <xf numFmtId="0" fontId="18" fillId="0" borderId="15" xfId="0" applyFont="1" applyBorder="1">
      <alignment wrapText="1"/>
    </xf>
    <xf numFmtId="0" fontId="18" fillId="0" borderId="15" xfId="0" applyFont="1" applyBorder="1">
      <alignment horizontal="right" vertical="center" wrapText="1"/>
    </xf>
    <xf numFmtId="0" fontId="18" fillId="7" borderId="15" xfId="0" applyFont="1" applyFill="1" applyBorder="1">
      <alignment horizontal="left" vertical="center" wrapText="1"/>
      <protection locked="0"/>
    </xf>
    <xf numFmtId="0" fontId="18" fillId="0" borderId="0" xfId="0" applyFont="1">
      <alignment wrapText="1"/>
    </xf>
    <xf numFmtId="0" fontId="18" fillId="0" borderId="15" xfId="0" applyFont="1" applyBorder="1">
      <alignment horizontal="right" vertical="center" wrapText="1"/>
    </xf>
    <xf numFmtId="173" fontId="18" fillId="0" borderId="15" xfId="0" applyFont="1" applyBorder="1" applyNumberFormat="1">
      <alignment horizontal="left" vertical="center" wrapText="1"/>
    </xf>
    <xf numFmtId="0" fontId="0" fillId="0" borderId="0" xfId="0" applyFont="1">
      <alignment wrapText="1"/>
    </xf>
    <xf numFmtId="0" fontId="19" fillId="0" borderId="0" xfId="0" applyFont="1">
      <alignment vertical="top" wrapText="1"/>
    </xf>
    <xf numFmtId="173" fontId="19" fillId="0" borderId="0" xfId="0" applyFont="1" applyNumberFormat="1">
      <alignment vertical="top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173" fontId="0" fillId="0" borderId="0" xfId="0" applyFont="1" applyNumberFormat="1">
      <alignment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40A9678-0328-2C18-3CD8-04F267639CA5}" mc:Ignorable="x14ac xr xr2 xr3">
  <sheetPr>
    <pageSetUpPr fitToPage="1"/>
  </sheetPr>
  <dimension ref="A1:Q34"/>
  <sheetViews>
    <sheetView defaultGridColor="0" colorId="31" topLeftCell="A1" showGridLines="0" workbookViewId="0" tabSelected="1">
      <pane ySplit="5" topLeftCell="A9" activePane="bottomLeft" state="frozen"/>
      <selection pane="bottomLeft" activeCell="A1" sqref="A1"/>
    </sheetView>
  </sheetViews>
  <sheetFormatPr customHeight="1" defaultRowHeight="14.100000000000001"/>
  <cols>
    <col min="1" max="1" width="2.7109375" customWidth="1"/>
    <col min="3" max="3" width="16.7109375" customWidth="1"/>
    <col min="4" max="4" width="9.57421875" customWidth="1"/>
    <col min="5" max="5" width="10.57421875" customWidth="1"/>
    <col min="6" max="6" width="10.28125" customWidth="1"/>
    <col min="8" max="8" width="9.57421875" customWidth="1"/>
    <col min="11" max="11" width="16.7109375" customWidth="1"/>
    <col min="12" max="12" width="9.57421875" customWidth="1"/>
    <col min="13" max="13" width="10.57421875" customWidth="1"/>
    <col min="16" max="16" width="9.57421875" customWidth="1"/>
  </cols>
  <sheetData>
    <row customHeight="1" ht="2.25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customHeight="1" ht="27.75">
      <c r="A2" s="96"/>
      <c r="B2" s="97" t="s">
        <v>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customHeight="1" ht="20.25">
      <c r="A3" s="96"/>
      <c r="B3" s="100" t="s">
        <v>1</v>
      </c>
      <c r="C3" s="101"/>
      <c r="D3" s="102" t="s">
        <v>2</v>
      </c>
      <c r="E3" s="102" t="s">
        <v>2</v>
      </c>
      <c r="F3" s="103"/>
      <c r="G3" s="104"/>
      <c r="H3" s="103" t="s">
        <v>3</v>
      </c>
      <c r="I3" s="105" t="s">
        <v>4</v>
      </c>
      <c r="J3" s="105"/>
      <c r="K3" s="104"/>
      <c r="L3" s="106" t="s">
        <v>5</v>
      </c>
      <c r="M3" s="106"/>
      <c r="N3" s="106"/>
      <c r="O3" s="106"/>
      <c r="P3" s="106"/>
      <c r="Q3" s="107"/>
    </row>
    <row customHeight="1" ht="20.25">
      <c r="A4" s="96"/>
      <c r="B4" s="108" t="s">
        <v>6</v>
      </c>
      <c r="C4" s="109" t="s">
        <v>7</v>
      </c>
      <c r="D4" s="109" t="s">
        <v>8</v>
      </c>
      <c r="E4" s="109"/>
      <c r="F4" s="109" t="s">
        <v>9</v>
      </c>
      <c r="G4" s="109"/>
      <c r="H4" s="109" t="s">
        <v>10</v>
      </c>
      <c r="I4" s="109"/>
      <c r="J4" s="109" t="s">
        <v>6</v>
      </c>
      <c r="K4" s="109" t="s">
        <v>7</v>
      </c>
      <c r="L4" s="109" t="s">
        <v>8</v>
      </c>
      <c r="M4" s="109"/>
      <c r="N4" s="109" t="s">
        <v>9</v>
      </c>
      <c r="O4" s="109"/>
      <c r="P4" s="109" t="s">
        <v>10</v>
      </c>
      <c r="Q4" s="110"/>
    </row>
    <row customHeight="1" ht="20.25">
      <c r="A5" s="96"/>
      <c r="B5" s="108"/>
      <c r="C5" s="109"/>
      <c r="D5" s="111" t="s">
        <v>11</v>
      </c>
      <c r="E5" s="111" t="s">
        <v>12</v>
      </c>
      <c r="F5" s="111" t="s">
        <v>11</v>
      </c>
      <c r="G5" s="111" t="s">
        <v>13</v>
      </c>
      <c r="H5" s="111" t="s">
        <v>14</v>
      </c>
      <c r="I5" s="111" t="s">
        <v>15</v>
      </c>
      <c r="J5" s="109"/>
      <c r="K5" s="109"/>
      <c r="L5" s="111" t="s">
        <v>11</v>
      </c>
      <c r="M5" s="111" t="s">
        <v>12</v>
      </c>
      <c r="N5" s="111" t="s">
        <v>11</v>
      </c>
      <c r="O5" s="111" t="s">
        <v>13</v>
      </c>
      <c r="P5" s="111" t="s">
        <v>14</v>
      </c>
      <c r="Q5" s="112" t="s">
        <v>15</v>
      </c>
    </row>
    <row customHeight="1" ht="20.25">
      <c r="A6" s="96"/>
      <c r="B6" s="80" t="s">
        <v>16</v>
      </c>
      <c r="C6" s="114" t="s">
        <v>17</v>
      </c>
      <c r="D6" s="115">
        <f>_xlfn.IFERROR(SUM(L6,D20),"")</f>
        <v>264934</v>
      </c>
      <c r="E6" s="115">
        <f>_xlfn.IFERROR(SUM(M6,E20),"")</f>
        <v>3270937</v>
      </c>
      <c r="F6" s="111" t="s">
        <v>18</v>
      </c>
      <c r="G6" s="111" t="s">
        <v>18</v>
      </c>
      <c r="H6" s="115">
        <f>_xlfn.IFERROR(SUM(P6,H20),"")</f>
        <v>257562</v>
      </c>
      <c r="I6" s="111" t="s">
        <v>18</v>
      </c>
      <c r="J6" s="82" t="s">
        <v>19</v>
      </c>
      <c r="K6" s="114" t="s">
        <v>17</v>
      </c>
      <c r="L6" s="117">
        <f>_xlfn.IFERROR(SUM(L7),"")</f>
        <v>183144</v>
      </c>
      <c r="M6" s="115">
        <f>_xlfn.IFERROR(SUM(L6,取值!M3),"")</f>
        <v>2248523</v>
      </c>
      <c r="N6" s="111" t="s">
        <v>18</v>
      </c>
      <c r="O6" s="111" t="s">
        <v>18</v>
      </c>
      <c r="P6" s="118">
        <f>取值!P3</f>
        <v>181330</v>
      </c>
      <c r="Q6" s="112" t="s">
        <v>18</v>
      </c>
    </row>
    <row customHeight="1" ht="20.25">
      <c r="A7" s="96"/>
      <c r="B7" s="108"/>
      <c r="C7" s="119" t="s">
        <v>20</v>
      </c>
      <c r="D7" s="115">
        <f>_xlfn.IFERROR(SUM(L7,D21),"")</f>
        <v>263001</v>
      </c>
      <c r="E7" s="115">
        <f>_xlfn.IFERROR(SUM(M7,E21),"")</f>
        <v>3255322</v>
      </c>
      <c r="F7" s="111" t="s">
        <v>18</v>
      </c>
      <c r="G7" s="111" t="s">
        <v>18</v>
      </c>
      <c r="H7" s="115">
        <f>_xlfn.IFERROR(SUM(P7,H21),"")</f>
        <v>256568</v>
      </c>
      <c r="I7" s="111" t="s">
        <v>18</v>
      </c>
      <c r="J7" s="109"/>
      <c r="K7" s="119" t="s">
        <v>20</v>
      </c>
      <c r="L7" s="120">
        <f>取值!L7</f>
        <v>183144</v>
      </c>
      <c r="M7" s="121">
        <f>_xlfn.IFERROR(SUM(L7,取值!M4),"")</f>
        <v>2248523</v>
      </c>
      <c r="N7" s="111" t="s">
        <v>18</v>
      </c>
      <c r="O7" s="111" t="s">
        <v>18</v>
      </c>
      <c r="P7" s="118">
        <f>取值!P4</f>
        <v>181330</v>
      </c>
      <c r="Q7" s="112" t="s">
        <v>18</v>
      </c>
    </row>
    <row customHeight="1" ht="20.25">
      <c r="A8" s="96"/>
      <c r="B8" s="108"/>
      <c r="C8" s="119" t="s">
        <v>21</v>
      </c>
      <c r="D8" s="121">
        <f>_xlfn.IFERROR(SUM(L8,D22),"")</f>
        <v>288</v>
      </c>
      <c r="E8" s="121">
        <f>_xlfn.IFERROR(SUM(M8,E22),"")</f>
        <v>3475</v>
      </c>
      <c r="F8" s="111" t="s">
        <v>18</v>
      </c>
      <c r="G8" s="111" t="s">
        <v>18</v>
      </c>
      <c r="H8" s="121">
        <f>_xlfn.IFERROR(SUM(P8,H22),"")</f>
        <v>327</v>
      </c>
      <c r="I8" s="111" t="s">
        <v>18</v>
      </c>
      <c r="J8" s="109"/>
      <c r="K8" s="114" t="s">
        <v>2</v>
      </c>
      <c r="L8" s="120"/>
      <c r="M8" s="121"/>
      <c r="N8" s="111" t="s">
        <v>18</v>
      </c>
      <c r="O8" s="111" t="s">
        <v>18</v>
      </c>
      <c r="P8" s="118"/>
      <c r="Q8" s="112" t="s">
        <v>18</v>
      </c>
    </row>
    <row s="122" customFormat="1" customHeight="1" ht="20.25">
      <c r="A9" s="123"/>
      <c r="B9" s="108"/>
      <c r="C9" s="119" t="s">
        <v>22</v>
      </c>
      <c r="D9" s="121">
        <f>_xlfn.IFERROR(SUM(L9,D23),"")</f>
        <v>1645</v>
      </c>
      <c r="E9" s="121">
        <f>_xlfn.IFERROR(SUM(M9,E23),"")</f>
        <v>12140</v>
      </c>
      <c r="F9" s="124" t="s">
        <v>18</v>
      </c>
      <c r="G9" s="124" t="s">
        <v>18</v>
      </c>
      <c r="H9" s="121">
        <f>_xlfn.IFERROR(SUM(P9,H23),"")</f>
        <v>667</v>
      </c>
      <c r="I9" s="124" t="s">
        <v>18</v>
      </c>
      <c r="J9" s="109"/>
      <c r="K9" s="125"/>
      <c r="L9" s="126"/>
      <c r="M9" s="121"/>
      <c r="N9" s="124" t="s">
        <v>18</v>
      </c>
      <c r="O9" s="124" t="s">
        <v>18</v>
      </c>
      <c r="P9" s="118"/>
      <c r="Q9" s="127" t="s">
        <v>18</v>
      </c>
    </row>
    <row customHeight="1" ht="20.25">
      <c r="A10" s="96"/>
      <c r="B10" s="108"/>
      <c r="C10" s="114" t="s">
        <v>23</v>
      </c>
      <c r="D10" s="115">
        <f>_xlfn.IFERROR(SUM(L10,D24),"")</f>
        <v>2085</v>
      </c>
      <c r="E10" s="115">
        <f>_xlfn.IFERROR(SUM(M10,E24),"")</f>
        <v>27456</v>
      </c>
      <c r="F10" s="128">
        <f>_xlfn.IFERROR(D10/D6*100,0)</f>
        <v>0.786988457502623</v>
      </c>
      <c r="G10" s="128">
        <f>_xlfn.IFERROR(E10/E6*100,0)</f>
        <v>0.839392504349671</v>
      </c>
      <c r="H10" s="115">
        <f>_xlfn.IFERROR(SUM(P10,H24),"")</f>
        <v>2735</v>
      </c>
      <c r="I10" s="128">
        <f>_xlfn.IFERROR(H10/H6*100,0)</f>
        <v>1.06188024630963</v>
      </c>
      <c r="J10" s="109"/>
      <c r="K10" s="114" t="s">
        <v>23</v>
      </c>
      <c r="L10" s="120">
        <f>取值!L9</f>
        <v>2085</v>
      </c>
      <c r="M10" s="121">
        <f>_xlfn.IFERROR(SUM(L10,取值!M7),"")</f>
        <v>27456</v>
      </c>
      <c r="N10" s="128">
        <f>_xlfn.IFERROR(L10/L6*100,0)</f>
        <v>1.13844843401913</v>
      </c>
      <c r="O10" s="128">
        <f>_xlfn.IFERROR(M10/M6*100,0)</f>
        <v>1.22106823012262</v>
      </c>
      <c r="P10" s="118">
        <f>取值!P7</f>
        <v>2735</v>
      </c>
      <c r="Q10" s="129">
        <f>_xlfn.IFERROR(P10/P6*100,0)</f>
        <v>1.50829978492252</v>
      </c>
    </row>
    <row customHeight="1" ht="20.25">
      <c r="A11" s="96"/>
      <c r="B11" s="108"/>
      <c r="C11" s="114" t="s">
        <v>24</v>
      </c>
      <c r="D11" s="115">
        <f>_xlfn.IFERROR(SUM(L11,D25),"")</f>
        <v>9597</v>
      </c>
      <c r="E11" s="115">
        <f>_xlfn.IFERROR(SUM(M11,E25),"")</f>
        <v>108528</v>
      </c>
      <c r="F11" s="128">
        <f>_xlfn.IFERROR(D11/D6*100,0)</f>
        <v>3.62241161949769</v>
      </c>
      <c r="G11" s="128">
        <f>_xlfn.IFERROR(E11/E6*100,0)</f>
        <v>3.31794834324232</v>
      </c>
      <c r="H11" s="115">
        <f>_xlfn.IFERROR(SUM(P11,H25),"")</f>
        <v>8694</v>
      </c>
      <c r="I11" s="128">
        <f>_xlfn.IFERROR(H11/H6*100,0)</f>
        <v>3.37549793836047</v>
      </c>
      <c r="J11" s="109"/>
      <c r="K11" s="114" t="s">
        <v>24</v>
      </c>
      <c r="L11" s="120">
        <f>取值!L10</f>
        <v>6429</v>
      </c>
      <c r="M11" s="121">
        <f>_xlfn.IFERROR(SUM(L11,取值!M8),"")</f>
        <v>72699</v>
      </c>
      <c r="N11" s="128">
        <f>_xlfn.IFERROR(L11/L6*100,0)</f>
        <v>3.51035250950072</v>
      </c>
      <c r="O11" s="128">
        <f>_xlfn.IFERROR(M11/M6*100,0)</f>
        <v>3.23318907567323</v>
      </c>
      <c r="P11" s="118">
        <f>取值!P8</f>
        <v>5827</v>
      </c>
      <c r="Q11" s="129">
        <f>_xlfn.IFERROR(P11/P6*100,0)</f>
        <v>3.2134781889373</v>
      </c>
    </row>
    <row customHeight="1" ht="20.25">
      <c r="A12" s="96"/>
      <c r="B12" s="108"/>
      <c r="C12" s="114" t="s">
        <v>25</v>
      </c>
      <c r="D12" s="115">
        <f>_xlfn.IFERROR(SUM(L12,D26),"")</f>
        <v>47634</v>
      </c>
      <c r="E12" s="115">
        <f>_xlfn.IFERROR(SUM(M12,E26),"")</f>
        <v>540177</v>
      </c>
      <c r="F12" s="128">
        <f>_xlfn.IFERROR(D12/D6*100,0)</f>
        <v>17.9795722708297</v>
      </c>
      <c r="G12" s="128">
        <f>_xlfn.IFERROR(E12/E6*100,0)</f>
        <v>16.5144421919468</v>
      </c>
      <c r="H12" s="115">
        <f>_xlfn.IFERROR(SUM(P12,H26),"")</f>
        <v>47122</v>
      </c>
      <c r="I12" s="128">
        <f>_xlfn.IFERROR(H12/H6*100,0)</f>
        <v>18.2954007190502</v>
      </c>
      <c r="J12" s="109"/>
      <c r="K12" s="114" t="s">
        <v>25</v>
      </c>
      <c r="L12" s="120">
        <f>取值!L11</f>
        <v>28937</v>
      </c>
      <c r="M12" s="121">
        <f>_xlfn.IFERROR(SUM(L12,取值!M9),"")</f>
        <v>346354</v>
      </c>
      <c r="N12" s="128">
        <f>_xlfn.IFERROR(L12/L6*100,0)</f>
        <v>15.8001354125715</v>
      </c>
      <c r="O12" s="128">
        <f>_xlfn.IFERROR(M12/M6*100,0)</f>
        <v>15.403622733679</v>
      </c>
      <c r="P12" s="118">
        <f>取值!P9</f>
        <v>31462</v>
      </c>
      <c r="Q12" s="129">
        <f>_xlfn.IFERROR(P12/P6*100,0)</f>
        <v>17.3506865935036</v>
      </c>
    </row>
    <row customHeight="1" ht="20.25">
      <c r="A13" s="96"/>
      <c r="B13" s="108"/>
      <c r="C13" s="114" t="s">
        <v>26</v>
      </c>
      <c r="D13" s="115">
        <f>_xlfn.IFERROR(SUM(L13,D27),"")</f>
        <v>126372</v>
      </c>
      <c r="E13" s="115">
        <f>_xlfn.IFERROR(SUM(M13,E27),"")</f>
        <v>1523017</v>
      </c>
      <c r="F13" s="128">
        <f>_xlfn.IFERROR(D13/D6*100,0)</f>
        <v>47.6994270271086</v>
      </c>
      <c r="G13" s="128">
        <f>_xlfn.IFERROR(E13/E6*100,0)</f>
        <v>46.5621013183684</v>
      </c>
      <c r="H13" s="115">
        <f>_xlfn.IFERROR(SUM(P13,H27),"")</f>
        <v>117194</v>
      </c>
      <c r="I13" s="128">
        <f>_xlfn.IFERROR(H13/H6*100,0)</f>
        <v>45.5012773623438</v>
      </c>
      <c r="J13" s="109"/>
      <c r="K13" s="114" t="s">
        <v>26</v>
      </c>
      <c r="L13" s="120">
        <f>取值!L12</f>
        <v>86749</v>
      </c>
      <c r="M13" s="121">
        <f>_xlfn.IFERROR(SUM(L13,取值!M10),"")</f>
        <v>1034109</v>
      </c>
      <c r="N13" s="128">
        <f>_xlfn.IFERROR(L13/L6*100,0)</f>
        <v>47.3665530948325</v>
      </c>
      <c r="O13" s="128">
        <f>_xlfn.IFERROR(M13/M6*100,0)</f>
        <v>45.9905902674778</v>
      </c>
      <c r="P13" s="118">
        <f>取值!P10</f>
        <v>80519</v>
      </c>
      <c r="Q13" s="129">
        <f>_xlfn.IFERROR(P13/P6*100,0)</f>
        <v>44.4046765565543</v>
      </c>
    </row>
    <row customHeight="1" ht="20.25">
      <c r="A14" s="96"/>
      <c r="B14" s="108"/>
      <c r="C14" s="114" t="s">
        <v>27</v>
      </c>
      <c r="D14" s="115">
        <f>_xlfn.IFERROR(SUM(L14,D28),"")</f>
        <v>58797</v>
      </c>
      <c r="E14" s="115">
        <f>_xlfn.IFERROR(SUM(M14,E28),"")</f>
        <v>791281</v>
      </c>
      <c r="F14" s="128">
        <f>_xlfn.IFERROR(D14/D6*100,0)</f>
        <v>22.193074501574</v>
      </c>
      <c r="G14" s="128">
        <f>_xlfn.IFERROR(E14/E6*100,0)</f>
        <v>24.1912638488604</v>
      </c>
      <c r="H14" s="115">
        <f>_xlfn.IFERROR(SUM(P14,H28),"")</f>
        <v>60220</v>
      </c>
      <c r="I14" s="128">
        <f>_xlfn.IFERROR(H14/H6*100,0)</f>
        <v>23.3807782203897</v>
      </c>
      <c r="J14" s="109"/>
      <c r="K14" s="114" t="s">
        <v>27</v>
      </c>
      <c r="L14" s="120">
        <f>取值!L13</f>
        <v>44561</v>
      </c>
      <c r="M14" s="121">
        <f>_xlfn.IFERROR(SUM(L14,取值!M11),"")</f>
        <v>568748</v>
      </c>
      <c r="N14" s="128">
        <f>_xlfn.IFERROR(L14/L6*100,0)</f>
        <v>24.3311274188617</v>
      </c>
      <c r="O14" s="128">
        <f>_xlfn.IFERROR(M14/M6*100,0)</f>
        <v>25.2942931871277</v>
      </c>
      <c r="P14" s="118">
        <f>取值!P11</f>
        <v>45082</v>
      </c>
      <c r="Q14" s="129">
        <f>_xlfn.IFERROR(P14/P6*100,0)</f>
        <v>24.8618540782</v>
      </c>
    </row>
    <row customHeight="1" ht="20.25">
      <c r="A15" s="96"/>
      <c r="B15" s="108"/>
      <c r="C15" s="114" t="s">
        <v>28</v>
      </c>
      <c r="D15" s="115">
        <f>_xlfn.IFERROR(SUM(L15,D29),"")</f>
        <v>17416</v>
      </c>
      <c r="E15" s="115">
        <f>_xlfn.IFERROR(SUM(M15,E29),"")</f>
        <v>243251</v>
      </c>
      <c r="F15" s="128">
        <f>_xlfn.IFERROR(D15/D6*100,0)</f>
        <v>6.57371269825692</v>
      </c>
      <c r="G15" s="128">
        <f>_xlfn.IFERROR(E15/E6*100,0)</f>
        <v>7.4367375464584</v>
      </c>
      <c r="H15" s="115">
        <f>_xlfn.IFERROR(SUM(P15,H29),"")</f>
        <v>17991</v>
      </c>
      <c r="I15" s="128">
        <f>_xlfn.IFERROR(H15/H6*100,0)</f>
        <v>6.98511426375009</v>
      </c>
      <c r="J15" s="109"/>
      <c r="K15" s="114" t="s">
        <v>28</v>
      </c>
      <c r="L15" s="120">
        <f>取值!L14</f>
        <v>12561</v>
      </c>
      <c r="M15" s="121">
        <f>_xlfn.IFERROR(SUM(L15,取值!M12),"")</f>
        <v>177056</v>
      </c>
      <c r="N15" s="128">
        <f>_xlfn.IFERROR(L15/L6*100,0)</f>
        <v>6.85853754422749</v>
      </c>
      <c r="O15" s="128">
        <f>_xlfn.IFERROR(M15/M6*100,0)</f>
        <v>7.87432461220099</v>
      </c>
      <c r="P15" s="118">
        <f>取值!P12</f>
        <v>13673</v>
      </c>
      <c r="Q15" s="129">
        <f>_xlfn.IFERROR(P15/P6*100,0)</f>
        <v>7.54039596316109</v>
      </c>
    </row>
    <row customHeight="1" ht="20.25">
      <c r="A16" s="96"/>
      <c r="B16" s="108"/>
      <c r="C16" s="114" t="s">
        <v>29</v>
      </c>
      <c r="D16" s="115">
        <f>_xlfn.IFERROR(SUM(L16,D30),"")</f>
        <v>2014</v>
      </c>
      <c r="E16" s="115">
        <f>_xlfn.IFERROR(SUM(M16,E30),"")</f>
        <v>23677</v>
      </c>
      <c r="F16" s="128">
        <f>_xlfn.IFERROR(D16/D6*100,0)</f>
        <v>0.760189330172798</v>
      </c>
      <c r="G16" s="128">
        <f>_xlfn.IFERROR(E16/E6*100,0)</f>
        <v>0.723859860339713</v>
      </c>
      <c r="H16" s="115">
        <f>_xlfn.IFERROR(SUM(P16,H30),"")</f>
        <v>2577</v>
      </c>
      <c r="I16" s="128">
        <f>_xlfn.IFERROR(H16/H6*100,0)</f>
        <v>1.00053579332355</v>
      </c>
      <c r="J16" s="109"/>
      <c r="K16" s="114" t="s">
        <v>30</v>
      </c>
      <c r="L16" s="120">
        <f>取值!L15</f>
        <v>1069</v>
      </c>
      <c r="M16" s="121">
        <f>_xlfn.IFERROR(SUM(L16,取值!M13),"")</f>
        <v>12126</v>
      </c>
      <c r="N16" s="128">
        <f>_xlfn.IFERROR(L16/L6*100,0)</f>
        <v>0.583693705499498</v>
      </c>
      <c r="O16" s="128">
        <f>_xlfn.IFERROR(M16/M6*100,0)</f>
        <v>0.539287345515256</v>
      </c>
      <c r="P16" s="118">
        <f>取值!P13</f>
        <v>1259</v>
      </c>
      <c r="Q16" s="129">
        <f>_xlfn.IFERROR(P16/P6*100,0)</f>
        <v>0.694314233717532</v>
      </c>
    </row>
    <row customHeight="1" ht="20.25">
      <c r="A17" s="96"/>
      <c r="B17" s="108"/>
      <c r="C17" s="114" t="s">
        <v>31</v>
      </c>
      <c r="D17" s="115">
        <f>_xlfn.IFERROR(SUM(L17,D31),"")</f>
        <v>1019</v>
      </c>
      <c r="E17" s="115">
        <f>_xlfn.IFERROR(SUM(M17,E31),"")</f>
        <v>13550</v>
      </c>
      <c r="F17" s="128">
        <f>_xlfn.IFERROR(D17/D6*100,0)</f>
        <v>0.384624095057637</v>
      </c>
      <c r="G17" s="128">
        <f>_xlfn.IFERROR(E17/E6*100,0)</f>
        <v>0.414254386434224</v>
      </c>
      <c r="H17" s="115">
        <f>_xlfn.IFERROR(SUM(P17,H31),"")</f>
        <v>1029</v>
      </c>
      <c r="I17" s="128">
        <f>_xlfn.IFERROR(H17/H6*100,0)</f>
        <v>0.399515456472616</v>
      </c>
      <c r="J17" s="109"/>
      <c r="K17" s="114" t="s">
        <v>31</v>
      </c>
      <c r="L17" s="120">
        <f>_xlfn.IFERROR(L6-SUM(L10:L16),"")</f>
        <v>753</v>
      </c>
      <c r="M17" s="121">
        <f>_xlfn.IFERROR(SUM(L17,取值!M14),"")</f>
        <v>9975</v>
      </c>
      <c r="N17" s="128">
        <f>_xlfn.IFERROR(L17/L6*100,0)</f>
        <v>0.411151880487485</v>
      </c>
      <c r="O17" s="128">
        <f>_xlfn.IFERROR(M17/M6*100,0)</f>
        <v>0.443624548203421</v>
      </c>
      <c r="P17" s="118">
        <f>取值!P14</f>
        <v>773</v>
      </c>
      <c r="Q17" s="129">
        <f>_xlfn.IFERROR(P17/P6*100,0)</f>
        <v>0.426294601003695</v>
      </c>
    </row>
    <row customHeight="1" ht="20.25">
      <c r="A18" s="96"/>
      <c r="B18" s="108"/>
      <c r="C18" s="114" t="s">
        <v>32</v>
      </c>
      <c r="D18" s="115">
        <f>_xlfn.IFERROR(SUM(L18,D32),"")</f>
        <v>185169</v>
      </c>
      <c r="E18" s="115">
        <f>_xlfn.IFERROR(SUM(M18,E32),"")</f>
        <v>2314298</v>
      </c>
      <c r="F18" s="128">
        <f>_xlfn.IFERROR(D18/D6*100,0)</f>
        <v>69.8925015286826</v>
      </c>
      <c r="G18" s="128">
        <f>_xlfn.IFERROR(E18/E6*100,0)</f>
        <v>70.7533651672288</v>
      </c>
      <c r="H18" s="115">
        <f>_xlfn.IFERROR(SUM(P18,H32),"")</f>
        <v>177414</v>
      </c>
      <c r="I18" s="128">
        <f>_xlfn.IFERROR(H18/H6*100,0)</f>
        <v>68.8820555827335</v>
      </c>
      <c r="J18" s="109"/>
      <c r="K18" s="114" t="s">
        <v>32</v>
      </c>
      <c r="L18" s="117">
        <f>_xlfn.IFERROR(SUM(L13:L14),"")</f>
        <v>131310</v>
      </c>
      <c r="M18" s="121">
        <f>_xlfn.IFERROR(SUM(L18,取值!M15),"")</f>
        <v>1602857</v>
      </c>
      <c r="N18" s="128">
        <f>_xlfn.IFERROR(L18/L6*100,0)</f>
        <v>71.6976805136941</v>
      </c>
      <c r="O18" s="128">
        <f>_xlfn.IFERROR(M18/M6*100,0)</f>
        <v>71.2848834546055</v>
      </c>
      <c r="P18" s="118">
        <f>取值!P15</f>
        <v>125601</v>
      </c>
      <c r="Q18" s="129">
        <f>_xlfn.IFERROR(P18/P6*100,0)</f>
        <v>69.2665306347543</v>
      </c>
    </row>
    <row customHeight="1" ht="20.25">
      <c r="A19" s="96"/>
      <c r="B19" s="108"/>
      <c r="C19" s="114" t="s">
        <v>33</v>
      </c>
      <c r="D19" s="115">
        <f>_xlfn.IFERROR(SUM(L19,D33),"")</f>
        <v>232803</v>
      </c>
      <c r="E19" s="115">
        <f>_xlfn.IFERROR(SUM(M19,E33),"")</f>
        <v>2854475</v>
      </c>
      <c r="F19" s="128">
        <f>_xlfn.IFERROR(D19/D6*100,0)</f>
        <v>87.8720737995123</v>
      </c>
      <c r="G19" s="128">
        <f>_xlfn.IFERROR(E19/E6*100,0)</f>
        <v>87.2678073591757</v>
      </c>
      <c r="H19" s="115">
        <f>_xlfn.IFERROR(SUM(P19,H33),"")</f>
        <v>224536</v>
      </c>
      <c r="I19" s="128">
        <f>_xlfn.IFERROR(H19/H6*100,0)</f>
        <v>87.1774563017836</v>
      </c>
      <c r="J19" s="109"/>
      <c r="K19" s="114" t="s">
        <v>33</v>
      </c>
      <c r="L19" s="117">
        <f>_xlfn.IFERROR(SUM(L12:L14),"")</f>
        <v>160247</v>
      </c>
      <c r="M19" s="121">
        <f>_xlfn.IFERROR(SUM(L19,取值!M16),"")</f>
        <v>1949211</v>
      </c>
      <c r="N19" s="128">
        <f>_xlfn.IFERROR(L19/L6*100,0)</f>
        <v>87.4978159262657</v>
      </c>
      <c r="O19" s="128">
        <f>_xlfn.IFERROR(M19/M6*100,0)</f>
        <v>86.6885061882845</v>
      </c>
      <c r="P19" s="118">
        <f>取值!P16</f>
        <v>157063</v>
      </c>
      <c r="Q19" s="129">
        <f>_xlfn.IFERROR(P19/P6*100,0)</f>
        <v>86.6172172282579</v>
      </c>
    </row>
    <row customHeight="1" ht="20.25">
      <c r="A20" s="96"/>
      <c r="B20" s="80" t="s">
        <v>34</v>
      </c>
      <c r="C20" s="114" t="s">
        <v>17</v>
      </c>
      <c r="D20" s="117">
        <f>_xlfn.IFERROR(SUM(D21:D23),"")</f>
        <v>81790</v>
      </c>
      <c r="E20" s="115">
        <f>_xlfn.IFERROR(SUM(D20,取值!E17),"")</f>
        <v>1022414</v>
      </c>
      <c r="F20" s="111" t="s">
        <v>18</v>
      </c>
      <c r="G20" s="111" t="s">
        <v>18</v>
      </c>
      <c r="H20" s="118">
        <f>取值!H17</f>
        <v>76232</v>
      </c>
      <c r="I20" s="111" t="s">
        <v>18</v>
      </c>
      <c r="J20" s="114"/>
      <c r="K20" s="114"/>
      <c r="L20" s="114"/>
      <c r="M20" s="114"/>
      <c r="N20" s="114"/>
      <c r="O20" s="114"/>
      <c r="P20" s="114"/>
      <c r="Q20" s="130"/>
    </row>
    <row customHeight="1" ht="20.25">
      <c r="A21" s="96"/>
      <c r="B21" s="108"/>
      <c r="C21" s="119" t="s">
        <v>20</v>
      </c>
      <c r="D21" s="120">
        <f>取值!D20</f>
        <v>79857</v>
      </c>
      <c r="E21" s="121">
        <f>_xlfn.IFERROR(SUM(D21,取值!E18),"")</f>
        <v>1006799</v>
      </c>
      <c r="F21" s="111" t="s">
        <v>18</v>
      </c>
      <c r="G21" s="111" t="s">
        <v>18</v>
      </c>
      <c r="H21" s="118">
        <f>取值!H18</f>
        <v>75238</v>
      </c>
      <c r="I21" s="111" t="s">
        <v>18</v>
      </c>
      <c r="J21" s="114"/>
      <c r="K21" s="114"/>
      <c r="L21" s="114"/>
      <c r="M21" s="114"/>
      <c r="N21" s="114"/>
      <c r="O21" s="114"/>
      <c r="P21" s="114"/>
      <c r="Q21" s="130"/>
    </row>
    <row customHeight="1" ht="20.25">
      <c r="A22" s="96"/>
      <c r="B22" s="108"/>
      <c r="C22" s="119" t="s">
        <v>21</v>
      </c>
      <c r="D22" s="120">
        <f>取值!D21</f>
        <v>288</v>
      </c>
      <c r="E22" s="121">
        <f>_xlfn.IFERROR(SUM(D22,取值!E19),"")</f>
        <v>3475</v>
      </c>
      <c r="F22" s="111" t="s">
        <v>18</v>
      </c>
      <c r="G22" s="111" t="s">
        <v>18</v>
      </c>
      <c r="H22" s="118">
        <f>取值!H19</f>
        <v>327</v>
      </c>
      <c r="I22" s="111" t="s">
        <v>18</v>
      </c>
      <c r="J22" s="114"/>
      <c r="K22" s="114"/>
      <c r="L22" s="114"/>
      <c r="M22" s="114"/>
      <c r="N22" s="114"/>
      <c r="O22" s="114"/>
      <c r="P22" s="114"/>
      <c r="Q22" s="130"/>
    </row>
    <row s="131" customFormat="1" customHeight="1" ht="20.25">
      <c r="A23" s="123"/>
      <c r="B23" s="108"/>
      <c r="C23" s="119" t="s">
        <v>22</v>
      </c>
      <c r="D23" s="126">
        <f>取值!D22</f>
        <v>1645</v>
      </c>
      <c r="E23" s="121">
        <f>_xlfn.IFERROR(SUM(D23,取值!E20),"")</f>
        <v>12140</v>
      </c>
      <c r="F23" s="124" t="s">
        <v>18</v>
      </c>
      <c r="G23" s="124" t="s">
        <v>18</v>
      </c>
      <c r="H23" s="118">
        <f>取值!H20</f>
        <v>667</v>
      </c>
      <c r="I23" s="124" t="s">
        <v>18</v>
      </c>
      <c r="J23" s="125"/>
      <c r="K23" s="125"/>
      <c r="L23" s="125"/>
      <c r="M23" s="125"/>
      <c r="N23" s="125"/>
      <c r="O23" s="125"/>
      <c r="P23" s="125"/>
      <c r="Q23" s="132"/>
    </row>
    <row customHeight="1" ht="20.25">
      <c r="A24" s="96"/>
      <c r="B24" s="108"/>
      <c r="C24" s="114" t="s">
        <v>23</v>
      </c>
      <c r="D24" s="120"/>
      <c r="E24" s="121">
        <f>_xlfn.IFERROR(SUM(D24,取值!E21),"")</f>
        <v>0</v>
      </c>
      <c r="F24" s="114"/>
      <c r="G24" s="114"/>
      <c r="H24" s="118">
        <f>取值!H21</f>
        <v>0</v>
      </c>
      <c r="I24" s="114"/>
      <c r="J24" s="114"/>
      <c r="K24" s="114"/>
      <c r="L24" s="114"/>
      <c r="M24" s="114"/>
      <c r="N24" s="114"/>
      <c r="O24" s="114"/>
      <c r="P24" s="114"/>
      <c r="Q24" s="130"/>
    </row>
    <row customHeight="1" ht="20.25">
      <c r="A25" s="96"/>
      <c r="B25" s="108"/>
      <c r="C25" s="114" t="s">
        <v>24</v>
      </c>
      <c r="D25" s="120">
        <f>取值!D23</f>
        <v>3168</v>
      </c>
      <c r="E25" s="121">
        <f>_xlfn.IFERROR(SUM(D25,取值!E22),"")</f>
        <v>35829</v>
      </c>
      <c r="F25" s="128">
        <f>_xlfn.IFERROR(D25/D20*100,0)</f>
        <v>3.8733341484289</v>
      </c>
      <c r="G25" s="128">
        <f>_xlfn.IFERROR(E25/E20*100,0)</f>
        <v>3.50435342239054</v>
      </c>
      <c r="H25" s="118">
        <f>取值!H22</f>
        <v>2867</v>
      </c>
      <c r="I25" s="128">
        <f>_xlfn.IFERROR(H25/H20*100,0)</f>
        <v>3.7608878161402</v>
      </c>
      <c r="J25" s="114"/>
      <c r="K25" s="114"/>
      <c r="L25" s="114"/>
      <c r="M25" s="114"/>
      <c r="N25" s="114"/>
      <c r="O25" s="114"/>
      <c r="P25" s="114"/>
      <c r="Q25" s="130"/>
    </row>
    <row customHeight="1" ht="20.25">
      <c r="A26" s="96"/>
      <c r="B26" s="108"/>
      <c r="C26" s="114" t="s">
        <v>25</v>
      </c>
      <c r="D26" s="120">
        <f>取值!D24</f>
        <v>18697</v>
      </c>
      <c r="E26" s="121">
        <f>_xlfn.IFERROR(SUM(D26,取值!E23),"")</f>
        <v>193823</v>
      </c>
      <c r="F26" s="128">
        <f>_xlfn.IFERROR(D26/D20*100,0)</f>
        <v>22.8597628071891</v>
      </c>
      <c r="G26" s="128">
        <f>_xlfn.IFERROR(E26/E20*100,0)</f>
        <v>18.9573890811354</v>
      </c>
      <c r="H26" s="118">
        <f>取值!H23</f>
        <v>15660</v>
      </c>
      <c r="I26" s="128">
        <f>_xlfn.IFERROR(H26/H20*100,0)</f>
        <v>20.5425543079022</v>
      </c>
      <c r="J26" s="114"/>
      <c r="K26" s="114"/>
      <c r="L26" s="114"/>
      <c r="M26" s="114"/>
      <c r="N26" s="114"/>
      <c r="O26" s="114"/>
      <c r="P26" s="114"/>
      <c r="Q26" s="130"/>
    </row>
    <row customHeight="1" ht="20.25">
      <c r="A27" s="96"/>
      <c r="B27" s="108"/>
      <c r="C27" s="114" t="s">
        <v>26</v>
      </c>
      <c r="D27" s="120">
        <f>取值!D25</f>
        <v>39623</v>
      </c>
      <c r="E27" s="121">
        <f>_xlfn.IFERROR(SUM(D27,取值!E24),"")</f>
        <v>488908</v>
      </c>
      <c r="F27" s="128">
        <f>_xlfn.IFERROR(D27/D20*100,0)</f>
        <v>48.4447976525248</v>
      </c>
      <c r="G27" s="128">
        <f>_xlfn.IFERROR(E27/E20*100,0)</f>
        <v>47.8189852642863</v>
      </c>
      <c r="H27" s="118">
        <f>取值!H24</f>
        <v>36675</v>
      </c>
      <c r="I27" s="128">
        <f>_xlfn.IFERROR(H27/H20*100,0)</f>
        <v>48.1097177038514</v>
      </c>
      <c r="J27" s="114"/>
      <c r="K27" s="114"/>
      <c r="L27" s="114"/>
      <c r="M27" s="114"/>
      <c r="N27" s="114"/>
      <c r="O27" s="114"/>
      <c r="P27" s="114"/>
      <c r="Q27" s="130"/>
    </row>
    <row customHeight="1" ht="20.25">
      <c r="A28" s="96"/>
      <c r="B28" s="108"/>
      <c r="C28" s="114" t="s">
        <v>27</v>
      </c>
      <c r="D28" s="120">
        <f>取值!D26</f>
        <v>14236</v>
      </c>
      <c r="E28" s="121">
        <f>_xlfn.IFERROR(SUM(D28,取值!E25),"")</f>
        <v>222533</v>
      </c>
      <c r="F28" s="128">
        <f>_xlfn.IFERROR(D28/D20*100,0)</f>
        <v>17.4055508008314</v>
      </c>
      <c r="G28" s="128">
        <f>_xlfn.IFERROR(E28/E20*100,0)</f>
        <v>21.765449221157</v>
      </c>
      <c r="H28" s="118">
        <f>取值!H25</f>
        <v>15138</v>
      </c>
      <c r="I28" s="128">
        <f>_xlfn.IFERROR(H28/H20*100,0)</f>
        <v>19.8578024976388</v>
      </c>
      <c r="J28" s="114"/>
      <c r="K28" s="114"/>
      <c r="L28" s="114"/>
      <c r="M28" s="114"/>
      <c r="N28" s="114"/>
      <c r="O28" s="114"/>
      <c r="P28" s="114"/>
      <c r="Q28" s="130"/>
    </row>
    <row customHeight="1" ht="20.25">
      <c r="A29" s="96"/>
      <c r="B29" s="108"/>
      <c r="C29" s="114" t="s">
        <v>28</v>
      </c>
      <c r="D29" s="120">
        <f>取值!D27</f>
        <v>4855</v>
      </c>
      <c r="E29" s="121">
        <f>_xlfn.IFERROR(SUM(D29,取值!E26),"")</f>
        <v>66195</v>
      </c>
      <c r="F29" s="128">
        <f>_xlfn.IFERROR(D29/D20*100,0)</f>
        <v>5.93593348820149</v>
      </c>
      <c r="G29" s="128">
        <f>_xlfn.IFERROR(E29/E20*100,0)</f>
        <v>6.47438317550425</v>
      </c>
      <c r="H29" s="118">
        <f>取值!H26</f>
        <v>4318</v>
      </c>
      <c r="I29" s="128">
        <f>_xlfn.IFERROR(H29/H20*100,0)</f>
        <v>5.66428796306013</v>
      </c>
      <c r="J29" s="114"/>
      <c r="K29" s="114"/>
      <c r="L29" s="114"/>
      <c r="M29" s="114"/>
      <c r="N29" s="114"/>
      <c r="O29" s="114"/>
      <c r="P29" s="114"/>
      <c r="Q29" s="130"/>
    </row>
    <row customHeight="1" ht="20.25">
      <c r="A30" s="96"/>
      <c r="B30" s="108"/>
      <c r="C30" s="114" t="s">
        <v>29</v>
      </c>
      <c r="D30" s="120">
        <f>取值!D28</f>
        <v>945</v>
      </c>
      <c r="E30" s="121">
        <f>_xlfn.IFERROR(SUM(D30,取值!E27),"")</f>
        <v>11551</v>
      </c>
      <c r="F30" s="128">
        <f>_xlfn.IFERROR(D30/D20*100,0)</f>
        <v>1.15539797041203</v>
      </c>
      <c r="G30" s="128">
        <f>_xlfn.IFERROR(E30/E20*100,0)</f>
        <v>1.12977717441271</v>
      </c>
      <c r="H30" s="118">
        <f>取值!H27</f>
        <v>1318</v>
      </c>
      <c r="I30" s="128">
        <f>_xlfn.IFERROR(H30/H20*100,0)</f>
        <v>1.72893273166124</v>
      </c>
      <c r="J30" s="114"/>
      <c r="K30" s="114"/>
      <c r="L30" s="114"/>
      <c r="M30" s="114"/>
      <c r="N30" s="114"/>
      <c r="O30" s="114"/>
      <c r="P30" s="114"/>
      <c r="Q30" s="130"/>
    </row>
    <row customHeight="1" ht="20.25">
      <c r="A31" s="96"/>
      <c r="B31" s="108"/>
      <c r="C31" s="114" t="s">
        <v>31</v>
      </c>
      <c r="D31" s="120">
        <f>_xlfn.IFERROR(D20-SUM(D25:D30),"")</f>
        <v>266</v>
      </c>
      <c r="E31" s="121">
        <f>_xlfn.IFERROR(SUM(D31,取值!E28),"")</f>
        <v>3575</v>
      </c>
      <c r="F31" s="128">
        <f>_xlfn.IFERROR(D31/D20*100,0)</f>
        <v>0.325223132412275</v>
      </c>
      <c r="G31" s="128">
        <f>_xlfn.IFERROR(E31/E20*100,0)</f>
        <v>0.349662661113795</v>
      </c>
      <c r="H31" s="118">
        <f>取值!H28</f>
        <v>256</v>
      </c>
      <c r="I31" s="128">
        <f>_xlfn.IFERROR(H31/H20*100,0)</f>
        <v>0.335816979746038</v>
      </c>
      <c r="J31" s="114"/>
      <c r="K31" s="114"/>
      <c r="L31" s="114"/>
      <c r="M31" s="114"/>
      <c r="N31" s="114"/>
      <c r="O31" s="114"/>
      <c r="P31" s="114"/>
      <c r="Q31" s="130"/>
    </row>
    <row customHeight="1" ht="20.25">
      <c r="A32" s="96"/>
      <c r="B32" s="108"/>
      <c r="C32" s="114" t="s">
        <v>32</v>
      </c>
      <c r="D32" s="117">
        <f>_xlfn.IFERROR(SUM(D27:D28),"")</f>
        <v>53859</v>
      </c>
      <c r="E32" s="121">
        <f>_xlfn.IFERROR(SUM(D32,取值!E29),"")</f>
        <v>711441</v>
      </c>
      <c r="F32" s="128">
        <f>_xlfn.IFERROR(D32/D20*100,0)</f>
        <v>65.8503484533562</v>
      </c>
      <c r="G32" s="128">
        <f>_xlfn.IFERROR(E32/E20*100,0)</f>
        <v>69.5844344854433</v>
      </c>
      <c r="H32" s="118">
        <f>取值!H29</f>
        <v>51813</v>
      </c>
      <c r="I32" s="128">
        <f>_xlfn.IFERROR(H32/H20*100,0)</f>
        <v>67.9675202014902</v>
      </c>
      <c r="J32" s="114"/>
      <c r="K32" s="114"/>
      <c r="L32" s="114"/>
      <c r="M32" s="114"/>
      <c r="N32" s="114"/>
      <c r="O32" s="114"/>
      <c r="P32" s="114"/>
      <c r="Q32" s="130"/>
    </row>
    <row customHeight="1" ht="20.25">
      <c r="A33" s="96"/>
      <c r="B33" s="133"/>
      <c r="C33" s="134" t="s">
        <v>33</v>
      </c>
      <c r="D33" s="135">
        <f>_xlfn.IFERROR(SUM(D26:D28),"")</f>
        <v>72556</v>
      </c>
      <c r="E33" s="136">
        <f>_xlfn.IFERROR(SUM(D33,取值!E30),"")</f>
        <v>905264</v>
      </c>
      <c r="F33" s="137">
        <f>_xlfn.IFERROR(D33/D20*100,0)</f>
        <v>88.7101112605453</v>
      </c>
      <c r="G33" s="137">
        <f>_xlfn.IFERROR(E33/E20*100,0)</f>
        <v>88.5418235665787</v>
      </c>
      <c r="H33" s="138">
        <f>取值!H30</f>
        <v>67473</v>
      </c>
      <c r="I33" s="137">
        <f>_xlfn.IFERROR(H33/H20*100,0)</f>
        <v>88.5100745093924</v>
      </c>
      <c r="J33" s="134"/>
      <c r="K33" s="134"/>
      <c r="L33" s="134"/>
      <c r="M33" s="134"/>
      <c r="N33" s="134"/>
      <c r="O33" s="134"/>
      <c r="P33" s="134"/>
      <c r="Q33" s="139"/>
    </row>
    <row s="140" customFormat="1" customHeight="1" ht="20.25">
      <c r="A34" s="123"/>
      <c r="B34" s="141"/>
      <c r="C34" s="142" t="s">
        <v>35</v>
      </c>
      <c r="D34" s="143" t="s">
        <v>36</v>
      </c>
      <c r="E34" s="141"/>
      <c r="F34" s="141"/>
      <c r="G34" s="141"/>
      <c r="H34" s="144"/>
      <c r="I34" s="145" t="s">
        <v>37</v>
      </c>
      <c r="J34" s="145"/>
      <c r="K34" s="143" t="s">
        <v>38</v>
      </c>
      <c r="L34" s="141"/>
      <c r="M34" s="141"/>
      <c r="N34" s="145" t="s">
        <v>39</v>
      </c>
      <c r="O34" s="145"/>
      <c r="P34" s="146">
        <f>_xlfn.IFERROR(取值!C3,"")</f>
        <v>46022</v>
      </c>
      <c r="Q34" s="146"/>
    </row>
  </sheetData>
  <mergeCells count="20">
    <mergeCell ref="B2:Q2"/>
    <mergeCell ref="B4:B5"/>
    <mergeCell ref="C4:C5"/>
    <mergeCell ref="D4:E4"/>
    <mergeCell ref="F4:G4"/>
    <mergeCell ref="H4:I4"/>
    <mergeCell ref="J4:J5"/>
    <mergeCell ref="K4:K5"/>
    <mergeCell ref="L4:M4"/>
    <mergeCell ref="N4:O4"/>
    <mergeCell ref="P4:Q4"/>
    <mergeCell ref="I3:J3"/>
    <mergeCell ref="L3:Q3"/>
    <mergeCell ref="B3:C3"/>
    <mergeCell ref="B6:B19"/>
    <mergeCell ref="J6:J19"/>
    <mergeCell ref="B20:B33"/>
    <mergeCell ref="I34:J34"/>
    <mergeCell ref="P34:Q34"/>
    <mergeCell ref="N34:O34"/>
  </mergeCells>
  <pageMargins left="1.30" right="0.71" top="0.95" bottom="0.75" header="0.31" footer="0.31"/>
  <pageSetup paperSize="9" scale="69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80896E4-B888-8285-0C28-2ED73035E98E}" mc:Ignorable="x14ac xr xr2 xr3">
  <dimension ref="A1:P32"/>
  <sheetViews>
    <sheetView defaultGridColor="0" colorId="31" topLeftCell="A9" workbookViewId="0">
      <selection activeCell="F27" sqref="F27"/>
    </sheetView>
  </sheetViews>
  <sheetFormatPr customHeight="1" defaultRowHeight="14.100000000000001"/>
  <sheetData>
    <row customHeight="1" ht="14.25">
      <c r="A1" s="96"/>
      <c r="B1" s="147" t="s">
        <v>40</v>
      </c>
      <c r="C1" s="148" t="s">
        <v>4</v>
      </c>
      <c r="D1" s="147" t="s">
        <v>41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customHeight="1" ht="14.25">
      <c r="A2" s="96"/>
      <c r="B2" s="96"/>
      <c r="C2" s="149" t="str">
        <f>EDATE(C1,1)</f>
        <v>46023</v>
      </c>
      <c r="D2" s="96"/>
      <c r="E2" s="96"/>
      <c r="F2" s="96"/>
      <c r="G2" s="96"/>
      <c r="H2" s="96"/>
      <c r="I2" s="96"/>
      <c r="J2" s="96"/>
      <c r="K2" s="96"/>
      <c r="L2" s="96"/>
      <c r="M2" s="150" t="s">
        <v>42</v>
      </c>
      <c r="N2" s="151"/>
      <c r="O2" s="151"/>
      <c r="P2" s="150" t="s">
        <v>43</v>
      </c>
    </row>
    <row customHeight="1" ht="14.25">
      <c r="A3" s="96"/>
      <c r="B3" s="96"/>
      <c r="C3" s="152">
        <f>C2-1</f>
        <v>46022</v>
      </c>
      <c r="D3" s="96"/>
      <c r="E3" s="96"/>
      <c r="F3" s="96"/>
      <c r="G3" s="96"/>
      <c r="H3" s="96"/>
      <c r="I3" s="96"/>
      <c r="J3" s="96"/>
      <c r="K3" s="96"/>
      <c r="L3" s="96"/>
      <c r="M3" s="150">
        <v>2065379</v>
      </c>
      <c r="N3" s="96"/>
      <c r="O3" s="96"/>
      <c r="P3" s="150">
        <v>181330</v>
      </c>
    </row>
    <row customHeight="1" ht="14.2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150">
        <v>2065379</v>
      </c>
      <c r="N4" s="96"/>
      <c r="O4" s="96"/>
      <c r="P4" s="150">
        <v>181330</v>
      </c>
    </row>
    <row customHeight="1" ht="14.2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151"/>
      <c r="N5" s="96"/>
      <c r="O5" s="96"/>
      <c r="P5" s="151"/>
    </row>
    <row customHeight="1" ht="14.2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151"/>
      <c r="N6" s="96"/>
      <c r="O6" s="96"/>
      <c r="P6" s="151"/>
    </row>
    <row customHeight="1" ht="14.2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>
        <v>183144</v>
      </c>
      <c r="M7" s="150">
        <v>25371</v>
      </c>
      <c r="N7" s="96"/>
      <c r="O7" s="96"/>
      <c r="P7" s="150">
        <v>2735</v>
      </c>
    </row>
    <row customHeight="1" ht="14.2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150">
        <v>66270</v>
      </c>
      <c r="N8" s="96"/>
      <c r="O8" s="96"/>
      <c r="P8" s="150">
        <v>5827</v>
      </c>
    </row>
    <row customHeight="1" ht="14.2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>
        <v>2085</v>
      </c>
      <c r="M9" s="150">
        <v>317417</v>
      </c>
      <c r="N9" s="96"/>
      <c r="O9" s="96"/>
      <c r="P9" s="150">
        <v>31462</v>
      </c>
    </row>
    <row customHeight="1" ht="14.2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>
        <v>6429</v>
      </c>
      <c r="M10" s="150">
        <v>947360</v>
      </c>
      <c r="N10" s="96"/>
      <c r="O10" s="96"/>
      <c r="P10" s="150">
        <v>80519</v>
      </c>
    </row>
    <row customHeight="1" ht="14.2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>
        <v>28937</v>
      </c>
      <c r="M11" s="150">
        <v>524187</v>
      </c>
      <c r="N11" s="96"/>
      <c r="O11" s="96"/>
      <c r="P11" s="150">
        <v>45082</v>
      </c>
    </row>
    <row customHeight="1" ht="14.25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>
        <v>86749</v>
      </c>
      <c r="M12" s="150">
        <v>164495</v>
      </c>
      <c r="N12" s="96"/>
      <c r="O12" s="96"/>
      <c r="P12" s="150">
        <v>13673</v>
      </c>
    </row>
    <row customHeight="1" ht="14.25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>
        <v>44561</v>
      </c>
      <c r="M13" s="150">
        <v>11057</v>
      </c>
      <c r="N13" s="96"/>
      <c r="O13" s="96"/>
      <c r="P13" s="150">
        <v>1259</v>
      </c>
    </row>
    <row customHeight="1" ht="14.2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>
        <v>12561</v>
      </c>
      <c r="M14" s="150">
        <v>9222</v>
      </c>
      <c r="N14" s="96"/>
      <c r="O14" s="96"/>
      <c r="P14" s="150">
        <v>773</v>
      </c>
    </row>
    <row customHeight="1" ht="14.2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>
        <v>1069</v>
      </c>
      <c r="M15" s="150">
        <v>1471547</v>
      </c>
      <c r="N15" s="96"/>
      <c r="O15" s="96"/>
      <c r="P15" s="150">
        <v>125601</v>
      </c>
    </row>
    <row customHeight="1" ht="14.25">
      <c r="A16" s="96"/>
      <c r="B16" s="96"/>
      <c r="C16" s="96"/>
      <c r="D16" s="96"/>
      <c r="E16" s="150" t="s">
        <v>42</v>
      </c>
      <c r="F16" s="96"/>
      <c r="G16" s="96"/>
      <c r="H16" s="150" t="s">
        <v>43</v>
      </c>
      <c r="I16" s="96"/>
      <c r="J16" s="96"/>
      <c r="K16" s="96"/>
      <c r="L16" s="96"/>
      <c r="M16" s="150">
        <v>1788964</v>
      </c>
      <c r="N16" s="96"/>
      <c r="O16" s="96"/>
      <c r="P16" s="150">
        <v>157063</v>
      </c>
    </row>
    <row customHeight="1" ht="14.25">
      <c r="A17" s="96"/>
      <c r="B17" s="96"/>
      <c r="C17" s="96"/>
      <c r="D17" s="96"/>
      <c r="E17" s="150">
        <v>940624</v>
      </c>
      <c r="F17" s="96"/>
      <c r="G17" s="96"/>
      <c r="H17" s="150">
        <v>76232</v>
      </c>
      <c r="I17" s="96"/>
      <c r="J17" s="96"/>
      <c r="K17" s="96"/>
      <c r="L17" s="96"/>
      <c r="M17" s="96"/>
      <c r="N17" s="96"/>
      <c r="O17" s="96"/>
      <c r="P17" s="96"/>
    </row>
    <row customHeight="1" ht="14.25">
      <c r="A18" s="96"/>
      <c r="B18" s="96"/>
      <c r="C18" s="96"/>
      <c r="D18" s="96"/>
      <c r="E18" s="150">
        <v>926942</v>
      </c>
      <c r="F18" s="96"/>
      <c r="G18" s="96"/>
      <c r="H18" s="150">
        <v>75238</v>
      </c>
      <c r="I18" s="96"/>
      <c r="J18" s="96"/>
      <c r="K18" s="96"/>
      <c r="L18" s="96"/>
      <c r="M18" s="96"/>
      <c r="N18" s="96"/>
      <c r="O18" s="96"/>
      <c r="P18" s="96"/>
    </row>
    <row customHeight="1" ht="14.25">
      <c r="A19" s="96"/>
      <c r="B19" s="96"/>
      <c r="C19" s="96"/>
      <c r="D19" s="96"/>
      <c r="E19" s="150">
        <v>3187</v>
      </c>
      <c r="F19" s="96"/>
      <c r="G19" s="96"/>
      <c r="H19" s="150">
        <v>327</v>
      </c>
      <c r="I19" s="96"/>
      <c r="J19" s="96"/>
      <c r="K19" s="96"/>
      <c r="L19" s="96"/>
      <c r="M19" s="96"/>
      <c r="N19" s="96"/>
      <c r="O19" s="96"/>
      <c r="P19" s="96"/>
    </row>
    <row customHeight="1" ht="14.25">
      <c r="A20" s="96"/>
      <c r="B20" s="96"/>
      <c r="C20" s="96"/>
      <c r="D20" s="96">
        <v>79857</v>
      </c>
      <c r="E20" s="150">
        <v>10495</v>
      </c>
      <c r="F20" s="96"/>
      <c r="G20" s="96"/>
      <c r="H20" s="150">
        <v>667</v>
      </c>
      <c r="I20" s="96"/>
      <c r="J20" s="96"/>
      <c r="K20" s="96"/>
      <c r="L20" s="96"/>
      <c r="M20" s="96"/>
      <c r="N20" s="96"/>
      <c r="O20" s="96"/>
      <c r="P20" s="96"/>
    </row>
    <row customHeight="1" ht="14.25">
      <c r="A21" s="96"/>
      <c r="B21" s="96"/>
      <c r="C21" s="96"/>
      <c r="D21" s="96">
        <v>288</v>
      </c>
      <c r="E21" s="150"/>
      <c r="F21" s="96"/>
      <c r="G21" s="96"/>
      <c r="H21" s="150"/>
      <c r="I21" s="96"/>
      <c r="J21" s="96"/>
      <c r="K21" s="96"/>
      <c r="L21" s="96"/>
      <c r="M21" s="96"/>
      <c r="N21" s="96"/>
      <c r="O21" s="96"/>
      <c r="P21" s="96"/>
    </row>
    <row customHeight="1" ht="14.25">
      <c r="A22" s="96"/>
      <c r="B22" s="96"/>
      <c r="C22" s="96"/>
      <c r="D22" s="153">
        <v>1645</v>
      </c>
      <c r="E22" s="150">
        <v>32661</v>
      </c>
      <c r="F22" s="96"/>
      <c r="G22" s="96"/>
      <c r="H22" s="150">
        <v>2867</v>
      </c>
      <c r="I22" s="96"/>
      <c r="J22" s="96"/>
      <c r="K22" s="96"/>
      <c r="L22" s="96"/>
      <c r="M22" s="96"/>
      <c r="N22" s="96"/>
      <c r="O22" s="96"/>
      <c r="P22" s="96"/>
    </row>
    <row customHeight="1" ht="14.25">
      <c r="A23" s="96"/>
      <c r="B23" s="96"/>
      <c r="C23" s="96"/>
      <c r="D23" s="153">
        <v>3168</v>
      </c>
      <c r="E23" s="150">
        <v>175126</v>
      </c>
      <c r="F23" s="96"/>
      <c r="G23" s="96"/>
      <c r="H23" s="150">
        <v>15660</v>
      </c>
      <c r="I23" s="96"/>
      <c r="J23" s="96"/>
      <c r="K23" s="96"/>
      <c r="L23" s="96"/>
      <c r="M23" s="96"/>
      <c r="N23" s="96"/>
      <c r="O23" s="96"/>
      <c r="P23" s="96"/>
    </row>
    <row customHeight="1" ht="14.25">
      <c r="A24" s="96"/>
      <c r="B24" s="96"/>
      <c r="C24" s="96"/>
      <c r="D24" s="96">
        <v>18697</v>
      </c>
      <c r="E24" s="150">
        <v>449285</v>
      </c>
      <c r="F24" s="96"/>
      <c r="G24" s="96"/>
      <c r="H24" s="150">
        <v>36675</v>
      </c>
      <c r="I24" s="96"/>
      <c r="J24" s="96"/>
      <c r="K24" s="96"/>
      <c r="L24" s="96"/>
      <c r="M24" s="96"/>
      <c r="N24" s="96"/>
      <c r="O24" s="96"/>
      <c r="P24" s="96"/>
    </row>
    <row customHeight="1" ht="14.25">
      <c r="A25" s="96"/>
      <c r="B25" s="96"/>
      <c r="C25" s="96"/>
      <c r="D25" s="96">
        <v>39623</v>
      </c>
      <c r="E25" s="150">
        <v>208297</v>
      </c>
      <c r="F25" s="96"/>
      <c r="G25" s="96"/>
      <c r="H25" s="150">
        <v>15138</v>
      </c>
      <c r="I25" s="96"/>
      <c r="J25" s="96"/>
      <c r="K25" s="96"/>
      <c r="L25" s="96"/>
      <c r="M25" s="96"/>
      <c r="N25" s="96"/>
      <c r="O25" s="96"/>
      <c r="P25" s="96"/>
    </row>
    <row customHeight="1" ht="14.25">
      <c r="A26" s="96"/>
      <c r="B26" s="96"/>
      <c r="C26" s="96"/>
      <c r="D26" s="96">
        <v>14236</v>
      </c>
      <c r="E26" s="150">
        <v>61340</v>
      </c>
      <c r="F26" s="96"/>
      <c r="G26" s="96"/>
      <c r="H26" s="150">
        <v>4318</v>
      </c>
      <c r="I26" s="96"/>
      <c r="J26" s="96"/>
      <c r="K26" s="96"/>
      <c r="L26" s="96"/>
      <c r="M26" s="96"/>
      <c r="N26" s="96"/>
      <c r="O26" s="96"/>
      <c r="P26" s="96"/>
    </row>
    <row customHeight="1" ht="14.25">
      <c r="A27" s="96"/>
      <c r="B27" s="96"/>
      <c r="C27" s="96"/>
      <c r="D27" s="96">
        <v>4855</v>
      </c>
      <c r="E27" s="150">
        <v>10606</v>
      </c>
      <c r="F27" s="96"/>
      <c r="G27" s="96"/>
      <c r="H27" s="150">
        <v>1318</v>
      </c>
      <c r="I27" s="96"/>
      <c r="J27" s="96"/>
      <c r="K27" s="96"/>
      <c r="L27" s="96"/>
      <c r="M27" s="96"/>
      <c r="N27" s="96"/>
      <c r="O27" s="96"/>
      <c r="P27" s="96"/>
    </row>
    <row customHeight="1" ht="14.25">
      <c r="A28" s="96"/>
      <c r="B28" s="96"/>
      <c r="C28" s="96"/>
      <c r="D28" s="153">
        <v>945</v>
      </c>
      <c r="E28" s="150">
        <v>3309</v>
      </c>
      <c r="F28" s="96"/>
      <c r="G28" s="96"/>
      <c r="H28" s="150">
        <v>256</v>
      </c>
      <c r="I28" s="96"/>
      <c r="J28" s="96"/>
      <c r="K28" s="96"/>
      <c r="L28" s="96"/>
      <c r="M28" s="96"/>
      <c r="N28" s="96"/>
      <c r="O28" s="96"/>
      <c r="P28" s="96"/>
    </row>
    <row customHeight="1" ht="14.25">
      <c r="A29" s="96"/>
      <c r="B29" s="96"/>
      <c r="C29" s="96"/>
      <c r="D29" s="96"/>
      <c r="E29" s="150">
        <v>657582</v>
      </c>
      <c r="F29" s="96"/>
      <c r="G29" s="96"/>
      <c r="H29" s="150">
        <v>51813</v>
      </c>
      <c r="I29" s="96"/>
      <c r="J29" s="96"/>
      <c r="K29" s="96"/>
      <c r="L29" s="96"/>
      <c r="M29" s="96"/>
      <c r="N29" s="96"/>
      <c r="O29" s="96"/>
      <c r="P29" s="96"/>
    </row>
    <row customHeight="1" ht="14.25">
      <c r="A30" s="96"/>
      <c r="B30" s="96"/>
      <c r="C30" s="96"/>
      <c r="D30" s="96"/>
      <c r="E30" s="150">
        <v>832708</v>
      </c>
      <c r="F30" s="96"/>
      <c r="G30" s="96"/>
      <c r="H30" s="150">
        <v>67473</v>
      </c>
      <c r="I30" s="96"/>
      <c r="J30" s="96"/>
      <c r="K30" s="96"/>
      <c r="L30" s="96"/>
      <c r="M30" s="96"/>
      <c r="N30" s="96"/>
      <c r="O30" s="96"/>
      <c r="P30" s="96"/>
    </row>
    <row customHeight="1" ht="14.25">
      <c r="A31" s="96"/>
      <c r="B31" s="96"/>
      <c r="C31" s="96"/>
      <c r="D31" s="150" t="s">
        <v>36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</row>
    <row customHeight="1" ht="14.25">
      <c r="A32" s="96"/>
      <c r="B32" s="96"/>
      <c r="C32" s="96"/>
      <c r="D32" s="150" t="s">
        <v>38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延安炼油厂装置生产完成情况表（二）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c3</cp:lastModifiedBy>
  <cp:lastPrinted>2022-05-27T02:46:52Z</cp:lastPrinted>
  <dcterms:created xsi:type="dcterms:W3CDTF">2015-06-05T18:19:34Z</dcterms:created>
  <dcterms:modified xsi:type="dcterms:W3CDTF">2022-06-30T08:44:48Z</dcterms:modified>
</cp:coreProperties>
</file>