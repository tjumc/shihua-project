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完成情况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G8" authorId="0">
      <text>
        <r>
          <rPr>
            <b/>
            <sz val="9"/>
            <color indexed="81"/>
            <rFont val="宋体"/>
            <family val="2"/>
          </rPr>
          <t>#Input("永炼_生产任务完成情况表_原油加工量_月计划量",":key{{dw}}")</t>
        </r>
      </text>
    </comment>
    <comment ref="M8" authorId="0">
      <text>
        <r>
          <rPr>
            <b/>
            <sz val="9"/>
            <color indexed="81"/>
            <rFont val="宋体"/>
            <family val="2"/>
          </rPr>
          <t>#Input("永炼_生产任务完成情况表_原油加工量_年计划量",":key{{dw}}")</t>
        </r>
      </text>
    </comment>
    <comment ref="M9" authorId="0">
      <text>
        <r>
          <rPr>
            <b/>
            <sz val="9"/>
            <color indexed="81"/>
            <rFont val="宋体"/>
            <family val="2"/>
          </rPr>
          <t>#Input("永炼_生产任务完成情况表_包含代加工原油量_年计划量",":key{{dw}}")</t>
        </r>
      </text>
    </comment>
    <comment ref="G10" authorId="0">
      <text>
        <r>
          <rPr>
            <b/>
            <sz val="9"/>
            <color indexed="81"/>
            <rFont val="宋体"/>
            <family val="2"/>
          </rPr>
          <t>#Input("永炼_生产任务完成情况表_210万常压加工量_月计划量",":key{{dw}}")</t>
        </r>
      </text>
    </comment>
    <comment ref="M10" authorId="0">
      <text>
        <r>
          <rPr>
            <b/>
            <sz val="9"/>
            <color indexed="81"/>
            <rFont val="宋体"/>
            <family val="2"/>
          </rPr>
          <t>#Input("永炼_生产任务完成情况表_210万常压加工量_年计划量",":key{{dw}}")</t>
        </r>
      </text>
    </comment>
    <comment ref="G11" authorId="0">
      <text>
        <r>
          <rPr>
            <b/>
            <sz val="9"/>
            <color indexed="81"/>
            <rFont val="宋体"/>
            <family val="2"/>
          </rPr>
          <t>#Input("永炼_生产任务完成情况表_250万常压加工量_月计划量",":key{{dw}}")</t>
        </r>
      </text>
    </comment>
    <comment ref="M11" authorId="0">
      <text>
        <r>
          <rPr>
            <b/>
            <sz val="9"/>
            <color indexed="81"/>
            <rFont val="宋体"/>
            <family val="2"/>
          </rPr>
          <t>#Input("永炼_生产任务完成情况表_250万常压加工量_年计划量",":key{{dw}}")</t>
        </r>
      </text>
    </comment>
    <comment ref="G12" authorId="0">
      <text>
        <r>
          <rPr>
            <b/>
            <sz val="9"/>
            <color indexed="81"/>
            <rFont val="宋体"/>
            <family val="2"/>
          </rPr>
          <t>#Input("永炼_生产任务完成情况表_催化加工量_月计划量",":key{{dw}}")</t>
        </r>
      </text>
    </comment>
    <comment ref="M12" authorId="0">
      <text>
        <r>
          <rPr>
            <b/>
            <sz val="9"/>
            <color indexed="81"/>
            <rFont val="宋体"/>
            <family val="2"/>
          </rPr>
          <t>#Input("永炼_生产任务完成情况表_催化加工量_年计划量",":key{{dw}}")</t>
        </r>
      </text>
    </comment>
    <comment ref="G13" authorId="0">
      <text>
        <r>
          <rPr>
            <b/>
            <sz val="9"/>
            <color indexed="81"/>
            <rFont val="宋体"/>
            <family val="2"/>
          </rPr>
          <t>#Input("永炼_生产任务完成情况表_其中1#渣油_月计划量",":key{{dw}}")</t>
        </r>
      </text>
    </comment>
    <comment ref="M13" authorId="0">
      <text>
        <r>
          <rPr>
            <b/>
            <sz val="9"/>
            <color indexed="81"/>
            <rFont val="宋体"/>
            <family val="2"/>
          </rPr>
          <t>#Input("永炼_生产任务完成情况表_其中1#渣油_年计划量",":key{{dw}}")</t>
        </r>
      </text>
    </comment>
    <comment ref="G14" authorId="0">
      <text>
        <r>
          <rPr>
            <b/>
            <sz val="9"/>
            <color indexed="81"/>
            <rFont val="宋体"/>
            <family val="2"/>
          </rPr>
          <t>#Input("永炼_生产任务完成情况表_重整加工量_月计划量",":key{{dw}}")</t>
        </r>
      </text>
    </comment>
    <comment ref="M14" authorId="0">
      <text>
        <r>
          <rPr>
            <b/>
            <sz val="9"/>
            <color indexed="81"/>
            <rFont val="宋体"/>
            <family val="2"/>
          </rPr>
          <t>#Input("永炼_生产任务完成情况表_重整加工量_年计划量",":key{{dw}}")</t>
        </r>
      </text>
    </comment>
    <comment ref="G15" authorId="0">
      <text>
        <r>
          <rPr>
            <b/>
            <sz val="9"/>
            <color indexed="81"/>
            <rFont val="宋体"/>
            <family val="2"/>
          </rPr>
          <t>#Input("永炼_生产任务完成情况表_3#喷气式燃料加工量_月计划量",":key{{dw}}")</t>
        </r>
      </text>
    </comment>
    <comment ref="M15" authorId="0">
      <text>
        <r>
          <rPr>
            <b/>
            <sz val="9"/>
            <color indexed="81"/>
            <rFont val="宋体"/>
            <family val="2"/>
          </rPr>
          <t>#Input("永炼_生产任务完成情况表_3#喷气式燃料加工量_年计划量",":key{{dw}}")</t>
        </r>
      </text>
    </comment>
    <comment ref="G16" authorId="0">
      <text>
        <r>
          <rPr>
            <b/>
            <sz val="9"/>
            <color indexed="81"/>
            <rFont val="宋体"/>
            <family val="2"/>
          </rPr>
          <t>#Input("永炼_生产任务完成情况表_汽油精制加工量_月计划量",":key{{dw}}")</t>
        </r>
      </text>
    </comment>
    <comment ref="M16" authorId="0">
      <text>
        <r>
          <rPr>
            <b/>
            <sz val="9"/>
            <color indexed="81"/>
            <rFont val="宋体"/>
            <family val="2"/>
          </rPr>
          <t>#Input("永炼_生产任务完成情况表_汽油精制加工量_年计划量",":key{{dw}}")</t>
        </r>
      </text>
    </comment>
    <comment ref="G17" authorId="0">
      <text>
        <r>
          <rPr>
            <b/>
            <sz val="9"/>
            <color indexed="81"/>
            <rFont val="宋体"/>
            <family val="2"/>
          </rPr>
          <t>#Input("永炼_生产任务完成情况表_柴油加氢精制加工量_月计划量",":key{{dw}}")</t>
        </r>
      </text>
    </comment>
    <comment ref="M17" authorId="0">
      <text>
        <r>
          <rPr>
            <b/>
            <sz val="9"/>
            <color indexed="81"/>
            <rFont val="宋体"/>
            <family val="2"/>
          </rPr>
          <t>#Input("永炼_生产任务完成情况表_柴油加氢精制加工量_年计划量",":key{{dw}}")</t>
        </r>
      </text>
    </comment>
    <comment ref="G19" authorId="0">
      <text>
        <r>
          <rPr>
            <b/>
            <sz val="9"/>
            <color indexed="81"/>
            <rFont val="宋体"/>
            <family val="2"/>
          </rPr>
          <t>#Input("永炼_生产任务完成情况表_汽油_月计划量",":key{{dw}}")</t>
        </r>
      </text>
    </comment>
    <comment ref="M19" authorId="0">
      <text>
        <r>
          <rPr>
            <b/>
            <sz val="9"/>
            <color indexed="81"/>
            <rFont val="宋体"/>
            <family val="2"/>
          </rPr>
          <t>#Input("永炼_生产任务完成情况表_汽油_年计划量",":key{{dw}}")</t>
        </r>
      </text>
    </comment>
    <comment ref="G20" authorId="0">
      <text>
        <r>
          <rPr>
            <b/>
            <sz val="9"/>
            <color indexed="81"/>
            <rFont val="宋体"/>
            <family val="2"/>
          </rPr>
          <t>#Input("永炼_生产任务完成情况表_柴油_月计划量",":key{{dw}}")</t>
        </r>
      </text>
    </comment>
    <comment ref="M20" authorId="0">
      <text>
        <r>
          <rPr>
            <b/>
            <sz val="9"/>
            <color indexed="81"/>
            <rFont val="宋体"/>
            <family val="2"/>
          </rPr>
          <t>#Input("永炼_生产任务完成情况表_柴油_年计划量",":key{{dw}}")</t>
        </r>
      </text>
    </comment>
    <comment ref="G21" authorId="0">
      <text>
        <r>
          <rPr>
            <b/>
            <sz val="9"/>
            <color indexed="81"/>
            <rFont val="宋体"/>
            <family val="2"/>
          </rPr>
          <t>#Input("永炼_生产任务完成情况表_液化气_月计划量",":key{{dw}}")</t>
        </r>
      </text>
    </comment>
    <comment ref="M21" authorId="0">
      <text>
        <r>
          <rPr>
            <b/>
            <sz val="9"/>
            <color indexed="81"/>
            <rFont val="宋体"/>
            <family val="2"/>
          </rPr>
          <t>#Input("永炼_生产任务完成情况表_液化气_年计划量",":key{{dw}}")</t>
        </r>
      </text>
    </comment>
    <comment ref="G22" authorId="0">
      <text>
        <r>
          <rPr>
            <b/>
            <sz val="9"/>
            <color indexed="81"/>
            <rFont val="宋体"/>
            <family val="2"/>
          </rPr>
          <t>#Input("永炼_生产任务完成情况表_石脑油_月计划量",":key{{dw}}")</t>
        </r>
      </text>
    </comment>
    <comment ref="M22" authorId="0">
      <text>
        <r>
          <rPr>
            <b/>
            <sz val="9"/>
            <color indexed="81"/>
            <rFont val="宋体"/>
            <family val="2"/>
          </rPr>
          <t>#Input("永炼_生产任务完成情况表_石脑油_年计划量",":key{{dw}}")</t>
        </r>
      </text>
    </comment>
    <comment ref="G23" authorId="0">
      <text>
        <r>
          <rPr>
            <b/>
            <sz val="9"/>
            <color indexed="81"/>
            <rFont val="宋体"/>
            <family val="2"/>
          </rPr>
          <t>#Input("永炼_生产任务完成情况表_1#渣油_月计划量",":key{{dw}}")</t>
        </r>
      </text>
    </comment>
    <comment ref="M23" authorId="0">
      <text>
        <r>
          <rPr>
            <b/>
            <sz val="9"/>
            <color indexed="81"/>
            <rFont val="宋体"/>
            <family val="2"/>
          </rPr>
          <t>#Input("永炼_生产任务完成情况表_1#渣油_年计划量",":key{{dw}}")</t>
        </r>
      </text>
    </comment>
    <comment ref="G24" authorId="0">
      <text>
        <r>
          <rPr>
            <b/>
            <sz val="9"/>
            <color indexed="81"/>
            <rFont val="宋体"/>
            <family val="2"/>
          </rPr>
          <t>#Input("永炼_生产任务完成情况表_2#渣油_月计划量",":key{{dw}}")</t>
        </r>
      </text>
    </comment>
    <comment ref="M24" authorId="0">
      <text>
        <r>
          <rPr>
            <b/>
            <sz val="9"/>
            <color indexed="81"/>
            <rFont val="宋体"/>
            <family val="2"/>
          </rPr>
          <t>#Input("永炼_生产任务完成情况表_2#渣油_年计划量",":key{{dw}}")</t>
        </r>
      </text>
    </comment>
    <comment ref="G26" authorId="0">
      <text>
        <r>
          <rPr>
            <b/>
            <sz val="9"/>
            <color indexed="81"/>
            <rFont val="宋体"/>
            <family val="2"/>
          </rPr>
          <t>#Input("永炼_生产任务完成情况表_汽柴液装置收率_月计划量",":key{{dw}}")</t>
        </r>
      </text>
    </comment>
    <comment ref="H26" authorId="0">
      <text>
        <r>
          <rPr>
            <b/>
            <sz val="9"/>
            <color indexed="81"/>
            <rFont val="宋体"/>
            <family val="2"/>
          </rPr>
          <t>#Input("永炼_生产任务完成情况表_汽柴液装置收率_本日",":key{{dw}}")</t>
        </r>
      </text>
    </comment>
    <comment ref="I26" authorId="0">
      <text>
        <r>
          <rPr>
            <b/>
            <sz val="9"/>
            <color indexed="81"/>
            <rFont val="宋体"/>
            <family val="2"/>
          </rPr>
          <t>#Input("永炼_生产任务完成情况表_汽柴液装置收率_本月",":key{{dw}}")</t>
        </r>
      </text>
    </comment>
    <comment ref="M26" authorId="0">
      <text>
        <r>
          <rPr>
            <b/>
            <sz val="9"/>
            <color indexed="81"/>
            <rFont val="宋体"/>
            <family val="2"/>
          </rPr>
          <t>#Input("永炼_生产任务完成情况表_汽柴液装置收率_年计划量",":key{{dw}}")</t>
        </r>
      </text>
    </comment>
    <comment ref="N26" authorId="0">
      <text>
        <r>
          <rPr>
            <b/>
            <sz val="9"/>
            <color indexed="81"/>
            <rFont val="宋体"/>
            <family val="2"/>
          </rPr>
          <t>#Input("永炼_生产任务完成情况表_汽柴液装置收率_本年",":key{{dw}}")</t>
        </r>
      </text>
    </comment>
    <comment ref="G27" authorId="0">
      <text>
        <r>
          <rPr>
            <b/>
            <sz val="9"/>
            <color indexed="81"/>
            <rFont val="宋体"/>
            <family val="2"/>
          </rPr>
          <t>#Input("永炼_生产任务完成情况表_常压装置轻质油收率_月计划量",":key{{dw}}")</t>
        </r>
      </text>
    </comment>
    <comment ref="H27" authorId="0">
      <text>
        <r>
          <rPr>
            <b/>
            <sz val="9"/>
            <color indexed="81"/>
            <rFont val="宋体"/>
            <family val="2"/>
          </rPr>
          <t>#Input("永炼_生产任务完成情况表_常压装置轻质油收率_本日",":key{{dw}}")</t>
        </r>
      </text>
    </comment>
    <comment ref="I27" authorId="0">
      <text>
        <r>
          <rPr>
            <b/>
            <sz val="9"/>
            <color indexed="81"/>
            <rFont val="宋体"/>
            <family val="2"/>
          </rPr>
          <t>#Input("永炼_生产任务完成情况表_常压装置轻质油收率_本月",":key{{dw}}")</t>
        </r>
      </text>
    </comment>
    <comment ref="M27" authorId="0">
      <text>
        <r>
          <rPr>
            <b/>
            <sz val="9"/>
            <color indexed="81"/>
            <rFont val="宋体"/>
            <family val="2"/>
          </rPr>
          <t>#Input("永炼_生产任务完成情况表_常压装置轻质油收率_年计划量",":key{{dw}}")</t>
        </r>
      </text>
    </comment>
    <comment ref="N27" authorId="0">
      <text>
        <r>
          <rPr>
            <sz val="9"/>
            <color indexed="81"/>
            <rFont val="Arial"/>
            <family val="2"/>
          </rPr>
          <t xml:space="preserve">#Input("永炼_生产任务完成情况表_常压装置轻质油收率_本年",":key{{dw}}")
</t>
        </r>
      </text>
    </comment>
    <comment ref="G28" authorId="0">
      <text>
        <r>
          <rPr>
            <b/>
            <sz val="9"/>
            <color indexed="81"/>
            <rFont val="宋体"/>
            <family val="2"/>
          </rPr>
          <t>#Input("永炼_生产任务完成情况表_催化装置汽柴液收率_月计划量",":key{{dw}}")</t>
        </r>
      </text>
    </comment>
    <comment ref="M28" authorId="0">
      <text>
        <r>
          <rPr>
            <b/>
            <sz val="9"/>
            <color indexed="81"/>
            <rFont val="宋体"/>
            <family val="2"/>
          </rPr>
          <t>#Input("永炼_生产任务完成情况表_催化装置汽柴液收率_年计划量",":key{{dw}}")</t>
        </r>
      </text>
    </comment>
    <comment ref="G29" authorId="0">
      <text>
        <r>
          <rPr>
            <b/>
            <sz val="9"/>
            <color indexed="81"/>
            <rFont val="宋体"/>
            <family val="2"/>
          </rPr>
          <t>#Input("永炼_生产任务完成情况表_催化装置轻质油收率_月计划量",":key{{dw}}")</t>
        </r>
      </text>
    </comment>
    <comment ref="H29" authorId="0">
      <text>
        <r>
          <rPr>
            <b/>
            <sz val="9"/>
            <color indexed="81"/>
            <rFont val="宋体"/>
            <family val="2"/>
          </rPr>
          <t>#Input("永炼_生产任务完成情况表_催化装置轻质油收率_本日",":key{{dw}}")</t>
        </r>
      </text>
    </comment>
    <comment ref="I29" authorId="0">
      <text>
        <r>
          <rPr>
            <b/>
            <sz val="9"/>
            <color indexed="81"/>
            <rFont val="宋体"/>
            <family val="2"/>
          </rPr>
          <t>#Input("永炼_生产任务完成情况表_催化装置轻质油收率_本月",":key{{dw}}")</t>
        </r>
      </text>
    </comment>
    <comment ref="M29" authorId="0">
      <text>
        <r>
          <rPr>
            <b/>
            <sz val="9"/>
            <color indexed="81"/>
            <rFont val="宋体"/>
            <family val="2"/>
          </rPr>
          <t>#Input("永炼_生产任务完成情况表_催化装置轻质油收率_年计划量",":key{{dw}}")</t>
        </r>
      </text>
    </comment>
    <comment ref="N29" authorId="0">
      <text>
        <r>
          <rPr>
            <b/>
            <sz val="9"/>
            <color indexed="81"/>
            <rFont val="宋体"/>
            <family val="2"/>
          </rPr>
          <t>#Input("永炼_生产任务完成情况表_催化装置轻质油收率_本年",":key{{dw}}")</t>
        </r>
      </text>
    </comment>
    <comment ref="G30" authorId="0">
      <text>
        <r>
          <rPr>
            <b/>
            <sz val="9"/>
            <color indexed="81"/>
            <rFont val="宋体"/>
            <family val="2"/>
          </rPr>
          <t>#Input("永炼_生产任务完成情况表_催化液化气收率_月计划量",":key{{dw}}")</t>
        </r>
      </text>
    </comment>
    <comment ref="H30" authorId="0">
      <text>
        <r>
          <rPr>
            <b/>
            <sz val="9"/>
            <color indexed="81"/>
            <rFont val="宋体"/>
            <family val="2"/>
          </rPr>
          <t>#Input("永炼_生产任务完成情况表_催化液化气收率_本日",":key{{dw}}")</t>
        </r>
      </text>
    </comment>
    <comment ref="I30" authorId="0">
      <text>
        <r>
          <rPr>
            <b/>
            <sz val="9"/>
            <color indexed="81"/>
            <rFont val="宋体"/>
            <family val="2"/>
          </rPr>
          <t>#Input("永炼_生产任务完成情况表_催化液化气收率_本月",":key{{dw}}")</t>
        </r>
      </text>
    </comment>
    <comment ref="M30" authorId="0">
      <text>
        <r>
          <rPr>
            <b/>
            <sz val="9"/>
            <color indexed="81"/>
            <rFont val="宋体"/>
            <family val="2"/>
          </rPr>
          <t>#Input("永炼_生产任务完成情况表_催化液化气收率_年计划量",":key{{dw}}")</t>
        </r>
      </text>
    </comment>
    <comment ref="N30" authorId="0">
      <text>
        <r>
          <rPr>
            <sz val="9"/>
            <color indexed="81"/>
            <rFont val="Arial"/>
            <family val="2"/>
          </rPr>
          <t xml:space="preserve">#Input("永炼_生产任务完成情况表_催化液化气收率_本年",":key{{dw}}")
</t>
        </r>
      </text>
    </comment>
    <comment ref="G31" authorId="0">
      <text>
        <r>
          <rPr>
            <b/>
            <sz val="9"/>
            <color indexed="81"/>
            <rFont val="宋体"/>
            <family val="2"/>
          </rPr>
          <t>#Input("永炼_生产任务完成情况表_重整收率_月计划量",":key{{dw}}")</t>
        </r>
      </text>
    </comment>
    <comment ref="H31" authorId="0">
      <text>
        <r>
          <rPr>
            <b/>
            <sz val="9"/>
            <color indexed="81"/>
            <rFont val="宋体"/>
            <family val="2"/>
          </rPr>
          <t>#Input("永炼_生产任务完成情况表_重整收率_本日",":key{{dw}}")</t>
        </r>
      </text>
    </comment>
    <comment ref="I31" authorId="0">
      <text>
        <r>
          <rPr>
            <b/>
            <sz val="9"/>
            <color indexed="81"/>
            <rFont val="宋体"/>
            <family val="2"/>
          </rPr>
          <t>#Input("永炼_生产任务完成情况表_重整收率_本月",":key{{dw}}")</t>
        </r>
      </text>
    </comment>
    <comment ref="M31" authorId="0">
      <text>
        <r>
          <rPr>
            <b/>
            <sz val="9"/>
            <color indexed="81"/>
            <rFont val="宋体"/>
            <family val="2"/>
          </rPr>
          <t>#Input("永炼_生产任务完成情况表_重整收率_年计划量",":key{{dw}}")</t>
        </r>
      </text>
    </comment>
    <comment ref="N31" authorId="0">
      <text>
        <r>
          <rPr>
            <b/>
            <sz val="9"/>
            <color indexed="81"/>
            <rFont val="宋体"/>
            <family val="2"/>
          </rPr>
          <t>#Input("永炼_生产任务完成情况表_重整收率_本年",":key{{dw}}")</t>
        </r>
      </text>
    </comment>
    <comment ref="G32" authorId="0">
      <text>
        <r>
          <rPr>
            <b/>
            <sz val="9"/>
            <color indexed="81"/>
            <rFont val="宋体"/>
            <family val="2"/>
          </rPr>
          <t>#Input("永炼_生产任务完成情况表_3#喷气式燃料收率_月计划量",":key{{dw}}")</t>
        </r>
      </text>
    </comment>
    <comment ref="H32" authorId="0">
      <text>
        <r>
          <rPr>
            <b/>
            <sz val="9"/>
            <color indexed="81"/>
            <rFont val="宋体"/>
            <family val="2"/>
          </rPr>
          <t>#Input("永炼_生产任务完成情况表_3#喷气式燃料收率_本日",":key{{dw}}")</t>
        </r>
      </text>
    </comment>
    <comment ref="I32" authorId="0">
      <text>
        <r>
          <rPr>
            <b/>
            <sz val="9"/>
            <color indexed="81"/>
            <rFont val="宋体"/>
            <family val="2"/>
          </rPr>
          <t>#Input("永炼_生产任务完成情况表_3#喷气式燃料收率_本月",":key{{dw}}")</t>
        </r>
      </text>
    </comment>
    <comment ref="M32" authorId="0">
      <text>
        <r>
          <rPr>
            <b/>
            <sz val="9"/>
            <color indexed="81"/>
            <rFont val="宋体"/>
            <family val="2"/>
          </rPr>
          <t>#Input("永炼_生产任务完成情况表_3#喷气式燃料收率_年计划量",":key{{dw}}")</t>
        </r>
      </text>
    </comment>
    <comment ref="N32" authorId="0">
      <text>
        <r>
          <rPr>
            <b/>
            <sz val="9"/>
            <color indexed="81"/>
            <rFont val="宋体"/>
            <family val="2"/>
          </rPr>
          <t>#Input("永炼_生产任务完成情况表_3#喷气式燃料收率_本年",":key{{dw}}")</t>
        </r>
      </text>
    </comment>
    <comment ref="G33" authorId="0">
      <text>
        <r>
          <rPr>
            <b/>
            <sz val="9"/>
            <color indexed="81"/>
            <rFont val="宋体"/>
            <family val="2"/>
          </rPr>
          <t>#Input("永炼_生产任务完成情况表_汽油精制收率_月计划量",":key{{dw}}")</t>
        </r>
      </text>
    </comment>
    <comment ref="H33" authorId="0">
      <text>
        <r>
          <rPr>
            <sz val="9"/>
            <color indexed="81"/>
            <rFont val="Arial"/>
            <family val="2"/>
          </rPr>
          <t xml:space="preserve">#Input("永炼_生产任务完成情况表_汽油精制收率_本日",":key{{dw}}")
</t>
        </r>
      </text>
    </comment>
    <comment ref="I33" authorId="0">
      <text>
        <r>
          <rPr>
            <sz val="9"/>
            <color indexed="81"/>
            <rFont val="Arial"/>
            <family val="2"/>
          </rPr>
          <t xml:space="preserve">#Input("永炼_生产任务完成情况表_汽油精制收率_本月",":key{{dw}}")
</t>
        </r>
      </text>
    </comment>
    <comment ref="M33" authorId="0">
      <text>
        <r>
          <rPr>
            <b/>
            <sz val="9"/>
            <color indexed="81"/>
            <rFont val="宋体"/>
            <family val="2"/>
          </rPr>
          <t>#Input("永炼_生产任务完成情况表_汽油精制收率_年计划量",":key{{dw}}")</t>
        </r>
      </text>
    </comment>
    <comment ref="N33" authorId="0">
      <text>
        <r>
          <rPr>
            <sz val="9"/>
            <color indexed="81"/>
            <rFont val="Arial"/>
            <family val="2"/>
          </rPr>
          <t xml:space="preserve">#Input("永炼_生产任务完成情况表_汽油精制收率_本年",":key{{dw}}")
</t>
        </r>
      </text>
    </comment>
    <comment ref="G34" authorId="0">
      <text>
        <r>
          <rPr>
            <b/>
            <sz val="9"/>
            <color indexed="81"/>
            <rFont val="宋体"/>
            <family val="2"/>
          </rPr>
          <t>#Input("永炼_生产任务完成情况表_柴油加氢精制收率_月计划量",":key{{dw}}")</t>
        </r>
      </text>
    </comment>
    <comment ref="H34" authorId="0">
      <text>
        <r>
          <rPr>
            <b/>
            <sz val="9"/>
            <color indexed="81"/>
            <rFont val="宋体"/>
            <family val="2"/>
          </rPr>
          <t>#Input("永炼_生产任务完成情况表_柴油加氢精制收率_本日",":key{{dw}}")</t>
        </r>
      </text>
    </comment>
    <comment ref="I34" authorId="0">
      <text>
        <r>
          <rPr>
            <b/>
            <sz val="9"/>
            <color indexed="81"/>
            <rFont val="宋体"/>
            <family val="2"/>
          </rPr>
          <t>#Input("永炼_生产任务完成情况表_柴油加氢精制收率_本月",":key{{dw}}")</t>
        </r>
      </text>
    </comment>
    <comment ref="M34" authorId="0">
      <text>
        <r>
          <rPr>
            <b/>
            <sz val="9"/>
            <color indexed="81"/>
            <rFont val="宋体"/>
            <family val="2"/>
          </rPr>
          <t>#Input("永炼_生产任务完成情况表_柴油加氢精制收率_年计划量",":key{{dw}}")</t>
        </r>
      </text>
    </comment>
    <comment ref="N34" authorId="0">
      <text>
        <r>
          <rPr>
            <sz val="9"/>
            <color indexed="81"/>
            <rFont val="Arial"/>
            <family val="2"/>
          </rPr>
          <t xml:space="preserve">#Input("永炼_生产任务完成情况表_柴油加氢精制收率_本年",":key{{dw}}")
</t>
        </r>
      </text>
    </comment>
    <comment ref="F36" authorId="0">
      <text>
        <r>
          <rPr>
            <sz val="9"/>
            <color indexed="81"/>
            <rFont val="Arial"/>
            <family val="2"/>
          </rPr>
          <t xml:space="preserve">#Input("永炼_生产任务完成情况表_审核人",":key{{dw}}")
</t>
        </r>
      </text>
    </comment>
    <comment ref="Q36" authorId="0">
      <text>
        <r>
          <rPr>
            <sz val="9"/>
            <color indexed="81"/>
            <rFont val="Arial"/>
            <family val="2"/>
          </rPr>
          <t xml:space="preserve">#Input("永炼_生产任务完成情况表_填报人",":key{{dw}}")
</t>
        </r>
      </text>
    </comment>
  </commentList>
</comments>
</file>

<file path=xl/sharedStrings.xml><?xml version="1.0" encoding="utf-8"?>
<sst xmlns="http://schemas.openxmlformats.org/spreadsheetml/2006/main" count="161" uniqueCount="66">
  <si>
    <t>永坪炼油厂生产任务完成情况统计表</t>
  </si>
  <si>
    <t>统计日期:</t>
  </si>
  <si>
    <t>2026-01-06</t>
  </si>
  <si>
    <t>序号</t>
  </si>
  <si>
    <t>项目</t>
  </si>
  <si>
    <t>单位</t>
  </si>
  <si>
    <t>全年</t>
  </si>
  <si>
    <t>去年同期
累计加工</t>
  </si>
  <si>
    <t>同比增减</t>
  </si>
  <si>
    <t>计划
（吨）</t>
  </si>
  <si>
    <t>本日
（吨）</t>
  </si>
  <si>
    <t>月累计
（吨）</t>
  </si>
  <si>
    <t>月计划
完成量%</t>
  </si>
  <si>
    <t>剩余加工量</t>
  </si>
  <si>
    <t>剩余平均
日加工</t>
  </si>
  <si>
    <t>年累计
（吨）</t>
  </si>
  <si>
    <t>年计划
完成量%</t>
  </si>
  <si>
    <t xml:space="preserve"> 一、</t>
  </si>
  <si>
    <t>加工量指标</t>
  </si>
  <si>
    <t>t</t>
  </si>
  <si>
    <t>原油加工量</t>
  </si>
  <si>
    <t>包含代加工原油量</t>
  </si>
  <si>
    <t>210万常压加工量</t>
  </si>
  <si>
    <t>250万常压加工量</t>
  </si>
  <si>
    <t>催化加工量</t>
  </si>
  <si>
    <t>其中：1#渣油</t>
  </si>
  <si>
    <t>重整加工量</t>
  </si>
  <si>
    <t>3#喷气式燃料加工量</t>
  </si>
  <si>
    <t>汽油精制加工量</t>
  </si>
  <si>
    <t>柴油加氢精制加工量</t>
  </si>
  <si>
    <t xml:space="preserve"> 二、</t>
  </si>
  <si>
    <t>产品交库</t>
  </si>
  <si>
    <t>汽油</t>
  </si>
  <si>
    <t>柴油</t>
  </si>
  <si>
    <t>液化气</t>
  </si>
  <si>
    <t>石脑油</t>
  </si>
  <si>
    <t>1#渣油</t>
  </si>
  <si>
    <t>2#渣油</t>
  </si>
  <si>
    <t xml:space="preserve"> 三、</t>
  </si>
  <si>
    <t>收率指标</t>
  </si>
  <si>
    <t>汽柴液装置收率</t>
  </si>
  <si>
    <t>%</t>
  </si>
  <si>
    <t>常压装置轻质油收率</t>
  </si>
  <si>
    <t>催化装置汽柴液收率</t>
  </si>
  <si>
    <t>催化装置轻质油收率</t>
  </si>
  <si>
    <t>催化液化气收率</t>
  </si>
  <si>
    <t>重整收率</t>
  </si>
  <si>
    <t>3#喷气式燃料收率</t>
  </si>
  <si>
    <t>汽油精制收率</t>
  </si>
  <si>
    <t>柴油加氢精制收率</t>
  </si>
  <si>
    <t>审核人：</t>
  </si>
  <si>
    <t>白建东</t>
  </si>
  <si>
    <t>填报人：</t>
  </si>
  <si>
    <t>麻和美</t>
  </si>
  <si>
    <t>月</t>
  </si>
  <si>
    <t>去年同期累计加工</t>
  </si>
  <si>
    <t>计划（吨）</t>
  </si>
  <si>
    <t>本日（吨）</t>
  </si>
  <si>
    <t>月累计（吨）</t>
  </si>
  <si>
    <t>完成月计划%</t>
  </si>
  <si>
    <t>剩余平均日加工</t>
  </si>
  <si>
    <t>年累计（吨）</t>
  </si>
  <si>
    <t>年计划完成量%</t>
  </si>
  <si>
    <t>永炼_永坪炼油厂生产日报表_常压装置轻质油收率_年</t>
  </si>
  <si>
    <t>永炼_永坪炼油厂生产日报表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</si>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</sst>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_ "/>
    <numFmt numFmtId="172" formatCode="0.000;[Red]0.000"/>
    <numFmt numFmtId="173" formatCode="0;[Red]0"/>
    <numFmt numFmtId="174" formatCode="0_ "/>
    <numFmt numFmtId="175" formatCode="0.00;[Red]0.00"/>
    <numFmt numFmtId="176" formatCode="#"/>
    <numFmt numFmtId="177" formatCode="_(&quot;$&quot;* #,##0.00_);_(&quot;$&quot;* \(#,##0.00\);_(&quot;$&quot;* &quot;-&quot;??_);_(@_)"/>
  </numFmts>
  <fonts count="46">
    <font>
      <sz val="12"/>
      <color rgb="FF000000"/>
      <name val="宋体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rgb="FF000000"/>
      <name val="宋体"/>
    </font>
    <font>
      <sz val="11"/>
      <color rgb="FFFFFFFF"/>
      <name val="宋体"/>
    </font>
    <font>
      <b/>
      <sz val="15"/>
      <color rgb="FF003366"/>
      <name val="宋体"/>
    </font>
    <font>
      <b/>
      <sz val="13"/>
      <color rgb="FF003366"/>
      <name val="宋体"/>
    </font>
    <font>
      <b/>
      <sz val="11"/>
      <color rgb="FF003366"/>
      <name val="宋体"/>
    </font>
    <font>
      <b/>
      <sz val="18"/>
      <color rgb="FF003366"/>
      <name val="宋体"/>
    </font>
    <font>
      <sz val="11"/>
      <color rgb="FF800080"/>
      <name val="宋体"/>
    </font>
    <font>
      <sz val="12"/>
      <color auto="1"/>
      <name val="宋体"/>
    </font>
    <font>
      <u/>
      <sz val="11"/>
      <color rgb="FF0000FF"/>
      <name val="Calibri"/>
      <scheme val="minor"/>
    </font>
    <font>
      <sz val="11"/>
      <color rgb="FF008000"/>
      <name val="宋体"/>
    </font>
    <font>
      <b/>
      <sz val="11"/>
      <color rgb="FF000000"/>
      <name val="宋体"/>
    </font>
    <font>
      <b/>
      <sz val="11"/>
      <color rgb="FFFF9900"/>
      <name val="宋体"/>
    </font>
    <font>
      <b/>
      <sz val="11"/>
      <color rgb="FFFFFFFF"/>
      <name val="宋体"/>
    </font>
    <font>
      <i/>
      <sz val="11"/>
      <color rgb="FF808080"/>
      <name val="宋体"/>
    </font>
    <font>
      <sz val="11"/>
      <color rgb="FFFF0000"/>
      <name val="宋体"/>
    </font>
    <font>
      <sz val="11"/>
      <color rgb="FFFF9900"/>
      <name val="宋体"/>
    </font>
    <font>
      <sz val="11"/>
      <color rgb="FF993300"/>
      <name val="宋体"/>
    </font>
    <font>
      <b/>
      <sz val="11"/>
      <color rgb="FF333333"/>
      <name val="宋体"/>
    </font>
    <font>
      <sz val="11"/>
      <color rgb="FF333399"/>
      <name val="宋体"/>
    </font>
    <font>
      <u/>
      <sz val="11"/>
      <color rgb="FF800080"/>
      <name val="Calibri"/>
      <scheme val="minor"/>
    </font>
    <font>
      <sz val="11"/>
      <color theme="1"/>
      <name val="等线"/>
    </font>
    <font>
      <sz val="7"/>
      <color rgb="FF000000"/>
      <name val="Calibri"/>
    </font>
    <font>
      <sz val="11"/>
      <color auto="1"/>
      <name val="等线"/>
    </font>
    <font>
      <sz val="11"/>
      <color rgb="FF000000"/>
      <name val="等线"/>
    </font>
    <font>
      <b/>
      <sz val="18"/>
      <color auto="1"/>
      <name val="等线"/>
    </font>
    <font>
      <b/>
      <sz val="11"/>
      <color theme="1"/>
      <name val="等线"/>
    </font>
    <font>
      <b/>
      <sz val="13"/>
      <color theme="1"/>
      <name val="等线"/>
    </font>
  </fonts>
  <fills count="5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CCFF"/>
      </patternFill>
    </fill>
    <fill>
      <patternFill patternType="solid">
        <fgColor rgb="FFFF99CC"/>
      </patternFill>
    </fill>
    <fill>
      <patternFill patternType="solid">
        <fgColor rgb="FFCCFFCC"/>
      </patternFill>
    </fill>
    <fill>
      <patternFill patternType="solid">
        <fgColor rgb="FFCC99FF"/>
      </patternFill>
    </fill>
    <fill>
      <patternFill patternType="solid">
        <fgColor rgb="FFCCFFFF"/>
      </patternFill>
    </fill>
    <fill>
      <patternFill patternType="solid">
        <fgColor rgb="FF99CCFF"/>
      </patternFill>
    </fill>
    <fill>
      <patternFill patternType="solid">
        <fgColor rgb="FFFF8080"/>
      </patternFill>
    </fill>
    <fill>
      <patternFill patternType="solid">
        <fgColor rgb="FF00FF00"/>
      </patternFill>
    </fill>
    <fill>
      <patternFill patternType="solid">
        <fgColor rgb="FFFFCC00"/>
      </patternFill>
    </fill>
    <fill>
      <patternFill patternType="solid">
        <fgColor rgb="FF0066CC"/>
      </patternFill>
    </fill>
    <fill>
      <patternFill patternType="solid">
        <fgColor rgb="FF800080"/>
      </patternFill>
    </fill>
    <fill>
      <patternFill patternType="solid">
        <fgColor rgb="FF33CCCC"/>
      </patternFill>
    </fill>
    <fill>
      <patternFill patternType="solid">
        <fgColor rgb="FFFF9900"/>
      </patternFill>
    </fill>
    <fill>
      <patternFill patternType="solid">
        <fgColor rgb="FFC0C0C0"/>
      </patternFill>
    </fill>
    <fill>
      <patternFill patternType="solid">
        <fgColor rgb="FF969696"/>
      </patternFill>
    </fill>
    <fill>
      <patternFill patternType="solid">
        <fgColor rgb="FF333399"/>
      </patternFill>
    </fill>
    <fill>
      <patternFill patternType="solid">
        <fgColor rgb="FFFF0000"/>
      </patternFill>
    </fill>
    <fill>
      <patternFill patternType="solid">
        <fgColor rgb="FF339966"/>
      </patternFill>
    </fill>
    <fill>
      <patternFill patternType="solid">
        <fgColor rgb="FFFF6600"/>
      </patternFill>
    </fill>
    <fill>
      <patternFill patternType="solid">
        <fgColor rgb="FFFFFF99"/>
      </patternFill>
    </fill>
    <fill>
      <patternFill patternType="solid">
        <fgColor rgb="FFFFFFFF"/>
      </patternFill>
    </fill>
    <fill>
      <patternFill patternType="solid">
        <fgColor theme="0"/>
      </patternFill>
    </fill>
  </fills>
  <borders count="43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333399"/>
      </bottom>
    </border>
    <border>
      <left/>
      <right/>
      <top/>
      <bottom style="thick">
        <color rgb="FFC0C0C0"/>
      </bottom>
    </border>
    <border>
      <left/>
      <right/>
      <top/>
      <bottom style="medium">
        <color rgb="FF0066CC"/>
      </bottom>
    </border>
    <border>
      <left/>
      <right/>
      <top style="thin">
        <color rgb="FF333399"/>
      </top>
      <bottom style="double">
        <color rgb="FF333399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</border>
    <border>
      <left/>
      <right/>
      <top/>
      <bottom style="double">
        <color rgb="FFFF99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88">
    <xf numFmtId="0" fontId="0" fillId="0" borderId="0" applyFont="1" applyFill="0" applyBorder="0">
      <alignment vertical="center"/>
    </xf>
    <xf numFmtId="0" fontId="1" fillId="2" borderId="0" applyFont="1" applyFill="1" applyBorder="0">
      <alignment vertical="top"/>
    </xf>
    <xf numFmtId="0" fontId="1" fillId="3" borderId="0" applyFont="1" applyFill="1" applyBorder="0">
      <alignment vertical="top"/>
    </xf>
    <xf numFmtId="0" fontId="1" fillId="4" borderId="0" applyFont="1" applyFill="1" applyBorder="0">
      <alignment vertical="top"/>
    </xf>
    <xf numFmtId="0" fontId="1" fillId="5" borderId="0" applyFont="1" applyFill="1" applyBorder="0">
      <alignment vertical="top"/>
    </xf>
    <xf numFmtId="0" fontId="1" fillId="6" borderId="0" applyFont="1" applyFill="1" applyBorder="0">
      <alignment vertical="top"/>
    </xf>
    <xf numFmtId="0" fontId="1" fillId="7" borderId="0" applyFont="1" applyFill="1" applyBorder="0">
      <alignment vertical="top"/>
    </xf>
    <xf numFmtId="0" fontId="1" fillId="8" borderId="0" applyFont="1" applyFill="1" applyBorder="0">
      <alignment vertical="top"/>
    </xf>
    <xf numFmtId="0" fontId="1" fillId="9" borderId="0" applyFont="1" applyFill="1" applyBorder="0">
      <alignment vertical="top"/>
    </xf>
    <xf numFmtId="0" fontId="1" fillId="10" borderId="0" applyFont="1" applyFill="1" applyBorder="0">
      <alignment vertical="top"/>
    </xf>
    <xf numFmtId="0" fontId="1" fillId="11" borderId="0" applyFont="1" applyFill="1" applyBorder="0">
      <alignment vertical="top"/>
    </xf>
    <xf numFmtId="0" fontId="1" fillId="12" borderId="0" applyFont="1" applyFill="1" applyBorder="0">
      <alignment vertical="top"/>
    </xf>
    <xf numFmtId="0" fontId="1" fillId="13" borderId="0" applyFont="1" applyFill="1" applyBorder="0">
      <alignment vertical="top"/>
    </xf>
    <xf numFmtId="0" fontId="2" fillId="14" borderId="0" applyFont="1" applyFill="1" applyBorder="0">
      <alignment vertical="top"/>
    </xf>
    <xf numFmtId="0" fontId="2" fillId="15" borderId="0" applyFont="1" applyFill="1" applyBorder="0">
      <alignment vertical="top"/>
    </xf>
    <xf numFmtId="0" fontId="2" fillId="16" borderId="0" applyFont="1" applyFill="1" applyBorder="0">
      <alignment vertical="top"/>
    </xf>
    <xf numFmtId="0" fontId="2" fillId="17" borderId="0" applyFont="1" applyFill="1" applyBorder="0">
      <alignment vertical="top"/>
    </xf>
    <xf numFmtId="0" fontId="2" fillId="18" borderId="0" applyFont="1" applyFill="1" applyBorder="0">
      <alignment vertical="top"/>
    </xf>
    <xf numFmtId="0" fontId="2" fillId="19" borderId="0" applyFont="1" applyFill="1" applyBorder="0">
      <alignment vertical="top"/>
    </xf>
    <xf numFmtId="0" fontId="2" fillId="20" borderId="0" applyFont="1" applyFill="1" applyBorder="0">
      <alignment vertical="top"/>
    </xf>
    <xf numFmtId="0" fontId="2" fillId="21" borderId="0" applyFont="1" applyFill="1" applyBorder="0">
      <alignment vertical="top"/>
    </xf>
    <xf numFmtId="0" fontId="2" fillId="22" borderId="0" applyFont="1" applyFill="1" applyBorder="0">
      <alignment vertical="top"/>
    </xf>
    <xf numFmtId="0" fontId="2" fillId="23" borderId="0" applyFont="1" applyFill="1" applyBorder="0">
      <alignment vertical="top"/>
    </xf>
    <xf numFmtId="0" fontId="2" fillId="24" borderId="0" applyFont="1" applyFill="1" applyBorder="0">
      <alignment vertical="top"/>
    </xf>
    <xf numFmtId="0" fontId="2" fillId="25" borderId="0" applyFont="1" applyFill="1" applyBorder="0">
      <alignment vertical="top"/>
    </xf>
    <xf numFmtId="0" fontId="3" fillId="26" borderId="0" applyFont="1" applyFill="1" applyBorder="0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43" fontId="6" fillId="0" borderId="0" applyFont="0" applyFill="0" applyBorder="0" applyNumberFormat="1">
      <alignment vertical="top"/>
    </xf>
    <xf numFmtId="41" fontId="6" fillId="0" borderId="0" applyFont="0" applyFill="0" applyBorder="0" applyNumberFormat="1">
      <alignment vertical="top"/>
    </xf>
    <xf numFmtId="44" fontId="6" fillId="0" borderId="0" applyFont="0" applyFill="0" applyBorder="0" applyNumberFormat="1">
      <alignment vertical="top"/>
    </xf>
    <xf numFmtId="42" fontId="6" fillId="0" borderId="0" applyFont="0" applyFill="0" applyBorder="0" applyNumberFormat="1">
      <alignment vertical="top"/>
    </xf>
    <xf numFmtId="0" fontId="7" fillId="0" borderId="0" applyFont="1" applyFill="0" applyBorder="0">
      <alignment vertical="top"/>
    </xf>
    <xf numFmtId="0" fontId="8" fillId="29" borderId="0" applyFont="1" applyFill="1" applyBorder="0">
      <alignment vertical="top"/>
    </xf>
    <xf numFmtId="0" fontId="9" fillId="0" borderId="3" applyFont="1" applyFill="0" applyBorder="1">
      <alignment vertical="top"/>
    </xf>
    <xf numFmtId="0" fontId="10" fillId="0" borderId="4" applyFont="1" applyFill="0" applyBorder="1">
      <alignment vertical="top"/>
    </xf>
    <xf numFmtId="0" fontId="11" fillId="0" borderId="5" applyFont="1" applyFill="0" applyBorder="1">
      <alignment vertical="top"/>
    </xf>
    <xf numFmtId="0" fontId="11" fillId="0" borderId="0" applyFont="1" applyFill="0" applyBorder="0">
      <alignment vertical="top"/>
    </xf>
    <xf numFmtId="0" fontId="12" fillId="30" borderId="1" applyFont="1" applyFill="1" applyBorder="1">
      <alignment vertical="top"/>
    </xf>
    <xf numFmtId="0" fontId="13" fillId="0" borderId="6" applyFont="1" applyFill="0" applyBorder="1">
      <alignment vertical="top"/>
    </xf>
    <xf numFmtId="0" fontId="14" fillId="31" borderId="0" applyFont="1" applyFill="1" applyBorder="0">
      <alignment vertical="top"/>
    </xf>
    <xf numFmtId="0" fontId="6" fillId="32" borderId="7" applyFont="0" applyFill="1" applyBorder="1">
      <alignment vertical="top"/>
    </xf>
    <xf numFmtId="0" fontId="15" fillId="27" borderId="8" applyFont="1" applyFill="1" applyBorder="1">
      <alignment vertical="top"/>
    </xf>
    <xf numFmtId="9" fontId="6" fillId="0" borderId="0" applyFont="0" applyFill="0" applyBorder="0" applyNumberFormat="1">
      <alignment vertical="top"/>
    </xf>
    <xf numFmtId="0" fontId="16" fillId="0" borderId="0" applyFont="1" applyFill="0" applyBorder="0">
      <alignment vertical="top"/>
    </xf>
    <xf numFmtId="0" fontId="17" fillId="0" borderId="9" applyFont="1" applyFill="0" applyBorder="1">
      <alignment vertical="top"/>
    </xf>
    <xf numFmtId="0" fontId="18" fillId="0" borderId="0" applyFont="1" applyFill="0" applyBorder="0">
      <alignment vertical="top"/>
    </xf>
    <xf numFmtId="0" fontId="19" fillId="33" borderId="0" applyFont="1" applyFill="1" applyBorder="0">
      <alignment vertical="top"/>
    </xf>
    <xf numFmtId="0" fontId="19" fillId="34" borderId="0" applyFont="1" applyFill="1" applyBorder="0">
      <alignment vertical="top"/>
    </xf>
    <xf numFmtId="0" fontId="19" fillId="35" borderId="0" applyFont="1" applyFill="1" applyBorder="0">
      <alignment vertical="top"/>
    </xf>
    <xf numFmtId="0" fontId="19" fillId="36" borderId="0" applyFont="1" applyFill="1" applyBorder="0">
      <alignment vertical="top"/>
    </xf>
    <xf numFmtId="0" fontId="19" fillId="37" borderId="0" applyFont="1" applyFill="1" applyBorder="0">
      <alignment vertical="top"/>
    </xf>
    <xf numFmtId="0" fontId="19" fillId="30" borderId="0" applyFont="1" applyFill="1" applyBorder="0">
      <alignment vertical="top"/>
    </xf>
    <xf numFmtId="0" fontId="19" fillId="38" borderId="0" applyFont="1" applyFill="1" applyBorder="0">
      <alignment vertical="top"/>
    </xf>
    <xf numFmtId="0" fontId="19" fillId="39" borderId="0" applyFont="1" applyFill="1" applyBorder="0">
      <alignment vertical="top"/>
    </xf>
    <xf numFmtId="0" fontId="19" fillId="40" borderId="0" applyFont="1" applyFill="1" applyBorder="0">
      <alignment vertical="top"/>
    </xf>
    <xf numFmtId="0" fontId="19" fillId="41" borderId="0" applyFont="1" applyFill="1" applyBorder="0">
      <alignment vertical="top"/>
    </xf>
    <xf numFmtId="0" fontId="20" fillId="42" borderId="0" applyFont="1" applyFill="1" applyBorder="0">
      <alignment vertical="top"/>
    </xf>
    <xf numFmtId="0" fontId="20" fillId="39" borderId="0" applyFont="1" applyFill="1" applyBorder="0">
      <alignment vertical="top"/>
    </xf>
    <xf numFmtId="0" fontId="20" fillId="40" borderId="0" applyFont="1" applyFill="1" applyBorder="0">
      <alignment vertical="top"/>
    </xf>
    <xf numFmtId="0" fontId="20" fillId="43" borderId="0" applyFont="1" applyFill="1" applyBorder="0">
      <alignment vertical="top"/>
    </xf>
    <xf numFmtId="0" fontId="20" fillId="44" borderId="0" applyFont="1" applyFill="1" applyBorder="0">
      <alignment vertical="top"/>
    </xf>
    <xf numFmtId="0" fontId="20" fillId="45" borderId="0" applyFont="1" applyFill="1" applyBorder="0">
      <alignment vertical="top"/>
    </xf>
    <xf numFmtId="0" fontId="21" fillId="0" borderId="10" applyFont="1" applyFill="0" applyBorder="1">
      <alignment vertical="top"/>
    </xf>
    <xf numFmtId="0" fontId="22" fillId="0" borderId="11" applyFont="1" applyFill="0" applyBorder="1">
      <alignment vertical="top"/>
    </xf>
    <xf numFmtId="0" fontId="23" fillId="0" borderId="12" applyFont="1" applyFill="0" applyBorder="1">
      <alignment vertical="top"/>
    </xf>
    <xf numFmtId="0" fontId="23" fillId="0" borderId="0" applyFont="1" applyFill="0" applyBorder="0">
      <alignment vertical="top"/>
    </xf>
    <xf numFmtId="0" fontId="24" fillId="0" borderId="0" applyFont="1" applyFill="0" applyBorder="0">
      <alignment vertical="top"/>
    </xf>
    <xf numFmtId="0" fontId="25" fillId="34" borderId="0" applyFont="1" applyFill="1" applyBorder="0">
      <alignment vertical="top"/>
    </xf>
    <xf numFmtId="0" fontId="26" fillId="0" borderId="0" applyFont="1" applyFill="0" applyBorder="0"/>
    <xf numFmtId="0" fontId="27" fillId="0" borderId="0" applyFont="1" applyFill="0" applyBorder="0">
      <alignment vertical="top"/>
    </xf>
    <xf numFmtId="0" fontId="28" fillId="35" borderId="0" applyFont="1" applyFill="1" applyBorder="0">
      <alignment vertical="top"/>
    </xf>
    <xf numFmtId="0" fontId="29" fillId="0" borderId="13" applyFont="1" applyFill="0" applyBorder="1">
      <alignment vertical="top"/>
    </xf>
    <xf numFmtId="177" fontId="6" fillId="0" borderId="0" applyFont="0" applyFill="0" applyBorder="0" applyNumberFormat="1">
      <alignment vertical="top"/>
    </xf>
    <xf numFmtId="0" fontId="30" fillId="46" borderId="14" applyFont="1" applyFill="1" applyBorder="1">
      <alignment vertical="top"/>
    </xf>
    <xf numFmtId="0" fontId="31" fillId="47" borderId="15" applyFont="1" applyFill="1" applyBorder="1">
      <alignment vertical="top"/>
    </xf>
    <xf numFmtId="0" fontId="32" fillId="0" borderId="0" applyFont="1" applyFill="0" applyBorder="0">
      <alignment vertical="top"/>
    </xf>
    <xf numFmtId="0" fontId="33" fillId="0" borderId="0" applyFont="1" applyFill="0" applyBorder="0">
      <alignment vertical="top"/>
    </xf>
    <xf numFmtId="0" fontId="34" fillId="0" borderId="16" applyFont="1" applyFill="0" applyBorder="1">
      <alignment vertical="top"/>
    </xf>
    <xf numFmtId="0" fontId="20" fillId="48" borderId="0" applyFont="1" applyFill="1" applyBorder="0">
      <alignment vertical="top"/>
    </xf>
    <xf numFmtId="0" fontId="20" fillId="49" borderId="0" applyFont="1" applyFill="1" applyBorder="0">
      <alignment vertical="top"/>
    </xf>
    <xf numFmtId="0" fontId="20" fillId="50" borderId="0" applyFont="1" applyFill="1" applyBorder="0">
      <alignment vertical="top"/>
    </xf>
    <xf numFmtId="0" fontId="20" fillId="51" borderId="0" applyFont="1" applyFill="1" applyBorder="0">
      <alignment vertical="top"/>
    </xf>
    <xf numFmtId="0" fontId="35" fillId="52" borderId="0" applyFont="1" applyFill="1" applyBorder="0">
      <alignment vertical="top"/>
    </xf>
    <xf numFmtId="0" fontId="36" fillId="46" borderId="17" applyFont="1" applyFill="1" applyBorder="1">
      <alignment vertical="top"/>
    </xf>
    <xf numFmtId="0" fontId="37" fillId="30" borderId="14" applyFont="1" applyFill="1" applyBorder="1">
      <alignment vertical="top"/>
    </xf>
    <xf numFmtId="0" fontId="38" fillId="0" borderId="0" applyFont="1" applyFill="0" applyBorder="0">
      <alignment vertical="top"/>
    </xf>
    <xf numFmtId="0" fontId="6" fillId="32" borderId="18" applyFont="0" applyFill="1" applyBorder="1">
      <alignment vertical="top"/>
    </xf>
  </cellStyleXfs>
  <cellXfs count="244">
    <xf numFmtId="0" fontId="0" fillId="0" borderId="0" xfId="0" applyFont="1">
      <alignment vertical="center"/>
    </xf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43" fontId="6" fillId="0" borderId="0" xfId="28" applyFont="0" applyNumberFormat="1">
      <alignment vertical="top"/>
    </xf>
    <xf numFmtId="41" fontId="6" fillId="0" borderId="0" xfId="29" applyFont="0" applyNumberFormat="1">
      <alignment vertical="top"/>
    </xf>
    <xf numFmtId="44" fontId="6" fillId="0" borderId="0" xfId="30" applyFont="0" applyNumberFormat="1">
      <alignment vertical="top"/>
    </xf>
    <xf numFmtId="42" fontId="6" fillId="0" borderId="0" xfId="31" applyFont="0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6" fillId="32" borderId="7" xfId="41" applyFont="0" applyFill="1" applyBorder="1">
      <alignment vertical="top"/>
    </xf>
    <xf numFmtId="0" fontId="15" fillId="27" borderId="8" xfId="42" applyFont="1" applyFill="1" applyBorder="1">
      <alignment vertical="top"/>
    </xf>
    <xf numFmtId="9" fontId="6" fillId="0" borderId="0" xfId="43" applyFont="0" applyNumberFormat="1">
      <alignment vertical="top"/>
    </xf>
    <xf numFmtId="0" fontId="16" fillId="0" borderId="0" xfId="44" applyFont="1">
      <alignment vertical="top"/>
    </xf>
    <xf numFmtId="0" fontId="17" fillId="0" borderId="9" xfId="45" applyFont="1" applyBorder="1">
      <alignment vertical="top"/>
    </xf>
    <xf numFmtId="0" fontId="18" fillId="0" borderId="0" xfId="46" applyFont="1">
      <alignment vertical="top"/>
    </xf>
    <xf numFmtId="0" fontId="19" fillId="33" borderId="0" xfId="47" applyFont="1" applyFill="1">
      <alignment vertical="top"/>
    </xf>
    <xf numFmtId="0" fontId="19" fillId="34" borderId="0" xfId="48" applyFont="1" applyFill="1">
      <alignment vertical="top"/>
    </xf>
    <xf numFmtId="0" fontId="19" fillId="35" borderId="0" xfId="49" applyFont="1" applyFill="1">
      <alignment vertical="top"/>
    </xf>
    <xf numFmtId="0" fontId="19" fillId="36" borderId="0" xfId="50" applyFont="1" applyFill="1">
      <alignment vertical="top"/>
    </xf>
    <xf numFmtId="0" fontId="19" fillId="37" borderId="0" xfId="51" applyFont="1" applyFill="1">
      <alignment vertical="top"/>
    </xf>
    <xf numFmtId="0" fontId="19" fillId="30" borderId="0" xfId="52" applyFont="1" applyFill="1">
      <alignment vertical="top"/>
    </xf>
    <xf numFmtId="0" fontId="19" fillId="38" borderId="0" xfId="53" applyFont="1" applyFill="1">
      <alignment vertical="top"/>
    </xf>
    <xf numFmtId="0" fontId="19" fillId="39" borderId="0" xfId="54" applyFont="1" applyFill="1">
      <alignment vertical="top"/>
    </xf>
    <xf numFmtId="0" fontId="19" fillId="40" borderId="0" xfId="55" applyFont="1" applyFill="1">
      <alignment vertical="top"/>
    </xf>
    <xf numFmtId="0" fontId="19" fillId="41" borderId="0" xfId="56" applyFont="1" applyFill="1">
      <alignment vertical="top"/>
    </xf>
    <xf numFmtId="0" fontId="20" fillId="42" borderId="0" xfId="57" applyFont="1" applyFill="1">
      <alignment vertical="top"/>
    </xf>
    <xf numFmtId="0" fontId="20" fillId="39" borderId="0" xfId="58" applyFont="1" applyFill="1">
      <alignment vertical="top"/>
    </xf>
    <xf numFmtId="0" fontId="20" fillId="40" borderId="0" xfId="59" applyFont="1" applyFill="1">
      <alignment vertical="top"/>
    </xf>
    <xf numFmtId="0" fontId="20" fillId="43" borderId="0" xfId="60" applyFont="1" applyFill="1">
      <alignment vertical="top"/>
    </xf>
    <xf numFmtId="0" fontId="20" fillId="44" borderId="0" xfId="61" applyFont="1" applyFill="1">
      <alignment vertical="top"/>
    </xf>
    <xf numFmtId="0" fontId="20" fillId="45" borderId="0" xfId="62" applyFont="1" applyFill="1">
      <alignment vertical="top"/>
    </xf>
    <xf numFmtId="0" fontId="21" fillId="0" borderId="10" xfId="63" applyFont="1" applyBorder="1">
      <alignment vertical="top"/>
    </xf>
    <xf numFmtId="0" fontId="22" fillId="0" borderId="11" xfId="64" applyFont="1" applyBorder="1">
      <alignment vertical="top"/>
    </xf>
    <xf numFmtId="0" fontId="23" fillId="0" borderId="12" xfId="65" applyFont="1" applyBorder="1">
      <alignment vertical="top"/>
    </xf>
    <xf numFmtId="0" fontId="23" fillId="0" borderId="0" xfId="66" applyFont="1">
      <alignment vertical="top"/>
    </xf>
    <xf numFmtId="0" fontId="24" fillId="0" borderId="0" xfId="67" applyFont="1">
      <alignment vertical="top"/>
    </xf>
    <xf numFmtId="0" fontId="25" fillId="34" borderId="0" xfId="68" applyFont="1" applyFill="1">
      <alignment vertical="top"/>
    </xf>
    <xf numFmtId="0" fontId="26" fillId="0" borderId="0" xfId="69" applyFont="1"/>
    <xf numFmtId="0" fontId="27" fillId="0" borderId="0" xfId="70" applyFont="1">
      <alignment vertical="top"/>
    </xf>
    <xf numFmtId="0" fontId="28" fillId="35" borderId="0" xfId="71" applyFont="1" applyFill="1">
      <alignment vertical="top"/>
    </xf>
    <xf numFmtId="0" fontId="29" fillId="0" borderId="13" xfId="72" applyFont="1" applyBorder="1">
      <alignment vertical="top"/>
    </xf>
    <xf numFmtId="177" fontId="6" fillId="0" borderId="0" xfId="73" applyFont="0" applyNumberFormat="1">
      <alignment vertical="top"/>
    </xf>
    <xf numFmtId="0" fontId="30" fillId="46" borderId="14" xfId="74" applyFont="1" applyFill="1" applyBorder="1">
      <alignment vertical="top"/>
    </xf>
    <xf numFmtId="0" fontId="31" fillId="47" borderId="15" xfId="75" applyFont="1" applyFill="1" applyBorder="1">
      <alignment vertical="top"/>
    </xf>
    <xf numFmtId="0" fontId="32" fillId="0" borderId="0" xfId="76" applyFont="1">
      <alignment vertical="top"/>
    </xf>
    <xf numFmtId="0" fontId="33" fillId="0" borderId="0" xfId="77" applyFont="1">
      <alignment vertical="top"/>
    </xf>
    <xf numFmtId="0" fontId="34" fillId="0" borderId="16" xfId="78" applyFont="1" applyBorder="1">
      <alignment vertical="top"/>
    </xf>
    <xf numFmtId="0" fontId="20" fillId="48" borderId="0" xfId="79" applyFont="1" applyFill="1">
      <alignment vertical="top"/>
    </xf>
    <xf numFmtId="0" fontId="20" fillId="49" borderId="0" xfId="80" applyFont="1" applyFill="1">
      <alignment vertical="top"/>
    </xf>
    <xf numFmtId="0" fontId="20" fillId="50" borderId="0" xfId="81" applyFont="1" applyFill="1">
      <alignment vertical="top"/>
    </xf>
    <xf numFmtId="0" fontId="20" fillId="51" borderId="0" xfId="82" applyFont="1" applyFill="1">
      <alignment vertical="top"/>
    </xf>
    <xf numFmtId="0" fontId="35" fillId="52" borderId="0" xfId="83" applyFont="1" applyFill="1">
      <alignment vertical="top"/>
    </xf>
    <xf numFmtId="0" fontId="36" fillId="46" borderId="17" xfId="84" applyFont="1" applyFill="1" applyBorder="1">
      <alignment vertical="top"/>
    </xf>
    <xf numFmtId="0" fontId="37" fillId="30" borderId="14" xfId="85" applyFont="1" applyFill="1" applyBorder="1">
      <alignment vertical="top"/>
    </xf>
    <xf numFmtId="0" fontId="38" fillId="0" borderId="0" xfId="86" applyFont="1">
      <alignment vertical="top"/>
    </xf>
    <xf numFmtId="0" fontId="6" fillId="32" borderId="18" xfId="87" applyFont="0" applyFill="1" applyBorder="1">
      <alignment vertical="top"/>
    </xf>
    <xf numFmtId="0" fontId="26" fillId="0" borderId="0" xfId="0" applyFont="1">
      <alignment vertical="center"/>
    </xf>
    <xf numFmtId="0" fontId="39" fillId="0" borderId="19" xfId="0" applyFont="1" applyBorder="1">
      <alignment horizontal="center" vertical="center"/>
    </xf>
    <xf numFmtId="0" fontId="39" fillId="0" borderId="20" xfId="0" applyFont="1" applyBorder="1">
      <alignment horizontal="center" vertical="center"/>
    </xf>
    <xf numFmtId="0" fontId="39" fillId="0" borderId="20" xfId="0" applyFont="1" applyBorder="1">
      <alignment horizontal="center" vertical="center" wrapText="1"/>
    </xf>
    <xf numFmtId="0" fontId="39" fillId="0" borderId="19" xfId="0" applyFont="1" applyBorder="1">
      <alignment vertical="center"/>
    </xf>
    <xf numFmtId="0" fontId="39" fillId="0" borderId="20" xfId="0" applyFont="1" applyBorder="1">
      <alignment horizontal="right" vertical="center"/>
    </xf>
    <xf numFmtId="0" fontId="39" fillId="0" borderId="20" xfId="0" applyFont="1" applyBorder="1">
      <alignment horizontal="left" vertical="center"/>
    </xf>
    <xf numFmtId="0" fontId="40" fillId="0" borderId="0" xfId="0" applyFont="1">
      <alignment horizontal="right" vertical="center"/>
    </xf>
    <xf numFmtId="0" fontId="39" fillId="4" borderId="20" xfId="0" applyFont="1" applyFill="1" applyBorder="1">
      <alignment horizontal="right" vertical="center"/>
    </xf>
    <xf numFmtId="171" fontId="39" fillId="0" borderId="20" xfId="0" applyFont="1" applyBorder="1" applyNumberFormat="1">
      <alignment horizontal="right" vertical="center"/>
    </xf>
    <xf numFmtId="0" fontId="39" fillId="0" borderId="21" xfId="0" applyFont="1" applyBorder="1">
      <alignment horizontal="center" vertical="center"/>
    </xf>
    <xf numFmtId="0" fontId="39" fillId="0" borderId="22" xfId="0" applyFont="1" applyBorder="1">
      <alignment horizontal="center" vertical="center"/>
    </xf>
    <xf numFmtId="171" fontId="39" fillId="0" borderId="22" xfId="0" applyFont="1" applyBorder="1" applyNumberFormat="1">
      <alignment horizontal="right" vertical="center"/>
    </xf>
    <xf numFmtId="0" fontId="1" fillId="0" borderId="0" xfId="0" applyFont="1">
      <alignment horizontal="center" vertical="center"/>
    </xf>
    <xf numFmtId="0" fontId="1" fillId="0" borderId="0" xfId="0" applyFont="1">
      <alignment horizontal="left" vertical="center"/>
    </xf>
    <xf numFmtId="0" fontId="0" fillId="0" borderId="0" xfId="0" applyFont="1">
      <alignment horizontal="center" vertical="center"/>
    </xf>
    <xf numFmtId="172" fontId="18" fillId="0" borderId="0" xfId="0" applyFont="1" applyNumberFormat="1">
      <alignment horizontal="center" vertical="center"/>
    </xf>
    <xf numFmtId="173" fontId="0" fillId="0" borderId="0" xfId="0" applyFont="1" applyNumberFormat="1">
      <alignment horizontal="center" vertical="center"/>
    </xf>
    <xf numFmtId="174" fontId="1" fillId="0" borderId="0" xfId="0" applyFont="1" applyNumberFormat="1">
      <alignment horizontal="center" vertical="center"/>
    </xf>
    <xf numFmtId="175" fontId="39" fillId="0" borderId="20" xfId="0" applyFont="1" applyBorder="1" applyNumberFormat="1">
      <alignment horizontal="right" vertical="center"/>
    </xf>
    <xf numFmtId="17" fontId="26" fillId="0" borderId="0" xfId="0" applyFont="1" applyNumberFormat="1">
      <alignment vertical="center"/>
    </xf>
    <xf numFmtId="0" fontId="39" fillId="0" borderId="23" xfId="0" applyFont="1" applyBorder="1">
      <alignment horizontal="right" vertical="center"/>
    </xf>
    <xf numFmtId="176" fontId="39" fillId="0" borderId="23" xfId="0" applyFont="1" applyBorder="1" applyNumberFormat="1">
      <alignment horizontal="right" vertical="center"/>
    </xf>
    <xf numFmtId="171" fontId="39" fillId="0" borderId="24" xfId="0" applyFont="1" applyBorder="1" applyNumberFormat="1">
      <alignment horizontal="right" vertical="center"/>
    </xf>
    <xf numFmtId="0" fontId="41" fillId="0" borderId="0" xfId="0" applyFont="1">
      <alignment vertical="center" wrapText="1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25" xfId="0" applyFont="1" applyBorder="1">
      <alignment horizontal="center" vertical="center"/>
    </xf>
    <xf numFmtId="0" fontId="43" fillId="0" borderId="0" xfId="0" applyFont="1">
      <alignment horizontal="center" vertical="center"/>
    </xf>
    <xf numFmtId="176" fontId="39" fillId="4" borderId="20" xfId="0" applyFont="1" applyFill="1" applyBorder="1" applyNumberFormat="1">
      <alignment horizontal="right" vertical="center"/>
    </xf>
    <xf numFmtId="176" fontId="39" fillId="53" borderId="20" xfId="0" applyFont="1" applyFill="1" applyBorder="1" applyNumberFormat="1">
      <alignment horizontal="right" vertical="center"/>
    </xf>
    <xf numFmtId="171" fontId="39" fillId="4" borderId="20" xfId="0" applyFont="1" applyFill="1" applyBorder="1" applyNumberFormat="1">
      <alignment horizontal="right" vertical="center"/>
    </xf>
    <xf numFmtId="2" fontId="42" fillId="0" borderId="0" xfId="0" applyFont="1" applyNumberFormat="1">
      <alignment horizontal="right" vertical="center"/>
    </xf>
    <xf numFmtId="176" fontId="39" fillId="54" borderId="20" xfId="0" applyFont="1" applyFill="1" applyBorder="1" applyNumberFormat="1">
      <alignment horizontal="right" vertical="center"/>
    </xf>
    <xf numFmtId="0" fontId="39" fillId="0" borderId="0" xfId="0" applyFont="1">
      <alignment horizontal="center" vertical="center" wrapText="1"/>
    </xf>
    <xf numFmtId="0" fontId="43" fillId="0" borderId="26" xfId="0" applyFont="1" applyBorder="1">
      <alignment horizontal="center" vertical="center"/>
    </xf>
    <xf numFmtId="176" fontId="39" fillId="0" borderId="20" xfId="0" applyFont="1" applyBorder="1" applyNumberFormat="1">
      <alignment horizontal="right" vertical="center"/>
    </xf>
    <xf numFmtId="171" fontId="39" fillId="53" borderId="20" xfId="0" applyFont="1" applyFill="1" applyBorder="1" applyNumberFormat="1">
      <alignment horizontal="right" vertical="center"/>
    </xf>
    <xf numFmtId="171" fontId="39" fillId="0" borderId="23" xfId="0" applyFont="1" applyBorder="1" applyNumberFormat="1">
      <alignment horizontal="right" vertical="center"/>
    </xf>
    <xf numFmtId="176" fontId="39" fillId="53" borderId="20" xfId="0" applyFont="1" applyFill="1" applyBorder="1" applyNumberFormat="1">
      <alignment horizontal="right" vertical="center"/>
    </xf>
    <xf numFmtId="0" fontId="40" fillId="0" borderId="0" xfId="0" applyFont="1">
      <alignment horizontal="right" vertical="center"/>
    </xf>
    <xf numFmtId="0" fontId="39" fillId="0" borderId="22" xfId="0" applyFont="1" applyBorder="1">
      <alignment horizontal="left" vertical="center"/>
    </xf>
    <xf numFmtId="0" fontId="39" fillId="0" borderId="0" xfId="0" applyFont="1">
      <alignment horizontal="right" vertical="center" wrapText="1"/>
    </xf>
    <xf numFmtId="176" fontId="39" fillId="0" borderId="0" xfId="0" applyFont="1" applyNumberFormat="1">
      <alignment horizontal="left" vertical="center" wrapText="1"/>
    </xf>
    <xf numFmtId="173" fontId="39" fillId="0" borderId="0" xfId="0" applyFont="1" applyNumberFormat="1">
      <alignment horizontal="right" vertical="center" wrapText="1"/>
    </xf>
    <xf numFmtId="0" fontId="39" fillId="0" borderId="20" xfId="0" applyFont="1" applyBorder="1">
      <alignment horizontal="left" vertical="center"/>
    </xf>
    <xf numFmtId="0" fontId="44" fillId="0" borderId="20" xfId="0" applyFont="1" applyBorder="1">
      <alignment horizontal="left" vertical="center"/>
    </xf>
    <xf numFmtId="0" fontId="43" fillId="0" borderId="27" xfId="0" applyFont="1" applyBorder="1">
      <alignment horizontal="center" vertical="center"/>
    </xf>
    <xf numFmtId="0" fontId="43" fillId="0" borderId="28" xfId="0" applyFont="1" applyBorder="1">
      <alignment horizontal="center" vertical="center"/>
    </xf>
    <xf numFmtId="0" fontId="43" fillId="0" borderId="29" xfId="0" applyFont="1" applyBorder="1">
      <alignment horizontal="center" vertical="center"/>
    </xf>
    <xf numFmtId="2" fontId="42" fillId="0" borderId="30" xfId="0" applyFont="1" applyBorder="1" applyNumberFormat="1">
      <alignment horizontal="left" vertical="center"/>
    </xf>
    <xf numFmtId="0" fontId="39" fillId="0" borderId="19" xfId="0" applyFont="1" applyBorder="1">
      <alignment horizontal="center" vertical="center"/>
    </xf>
    <xf numFmtId="0" fontId="39" fillId="0" borderId="20" xfId="0" applyFont="1" applyBorder="1">
      <alignment horizontal="center" vertical="center"/>
    </xf>
    <xf numFmtId="0" fontId="39" fillId="0" borderId="20" xfId="0" applyFont="1" applyBorder="1">
      <alignment horizontal="center" vertical="center" wrapText="1"/>
    </xf>
    <xf numFmtId="0" fontId="39" fillId="0" borderId="23" xfId="0" applyFont="1" applyBorder="1">
      <alignment horizontal="center" vertical="center"/>
    </xf>
    <xf numFmtId="0" fontId="39" fillId="0" borderId="31" xfId="0" applyFont="1" applyBorder="1">
      <alignment horizontal="center" vertical="center" wrapText="1"/>
    </xf>
    <xf numFmtId="0" fontId="39" fillId="0" borderId="32" xfId="0" applyFont="1" applyBorder="1">
      <alignment horizontal="center" vertical="center" wrapText="1"/>
    </xf>
    <xf numFmtId="0" fontId="39" fillId="0" borderId="33" xfId="0" applyFont="1" applyBorder="1">
      <alignment horizontal="center" vertical="center" wrapText="1"/>
    </xf>
    <xf numFmtId="0" fontId="39" fillId="0" borderId="34" xfId="0" applyFont="1" applyBorder="1">
      <alignment horizontal="center" vertical="center"/>
    </xf>
    <xf numFmtId="0" fontId="39" fillId="0" borderId="35" xfId="0" applyFont="1" applyBorder="1">
      <alignment horizontal="center" vertical="center"/>
    </xf>
    <xf numFmtId="0" fontId="39" fillId="0" borderId="36" xfId="0" applyFont="1" applyBorder="1">
      <alignment horizontal="center" vertical="center"/>
    </xf>
    <xf numFmtId="0" fontId="39" fillId="0" borderId="37" xfId="0" applyFont="1" applyBorder="1">
      <alignment horizontal="center" vertical="center"/>
    </xf>
    <xf numFmtId="0" fontId="39" fillId="0" borderId="28" xfId="0" applyFont="1" applyBorder="1">
      <alignment horizontal="center" vertical="center"/>
    </xf>
    <xf numFmtId="0" fontId="39" fillId="0" borderId="38" xfId="0" applyFont="1" applyBorder="1">
      <alignment horizontal="center" vertical="center"/>
    </xf>
    <xf numFmtId="0" fontId="39" fillId="0" borderId="30" xfId="0" applyFont="1" applyBorder="1">
      <alignment horizontal="center" vertical="center"/>
    </xf>
    <xf numFmtId="0" fontId="39" fillId="0" borderId="39" xfId="0" applyFont="1" applyBorder="1">
      <alignment horizontal="center" vertical="center"/>
    </xf>
    <xf numFmtId="0" fontId="39" fillId="0" borderId="40" xfId="0" applyFont="1" applyBorder="1">
      <alignment horizontal="center" vertical="center"/>
    </xf>
    <xf numFmtId="0" fontId="39" fillId="0" borderId="41" xfId="0" applyFont="1" applyBorder="1">
      <alignment horizontal="center" vertical="center"/>
    </xf>
    <xf numFmtId="0" fontId="39" fillId="0" borderId="42" xfId="0" applyFont="1" applyBorder="1">
      <alignment horizontal="center" vertical="center"/>
    </xf>
    <xf numFmtId="0" fontId="40" fillId="0" borderId="0" xfId="0" applyFont="1">
      <alignment horizontal="right" vertical="center"/>
    </xf>
    <xf numFmtId="0" fontId="42" fillId="0" borderId="0" xfId="0" applyFont="1">
      <alignment vertical="center" wrapText="1"/>
    </xf>
    <xf numFmtId="0" fontId="43" fillId="0" borderId="27" xfId="0" applyFont="1" applyBorder="1">
      <alignment horizontal="center" vertical="center" wrapText="1"/>
    </xf>
    <xf numFmtId="0" fontId="43" fillId="0" borderId="28" xfId="0" applyFont="1" applyBorder="1">
      <alignment horizontal="center" vertical="center" wrapText="1"/>
    </xf>
    <xf numFmtId="0" fontId="43" fillId="0" borderId="29" xfId="0" applyFont="1" applyBorder="1">
      <alignment horizontal="center" vertical="center" wrapText="1"/>
    </xf>
    <xf numFmtId="0" fontId="43" fillId="0" borderId="25" xfId="0" applyFont="1" applyBorder="1">
      <alignment horizontal="center" vertical="center" wrapText="1"/>
    </xf>
    <xf numFmtId="0" fontId="43" fillId="0" borderId="0" xfId="0" applyFont="1">
      <alignment horizontal="center" vertical="center" wrapText="1"/>
    </xf>
    <xf numFmtId="2" fontId="42" fillId="0" borderId="0" xfId="0" applyFont="1" applyNumberFormat="1">
      <alignment horizontal="right" vertical="center" wrapText="1"/>
    </xf>
    <xf numFmtId="2" fontId="42" fillId="0" borderId="30" xfId="0" applyFont="1" applyBorder="1" applyNumberFormat="1">
      <alignment horizontal="left" vertical="center" wrapText="1"/>
    </xf>
    <xf numFmtId="0" fontId="43" fillId="0" borderId="26" xfId="0" applyFont="1" applyBorder="1">
      <alignment horizontal="center" vertical="center" wrapText="1"/>
    </xf>
    <xf numFmtId="0" fontId="45" fillId="0" borderId="19" xfId="0" applyFont="1" applyBorder="1">
      <alignment horizontal="center" vertical="center" wrapText="1"/>
    </xf>
    <xf numFmtId="0" fontId="45" fillId="0" borderId="20" xfId="0" applyFont="1" applyBorder="1">
      <alignment horizontal="center" vertical="center" wrapText="1"/>
    </xf>
    <xf numFmtId="0" fontId="45" fillId="0" borderId="23" xfId="0" applyFont="1" applyBorder="1">
      <alignment horizontal="center" vertical="center" wrapText="1"/>
    </xf>
    <xf numFmtId="0" fontId="45" fillId="0" borderId="19" xfId="0" applyFont="1" applyBorder="1">
      <alignment vertical="center" wrapText="1"/>
    </xf>
    <xf numFmtId="0" fontId="45" fillId="0" borderId="20" xfId="0" applyFont="1" applyBorder="1">
      <alignment horizontal="left" vertical="center" wrapText="1"/>
    </xf>
    <xf numFmtId="0" fontId="45" fillId="0" borderId="20" xfId="0" applyFont="1" applyBorder="1">
      <alignment horizontal="right" vertical="center" wrapText="1"/>
    </xf>
    <xf numFmtId="0" fontId="45" fillId="0" borderId="23" xfId="0" applyFont="1" applyBorder="1">
      <alignment horizontal="right" vertical="center" wrapText="1"/>
    </xf>
    <xf numFmtId="176" fontId="45" fillId="4" borderId="20" xfId="0" applyFont="1" applyFill="1" applyBorder="1" applyNumberFormat="1">
      <alignment horizontal="right" vertical="center" wrapText="1"/>
      <protection locked="0"/>
    </xf>
    <xf numFmtId="176" fontId="45" fillId="53" borderId="20" xfId="0" applyFont="1" applyFill="1" applyBorder="1" applyNumberFormat="1">
      <alignment horizontal="right" vertical="center" wrapText="1"/>
    </xf>
    <xf numFmtId="171" fontId="45" fillId="0" borderId="20" xfId="0" applyFont="1" applyBorder="1" applyNumberFormat="1">
      <alignment horizontal="right" vertical="center" wrapText="1"/>
    </xf>
    <xf numFmtId="176" fontId="45" fillId="0" borderId="23" xfId="0" applyFont="1" applyBorder="1" applyNumberFormat="1">
      <alignment horizontal="right" vertical="center" wrapText="1"/>
    </xf>
    <xf numFmtId="176" fontId="45" fillId="4" borderId="20" xfId="0" applyFont="1" applyFill="1" applyBorder="1" applyNumberFormat="1">
      <alignment horizontal="right" vertical="center" wrapText="1"/>
    </xf>
    <xf numFmtId="175" fontId="45" fillId="0" borderId="20" xfId="0" applyFont="1" applyBorder="1" applyNumberFormat="1">
      <alignment horizontal="right" vertical="center" wrapText="1"/>
    </xf>
    <xf numFmtId="176" fontId="45" fillId="54" borderId="20" xfId="0" applyFont="1" applyFill="1" applyBorder="1" applyNumberFormat="1">
      <alignment horizontal="right" vertical="center" wrapText="1"/>
    </xf>
    <xf numFmtId="176" fontId="45" fillId="0" borderId="20" xfId="0" applyFont="1" applyBorder="1" applyNumberFormat="1">
      <alignment horizontal="right" vertical="center" wrapText="1"/>
    </xf>
    <xf numFmtId="171" fontId="45" fillId="4" borderId="20" xfId="0" applyFont="1" applyFill="1" applyBorder="1" applyNumberFormat="1">
      <alignment horizontal="right" vertical="center" wrapText="1"/>
      <protection locked="0"/>
    </xf>
    <xf numFmtId="171" fontId="45" fillId="53" borderId="20" xfId="0" applyFont="1" applyFill="1" applyBorder="1" applyNumberFormat="1">
      <alignment horizontal="right" vertical="center" wrapText="1"/>
    </xf>
    <xf numFmtId="171" fontId="45" fillId="0" borderId="23" xfId="0" applyFont="1" applyBorder="1" applyNumberFormat="1">
      <alignment horizontal="right" vertical="center" wrapText="1"/>
    </xf>
    <xf numFmtId="0" fontId="42" fillId="0" borderId="0" xfId="0" applyFont="1">
      <alignment vertical="center" wrapText="1"/>
    </xf>
    <xf numFmtId="0" fontId="45" fillId="0" borderId="21" xfId="0" applyFont="1" applyBorder="1">
      <alignment horizontal="center" vertical="center" wrapText="1"/>
    </xf>
    <xf numFmtId="0" fontId="45" fillId="0" borderId="22" xfId="0" applyFont="1" applyBorder="1">
      <alignment horizontal="left" vertical="center" wrapText="1"/>
    </xf>
    <xf numFmtId="0" fontId="45" fillId="0" borderId="22" xfId="0" applyFont="1" applyBorder="1">
      <alignment horizontal="center" vertical="center" wrapText="1"/>
    </xf>
    <xf numFmtId="171" fontId="45" fillId="0" borderId="22" xfId="0" applyFont="1" applyBorder="1" applyNumberFormat="1">
      <alignment horizontal="right" vertical="center" wrapText="1"/>
    </xf>
    <xf numFmtId="171" fontId="45" fillId="0" borderId="24" xfId="0" applyFont="1" applyBorder="1" applyNumberFormat="1">
      <alignment horizontal="right" vertical="center" wrapText="1"/>
    </xf>
    <xf numFmtId="0" fontId="39" fillId="0" borderId="0" xfId="0" applyFont="1">
      <alignment horizontal="right" vertical="center" wrapText="1"/>
    </xf>
    <xf numFmtId="176" fontId="39" fillId="0" borderId="0" xfId="0" applyFont="1" applyNumberFormat="1">
      <alignment horizontal="left" vertical="center" wrapText="1"/>
      <protection locked="0"/>
    </xf>
    <xf numFmtId="176" fontId="39" fillId="0" borderId="0" xfId="0" applyFont="1" applyNumberFormat="1">
      <alignment horizontal="left" vertical="center" wrapText="1"/>
    </xf>
    <xf numFmtId="0" fontId="39" fillId="0" borderId="0" xfId="0" applyFont="1">
      <alignment horizontal="center" vertical="center" wrapText="1"/>
    </xf>
    <xf numFmtId="173" fontId="39" fillId="0" borderId="0" xfId="0" applyFont="1" applyNumberFormat="1">
      <alignment horizontal="right" vertical="center" wrapText="1"/>
    </xf>
    <xf numFmtId="0" fontId="0" fillId="0" borderId="0" xfId="0" applyFont="1">
      <alignment vertical="center" wrapText="1"/>
    </xf>
    <xf numFmtId="0" fontId="26" fillId="0" borderId="0" xfId="0" applyFont="1">
      <alignment vertical="center" wrapText="1"/>
    </xf>
    <xf numFmtId="0" fontId="39" fillId="0" borderId="42" xfId="0" applyFont="1" applyBorder="1">
      <alignment horizontal="center" vertical="center" wrapText="1"/>
    </xf>
    <xf numFmtId="0" fontId="39" fillId="0" borderId="41" xfId="0" applyFont="1" applyBorder="1">
      <alignment horizontal="center" vertical="center" wrapText="1"/>
    </xf>
    <xf numFmtId="0" fontId="39" fillId="0" borderId="37" xfId="0" applyFont="1" applyBorder="1">
      <alignment horizontal="center" vertical="center" wrapText="1"/>
    </xf>
    <xf numFmtId="0" fontId="39" fillId="0" borderId="28" xfId="0" applyFont="1" applyBorder="1">
      <alignment horizontal="center" vertical="center" wrapText="1"/>
    </xf>
    <xf numFmtId="0" fontId="39" fillId="0" borderId="39" xfId="0" applyFont="1" applyBorder="1">
      <alignment horizontal="center" vertical="center" wrapText="1"/>
    </xf>
    <xf numFmtId="0" fontId="39" fillId="0" borderId="31" xfId="0" applyFont="1" applyBorder="1">
      <alignment horizontal="center" vertical="center" wrapText="1"/>
    </xf>
    <xf numFmtId="0" fontId="39" fillId="0" borderId="34" xfId="0" applyFont="1" applyBorder="1">
      <alignment horizontal="center" vertical="center" wrapText="1"/>
    </xf>
    <xf numFmtId="0" fontId="39" fillId="0" borderId="19" xfId="0" applyFont="1" applyBorder="1">
      <alignment horizontal="center" vertical="center" wrapText="1"/>
    </xf>
    <xf numFmtId="0" fontId="39" fillId="0" borderId="20" xfId="0" applyFont="1" applyBorder="1">
      <alignment horizontal="center" vertical="center" wrapText="1"/>
    </xf>
    <xf numFmtId="0" fontId="39" fillId="0" borderId="38" xfId="0" applyFont="1" applyBorder="1">
      <alignment horizontal="center" vertical="center" wrapText="1"/>
    </xf>
    <xf numFmtId="0" fontId="39" fillId="0" borderId="30" xfId="0" applyFont="1" applyBorder="1">
      <alignment horizontal="center" vertical="center" wrapText="1"/>
    </xf>
    <xf numFmtId="0" fontId="39" fillId="0" borderId="40" xfId="0" applyFont="1" applyBorder="1">
      <alignment horizontal="center" vertical="center" wrapText="1"/>
    </xf>
    <xf numFmtId="0" fontId="39" fillId="0" borderId="32" xfId="0" applyFont="1" applyBorder="1">
      <alignment horizontal="center" vertical="center" wrapText="1"/>
    </xf>
    <xf numFmtId="0" fontId="39" fillId="0" borderId="35" xfId="0" applyFont="1" applyBorder="1">
      <alignment horizontal="center" vertical="center" wrapText="1"/>
    </xf>
    <xf numFmtId="0" fontId="39" fillId="0" borderId="20" xfId="0" applyFont="1" applyBorder="1">
      <alignment horizontal="center" vertical="center" wrapText="1"/>
    </xf>
    <xf numFmtId="0" fontId="39" fillId="0" borderId="33" xfId="0" applyFont="1" applyBorder="1">
      <alignment horizontal="center" vertical="center" wrapText="1"/>
    </xf>
    <xf numFmtId="0" fontId="39" fillId="0" borderId="36" xfId="0" applyFont="1" applyBorder="1">
      <alignment horizontal="center" vertical="center" wrapText="1"/>
    </xf>
    <xf numFmtId="0" fontId="39" fillId="0" borderId="19" xfId="0" applyFont="1" applyBorder="1">
      <alignment vertical="center" wrapText="1"/>
    </xf>
    <xf numFmtId="0" fontId="44" fillId="0" borderId="20" xfId="0" applyFont="1" applyBorder="1">
      <alignment horizontal="left" vertical="center" wrapText="1"/>
    </xf>
    <xf numFmtId="0" fontId="39" fillId="0" borderId="20" xfId="0" applyFont="1" applyBorder="1">
      <alignment horizontal="center" vertical="center" wrapText="1"/>
    </xf>
    <xf numFmtId="0" fontId="39" fillId="0" borderId="20" xfId="0" applyFont="1" applyBorder="1">
      <alignment horizontal="right" vertical="center" wrapText="1"/>
    </xf>
    <xf numFmtId="0" fontId="39" fillId="0" borderId="23" xfId="0" applyFont="1" applyBorder="1">
      <alignment horizontal="right" vertical="center" wrapText="1"/>
    </xf>
    <xf numFmtId="0" fontId="39" fillId="0" borderId="19" xfId="0" applyFont="1" applyBorder="1">
      <alignment horizontal="center" vertical="center" wrapText="1"/>
    </xf>
    <xf numFmtId="0" fontId="39" fillId="0" borderId="20" xfId="0" applyFont="1" applyBorder="1">
      <alignment horizontal="left" vertical="center" wrapText="1"/>
    </xf>
    <xf numFmtId="0" fontId="40" fillId="0" borderId="0" xfId="0" applyFont="1">
      <alignment horizontal="right" vertical="center" wrapText="1"/>
    </xf>
    <xf numFmtId="0" fontId="40" fillId="0" borderId="0" xfId="0" applyFont="1">
      <alignment horizontal="right" vertical="center" wrapText="1"/>
    </xf>
    <xf numFmtId="171" fontId="39" fillId="0" borderId="20" xfId="0" applyFont="1" applyBorder="1" applyNumberFormat="1">
      <alignment horizontal="right" vertical="center" wrapText="1"/>
    </xf>
    <xf numFmtId="176" fontId="39" fillId="0" borderId="23" xfId="0" applyFont="1" applyBorder="1" applyNumberFormat="1">
      <alignment horizontal="right" vertical="center" wrapText="1"/>
    </xf>
    <xf numFmtId="0" fontId="39" fillId="4" borderId="20" xfId="0" applyFont="1" applyFill="1" applyBorder="1">
      <alignment horizontal="right" vertical="center" wrapText="1"/>
    </xf>
    <xf numFmtId="0" fontId="0" fillId="0" borderId="0" xfId="0" applyFont="1">
      <alignment vertical="center" wrapText="1"/>
    </xf>
    <xf numFmtId="175" fontId="39" fillId="0" borderId="20" xfId="0" applyFont="1" applyBorder="1" applyNumberFormat="1">
      <alignment horizontal="right" vertical="center" wrapText="1"/>
    </xf>
    <xf numFmtId="0" fontId="39" fillId="0" borderId="20" xfId="0" applyFont="1" applyBorder="1">
      <alignment horizontal="left" vertical="center" wrapText="1"/>
    </xf>
    <xf numFmtId="0" fontId="39" fillId="0" borderId="21" xfId="0" applyFont="1" applyBorder="1">
      <alignment horizontal="center" vertical="center" wrapText="1"/>
    </xf>
    <xf numFmtId="0" fontId="39" fillId="0" borderId="22" xfId="0" applyFont="1" applyBorder="1">
      <alignment horizontal="left" vertical="center" wrapText="1"/>
    </xf>
    <xf numFmtId="0" fontId="39" fillId="0" borderId="22" xfId="0" applyFont="1" applyBorder="1">
      <alignment horizontal="center" vertical="center" wrapText="1"/>
    </xf>
    <xf numFmtId="171" fontId="39" fillId="0" borderId="22" xfId="0" applyFont="1" applyBorder="1" applyNumberFormat="1">
      <alignment horizontal="right" vertical="center" wrapText="1"/>
    </xf>
    <xf numFmtId="171" fontId="39" fillId="0" borderId="24" xfId="0" applyFont="1" applyBorder="1" applyNumberFormat="1">
      <alignment horizontal="right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left" vertical="center" wrapText="1"/>
    </xf>
    <xf numFmtId="0" fontId="0" fillId="0" borderId="0" xfId="0" applyFont="1">
      <alignment horizontal="center" vertical="center" wrapText="1"/>
    </xf>
    <xf numFmtId="172" fontId="18" fillId="0" borderId="0" xfId="0" applyFont="1" applyNumberFormat="1">
      <alignment horizontal="center" vertical="center" wrapText="1"/>
    </xf>
    <xf numFmtId="173" fontId="0" fillId="0" borderId="0" xfId="0" applyFont="1" applyNumberFormat="1">
      <alignment horizontal="center" vertical="center" wrapText="1"/>
    </xf>
    <xf numFmtId="174" fontId="1" fillId="0" borderId="0" xfId="0" applyFont="1" applyNumberFormat="1">
      <alignment horizontal="center" vertical="center" wrapText="1"/>
    </xf>
    <xf numFmtId="17" fontId="26" fillId="0" borderId="0" xfId="0" applyFont="1" applyNumberFormat="1">
      <alignment vertical="center" wrapText="1"/>
    </xf>
    <xf numFmtId="0" fontId="26" fillId="0" borderId="0" xfId="0" applyFont="1">
      <alignment vertical="center" wrapText="1"/>
    </xf>
    <xf numFmtId="0" fontId="40" fillId="0" borderId="0" xfId="0" applyFont="1">
      <alignment horizontal="right" vertical="center" wrapText="1"/>
    </xf>
  </cellXfs>
  <cellStyles count="443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20% - 强调文字颜色 1 2" xfId="47"/>
    <cellStyle name="20% - 强调文字颜色 1 2 2" xfId="47"/>
    <cellStyle name="20% - 强调文字颜色 1 3" xfId="47"/>
    <cellStyle name="20% - 强调文字颜色 1 3 2" xfId="47"/>
    <cellStyle name="20% - 强调文字颜色 1 4" xfId="47"/>
    <cellStyle name="20% - 强调文字颜色 1 4 2" xfId="47"/>
    <cellStyle name="20% - 强调文字颜色 1 5" xfId="47"/>
    <cellStyle name="20% - 强调文字颜色 1 5 2" xfId="47"/>
    <cellStyle name="20% - 强调文字颜色 1 6" xfId="47"/>
    <cellStyle name="20% - 强调文字颜色 1 6 2" xfId="47"/>
    <cellStyle name="20% - 强调文字颜色 1 7" xfId="47"/>
    <cellStyle name="20% - 强调文字颜色 1 8" xfId="47"/>
    <cellStyle name="20% - 强调文字颜色 2 2" xfId="48"/>
    <cellStyle name="20% - 强调文字颜色 2 2 2" xfId="48"/>
    <cellStyle name="20% - 强调文字颜色 2 3" xfId="48"/>
    <cellStyle name="20% - 强调文字颜色 2 3 2" xfId="48"/>
    <cellStyle name="20% - 强调文字颜色 2 4" xfId="48"/>
    <cellStyle name="20% - 强调文字颜色 2 4 2" xfId="48"/>
    <cellStyle name="20% - 强调文字颜色 2 5" xfId="48"/>
    <cellStyle name="20% - 强调文字颜色 2 5 2" xfId="48"/>
    <cellStyle name="20% - 强调文字颜色 2 6" xfId="48"/>
    <cellStyle name="20% - 强调文字颜色 2 6 2" xfId="48"/>
    <cellStyle name="20% - 强调文字颜色 2 7" xfId="48"/>
    <cellStyle name="20% - 强调文字颜色 2 8" xfId="48"/>
    <cellStyle name="20% - 强调文字颜色 3 2" xfId="49"/>
    <cellStyle name="20% - 强调文字颜色 3 2 2" xfId="49"/>
    <cellStyle name="20% - 强调文字颜色 3 3" xfId="49"/>
    <cellStyle name="20% - 强调文字颜色 3 3 2" xfId="49"/>
    <cellStyle name="20% - 强调文字颜色 3 4" xfId="49"/>
    <cellStyle name="20% - 强调文字颜色 3 4 2" xfId="49"/>
    <cellStyle name="20% - 强调文字颜色 3 5" xfId="49"/>
    <cellStyle name="20% - 强调文字颜色 3 5 2" xfId="49"/>
    <cellStyle name="20% - 强调文字颜色 3 6" xfId="49"/>
    <cellStyle name="20% - 强调文字颜色 3 6 2" xfId="49"/>
    <cellStyle name="20% - 强调文字颜色 3 7" xfId="49"/>
    <cellStyle name="20% - 强调文字颜色 3 8" xfId="49"/>
    <cellStyle name="20% - 强调文字颜色 4 2" xfId="50"/>
    <cellStyle name="20% - 强调文字颜色 4 2 2" xfId="50"/>
    <cellStyle name="20% - 强调文字颜色 4 3" xfId="50"/>
    <cellStyle name="20% - 强调文字颜色 4 3 2" xfId="50"/>
    <cellStyle name="20% - 强调文字颜色 4 4" xfId="50"/>
    <cellStyle name="20% - 强调文字颜色 4 4 2" xfId="50"/>
    <cellStyle name="20% - 强调文字颜色 4 5" xfId="50"/>
    <cellStyle name="20% - 强调文字颜色 4 5 2" xfId="50"/>
    <cellStyle name="20% - 强调文字颜色 4 6" xfId="50"/>
    <cellStyle name="20% - 强调文字颜色 4 6 2" xfId="50"/>
    <cellStyle name="20% - 强调文字颜色 4 7" xfId="50"/>
    <cellStyle name="20% - 强调文字颜色 4 8" xfId="50"/>
    <cellStyle name="20% - 强调文字颜色 5 2" xfId="51"/>
    <cellStyle name="20% - 强调文字颜色 5 2 2" xfId="51"/>
    <cellStyle name="20% - 强调文字颜色 5 3" xfId="51"/>
    <cellStyle name="20% - 强调文字颜色 5 3 2" xfId="51"/>
    <cellStyle name="20% - 强调文字颜色 5 4" xfId="51"/>
    <cellStyle name="20% - 强调文字颜色 5 4 2" xfId="51"/>
    <cellStyle name="20% - 强调文字颜色 5 5" xfId="51"/>
    <cellStyle name="20% - 强调文字颜色 5 5 2" xfId="51"/>
    <cellStyle name="20% - 强调文字颜色 5 6" xfId="51"/>
    <cellStyle name="20% - 强调文字颜色 5 6 2" xfId="51"/>
    <cellStyle name="20% - 强调文字颜色 5 7" xfId="51"/>
    <cellStyle name="20% - 强调文字颜色 5 8" xfId="51"/>
    <cellStyle name="20% - 强调文字颜色 6 2" xfId="52"/>
    <cellStyle name="20% - 强调文字颜色 6 2 2" xfId="52"/>
    <cellStyle name="20% - 强调文字颜色 6 3" xfId="52"/>
    <cellStyle name="20% - 强调文字颜色 6 3 2" xfId="52"/>
    <cellStyle name="20% - 强调文字颜色 6 4" xfId="52"/>
    <cellStyle name="20% - 强调文字颜色 6 4 2" xfId="52"/>
    <cellStyle name="20% - 强调文字颜色 6 5" xfId="52"/>
    <cellStyle name="20% - 强调文字颜色 6 5 2" xfId="52"/>
    <cellStyle name="20% - 强调文字颜色 6 6" xfId="52"/>
    <cellStyle name="20% - 强调文字颜色 6 6 2" xfId="52"/>
    <cellStyle name="20% - 强调文字颜色 6 7" xfId="52"/>
    <cellStyle name="20% - 强调文字颜色 6 8" xfId="52"/>
    <cellStyle name="40% - 强调文字颜色 1 2" xfId="53"/>
    <cellStyle name="40% - 强调文字颜色 1 2 2" xfId="53"/>
    <cellStyle name="40% - 强调文字颜色 1 3" xfId="53"/>
    <cellStyle name="40% - 强调文字颜色 1 3 2" xfId="53"/>
    <cellStyle name="40% - 强调文字颜色 1 4" xfId="53"/>
    <cellStyle name="40% - 强调文字颜色 1 4 2" xfId="53"/>
    <cellStyle name="40% - 强调文字颜色 1 5" xfId="53"/>
    <cellStyle name="40% - 强调文字颜色 1 5 2" xfId="53"/>
    <cellStyle name="40% - 强调文字颜色 1 6" xfId="53"/>
    <cellStyle name="40% - 强调文字颜色 1 6 2" xfId="53"/>
    <cellStyle name="40% - 强调文字颜色 1 7" xfId="53"/>
    <cellStyle name="40% - 强调文字颜色 1 8" xfId="53"/>
    <cellStyle name="40% - 强调文字颜色 2 2" xfId="54"/>
    <cellStyle name="40% - 强调文字颜色 2 2 2" xfId="54"/>
    <cellStyle name="40% - 强调文字颜色 2 3" xfId="54"/>
    <cellStyle name="40% - 强调文字颜色 2 3 2" xfId="54"/>
    <cellStyle name="40% - 强调文字颜色 2 4" xfId="54"/>
    <cellStyle name="40% - 强调文字颜色 2 4 2" xfId="54"/>
    <cellStyle name="40% - 强调文字颜色 2 5" xfId="54"/>
    <cellStyle name="40% - 强调文字颜色 2 5 2" xfId="54"/>
    <cellStyle name="40% - 强调文字颜色 2 6" xfId="54"/>
    <cellStyle name="40% - 强调文字颜色 2 6 2" xfId="54"/>
    <cellStyle name="40% - 强调文字颜色 2 7" xfId="54"/>
    <cellStyle name="40% - 强调文字颜色 2 8" xfId="54"/>
    <cellStyle name="40% - 强调文字颜色 3 2" xfId="55"/>
    <cellStyle name="40% - 强调文字颜色 3 2 2" xfId="55"/>
    <cellStyle name="40% - 强调文字颜色 3 3" xfId="55"/>
    <cellStyle name="40% - 强调文字颜色 3 3 2" xfId="55"/>
    <cellStyle name="40% - 强调文字颜色 3 4" xfId="55"/>
    <cellStyle name="40% - 强调文字颜色 3 4 2" xfId="55"/>
    <cellStyle name="40% - 强调文字颜色 3 5" xfId="55"/>
    <cellStyle name="40% - 强调文字颜色 3 5 2" xfId="55"/>
    <cellStyle name="40% - 强调文字颜色 3 6" xfId="55"/>
    <cellStyle name="40% - 强调文字颜色 3 6 2" xfId="55"/>
    <cellStyle name="40% - 强调文字颜色 3 7" xfId="55"/>
    <cellStyle name="40% - 强调文字颜色 3 8" xfId="55"/>
    <cellStyle name="40% - 强调文字颜色 4 2" xfId="50"/>
    <cellStyle name="40% - 强调文字颜色 4 2 2" xfId="50"/>
    <cellStyle name="40% - 强调文字颜色 4 3" xfId="50"/>
    <cellStyle name="40% - 强调文字颜色 4 3 2" xfId="50"/>
    <cellStyle name="40% - 强调文字颜色 4 4" xfId="50"/>
    <cellStyle name="40% - 强调文字颜色 4 4 2" xfId="50"/>
    <cellStyle name="40% - 强调文字颜色 4 5" xfId="50"/>
    <cellStyle name="40% - 强调文字颜色 4 5 2" xfId="50"/>
    <cellStyle name="40% - 强调文字颜色 4 6" xfId="50"/>
    <cellStyle name="40% - 强调文字颜色 4 6 2" xfId="50"/>
    <cellStyle name="40% - 强调文字颜色 4 7" xfId="50"/>
    <cellStyle name="40% - 强调文字颜色 4 8" xfId="50"/>
    <cellStyle name="40% - 强调文字颜色 5 2" xfId="53"/>
    <cellStyle name="40% - 强调文字颜色 5 2 2" xfId="53"/>
    <cellStyle name="40% - 强调文字颜色 5 3" xfId="53"/>
    <cellStyle name="40% - 强调文字颜色 5 3 2" xfId="53"/>
    <cellStyle name="40% - 强调文字颜色 5 4" xfId="53"/>
    <cellStyle name="40% - 强调文字颜色 5 4 2" xfId="53"/>
    <cellStyle name="40% - 强调文字颜色 5 5" xfId="53"/>
    <cellStyle name="40% - 强调文字颜色 5 5 2" xfId="53"/>
    <cellStyle name="40% - 强调文字颜色 5 6" xfId="53"/>
    <cellStyle name="40% - 强调文字颜色 5 6 2" xfId="53"/>
    <cellStyle name="40% - 强调文字颜色 5 7" xfId="53"/>
    <cellStyle name="40% - 强调文字颜色 5 8" xfId="53"/>
    <cellStyle name="40% - 强调文字颜色 6 2" xfId="56"/>
    <cellStyle name="40% - 强调文字颜色 6 2 2" xfId="56"/>
    <cellStyle name="40% - 强调文字颜色 6 3" xfId="56"/>
    <cellStyle name="40% - 强调文字颜色 6 3 2" xfId="56"/>
    <cellStyle name="40% - 强调文字颜色 6 4" xfId="56"/>
    <cellStyle name="40% - 强调文字颜色 6 4 2" xfId="56"/>
    <cellStyle name="40% - 强调文字颜色 6 5" xfId="56"/>
    <cellStyle name="40% - 强调文字颜色 6 5 2" xfId="56"/>
    <cellStyle name="40% - 强调文字颜色 6 6" xfId="56"/>
    <cellStyle name="40% - 强调文字颜色 6 6 2" xfId="56"/>
    <cellStyle name="40% - 强调文字颜色 6 7" xfId="56"/>
    <cellStyle name="40% - 强调文字颜色 6 8" xfId="56"/>
    <cellStyle name="60% - 强调文字颜色 1 2" xfId="57"/>
    <cellStyle name="60% - 强调文字颜色 1 2 2" xfId="57"/>
    <cellStyle name="60% - 强调文字颜色 1 3" xfId="57"/>
    <cellStyle name="60% - 强调文字颜色 1 3 2" xfId="57"/>
    <cellStyle name="60% - 强调文字颜色 1 4" xfId="57"/>
    <cellStyle name="60% - 强调文字颜色 1 4 2" xfId="57"/>
    <cellStyle name="60% - 强调文字颜色 1 5" xfId="57"/>
    <cellStyle name="60% - 强调文字颜色 1 5 2" xfId="57"/>
    <cellStyle name="60% - 强调文字颜色 1 6" xfId="57"/>
    <cellStyle name="60% - 强调文字颜色 1 7" xfId="57"/>
    <cellStyle name="60% - 强调文字颜色 2 2" xfId="58"/>
    <cellStyle name="60% - 强调文字颜色 2 2 2" xfId="58"/>
    <cellStyle name="60% - 强调文字颜色 2 3" xfId="58"/>
    <cellStyle name="60% - 强调文字颜色 2 3 2" xfId="58"/>
    <cellStyle name="60% - 强调文字颜色 2 4" xfId="58"/>
    <cellStyle name="60% - 强调文字颜色 2 4 2" xfId="58"/>
    <cellStyle name="60% - 强调文字颜色 2 5" xfId="58"/>
    <cellStyle name="60% - 强调文字颜色 2 5 2" xfId="58"/>
    <cellStyle name="60% - 强调文字颜色 2 6" xfId="58"/>
    <cellStyle name="60% - 强调文字颜色 2 7" xfId="58"/>
    <cellStyle name="60% - 强调文字颜色 3 2" xfId="59"/>
    <cellStyle name="60% - 强调文字颜色 3 2 2" xfId="59"/>
    <cellStyle name="60% - 强调文字颜色 3 3" xfId="59"/>
    <cellStyle name="60% - 强调文字颜色 3 3 2" xfId="59"/>
    <cellStyle name="60% - 强调文字颜色 3 4" xfId="59"/>
    <cellStyle name="60% - 强调文字颜色 3 4 2" xfId="59"/>
    <cellStyle name="60% - 强调文字颜色 3 5" xfId="59"/>
    <cellStyle name="60% - 强调文字颜色 3 5 2" xfId="59"/>
    <cellStyle name="60% - 强调文字颜色 3 6" xfId="59"/>
    <cellStyle name="60% - 强调文字颜色 3 7" xfId="59"/>
    <cellStyle name="60% - 强调文字颜色 4 2" xfId="60"/>
    <cellStyle name="60% - 强调文字颜色 4 2 2" xfId="60"/>
    <cellStyle name="60% - 强调文字颜色 4 3" xfId="60"/>
    <cellStyle name="60% - 强调文字颜色 4 3 2" xfId="60"/>
    <cellStyle name="60% - 强调文字颜色 4 4" xfId="60"/>
    <cellStyle name="60% - 强调文字颜色 4 4 2" xfId="60"/>
    <cellStyle name="60% - 强调文字颜色 4 5" xfId="60"/>
    <cellStyle name="60% - 强调文字颜色 4 5 2" xfId="60"/>
    <cellStyle name="60% - 强调文字颜色 4 6" xfId="60"/>
    <cellStyle name="60% - 强调文字颜色 4 7" xfId="60"/>
    <cellStyle name="60% - 强调文字颜色 5 2" xfId="61"/>
    <cellStyle name="60% - 强调文字颜色 5 2 2" xfId="61"/>
    <cellStyle name="60% - 强调文字颜色 5 3" xfId="61"/>
    <cellStyle name="60% - 强调文字颜色 5 3 2" xfId="61"/>
    <cellStyle name="60% - 强调文字颜色 5 4" xfId="61"/>
    <cellStyle name="60% - 强调文字颜色 5 4 2" xfId="61"/>
    <cellStyle name="60% - 强调文字颜色 5 5" xfId="61"/>
    <cellStyle name="60% - 强调文字颜色 5 5 2" xfId="61"/>
    <cellStyle name="60% - 强调文字颜色 5 6" xfId="61"/>
    <cellStyle name="60% - 强调文字颜色 5 7" xfId="61"/>
    <cellStyle name="60% - 强调文字颜色 6 2" xfId="62"/>
    <cellStyle name="60% - 强调文字颜色 6 2 2" xfId="62"/>
    <cellStyle name="60% - 强调文字颜色 6 3" xfId="62"/>
    <cellStyle name="60% - 强调文字颜色 6 3 2" xfId="62"/>
    <cellStyle name="60% - 强调文字颜色 6 4" xfId="62"/>
    <cellStyle name="60% - 强调文字颜色 6 4 2" xfId="62"/>
    <cellStyle name="60% - 强调文字颜色 6 5" xfId="62"/>
    <cellStyle name="60% - 强调文字颜色 6 5 2" xfId="62"/>
    <cellStyle name="60% - 强调文字颜色 6 6" xfId="62"/>
    <cellStyle name="60% - 强调文字颜色 6 7" xfId="62"/>
    <cellStyle name="标题 1 2" xfId="63"/>
    <cellStyle name="标题 1 3" xfId="63"/>
    <cellStyle name="标题 2 2" xfId="64"/>
    <cellStyle name="标题 2 3" xfId="64"/>
    <cellStyle name="标题 3 2" xfId="65"/>
    <cellStyle name="标题 3 3" xfId="65"/>
    <cellStyle name="标题 4 2" xfId="66"/>
    <cellStyle name="标题 4 3" xfId="66"/>
    <cellStyle name="标题 5" xfId="67"/>
    <cellStyle name="标题 6" xfId="67"/>
    <cellStyle name="差 2" xfId="68"/>
    <cellStyle name="差 3" xfId="68"/>
    <cellStyle name="差 4" xfId="68"/>
    <cellStyle name="差 5" xfId="68"/>
    <cellStyle name="差 6" xfId="68"/>
    <cellStyle name="差 7" xfId="68"/>
    <cellStyle name="常规 10" xfId="69"/>
    <cellStyle name="常规 11" xfId="69"/>
    <cellStyle name="常规 12" xfId="69"/>
    <cellStyle name="常规 13" xfId="69"/>
    <cellStyle name="常规 14" xfId="69"/>
    <cellStyle name="常规 15" xfId="69"/>
    <cellStyle name="常规 16" xfId="69"/>
    <cellStyle name="常规 17" xfId="69"/>
    <cellStyle name="常规 18" xfId="69"/>
    <cellStyle name="常规 19" xfId="69"/>
    <cellStyle name="常规 2" xfId="69"/>
    <cellStyle name="常规 2 10" xfId="69"/>
    <cellStyle name="常规 2 2" xfId="69"/>
    <cellStyle name="常规 2 3" xfId="69"/>
    <cellStyle name="常规 2 4" xfId="69"/>
    <cellStyle name="常规 2 5" xfId="69"/>
    <cellStyle name="常规 2 6" xfId="69"/>
    <cellStyle name="常规 2 7" xfId="69"/>
    <cellStyle name="常规 2 8" xfId="69"/>
    <cellStyle name="常规 2 9" xfId="69"/>
    <cellStyle name="常规 20" xfId="69"/>
    <cellStyle name="常规 21" xfId="69"/>
    <cellStyle name="常规 22" xfId="69"/>
    <cellStyle name="常规 23" xfId="69"/>
    <cellStyle name="常规 24" xfId="69"/>
    <cellStyle name="常规 25" xfId="69"/>
    <cellStyle name="常规 26" xfId="69"/>
    <cellStyle name="常规 27" xfId="69"/>
    <cellStyle name="常规 28" xfId="69"/>
    <cellStyle name="常规 3" xfId="69"/>
    <cellStyle name="常规 3 2" xfId="69"/>
    <cellStyle name="常规 3 3" xfId="69"/>
    <cellStyle name="常规 3 4" xfId="69"/>
    <cellStyle name="常规 3 5" xfId="69"/>
    <cellStyle name="常规 3 6" xfId="69"/>
    <cellStyle name="常规 3 7" xfId="69"/>
    <cellStyle name="常规 3 8" xfId="69"/>
    <cellStyle name="常规 3 9" xfId="69"/>
    <cellStyle name="常规 4" xfId="69"/>
    <cellStyle name="常规 4 2" xfId="69"/>
    <cellStyle name="常规 4 3" xfId="69"/>
    <cellStyle name="常规 4 4" xfId="69"/>
    <cellStyle name="常规 4 5" xfId="69"/>
    <cellStyle name="常规 4 6" xfId="69"/>
    <cellStyle name="常规 4 7" xfId="69"/>
    <cellStyle name="常规 4 8" xfId="69"/>
    <cellStyle name="常规 5" xfId="69"/>
    <cellStyle name="常规 6" xfId="69"/>
    <cellStyle name="常规 7" xfId="69"/>
    <cellStyle name="常规 8" xfId="69"/>
    <cellStyle name="常规 9" xfId="69"/>
    <cellStyle name="超链接" xfId="70"/>
    <cellStyle name="好 2" xfId="71"/>
    <cellStyle name="好 2 2" xfId="71"/>
    <cellStyle name="好 3" xfId="71"/>
    <cellStyle name="好 3 2" xfId="71"/>
    <cellStyle name="好 4" xfId="71"/>
    <cellStyle name="好 4 2" xfId="71"/>
    <cellStyle name="好 5" xfId="71"/>
    <cellStyle name="好 5 2" xfId="71"/>
    <cellStyle name="好 6" xfId="71"/>
    <cellStyle name="好 7" xfId="71"/>
    <cellStyle name="汇总 2" xfId="72"/>
    <cellStyle name="汇总 3" xfId="72"/>
    <cellStyle name="货币 2" xfId="73"/>
    <cellStyle name="计算 2" xfId="74"/>
    <cellStyle name="计算 3" xfId="74"/>
    <cellStyle name="计算 4" xfId="74"/>
    <cellStyle name="计算 5" xfId="74"/>
    <cellStyle name="计算 6" xfId="74"/>
    <cellStyle name="计算 7" xfId="74"/>
    <cellStyle name="检查单元格 2" xfId="75"/>
    <cellStyle name="检查单元格 2 2" xfId="75"/>
    <cellStyle name="检查单元格 3" xfId="75"/>
    <cellStyle name="检查单元格 3 2" xfId="75"/>
    <cellStyle name="检查单元格 4" xfId="75"/>
    <cellStyle name="检查单元格 4 2" xfId="75"/>
    <cellStyle name="检查单元格 5" xfId="75"/>
    <cellStyle name="检查单元格 5 2" xfId="75"/>
    <cellStyle name="检查单元格 6" xfId="75"/>
    <cellStyle name="检查单元格 7" xfId="75"/>
    <cellStyle name="解释性文本 2" xfId="76"/>
    <cellStyle name="解释性文本 3" xfId="76"/>
    <cellStyle name="警告文本 2" xfId="77"/>
    <cellStyle name="警告文本 3" xfId="77"/>
    <cellStyle name="链接单元格 2" xfId="78"/>
    <cellStyle name="链接单元格 3" xfId="78"/>
    <cellStyle name="强调文字颜色 1 2" xfId="79"/>
    <cellStyle name="强调文字颜色 1 2 2" xfId="79"/>
    <cellStyle name="强调文字颜色 1 3" xfId="79"/>
    <cellStyle name="强调文字颜色 1 3 2" xfId="79"/>
    <cellStyle name="强调文字颜色 1 4" xfId="79"/>
    <cellStyle name="强调文字颜色 1 4 2" xfId="79"/>
    <cellStyle name="强调文字颜色 1 5" xfId="79"/>
    <cellStyle name="强调文字颜色 1 5 2" xfId="79"/>
    <cellStyle name="强调文字颜色 1 6" xfId="79"/>
    <cellStyle name="强调文字颜色 1 7" xfId="79"/>
    <cellStyle name="强调文字颜色 2 2" xfId="80"/>
    <cellStyle name="强调文字颜色 2 2 2" xfId="80"/>
    <cellStyle name="强调文字颜色 2 3" xfId="80"/>
    <cellStyle name="强调文字颜色 2 3 2" xfId="80"/>
    <cellStyle name="强调文字颜色 2 4" xfId="80"/>
    <cellStyle name="强调文字颜色 2 4 2" xfId="80"/>
    <cellStyle name="强调文字颜色 2 5" xfId="80"/>
    <cellStyle name="强调文字颜色 2 5 2" xfId="80"/>
    <cellStyle name="强调文字颜色 2 6" xfId="80"/>
    <cellStyle name="强调文字颜色 2 7" xfId="80"/>
    <cellStyle name="强调文字颜色 3 2" xfId="81"/>
    <cellStyle name="强调文字颜色 3 2 2" xfId="81"/>
    <cellStyle name="强调文字颜色 3 3" xfId="81"/>
    <cellStyle name="强调文字颜色 3 3 2" xfId="81"/>
    <cellStyle name="强调文字颜色 3 4" xfId="81"/>
    <cellStyle name="强调文字颜色 3 4 2" xfId="81"/>
    <cellStyle name="强调文字颜色 3 5" xfId="81"/>
    <cellStyle name="强调文字颜色 3 5 2" xfId="81"/>
    <cellStyle name="强调文字颜色 3 6" xfId="81"/>
    <cellStyle name="强调文字颜色 3 7" xfId="81"/>
    <cellStyle name="强调文字颜色 4 2" xfId="60"/>
    <cellStyle name="强调文字颜色 4 2 2" xfId="60"/>
    <cellStyle name="强调文字颜色 4 3" xfId="60"/>
    <cellStyle name="强调文字颜色 4 3 2" xfId="60"/>
    <cellStyle name="强调文字颜色 4 4" xfId="60"/>
    <cellStyle name="强调文字颜色 4 4 2" xfId="60"/>
    <cellStyle name="强调文字颜色 4 5" xfId="60"/>
    <cellStyle name="强调文字颜色 4 5 2" xfId="60"/>
    <cellStyle name="强调文字颜色 4 6" xfId="60"/>
    <cellStyle name="强调文字颜色 4 7" xfId="60"/>
    <cellStyle name="强调文字颜色 5 2" xfId="61"/>
    <cellStyle name="强调文字颜色 5 2 2" xfId="61"/>
    <cellStyle name="强调文字颜色 5 3" xfId="61"/>
    <cellStyle name="强调文字颜色 5 3 2" xfId="61"/>
    <cellStyle name="强调文字颜色 5 4" xfId="61"/>
    <cellStyle name="强调文字颜色 5 4 2" xfId="61"/>
    <cellStyle name="强调文字颜色 5 5" xfId="61"/>
    <cellStyle name="强调文字颜色 5 5 2" xfId="61"/>
    <cellStyle name="强调文字颜色 5 6" xfId="61"/>
    <cellStyle name="强调文字颜色 5 7" xfId="61"/>
    <cellStyle name="强调文字颜色 6 2" xfId="82"/>
    <cellStyle name="强调文字颜色 6 2 2" xfId="82"/>
    <cellStyle name="强调文字颜色 6 3" xfId="82"/>
    <cellStyle name="强调文字颜色 6 3 2" xfId="82"/>
    <cellStyle name="强调文字颜色 6 4" xfId="82"/>
    <cellStyle name="强调文字颜色 6 4 2" xfId="82"/>
    <cellStyle name="强调文字颜色 6 5" xfId="82"/>
    <cellStyle name="强调文字颜色 6 5 2" xfId="82"/>
    <cellStyle name="强调文字颜色 6 6" xfId="82"/>
    <cellStyle name="强调文字颜色 6 7" xfId="82"/>
    <cellStyle name="适中 2" xfId="83"/>
    <cellStyle name="适中 3" xfId="83"/>
    <cellStyle name="适中 4" xfId="83"/>
    <cellStyle name="适中 5" xfId="83"/>
    <cellStyle name="适中 6" xfId="83"/>
    <cellStyle name="适中 7" xfId="83"/>
    <cellStyle name="输出 2" xfId="84"/>
    <cellStyle name="输出 3" xfId="84"/>
    <cellStyle name="输出 4" xfId="84"/>
    <cellStyle name="输出 5" xfId="84"/>
    <cellStyle name="输出 6" xfId="84"/>
    <cellStyle name="输出 7" xfId="84"/>
    <cellStyle name="输入 2" xfId="85"/>
    <cellStyle name="输入 2 2" xfId="85"/>
    <cellStyle name="输入 3" xfId="85"/>
    <cellStyle name="输入 3 2" xfId="85"/>
    <cellStyle name="输入 4" xfId="85"/>
    <cellStyle name="输入 4 2" xfId="85"/>
    <cellStyle name="输入 5" xfId="85"/>
    <cellStyle name="输入 5 2" xfId="85"/>
    <cellStyle name="输入 6" xfId="85"/>
    <cellStyle name="输入 7" xfId="85"/>
    <cellStyle name="已访问的超链接" xfId="86"/>
    <cellStyle name="注释 2" xfId="87"/>
    <cellStyle name="注释 3" xfId="87"/>
    <cellStyle name="注释 4" xfId="87"/>
    <cellStyle name="注释 5" xfId="87"/>
    <cellStyle name="注释 6" xfId="87"/>
    <cellStyle name="注释 7" xfId="8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F7084B8-84E8-A5B8-CBC8-7B4B8A0C90C8}" mc:Ignorable="x14ac xr xr2 xr3">
  <sheetPr>
    <pageSetUpPr fitToPage="1"/>
  </sheetPr>
  <dimension ref="A1:U41"/>
  <sheetViews>
    <sheetView showGridLines="0" zoomScale="80" workbookViewId="0" tabSelected="1">
      <pane xSplit="6" ySplit="6" topLeftCell="G27" activePane="bottomRight" state="frozen"/>
      <selection pane="bottomLeft" activeCell="A7" sqref="A7"/>
      <selection pane="topRight" activeCell="G1" sqref="G1"/>
      <selection pane="bottomRight" activeCell="A1" sqref="A1"/>
    </sheetView>
  </sheetViews>
  <sheetFormatPr defaultColWidth="9.00390625" customHeight="1" defaultRowHeight="15"/>
  <cols>
    <col min="1" max="1" style="113" width="0.375" customWidth="1"/>
    <col min="2" max="2" style="113" width="6.75390625" customWidth="1"/>
    <col min="3" max="4" style="114" width="9.00390625"/>
    <col min="5" max="5" style="113" width="4.125" customWidth="1"/>
    <col min="6" max="6" style="113" width="9.625" customWidth="1"/>
    <col min="7" max="7" style="113" width="11.50390625" customWidth="1"/>
    <col min="8" max="8" style="113" width="9.125" customWidth="1"/>
    <col min="9" max="9" style="113" width="11.875" customWidth="1"/>
    <col min="10" max="10" style="113" width="8.875" customWidth="1"/>
    <col min="11" max="11" style="113" width="14.375" customWidth="1"/>
    <col min="12" max="12" style="113" width="13.875" customWidth="1"/>
    <col min="13" max="13" style="113" width="11.50390625" customWidth="1"/>
    <col min="14" max="14" style="113" width="11.875" customWidth="1"/>
    <col min="15" max="15" style="113" width="8.875" customWidth="1"/>
    <col min="16" max="16" style="113" width="12.50390625" customWidth="1"/>
    <col min="17" max="17" style="113" width="13.125" customWidth="1"/>
    <col min="18" max="18" style="113" width="13.625" customWidth="1"/>
    <col min="19" max="19" style="113" width="15.625" customWidth="1"/>
    <col min="20" max="21" style="114" width="9.00390625"/>
  </cols>
  <sheetData>
    <row customHeight="1" ht="2.25">
      <c r="A1" s="112"/>
      <c r="B1" s="112"/>
      <c r="C1" s="158"/>
      <c r="D1" s="158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58"/>
      <c r="U1" s="158"/>
    </row>
    <row customHeight="1" ht="42">
      <c r="A2" s="112"/>
      <c r="B2" s="159" t="s">
        <v>0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1"/>
      <c r="T2" s="158"/>
      <c r="U2" s="158"/>
    </row>
    <row customHeight="1" ht="20.25">
      <c r="A3" s="112"/>
      <c r="B3" s="162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4" t="s">
        <v>1</v>
      </c>
      <c r="Q3" s="165" t="s">
        <v>2</v>
      </c>
      <c r="R3" s="165"/>
      <c r="S3" s="166"/>
      <c r="T3" s="158"/>
      <c r="U3" s="158"/>
    </row>
    <row customHeight="1" ht="9.75">
      <c r="A4" s="112"/>
      <c r="B4" s="167" t="s">
        <v>3</v>
      </c>
      <c r="C4" s="168" t="s">
        <v>4</v>
      </c>
      <c r="D4" s="168"/>
      <c r="E4" s="168"/>
      <c r="F4" s="168" t="s">
        <v>5</v>
      </c>
      <c r="G4" s="168" t="str">
        <f>MID(取值!F2,6,2)&amp;取值!J2</f>
        <v>01月</v>
      </c>
      <c r="H4" s="168"/>
      <c r="I4" s="168"/>
      <c r="J4" s="168"/>
      <c r="K4" s="168"/>
      <c r="L4" s="168"/>
      <c r="M4" s="168" t="s">
        <v>6</v>
      </c>
      <c r="N4" s="168"/>
      <c r="O4" s="168"/>
      <c r="P4" s="168"/>
      <c r="Q4" s="168"/>
      <c r="R4" s="168" t="s">
        <v>7</v>
      </c>
      <c r="S4" s="169" t="s">
        <v>8</v>
      </c>
      <c r="T4" s="158"/>
      <c r="U4" s="158"/>
    </row>
    <row customHeight="1" ht="9.75">
      <c r="A5" s="112"/>
      <c r="B5" s="167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9"/>
      <c r="T5" s="158"/>
      <c r="U5" s="158"/>
    </row>
    <row s="112" customFormat="1" customHeight="1" ht="47.25">
      <c r="A6" s="112"/>
      <c r="B6" s="167"/>
      <c r="C6" s="168"/>
      <c r="D6" s="168"/>
      <c r="E6" s="168"/>
      <c r="F6" s="168"/>
      <c r="G6" s="168" t="s">
        <v>9</v>
      </c>
      <c r="H6" s="168" t="s">
        <v>10</v>
      </c>
      <c r="I6" s="168" t="s">
        <v>11</v>
      </c>
      <c r="J6" s="168" t="s">
        <v>12</v>
      </c>
      <c r="K6" s="168" t="s">
        <v>13</v>
      </c>
      <c r="L6" s="168" t="s">
        <v>14</v>
      </c>
      <c r="M6" s="168" t="s">
        <v>9</v>
      </c>
      <c r="N6" s="168" t="s">
        <v>15</v>
      </c>
      <c r="O6" s="168" t="s">
        <v>16</v>
      </c>
      <c r="P6" s="168" t="s">
        <v>13</v>
      </c>
      <c r="Q6" s="168" t="s">
        <v>14</v>
      </c>
      <c r="R6" s="168"/>
      <c r="S6" s="169"/>
      <c r="T6" s="112"/>
      <c r="U6" s="112"/>
    </row>
    <row customHeight="1" ht="20.25">
      <c r="A7" s="112"/>
      <c r="B7" s="170" t="s">
        <v>17</v>
      </c>
      <c r="C7" s="171" t="s">
        <v>18</v>
      </c>
      <c r="D7" s="171"/>
      <c r="E7" s="171"/>
      <c r="F7" s="168" t="s">
        <v>19</v>
      </c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3"/>
      <c r="T7" s="158"/>
      <c r="U7" s="158"/>
    </row>
    <row customHeight="1" ht="20.25">
      <c r="A8" s="112"/>
      <c r="B8" s="167">
        <v>1</v>
      </c>
      <c r="C8" s="171" t="s">
        <v>20</v>
      </c>
      <c r="D8" s="171"/>
      <c r="E8" s="171"/>
      <c r="F8" s="168" t="s">
        <v>19</v>
      </c>
      <c r="G8" s="174">
        <v>280000</v>
      </c>
      <c r="H8" s="175">
        <f>取值!G6</f>
        <v>9194</v>
      </c>
      <c r="I8" s="175">
        <f>取值!H6</f>
        <v>62067</v>
      </c>
      <c r="J8" s="176">
        <f>_xlfn.IFERROR(I8/G8*100,"")</f>
        <v>22.1667857142857</v>
      </c>
      <c r="K8" s="176">
        <f>_xlfn.IFERROR(G8-I8,0)</f>
        <v>217933</v>
      </c>
      <c r="L8" s="176">
        <f>_xlfn.IFERROR(K8/取值!F38,0)</f>
        <v>9080.54166666667</v>
      </c>
      <c r="M8" s="174">
        <v>0</v>
      </c>
      <c r="N8" s="175">
        <f>取值!M6</f>
        <v>62067</v>
      </c>
      <c r="O8" s="176">
        <f>_xlfn.IFERROR(N8/M8*100,0)</f>
        <v>0</v>
      </c>
      <c r="P8" s="176">
        <f>_xlfn.IFERROR(M8-N8,0)</f>
        <v>-62067</v>
      </c>
      <c r="Q8" s="176">
        <f>_xlfn.IFERROR(P8/取值!G38,0)</f>
        <v>-173.371508379888</v>
      </c>
      <c r="R8" s="175">
        <f>取值!Q6</f>
        <v>78925</v>
      </c>
      <c r="S8" s="177">
        <f>_xlfn.IFERROR(N8-R8,0)</f>
        <v>-16858</v>
      </c>
      <c r="T8" s="158"/>
      <c r="U8" s="158"/>
    </row>
    <row customHeight="1" ht="20.25">
      <c r="A9" s="112"/>
      <c r="B9" s="167"/>
      <c r="C9" s="171" t="s">
        <v>21</v>
      </c>
      <c r="D9" s="171"/>
      <c r="E9" s="171"/>
      <c r="F9" s="168"/>
      <c r="G9" s="178"/>
      <c r="H9" s="175"/>
      <c r="I9" s="175"/>
      <c r="J9" s="176"/>
      <c r="K9" s="176"/>
      <c r="L9" s="176"/>
      <c r="M9" s="174"/>
      <c r="N9" s="175">
        <f>_xlfn.IFERROR(SUM(取值!M6,取值!M53),"")</f>
        <v>62067</v>
      </c>
      <c r="O9" s="176">
        <f>_xlfn.IFERROR(N9/M9*100,0)</f>
        <v>0</v>
      </c>
      <c r="P9" s="176">
        <f>_xlfn.IFERROR(M9-N9,0)</f>
        <v>-62067</v>
      </c>
      <c r="Q9" s="176">
        <f>_xlfn.IFERROR(P9/取值!G38,0)</f>
        <v>-173.371508379888</v>
      </c>
      <c r="R9" s="175"/>
      <c r="S9" s="177"/>
      <c r="T9" s="158"/>
      <c r="U9" s="158"/>
    </row>
    <row customHeight="1" ht="20.25">
      <c r="A10" s="112"/>
      <c r="B10" s="167"/>
      <c r="C10" s="171" t="s">
        <v>22</v>
      </c>
      <c r="D10" s="171"/>
      <c r="E10" s="171"/>
      <c r="F10" s="168" t="s">
        <v>19</v>
      </c>
      <c r="G10" s="174">
        <v>124000</v>
      </c>
      <c r="H10" s="175">
        <f>取值!G7</f>
        <v>4053</v>
      </c>
      <c r="I10" s="175">
        <f>取值!H7</f>
        <v>27187</v>
      </c>
      <c r="J10" s="176">
        <f>_xlfn.IFERROR(I10/G10*100,"")</f>
        <v>21.925</v>
      </c>
      <c r="K10" s="176">
        <f>_xlfn.IFERROR(G10-I10,0)</f>
        <v>96813</v>
      </c>
      <c r="L10" s="176">
        <f>_xlfn.IFERROR(K10/取值!F38,0)</f>
        <v>4033.875</v>
      </c>
      <c r="M10" s="174">
        <v>0</v>
      </c>
      <c r="N10" s="175">
        <f>取值!M7</f>
        <v>27187</v>
      </c>
      <c r="O10" s="176">
        <f>_xlfn.IFERROR(N10/M10*100,0)</f>
        <v>0</v>
      </c>
      <c r="P10" s="176">
        <f>_xlfn.IFERROR(M10-N10,0)</f>
        <v>-27187</v>
      </c>
      <c r="Q10" s="176">
        <f>_xlfn.IFERROR(P10/取值!G38,0)</f>
        <v>-75.9413407821229</v>
      </c>
      <c r="R10" s="175">
        <f>取值!Q7</f>
        <v>30494</v>
      </c>
      <c r="S10" s="177">
        <f>_xlfn.IFERROR(N10-R10,0)</f>
        <v>-3307</v>
      </c>
      <c r="T10" s="158"/>
      <c r="U10" s="158"/>
    </row>
    <row customHeight="1" ht="20.25">
      <c r="A11" s="112"/>
      <c r="B11" s="167"/>
      <c r="C11" s="171" t="s">
        <v>23</v>
      </c>
      <c r="D11" s="171"/>
      <c r="E11" s="171"/>
      <c r="F11" s="168" t="s">
        <v>19</v>
      </c>
      <c r="G11" s="174">
        <v>156000</v>
      </c>
      <c r="H11" s="175">
        <f>取值!G8</f>
        <v>5141</v>
      </c>
      <c r="I11" s="175">
        <f>取值!H8</f>
        <v>34880</v>
      </c>
      <c r="J11" s="176">
        <f>_xlfn.IFERROR(I11/G11*100,"")</f>
        <v>22.3589743589744</v>
      </c>
      <c r="K11" s="176">
        <f>_xlfn.IFERROR(G11-I11,0)</f>
        <v>121120</v>
      </c>
      <c r="L11" s="176">
        <f>_xlfn.IFERROR(K11/取值!F38,0)</f>
        <v>5046.66666666667</v>
      </c>
      <c r="M11" s="174">
        <v>0</v>
      </c>
      <c r="N11" s="175">
        <f>取值!M8</f>
        <v>34880</v>
      </c>
      <c r="O11" s="176">
        <f>_xlfn.IFERROR(N11/M11*100,0)</f>
        <v>0</v>
      </c>
      <c r="P11" s="176">
        <f>_xlfn.IFERROR(M11-N11,0)</f>
        <v>-34880</v>
      </c>
      <c r="Q11" s="176">
        <f>_xlfn.IFERROR(P11/取值!G38,0)</f>
        <v>-97.4301675977654</v>
      </c>
      <c r="R11" s="175">
        <f>取值!Q8</f>
        <v>48431</v>
      </c>
      <c r="S11" s="177">
        <f>_xlfn.IFERROR(N11-R11,0)</f>
        <v>-13551</v>
      </c>
      <c r="T11" s="158"/>
      <c r="U11" s="158"/>
    </row>
    <row customHeight="1" ht="20.25">
      <c r="A12" s="112"/>
      <c r="B12" s="167">
        <v>2</v>
      </c>
      <c r="C12" s="171" t="s">
        <v>24</v>
      </c>
      <c r="D12" s="171"/>
      <c r="E12" s="171"/>
      <c r="F12" s="168" t="s">
        <v>19</v>
      </c>
      <c r="G12" s="174">
        <v>96000</v>
      </c>
      <c r="H12" s="175">
        <f>取值!G9</f>
        <v>3733</v>
      </c>
      <c r="I12" s="175">
        <f>取值!H9</f>
        <v>26723</v>
      </c>
      <c r="J12" s="176">
        <f>_xlfn.IFERROR(I12/G12*100,"")</f>
        <v>27.8364583333333</v>
      </c>
      <c r="K12" s="176">
        <f>_xlfn.IFERROR(G12-I12,0)</f>
        <v>69277</v>
      </c>
      <c r="L12" s="176">
        <f>_xlfn.IFERROR(K12/取值!F38,0)</f>
        <v>2886.54166666667</v>
      </c>
      <c r="M12" s="174">
        <v>0</v>
      </c>
      <c r="N12" s="175">
        <f>取值!M9</f>
        <v>26723</v>
      </c>
      <c r="O12" s="176">
        <f>_xlfn.IFERROR(N12/M12*100,0)</f>
        <v>0</v>
      </c>
      <c r="P12" s="176">
        <f>_xlfn.IFERROR(M12-N12,0)</f>
        <v>-26723</v>
      </c>
      <c r="Q12" s="176">
        <f>_xlfn.IFERROR(P12/取值!G38,0)</f>
        <v>-74.645251396648</v>
      </c>
      <c r="R12" s="175">
        <f>取值!Q9</f>
        <v>26580</v>
      </c>
      <c r="S12" s="177">
        <f>_xlfn.IFERROR(N12-R12,0)</f>
        <v>143</v>
      </c>
      <c r="T12" s="158"/>
      <c r="U12" s="158"/>
    </row>
    <row customHeight="1" ht="20.25">
      <c r="A13" s="112"/>
      <c r="B13" s="167"/>
      <c r="C13" s="171" t="s">
        <v>25</v>
      </c>
      <c r="D13" s="171"/>
      <c r="E13" s="171"/>
      <c r="F13" s="168" t="s">
        <v>19</v>
      </c>
      <c r="G13" s="174">
        <v>96000</v>
      </c>
      <c r="H13" s="172">
        <f>取值!G10</f>
        <v>3431</v>
      </c>
      <c r="I13" s="172">
        <f>取值!H10</f>
        <v>24621</v>
      </c>
      <c r="J13" s="176">
        <f>_xlfn.IFERROR(I13/G13*100,"")</f>
        <v>25.646875</v>
      </c>
      <c r="K13" s="176">
        <f>_xlfn.IFERROR(G13-I13,0)</f>
        <v>71379</v>
      </c>
      <c r="L13" s="176">
        <f>_xlfn.IFERROR(K13/取值!F38,0)</f>
        <v>2974.125</v>
      </c>
      <c r="M13" s="174">
        <v>0</v>
      </c>
      <c r="N13" s="175">
        <f>取值!M10</f>
        <v>24621</v>
      </c>
      <c r="O13" s="176">
        <f>_xlfn.IFERROR(N13/M13*100,0)</f>
        <v>0</v>
      </c>
      <c r="P13" s="176">
        <f>_xlfn.IFERROR(M13-N13,0)</f>
        <v>-24621</v>
      </c>
      <c r="Q13" s="176">
        <f>_xlfn.IFERROR(P13/取值!G38,0)</f>
        <v>-68.7737430167598</v>
      </c>
      <c r="R13" s="175">
        <f>取值!Q10</f>
        <v>24661</v>
      </c>
      <c r="S13" s="177">
        <f>_xlfn.IFERROR(N13-R13,0)</f>
        <v>-40</v>
      </c>
      <c r="T13" s="158"/>
      <c r="U13" s="158"/>
    </row>
    <row customHeight="1" ht="20.25">
      <c r="A14" s="112"/>
      <c r="B14" s="167">
        <v>3</v>
      </c>
      <c r="C14" s="171" t="s">
        <v>26</v>
      </c>
      <c r="D14" s="171"/>
      <c r="E14" s="171"/>
      <c r="F14" s="168" t="s">
        <v>19</v>
      </c>
      <c r="G14" s="174">
        <v>18000</v>
      </c>
      <c r="H14" s="175">
        <f>取值!G11</f>
        <v>617</v>
      </c>
      <c r="I14" s="175">
        <f>取值!H11</f>
        <v>4266</v>
      </c>
      <c r="J14" s="176">
        <f>_xlfn.IFERROR(I14/G14*100,"")</f>
        <v>23.7</v>
      </c>
      <c r="K14" s="176">
        <f>_xlfn.IFERROR(G14-I14,0)</f>
        <v>13734</v>
      </c>
      <c r="L14" s="176">
        <f>_xlfn.IFERROR(K14/取值!F38,0)</f>
        <v>572.25</v>
      </c>
      <c r="M14" s="174">
        <v>0</v>
      </c>
      <c r="N14" s="175">
        <f>取值!M11</f>
        <v>4266</v>
      </c>
      <c r="O14" s="176">
        <f>_xlfn.IFERROR(N14/M14*100,0)</f>
        <v>0</v>
      </c>
      <c r="P14" s="176">
        <f>_xlfn.IFERROR(M14-N14,0)</f>
        <v>-4266</v>
      </c>
      <c r="Q14" s="176">
        <f>_xlfn.IFERROR(P14/取值!G38,0)</f>
        <v>-11.9162011173184</v>
      </c>
      <c r="R14" s="175">
        <f>取值!Q11</f>
        <v>4360</v>
      </c>
      <c r="S14" s="177">
        <f>_xlfn.IFERROR(N14-R14,0)</f>
        <v>-94</v>
      </c>
      <c r="T14" s="158"/>
      <c r="U14" s="158"/>
    </row>
    <row customHeight="1" ht="20.25">
      <c r="A15" s="112"/>
      <c r="B15" s="167">
        <v>4</v>
      </c>
      <c r="C15" s="171" t="s">
        <v>27</v>
      </c>
      <c r="D15" s="171"/>
      <c r="E15" s="171"/>
      <c r="F15" s="168" t="s">
        <v>19</v>
      </c>
      <c r="G15" s="174">
        <v>10526</v>
      </c>
      <c r="H15" s="175">
        <f>取值!G12</f>
        <v>495</v>
      </c>
      <c r="I15" s="175">
        <f>取值!H12</f>
        <v>3554</v>
      </c>
      <c r="J15" s="176">
        <f>_xlfn.IFERROR(I15/G15*100,"")</f>
        <v>33.7640129203876</v>
      </c>
      <c r="K15" s="176">
        <f>_xlfn.IFERROR(G15-I15,0)</f>
        <v>6972</v>
      </c>
      <c r="L15" s="176">
        <f>_xlfn.IFERROR(K15/取值!F38,0)</f>
        <v>290.5</v>
      </c>
      <c r="M15" s="174">
        <v>0</v>
      </c>
      <c r="N15" s="175">
        <f>取值!M12</f>
        <v>3554</v>
      </c>
      <c r="O15" s="176">
        <f>_xlfn.IFERROR(N15/M15*100,0)</f>
        <v>0</v>
      </c>
      <c r="P15" s="176">
        <f>_xlfn.IFERROR(M15-N15,0)</f>
        <v>-3554</v>
      </c>
      <c r="Q15" s="176">
        <f>_xlfn.IFERROR(P15/取值!G38,0)</f>
        <v>-9.92737430167598</v>
      </c>
      <c r="R15" s="175">
        <f>取值!Q12</f>
        <v>4029</v>
      </c>
      <c r="S15" s="177">
        <f>_xlfn.IFERROR(N15-R15,0)</f>
        <v>-475</v>
      </c>
      <c r="T15" s="158"/>
      <c r="U15" s="158"/>
    </row>
    <row customHeight="1" ht="20.25">
      <c r="A16" s="112"/>
      <c r="B16" s="167">
        <v>5</v>
      </c>
      <c r="C16" s="171" t="s">
        <v>28</v>
      </c>
      <c r="D16" s="171"/>
      <c r="E16" s="171"/>
      <c r="F16" s="168" t="s">
        <v>19</v>
      </c>
      <c r="G16" s="174">
        <v>47000</v>
      </c>
      <c r="H16" s="175">
        <f>取值!G13</f>
        <v>1806</v>
      </c>
      <c r="I16" s="175">
        <f>取值!H13</f>
        <v>12962</v>
      </c>
      <c r="J16" s="176">
        <f>_xlfn.IFERROR(I16/G16*100,"")</f>
        <v>27.5787234042553</v>
      </c>
      <c r="K16" s="176">
        <f>_xlfn.IFERROR(G16-I16,0)</f>
        <v>34038</v>
      </c>
      <c r="L16" s="176">
        <f>_xlfn.IFERROR(K16/取值!F38,0)</f>
        <v>1418.25</v>
      </c>
      <c r="M16" s="174">
        <v>0</v>
      </c>
      <c r="N16" s="175">
        <f>取值!M13</f>
        <v>12962</v>
      </c>
      <c r="O16" s="176">
        <f>_xlfn.IFERROR(N16/M16*100,0)</f>
        <v>0</v>
      </c>
      <c r="P16" s="176">
        <f>_xlfn.IFERROR(M16-N16,0)</f>
        <v>-12962</v>
      </c>
      <c r="Q16" s="176">
        <f>_xlfn.IFERROR(P16/取值!G38,0)</f>
        <v>-36.2067039106145</v>
      </c>
      <c r="R16" s="175">
        <f>取值!Q13</f>
        <v>13426</v>
      </c>
      <c r="S16" s="177">
        <f>_xlfn.IFERROR(N16-R16,0)</f>
        <v>-464</v>
      </c>
      <c r="T16" s="158"/>
      <c r="U16" s="158"/>
    </row>
    <row customHeight="1" ht="20.25">
      <c r="A17" s="112"/>
      <c r="B17" s="167">
        <v>6</v>
      </c>
      <c r="C17" s="171" t="s">
        <v>29</v>
      </c>
      <c r="D17" s="171"/>
      <c r="E17" s="171"/>
      <c r="F17" s="168" t="s">
        <v>19</v>
      </c>
      <c r="G17" s="174">
        <v>102000</v>
      </c>
      <c r="H17" s="175">
        <f>取值!G14</f>
        <v>2830</v>
      </c>
      <c r="I17" s="175">
        <f>取值!H14</f>
        <v>23859</v>
      </c>
      <c r="J17" s="176">
        <f>_xlfn.IFERROR(I17/G17*100,"")</f>
        <v>23.3911764705882</v>
      </c>
      <c r="K17" s="176">
        <f>_xlfn.IFERROR(G17-I17,0)</f>
        <v>78141</v>
      </c>
      <c r="L17" s="176">
        <f>_xlfn.IFERROR(K17/取值!F38,0)</f>
        <v>3255.875</v>
      </c>
      <c r="M17" s="174">
        <v>0</v>
      </c>
      <c r="N17" s="175">
        <f>取值!M14</f>
        <v>23859</v>
      </c>
      <c r="O17" s="176">
        <f>_xlfn.IFERROR(N17/M17*100,0)</f>
        <v>0</v>
      </c>
      <c r="P17" s="176">
        <f>_xlfn.IFERROR(M17-N17,0)</f>
        <v>-23859</v>
      </c>
      <c r="Q17" s="176">
        <f>_xlfn.IFERROR(P17/取值!G38,0)</f>
        <v>-66.645251396648</v>
      </c>
      <c r="R17" s="175">
        <f>取值!Q14</f>
        <v>27784</v>
      </c>
      <c r="S17" s="177">
        <f>_xlfn.IFERROR(N17-R17,0)</f>
        <v>-3925</v>
      </c>
      <c r="T17" s="158"/>
      <c r="U17" s="158"/>
    </row>
    <row customHeight="1" ht="20.25">
      <c r="A18" s="112"/>
      <c r="B18" s="167" t="s">
        <v>30</v>
      </c>
      <c r="C18" s="171" t="s">
        <v>31</v>
      </c>
      <c r="D18" s="171"/>
      <c r="E18" s="171"/>
      <c r="F18" s="168"/>
      <c r="G18" s="172"/>
      <c r="H18" s="172"/>
      <c r="I18" s="172"/>
      <c r="J18" s="179"/>
      <c r="K18" s="179"/>
      <c r="L18" s="179"/>
      <c r="M18" s="172"/>
      <c r="N18" s="172"/>
      <c r="O18" s="179"/>
      <c r="P18" s="179"/>
      <c r="Q18" s="179"/>
      <c r="R18" s="172"/>
      <c r="S18" s="177">
        <f>N18-R18</f>
        <v>0</v>
      </c>
      <c r="T18" s="158"/>
      <c r="U18" s="158"/>
    </row>
    <row customHeight="1" ht="20.25">
      <c r="A19" s="112"/>
      <c r="B19" s="167">
        <v>7</v>
      </c>
      <c r="C19" s="171" t="s">
        <v>32</v>
      </c>
      <c r="D19" s="171"/>
      <c r="E19" s="171"/>
      <c r="F19" s="168" t="s">
        <v>19</v>
      </c>
      <c r="G19" s="174">
        <v>72000</v>
      </c>
      <c r="H19" s="175">
        <f>SUM(取值!G16,取值!G17,取值!G18)</f>
        <v>3565</v>
      </c>
      <c r="I19" s="175">
        <f>SUM(取值!H16,取值!H17,取值!H18)</f>
        <v>17294</v>
      </c>
      <c r="J19" s="176">
        <f>_xlfn.IFERROR(I19/G19*100,"")</f>
        <v>24.0194444444444</v>
      </c>
      <c r="K19" s="176">
        <f>_xlfn.IFERROR(G19-I19,0)</f>
        <v>54706</v>
      </c>
      <c r="L19" s="176">
        <f>_xlfn.IFERROR(K19/取值!F38,0)</f>
        <v>2279.41666666667</v>
      </c>
      <c r="M19" s="174">
        <v>0</v>
      </c>
      <c r="N19" s="175">
        <f>SUM(取值!M16,取值!M17,取值!M18)</f>
        <v>17294</v>
      </c>
      <c r="O19" s="176">
        <f>_xlfn.IFERROR(N19/M19*100,0)</f>
        <v>0</v>
      </c>
      <c r="P19" s="176">
        <f>_xlfn.IFERROR(M19-N19,0)</f>
        <v>-17294</v>
      </c>
      <c r="Q19" s="176">
        <f>_xlfn.IFERROR(P19/取值!G38,0)</f>
        <v>-48.3072625698324</v>
      </c>
      <c r="R19" s="175">
        <f>SUM(取值!Q16,取值!Q17,取值!Q18)</f>
        <v>21402</v>
      </c>
      <c r="S19" s="177">
        <f>_xlfn.IFERROR(N19-R19,0)</f>
        <v>-4108</v>
      </c>
      <c r="T19" s="158"/>
      <c r="U19" s="158"/>
    </row>
    <row customHeight="1" ht="20.25">
      <c r="A20" s="112"/>
      <c r="B20" s="167">
        <v>8</v>
      </c>
      <c r="C20" s="171" t="s">
        <v>33</v>
      </c>
      <c r="D20" s="171"/>
      <c r="E20" s="171"/>
      <c r="F20" s="168" t="s">
        <v>19</v>
      </c>
      <c r="G20" s="174">
        <v>88000</v>
      </c>
      <c r="H20" s="175">
        <f>SUM(取值!G19,取值!G20,取值!G21,取值!G22)</f>
        <v>3427</v>
      </c>
      <c r="I20" s="175">
        <f>SUM(取值!H19,取值!H20,取值!H21,取值!H22)</f>
        <v>19647</v>
      </c>
      <c r="J20" s="176">
        <f>_xlfn.IFERROR(I20/G20*100,"")</f>
        <v>22.3261363636364</v>
      </c>
      <c r="K20" s="176">
        <f>_xlfn.IFERROR(G20-I20,0)</f>
        <v>68353</v>
      </c>
      <c r="L20" s="176">
        <f>_xlfn.IFERROR(K20/取值!F38,0)</f>
        <v>2848.04166666667</v>
      </c>
      <c r="M20" s="174">
        <v>0</v>
      </c>
      <c r="N20" s="180">
        <f>SUM(取值!M19,取值!M20,取值!M21,取值!M22)</f>
        <v>19647</v>
      </c>
      <c r="O20" s="176">
        <f>_xlfn.IFERROR(N20/M20*100,0)</f>
        <v>0</v>
      </c>
      <c r="P20" s="176">
        <f>_xlfn.IFERROR(M20-N20,0)</f>
        <v>-19647</v>
      </c>
      <c r="Q20" s="176">
        <f>_xlfn.IFERROR(P20/取值!G38,0)</f>
        <v>-54.8798882681564</v>
      </c>
      <c r="R20" s="181">
        <f>SUM(取值!Q19,取值!Q20,取值!Q21,取值!Q22)</f>
        <v>19720</v>
      </c>
      <c r="S20" s="177">
        <f>_xlfn.IFERROR(N20-R20,0)</f>
        <v>-73</v>
      </c>
      <c r="T20" s="158"/>
      <c r="U20" s="158"/>
    </row>
    <row customHeight="1" ht="20.25">
      <c r="A21" s="112"/>
      <c r="B21" s="167">
        <v>9</v>
      </c>
      <c r="C21" s="171" t="s">
        <v>34</v>
      </c>
      <c r="D21" s="171"/>
      <c r="E21" s="171"/>
      <c r="F21" s="168" t="s">
        <v>19</v>
      </c>
      <c r="G21" s="174">
        <v>15700</v>
      </c>
      <c r="H21" s="175">
        <f>取值!G23</f>
        <v>709</v>
      </c>
      <c r="I21" s="175">
        <f>取值!H23</f>
        <v>3190</v>
      </c>
      <c r="J21" s="176">
        <f>_xlfn.IFERROR(I21/G21*100,"")</f>
        <v>20.3184713375796</v>
      </c>
      <c r="K21" s="176">
        <f>_xlfn.IFERROR(G21-I21,0)</f>
        <v>12510</v>
      </c>
      <c r="L21" s="176">
        <f>_xlfn.IFERROR(K21/取值!F38,0)</f>
        <v>521.25</v>
      </c>
      <c r="M21" s="174">
        <v>0</v>
      </c>
      <c r="N21" s="180">
        <f>取值!M23</f>
        <v>3190</v>
      </c>
      <c r="O21" s="176">
        <f>_xlfn.IFERROR(N21/M21*100,0)</f>
        <v>0</v>
      </c>
      <c r="P21" s="176">
        <f>_xlfn.IFERROR(M21-N21,0)</f>
        <v>-3190</v>
      </c>
      <c r="Q21" s="176">
        <f>_xlfn.IFERROR(P21/取值!G38,0)</f>
        <v>-8.91061452513966</v>
      </c>
      <c r="R21" s="175">
        <f>取值!Q23</f>
        <v>4388</v>
      </c>
      <c r="S21" s="177">
        <f>_xlfn.IFERROR(N21-R21,0)</f>
        <v>-1198</v>
      </c>
      <c r="T21" s="158"/>
      <c r="U21" s="158"/>
    </row>
    <row customHeight="1" ht="20.25">
      <c r="A22" s="112"/>
      <c r="B22" s="167">
        <v>10</v>
      </c>
      <c r="C22" s="171" t="s">
        <v>35</v>
      </c>
      <c r="D22" s="171"/>
      <c r="E22" s="171"/>
      <c r="F22" s="168" t="s">
        <v>19</v>
      </c>
      <c r="G22" s="174">
        <v>35900</v>
      </c>
      <c r="H22" s="175">
        <f>取值!G24</f>
        <v>657</v>
      </c>
      <c r="I22" s="175">
        <f>取值!H24</f>
        <v>3839</v>
      </c>
      <c r="J22" s="176">
        <f>_xlfn.IFERROR(I22/G22*100,"")</f>
        <v>10.6935933147632</v>
      </c>
      <c r="K22" s="176">
        <f>_xlfn.IFERROR(G22-I22,0)</f>
        <v>32061</v>
      </c>
      <c r="L22" s="176">
        <f>_xlfn.IFERROR(K22/取值!F38,0)</f>
        <v>1335.875</v>
      </c>
      <c r="M22" s="174">
        <v>0</v>
      </c>
      <c r="N22" s="180">
        <f>取值!M24</f>
        <v>3839</v>
      </c>
      <c r="O22" s="176">
        <f>_xlfn.IFERROR(N22/M22*100,0)</f>
        <v>0</v>
      </c>
      <c r="P22" s="176">
        <f>_xlfn.IFERROR(M22-N22,0)</f>
        <v>-3839</v>
      </c>
      <c r="Q22" s="176">
        <f>_xlfn.IFERROR(P22/取值!G38,0)</f>
        <v>-10.7234636871508</v>
      </c>
      <c r="R22" s="175">
        <f>取值!Q24</f>
        <v>6219</v>
      </c>
      <c r="S22" s="177">
        <f>_xlfn.IFERROR(N22-R22,0)</f>
        <v>-2380</v>
      </c>
      <c r="T22" s="158"/>
      <c r="U22" s="158"/>
    </row>
    <row customHeight="1" ht="20.25">
      <c r="A23" s="112"/>
      <c r="B23" s="167">
        <v>11</v>
      </c>
      <c r="C23" s="171" t="s">
        <v>36</v>
      </c>
      <c r="D23" s="171"/>
      <c r="E23" s="171"/>
      <c r="F23" s="168" t="s">
        <v>19</v>
      </c>
      <c r="G23" s="174">
        <v>50000</v>
      </c>
      <c r="H23" s="175">
        <f>取值!G25</f>
        <v>1476</v>
      </c>
      <c r="I23" s="175">
        <f>取值!H25</f>
        <v>8741</v>
      </c>
      <c r="J23" s="176">
        <f>_xlfn.IFERROR(I23/G23*100,"")</f>
        <v>17.482</v>
      </c>
      <c r="K23" s="176">
        <f>_xlfn.IFERROR(G23-I23,0)</f>
        <v>41259</v>
      </c>
      <c r="L23" s="176">
        <f>_xlfn.IFERROR(K23/取值!F38,0)</f>
        <v>1719.125</v>
      </c>
      <c r="M23" s="174">
        <v>0</v>
      </c>
      <c r="N23" s="180">
        <f>取值!M25</f>
        <v>8741</v>
      </c>
      <c r="O23" s="176">
        <f>_xlfn.IFERROR(N23/M23*100,0)</f>
        <v>0</v>
      </c>
      <c r="P23" s="176">
        <f>_xlfn.IFERROR(M23-N23,0)</f>
        <v>-8741</v>
      </c>
      <c r="Q23" s="176">
        <f>_xlfn.IFERROR(P23/取值!G38,0)</f>
        <v>-24.4162011173184</v>
      </c>
      <c r="R23" s="172">
        <f>取值!Q25</f>
        <v>14596</v>
      </c>
      <c r="S23" s="177">
        <f>_xlfn.IFERROR(N23-R23,0)</f>
        <v>-5855</v>
      </c>
      <c r="T23" s="158"/>
      <c r="U23" s="158"/>
    </row>
    <row customHeight="1" ht="20.25">
      <c r="A24" s="112"/>
      <c r="B24" s="167">
        <v>12</v>
      </c>
      <c r="C24" s="171" t="s">
        <v>37</v>
      </c>
      <c r="D24" s="171"/>
      <c r="E24" s="171"/>
      <c r="F24" s="168" t="s">
        <v>19</v>
      </c>
      <c r="G24" s="174">
        <v>2300</v>
      </c>
      <c r="H24" s="175">
        <f>取值!G26</f>
        <v>0</v>
      </c>
      <c r="I24" s="175">
        <f>取值!H26</f>
        <v>0</v>
      </c>
      <c r="J24" s="176">
        <f>_xlfn.IFERROR(I24/G24*100,"")</f>
        <v>0</v>
      </c>
      <c r="K24" s="176">
        <f>_xlfn.IFERROR(G24-I24,0)</f>
        <v>2300</v>
      </c>
      <c r="L24" s="176">
        <f>_xlfn.IFERROR(K24/取值!F38,0)</f>
        <v>95.8333333333333</v>
      </c>
      <c r="M24" s="174">
        <v>0</v>
      </c>
      <c r="N24" s="180">
        <f>取值!M26</f>
        <v>0</v>
      </c>
      <c r="O24" s="176">
        <f>_xlfn.IFERROR(N24/M24*100,0)</f>
        <v>0</v>
      </c>
      <c r="P24" s="176">
        <f>_xlfn.IFERROR(M24-N24,0)</f>
        <v>0</v>
      </c>
      <c r="Q24" s="176">
        <f>_xlfn.IFERROR(P24/取值!G38,0)</f>
        <v>0</v>
      </c>
      <c r="R24" s="175">
        <f>取值!Q26</f>
        <v>251</v>
      </c>
      <c r="S24" s="177">
        <f>_xlfn.IFERROR(N24-R24,0)</f>
        <v>-251</v>
      </c>
      <c r="T24" s="158"/>
      <c r="U24" s="158"/>
    </row>
    <row customHeight="1" ht="20.25">
      <c r="A25" s="112"/>
      <c r="B25" s="167" t="s">
        <v>38</v>
      </c>
      <c r="C25" s="171" t="s">
        <v>39</v>
      </c>
      <c r="D25" s="171"/>
      <c r="E25" s="171"/>
      <c r="F25" s="168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7">
        <f>N25-R25</f>
        <v>0</v>
      </c>
      <c r="T25" s="158"/>
      <c r="U25" s="158"/>
    </row>
    <row customHeight="1" ht="20.25" hidden="1">
      <c r="A26" s="112"/>
      <c r="B26" s="167">
        <v>14</v>
      </c>
      <c r="C26" s="171" t="s">
        <v>40</v>
      </c>
      <c r="D26" s="171"/>
      <c r="E26" s="171"/>
      <c r="F26" s="168" t="s">
        <v>41</v>
      </c>
      <c r="G26" s="182">
        <v>70.22</v>
      </c>
      <c r="H26" s="182">
        <v>81.19</v>
      </c>
      <c r="I26" s="182">
        <v>83.33</v>
      </c>
      <c r="J26" s="176">
        <f>_xlfn.IFERROR(I26-G26,"")</f>
        <v>13.11</v>
      </c>
      <c r="K26" s="176"/>
      <c r="L26" s="176"/>
      <c r="M26" s="182">
        <v>0</v>
      </c>
      <c r="N26" s="182">
        <v>83.33</v>
      </c>
      <c r="O26" s="176">
        <f>_xlfn.IFERROR(N26-M26,"")</f>
        <v>83.33</v>
      </c>
      <c r="P26" s="176"/>
      <c r="Q26" s="176"/>
      <c r="R26" s="183">
        <f>_xlfn.IFERROR(ROUND(取值!Q28/完成情况!R8*100,2),"")</f>
        <v>74.34</v>
      </c>
      <c r="S26" s="184">
        <f>_xlfn.IFERROR(N26-R26,0)</f>
        <v>8.99</v>
      </c>
      <c r="T26" s="158"/>
      <c r="U26" s="158"/>
    </row>
    <row customHeight="1" ht="20.25">
      <c r="A27" s="112"/>
      <c r="B27" s="167">
        <v>14</v>
      </c>
      <c r="C27" s="171" t="s">
        <v>42</v>
      </c>
      <c r="D27" s="171"/>
      <c r="E27" s="171"/>
      <c r="F27" s="168" t="s">
        <v>41</v>
      </c>
      <c r="G27" s="182">
        <v>47.6</v>
      </c>
      <c r="H27" s="182">
        <v>49.04</v>
      </c>
      <c r="I27" s="182">
        <v>49.12</v>
      </c>
      <c r="J27" s="176">
        <f>_xlfn.IFERROR(I27-G27,"")</f>
        <v>1.52</v>
      </c>
      <c r="K27" s="176"/>
      <c r="L27" s="176"/>
      <c r="M27" s="182">
        <v>0</v>
      </c>
      <c r="N27" s="182">
        <v>49.12</v>
      </c>
      <c r="O27" s="176">
        <f>_xlfn.IFERROR(N27-M27,"")</f>
        <v>49.12</v>
      </c>
      <c r="P27" s="176"/>
      <c r="Q27" s="176"/>
      <c r="R27" s="176">
        <f>_xlfn.IFERROR(ROUND(取值!Q29,2),"")</f>
        <v>47.95</v>
      </c>
      <c r="S27" s="184">
        <f>_xlfn.IFERROR(N27-R27,0)</f>
        <v>1.17</v>
      </c>
      <c r="T27" s="158"/>
      <c r="U27" s="158"/>
    </row>
    <row customHeight="1" ht="20.25">
      <c r="A28" s="112"/>
      <c r="B28" s="167">
        <v>15</v>
      </c>
      <c r="C28" s="171" t="s">
        <v>43</v>
      </c>
      <c r="D28" s="171"/>
      <c r="E28" s="171"/>
      <c r="F28" s="168" t="s">
        <v>41</v>
      </c>
      <c r="G28" s="182">
        <v>86.3</v>
      </c>
      <c r="H28" s="176">
        <f>_xlfn.IFERROR(SUM(H29,H30),0)</f>
        <v>87.22</v>
      </c>
      <c r="I28" s="176">
        <f>_xlfn.IFERROR(SUM(I29,I30),0)</f>
        <v>87.22</v>
      </c>
      <c r="J28" s="176">
        <f>_xlfn.IFERROR(I28-G28,"")</f>
        <v>0.92</v>
      </c>
      <c r="K28" s="176"/>
      <c r="L28" s="176"/>
      <c r="M28" s="182">
        <v>0</v>
      </c>
      <c r="N28" s="176">
        <f>_xlfn.IFERROR(SUM(N29,N30),0)</f>
        <v>87.22</v>
      </c>
      <c r="O28" s="176">
        <f>_xlfn.IFERROR(N28-M28,"")</f>
        <v>87.22</v>
      </c>
      <c r="P28" s="176"/>
      <c r="Q28" s="176"/>
      <c r="R28" s="176">
        <f>_xlfn.IFERROR(SUM(R29,R30),0)</f>
        <v>86.93</v>
      </c>
      <c r="S28" s="184">
        <f>_xlfn.IFERROR(N28-R28,0)</f>
        <v>0.28999999999999</v>
      </c>
      <c r="T28" s="158"/>
      <c r="U28" s="158"/>
    </row>
    <row customHeight="1" ht="20.25">
      <c r="A29" s="112"/>
      <c r="B29" s="167"/>
      <c r="C29" s="171" t="s">
        <v>44</v>
      </c>
      <c r="D29" s="171"/>
      <c r="E29" s="171"/>
      <c r="F29" s="168" t="s">
        <v>41</v>
      </c>
      <c r="G29" s="182">
        <v>69.9</v>
      </c>
      <c r="H29" s="182">
        <v>70.56</v>
      </c>
      <c r="I29" s="182">
        <v>71.2</v>
      </c>
      <c r="J29" s="176">
        <f>_xlfn.IFERROR(I29-G29,"")</f>
        <v>1.3</v>
      </c>
      <c r="K29" s="176"/>
      <c r="L29" s="176"/>
      <c r="M29" s="182">
        <v>0</v>
      </c>
      <c r="N29" s="182">
        <v>71.2</v>
      </c>
      <c r="O29" s="176">
        <f>_xlfn.IFERROR(N29-M29,"")</f>
        <v>71.2</v>
      </c>
      <c r="P29" s="176"/>
      <c r="Q29" s="176"/>
      <c r="R29" s="176">
        <f>_xlfn.IFERROR(ROUND(取值!Q31/完成情况!R12*100,2),"")</f>
        <v>70.02</v>
      </c>
      <c r="S29" s="184">
        <f>_xlfn.IFERROR(N29-R29,0)</f>
        <v>1.18</v>
      </c>
      <c r="T29" s="158"/>
      <c r="U29" s="158"/>
    </row>
    <row customHeight="1" ht="20.25">
      <c r="A30" s="112"/>
      <c r="B30" s="167"/>
      <c r="C30" s="171" t="s">
        <v>45</v>
      </c>
      <c r="D30" s="171"/>
      <c r="E30" s="171"/>
      <c r="F30" s="168" t="s">
        <v>41</v>
      </c>
      <c r="G30" s="182">
        <v>16.4</v>
      </c>
      <c r="H30" s="182">
        <v>16.66</v>
      </c>
      <c r="I30" s="182">
        <v>16.02</v>
      </c>
      <c r="J30" s="176">
        <f>_xlfn.IFERROR(I30-G30,"")</f>
        <v>-0.38</v>
      </c>
      <c r="K30" s="176"/>
      <c r="L30" s="176"/>
      <c r="M30" s="182">
        <v>0</v>
      </c>
      <c r="N30" s="182">
        <v>16.02</v>
      </c>
      <c r="O30" s="176">
        <f>_xlfn.IFERROR(N30-M30,"")</f>
        <v>16.02</v>
      </c>
      <c r="P30" s="176"/>
      <c r="Q30" s="176"/>
      <c r="R30" s="176">
        <f>_xlfn.IFERROR(ROUND(取值!Q32/完成情况!R12*100,2),"")</f>
        <v>16.91</v>
      </c>
      <c r="S30" s="184">
        <f>_xlfn.IFERROR(N30-R30,0)</f>
        <v>-0.89</v>
      </c>
      <c r="T30" s="158"/>
      <c r="U30" s="158"/>
    </row>
    <row customHeight="1" ht="20.25">
      <c r="A31" s="112"/>
      <c r="B31" s="167">
        <v>16</v>
      </c>
      <c r="C31" s="171" t="s">
        <v>46</v>
      </c>
      <c r="D31" s="171"/>
      <c r="E31" s="171"/>
      <c r="F31" s="168" t="s">
        <v>41</v>
      </c>
      <c r="G31" s="182">
        <v>92.9</v>
      </c>
      <c r="H31" s="182">
        <v>93.35</v>
      </c>
      <c r="I31" s="182">
        <v>93.46</v>
      </c>
      <c r="J31" s="176">
        <f>_xlfn.IFERROR(I31-G31,"")</f>
        <v>0.559999999999988</v>
      </c>
      <c r="K31" s="176"/>
      <c r="L31" s="176"/>
      <c r="M31" s="182">
        <v>0</v>
      </c>
      <c r="N31" s="182">
        <v>93.46</v>
      </c>
      <c r="O31" s="176">
        <f>_xlfn.IFERROR(N31-M31,"")</f>
        <v>93.46</v>
      </c>
      <c r="P31" s="176"/>
      <c r="Q31" s="176"/>
      <c r="R31" s="176">
        <f>_xlfn.IFERROR(ROUND(取值!Q33/完成情况!R14*100,2),"")</f>
        <v>93.35</v>
      </c>
      <c r="S31" s="184">
        <f>_xlfn.IFERROR(N31-R31,0)</f>
        <v>0.11</v>
      </c>
      <c r="T31" s="158"/>
      <c r="U31" s="158"/>
    </row>
    <row customHeight="1" ht="20.25">
      <c r="A32" s="112"/>
      <c r="B32" s="167">
        <v>17</v>
      </c>
      <c r="C32" s="171" t="s">
        <v>47</v>
      </c>
      <c r="D32" s="171"/>
      <c r="E32" s="171"/>
      <c r="F32" s="168" t="s">
        <v>41</v>
      </c>
      <c r="G32" s="182">
        <v>98</v>
      </c>
      <c r="H32" s="182">
        <v>98.59</v>
      </c>
      <c r="I32" s="182">
        <v>98.51</v>
      </c>
      <c r="J32" s="176">
        <f>_xlfn.IFERROR(I32-G32,"")</f>
        <v>0.51000000000001</v>
      </c>
      <c r="K32" s="176"/>
      <c r="L32" s="176"/>
      <c r="M32" s="182">
        <v>0</v>
      </c>
      <c r="N32" s="182">
        <v>98.51</v>
      </c>
      <c r="O32" s="176">
        <f>_xlfn.IFERROR(N32-M32,"")</f>
        <v>98.51</v>
      </c>
      <c r="P32" s="176"/>
      <c r="Q32" s="176"/>
      <c r="R32" s="176">
        <f>_xlfn.IFERROR(ROUND(取值!Q34/完成情况!R15*100,2),"")</f>
        <v>98.49</v>
      </c>
      <c r="S32" s="184">
        <f>_xlfn.IFERROR(N32-R32,0)</f>
        <v>0.0200000000000102</v>
      </c>
      <c r="T32" s="158"/>
      <c r="U32" s="158"/>
    </row>
    <row customHeight="1" ht="20.25">
      <c r="A33" s="112"/>
      <c r="B33" s="167">
        <v>18</v>
      </c>
      <c r="C33" s="171" t="s">
        <v>48</v>
      </c>
      <c r="D33" s="171"/>
      <c r="E33" s="171"/>
      <c r="F33" s="168" t="s">
        <v>41</v>
      </c>
      <c r="G33" s="182">
        <v>98.5</v>
      </c>
      <c r="H33" s="182">
        <v>98.89</v>
      </c>
      <c r="I33" s="182">
        <v>98.89</v>
      </c>
      <c r="J33" s="176">
        <f>_xlfn.IFERROR(I33-G33,"")</f>
        <v>0.39</v>
      </c>
      <c r="K33" s="176"/>
      <c r="L33" s="176"/>
      <c r="M33" s="182">
        <v>0</v>
      </c>
      <c r="N33" s="182">
        <v>98.89</v>
      </c>
      <c r="O33" s="176">
        <f>_xlfn.IFERROR(N33-M33,"")</f>
        <v>98.89</v>
      </c>
      <c r="P33" s="176"/>
      <c r="Q33" s="176"/>
      <c r="R33" s="176">
        <f>_xlfn.IFERROR(ROUND(取值!Q35/完成情况!R16*100,2),"")</f>
        <v>98.88</v>
      </c>
      <c r="S33" s="184">
        <f>_xlfn.IFERROR(N33-R33,0)</f>
        <v>0.010000000000005</v>
      </c>
      <c r="T33" s="158"/>
      <c r="U33" s="158"/>
    </row>
    <row customHeight="1" ht="20.25">
      <c r="A34" s="185"/>
      <c r="B34" s="167">
        <v>19</v>
      </c>
      <c r="C34" s="171" t="s">
        <v>49</v>
      </c>
      <c r="D34" s="171"/>
      <c r="E34" s="171"/>
      <c r="F34" s="168" t="s">
        <v>41</v>
      </c>
      <c r="G34" s="182">
        <v>98.5</v>
      </c>
      <c r="H34" s="182">
        <v>99.08</v>
      </c>
      <c r="I34" s="182">
        <v>99.21</v>
      </c>
      <c r="J34" s="176">
        <f>_xlfn.IFERROR(I34-G34,"")</f>
        <v>0.70999999999999</v>
      </c>
      <c r="K34" s="176"/>
      <c r="L34" s="176"/>
      <c r="M34" s="182">
        <v>0</v>
      </c>
      <c r="N34" s="182">
        <v>99.21</v>
      </c>
      <c r="O34" s="176">
        <f>_xlfn.IFERROR(N34-M34,"")</f>
        <v>99.21</v>
      </c>
      <c r="P34" s="176"/>
      <c r="Q34" s="176"/>
      <c r="R34" s="176">
        <f>_xlfn.IFERROR(ROUND(取值!Q36/完成情况!R17*100,2),"")</f>
        <v>98.96</v>
      </c>
      <c r="S34" s="184">
        <f>_xlfn.IFERROR(N34-R34,0)</f>
        <v>0.25</v>
      </c>
      <c r="T34" s="158"/>
      <c r="U34" s="158"/>
    </row>
    <row customHeight="1" ht="20.25">
      <c r="A35" s="112"/>
      <c r="B35" s="186"/>
      <c r="C35" s="187"/>
      <c r="D35" s="187"/>
      <c r="E35" s="187"/>
      <c r="F35" s="188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90"/>
      <c r="T35" s="158"/>
      <c r="U35" s="158"/>
    </row>
    <row customHeight="1" ht="15">
      <c r="A36" s="112"/>
      <c r="B36" s="112"/>
      <c r="C36" s="130" t="s">
        <v>50</v>
      </c>
      <c r="D36" s="130"/>
      <c r="E36" s="130"/>
      <c r="F36" s="192" t="s">
        <v>51</v>
      </c>
      <c r="G36" s="131"/>
      <c r="H36" s="112"/>
      <c r="I36" s="112"/>
      <c r="J36" s="122"/>
      <c r="K36" s="112"/>
      <c r="L36" s="112"/>
      <c r="M36" s="112"/>
      <c r="N36" s="112"/>
      <c r="O36" s="132" t="s">
        <v>52</v>
      </c>
      <c r="P36" s="132"/>
      <c r="Q36" s="192" t="s">
        <v>53</v>
      </c>
      <c r="R36" s="131"/>
      <c r="S36" s="112"/>
      <c r="T36" s="158"/>
      <c r="U36" s="158"/>
    </row>
    <row customHeight="1" ht="15">
      <c r="A37" s="112"/>
      <c r="B37" s="112"/>
      <c r="C37" s="158"/>
      <c r="D37" s="158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58"/>
      <c r="U37" s="158"/>
    </row>
    <row customHeight="1" ht="15">
      <c r="A38" s="112"/>
      <c r="B38" s="112"/>
      <c r="C38" s="158"/>
      <c r="D38" s="158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58"/>
      <c r="U38" s="158"/>
    </row>
    <row customHeight="1" ht="15">
      <c r="A39" s="112"/>
      <c r="B39" s="112"/>
      <c r="C39" s="158"/>
      <c r="D39" s="158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58"/>
      <c r="U39" s="158"/>
    </row>
    <row customHeight="1" ht="15">
      <c r="A40" s="112"/>
      <c r="B40" s="112"/>
      <c r="C40" s="158"/>
      <c r="D40" s="158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58"/>
      <c r="U40" s="158"/>
    </row>
    <row customHeight="1" ht="15">
      <c r="A41" s="112"/>
      <c r="B41" s="112"/>
      <c r="C41" s="158"/>
      <c r="D41" s="158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58"/>
      <c r="U41" s="158"/>
    </row>
  </sheetData>
  <mergeCells count="42">
    <mergeCell ref="B2:S2"/>
    <mergeCell ref="Q3:R3"/>
    <mergeCell ref="C7:E7"/>
    <mergeCell ref="C8:E8"/>
    <mergeCell ref="C9:E9"/>
    <mergeCell ref="B4:B6"/>
    <mergeCell ref="F4:F6"/>
    <mergeCell ref="R4:R6"/>
    <mergeCell ref="S4:S6"/>
    <mergeCell ref="C4:E6"/>
    <mergeCell ref="G4:L5"/>
    <mergeCell ref="M4:Q5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F36:G36"/>
    <mergeCell ref="O36:P36"/>
    <mergeCell ref="Q36:R36"/>
  </mergeCells>
  <printOptions horizontalCentered="1" verticalCentered="1"/>
  <pageMargins left="0.51" right="0.51" top="0.35" bottom="0.35" header="0.11" footer="0.11"/>
  <pageSetup paperSize="9" scale="65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DA4C744-B5DF-1B08-BC98-A05A37C29422}" mc:Ignorable="x14ac xr xr2 xr3">
  <dimension ref="A1:V142"/>
  <sheetViews>
    <sheetView topLeftCell="B1" workbookViewId="0">
      <selection activeCell="Q29" sqref="Q29"/>
    </sheetView>
  </sheetViews>
  <sheetFormatPr defaultColWidth="9.00390625" customHeight="1" defaultRowHeight="15"/>
  <cols>
    <col min="6" max="6" style="88" width="11.625" customWidth="1"/>
    <col min="7" max="8" style="88" width="10.875" customWidth="1"/>
    <col min="9" max="9" style="88" width="30.25390625" customWidth="1"/>
    <col min="10" max="18" style="88" width="10.875" customWidth="1"/>
  </cols>
  <sheetData>
    <row customHeight="1" ht="15">
      <c r="A1" s="196"/>
      <c r="B1" s="196"/>
      <c r="C1" s="196"/>
      <c r="D1" s="196"/>
      <c r="E1" s="196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6"/>
      <c r="T1" s="196"/>
      <c r="U1" s="196"/>
      <c r="V1" s="196"/>
    </row>
    <row customHeight="1" ht="15">
      <c r="A2" s="198" t="s">
        <v>3</v>
      </c>
      <c r="B2" s="199" t="s">
        <v>4</v>
      </c>
      <c r="C2" s="199"/>
      <c r="D2" s="199"/>
      <c r="E2" s="199" t="s">
        <v>5</v>
      </c>
      <c r="F2" s="200" t="s">
        <v>2</v>
      </c>
      <c r="G2" s="201"/>
      <c r="H2" s="201"/>
      <c r="I2" s="201"/>
      <c r="J2" s="201" t="s">
        <v>54</v>
      </c>
      <c r="K2" s="202"/>
      <c r="L2" s="200" t="s">
        <v>6</v>
      </c>
      <c r="M2" s="201"/>
      <c r="N2" s="201"/>
      <c r="O2" s="201"/>
      <c r="P2" s="202"/>
      <c r="Q2" s="143" t="s">
        <v>55</v>
      </c>
      <c r="R2" s="204" t="s">
        <v>8</v>
      </c>
      <c r="S2" s="196"/>
      <c r="T2" s="196"/>
      <c r="U2" s="196"/>
      <c r="V2" s="196"/>
    </row>
    <row customHeight="1" ht="15">
      <c r="A3" s="205"/>
      <c r="B3" s="206"/>
      <c r="C3" s="206"/>
      <c r="D3" s="206"/>
      <c r="E3" s="206"/>
      <c r="F3" s="207"/>
      <c r="G3" s="208"/>
      <c r="H3" s="208"/>
      <c r="I3" s="208"/>
      <c r="J3" s="208"/>
      <c r="K3" s="209"/>
      <c r="L3" s="207"/>
      <c r="M3" s="208"/>
      <c r="N3" s="208"/>
      <c r="O3" s="208"/>
      <c r="P3" s="209"/>
      <c r="Q3" s="144"/>
      <c r="R3" s="211"/>
      <c r="S3" s="196"/>
      <c r="T3" s="196"/>
      <c r="U3" s="196"/>
      <c r="V3" s="196"/>
    </row>
    <row customHeight="1" ht="27.75">
      <c r="A4" s="205"/>
      <c r="B4" s="206"/>
      <c r="C4" s="206"/>
      <c r="D4" s="206"/>
      <c r="E4" s="206"/>
      <c r="F4" s="91" t="s">
        <v>56</v>
      </c>
      <c r="G4" s="91" t="s">
        <v>57</v>
      </c>
      <c r="H4" s="91" t="s">
        <v>58</v>
      </c>
      <c r="I4" s="91" t="s">
        <v>59</v>
      </c>
      <c r="J4" s="91" t="s">
        <v>13</v>
      </c>
      <c r="K4" s="91" t="s">
        <v>60</v>
      </c>
      <c r="L4" s="91" t="s">
        <v>56</v>
      </c>
      <c r="M4" s="91" t="s">
        <v>61</v>
      </c>
      <c r="N4" s="91" t="s">
        <v>62</v>
      </c>
      <c r="O4" s="91" t="s">
        <v>13</v>
      </c>
      <c r="P4" s="91" t="s">
        <v>60</v>
      </c>
      <c r="Q4" s="145"/>
      <c r="R4" s="214"/>
      <c r="S4" s="196"/>
      <c r="T4" s="196"/>
      <c r="U4" s="196"/>
      <c r="V4" s="196"/>
    </row>
    <row customHeight="1" ht="15">
      <c r="A5" s="215" t="s">
        <v>17</v>
      </c>
      <c r="B5" s="216" t="s">
        <v>18</v>
      </c>
      <c r="C5" s="216"/>
      <c r="D5" s="216"/>
      <c r="E5" s="217" t="s">
        <v>19</v>
      </c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9"/>
      <c r="S5" s="196"/>
      <c r="T5" s="196"/>
      <c r="U5" s="196"/>
      <c r="V5" s="196"/>
    </row>
    <row customHeight="1" ht="15">
      <c r="A6" s="220">
        <v>1</v>
      </c>
      <c r="B6" s="221" t="s">
        <v>20</v>
      </c>
      <c r="C6" s="221"/>
      <c r="D6" s="221"/>
      <c r="E6" s="217" t="s">
        <v>19</v>
      </c>
      <c r="F6" s="222">
        <v>280000</v>
      </c>
      <c r="G6" s="223">
        <v>9194</v>
      </c>
      <c r="H6" s="222">
        <v>62067</v>
      </c>
      <c r="I6" s="224"/>
      <c r="J6" s="224"/>
      <c r="K6" s="224"/>
      <c r="L6" s="222"/>
      <c r="M6" s="222">
        <v>62067</v>
      </c>
      <c r="N6" s="224"/>
      <c r="O6" s="224"/>
      <c r="P6" s="224"/>
      <c r="Q6" s="223">
        <v>78925</v>
      </c>
      <c r="R6" s="225"/>
      <c r="S6" s="196"/>
      <c r="T6" s="196"/>
      <c r="U6" s="196"/>
      <c r="V6" s="196"/>
    </row>
    <row customHeight="1" ht="15">
      <c r="A7" s="220"/>
      <c r="B7" s="221" t="s">
        <v>22</v>
      </c>
      <c r="C7" s="221"/>
      <c r="D7" s="221"/>
      <c r="E7" s="217" t="s">
        <v>19</v>
      </c>
      <c r="F7" s="222">
        <v>124000</v>
      </c>
      <c r="G7" s="222">
        <v>4053</v>
      </c>
      <c r="H7" s="222">
        <v>27187</v>
      </c>
      <c r="I7" s="224"/>
      <c r="J7" s="224"/>
      <c r="K7" s="224"/>
      <c r="L7" s="222">
        <v>0</v>
      </c>
      <c r="M7" s="222">
        <v>27187</v>
      </c>
      <c r="N7" s="224"/>
      <c r="O7" s="224"/>
      <c r="P7" s="224"/>
      <c r="Q7" s="222">
        <v>30494</v>
      </c>
      <c r="R7" s="225"/>
      <c r="S7" s="196"/>
      <c r="T7" s="196"/>
      <c r="U7" s="196"/>
      <c r="V7" s="196"/>
    </row>
    <row customHeight="1" ht="15">
      <c r="A8" s="220"/>
      <c r="B8" s="221" t="s">
        <v>23</v>
      </c>
      <c r="C8" s="221"/>
      <c r="D8" s="221"/>
      <c r="E8" s="217" t="s">
        <v>19</v>
      </c>
      <c r="F8" s="222">
        <v>156000</v>
      </c>
      <c r="G8" s="222">
        <v>5141</v>
      </c>
      <c r="H8" s="222">
        <v>34880</v>
      </c>
      <c r="I8" s="224"/>
      <c r="J8" s="224"/>
      <c r="K8" s="224"/>
      <c r="L8" s="222">
        <v>0</v>
      </c>
      <c r="M8" s="222">
        <v>34880</v>
      </c>
      <c r="N8" s="224"/>
      <c r="O8" s="224"/>
      <c r="P8" s="224"/>
      <c r="Q8" s="222">
        <v>48431</v>
      </c>
      <c r="R8" s="225"/>
      <c r="S8" s="196"/>
      <c r="T8" s="196"/>
      <c r="U8" s="196"/>
      <c r="V8" s="196"/>
    </row>
    <row customHeight="1" ht="15">
      <c r="A9" s="220">
        <v>2</v>
      </c>
      <c r="B9" s="221" t="s">
        <v>24</v>
      </c>
      <c r="C9" s="221"/>
      <c r="D9" s="221"/>
      <c r="E9" s="217" t="s">
        <v>19</v>
      </c>
      <c r="F9" s="222">
        <v>96000</v>
      </c>
      <c r="G9" s="222">
        <v>3733</v>
      </c>
      <c r="H9" s="222">
        <v>26723</v>
      </c>
      <c r="I9" s="224"/>
      <c r="J9" s="224"/>
      <c r="K9" s="224"/>
      <c r="L9" s="222"/>
      <c r="M9" s="222">
        <v>26723</v>
      </c>
      <c r="N9" s="224"/>
      <c r="O9" s="224"/>
      <c r="P9" s="224"/>
      <c r="Q9" s="222">
        <v>26580</v>
      </c>
      <c r="R9" s="225"/>
      <c r="S9" s="196"/>
      <c r="T9" s="196"/>
      <c r="U9" s="196"/>
      <c r="V9" s="196"/>
    </row>
    <row customHeight="1" ht="15">
      <c r="A10" s="220"/>
      <c r="B10" s="221" t="s">
        <v>25</v>
      </c>
      <c r="C10" s="221"/>
      <c r="D10" s="221"/>
      <c r="E10" s="217" t="s">
        <v>19</v>
      </c>
      <c r="F10" s="222">
        <v>96000</v>
      </c>
      <c r="G10" s="222">
        <v>3431</v>
      </c>
      <c r="H10" s="222">
        <v>24621</v>
      </c>
      <c r="I10" s="224"/>
      <c r="J10" s="224"/>
      <c r="K10" s="224"/>
      <c r="L10" s="222"/>
      <c r="M10" s="222">
        <v>24621</v>
      </c>
      <c r="N10" s="224"/>
      <c r="O10" s="224"/>
      <c r="P10" s="224"/>
      <c r="Q10" s="222">
        <v>24661</v>
      </c>
      <c r="R10" s="225"/>
      <c r="S10" s="196"/>
      <c r="T10" s="196"/>
      <c r="U10" s="196"/>
      <c r="V10" s="196"/>
    </row>
    <row customHeight="1" ht="15">
      <c r="A11" s="220">
        <v>3</v>
      </c>
      <c r="B11" s="221" t="s">
        <v>26</v>
      </c>
      <c r="C11" s="221"/>
      <c r="D11" s="221"/>
      <c r="E11" s="217" t="s">
        <v>19</v>
      </c>
      <c r="F11" s="222">
        <v>18000</v>
      </c>
      <c r="G11" s="222">
        <v>617</v>
      </c>
      <c r="H11" s="222">
        <v>4266</v>
      </c>
      <c r="I11" s="224"/>
      <c r="J11" s="224"/>
      <c r="K11" s="224"/>
      <c r="L11" s="222"/>
      <c r="M11" s="222">
        <v>4266</v>
      </c>
      <c r="N11" s="224"/>
      <c r="O11" s="224"/>
      <c r="P11" s="224"/>
      <c r="Q11" s="222">
        <v>4360</v>
      </c>
      <c r="R11" s="225"/>
      <c r="S11" s="196"/>
      <c r="T11" s="196"/>
      <c r="U11" s="196"/>
      <c r="V11" s="196"/>
    </row>
    <row customHeight="1" ht="15">
      <c r="A12" s="220">
        <v>4</v>
      </c>
      <c r="B12" s="221" t="s">
        <v>27</v>
      </c>
      <c r="C12" s="221"/>
      <c r="D12" s="221"/>
      <c r="E12" s="217" t="s">
        <v>19</v>
      </c>
      <c r="F12" s="226">
        <v>10526</v>
      </c>
      <c r="G12" s="222">
        <v>495</v>
      </c>
      <c r="H12" s="222">
        <v>3554</v>
      </c>
      <c r="I12" s="224"/>
      <c r="J12" s="224"/>
      <c r="K12" s="224"/>
      <c r="L12" s="226"/>
      <c r="M12" s="222">
        <v>3554</v>
      </c>
      <c r="N12" s="224"/>
      <c r="O12" s="224"/>
      <c r="P12" s="224"/>
      <c r="Q12" s="222">
        <v>4029</v>
      </c>
      <c r="R12" s="225"/>
      <c r="S12" s="196"/>
      <c r="T12" s="196"/>
      <c r="U12" s="196"/>
      <c r="V12" s="196"/>
    </row>
    <row customHeight="1" ht="15">
      <c r="A13" s="220">
        <v>5</v>
      </c>
      <c r="B13" s="221" t="s">
        <v>28</v>
      </c>
      <c r="C13" s="221"/>
      <c r="D13" s="221"/>
      <c r="E13" s="217" t="s">
        <v>19</v>
      </c>
      <c r="F13" s="222">
        <v>47000</v>
      </c>
      <c r="G13" s="222">
        <v>1806</v>
      </c>
      <c r="H13" s="222">
        <v>12962</v>
      </c>
      <c r="I13" s="224"/>
      <c r="J13" s="224"/>
      <c r="K13" s="224"/>
      <c r="L13" s="222"/>
      <c r="M13" s="222">
        <v>12962</v>
      </c>
      <c r="N13" s="224"/>
      <c r="O13" s="224"/>
      <c r="P13" s="224"/>
      <c r="Q13" s="222">
        <v>13426</v>
      </c>
      <c r="R13" s="225"/>
      <c r="S13" s="196"/>
      <c r="T13" s="196"/>
      <c r="U13" s="196"/>
      <c r="V13" s="196"/>
    </row>
    <row customHeight="1" ht="15">
      <c r="A14" s="220">
        <v>6</v>
      </c>
      <c r="B14" s="221" t="s">
        <v>29</v>
      </c>
      <c r="C14" s="221"/>
      <c r="D14" s="221"/>
      <c r="E14" s="217" t="s">
        <v>19</v>
      </c>
      <c r="F14" s="222">
        <v>102000</v>
      </c>
      <c r="G14" s="222">
        <v>2830</v>
      </c>
      <c r="H14" s="222">
        <v>23859</v>
      </c>
      <c r="I14" s="224"/>
      <c r="J14" s="224"/>
      <c r="K14" s="224"/>
      <c r="L14" s="222"/>
      <c r="M14" s="222">
        <v>23859</v>
      </c>
      <c r="N14" s="224"/>
      <c r="O14" s="224"/>
      <c r="P14" s="224"/>
      <c r="Q14" s="222">
        <v>27784</v>
      </c>
      <c r="R14" s="225"/>
      <c r="S14" s="196"/>
      <c r="T14" s="196"/>
      <c r="U14" s="196"/>
      <c r="V14" s="227" t="s">
        <v>63</v>
      </c>
    </row>
    <row customHeight="1" ht="15">
      <c r="A15" s="220" t="s">
        <v>30</v>
      </c>
      <c r="B15" s="216" t="s">
        <v>31</v>
      </c>
      <c r="C15" s="216"/>
      <c r="D15" s="216"/>
      <c r="E15" s="217"/>
      <c r="F15" s="218"/>
      <c r="G15" s="218"/>
      <c r="H15" s="218"/>
      <c r="I15" s="228"/>
      <c r="J15" s="228"/>
      <c r="K15" s="228"/>
      <c r="L15" s="218"/>
      <c r="M15" s="218"/>
      <c r="N15" s="228"/>
      <c r="O15" s="228"/>
      <c r="P15" s="228"/>
      <c r="Q15" s="218"/>
      <c r="R15" s="225"/>
      <c r="S15" s="196"/>
      <c r="T15" s="196"/>
      <c r="U15" s="196"/>
      <c r="V15" s="227" t="s">
        <v>63</v>
      </c>
    </row>
    <row customHeight="1" ht="15">
      <c r="A16" s="220">
        <v>7</v>
      </c>
      <c r="B16" s="221" t="s">
        <v>32</v>
      </c>
      <c r="C16" s="221"/>
      <c r="D16" s="221"/>
      <c r="E16" s="217" t="s">
        <v>19</v>
      </c>
      <c r="F16" s="222">
        <v>72000</v>
      </c>
      <c r="G16" s="222">
        <v>0</v>
      </c>
      <c r="H16" s="222">
        <v>0</v>
      </c>
      <c r="I16" s="228"/>
      <c r="J16" s="228"/>
      <c r="K16" s="228"/>
      <c r="L16" s="222"/>
      <c r="M16" s="222">
        <v>0</v>
      </c>
      <c r="N16" s="228"/>
      <c r="O16" s="228"/>
      <c r="P16" s="228"/>
      <c r="Q16" s="222">
        <v>0</v>
      </c>
      <c r="R16" s="225"/>
      <c r="S16" s="196"/>
      <c r="T16" s="196"/>
      <c r="U16" s="196"/>
      <c r="V16" s="227" t="s">
        <v>64</v>
      </c>
    </row>
    <row customHeight="1" ht="15">
      <c r="A17" s="220"/>
      <c r="B17" s="229"/>
      <c r="C17" s="229"/>
      <c r="D17" s="229"/>
      <c r="E17" s="217"/>
      <c r="F17" s="222"/>
      <c r="G17" s="222">
        <v>0</v>
      </c>
      <c r="H17" s="222">
        <v>0</v>
      </c>
      <c r="I17" s="228"/>
      <c r="J17" s="228"/>
      <c r="K17" s="228"/>
      <c r="L17" s="222"/>
      <c r="M17" s="222">
        <v>0</v>
      </c>
      <c r="N17" s="228"/>
      <c r="O17" s="228"/>
      <c r="P17" s="228"/>
      <c r="Q17" s="222">
        <v>0</v>
      </c>
      <c r="R17" s="225"/>
      <c r="S17" s="196"/>
      <c r="T17" s="196"/>
      <c r="U17" s="196"/>
      <c r="V17" s="196"/>
    </row>
    <row customHeight="1" ht="15">
      <c r="A18" s="220"/>
      <c r="B18" s="229"/>
      <c r="C18" s="229"/>
      <c r="D18" s="229"/>
      <c r="E18" s="217"/>
      <c r="F18" s="222"/>
      <c r="G18" s="222">
        <v>3565</v>
      </c>
      <c r="H18" s="222">
        <v>17294</v>
      </c>
      <c r="I18" s="228"/>
      <c r="J18" s="228"/>
      <c r="K18" s="228"/>
      <c r="L18" s="222"/>
      <c r="M18" s="222">
        <v>17294</v>
      </c>
      <c r="N18" s="228"/>
      <c r="O18" s="228"/>
      <c r="P18" s="228"/>
      <c r="Q18" s="222">
        <v>21402</v>
      </c>
      <c r="R18" s="225"/>
      <c r="S18" s="196"/>
      <c r="T18" s="196"/>
      <c r="U18" s="196"/>
      <c r="V18" s="196"/>
    </row>
    <row customHeight="1" ht="15">
      <c r="A19" s="220">
        <v>8</v>
      </c>
      <c r="B19" s="221" t="s">
        <v>33</v>
      </c>
      <c r="C19" s="221"/>
      <c r="D19" s="221"/>
      <c r="E19" s="217" t="s">
        <v>19</v>
      </c>
      <c r="F19" s="222">
        <v>88000</v>
      </c>
      <c r="G19" s="222">
        <v>2075</v>
      </c>
      <c r="H19" s="222">
        <v>18295</v>
      </c>
      <c r="I19" s="228"/>
      <c r="J19" s="228"/>
      <c r="K19" s="228"/>
      <c r="L19" s="222"/>
      <c r="M19" s="222">
        <v>18295</v>
      </c>
      <c r="N19" s="228"/>
      <c r="O19" s="228"/>
      <c r="P19" s="228"/>
      <c r="Q19" s="222">
        <v>14757</v>
      </c>
      <c r="R19" s="225"/>
      <c r="S19" s="196"/>
      <c r="T19" s="196"/>
      <c r="U19" s="196"/>
      <c r="V19" s="196"/>
    </row>
    <row customHeight="1" ht="15">
      <c r="A20" s="220"/>
      <c r="B20" s="229"/>
      <c r="C20" s="229"/>
      <c r="D20" s="229"/>
      <c r="E20" s="217"/>
      <c r="F20" s="222"/>
      <c r="G20" s="222">
        <v>0</v>
      </c>
      <c r="H20" s="222">
        <v>0</v>
      </c>
      <c r="I20" s="228"/>
      <c r="J20" s="228"/>
      <c r="K20" s="228"/>
      <c r="L20" s="222"/>
      <c r="M20" s="222">
        <v>0</v>
      </c>
      <c r="N20" s="228"/>
      <c r="O20" s="228"/>
      <c r="P20" s="228"/>
      <c r="Q20" s="222">
        <v>0</v>
      </c>
      <c r="R20" s="225"/>
      <c r="S20" s="196"/>
      <c r="T20" s="196"/>
      <c r="U20" s="196"/>
      <c r="V20" s="196"/>
    </row>
    <row customHeight="1" ht="15">
      <c r="A21" s="220"/>
      <c r="B21" s="229"/>
      <c r="C21" s="229"/>
      <c r="D21" s="229"/>
      <c r="E21" s="217"/>
      <c r="F21" s="222"/>
      <c r="G21" s="222">
        <v>1352</v>
      </c>
      <c r="H21" s="222">
        <v>1352</v>
      </c>
      <c r="I21" s="228"/>
      <c r="J21" s="228"/>
      <c r="K21" s="228"/>
      <c r="L21" s="222"/>
      <c r="M21" s="222">
        <v>1352</v>
      </c>
      <c r="N21" s="228"/>
      <c r="O21" s="228"/>
      <c r="P21" s="228"/>
      <c r="Q21" s="222">
        <v>4963</v>
      </c>
      <c r="R21" s="225"/>
      <c r="S21" s="196"/>
      <c r="T21" s="196"/>
      <c r="U21" s="196"/>
      <c r="V21" s="196"/>
    </row>
    <row customHeight="1" ht="15">
      <c r="A22" s="220"/>
      <c r="B22" s="229"/>
      <c r="C22" s="229"/>
      <c r="D22" s="229"/>
      <c r="E22" s="217"/>
      <c r="F22" s="222"/>
      <c r="G22" s="222">
        <v>0</v>
      </c>
      <c r="H22" s="222">
        <v>0</v>
      </c>
      <c r="I22" s="228"/>
      <c r="J22" s="228"/>
      <c r="K22" s="228"/>
      <c r="L22" s="222"/>
      <c r="M22" s="222">
        <v>0</v>
      </c>
      <c r="N22" s="228"/>
      <c r="O22" s="228"/>
      <c r="P22" s="228"/>
      <c r="Q22" s="222">
        <v>0</v>
      </c>
      <c r="R22" s="225"/>
      <c r="S22" s="196"/>
      <c r="T22" s="196"/>
      <c r="U22" s="196"/>
      <c r="V22" s="196"/>
    </row>
    <row customHeight="1" ht="15">
      <c r="A23" s="220">
        <v>9</v>
      </c>
      <c r="B23" s="221" t="s">
        <v>34</v>
      </c>
      <c r="C23" s="221"/>
      <c r="D23" s="221"/>
      <c r="E23" s="217" t="s">
        <v>19</v>
      </c>
      <c r="F23" s="222">
        <v>15700</v>
      </c>
      <c r="G23" s="222">
        <f>SUM(G44:G45)</f>
        <v>709</v>
      </c>
      <c r="H23" s="222">
        <f>SUM(H44:H45)</f>
        <v>3190</v>
      </c>
      <c r="I23" s="228"/>
      <c r="J23" s="228"/>
      <c r="K23" s="228"/>
      <c r="L23" s="222"/>
      <c r="M23" s="222">
        <f>SUM(M44:M45)</f>
        <v>3190</v>
      </c>
      <c r="N23" s="228"/>
      <c r="O23" s="228"/>
      <c r="P23" s="228"/>
      <c r="Q23" s="222">
        <f>SUM(Q44:Q45)</f>
        <v>4388</v>
      </c>
      <c r="R23" s="225"/>
      <c r="S23" s="196"/>
      <c r="T23" s="196"/>
      <c r="U23" s="196"/>
      <c r="V23" s="196"/>
    </row>
    <row customHeight="1" ht="15">
      <c r="A24" s="220">
        <v>10</v>
      </c>
      <c r="B24" s="221" t="s">
        <v>35</v>
      </c>
      <c r="C24" s="221"/>
      <c r="D24" s="221"/>
      <c r="E24" s="217" t="s">
        <v>19</v>
      </c>
      <c r="F24" s="222">
        <v>35900</v>
      </c>
      <c r="G24" s="222">
        <v>657</v>
      </c>
      <c r="H24" s="222">
        <v>3839</v>
      </c>
      <c r="I24" s="228"/>
      <c r="J24" s="228"/>
      <c r="K24" s="228"/>
      <c r="L24" s="222"/>
      <c r="M24" s="222">
        <v>3839</v>
      </c>
      <c r="N24" s="228"/>
      <c r="O24" s="228"/>
      <c r="P24" s="228"/>
      <c r="Q24" s="222">
        <v>6219</v>
      </c>
      <c r="R24" s="225"/>
      <c r="S24" s="196"/>
      <c r="T24" s="196"/>
      <c r="U24" s="196"/>
      <c r="V24" s="196"/>
    </row>
    <row customHeight="1" ht="15">
      <c r="A25" s="220">
        <v>11</v>
      </c>
      <c r="B25" s="221" t="s">
        <v>36</v>
      </c>
      <c r="C25" s="221"/>
      <c r="D25" s="221"/>
      <c r="E25" s="217" t="s">
        <v>19</v>
      </c>
      <c r="F25" s="222">
        <v>50000</v>
      </c>
      <c r="G25" s="222">
        <v>1476</v>
      </c>
      <c r="H25" s="222">
        <v>8741</v>
      </c>
      <c r="I25" s="228"/>
      <c r="J25" s="228"/>
      <c r="K25" s="228"/>
      <c r="L25" s="222"/>
      <c r="M25" s="222">
        <v>8741</v>
      </c>
      <c r="N25" s="228"/>
      <c r="O25" s="228"/>
      <c r="P25" s="228"/>
      <c r="Q25" s="222">
        <v>14596</v>
      </c>
      <c r="R25" s="225"/>
      <c r="S25" s="196"/>
      <c r="T25" s="196"/>
      <c r="U25" s="196"/>
      <c r="V25" s="196"/>
    </row>
    <row customHeight="1" ht="15">
      <c r="A26" s="220">
        <v>12</v>
      </c>
      <c r="B26" s="221" t="s">
        <v>37</v>
      </c>
      <c r="C26" s="221"/>
      <c r="D26" s="221"/>
      <c r="E26" s="217" t="s">
        <v>19</v>
      </c>
      <c r="F26" s="222">
        <v>2300</v>
      </c>
      <c r="G26" s="222">
        <f>SUM(G48:G50)</f>
        <v>0</v>
      </c>
      <c r="H26" s="222">
        <f>SUM(H48:H50)</f>
        <v>0</v>
      </c>
      <c r="I26" s="228"/>
      <c r="J26" s="228"/>
      <c r="K26" s="228"/>
      <c r="L26" s="222"/>
      <c r="M26" s="222">
        <f>SUM(M48:M50)</f>
        <v>0</v>
      </c>
      <c r="N26" s="228"/>
      <c r="O26" s="228"/>
      <c r="P26" s="228"/>
      <c r="Q26" s="222">
        <f>SUM(Q48:Q50)</f>
        <v>251</v>
      </c>
      <c r="R26" s="225"/>
      <c r="S26" s="196"/>
      <c r="T26" s="196"/>
      <c r="U26" s="196"/>
      <c r="V26" s="196"/>
    </row>
    <row customHeight="1" ht="15">
      <c r="A27" s="220" t="s">
        <v>38</v>
      </c>
      <c r="B27" s="216" t="s">
        <v>39</v>
      </c>
      <c r="C27" s="221"/>
      <c r="D27" s="221"/>
      <c r="E27" s="217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25"/>
      <c r="S27" s="196"/>
      <c r="T27" s="196"/>
      <c r="U27" s="196"/>
      <c r="V27" s="196"/>
    </row>
    <row customHeight="1" ht="15">
      <c r="A28" s="220">
        <v>14</v>
      </c>
      <c r="B28" s="221" t="s">
        <v>40</v>
      </c>
      <c r="C28" s="221"/>
      <c r="D28" s="221"/>
      <c r="E28" s="217" t="s">
        <v>41</v>
      </c>
      <c r="F28" s="222">
        <v>70.21915571428572</v>
      </c>
      <c r="G28" s="222">
        <v>7465</v>
      </c>
      <c r="H28" s="222">
        <v>51722</v>
      </c>
      <c r="I28" s="224"/>
      <c r="J28" s="224"/>
      <c r="K28" s="224"/>
      <c r="L28" s="222"/>
      <c r="M28" s="222">
        <v>51722</v>
      </c>
      <c r="N28" s="224"/>
      <c r="O28" s="224"/>
      <c r="P28" s="224"/>
      <c r="Q28" s="222">
        <v>58671</v>
      </c>
      <c r="R28" s="225"/>
      <c r="S28" s="196"/>
      <c r="T28" s="196"/>
      <c r="U28" s="196"/>
      <c r="V28" s="196"/>
    </row>
    <row customHeight="1" ht="15">
      <c r="A29" s="220">
        <v>15</v>
      </c>
      <c r="B29" s="221" t="s">
        <v>42</v>
      </c>
      <c r="C29" s="221"/>
      <c r="D29" s="221"/>
      <c r="E29" s="217" t="s">
        <v>41</v>
      </c>
      <c r="F29" s="222">
        <v>47.599999999999994</v>
      </c>
      <c r="G29" s="222">
        <v>4509</v>
      </c>
      <c r="H29" s="222">
        <v>30488</v>
      </c>
      <c r="I29" s="224"/>
      <c r="J29" s="224"/>
      <c r="K29" s="224"/>
      <c r="L29" s="222"/>
      <c r="M29" s="222">
        <v>30488</v>
      </c>
      <c r="N29" s="224"/>
      <c r="O29" s="224"/>
      <c r="P29" s="224"/>
      <c r="Q29" s="223">
        <v>47.9467849223947</v>
      </c>
      <c r="R29" s="225"/>
      <c r="S29" s="196"/>
      <c r="T29" s="196"/>
      <c r="U29" s="196"/>
      <c r="V29" s="196"/>
    </row>
    <row customHeight="1" ht="15">
      <c r="A30" s="220">
        <v>16</v>
      </c>
      <c r="B30" s="221" t="s">
        <v>43</v>
      </c>
      <c r="C30" s="221"/>
      <c r="D30" s="221"/>
      <c r="E30" s="217" t="s">
        <v>41</v>
      </c>
      <c r="F30" s="222"/>
      <c r="G30" s="224"/>
      <c r="H30" s="224"/>
      <c r="I30" s="224"/>
      <c r="J30" s="224"/>
      <c r="K30" s="224"/>
      <c r="L30" s="222"/>
      <c r="M30" s="224"/>
      <c r="N30" s="224"/>
      <c r="O30" s="224"/>
      <c r="P30" s="224"/>
      <c r="Q30" s="224"/>
      <c r="R30" s="225"/>
      <c r="S30" s="196"/>
      <c r="T30" s="196"/>
      <c r="U30" s="196"/>
      <c r="V30" s="196"/>
    </row>
    <row customHeight="1" ht="15">
      <c r="A31" s="220"/>
      <c r="B31" s="221" t="s">
        <v>44</v>
      </c>
      <c r="C31" s="221"/>
      <c r="D31" s="221"/>
      <c r="E31" s="217" t="s">
        <v>41</v>
      </c>
      <c r="F31" s="222">
        <v>69.9</v>
      </c>
      <c r="G31" s="222">
        <v>2634</v>
      </c>
      <c r="H31" s="222">
        <v>19026</v>
      </c>
      <c r="I31" s="224"/>
      <c r="J31" s="224"/>
      <c r="K31" s="224"/>
      <c r="L31" s="222"/>
      <c r="M31" s="222">
        <v>19026</v>
      </c>
      <c r="N31" s="224"/>
      <c r="O31" s="224"/>
      <c r="P31" s="224"/>
      <c r="Q31" s="222">
        <v>18611</v>
      </c>
      <c r="R31" s="225"/>
      <c r="S31" s="196"/>
      <c r="T31" s="196"/>
      <c r="U31" s="196"/>
      <c r="V31" s="196"/>
    </row>
    <row customHeight="1" ht="15">
      <c r="A32" s="220"/>
      <c r="B32" s="221" t="s">
        <v>45</v>
      </c>
      <c r="C32" s="221"/>
      <c r="D32" s="221"/>
      <c r="E32" s="217" t="s">
        <v>41</v>
      </c>
      <c r="F32" s="222">
        <v>16.4</v>
      </c>
      <c r="G32" s="222">
        <v>622</v>
      </c>
      <c r="H32" s="222">
        <v>4282</v>
      </c>
      <c r="I32" s="224"/>
      <c r="J32" s="224"/>
      <c r="K32" s="224"/>
      <c r="L32" s="222"/>
      <c r="M32" s="222">
        <v>4282</v>
      </c>
      <c r="N32" s="224"/>
      <c r="O32" s="224"/>
      <c r="P32" s="224"/>
      <c r="Q32" s="222">
        <v>4496</v>
      </c>
      <c r="R32" s="225"/>
      <c r="S32" s="196"/>
      <c r="T32" s="196"/>
      <c r="U32" s="196"/>
      <c r="V32" s="196"/>
    </row>
    <row customHeight="1" ht="15">
      <c r="A33" s="220">
        <v>17</v>
      </c>
      <c r="B33" s="221" t="s">
        <v>46</v>
      </c>
      <c r="C33" s="221"/>
      <c r="D33" s="221"/>
      <c r="E33" s="217" t="s">
        <v>41</v>
      </c>
      <c r="F33" s="222">
        <v>92.9</v>
      </c>
      <c r="G33" s="222">
        <v>576</v>
      </c>
      <c r="H33" s="222">
        <v>3987</v>
      </c>
      <c r="I33" s="224"/>
      <c r="J33" s="224"/>
      <c r="K33" s="224"/>
      <c r="L33" s="222"/>
      <c r="M33" s="222">
        <v>3987</v>
      </c>
      <c r="N33" s="224"/>
      <c r="O33" s="224"/>
      <c r="P33" s="224"/>
      <c r="Q33" s="222">
        <v>4070</v>
      </c>
      <c r="R33" s="225"/>
      <c r="S33" s="196"/>
      <c r="T33" s="196"/>
      <c r="U33" s="196"/>
      <c r="V33" s="196"/>
    </row>
    <row customHeight="1" ht="15">
      <c r="A34" s="220">
        <v>18</v>
      </c>
      <c r="B34" s="221" t="s">
        <v>47</v>
      </c>
      <c r="C34" s="221"/>
      <c r="D34" s="221"/>
      <c r="E34" s="217" t="s">
        <v>41</v>
      </c>
      <c r="F34" s="222">
        <v>98</v>
      </c>
      <c r="G34" s="222">
        <v>488</v>
      </c>
      <c r="H34" s="222">
        <v>3501</v>
      </c>
      <c r="I34" s="224"/>
      <c r="J34" s="224"/>
      <c r="K34" s="224"/>
      <c r="L34" s="222"/>
      <c r="M34" s="222">
        <v>3501</v>
      </c>
      <c r="N34" s="224"/>
      <c r="O34" s="224"/>
      <c r="P34" s="224"/>
      <c r="Q34" s="222">
        <v>3968</v>
      </c>
      <c r="R34" s="225"/>
      <c r="S34" s="196"/>
      <c r="T34" s="196"/>
      <c r="U34" s="196"/>
      <c r="V34" s="196"/>
    </row>
    <row customHeight="1" ht="15">
      <c r="A35" s="220">
        <v>19</v>
      </c>
      <c r="B35" s="221" t="s">
        <v>48</v>
      </c>
      <c r="C35" s="221"/>
      <c r="D35" s="221"/>
      <c r="E35" s="217" t="s">
        <v>41</v>
      </c>
      <c r="F35" s="222">
        <v>98.5</v>
      </c>
      <c r="G35" s="222">
        <v>1786</v>
      </c>
      <c r="H35" s="222">
        <v>12818</v>
      </c>
      <c r="I35" s="224"/>
      <c r="J35" s="224"/>
      <c r="K35" s="224"/>
      <c r="L35" s="222"/>
      <c r="M35" s="222">
        <v>12818</v>
      </c>
      <c r="N35" s="224"/>
      <c r="O35" s="224"/>
      <c r="P35" s="224"/>
      <c r="Q35" s="222">
        <v>13275</v>
      </c>
      <c r="R35" s="225"/>
      <c r="S35" s="196"/>
      <c r="T35" s="196"/>
      <c r="U35" s="196"/>
      <c r="V35" s="196"/>
    </row>
    <row customHeight="1" ht="15">
      <c r="A36" s="220">
        <v>20</v>
      </c>
      <c r="B36" s="221" t="s">
        <v>49</v>
      </c>
      <c r="C36" s="221"/>
      <c r="D36" s="221"/>
      <c r="E36" s="217" t="s">
        <v>41</v>
      </c>
      <c r="F36" s="222">
        <v>98.5</v>
      </c>
      <c r="G36" s="222">
        <v>2804</v>
      </c>
      <c r="H36" s="222">
        <v>23670</v>
      </c>
      <c r="I36" s="224"/>
      <c r="J36" s="224"/>
      <c r="K36" s="224"/>
      <c r="L36" s="222"/>
      <c r="M36" s="222">
        <v>23670</v>
      </c>
      <c r="N36" s="224"/>
      <c r="O36" s="224"/>
      <c r="P36" s="224"/>
      <c r="Q36" s="222">
        <v>27496</v>
      </c>
      <c r="R36" s="225"/>
      <c r="S36" s="196"/>
      <c r="T36" s="196"/>
      <c r="U36" s="196"/>
      <c r="V36" s="196"/>
    </row>
    <row customHeight="1" ht="15.75">
      <c r="A37" s="230"/>
      <c r="B37" s="231"/>
      <c r="C37" s="231"/>
      <c r="D37" s="231"/>
      <c r="E37" s="232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4"/>
      <c r="S37" s="196"/>
      <c r="T37" s="196"/>
      <c r="U37" s="196"/>
      <c r="V37" s="196"/>
    </row>
    <row customHeight="1" ht="15">
      <c r="A38" s="196"/>
      <c r="B38" s="196"/>
      <c r="C38" s="196"/>
      <c r="D38" s="196"/>
      <c r="E38" s="196"/>
      <c r="F38" s="222">
        <v>24</v>
      </c>
      <c r="G38" s="222">
        <v>358</v>
      </c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6"/>
      <c r="T38" s="196"/>
      <c r="U38" s="196"/>
      <c r="V38" s="196"/>
    </row>
    <row customHeight="1" ht="15">
      <c r="A39" s="196"/>
      <c r="B39" s="196"/>
      <c r="C39" s="196"/>
      <c r="D39" s="196"/>
      <c r="E39" s="196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6"/>
      <c r="T39" s="196"/>
      <c r="U39" s="196"/>
      <c r="V39" s="196"/>
    </row>
    <row customHeight="1" ht="15">
      <c r="A40" s="196"/>
      <c r="B40" s="196"/>
      <c r="C40" s="196"/>
      <c r="D40" s="196"/>
      <c r="E40" s="196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6"/>
      <c r="T40" s="196"/>
      <c r="U40" s="196"/>
      <c r="V40" s="196"/>
    </row>
    <row customHeight="1" ht="15">
      <c r="A41" s="196"/>
      <c r="B41" s="196"/>
      <c r="C41" s="235" t="s">
        <v>50</v>
      </c>
      <c r="D41" s="236" t="s">
        <v>51</v>
      </c>
      <c r="E41" s="237"/>
      <c r="F41" s="238"/>
      <c r="G41" s="239"/>
      <c r="H41" s="240" t="s">
        <v>65</v>
      </c>
      <c r="I41" s="236" t="s">
        <v>53</v>
      </c>
      <c r="J41" s="197"/>
      <c r="K41" s="241"/>
      <c r="L41" s="197"/>
      <c r="M41" s="197"/>
      <c r="N41" s="197"/>
      <c r="O41" s="197"/>
      <c r="P41" s="197"/>
      <c r="Q41" s="197"/>
      <c r="R41" s="197"/>
      <c r="S41" s="196"/>
      <c r="T41" s="196"/>
      <c r="U41" s="196"/>
      <c r="V41" s="196"/>
    </row>
    <row customHeight="1" ht="15">
      <c r="A42" s="196"/>
      <c r="B42" s="196"/>
      <c r="C42" s="196"/>
      <c r="D42" s="196"/>
      <c r="E42" s="196"/>
      <c r="F42" s="197"/>
      <c r="G42" s="197"/>
      <c r="H42" s="197"/>
      <c r="I42" s="197"/>
      <c r="J42" s="197"/>
      <c r="K42" s="241"/>
      <c r="L42" s="197"/>
      <c r="M42" s="197"/>
      <c r="N42" s="197"/>
      <c r="O42" s="197"/>
      <c r="P42" s="197"/>
      <c r="Q42" s="197"/>
      <c r="R42" s="197"/>
      <c r="S42" s="196"/>
      <c r="T42" s="196"/>
      <c r="U42" s="196"/>
      <c r="V42" s="196"/>
    </row>
    <row customHeight="1" ht="15">
      <c r="A43" s="196"/>
      <c r="B43" s="196"/>
      <c r="C43" s="196"/>
      <c r="D43" s="196"/>
      <c r="E43" s="196"/>
      <c r="F43" s="197"/>
      <c r="G43" s="197"/>
      <c r="H43" s="197"/>
      <c r="I43" s="197"/>
      <c r="J43" s="197"/>
      <c r="K43" s="241"/>
      <c r="L43" s="197"/>
      <c r="M43" s="197"/>
      <c r="N43" s="197"/>
      <c r="O43" s="197"/>
      <c r="P43" s="197"/>
      <c r="Q43" s="197"/>
      <c r="R43" s="197"/>
      <c r="S43" s="196"/>
      <c r="T43" s="196"/>
      <c r="U43" s="196"/>
      <c r="V43" s="196"/>
    </row>
    <row customHeight="1" ht="15">
      <c r="A44" s="196"/>
      <c r="B44" s="196"/>
      <c r="C44" s="196"/>
      <c r="D44" s="196"/>
      <c r="E44" s="196"/>
      <c r="F44" s="197"/>
      <c r="G44" s="242">
        <v>709</v>
      </c>
      <c r="H44" s="242">
        <v>3190</v>
      </c>
      <c r="I44" s="197"/>
      <c r="J44" s="197"/>
      <c r="K44" s="241"/>
      <c r="L44" s="197"/>
      <c r="M44" s="242">
        <v>3190</v>
      </c>
      <c r="N44" s="197"/>
      <c r="O44" s="197"/>
      <c r="P44" s="197"/>
      <c r="Q44" s="242">
        <v>4388</v>
      </c>
      <c r="R44" s="197"/>
      <c r="S44" s="196"/>
      <c r="T44" s="196"/>
      <c r="U44" s="196"/>
      <c r="V44" s="196"/>
    </row>
    <row customHeight="1" ht="15">
      <c r="A45" s="196"/>
      <c r="B45" s="196"/>
      <c r="C45" s="196"/>
      <c r="D45" s="196"/>
      <c r="E45" s="196"/>
      <c r="F45" s="197"/>
      <c r="G45" s="242">
        <v>0</v>
      </c>
      <c r="H45" s="242">
        <v>0</v>
      </c>
      <c r="I45" s="197"/>
      <c r="J45" s="197"/>
      <c r="K45" s="241"/>
      <c r="L45" s="197"/>
      <c r="M45" s="242">
        <v>0</v>
      </c>
      <c r="N45" s="197"/>
      <c r="O45" s="197"/>
      <c r="P45" s="197"/>
      <c r="Q45" s="242">
        <v>0</v>
      </c>
      <c r="R45" s="197"/>
      <c r="S45" s="196"/>
      <c r="T45" s="196"/>
      <c r="U45" s="196"/>
      <c r="V45" s="196"/>
    </row>
    <row customHeight="1" ht="15">
      <c r="A46" s="196"/>
      <c r="B46" s="196"/>
      <c r="C46" s="196"/>
      <c r="D46" s="196"/>
      <c r="E46" s="196"/>
      <c r="F46" s="197"/>
      <c r="G46" s="197"/>
      <c r="H46" s="197"/>
      <c r="I46" s="197"/>
      <c r="J46" s="197"/>
      <c r="K46" s="241"/>
      <c r="L46" s="197"/>
      <c r="M46" s="197"/>
      <c r="N46" s="197"/>
      <c r="O46" s="197"/>
      <c r="P46" s="197"/>
      <c r="Q46" s="197"/>
      <c r="R46" s="197"/>
      <c r="S46" s="196"/>
      <c r="T46" s="196"/>
      <c r="U46" s="196"/>
      <c r="V46" s="196"/>
    </row>
    <row customHeight="1" ht="15">
      <c r="A47" s="196"/>
      <c r="B47" s="196"/>
      <c r="C47" s="196"/>
      <c r="D47" s="196"/>
      <c r="E47" s="196"/>
      <c r="F47" s="197"/>
      <c r="G47" s="197"/>
      <c r="H47" s="197"/>
      <c r="I47" s="197"/>
      <c r="J47" s="197"/>
      <c r="K47" s="241"/>
      <c r="L47" s="197"/>
      <c r="M47" s="197"/>
      <c r="N47" s="197"/>
      <c r="O47" s="197"/>
      <c r="P47" s="197"/>
      <c r="Q47" s="197"/>
      <c r="R47" s="197"/>
      <c r="S47" s="196"/>
      <c r="T47" s="196"/>
      <c r="U47" s="196"/>
      <c r="V47" s="196"/>
    </row>
    <row customHeight="1" ht="15">
      <c r="A48" s="196"/>
      <c r="B48" s="196"/>
      <c r="C48" s="196"/>
      <c r="D48" s="196"/>
      <c r="E48" s="196"/>
      <c r="F48" s="197"/>
      <c r="G48" s="242">
        <v>0</v>
      </c>
      <c r="H48" s="242">
        <v>0</v>
      </c>
      <c r="I48" s="197"/>
      <c r="J48" s="197"/>
      <c r="K48" s="241"/>
      <c r="L48" s="197"/>
      <c r="M48" s="242">
        <v>0</v>
      </c>
      <c r="N48" s="197"/>
      <c r="O48" s="197"/>
      <c r="P48" s="197"/>
      <c r="Q48" s="242">
        <v>251</v>
      </c>
      <c r="R48" s="197"/>
      <c r="S48" s="196"/>
      <c r="T48" s="196"/>
      <c r="U48" s="196"/>
      <c r="V48" s="196"/>
    </row>
    <row customHeight="1" ht="15">
      <c r="A49" s="196"/>
      <c r="B49" s="196"/>
      <c r="C49" s="196"/>
      <c r="D49" s="196"/>
      <c r="E49" s="196"/>
      <c r="F49" s="197"/>
      <c r="G49" s="242">
        <v>0</v>
      </c>
      <c r="H49" s="242">
        <v>0</v>
      </c>
      <c r="I49" s="197"/>
      <c r="J49" s="197"/>
      <c r="K49" s="241"/>
      <c r="L49" s="197"/>
      <c r="M49" s="242">
        <v>0</v>
      </c>
      <c r="N49" s="197"/>
      <c r="O49" s="197"/>
      <c r="P49" s="197"/>
      <c r="Q49" s="242">
        <v>0</v>
      </c>
      <c r="R49" s="197"/>
      <c r="S49" s="196"/>
      <c r="T49" s="196"/>
      <c r="U49" s="196"/>
      <c r="V49" s="196"/>
    </row>
    <row customHeight="1" ht="15">
      <c r="A50" s="196"/>
      <c r="B50" s="196"/>
      <c r="C50" s="196"/>
      <c r="D50" s="196"/>
      <c r="E50" s="196"/>
      <c r="F50" s="197"/>
      <c r="G50" s="242"/>
      <c r="H50" s="242"/>
      <c r="I50" s="197"/>
      <c r="J50" s="197"/>
      <c r="K50" s="241"/>
      <c r="L50" s="197"/>
      <c r="M50" s="242"/>
      <c r="N50" s="197"/>
      <c r="O50" s="197"/>
      <c r="P50" s="197"/>
      <c r="Q50" s="242"/>
      <c r="R50" s="197"/>
      <c r="S50" s="196"/>
      <c r="T50" s="196"/>
      <c r="U50" s="196"/>
      <c r="V50" s="196"/>
    </row>
    <row customHeight="1" ht="15">
      <c r="A51" s="196"/>
      <c r="B51" s="196"/>
      <c r="C51" s="196"/>
      <c r="D51" s="196"/>
      <c r="E51" s="196"/>
      <c r="F51" s="197"/>
      <c r="G51" s="197"/>
      <c r="H51" s="197"/>
      <c r="I51" s="197"/>
      <c r="J51" s="197"/>
      <c r="K51" s="241"/>
      <c r="L51" s="197"/>
      <c r="M51" s="197"/>
      <c r="N51" s="197"/>
      <c r="O51" s="197"/>
      <c r="P51" s="197"/>
      <c r="Q51" s="197"/>
      <c r="R51" s="197"/>
      <c r="S51" s="196"/>
      <c r="T51" s="196"/>
      <c r="U51" s="196"/>
      <c r="V51" s="196"/>
    </row>
    <row customHeight="1" ht="15">
      <c r="A52" s="196"/>
      <c r="B52" s="196"/>
      <c r="C52" s="196"/>
      <c r="D52" s="196"/>
      <c r="E52" s="196"/>
      <c r="F52" s="197"/>
      <c r="G52" s="197"/>
      <c r="H52" s="197"/>
      <c r="I52" s="197"/>
      <c r="J52" s="197"/>
      <c r="K52" s="241"/>
      <c r="L52" s="197"/>
      <c r="M52" s="197"/>
      <c r="N52" s="197"/>
      <c r="O52" s="197"/>
      <c r="P52" s="197"/>
      <c r="Q52" s="197"/>
      <c r="R52" s="197"/>
      <c r="S52" s="196"/>
      <c r="T52" s="196"/>
      <c r="U52" s="196"/>
      <c r="V52" s="196"/>
    </row>
    <row customHeight="1" ht="15">
      <c r="A53" s="196"/>
      <c r="B53" s="196"/>
      <c r="C53" s="196"/>
      <c r="D53" s="196"/>
      <c r="E53" s="196"/>
      <c r="F53" s="197"/>
      <c r="G53" s="197"/>
      <c r="H53" s="197"/>
      <c r="I53" s="197"/>
      <c r="J53" s="197"/>
      <c r="K53" s="241"/>
      <c r="L53" s="197"/>
      <c r="M53" s="243"/>
      <c r="N53" s="197"/>
      <c r="O53" s="197"/>
      <c r="P53" s="197"/>
      <c r="Q53" s="197"/>
      <c r="R53" s="197"/>
      <c r="S53" s="196"/>
      <c r="T53" s="196"/>
      <c r="U53" s="196"/>
      <c r="V53" s="196"/>
    </row>
    <row customHeight="1" ht="15">
      <c r="A54" s="196"/>
      <c r="B54" s="196"/>
      <c r="C54" s="196"/>
      <c r="D54" s="196"/>
      <c r="E54" s="196"/>
      <c r="F54" s="197"/>
      <c r="G54" s="197"/>
      <c r="H54" s="197"/>
      <c r="I54" s="197"/>
      <c r="J54" s="197"/>
      <c r="K54" s="241"/>
      <c r="L54" s="197"/>
      <c r="M54" s="197"/>
      <c r="N54" s="197"/>
      <c r="O54" s="197"/>
      <c r="P54" s="197"/>
      <c r="Q54" s="197"/>
      <c r="R54" s="197"/>
      <c r="S54" s="196"/>
      <c r="T54" s="196"/>
      <c r="U54" s="196"/>
      <c r="V54" s="196"/>
    </row>
    <row customHeight="1" ht="15">
      <c r="A55" s="196"/>
      <c r="B55" s="196"/>
      <c r="C55" s="196"/>
      <c r="D55" s="196"/>
      <c r="E55" s="196"/>
      <c r="F55" s="197"/>
      <c r="G55" s="197"/>
      <c r="H55" s="197"/>
      <c r="I55" s="197"/>
      <c r="J55" s="197"/>
      <c r="K55" s="241"/>
      <c r="L55" s="197"/>
      <c r="M55" s="197"/>
      <c r="N55" s="197"/>
      <c r="O55" s="197"/>
      <c r="P55" s="197"/>
      <c r="Q55" s="197"/>
      <c r="R55" s="197"/>
      <c r="S55" s="196"/>
      <c r="T55" s="196"/>
      <c r="U55" s="196"/>
      <c r="V55" s="196"/>
    </row>
    <row customHeight="1" ht="15">
      <c r="A56" s="196"/>
      <c r="B56" s="196"/>
      <c r="C56" s="196"/>
      <c r="D56" s="196"/>
      <c r="E56" s="196"/>
      <c r="F56" s="197"/>
      <c r="G56" s="197"/>
      <c r="H56" s="197"/>
      <c r="I56" s="197"/>
      <c r="J56" s="197"/>
      <c r="K56" s="241"/>
      <c r="L56" s="197"/>
      <c r="M56" s="197"/>
      <c r="N56" s="197"/>
      <c r="O56" s="197"/>
      <c r="P56" s="197"/>
      <c r="Q56" s="197"/>
      <c r="R56" s="197"/>
      <c r="S56" s="196"/>
      <c r="T56" s="196"/>
      <c r="U56" s="196"/>
      <c r="V56" s="196"/>
    </row>
    <row customHeight="1" ht="15">
      <c r="A57" s="196"/>
      <c r="B57" s="196"/>
      <c r="C57" s="196"/>
      <c r="D57" s="196"/>
      <c r="E57" s="196"/>
      <c r="F57" s="197"/>
      <c r="G57" s="197"/>
      <c r="H57" s="197"/>
      <c r="I57" s="197"/>
      <c r="J57" s="197"/>
      <c r="K57" s="241"/>
      <c r="L57" s="197"/>
      <c r="M57" s="197"/>
      <c r="N57" s="197"/>
      <c r="O57" s="197"/>
      <c r="P57" s="197"/>
      <c r="Q57" s="197"/>
      <c r="R57" s="197"/>
      <c r="S57" s="196"/>
      <c r="T57" s="196"/>
      <c r="U57" s="196"/>
      <c r="V57" s="196"/>
    </row>
    <row customHeight="1" ht="15">
      <c r="A58" s="196"/>
      <c r="B58" s="196"/>
      <c r="C58" s="196"/>
      <c r="D58" s="196"/>
      <c r="E58" s="196"/>
      <c r="F58" s="197"/>
      <c r="G58" s="197"/>
      <c r="H58" s="197"/>
      <c r="I58" s="197"/>
      <c r="J58" s="197"/>
      <c r="K58" s="241"/>
      <c r="L58" s="197"/>
      <c r="M58" s="197"/>
      <c r="N58" s="197"/>
      <c r="O58" s="197"/>
      <c r="P58" s="197"/>
      <c r="Q58" s="197"/>
      <c r="R58" s="197"/>
      <c r="S58" s="196"/>
      <c r="T58" s="196"/>
      <c r="U58" s="196"/>
      <c r="V58" s="196"/>
    </row>
    <row customHeight="1" ht="15">
      <c r="A59" s="196"/>
      <c r="B59" s="196"/>
      <c r="C59" s="196"/>
      <c r="D59" s="196"/>
      <c r="E59" s="196"/>
      <c r="F59" s="197"/>
      <c r="G59" s="197"/>
      <c r="H59" s="197"/>
      <c r="I59" s="197"/>
      <c r="J59" s="197"/>
      <c r="K59" s="241"/>
      <c r="L59" s="197"/>
      <c r="M59" s="197"/>
      <c r="N59" s="197"/>
      <c r="O59" s="197"/>
      <c r="P59" s="197"/>
      <c r="Q59" s="197"/>
      <c r="R59" s="197"/>
      <c r="S59" s="196"/>
      <c r="T59" s="196"/>
      <c r="U59" s="196"/>
      <c r="V59" s="196"/>
    </row>
    <row customHeight="1" ht="15">
      <c r="A60" s="196"/>
      <c r="B60" s="196"/>
      <c r="C60" s="196"/>
      <c r="D60" s="196"/>
      <c r="E60" s="196"/>
      <c r="F60" s="197"/>
      <c r="G60" s="197"/>
      <c r="H60" s="197"/>
      <c r="I60" s="197"/>
      <c r="J60" s="197"/>
      <c r="K60" s="241"/>
      <c r="L60" s="197"/>
      <c r="M60" s="197"/>
      <c r="N60" s="197"/>
      <c r="O60" s="197"/>
      <c r="P60" s="197"/>
      <c r="Q60" s="197"/>
      <c r="R60" s="197"/>
      <c r="S60" s="196"/>
      <c r="T60" s="196"/>
      <c r="U60" s="196"/>
      <c r="V60" s="196"/>
    </row>
    <row customHeight="1" ht="15">
      <c r="A61" s="196"/>
      <c r="B61" s="196"/>
      <c r="C61" s="196"/>
      <c r="D61" s="196"/>
      <c r="E61" s="196"/>
      <c r="F61" s="197"/>
      <c r="G61" s="197"/>
      <c r="H61" s="197"/>
      <c r="I61" s="197"/>
      <c r="J61" s="197"/>
      <c r="K61" s="241"/>
      <c r="L61" s="197"/>
      <c r="M61" s="197"/>
      <c r="N61" s="197"/>
      <c r="O61" s="197"/>
      <c r="P61" s="197"/>
      <c r="Q61" s="197"/>
      <c r="R61" s="197"/>
      <c r="S61" s="196"/>
      <c r="T61" s="196"/>
      <c r="U61" s="196"/>
      <c r="V61" s="196"/>
    </row>
    <row customHeight="1" ht="15">
      <c r="A62" s="196"/>
      <c r="B62" s="196"/>
      <c r="C62" s="196"/>
      <c r="D62" s="196"/>
      <c r="E62" s="196"/>
      <c r="F62" s="197"/>
      <c r="G62" s="197"/>
      <c r="H62" s="197"/>
      <c r="I62" s="197"/>
      <c r="J62" s="197"/>
      <c r="K62" s="241"/>
      <c r="L62" s="197"/>
      <c r="M62" s="197"/>
      <c r="N62" s="197"/>
      <c r="O62" s="197"/>
      <c r="P62" s="197"/>
      <c r="Q62" s="197"/>
      <c r="R62" s="197"/>
      <c r="S62" s="196"/>
      <c r="T62" s="196"/>
      <c r="U62" s="196"/>
      <c r="V62" s="196"/>
    </row>
    <row customHeight="1" ht="15">
      <c r="A63" s="196"/>
      <c r="B63" s="196"/>
      <c r="C63" s="196"/>
      <c r="D63" s="196"/>
      <c r="E63" s="196"/>
      <c r="F63" s="197"/>
      <c r="G63" s="197"/>
      <c r="H63" s="197"/>
      <c r="I63" s="197"/>
      <c r="J63" s="197"/>
      <c r="K63" s="241"/>
      <c r="L63" s="197"/>
      <c r="M63" s="197"/>
      <c r="N63" s="197"/>
      <c r="O63" s="197"/>
      <c r="P63" s="197"/>
      <c r="Q63" s="197"/>
      <c r="R63" s="197"/>
      <c r="S63" s="196"/>
      <c r="T63" s="196"/>
      <c r="U63" s="196"/>
      <c r="V63" s="196"/>
    </row>
    <row customHeight="1" ht="15">
      <c r="A64" s="196"/>
      <c r="B64" s="196"/>
      <c r="C64" s="196"/>
      <c r="D64" s="196"/>
      <c r="E64" s="196"/>
      <c r="F64" s="197"/>
      <c r="G64" s="197"/>
      <c r="H64" s="197"/>
      <c r="I64" s="197"/>
      <c r="J64" s="197"/>
      <c r="K64" s="241"/>
      <c r="L64" s="197"/>
      <c r="M64" s="197"/>
      <c r="N64" s="197"/>
      <c r="O64" s="197"/>
      <c r="P64" s="197"/>
      <c r="Q64" s="197"/>
      <c r="R64" s="197"/>
      <c r="S64" s="196"/>
      <c r="T64" s="196"/>
      <c r="U64" s="196"/>
      <c r="V64" s="196"/>
    </row>
    <row customHeight="1" ht="15">
      <c r="A65" s="196"/>
      <c r="B65" s="196"/>
      <c r="C65" s="196"/>
      <c r="D65" s="196"/>
      <c r="E65" s="196"/>
      <c r="F65" s="197"/>
      <c r="G65" s="197"/>
      <c r="H65" s="197"/>
      <c r="I65" s="197"/>
      <c r="J65" s="197"/>
      <c r="K65" s="241"/>
      <c r="L65" s="197"/>
      <c r="M65" s="197"/>
      <c r="N65" s="197"/>
      <c r="O65" s="197"/>
      <c r="P65" s="197"/>
      <c r="Q65" s="197"/>
      <c r="R65" s="197"/>
      <c r="S65" s="196"/>
      <c r="T65" s="196"/>
      <c r="U65" s="196"/>
      <c r="V65" s="196"/>
    </row>
    <row customHeight="1" ht="15">
      <c r="A66" s="196"/>
      <c r="B66" s="196"/>
      <c r="C66" s="196"/>
      <c r="D66" s="196"/>
      <c r="E66" s="196"/>
      <c r="F66" s="197"/>
      <c r="G66" s="197"/>
      <c r="H66" s="197"/>
      <c r="I66" s="197"/>
      <c r="J66" s="197"/>
      <c r="K66" s="241"/>
      <c r="L66" s="197"/>
      <c r="M66" s="197"/>
      <c r="N66" s="197"/>
      <c r="O66" s="197"/>
      <c r="P66" s="197"/>
      <c r="Q66" s="197"/>
      <c r="R66" s="197"/>
      <c r="S66" s="196"/>
      <c r="T66" s="196"/>
      <c r="U66" s="196"/>
      <c r="V66" s="196"/>
    </row>
    <row customHeight="1" ht="15">
      <c r="A67" s="196"/>
      <c r="B67" s="196"/>
      <c r="C67" s="196"/>
      <c r="D67" s="196"/>
      <c r="E67" s="196"/>
      <c r="F67" s="197"/>
      <c r="G67" s="197"/>
      <c r="H67" s="197"/>
      <c r="I67" s="197"/>
      <c r="J67" s="197"/>
      <c r="K67" s="241"/>
      <c r="L67" s="197"/>
      <c r="M67" s="197"/>
      <c r="N67" s="197"/>
      <c r="O67" s="197"/>
      <c r="P67" s="197"/>
      <c r="Q67" s="197"/>
      <c r="R67" s="197"/>
      <c r="S67" s="196"/>
      <c r="T67" s="196"/>
      <c r="U67" s="196"/>
      <c r="V67" s="196"/>
    </row>
    <row customHeight="1" ht="15">
      <c r="A68" s="196"/>
      <c r="B68" s="196"/>
      <c r="C68" s="196"/>
      <c r="D68" s="196"/>
      <c r="E68" s="196"/>
      <c r="F68" s="197"/>
      <c r="G68" s="197"/>
      <c r="H68" s="197"/>
      <c r="I68" s="197"/>
      <c r="J68" s="197"/>
      <c r="K68" s="241"/>
      <c r="L68" s="197"/>
      <c r="M68" s="197"/>
      <c r="N68" s="197"/>
      <c r="O68" s="197"/>
      <c r="P68" s="197"/>
      <c r="Q68" s="197"/>
      <c r="R68" s="197"/>
      <c r="S68" s="196"/>
      <c r="T68" s="196"/>
      <c r="U68" s="196"/>
      <c r="V68" s="196"/>
    </row>
    <row customHeight="1" ht="15">
      <c r="A69" s="196"/>
      <c r="B69" s="196"/>
      <c r="C69" s="196"/>
      <c r="D69" s="196"/>
      <c r="E69" s="196"/>
      <c r="F69" s="197"/>
      <c r="G69" s="197"/>
      <c r="H69" s="197"/>
      <c r="I69" s="197"/>
      <c r="J69" s="197"/>
      <c r="K69" s="241"/>
      <c r="L69" s="197"/>
      <c r="M69" s="197"/>
      <c r="N69" s="197"/>
      <c r="O69" s="197"/>
      <c r="P69" s="197"/>
      <c r="Q69" s="197"/>
      <c r="R69" s="197"/>
      <c r="S69" s="196"/>
      <c r="T69" s="196"/>
      <c r="U69" s="196"/>
      <c r="V69" s="196"/>
    </row>
    <row customHeight="1" ht="15">
      <c r="A70" s="196"/>
      <c r="B70" s="196"/>
      <c r="C70" s="196"/>
      <c r="D70" s="196"/>
      <c r="E70" s="196"/>
      <c r="F70" s="197"/>
      <c r="G70" s="197"/>
      <c r="H70" s="197"/>
      <c r="I70" s="197"/>
      <c r="J70" s="197"/>
      <c r="K70" s="241"/>
      <c r="L70" s="197"/>
      <c r="M70" s="197"/>
      <c r="N70" s="197"/>
      <c r="O70" s="197"/>
      <c r="P70" s="197"/>
      <c r="Q70" s="197"/>
      <c r="R70" s="197"/>
      <c r="S70" s="196"/>
      <c r="T70" s="196"/>
      <c r="U70" s="196"/>
      <c r="V70" s="196"/>
    </row>
    <row customHeight="1" ht="15">
      <c r="A71" s="196"/>
      <c r="B71" s="196"/>
      <c r="C71" s="196"/>
      <c r="D71" s="196"/>
      <c r="E71" s="196"/>
      <c r="F71" s="197"/>
      <c r="G71" s="197"/>
      <c r="H71" s="197"/>
      <c r="I71" s="197"/>
      <c r="J71" s="197"/>
      <c r="K71" s="241"/>
      <c r="L71" s="197"/>
      <c r="M71" s="197"/>
      <c r="N71" s="197"/>
      <c r="O71" s="197"/>
      <c r="P71" s="197"/>
      <c r="Q71" s="197"/>
      <c r="R71" s="197"/>
      <c r="S71" s="196"/>
      <c r="T71" s="196"/>
      <c r="U71" s="196"/>
      <c r="V71" s="196"/>
    </row>
    <row customHeight="1" ht="15">
      <c r="A72" s="196"/>
      <c r="B72" s="196"/>
      <c r="C72" s="196"/>
      <c r="D72" s="196"/>
      <c r="E72" s="196"/>
      <c r="F72" s="197"/>
      <c r="G72" s="197"/>
      <c r="H72" s="197"/>
      <c r="I72" s="197"/>
      <c r="J72" s="197"/>
      <c r="K72" s="241"/>
      <c r="L72" s="197"/>
      <c r="M72" s="197"/>
      <c r="N72" s="197"/>
      <c r="O72" s="197"/>
      <c r="P72" s="197"/>
      <c r="Q72" s="197"/>
      <c r="R72" s="197"/>
      <c r="S72" s="196"/>
      <c r="T72" s="196"/>
      <c r="U72" s="196"/>
      <c r="V72" s="196"/>
    </row>
    <row customHeight="1" ht="15">
      <c r="A73" s="196"/>
      <c r="B73" s="196"/>
      <c r="C73" s="196"/>
      <c r="D73" s="196"/>
      <c r="E73" s="196"/>
      <c r="F73" s="197"/>
      <c r="G73" s="197"/>
      <c r="H73" s="197"/>
      <c r="I73" s="197"/>
      <c r="J73" s="197"/>
      <c r="K73" s="241"/>
      <c r="L73" s="197"/>
      <c r="M73" s="197"/>
      <c r="N73" s="197"/>
      <c r="O73" s="197"/>
      <c r="P73" s="197"/>
      <c r="Q73" s="197"/>
      <c r="R73" s="197"/>
      <c r="S73" s="196"/>
      <c r="T73" s="196"/>
      <c r="U73" s="196"/>
      <c r="V73" s="196"/>
    </row>
    <row customHeight="1" ht="15">
      <c r="A74" s="196"/>
      <c r="B74" s="196"/>
      <c r="C74" s="196"/>
      <c r="D74" s="196"/>
      <c r="E74" s="196"/>
      <c r="F74" s="197"/>
      <c r="G74" s="197"/>
      <c r="H74" s="197"/>
      <c r="I74" s="197"/>
      <c r="J74" s="197"/>
      <c r="K74" s="241"/>
      <c r="L74" s="197"/>
      <c r="M74" s="197"/>
      <c r="N74" s="197"/>
      <c r="O74" s="197"/>
      <c r="P74" s="197"/>
      <c r="Q74" s="197"/>
      <c r="R74" s="197"/>
      <c r="S74" s="196"/>
      <c r="T74" s="196"/>
      <c r="U74" s="196"/>
      <c r="V74" s="196"/>
    </row>
    <row customHeight="1" ht="15">
      <c r="A75" s="196"/>
      <c r="B75" s="196"/>
      <c r="C75" s="196"/>
      <c r="D75" s="196"/>
      <c r="E75" s="196"/>
      <c r="F75" s="197"/>
      <c r="G75" s="197"/>
      <c r="H75" s="197"/>
      <c r="I75" s="197"/>
      <c r="J75" s="197"/>
      <c r="K75" s="241"/>
      <c r="L75" s="197"/>
      <c r="M75" s="197"/>
      <c r="N75" s="197"/>
      <c r="O75" s="197"/>
      <c r="P75" s="197"/>
      <c r="Q75" s="197"/>
      <c r="R75" s="197"/>
      <c r="S75" s="196"/>
      <c r="T75" s="196"/>
      <c r="U75" s="196"/>
      <c r="V75" s="196"/>
    </row>
    <row customHeight="1" ht="15">
      <c r="A76" s="196"/>
      <c r="B76" s="196"/>
      <c r="C76" s="196"/>
      <c r="D76" s="196"/>
      <c r="E76" s="196"/>
      <c r="F76" s="197"/>
      <c r="G76" s="197"/>
      <c r="H76" s="197"/>
      <c r="I76" s="197"/>
      <c r="J76" s="197"/>
      <c r="K76" s="241"/>
      <c r="L76" s="197"/>
      <c r="M76" s="197"/>
      <c r="N76" s="197"/>
      <c r="O76" s="197"/>
      <c r="P76" s="197"/>
      <c r="Q76" s="197"/>
      <c r="R76" s="197"/>
      <c r="S76" s="196"/>
      <c r="T76" s="196"/>
      <c r="U76" s="196"/>
      <c r="V76" s="196"/>
    </row>
    <row customHeight="1" ht="15">
      <c r="A77" s="196"/>
      <c r="B77" s="196"/>
      <c r="C77" s="196"/>
      <c r="D77" s="196"/>
      <c r="E77" s="196"/>
      <c r="F77" s="197"/>
      <c r="G77" s="197"/>
      <c r="H77" s="197"/>
      <c r="I77" s="197"/>
      <c r="J77" s="197"/>
      <c r="K77" s="241"/>
      <c r="L77" s="197"/>
      <c r="M77" s="197"/>
      <c r="N77" s="197"/>
      <c r="O77" s="197"/>
      <c r="P77" s="197"/>
      <c r="Q77" s="197"/>
      <c r="R77" s="197"/>
      <c r="S77" s="196"/>
      <c r="T77" s="196"/>
      <c r="U77" s="196"/>
      <c r="V77" s="196"/>
    </row>
    <row customHeight="1" ht="15">
      <c r="A78" s="196"/>
      <c r="B78" s="196"/>
      <c r="C78" s="196"/>
      <c r="D78" s="196"/>
      <c r="E78" s="196"/>
      <c r="F78" s="197"/>
      <c r="G78" s="197"/>
      <c r="H78" s="197"/>
      <c r="I78" s="197"/>
      <c r="J78" s="197"/>
      <c r="K78" s="241"/>
      <c r="L78" s="197"/>
      <c r="M78" s="197"/>
      <c r="N78" s="197"/>
      <c r="O78" s="197"/>
      <c r="P78" s="197"/>
      <c r="Q78" s="197"/>
      <c r="R78" s="197"/>
      <c r="S78" s="196"/>
      <c r="T78" s="196"/>
      <c r="U78" s="196"/>
      <c r="V78" s="196"/>
    </row>
    <row customHeight="1" ht="15">
      <c r="A79" s="196"/>
      <c r="B79" s="196"/>
      <c r="C79" s="196"/>
      <c r="D79" s="196"/>
      <c r="E79" s="196"/>
      <c r="F79" s="197"/>
      <c r="G79" s="197"/>
      <c r="H79" s="197"/>
      <c r="I79" s="197"/>
      <c r="J79" s="197"/>
      <c r="K79" s="241"/>
      <c r="L79" s="197"/>
      <c r="M79" s="197"/>
      <c r="N79" s="197"/>
      <c r="O79" s="197"/>
      <c r="P79" s="197"/>
      <c r="Q79" s="197"/>
      <c r="R79" s="197"/>
      <c r="S79" s="196"/>
      <c r="T79" s="196"/>
      <c r="U79" s="196"/>
      <c r="V79" s="196"/>
    </row>
    <row customHeight="1" ht="15">
      <c r="A80" s="196"/>
      <c r="B80" s="196"/>
      <c r="C80" s="196"/>
      <c r="D80" s="196"/>
      <c r="E80" s="196"/>
      <c r="F80" s="197"/>
      <c r="G80" s="197"/>
      <c r="H80" s="197"/>
      <c r="I80" s="197"/>
      <c r="J80" s="197"/>
      <c r="K80" s="241"/>
      <c r="L80" s="197"/>
      <c r="M80" s="197"/>
      <c r="N80" s="197"/>
      <c r="O80" s="197"/>
      <c r="P80" s="197"/>
      <c r="Q80" s="197"/>
      <c r="R80" s="197"/>
      <c r="S80" s="196"/>
      <c r="T80" s="196"/>
      <c r="U80" s="196"/>
      <c r="V80" s="196"/>
    </row>
    <row customHeight="1" ht="15">
      <c r="A81" s="196"/>
      <c r="B81" s="196"/>
      <c r="C81" s="196"/>
      <c r="D81" s="196"/>
      <c r="E81" s="196"/>
      <c r="F81" s="197"/>
      <c r="G81" s="197"/>
      <c r="H81" s="197"/>
      <c r="I81" s="197"/>
      <c r="J81" s="197"/>
      <c r="K81" s="241"/>
      <c r="L81" s="197"/>
      <c r="M81" s="197"/>
      <c r="N81" s="197"/>
      <c r="O81" s="197"/>
      <c r="P81" s="197"/>
      <c r="Q81" s="197"/>
      <c r="R81" s="197"/>
      <c r="S81" s="196"/>
      <c r="T81" s="196"/>
      <c r="U81" s="196"/>
      <c r="V81" s="196"/>
    </row>
    <row customHeight="1" ht="15">
      <c r="A82" s="196"/>
      <c r="B82" s="196"/>
      <c r="C82" s="196"/>
      <c r="D82" s="196"/>
      <c r="E82" s="196"/>
      <c r="F82" s="197"/>
      <c r="G82" s="197"/>
      <c r="H82" s="197"/>
      <c r="I82" s="197"/>
      <c r="J82" s="197"/>
      <c r="K82" s="241"/>
      <c r="L82" s="197"/>
      <c r="M82" s="197"/>
      <c r="N82" s="197"/>
      <c r="O82" s="197"/>
      <c r="P82" s="197"/>
      <c r="Q82" s="197"/>
      <c r="R82" s="197"/>
      <c r="S82" s="196"/>
      <c r="T82" s="196"/>
      <c r="U82" s="196"/>
      <c r="V82" s="196"/>
    </row>
    <row customHeight="1" ht="15">
      <c r="A83" s="196"/>
      <c r="B83" s="196"/>
      <c r="C83" s="196"/>
      <c r="D83" s="196"/>
      <c r="E83" s="196"/>
      <c r="F83" s="197"/>
      <c r="G83" s="197"/>
      <c r="H83" s="197"/>
      <c r="I83" s="197"/>
      <c r="J83" s="197"/>
      <c r="K83" s="241"/>
      <c r="L83" s="197"/>
      <c r="M83" s="197"/>
      <c r="N83" s="197"/>
      <c r="O83" s="197"/>
      <c r="P83" s="197"/>
      <c r="Q83" s="197"/>
      <c r="R83" s="197"/>
      <c r="S83" s="196"/>
      <c r="T83" s="196"/>
      <c r="U83" s="196"/>
      <c r="V83" s="196"/>
    </row>
    <row customHeight="1" ht="15">
      <c r="A84" s="196"/>
      <c r="B84" s="196"/>
      <c r="C84" s="196"/>
      <c r="D84" s="196"/>
      <c r="E84" s="196"/>
      <c r="F84" s="197"/>
      <c r="G84" s="197"/>
      <c r="H84" s="197"/>
      <c r="I84" s="197"/>
      <c r="J84" s="197"/>
      <c r="K84" s="241"/>
      <c r="L84" s="197"/>
      <c r="M84" s="197"/>
      <c r="N84" s="197"/>
      <c r="O84" s="197"/>
      <c r="P84" s="197"/>
      <c r="Q84" s="197"/>
      <c r="R84" s="197"/>
      <c r="S84" s="196"/>
      <c r="T84" s="196"/>
      <c r="U84" s="196"/>
      <c r="V84" s="196"/>
    </row>
    <row customHeight="1" ht="15">
      <c r="A85" s="196"/>
      <c r="B85" s="196"/>
      <c r="C85" s="196"/>
      <c r="D85" s="196"/>
      <c r="E85" s="196"/>
      <c r="F85" s="197"/>
      <c r="G85" s="197"/>
      <c r="H85" s="197"/>
      <c r="I85" s="197"/>
      <c r="J85" s="197"/>
      <c r="K85" s="241"/>
      <c r="L85" s="197"/>
      <c r="M85" s="197"/>
      <c r="N85" s="197"/>
      <c r="O85" s="197"/>
      <c r="P85" s="197"/>
      <c r="Q85" s="197"/>
      <c r="R85" s="197"/>
      <c r="S85" s="196"/>
      <c r="T85" s="196"/>
      <c r="U85" s="196"/>
      <c r="V85" s="196"/>
    </row>
    <row customHeight="1" ht="15">
      <c r="A86" s="196"/>
      <c r="B86" s="196"/>
      <c r="C86" s="196"/>
      <c r="D86" s="196"/>
      <c r="E86" s="196"/>
      <c r="F86" s="197"/>
      <c r="G86" s="197"/>
      <c r="H86" s="197"/>
      <c r="I86" s="197"/>
      <c r="J86" s="197"/>
      <c r="K86" s="241"/>
      <c r="L86" s="197"/>
      <c r="M86" s="197"/>
      <c r="N86" s="197"/>
      <c r="O86" s="197"/>
      <c r="P86" s="197"/>
      <c r="Q86" s="197"/>
      <c r="R86" s="197"/>
      <c r="S86" s="196"/>
      <c r="T86" s="196"/>
      <c r="U86" s="196"/>
      <c r="V86" s="196"/>
    </row>
    <row customHeight="1" ht="15">
      <c r="A87" s="196"/>
      <c r="B87" s="196"/>
      <c r="C87" s="196"/>
      <c r="D87" s="196"/>
      <c r="E87" s="196"/>
      <c r="F87" s="197"/>
      <c r="G87" s="197"/>
      <c r="H87" s="197"/>
      <c r="I87" s="197"/>
      <c r="J87" s="197"/>
      <c r="K87" s="241"/>
      <c r="L87" s="197"/>
      <c r="M87" s="197"/>
      <c r="N87" s="197"/>
      <c r="O87" s="197"/>
      <c r="P87" s="197"/>
      <c r="Q87" s="197"/>
      <c r="R87" s="197"/>
      <c r="S87" s="196"/>
      <c r="T87" s="196"/>
      <c r="U87" s="196"/>
      <c r="V87" s="196"/>
    </row>
    <row customHeight="1" ht="15">
      <c r="A88" s="196"/>
      <c r="B88" s="196"/>
      <c r="C88" s="196"/>
      <c r="D88" s="196"/>
      <c r="E88" s="196"/>
      <c r="F88" s="197"/>
      <c r="G88" s="197"/>
      <c r="H88" s="197"/>
      <c r="I88" s="197"/>
      <c r="J88" s="197"/>
      <c r="K88" s="241"/>
      <c r="L88" s="197"/>
      <c r="M88" s="197"/>
      <c r="N88" s="197"/>
      <c r="O88" s="197"/>
      <c r="P88" s="197"/>
      <c r="Q88" s="197"/>
      <c r="R88" s="197"/>
      <c r="S88" s="196"/>
      <c r="T88" s="196"/>
      <c r="U88" s="196"/>
      <c r="V88" s="196"/>
    </row>
    <row customHeight="1" ht="15">
      <c r="A89" s="196"/>
      <c r="B89" s="196"/>
      <c r="C89" s="196"/>
      <c r="D89" s="196"/>
      <c r="E89" s="196"/>
      <c r="F89" s="197"/>
      <c r="G89" s="197"/>
      <c r="H89" s="197"/>
      <c r="I89" s="197"/>
      <c r="J89" s="197"/>
      <c r="K89" s="241"/>
      <c r="L89" s="197"/>
      <c r="M89" s="197"/>
      <c r="N89" s="197"/>
      <c r="O89" s="197"/>
      <c r="P89" s="197"/>
      <c r="Q89" s="197"/>
      <c r="R89" s="197"/>
      <c r="S89" s="196"/>
      <c r="T89" s="196"/>
      <c r="U89" s="196"/>
      <c r="V89" s="196"/>
    </row>
    <row customHeight="1" ht="15">
      <c r="A90" s="196"/>
      <c r="B90" s="196"/>
      <c r="C90" s="196"/>
      <c r="D90" s="196"/>
      <c r="E90" s="196"/>
      <c r="F90" s="197"/>
      <c r="G90" s="197"/>
      <c r="H90" s="197"/>
      <c r="I90" s="197"/>
      <c r="J90" s="197"/>
      <c r="K90" s="241"/>
      <c r="L90" s="197"/>
      <c r="M90" s="197"/>
      <c r="N90" s="197"/>
      <c r="O90" s="197"/>
      <c r="P90" s="197"/>
      <c r="Q90" s="197"/>
      <c r="R90" s="197"/>
      <c r="S90" s="196"/>
      <c r="T90" s="196"/>
      <c r="U90" s="196"/>
      <c r="V90" s="196"/>
    </row>
    <row customHeight="1" ht="15">
      <c r="A91" s="196"/>
      <c r="B91" s="196"/>
      <c r="C91" s="196"/>
      <c r="D91" s="196"/>
      <c r="E91" s="196"/>
      <c r="F91" s="197"/>
      <c r="G91" s="197"/>
      <c r="H91" s="197"/>
      <c r="I91" s="197"/>
      <c r="J91" s="197"/>
      <c r="K91" s="241"/>
      <c r="L91" s="197"/>
      <c r="M91" s="197"/>
      <c r="N91" s="197"/>
      <c r="O91" s="197"/>
      <c r="P91" s="197"/>
      <c r="Q91" s="197"/>
      <c r="R91" s="197"/>
      <c r="S91" s="196"/>
      <c r="T91" s="196"/>
      <c r="U91" s="196"/>
      <c r="V91" s="196"/>
    </row>
    <row customHeight="1" ht="15">
      <c r="A92" s="196"/>
      <c r="B92" s="196"/>
      <c r="C92" s="196"/>
      <c r="D92" s="196"/>
      <c r="E92" s="196"/>
      <c r="F92" s="197"/>
      <c r="G92" s="197"/>
      <c r="H92" s="197"/>
      <c r="I92" s="197"/>
      <c r="J92" s="197"/>
      <c r="K92" s="241"/>
      <c r="L92" s="197"/>
      <c r="M92" s="197"/>
      <c r="N92" s="197"/>
      <c r="O92" s="197"/>
      <c r="P92" s="197"/>
      <c r="Q92" s="197"/>
      <c r="R92" s="197"/>
      <c r="S92" s="196"/>
      <c r="T92" s="196"/>
      <c r="U92" s="196"/>
      <c r="V92" s="196"/>
    </row>
    <row customHeight="1" ht="15">
      <c r="A93" s="196"/>
      <c r="B93" s="196"/>
      <c r="C93" s="196"/>
      <c r="D93" s="196"/>
      <c r="E93" s="196"/>
      <c r="F93" s="197"/>
      <c r="G93" s="197"/>
      <c r="H93" s="197"/>
      <c r="I93" s="197"/>
      <c r="J93" s="197"/>
      <c r="K93" s="241"/>
      <c r="L93" s="197"/>
      <c r="M93" s="197"/>
      <c r="N93" s="197"/>
      <c r="O93" s="197"/>
      <c r="P93" s="197"/>
      <c r="Q93" s="197"/>
      <c r="R93" s="197"/>
      <c r="S93" s="196"/>
      <c r="T93" s="196"/>
      <c r="U93" s="196"/>
      <c r="V93" s="196"/>
    </row>
    <row customHeight="1" ht="15">
      <c r="A94" s="196"/>
      <c r="B94" s="196"/>
      <c r="C94" s="196"/>
      <c r="D94" s="196"/>
      <c r="E94" s="196"/>
      <c r="F94" s="197"/>
      <c r="G94" s="197"/>
      <c r="H94" s="197"/>
      <c r="I94" s="197"/>
      <c r="J94" s="197"/>
      <c r="K94" s="241"/>
      <c r="L94" s="197"/>
      <c r="M94" s="197"/>
      <c r="N94" s="197"/>
      <c r="O94" s="197"/>
      <c r="P94" s="197"/>
      <c r="Q94" s="197"/>
      <c r="R94" s="197"/>
      <c r="S94" s="196"/>
      <c r="T94" s="196"/>
      <c r="U94" s="196"/>
      <c r="V94" s="196"/>
    </row>
    <row customHeight="1" ht="15">
      <c r="A95" s="196"/>
      <c r="B95" s="196"/>
      <c r="C95" s="196"/>
      <c r="D95" s="196"/>
      <c r="E95" s="196"/>
      <c r="F95" s="197"/>
      <c r="G95" s="197"/>
      <c r="H95" s="197"/>
      <c r="I95" s="197"/>
      <c r="J95" s="197"/>
      <c r="K95" s="241"/>
      <c r="L95" s="197"/>
      <c r="M95" s="197"/>
      <c r="N95" s="197"/>
      <c r="O95" s="197"/>
      <c r="P95" s="197"/>
      <c r="Q95" s="197"/>
      <c r="R95" s="197"/>
      <c r="S95" s="196"/>
      <c r="T95" s="196"/>
      <c r="U95" s="196"/>
      <c r="V95" s="196"/>
    </row>
    <row customHeight="1" ht="15">
      <c r="A96" s="196"/>
      <c r="B96" s="196"/>
      <c r="C96" s="196"/>
      <c r="D96" s="196"/>
      <c r="E96" s="196"/>
      <c r="F96" s="197"/>
      <c r="G96" s="197"/>
      <c r="H96" s="197"/>
      <c r="I96" s="197"/>
      <c r="J96" s="197"/>
      <c r="K96" s="241"/>
      <c r="L96" s="197"/>
      <c r="M96" s="197"/>
      <c r="N96" s="197"/>
      <c r="O96" s="197"/>
      <c r="P96" s="197"/>
      <c r="Q96" s="197"/>
      <c r="R96" s="197"/>
      <c r="S96" s="196"/>
      <c r="T96" s="196"/>
      <c r="U96" s="196"/>
      <c r="V96" s="196"/>
    </row>
    <row customHeight="1" ht="15">
      <c r="A97" s="196"/>
      <c r="B97" s="196"/>
      <c r="C97" s="196"/>
      <c r="D97" s="196"/>
      <c r="E97" s="196"/>
      <c r="F97" s="197"/>
      <c r="G97" s="197"/>
      <c r="H97" s="197"/>
      <c r="I97" s="197"/>
      <c r="J97" s="197"/>
      <c r="K97" s="241"/>
      <c r="L97" s="197"/>
      <c r="M97" s="197"/>
      <c r="N97" s="197"/>
      <c r="O97" s="197"/>
      <c r="P97" s="197"/>
      <c r="Q97" s="197"/>
      <c r="R97" s="197"/>
      <c r="S97" s="196"/>
      <c r="T97" s="196"/>
      <c r="U97" s="196"/>
      <c r="V97" s="196"/>
    </row>
    <row customHeight="1" ht="15">
      <c r="A98" s="196"/>
      <c r="B98" s="196"/>
      <c r="C98" s="196"/>
      <c r="D98" s="196"/>
      <c r="E98" s="196"/>
      <c r="F98" s="197"/>
      <c r="G98" s="197"/>
      <c r="H98" s="197"/>
      <c r="I98" s="197"/>
      <c r="J98" s="197"/>
      <c r="K98" s="241"/>
      <c r="L98" s="197"/>
      <c r="M98" s="197"/>
      <c r="N98" s="197"/>
      <c r="O98" s="197"/>
      <c r="P98" s="197"/>
      <c r="Q98" s="197"/>
      <c r="R98" s="197"/>
      <c r="S98" s="196"/>
      <c r="T98" s="196"/>
      <c r="U98" s="196"/>
      <c r="V98" s="196"/>
    </row>
    <row customHeight="1" ht="15">
      <c r="A99" s="196"/>
      <c r="B99" s="196"/>
      <c r="C99" s="196"/>
      <c r="D99" s="196"/>
      <c r="E99" s="196"/>
      <c r="F99" s="197"/>
      <c r="G99" s="197"/>
      <c r="H99" s="197"/>
      <c r="I99" s="197"/>
      <c r="J99" s="197"/>
      <c r="K99" s="241"/>
      <c r="L99" s="197"/>
      <c r="M99" s="197"/>
      <c r="N99" s="197"/>
      <c r="O99" s="197"/>
      <c r="P99" s="197"/>
      <c r="Q99" s="197"/>
      <c r="R99" s="197"/>
      <c r="S99" s="196"/>
      <c r="T99" s="196"/>
      <c r="U99" s="196"/>
      <c r="V99" s="196"/>
    </row>
    <row customHeight="1" ht="15">
      <c r="A100" s="196"/>
      <c r="B100" s="196"/>
      <c r="C100" s="196"/>
      <c r="D100" s="196"/>
      <c r="E100" s="196"/>
      <c r="F100" s="197"/>
      <c r="G100" s="197"/>
      <c r="H100" s="197"/>
      <c r="I100" s="197"/>
      <c r="J100" s="197"/>
      <c r="K100" s="241"/>
      <c r="L100" s="197"/>
      <c r="M100" s="197"/>
      <c r="N100" s="197"/>
      <c r="O100" s="197"/>
      <c r="P100" s="197"/>
      <c r="Q100" s="197"/>
      <c r="R100" s="197"/>
      <c r="S100" s="196"/>
      <c r="T100" s="196"/>
      <c r="U100" s="196"/>
      <c r="V100" s="196"/>
    </row>
    <row customHeight="1" ht="15">
      <c r="A101" s="196"/>
      <c r="B101" s="196"/>
      <c r="C101" s="196"/>
      <c r="D101" s="196"/>
      <c r="E101" s="196"/>
      <c r="F101" s="197"/>
      <c r="G101" s="197"/>
      <c r="H101" s="197"/>
      <c r="I101" s="197"/>
      <c r="J101" s="197"/>
      <c r="K101" s="241"/>
      <c r="L101" s="197"/>
      <c r="M101" s="197"/>
      <c r="N101" s="197"/>
      <c r="O101" s="197"/>
      <c r="P101" s="197"/>
      <c r="Q101" s="197"/>
      <c r="R101" s="197"/>
      <c r="S101" s="196"/>
      <c r="T101" s="196"/>
      <c r="U101" s="196"/>
      <c r="V101" s="196"/>
    </row>
    <row customHeight="1" ht="15">
      <c r="A102" s="196"/>
      <c r="B102" s="196"/>
      <c r="C102" s="196"/>
      <c r="D102" s="196"/>
      <c r="E102" s="196"/>
      <c r="F102" s="197"/>
      <c r="G102" s="197"/>
      <c r="H102" s="197"/>
      <c r="I102" s="197"/>
      <c r="J102" s="197"/>
      <c r="K102" s="241"/>
      <c r="L102" s="197"/>
      <c r="M102" s="197"/>
      <c r="N102" s="197"/>
      <c r="O102" s="197"/>
      <c r="P102" s="197"/>
      <c r="Q102" s="197"/>
      <c r="R102" s="197"/>
      <c r="S102" s="196"/>
      <c r="T102" s="196"/>
      <c r="U102" s="196"/>
      <c r="V102" s="196"/>
    </row>
    <row customHeight="1" ht="15">
      <c r="A103" s="196"/>
      <c r="B103" s="196"/>
      <c r="C103" s="196"/>
      <c r="D103" s="196"/>
      <c r="E103" s="196"/>
      <c r="F103" s="197"/>
      <c r="G103" s="197"/>
      <c r="H103" s="197"/>
      <c r="I103" s="197"/>
      <c r="J103" s="197"/>
      <c r="K103" s="241"/>
      <c r="L103" s="197"/>
      <c r="M103" s="197"/>
      <c r="N103" s="197"/>
      <c r="O103" s="197"/>
      <c r="P103" s="197"/>
      <c r="Q103" s="197"/>
      <c r="R103" s="197"/>
      <c r="S103" s="196"/>
      <c r="T103" s="196"/>
      <c r="U103" s="196"/>
      <c r="V103" s="196"/>
    </row>
    <row customHeight="1" ht="15">
      <c r="A104" s="196"/>
      <c r="B104" s="196"/>
      <c r="C104" s="196"/>
      <c r="D104" s="196"/>
      <c r="E104" s="196"/>
      <c r="F104" s="197"/>
      <c r="G104" s="197"/>
      <c r="H104" s="197"/>
      <c r="I104" s="197"/>
      <c r="J104" s="197"/>
      <c r="K104" s="241"/>
      <c r="L104" s="197"/>
      <c r="M104" s="197"/>
      <c r="N104" s="197"/>
      <c r="O104" s="197"/>
      <c r="P104" s="197"/>
      <c r="Q104" s="197"/>
      <c r="R104" s="197"/>
      <c r="S104" s="196"/>
      <c r="T104" s="196"/>
      <c r="U104" s="196"/>
      <c r="V104" s="196"/>
    </row>
    <row customHeight="1" ht="15">
      <c r="A105" s="196"/>
      <c r="B105" s="196"/>
      <c r="C105" s="196"/>
      <c r="D105" s="196"/>
      <c r="E105" s="196"/>
      <c r="F105" s="197"/>
      <c r="G105" s="197"/>
      <c r="H105" s="197"/>
      <c r="I105" s="197"/>
      <c r="J105" s="197"/>
      <c r="K105" s="241"/>
      <c r="L105" s="197"/>
      <c r="M105" s="197"/>
      <c r="N105" s="197"/>
      <c r="O105" s="197"/>
      <c r="P105" s="197"/>
      <c r="Q105" s="197"/>
      <c r="R105" s="197"/>
      <c r="S105" s="196"/>
      <c r="T105" s="196"/>
      <c r="U105" s="196"/>
      <c r="V105" s="196"/>
    </row>
    <row customHeight="1" ht="15">
      <c r="A106" s="196"/>
      <c r="B106" s="196"/>
      <c r="C106" s="196"/>
      <c r="D106" s="196"/>
      <c r="E106" s="196"/>
      <c r="F106" s="197"/>
      <c r="G106" s="197"/>
      <c r="H106" s="197"/>
      <c r="I106" s="197"/>
      <c r="J106" s="197"/>
      <c r="K106" s="241"/>
      <c r="L106" s="197"/>
      <c r="M106" s="197"/>
      <c r="N106" s="197"/>
      <c r="O106" s="197"/>
      <c r="P106" s="197"/>
      <c r="Q106" s="197"/>
      <c r="R106" s="197"/>
      <c r="S106" s="196"/>
      <c r="T106" s="196"/>
      <c r="U106" s="196"/>
      <c r="V106" s="196"/>
    </row>
    <row customHeight="1" ht="15">
      <c r="A107" s="196"/>
      <c r="B107" s="196"/>
      <c r="C107" s="196"/>
      <c r="D107" s="196"/>
      <c r="E107" s="196"/>
      <c r="F107" s="197"/>
      <c r="G107" s="197"/>
      <c r="H107" s="197"/>
      <c r="I107" s="197"/>
      <c r="J107" s="197"/>
      <c r="K107" s="241"/>
      <c r="L107" s="197"/>
      <c r="M107" s="197"/>
      <c r="N107" s="197"/>
      <c r="O107" s="197"/>
      <c r="P107" s="197"/>
      <c r="Q107" s="197"/>
      <c r="R107" s="197"/>
      <c r="S107" s="196"/>
      <c r="T107" s="196"/>
      <c r="U107" s="196"/>
      <c r="V107" s="196"/>
    </row>
    <row customHeight="1" ht="15">
      <c r="A108" s="196"/>
      <c r="B108" s="196"/>
      <c r="C108" s="196"/>
      <c r="D108" s="196"/>
      <c r="E108" s="196"/>
      <c r="F108" s="197"/>
      <c r="G108" s="197"/>
      <c r="H108" s="197"/>
      <c r="I108" s="197"/>
      <c r="J108" s="197"/>
      <c r="K108" s="241"/>
      <c r="L108" s="197"/>
      <c r="M108" s="197"/>
      <c r="N108" s="197"/>
      <c r="O108" s="197"/>
      <c r="P108" s="197"/>
      <c r="Q108" s="197"/>
      <c r="R108" s="197"/>
      <c r="S108" s="196"/>
      <c r="T108" s="196"/>
      <c r="U108" s="196"/>
      <c r="V108" s="196"/>
    </row>
    <row customHeight="1" ht="15">
      <c r="A109" s="196"/>
      <c r="B109" s="196"/>
      <c r="C109" s="196"/>
      <c r="D109" s="196"/>
      <c r="E109" s="196"/>
      <c r="F109" s="197"/>
      <c r="G109" s="197"/>
      <c r="H109" s="197"/>
      <c r="I109" s="197"/>
      <c r="J109" s="197"/>
      <c r="K109" s="241"/>
      <c r="L109" s="197"/>
      <c r="M109" s="197"/>
      <c r="N109" s="197"/>
      <c r="O109" s="197"/>
      <c r="P109" s="197"/>
      <c r="Q109" s="197"/>
      <c r="R109" s="197"/>
      <c r="S109" s="196"/>
      <c r="T109" s="196"/>
      <c r="U109" s="196"/>
      <c r="V109" s="196"/>
    </row>
    <row customHeight="1" ht="15">
      <c r="A110" s="196"/>
      <c r="B110" s="196"/>
      <c r="C110" s="196"/>
      <c r="D110" s="196"/>
      <c r="E110" s="196"/>
      <c r="F110" s="197"/>
      <c r="G110" s="197"/>
      <c r="H110" s="197"/>
      <c r="I110" s="197"/>
      <c r="J110" s="197"/>
      <c r="K110" s="241"/>
      <c r="L110" s="197"/>
      <c r="M110" s="197"/>
      <c r="N110" s="197"/>
      <c r="O110" s="197"/>
      <c r="P110" s="197"/>
      <c r="Q110" s="197"/>
      <c r="R110" s="197"/>
      <c r="S110" s="196"/>
      <c r="T110" s="196"/>
      <c r="U110" s="196"/>
      <c r="V110" s="196"/>
    </row>
    <row customHeight="1" ht="15">
      <c r="A111" s="196"/>
      <c r="B111" s="196"/>
      <c r="C111" s="196"/>
      <c r="D111" s="196"/>
      <c r="E111" s="196"/>
      <c r="F111" s="197"/>
      <c r="G111" s="197"/>
      <c r="H111" s="197"/>
      <c r="I111" s="197"/>
      <c r="J111" s="197"/>
      <c r="K111" s="241"/>
      <c r="L111" s="197"/>
      <c r="M111" s="197"/>
      <c r="N111" s="197"/>
      <c r="O111" s="197"/>
      <c r="P111" s="197"/>
      <c r="Q111" s="197"/>
      <c r="R111" s="197"/>
      <c r="S111" s="196"/>
      <c r="T111" s="196"/>
      <c r="U111" s="196"/>
      <c r="V111" s="196"/>
    </row>
    <row customHeight="1" ht="15">
      <c r="A112" s="196"/>
      <c r="B112" s="196"/>
      <c r="C112" s="196"/>
      <c r="D112" s="196"/>
      <c r="E112" s="196"/>
      <c r="F112" s="197"/>
      <c r="G112" s="197"/>
      <c r="H112" s="197"/>
      <c r="I112" s="197"/>
      <c r="J112" s="197"/>
      <c r="K112" s="241"/>
      <c r="L112" s="197"/>
      <c r="M112" s="197"/>
      <c r="N112" s="197"/>
      <c r="O112" s="197"/>
      <c r="P112" s="197"/>
      <c r="Q112" s="197"/>
      <c r="R112" s="197"/>
      <c r="S112" s="196"/>
      <c r="T112" s="196"/>
      <c r="U112" s="196"/>
      <c r="V112" s="196"/>
    </row>
    <row customHeight="1" ht="15">
      <c r="A113" s="196"/>
      <c r="B113" s="196"/>
      <c r="C113" s="196"/>
      <c r="D113" s="196"/>
      <c r="E113" s="196"/>
      <c r="F113" s="197"/>
      <c r="G113" s="197"/>
      <c r="H113" s="197"/>
      <c r="I113" s="197"/>
      <c r="J113" s="197"/>
      <c r="K113" s="241"/>
      <c r="L113" s="197"/>
      <c r="M113" s="197"/>
      <c r="N113" s="197"/>
      <c r="O113" s="197"/>
      <c r="P113" s="197"/>
      <c r="Q113" s="197"/>
      <c r="R113" s="197"/>
      <c r="S113" s="196"/>
      <c r="T113" s="196"/>
      <c r="U113" s="196"/>
      <c r="V113" s="196"/>
    </row>
    <row customHeight="1" ht="15">
      <c r="A114" s="196"/>
      <c r="B114" s="196"/>
      <c r="C114" s="196"/>
      <c r="D114" s="196"/>
      <c r="E114" s="196"/>
      <c r="F114" s="197"/>
      <c r="G114" s="197"/>
      <c r="H114" s="197"/>
      <c r="I114" s="197"/>
      <c r="J114" s="197"/>
      <c r="K114" s="241"/>
      <c r="L114" s="197"/>
      <c r="M114" s="197"/>
      <c r="N114" s="197"/>
      <c r="O114" s="197"/>
      <c r="P114" s="197"/>
      <c r="Q114" s="197"/>
      <c r="R114" s="197"/>
      <c r="S114" s="196"/>
      <c r="T114" s="196"/>
      <c r="U114" s="196"/>
      <c r="V114" s="196"/>
    </row>
    <row customHeight="1" ht="15">
      <c r="A115" s="196"/>
      <c r="B115" s="196"/>
      <c r="C115" s="196"/>
      <c r="D115" s="196"/>
      <c r="E115" s="196"/>
      <c r="F115" s="197"/>
      <c r="G115" s="197"/>
      <c r="H115" s="197"/>
      <c r="I115" s="197"/>
      <c r="J115" s="197"/>
      <c r="K115" s="241"/>
      <c r="L115" s="197"/>
      <c r="M115" s="197"/>
      <c r="N115" s="197"/>
      <c r="O115" s="197"/>
      <c r="P115" s="197"/>
      <c r="Q115" s="197"/>
      <c r="R115" s="197"/>
      <c r="S115" s="196"/>
      <c r="T115" s="196"/>
      <c r="U115" s="196"/>
      <c r="V115" s="196"/>
    </row>
    <row customHeight="1" ht="15">
      <c r="A116" s="196"/>
      <c r="B116" s="196"/>
      <c r="C116" s="196"/>
      <c r="D116" s="196"/>
      <c r="E116" s="196"/>
      <c r="F116" s="197"/>
      <c r="G116" s="197"/>
      <c r="H116" s="197"/>
      <c r="I116" s="197"/>
      <c r="J116" s="197"/>
      <c r="K116" s="241"/>
      <c r="L116" s="197"/>
      <c r="M116" s="197"/>
      <c r="N116" s="197"/>
      <c r="O116" s="197"/>
      <c r="P116" s="197"/>
      <c r="Q116" s="197"/>
      <c r="R116" s="197"/>
      <c r="S116" s="196"/>
      <c r="T116" s="196"/>
      <c r="U116" s="196"/>
      <c r="V116" s="196"/>
    </row>
    <row customHeight="1" ht="15">
      <c r="A117" s="196"/>
      <c r="B117" s="196"/>
      <c r="C117" s="196"/>
      <c r="D117" s="196"/>
      <c r="E117" s="196"/>
      <c r="F117" s="197"/>
      <c r="G117" s="197"/>
      <c r="H117" s="197"/>
      <c r="I117" s="197"/>
      <c r="J117" s="197"/>
      <c r="K117" s="241"/>
      <c r="L117" s="197"/>
      <c r="M117" s="197"/>
      <c r="N117" s="197"/>
      <c r="O117" s="197"/>
      <c r="P117" s="197"/>
      <c r="Q117" s="197"/>
      <c r="R117" s="197"/>
      <c r="S117" s="196"/>
      <c r="T117" s="196"/>
      <c r="U117" s="196"/>
      <c r="V117" s="196"/>
    </row>
    <row customHeight="1" ht="15">
      <c r="A118" s="196"/>
      <c r="B118" s="196"/>
      <c r="C118" s="196"/>
      <c r="D118" s="196"/>
      <c r="E118" s="196"/>
      <c r="F118" s="197"/>
      <c r="G118" s="197"/>
      <c r="H118" s="197"/>
      <c r="I118" s="197"/>
      <c r="J118" s="197"/>
      <c r="K118" s="241"/>
      <c r="L118" s="197"/>
      <c r="M118" s="197"/>
      <c r="N118" s="197"/>
      <c r="O118" s="197"/>
      <c r="P118" s="197"/>
      <c r="Q118" s="197"/>
      <c r="R118" s="197"/>
      <c r="S118" s="196"/>
      <c r="T118" s="196"/>
      <c r="U118" s="196"/>
      <c r="V118" s="196"/>
    </row>
    <row customHeight="1" ht="15">
      <c r="A119" s="196"/>
      <c r="B119" s="196"/>
      <c r="C119" s="196"/>
      <c r="D119" s="196"/>
      <c r="E119" s="196"/>
      <c r="F119" s="197"/>
      <c r="G119" s="197"/>
      <c r="H119" s="197"/>
      <c r="I119" s="197"/>
      <c r="J119" s="197"/>
      <c r="K119" s="241"/>
      <c r="L119" s="197"/>
      <c r="M119" s="197"/>
      <c r="N119" s="197"/>
      <c r="O119" s="197"/>
      <c r="P119" s="197"/>
      <c r="Q119" s="197"/>
      <c r="R119" s="197"/>
      <c r="S119" s="196"/>
      <c r="T119" s="196"/>
      <c r="U119" s="196"/>
      <c r="V119" s="196"/>
    </row>
    <row customHeight="1" ht="15">
      <c r="A120" s="196"/>
      <c r="B120" s="196"/>
      <c r="C120" s="196"/>
      <c r="D120" s="196"/>
      <c r="E120" s="196"/>
      <c r="F120" s="197"/>
      <c r="G120" s="197"/>
      <c r="H120" s="197"/>
      <c r="I120" s="197"/>
      <c r="J120" s="197"/>
      <c r="K120" s="241"/>
      <c r="L120" s="197"/>
      <c r="M120" s="197"/>
      <c r="N120" s="197"/>
      <c r="O120" s="197"/>
      <c r="P120" s="197"/>
      <c r="Q120" s="197"/>
      <c r="R120" s="197"/>
      <c r="S120" s="196"/>
      <c r="T120" s="196"/>
      <c r="U120" s="196"/>
      <c r="V120" s="196"/>
    </row>
    <row customHeight="1" ht="15">
      <c r="A121" s="196"/>
      <c r="B121" s="196"/>
      <c r="C121" s="196"/>
      <c r="D121" s="196"/>
      <c r="E121" s="196"/>
      <c r="F121" s="197"/>
      <c r="G121" s="197"/>
      <c r="H121" s="197"/>
      <c r="I121" s="197"/>
      <c r="J121" s="197"/>
      <c r="K121" s="241"/>
      <c r="L121" s="197"/>
      <c r="M121" s="197"/>
      <c r="N121" s="197"/>
      <c r="O121" s="197"/>
      <c r="P121" s="197"/>
      <c r="Q121" s="197"/>
      <c r="R121" s="197"/>
      <c r="S121" s="196"/>
      <c r="T121" s="196"/>
      <c r="U121" s="196"/>
      <c r="V121" s="196"/>
    </row>
    <row customHeight="1" ht="15">
      <c r="A122" s="196"/>
      <c r="B122" s="196"/>
      <c r="C122" s="196"/>
      <c r="D122" s="196"/>
      <c r="E122" s="196"/>
      <c r="F122" s="197"/>
      <c r="G122" s="197"/>
      <c r="H122" s="197"/>
      <c r="I122" s="197"/>
      <c r="J122" s="197"/>
      <c r="K122" s="241"/>
      <c r="L122" s="197"/>
      <c r="M122" s="197"/>
      <c r="N122" s="197"/>
      <c r="O122" s="197"/>
      <c r="P122" s="197"/>
      <c r="Q122" s="197"/>
      <c r="R122" s="197"/>
      <c r="S122" s="196"/>
      <c r="T122" s="196"/>
      <c r="U122" s="196"/>
      <c r="V122" s="196"/>
    </row>
    <row customHeight="1" ht="15">
      <c r="A123" s="196"/>
      <c r="B123" s="196"/>
      <c r="C123" s="196"/>
      <c r="D123" s="196"/>
      <c r="E123" s="196"/>
      <c r="F123" s="197"/>
      <c r="G123" s="197"/>
      <c r="H123" s="197"/>
      <c r="I123" s="197"/>
      <c r="J123" s="197"/>
      <c r="K123" s="241"/>
      <c r="L123" s="197"/>
      <c r="M123" s="197"/>
      <c r="N123" s="197"/>
      <c r="O123" s="197"/>
      <c r="P123" s="197"/>
      <c r="Q123" s="197"/>
      <c r="R123" s="197"/>
      <c r="S123" s="196"/>
      <c r="T123" s="196"/>
      <c r="U123" s="196"/>
      <c r="V123" s="196"/>
    </row>
    <row customHeight="1" ht="15">
      <c r="A124" s="196"/>
      <c r="B124" s="196"/>
      <c r="C124" s="196"/>
      <c r="D124" s="196"/>
      <c r="E124" s="196"/>
      <c r="F124" s="197"/>
      <c r="G124" s="197"/>
      <c r="H124" s="197"/>
      <c r="I124" s="197"/>
      <c r="J124" s="197"/>
      <c r="K124" s="241"/>
      <c r="L124" s="197"/>
      <c r="M124" s="197"/>
      <c r="N124" s="197"/>
      <c r="O124" s="197"/>
      <c r="P124" s="197"/>
      <c r="Q124" s="197"/>
      <c r="R124" s="197"/>
      <c r="S124" s="196"/>
      <c r="T124" s="196"/>
      <c r="U124" s="196"/>
      <c r="V124" s="196"/>
    </row>
    <row customHeight="1" ht="15">
      <c r="A125" s="196"/>
      <c r="B125" s="196"/>
      <c r="C125" s="196"/>
      <c r="D125" s="196"/>
      <c r="E125" s="196"/>
      <c r="F125" s="197"/>
      <c r="G125" s="197"/>
      <c r="H125" s="197"/>
      <c r="I125" s="197"/>
      <c r="J125" s="197"/>
      <c r="K125" s="241"/>
      <c r="L125" s="197"/>
      <c r="M125" s="197"/>
      <c r="N125" s="197"/>
      <c r="O125" s="197"/>
      <c r="P125" s="197"/>
      <c r="Q125" s="197"/>
      <c r="R125" s="197"/>
      <c r="S125" s="196"/>
      <c r="T125" s="196"/>
      <c r="U125" s="196"/>
      <c r="V125" s="196"/>
    </row>
    <row customHeight="1" ht="15">
      <c r="A126" s="196"/>
      <c r="B126" s="196"/>
      <c r="C126" s="196"/>
      <c r="D126" s="196"/>
      <c r="E126" s="196"/>
      <c r="F126" s="197"/>
      <c r="G126" s="197"/>
      <c r="H126" s="197"/>
      <c r="I126" s="197"/>
      <c r="J126" s="197"/>
      <c r="K126" s="241"/>
      <c r="L126" s="197"/>
      <c r="M126" s="197"/>
      <c r="N126" s="197"/>
      <c r="O126" s="197"/>
      <c r="P126" s="197"/>
      <c r="Q126" s="197"/>
      <c r="R126" s="197"/>
      <c r="S126" s="196"/>
      <c r="T126" s="196"/>
      <c r="U126" s="196"/>
      <c r="V126" s="196"/>
    </row>
    <row customHeight="1" ht="15">
      <c r="A127" s="196"/>
      <c r="B127" s="196"/>
      <c r="C127" s="196"/>
      <c r="D127" s="196"/>
      <c r="E127" s="196"/>
      <c r="F127" s="197"/>
      <c r="G127" s="197"/>
      <c r="H127" s="197"/>
      <c r="I127" s="197"/>
      <c r="J127" s="197"/>
      <c r="K127" s="241"/>
      <c r="L127" s="197"/>
      <c r="M127" s="197"/>
      <c r="N127" s="197"/>
      <c r="O127" s="197"/>
      <c r="P127" s="197"/>
      <c r="Q127" s="197"/>
      <c r="R127" s="197"/>
      <c r="S127" s="196"/>
      <c r="T127" s="196"/>
      <c r="U127" s="196"/>
      <c r="V127" s="196"/>
    </row>
    <row customHeight="1" ht="15">
      <c r="A128" s="196"/>
      <c r="B128" s="196"/>
      <c r="C128" s="196"/>
      <c r="D128" s="196"/>
      <c r="E128" s="196"/>
      <c r="F128" s="197"/>
      <c r="G128" s="197"/>
      <c r="H128" s="197"/>
      <c r="I128" s="197"/>
      <c r="J128" s="197"/>
      <c r="K128" s="241"/>
      <c r="L128" s="197"/>
      <c r="M128" s="197"/>
      <c r="N128" s="197"/>
      <c r="O128" s="197"/>
      <c r="P128" s="197"/>
      <c r="Q128" s="197"/>
      <c r="R128" s="197"/>
      <c r="S128" s="196"/>
      <c r="T128" s="196"/>
      <c r="U128" s="196"/>
      <c r="V128" s="196"/>
    </row>
    <row customHeight="1" ht="15">
      <c r="A129" s="196"/>
      <c r="B129" s="196"/>
      <c r="C129" s="196"/>
      <c r="D129" s="196"/>
      <c r="E129" s="196"/>
      <c r="F129" s="197"/>
      <c r="G129" s="197"/>
      <c r="H129" s="197"/>
      <c r="I129" s="197"/>
      <c r="J129" s="197"/>
      <c r="K129" s="241"/>
      <c r="L129" s="197"/>
      <c r="M129" s="197"/>
      <c r="N129" s="197"/>
      <c r="O129" s="197"/>
      <c r="P129" s="197"/>
      <c r="Q129" s="197"/>
      <c r="R129" s="197"/>
      <c r="S129" s="196"/>
      <c r="T129" s="196"/>
      <c r="U129" s="196"/>
      <c r="V129" s="196"/>
    </row>
    <row customHeight="1" ht="15">
      <c r="A130" s="196"/>
      <c r="B130" s="196"/>
      <c r="C130" s="196"/>
      <c r="D130" s="196"/>
      <c r="E130" s="196"/>
      <c r="F130" s="197"/>
      <c r="G130" s="197"/>
      <c r="H130" s="197"/>
      <c r="I130" s="197"/>
      <c r="J130" s="197"/>
      <c r="K130" s="241"/>
      <c r="L130" s="197"/>
      <c r="M130" s="197"/>
      <c r="N130" s="197"/>
      <c r="O130" s="197"/>
      <c r="P130" s="197"/>
      <c r="Q130" s="197"/>
      <c r="R130" s="197"/>
      <c r="S130" s="196"/>
      <c r="T130" s="196"/>
      <c r="U130" s="196"/>
      <c r="V130" s="196"/>
    </row>
    <row customHeight="1" ht="15">
      <c r="A131" s="196"/>
      <c r="B131" s="196"/>
      <c r="C131" s="196"/>
      <c r="D131" s="196"/>
      <c r="E131" s="196"/>
      <c r="F131" s="197"/>
      <c r="G131" s="197"/>
      <c r="H131" s="197"/>
      <c r="I131" s="197"/>
      <c r="J131" s="197"/>
      <c r="K131" s="241"/>
      <c r="L131" s="197"/>
      <c r="M131" s="197"/>
      <c r="N131" s="197"/>
      <c r="O131" s="197"/>
      <c r="P131" s="197"/>
      <c r="Q131" s="197"/>
      <c r="R131" s="197"/>
      <c r="S131" s="196"/>
      <c r="T131" s="196"/>
      <c r="U131" s="196"/>
      <c r="V131" s="196"/>
    </row>
    <row customHeight="1" ht="15">
      <c r="A132" s="196"/>
      <c r="B132" s="196"/>
      <c r="C132" s="196"/>
      <c r="D132" s="196"/>
      <c r="E132" s="196"/>
      <c r="F132" s="197"/>
      <c r="G132" s="197"/>
      <c r="H132" s="197"/>
      <c r="I132" s="197"/>
      <c r="J132" s="197"/>
      <c r="K132" s="241"/>
      <c r="L132" s="197"/>
      <c r="M132" s="197"/>
      <c r="N132" s="197"/>
      <c r="O132" s="197"/>
      <c r="P132" s="197"/>
      <c r="Q132" s="197"/>
      <c r="R132" s="197"/>
      <c r="S132" s="196"/>
      <c r="T132" s="196"/>
      <c r="U132" s="196"/>
      <c r="V132" s="196"/>
    </row>
    <row customHeight="1" ht="15">
      <c r="A133" s="196"/>
      <c r="B133" s="196"/>
      <c r="C133" s="196"/>
      <c r="D133" s="196"/>
      <c r="E133" s="196"/>
      <c r="F133" s="197"/>
      <c r="G133" s="197"/>
      <c r="H133" s="197"/>
      <c r="I133" s="197"/>
      <c r="J133" s="197"/>
      <c r="K133" s="241"/>
      <c r="L133" s="197"/>
      <c r="M133" s="197"/>
      <c r="N133" s="197"/>
      <c r="O133" s="197"/>
      <c r="P133" s="197"/>
      <c r="Q133" s="197"/>
      <c r="R133" s="197"/>
      <c r="S133" s="196"/>
      <c r="T133" s="196"/>
      <c r="U133" s="196"/>
      <c r="V133" s="196"/>
    </row>
    <row customHeight="1" ht="15">
      <c r="A134" s="196"/>
      <c r="B134" s="196"/>
      <c r="C134" s="196"/>
      <c r="D134" s="196"/>
      <c r="E134" s="196"/>
      <c r="F134" s="197"/>
      <c r="G134" s="197"/>
      <c r="H134" s="197"/>
      <c r="I134" s="197"/>
      <c r="J134" s="197"/>
      <c r="K134" s="241"/>
      <c r="L134" s="197"/>
      <c r="M134" s="197"/>
      <c r="N134" s="197"/>
      <c r="O134" s="197"/>
      <c r="P134" s="197"/>
      <c r="Q134" s="197"/>
      <c r="R134" s="197"/>
      <c r="S134" s="196"/>
      <c r="T134" s="196"/>
      <c r="U134" s="196"/>
      <c r="V134" s="196"/>
    </row>
    <row customHeight="1" ht="15">
      <c r="A135" s="196"/>
      <c r="B135" s="196"/>
      <c r="C135" s="196"/>
      <c r="D135" s="196"/>
      <c r="E135" s="196"/>
      <c r="F135" s="197"/>
      <c r="G135" s="197"/>
      <c r="H135" s="197"/>
      <c r="I135" s="197"/>
      <c r="J135" s="197"/>
      <c r="K135" s="241"/>
      <c r="L135" s="197"/>
      <c r="M135" s="197"/>
      <c r="N135" s="197"/>
      <c r="O135" s="197"/>
      <c r="P135" s="197"/>
      <c r="Q135" s="197"/>
      <c r="R135" s="197"/>
      <c r="S135" s="196"/>
      <c r="T135" s="196"/>
      <c r="U135" s="196"/>
      <c r="V135" s="196"/>
    </row>
    <row customHeight="1" ht="15">
      <c r="A136" s="196"/>
      <c r="B136" s="196"/>
      <c r="C136" s="196"/>
      <c r="D136" s="196"/>
      <c r="E136" s="196"/>
      <c r="F136" s="197"/>
      <c r="G136" s="197"/>
      <c r="H136" s="197"/>
      <c r="I136" s="197"/>
      <c r="J136" s="197"/>
      <c r="K136" s="241"/>
      <c r="L136" s="197"/>
      <c r="M136" s="197"/>
      <c r="N136" s="197"/>
      <c r="O136" s="197"/>
      <c r="P136" s="197"/>
      <c r="Q136" s="197"/>
      <c r="R136" s="197"/>
      <c r="S136" s="196"/>
      <c r="T136" s="196"/>
      <c r="U136" s="196"/>
      <c r="V136" s="196"/>
    </row>
    <row customHeight="1" ht="15">
      <c r="A137" s="196"/>
      <c r="B137" s="196"/>
      <c r="C137" s="196"/>
      <c r="D137" s="196"/>
      <c r="E137" s="196"/>
      <c r="F137" s="197"/>
      <c r="G137" s="197"/>
      <c r="H137" s="197"/>
      <c r="I137" s="197"/>
      <c r="J137" s="197"/>
      <c r="K137" s="241"/>
      <c r="L137" s="197"/>
      <c r="M137" s="197"/>
      <c r="N137" s="197"/>
      <c r="O137" s="197"/>
      <c r="P137" s="197"/>
      <c r="Q137" s="197"/>
      <c r="R137" s="197"/>
      <c r="S137" s="196"/>
      <c r="T137" s="196"/>
      <c r="U137" s="196"/>
      <c r="V137" s="196"/>
    </row>
    <row customHeight="1" ht="15">
      <c r="A138" s="196"/>
      <c r="B138" s="196"/>
      <c r="C138" s="196"/>
      <c r="D138" s="196"/>
      <c r="E138" s="196"/>
      <c r="F138" s="197"/>
      <c r="G138" s="197"/>
      <c r="H138" s="197"/>
      <c r="I138" s="197"/>
      <c r="J138" s="197"/>
      <c r="K138" s="241"/>
      <c r="L138" s="197"/>
      <c r="M138" s="197"/>
      <c r="N138" s="197"/>
      <c r="O138" s="197"/>
      <c r="P138" s="197"/>
      <c r="Q138" s="197"/>
      <c r="R138" s="197"/>
      <c r="S138" s="196"/>
      <c r="T138" s="196"/>
      <c r="U138" s="196"/>
      <c r="V138" s="196"/>
    </row>
    <row customHeight="1" ht="15">
      <c r="A139" s="196"/>
      <c r="B139" s="196"/>
      <c r="C139" s="196"/>
      <c r="D139" s="196"/>
      <c r="E139" s="196"/>
      <c r="F139" s="197"/>
      <c r="G139" s="197"/>
      <c r="H139" s="197"/>
      <c r="I139" s="197"/>
      <c r="J139" s="197"/>
      <c r="K139" s="241"/>
      <c r="L139" s="197"/>
      <c r="M139" s="197"/>
      <c r="N139" s="197"/>
      <c r="O139" s="197"/>
      <c r="P139" s="197"/>
      <c r="Q139" s="197"/>
      <c r="R139" s="197"/>
      <c r="S139" s="196"/>
      <c r="T139" s="196"/>
      <c r="U139" s="196"/>
      <c r="V139" s="196"/>
    </row>
    <row customHeight="1" ht="15">
      <c r="A140" s="196"/>
      <c r="B140" s="196"/>
      <c r="C140" s="196"/>
      <c r="D140" s="196"/>
      <c r="E140" s="196"/>
      <c r="F140" s="197"/>
      <c r="G140" s="197"/>
      <c r="H140" s="197"/>
      <c r="I140" s="197"/>
      <c r="J140" s="197"/>
      <c r="K140" s="241"/>
      <c r="L140" s="197"/>
      <c r="M140" s="197"/>
      <c r="N140" s="197"/>
      <c r="O140" s="197"/>
      <c r="P140" s="197"/>
      <c r="Q140" s="197"/>
      <c r="R140" s="197"/>
      <c r="S140" s="196"/>
      <c r="T140" s="196"/>
      <c r="U140" s="196"/>
      <c r="V140" s="196"/>
    </row>
    <row customHeight="1" ht="15">
      <c r="A141" s="196"/>
      <c r="B141" s="196"/>
      <c r="C141" s="196"/>
      <c r="D141" s="196"/>
      <c r="E141" s="196"/>
      <c r="F141" s="197"/>
      <c r="G141" s="197"/>
      <c r="H141" s="197"/>
      <c r="I141" s="197"/>
      <c r="J141" s="197"/>
      <c r="K141" s="241"/>
      <c r="L141" s="197"/>
      <c r="M141" s="197"/>
      <c r="N141" s="197"/>
      <c r="O141" s="197"/>
      <c r="P141" s="197"/>
      <c r="Q141" s="197"/>
      <c r="R141" s="197"/>
      <c r="S141" s="196"/>
      <c r="T141" s="196"/>
      <c r="U141" s="196"/>
      <c r="V141" s="196"/>
    </row>
    <row customHeight="1" ht="15">
      <c r="A142" s="196"/>
      <c r="B142" s="196"/>
      <c r="C142" s="196"/>
      <c r="D142" s="196"/>
      <c r="E142" s="196"/>
      <c r="F142" s="197"/>
      <c r="G142" s="197"/>
      <c r="H142" s="197"/>
      <c r="I142" s="197"/>
      <c r="J142" s="197"/>
      <c r="K142" s="241"/>
      <c r="L142" s="197"/>
      <c r="M142" s="197"/>
      <c r="N142" s="197"/>
      <c r="O142" s="197"/>
      <c r="P142" s="197"/>
      <c r="Q142" s="197"/>
      <c r="R142" s="197"/>
      <c r="S142" s="196"/>
      <c r="T142" s="196"/>
      <c r="U142" s="196"/>
      <c r="V142" s="196"/>
    </row>
  </sheetData>
  <mergeCells count="36">
    <mergeCell ref="B5:D5"/>
    <mergeCell ref="B6:D6"/>
    <mergeCell ref="B7:D7"/>
    <mergeCell ref="B8:D8"/>
    <mergeCell ref="B9:D9"/>
    <mergeCell ref="B16:D16"/>
    <mergeCell ref="B19:D19"/>
    <mergeCell ref="B23:D23"/>
    <mergeCell ref="B24:D24"/>
    <mergeCell ref="B10:D10"/>
    <mergeCell ref="B11:D11"/>
    <mergeCell ref="B12:D12"/>
    <mergeCell ref="B13:D13"/>
    <mergeCell ref="B14:D14"/>
    <mergeCell ref="B35:D35"/>
    <mergeCell ref="B36:D36"/>
    <mergeCell ref="B37:D37"/>
    <mergeCell ref="A2:A4"/>
    <mergeCell ref="E2:E4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15:D15"/>
    <mergeCell ref="Q2:Q4"/>
    <mergeCell ref="R2:R4"/>
    <mergeCell ref="F2:I3"/>
    <mergeCell ref="J2:K3"/>
    <mergeCell ref="B2:D4"/>
    <mergeCell ref="L2:P3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完成情况</vt:lpstr>
      <vt:lpstr>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dhc</cp:lastModifiedBy>
  <cp:revision>1</cp:revision>
  <cp:lastPrinted>2025-03-04T00:04:15Z</cp:lastPrinted>
  <dcterms:created xsi:type="dcterms:W3CDTF">2008-02-11T14:18:00Z</dcterms:created>
  <dcterms:modified xsi:type="dcterms:W3CDTF">2025-03-04T00:31:05Z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C09599D93D7D4A3D92DFE29C34703527</vt:lpwstr>
  </property>
</Properties>
</file>