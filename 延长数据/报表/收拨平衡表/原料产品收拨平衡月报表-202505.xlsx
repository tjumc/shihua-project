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原料产品收拨平衡月报" sheetId="1" r:id="rId2"/>
    <sheet name="取值" sheetId="2" state="hidden" r:id="rId3"/>
    <sheet name="Sheet3" sheetId="3" state="hidden" r:id="rId4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D4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#Input("油田气科技公司_生产计划部_原料、产品收拨平衡月报表_天然气_期初库存",":key{{dw}}",":read")
</t>
        </r>
      </text>
    </comment>
    <comment ref="E4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#Input("油田气科技公司_生产计划部_原料、产品收拨平衡月报表_天然气_外购量",":key{{dw}}",":read")
</t>
        </r>
      </text>
    </comment>
    <comment ref="F4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#Input("油田气科技公司_生产计划部_原料、产品收拨平衡月报表_天然气_生产量",":key{{dw}}",":read")
</t>
        </r>
      </text>
    </comment>
    <comment ref="G4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#Input("油田气科技公司_生产计划部_原料、产品收拨平衡月报表_天然气_装置加工量",":key{{dw}}",":read")
</t>
        </r>
      </text>
    </comment>
    <comment ref="H4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#Input("油田气科技公司_生产计划部_原料、产品收拨平衡月报表_天然气_成品交库",":key{{dw}}",":read")
</t>
        </r>
      </text>
    </comment>
    <comment ref="I4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#Input("油田气科技公司_生产计划部_原料、产品收拨平衡月报表_天然气_销售量",":key{{dw}}",":read")
</t>
        </r>
      </text>
    </comment>
    <comment ref="J4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#Input("油田气科技公司_生产计划部_原料、产品收拨平衡月报表_天然气_生产自用",":key{{dw}}",":read")
</t>
        </r>
      </text>
    </comment>
    <comment ref="K4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#Input("油田气科技公司_生产计划部_原料、产品收拨平衡月报表_天然气_移入",":key{{dw}}",":read")
</t>
        </r>
      </text>
    </comment>
    <comment ref="L4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#Input("油田气科技公司_生产计划部_原料、产品收拨平衡月报表_天然气_移出",":key{{dw}}",":read")
</t>
        </r>
      </text>
    </comment>
    <comment ref="M4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#Input("油田气科技公司_生产计划部_原料、产品收拨平衡月报表_天然气_盈亏",":key{{dw}}",":read")
</t>
        </r>
      </text>
    </comment>
    <comment ref="N4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#Input("油田气科技公司_生产计划部_原料、产品收拨平衡月报表_天然气_期末库存",":key{{dw}}",":read")
</t>
        </r>
      </text>
    </comment>
    <comment ref="D5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#Input("油田气科技公司_生产计划部_原料、产品收拨平衡月报表_原料天然气_期初库存",":key{{dw}}",":read")
</t>
        </r>
      </text>
    </comment>
    <comment ref="E5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#Input("油田气科技公司_生产计划部_原料、产品收拨平衡月报表_原料天然气_外购量",":key{{dw}}",":read")</t>
        </r>
      </text>
    </comment>
    <comment ref="F5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#Input("油田气科技公司_生产计划部_原料、产品收拨平衡月报表_原料天然气_生产量",":key{{dw}}",":read")</t>
        </r>
      </text>
    </comment>
    <comment ref="G5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#Input("油田气科技公司_生产计划部_原料、产品收拨平衡月报表_原料天然气_装置加工量",":key{{dw}}",":read")
</t>
        </r>
      </text>
    </comment>
    <comment ref="H5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#Input("油田气科技公司_生产计划部_原料、产品收拨平衡月报表_原料天然气_成品交库",":key{{dw}}",":read")</t>
        </r>
      </text>
    </comment>
    <comment ref="I5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#Input("油田气科技公司_生产计划部_原料、产品收拨平衡月报表_原料天然气_销售量",":key{{dw}}",":read")</t>
        </r>
      </text>
    </comment>
    <comment ref="J5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#Input("油田气科技公司_生产计划部_原料、产品收拨平衡月报表_原料天然气_生产自用",":key{{dw}}",":read")
</t>
        </r>
      </text>
    </comment>
    <comment ref="K5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#Input("油田气科技公司_生产计划部_原料、产品收拨平衡月报表_原料天然气_移入",":key{{dw}}",":read")</t>
        </r>
      </text>
    </comment>
    <comment ref="L5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#Input("油田气科技公司_生产计划部_原料、产品收拨平衡月报表_原料天然气_移出",":key{{dw}}",":read")
</t>
        </r>
      </text>
    </comment>
    <comment ref="M5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#Input("油田气科技公司_生产计划部_原料、产品收拨平衡月报表_原料天然气_盈亏",":key{{dw}}",":read")
</t>
        </r>
      </text>
    </comment>
    <comment ref="N5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#Input("油田气科技公司_生产计划部_原料、产品收拨平衡月报表_原料天然气_期末库存",":key{{dw}}",":read")
</t>
        </r>
      </text>
    </comment>
    <comment ref="D6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#Input("油田气科技公司_生产计划部_原料、产品收拨平衡月报表_燃料天然气_期初库存",":key{{dw}}",":read")
</t>
        </r>
      </text>
    </comment>
    <comment ref="E6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#Input("油田气科技公司_生产计划部_原料、产品收拨平衡月报表_燃料天然气_外购量",":key{{dw}}",":read")</t>
        </r>
      </text>
    </comment>
    <comment ref="F6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#Input("油田气科技公司_生产计划部_原料、产品收拨平衡月报表_燃料天然气_生产量",":key{{dw}}",":read")</t>
        </r>
      </text>
    </comment>
    <comment ref="G6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#Input("油田气科技公司_生产计划部_原料、产品收拨平衡月报表_燃料天然气_装置加工量",":key{{dw}}",":read")
</t>
        </r>
      </text>
    </comment>
    <comment ref="H6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#Input("油田气科技公司_生产计划部_原料、产品收拨平衡月报表_燃料天然气_成品交库",":key{{dw}}",":read")
</t>
        </r>
      </text>
    </comment>
    <comment ref="I6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#Input("油田气科技公司_生产计划部_原料、产品收拨平衡月报表_燃料天然气_销售量",":key{{dw}}",":read")
</t>
        </r>
      </text>
    </comment>
    <comment ref="J6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#Input("油田气科技公司_生产计划部_原料、产品收拨平衡月报表_燃料天然气_生产自用",":key{{dw}}",":read")</t>
        </r>
      </text>
    </comment>
    <comment ref="K6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#Input("油田气科技公司_生产计划部_原料、产品收拨平衡月报表_燃料天然气_移入",":key{{dw}}",":read")
</t>
        </r>
      </text>
    </comment>
    <comment ref="L6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#Input("油田气科技公司_生产计划部_原料、产品收拨平衡月报表_燃料天然气_移出",":key{{dw}}",":read")</t>
        </r>
      </text>
    </comment>
    <comment ref="M6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#Input("油田气科技公司_生产计划部_原料、产品收拨平衡月报表_燃料天然气_盈亏",":key{{dw}}",":read")
</t>
        </r>
      </text>
    </comment>
    <comment ref="N6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#Input("油田气科技公司_生产计划部_原料、产品收拨平衡月末库存",":key{{dw}}",":read")
</t>
        </r>
      </text>
    </comment>
    <comment ref="D7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#Input("油田气科技公司_生产计划部_原料、产品收拨平衡月报表_甲醇_期初库存",":key{{dw}}",":read")
</t>
        </r>
      </text>
    </comment>
    <comment ref="E7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#Input("油田气科技公司_生产计划部_原料、产品收拨平衡月报表_甲醇_外购量",":key{{dw}}",":read")</t>
        </r>
      </text>
    </comment>
    <comment ref="F7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#Input("油田气科技公司_生产计划部_原料、产品收拨平衡月报表_甲醇_生产量",":key{{dw}}",":read")</t>
        </r>
      </text>
    </comment>
    <comment ref="G7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#Input("油田气科技公司_生产计划部_原料、产品收拨平衡月报表_甲醇_装置加工量",":key{{dw}}",":read")
</t>
        </r>
      </text>
    </comment>
    <comment ref="H7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#Input("油田气科技公司_生产计划部_原料、产品收拨平衡月报表_甲醇_成品交库",":key{{dw}}",":read")</t>
        </r>
      </text>
    </comment>
    <comment ref="I7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#Input("油田气科技公司_生产计划部_原料、产品收拨平衡月报表_甲醇_销售量",":key{{dw}}",":read")</t>
        </r>
      </text>
    </comment>
    <comment ref="J7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#Input("油田气科技公司_生产计划部_原料、产品收拨平衡月报表_甲醇_生产自用",":key{{dw}}",":read")
</t>
        </r>
      </text>
    </comment>
    <comment ref="K7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#Input("油田气科技公司_生产计划部_原料、产品收拨平衡月报表_甲醇_移入",":key{{dw}}",":read")</t>
        </r>
      </text>
    </comment>
    <comment ref="L7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#Input("油田气科技公司_生产计划部_原料、产品收拨平衡月报表_甲醇_移出",":key{{dw}}",":read")</t>
        </r>
      </text>
    </comment>
    <comment ref="M7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#Input("油田气科技公司_生产计划部_原料、产品收拨平衡月报表_甲醇_盈亏",":key{{dw}}",":read")</t>
        </r>
      </text>
    </comment>
    <comment ref="N7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#Input("油田气科技公司_生产计划部_原料、产品收拨平衡月报表_甲醇_期末库存",":key{{dw}}",":read")</t>
        </r>
      </text>
    </comment>
    <comment ref="D8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#Input("油田气科技公司_生产计划部_原料、产品收拨平衡月报表_醋酐_期初库存",":key{{dw}}",":read")
</t>
        </r>
      </text>
    </comment>
    <comment ref="E8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#Input("油田气科技公司_生产计划部_原料、产品收拨平衡月报表_醋酐_外购量",":key{{dw}}",":read")
</t>
        </r>
      </text>
    </comment>
    <comment ref="F8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#Input("油田气科技公司_生产计划部_原料、产品收拨平衡月报表_醋酐_生产量",":key{{dw}}",":read")
</t>
        </r>
      </text>
    </comment>
    <comment ref="G8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#Input("油田气科技公司_生产计划部_原料、产品收拨平衡月报表_醋酐_装置加工量",":key{{dw}}",":read")
</t>
        </r>
      </text>
    </comment>
    <comment ref="H8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#Input("油田气科技公司_生产计划部_原料、产品收拨平衡月报表_醋酐_成品交库",":key{{dw}}",":read")
</t>
        </r>
      </text>
    </comment>
    <comment ref="I8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#Input("油田气科技公司_生产计划部_原料、产品收拨平衡月报表_醋酐_销售量",":key{{dw}}",":read")
</t>
        </r>
      </text>
    </comment>
    <comment ref="J8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#Input("油田气科技公司_生产计划部_原料、产品收拨平衡月报表_醋酐_生产自用",":key{{dw}}",":read")
</t>
        </r>
      </text>
    </comment>
    <comment ref="K8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#Input("油田气科技公司_生产计划部_原料、产品收拨平衡月报表_醋酐_移入",":key{{dw}}",":read")
</t>
        </r>
      </text>
    </comment>
    <comment ref="L8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#Input("油田气科技公司_生产计划部_原料、产品收拨平衡月报表_醋酐_移出",":key{{dw}}",":read")
</t>
        </r>
      </text>
    </comment>
    <comment ref="M8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#Input("油田气科技公司_生产计划部_原料、产品收拨平衡月报表_醋酐_盈亏",":key{{dw}}",":read")
</t>
        </r>
      </text>
    </comment>
    <comment ref="N8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#Input("油田气科技公司_生产计划部_原料、产品收拨平衡月报表_醋酐_期末库存",":key{{dw}}",":read")
</t>
        </r>
      </text>
    </comment>
    <comment ref="D9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#Input("油田气科技公司_生产计划部_原料、产品收拨平衡月报表_BDO_期初库存",":key{{dw}}",":read")
</t>
        </r>
      </text>
    </comment>
    <comment ref="E9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#Input("油田气科技公司_生产计划部_原料、产品收拨平衡月报表_BDO_外购量",":key{{dw}}",":read")
</t>
        </r>
      </text>
    </comment>
    <comment ref="F9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#Input("油田气科技公司_生产计划部_原料、产品收拨平衡月报表_BDO_生产量",":key{{dw}}",":read")
</t>
        </r>
      </text>
    </comment>
    <comment ref="G9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#Input("油田气科技公司_生产计划部_原料、产品收拨平衡月报表_BDO_装置加工量",":key{{dw}}",":read")
</t>
        </r>
      </text>
    </comment>
    <comment ref="H9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#Input("油田气科技公司_生产计划部_原料、产品收拨平衡月报表_BDO_成品交库",":key{{dw}}")</t>
        </r>
      </text>
    </comment>
    <comment ref="I9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#Input("油田气科技公司_生产计划部_原料、产品收拨平衡月报表_BDO_销售量",":key{{dw}}",":read")
</t>
        </r>
      </text>
    </comment>
    <comment ref="J9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#Input("油田气科技公司_生产计划部_原料、产品收拨平衡月报表_BDO_生产自用",":key{{dw}}",":read")
</t>
        </r>
      </text>
    </comment>
    <comment ref="K9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#Input("油田气科技公司_生产计划部_原料、产品收拨平衡月报表_BDO_移入",":key{{dw}}",":read")
</t>
        </r>
      </text>
    </comment>
    <comment ref="L9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#Input("油田气科技公司_生产计划部_原料、产品收拨平衡月报表_BDO_移出",":key{{dw}}",":read")
</t>
        </r>
      </text>
    </comment>
    <comment ref="M9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#Input("油田气科技公司_生产计划部_原料、产品收拨平衡月报表_BDO_盈亏",":key{{dw}}",":read")
</t>
        </r>
      </text>
    </comment>
    <comment ref="N9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#Input("油田气科技公司_生产计划部_原料、产品收拨平衡月报表_BDO_期末库存",":key{{dw}}",":read")
</t>
        </r>
      </text>
    </comment>
    <comment ref="D10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#Input("油田气科技公司_生产计划部_原料、产品收拨平衡月报表_THF_期初库存",":key{{dw}}",":read")
</t>
        </r>
      </text>
    </comment>
    <comment ref="E10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#Input("油田气科技公司_生产计划部_原料、产品收拨平衡月报表_THF_外购量",":key{{dw}}",":read")
</t>
        </r>
      </text>
    </comment>
    <comment ref="F10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#Input("油田气科技公司_生产计划部_原料、产品收拨平衡月报表_THF_生产量",":key{{dw}}",":read")
</t>
        </r>
      </text>
    </comment>
    <comment ref="G10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#Input("油田气科技公司_生产计划部_原料、产品收拨平衡月报表_THF_装置加工量",":key{{dw}}",":read")
</t>
        </r>
      </text>
    </comment>
    <comment ref="H10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#Input("油田气科技公司_生产计划部_原料、产品收拨平衡月报表_THF_成品交库",":key{{dw}}",":read")
</t>
        </r>
      </text>
    </comment>
    <comment ref="I10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#Input("油田气科技公司_生产计划部_原料、产品收拨平衡月报表_THF_销售量",":key{{dw}}",":read")
</t>
        </r>
      </text>
    </comment>
    <comment ref="J10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#Input("油田气科技公司_生产计划部_原料、产品收拨平衡月报表_THF_生产自用",":key{{dw}}",":read")
</t>
        </r>
      </text>
    </comment>
    <comment ref="K10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#Input("油田气科技公司_生产计划部_原料、产品收拨平衡月报表_THF_移入",":key{{dw}}",":read")
</t>
        </r>
      </text>
    </comment>
    <comment ref="L10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#Input("油田气科技公司_生产计划部_原料、产品收拨平衡月报表_THF_移出",":key{{dw}}",":read")
</t>
        </r>
      </text>
    </comment>
    <comment ref="M10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#Input("油田气科技公司_生产计划部_原料、产品收拨平衡月报表_THF_盈亏",":key{{dw}}",":read")
</t>
        </r>
      </text>
    </comment>
    <comment ref="N10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#Input("油田气科技公司_生产计划部_原料、产品收拨平衡月报表_THF_期末库存",":key{{dw}}",":read")
</t>
        </r>
      </text>
    </comment>
    <comment ref="D12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#Input("油田气科技公司_生产计划部_原料、产品收拨平衡月报表_PTMEG1800_期初库存",":key{{dw}}",":read")
</t>
        </r>
      </text>
    </comment>
    <comment ref="E12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#Input("油田气科技公司_生产计划部_原料、产品收拨平衡月报表_PTMEG1800_外购量",":key{{dw}}",":read")
</t>
        </r>
      </text>
    </comment>
    <comment ref="F12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#Input("油田气科技公司_生产计划部_原料、产品收拨平衡月报表_PTMEG1800_生产量",":key{{dw}}",":read")
</t>
        </r>
      </text>
    </comment>
    <comment ref="G12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#Input("油田气科技公司_生产计划部_原料、产品收拨平衡月报表_PTMEG1800_装置加工量",":key{{dw}}",":read")
</t>
        </r>
      </text>
    </comment>
    <comment ref="H12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#Input("油田气科技公司_生产计划部_原料、产品收拨平衡月报表_PTMEG1800_成品交库",":key{{dw}}",":read")
</t>
        </r>
      </text>
    </comment>
    <comment ref="I12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#Input("油田气科技公司_生产计划部_原料、产品收拨平衡月报表_PTMEG1800_销售量",":key{{dw}}",":read")
</t>
        </r>
      </text>
    </comment>
    <comment ref="J12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#Input("油田气科技公司_生产计划部_原料、产品收拨平衡月报表_PTMEG1800_生产自用",":key{{dw}}",":read")
</t>
        </r>
      </text>
    </comment>
    <comment ref="K12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#Input("油田气科技公司_生产计划部_原料、产品收拨平衡月报表_PTMEG1800_移入",":key{{dw}}",":read")
</t>
        </r>
      </text>
    </comment>
    <comment ref="L12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#Input("油田气科技公司_生产计划部_原料、产品收拨平衡月报表_PTMEG1800_移出",":key{{dw}}",":read")
</t>
        </r>
      </text>
    </comment>
    <comment ref="M12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#Input("油田气科技公司_生产计划部_原料、产品收拨平衡月报表_PTMEG1800_盈亏",":key{{dw}}",":read")
</t>
        </r>
      </text>
    </comment>
    <comment ref="N12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#Input("油田气科技公司_生产计划部_原料、产品收拨平衡月报表_PTMEG1800_期末库存",":key{{dw}}",":read")
</t>
        </r>
      </text>
    </comment>
    <comment ref="D13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#Input("油田气科技公司_生产计划部_原料、产品收拨平衡月报表_PTMEG1800客标_期初库存",":key{{dw}}",":read")</t>
        </r>
      </text>
    </comment>
    <comment ref="E13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#Input("油田气科技公司_生产计划部_原料、产品收拨平衡月报表_PTMEG1800客标_外购量",":key{{dw}}",":read")</t>
        </r>
      </text>
    </comment>
    <comment ref="F13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#Input("油田气科技公司_生产计划部_原料、产品收拨平衡月报表_PTMEG1800客标_生产量",":key{{dw}}",":read")</t>
        </r>
      </text>
    </comment>
    <comment ref="G13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#Input("油田气科技公司_生产计划部_原料、产品收拨平衡月报表_PTMEG1800客标_装置加工量",":key{{dw}}",":read")</t>
        </r>
      </text>
    </comment>
    <comment ref="H13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#Input("油田气科技公司_生产计划部_原料、产品收拨平衡月报表_PTMEG1800客标_成品交库",":key{{dw}}",":read")</t>
        </r>
      </text>
    </comment>
    <comment ref="I13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#Input("油田气科技公司_生产计划部_原料、产品收拨平衡月报表_PTMEG1800客标_销售量",":key{{dw}}",":read")</t>
        </r>
      </text>
    </comment>
    <comment ref="J13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#Input("油田气科技公司_生产计划部_原料、产品收拨平衡月报表_PTMEG1800客标_生产自用",":key{{dw}}",":read")</t>
        </r>
      </text>
    </comment>
    <comment ref="K13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#Input("油田气科技公司_生产计划部_原料、产品收拨平衡月报表_PTMEG1800客标_移入",":key{{dw}}",":read")</t>
        </r>
      </text>
    </comment>
    <comment ref="L13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#Input("油田气科技公司_生产计划部_原料、产品收拨平衡月报表_PTMEG1800客标_移出",":key{{dw}}",":read")</t>
        </r>
      </text>
    </comment>
    <comment ref="M13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#Input("油田气科技公司_生产计划部_原料、产品收拨平衡月报表_PTMEG1800客标_盈亏",":key{{dw}}",":read")</t>
        </r>
      </text>
    </comment>
    <comment ref="N13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#Input("油田气科技公司_生产计划部_原料、产品收拨平衡月报表_PTMEG1800客标_期末库存",":key{{dw}}",":read")</t>
        </r>
      </text>
    </comment>
    <comment ref="D14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#Input("油田气科技公司_生产计划部_原料、产品收拨平衡月报表_PTMEG2000_期初库存",":key{{dw}}",":read")
</t>
        </r>
      </text>
    </comment>
    <comment ref="E14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#Input("油田气科技公司_生产计划部_原料、产品收拨平衡月报表_PTMEG2000_外购量",":key{{dw}}",":read")
</t>
        </r>
      </text>
    </comment>
    <comment ref="F14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#Input("油田气科技公司_生产计划部_原料、产品收拨平衡月报表_PTMEG2000_生产量",":key{{dw}}",":read")
</t>
        </r>
      </text>
    </comment>
    <comment ref="G14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#Input("油田气科技公司_生产计划部_原料、产品收拨平衡月报表_PTMEG2000_装置加工量",":key{{dw}}",":read")
</t>
        </r>
      </text>
    </comment>
    <comment ref="H14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#Input("油田气科技公司_生产计划部_原料、产品收拨平衡月报表_PTMEG2000_成品交库",":key{{dw}}",":read")
</t>
        </r>
      </text>
    </comment>
    <comment ref="I14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#Input("油田气科技公司_生产计划部_原料、产品收拨平衡月报表_PTMEG2000_销售量",":key{{dw}}",":read")
</t>
        </r>
      </text>
    </comment>
    <comment ref="J14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#Input("油田气科技公司_生产计划部_原料、产品收拨平衡月报表_PTMEG2000_生产自用",":key{{dw}}",":read")
</t>
        </r>
      </text>
    </comment>
    <comment ref="K14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#Input("油田气科技公司_生产计划部_原料、产品收拨平衡月报表_PTMEG2000_移入",":key{{dw}}",":read")
</t>
        </r>
      </text>
    </comment>
    <comment ref="L14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#Input("油田气科技公司_生产计划部_原料、产品收拨平衡月报表_PTMEG2000_移出",":key{{dw}}",":read")
</t>
        </r>
      </text>
    </comment>
    <comment ref="M14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#Input("油田气科技公司_生产计划部_原料、产品收拨平衡月报表_PTMEG2000_盈亏",":key{{dw}}",":read")
</t>
        </r>
      </text>
    </comment>
    <comment ref="N14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#Input("油田气科技公司_生产计划部_原料、产品收拨平衡月报表_PTMEG2000_期末库存",":key{{dw}}",":read")
</t>
        </r>
      </text>
    </comment>
    <comment ref="D15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#Input("油田气科技公司_生产计划部_原料、产品收拨平衡月报表_PTMEG2000客标_期初库存",":key{{dw}}",":read")</t>
        </r>
      </text>
    </comment>
    <comment ref="E15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#Input("油田气科技公司_生产计划部_原料、产品收拨平衡月报表_PTMEG2000客标_外购量",":key{{dw}}",":read")</t>
        </r>
      </text>
    </comment>
    <comment ref="F15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#Input("油田气科技公司_生产计划部_原料、产品收拨平衡月报表_PTMEG2000客标_生产量",":key{{dw}}",":read")</t>
        </r>
      </text>
    </comment>
    <comment ref="G15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#Input("油田气科技公司_生产计划部_原料、产品收拨平衡月报表_PTMEG2000客标_装置加工量",":key{{dw}}",":read")</t>
        </r>
      </text>
    </comment>
    <comment ref="H15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#Input("油田气科技公司_生产计划部_原料、产品收拨平衡月报表_PTMEG2000客标_成品交库",":key{{dw}}",":read")</t>
        </r>
      </text>
    </comment>
    <comment ref="I15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#Input("油田气科技公司_生产计划部_原料、产品收拨平衡月报表_PTMEG2000客标_销售量",":key{{dw}}",":read")</t>
        </r>
      </text>
    </comment>
    <comment ref="J15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#Input("油田气科技公司_生产计划部_原料、产品收拨平衡月报表_PTMEG2000客标_生产自用",":key{{dw}}",":read")</t>
        </r>
      </text>
    </comment>
    <comment ref="K15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#Input("油田气科技公司_生产计划部_原料、产品收拨平衡月报表_PTMEG2000客标_移入",":key{{dw}}",":read")</t>
        </r>
      </text>
    </comment>
    <comment ref="L15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#Input("油田气科技公司_生产计划部_原料、产品收拨平衡月报表_PTMEG2000客标_移出",":key{{dw}}",":read")</t>
        </r>
      </text>
    </comment>
    <comment ref="M15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#Input("油田气科技公司_生产计划部_原料、产品收拨平衡月报表_PTMEG2000客标_盈亏",":key{{dw}}",":read")</t>
        </r>
      </text>
    </comment>
    <comment ref="N15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#Input("油田气科技公司_生产计划部_原料、产品收拨平衡月报表_PTMEG2000客标_期末库存",":key{{dw}}",":read")</t>
        </r>
      </text>
    </comment>
    <comment ref="D16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#Input("油田气科技公司_生产计划部_原料、产品收拨平衡月报表_副产油_期初库存",":key{{dw}}",":read")
</t>
        </r>
      </text>
    </comment>
    <comment ref="E16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#Input("油田气科技公司_生产计划部_原料、产品收拨平衡月报表_副产油_外购量",":key{{dw}}",":read")
</t>
        </r>
      </text>
    </comment>
    <comment ref="F16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#Input("油田气科技公司_生产计划部_原料、产品收拨平衡月报表_副产油_生产量",":key{{dw}}",":read")
</t>
        </r>
      </text>
    </comment>
    <comment ref="G16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#Input("油田气科技公司_生产计划部_原料、产品收拨平衡月报表_副产油_装置加工量",":key{{dw}}",":read")
</t>
        </r>
      </text>
    </comment>
    <comment ref="H16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#Input("油田气科技公司_生产计划部_原料、产品收拨平衡月报表_副产油_成品交库",":key{{dw}}",":read")
</t>
        </r>
      </text>
    </comment>
    <comment ref="I16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#Input("油田气科技公司_生产计划部_原料、产品收拨平衡月报表_副产油_销售量",":key{{dw}}",":read")
</t>
        </r>
      </text>
    </comment>
    <comment ref="J16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#Input("油田气科技公司_生产计划部_原料、产品收拨平衡月报表_副产油_生产自用",":key{{dw}}",":read")
</t>
        </r>
      </text>
    </comment>
    <comment ref="K16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#Input("油田气科技公司_生产计划部_原料、产品收拨平衡月报表_副产油_移入",":key{{dw}}",":read")
</t>
        </r>
      </text>
    </comment>
    <comment ref="L16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#Input("油田气科技公司_生产计划部_原料、产品收拨平衡月报表_副产油_移出",":key{{dw}}",":read")
</t>
        </r>
      </text>
    </comment>
    <comment ref="M16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#Input("油田气科技公司_生产计划部_原料、产品收拨平衡月报表_副产油_盈亏",":key{{dw}}",":read")
</t>
        </r>
      </text>
    </comment>
    <comment ref="N16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#Input("油田气科技公司_生产计划部_原料、产品收拨平衡月报表_副产油_期末库存",":key{{dw}}",":read")
</t>
        </r>
      </text>
    </comment>
    <comment ref="D17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#Input("油田气科技公司_生产计划部_原料、产品收拨平衡月报表_PTMEG过渡料_期初库存",":key{{dw}}",":read")
</t>
        </r>
      </text>
    </comment>
    <comment ref="E17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#Input("油田气科技公司_生产计划部_原料、产品收拨平衡月报表_PTMEG过渡料_外购量",":key{{dw}}",":read")
</t>
        </r>
      </text>
    </comment>
    <comment ref="F17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#Input("油田气科技公司_生产计划部_原料、产品收拨平衡月报表_PTMEG过渡料_生产量",":key{{dw}}",":read")
</t>
        </r>
      </text>
    </comment>
    <comment ref="G17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#Input("油田气科技公司_生产计划部_原料、产品收拨平衡月报表_PTMEG过渡料_装置加工量",":key{{dw}}",":read")
</t>
        </r>
      </text>
    </comment>
    <comment ref="H17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#Input("油田气科技公司_生产计划部_原料、产品收拨平衡月报表_PTMEG过渡料_成品交库",":key{{dw}}",":read")
</t>
        </r>
      </text>
    </comment>
    <comment ref="I17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#Input("油田气科技公司_生产计划部_原料、产品收拨平衡月报表_PTMEG过渡料_销售量",":key{{dw}}",":read")
</t>
        </r>
      </text>
    </comment>
    <comment ref="J17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#Input("油田气科技公司_生产计划部_原料、产品收拨平衡月报表_PTMEG过渡料_生产自用",":key{{dw}}",":read")
</t>
        </r>
      </text>
    </comment>
    <comment ref="K17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#Input("油田气科技公司_生产计划部_原料、产品收拨平衡月报表_PTMEG过渡料_移入",":key{{dw}}",":read")
</t>
        </r>
      </text>
    </comment>
    <comment ref="L17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#Input("油田气科技公司_生产计划部_原料、产品收拨平衡月报表_PTMEG过渡料_移出",":key{{dw}}",":read")
</t>
        </r>
      </text>
    </comment>
    <comment ref="M17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#Input("油田气科技公司_生产计划部_原料、产品收拨平衡月报表_PTMEG过渡料_盈亏",":key{{dw}}",":read")
</t>
        </r>
      </text>
    </comment>
    <comment ref="N17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#Input("油田气科技公司_生产计划部_原料、产品收拨平衡月报表_PTMEG过渡料_期末库存",":key{{dw}}",":read")
</t>
        </r>
      </text>
    </comment>
    <comment ref="D18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#Input("油田气科技公司_生产计划部_原料、产品收拨平衡月报表_聚酯级乙二醇_期初库存",":key{{dw}}",":read")
</t>
        </r>
      </text>
    </comment>
    <comment ref="E18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#Input("油田气科技公司_生产计划部_原料、产品收拨平衡月报表_聚酯级乙二醇_外购量",":key{{dw}}",":read")
</t>
        </r>
      </text>
    </comment>
    <comment ref="F18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#Input("油田气科技公司_生产计划部_原料、产品收拨平衡月报表_聚酯级乙二醇_生产量",":key{{dw}}",":read")
</t>
        </r>
      </text>
    </comment>
    <comment ref="G18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#Input("油田气科技公司_生产计划部_原料、产品收拨平衡月报表_聚酯级乙二醇_装置加工量",":key{{dw}}",":read")
</t>
        </r>
      </text>
    </comment>
    <comment ref="H18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#Input("油田气科技公司_生产计划部_原料、产品收拨平衡月报表_聚酯级乙二醇_成品交库",":key{{dw}}",":read")
</t>
        </r>
      </text>
    </comment>
    <comment ref="I18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#Input("油田气科技公司_生产计划部_原料、产品收拨平衡月报表_聚酯级乙二醇_销售量",":key{{dw}}",":read")
</t>
        </r>
      </text>
    </comment>
    <comment ref="J18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#Input("油田气科技公司_生产计划部_原料、产品收拨平衡月报表_聚酯级乙二醇_生产自用",":key{{dw}}",":read")
</t>
        </r>
      </text>
    </comment>
    <comment ref="K18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#Input("油田气科技公司_生产计划部_原料、产品收拨平衡月报表_聚酯级乙二醇_移入",":key{{dw}}",":read")
</t>
        </r>
      </text>
    </comment>
    <comment ref="L18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#Input("油田气科技公司_生产计划部_原料、产品收拨平衡月报表_聚酯级乙二醇_移出",":key{{dw}}",":read")
</t>
        </r>
      </text>
    </comment>
    <comment ref="M18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#Input("油田气科技公司_生产计划部_原料、产品收拨平衡月报表_聚酯级乙二醇_盈亏",":key{{dw}}",":read")
</t>
        </r>
      </text>
    </comment>
    <comment ref="N18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#Input("油田气科技公司_生产计划部_原料、产品收拨平衡月报表_聚酯级乙二醇_期末库存",":key{{dw}}",":read")
</t>
        </r>
      </text>
    </comment>
    <comment ref="D19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#Input("油田气科技公司_生产计划部_原料、产品收拨平衡月报表_工业级乙二醇_期初库存",":key{{dw}}",":read")
</t>
        </r>
      </text>
    </comment>
    <comment ref="E19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#Input("油田气科技公司_生产计划部_原料、产品收拨平衡月报表_工业级乙二醇_外购量",":key{{dw}}",":read")
</t>
        </r>
      </text>
    </comment>
    <comment ref="F19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#Input("油田气科技公司_生产计划部_原料、产品收拨平衡月报表_工业级乙二醇_生产量",":key{{dw}}",":read")
</t>
        </r>
      </text>
    </comment>
    <comment ref="G19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#Input("油田气科技公司_生产计划部_原料、产品收拨平衡月报表_工业级乙二醇_装置加工量",":key{{dw}}",":read")
</t>
        </r>
      </text>
    </comment>
    <comment ref="H19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#Input("油田气科技公司_生产计划部_原料、产品收拨平衡月报表_工业级乙二醇_成品交库",":key{{dw}}",":read")
</t>
        </r>
      </text>
    </comment>
    <comment ref="I19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#Input("油田气科技公司_生产计划部_原料、产品收拨平衡月报表_工业级乙二醇_销售量",":key{{dw}}",":read")
</t>
        </r>
      </text>
    </comment>
    <comment ref="J19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#Input("油田气科技公司_生产计划部_原料、产品收拨平衡月报表_工业级乙二醇_生产自用",":key{{dw}}",":read")
</t>
        </r>
      </text>
    </comment>
    <comment ref="K19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#Input("油田气科技公司_生产计划部_原料、产品收拨平衡月报表_工业级乙二醇_移入",":key{{dw}}",":read")
</t>
        </r>
      </text>
    </comment>
    <comment ref="L19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#Input("油田气科技公司_生产计划部_原料、产品收拨平衡月报表_工业级乙二醇_移出",":key{{dw}}",":read")
</t>
        </r>
      </text>
    </comment>
    <comment ref="M19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#Input("油田气科技公司_生产计划部_原料、产品收拨平衡月报表_工业级乙二醇_盈亏",":key{{dw}}",":read")
</t>
        </r>
      </text>
    </comment>
    <comment ref="N19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#Input("油田气科技公司_生产计划部_原料、产品收拨平衡月报表_工业级乙二醇_期末库存",":key{{dw}}",":read")
</t>
        </r>
      </text>
    </comment>
    <comment ref="D20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#Input("油田气科技公司_生产计划部_原料、产品收拨平衡月报表_轻质多元醇_期初库存",":key{{dw}}",":read")
</t>
        </r>
      </text>
    </comment>
    <comment ref="E20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#Input("油田气科技公司_生产计划部_原料、产品收拨平衡月报表_轻质多元醇_外购量",":key{{dw}}",":read")
</t>
        </r>
      </text>
    </comment>
    <comment ref="F20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#Input("油田气科技公司_生产计划部_原料、产品收拨平衡月报表_轻质多元醇_生产量",":key{{dw}}",":read")
</t>
        </r>
      </text>
    </comment>
    <comment ref="G20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#Input("油田气科技公司_生产计划部_原料、产品收拨平衡月报表_轻质多元醇_装置加工量",":key{{dw}}",":read")
</t>
        </r>
      </text>
    </comment>
    <comment ref="H20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#Input("油田气科技公司_生产计划部_原料、产品收拨平衡月报表_轻质多元醇_成品交库",":key{{dw}}",":read")
</t>
        </r>
      </text>
    </comment>
    <comment ref="I20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#Input("油田气科技公司_生产计划部_原料、产品收拨平衡月报表_轻质多元醇_销售量",":key{{dw}}",":read")
</t>
        </r>
      </text>
    </comment>
    <comment ref="J20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#Input("油田气科技公司_生产计划部_原料、产品收拨平衡月报表_轻质多元醇_生产自用",":key{{dw}}",":read")
</t>
        </r>
      </text>
    </comment>
    <comment ref="K20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#Input("油田气科技公司_生产计划部_原料、产品收拨平衡月报表_轻质多元醇_移入",":key{{dw}}",":read")
</t>
        </r>
      </text>
    </comment>
    <comment ref="L20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#Input("油田气科技公司_生产计划部_原料、产品收拨平衡月报表_轻质多元醇_移出",":key{{dw}}",":read")
</t>
        </r>
      </text>
    </comment>
    <comment ref="M20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#Input("油田气科技公司_生产计划部_原料、产品收拨平衡月报表_轻质多元醇_盈亏",":key{{dw}}",":read")
</t>
        </r>
      </text>
    </comment>
    <comment ref="N20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#Input("油田气科技公司_生产计划部_原料、产品收拨平衡月报表_轻质多元醇_期末库存",":key{{dw}}",":read")
</t>
        </r>
      </text>
    </comment>
    <comment ref="D21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#Input("油田气科技公司_生产计划部_原料、产品收拨平衡月报表_重质多元醇_期初库存",":key{{dw}}",":read")
</t>
        </r>
      </text>
    </comment>
    <comment ref="E21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#Input("油田气科技公司_生产计划部_原料、产品收拨平衡月报表_重质多元醇_外购量",":key{{dw}}",":read")
</t>
        </r>
      </text>
    </comment>
    <comment ref="F21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#Input("油田气科技公司_生产计划部_原料、产品收拨平衡月报表_重质多元醇_生产量",":key{{dw}}",":read")
</t>
        </r>
      </text>
    </comment>
    <comment ref="G21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#Input("油田气科技公司_生产计划部_原料、产品收拨平衡月报表_重质多元醇_装置加工量",":key{{dw}}",":read")
</t>
        </r>
      </text>
    </comment>
    <comment ref="H21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#Input("油田气科技公司_生产计划部_原料、产品收拨平衡月报表_重质多元醇_成品交库",":key{{dw}}",":read")
</t>
        </r>
      </text>
    </comment>
    <comment ref="I21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#Input("油田气科技公司_生产计划部_原料、产品收拨平衡月报表_重质多元醇_销售量",":key{{dw}}",":read")
</t>
        </r>
      </text>
    </comment>
    <comment ref="J21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#Input("油田气科技公司_生产计划部_原料、产品收拨平衡月报表_重质多元醇_生产自用",":key{{dw}}",":read")
</t>
        </r>
      </text>
    </comment>
    <comment ref="K21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#Input("油田气科技公司_生产计划部_原料、产品收拨平衡月报表_重质多元醇_移入",":key{{dw}}",":read")
</t>
        </r>
      </text>
    </comment>
    <comment ref="L21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#Input("油田气科技公司_生产计划部_原料、产品收拨平衡月报表_重质多元醇_移出",":key{{dw}}",":read")
</t>
        </r>
      </text>
    </comment>
    <comment ref="M21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#Input("油田气科技公司_生产计划部_原料、产品收拨平衡月报表_重质多元醇_盈亏",":key{{dw}}",":read")
</t>
        </r>
      </text>
    </comment>
    <comment ref="N21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#Input("油田气科技公司_生产计划部_原料、产品收拨平衡月报表_重质多元醇_期末库存",":key{{dw}}",":read")
</t>
        </r>
      </text>
    </comment>
    <comment ref="D22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#Input("油田气科技公司_生产计划部_原料、产品收拨平衡月报表_混合醇_期初库存",":key{{dw}}",":read")
</t>
        </r>
      </text>
    </comment>
    <comment ref="E22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#Input("油田气科技公司_生产计划部_原料、产品收拨平衡月报表_混合醇_外购量",":key{{dw}}",":read")
</t>
        </r>
      </text>
    </comment>
    <comment ref="F22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#Input("油田气科技公司_生产计划部_原料、产品收拨平衡月报表_混合醇_生产量",":key{{dw}}",":read")
</t>
        </r>
      </text>
    </comment>
    <comment ref="G22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#Input("油田气科技公司_生产计划部_原料、产品收拨平衡月报表_混合醇_装置加工量",":key{{dw}}",":read")
</t>
        </r>
      </text>
    </comment>
    <comment ref="H22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#Input("油田气科技公司_生产计划部_原料、产品收拨平衡月报表_混合醇_成品交库",":key{{dw}}",":read")</t>
        </r>
      </text>
    </comment>
    <comment ref="I22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#Input("油田气科技公司_生产计划部_原料、产品收拨平衡月报表_混合醇_销售量",":key{{dw}}",":read")</t>
        </r>
      </text>
    </comment>
    <comment ref="J22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#Input("油田气科技公司_生产计划部_原料、产品收拨平衡月报表_混合醇_生产自用",":key{{dw}}",":read")</t>
        </r>
      </text>
    </comment>
    <comment ref="K22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#Input("油田气科技公司_生产计划部_原料、产品收拨平衡月报表_混合醇_移入",":key{{dw}}",":read")
</t>
        </r>
      </text>
    </comment>
    <comment ref="L22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#Input("油田气科技公司_生产计划部_原料、产品收拨平衡月报表_混合醇_移出",":key{{dw}}",":read")
</t>
        </r>
      </text>
    </comment>
    <comment ref="M22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#Input("油田气科技公司_生产计划部_原料、产品收拨平衡月报表_混合醇_盈亏",":key{{dw}}",":read")
</t>
        </r>
      </text>
    </comment>
    <comment ref="N22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#Input("油田气科技公司_生产计划部_原料、产品收拨平衡月报表_混合醇_期末库存",":key{{dw}}",":read")
</t>
        </r>
      </text>
    </comment>
    <comment ref="D23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#Input("油田气科技公司_生产计划部_原料、产品收拨平衡月报表_粗乙醇_期初库存",":key{{dw}}",":read")
</t>
        </r>
      </text>
    </comment>
    <comment ref="E23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#Input("油田气科技公司_生产计划部_原料、产品收拨平衡月报表_粗乙醇_外购量",":key{{dw}}",":read")</t>
        </r>
      </text>
    </comment>
    <comment ref="F23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#Input("油田气科技公司_生产计划部_原料、产品收拨平衡月报表_粗乙醇_生产量",":key{{dw}}",":read")</t>
        </r>
      </text>
    </comment>
    <comment ref="G23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#Input("油田气科技公司_生产计划部_原料、产品收拨平衡月报表_粗乙醇_装置加工量",":key{{dw}}",":read")
</t>
        </r>
      </text>
    </comment>
    <comment ref="H23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#Input("油田气科技公司_生产计划部_原料、产品收拨平衡月报表_粗乙醇_成品交库",":key{{dw}}",":read")</t>
        </r>
      </text>
    </comment>
    <comment ref="I23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#Input("油田气科技公司_生产计划部_原料、产品收拨平衡月报表_粗乙醇_销售量",":key{{dw}}",":read")</t>
        </r>
      </text>
    </comment>
    <comment ref="J23" authorId="0">
      <text>
        <r>
          <rPr>
            <sz val="9"/>
            <color indexed="81"/>
            <rFont val="宋体"/>
            <family val="2"/>
          </rPr>
          <t>#Input("油田气科技公司_生产计划部_原料、产品收拨平衡月报表_粗乙醇_生产自用",":key{{dw}}",":read")</t>
        </r>
      </text>
    </comment>
    <comment ref="K23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#Input("油田气科技公司_生产计划部_原料、产品收拨平衡月报表_粗乙醇_移入",":key{{dw}}",":read")
</t>
        </r>
      </text>
    </comment>
    <comment ref="L23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#Input("油田气科技公司_生产计划部_原料、产品收拨平衡月报表_粗乙醇_移出",":key{{dw}}",":read")
</t>
        </r>
      </text>
    </comment>
    <comment ref="M23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#Input("油田气科技公司_生产计划部_原料、产品收拨平衡月报表_粗乙醇_盈亏",":key{{dw}}",":read")
</t>
        </r>
      </text>
    </comment>
    <comment ref="N23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#Input("油田气科技公司_生产计划部_原料、产品收拨平衡月报表_粗乙醇_期末库存",":key{{dw}}",":read")
</t>
        </r>
      </text>
    </comment>
    <comment ref="D24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#Input("油田气科技公司_生产计划部_原料、产品收拨平衡月报表_碳酸二甲脂_期初库存",":key{{dw}}",":read")
</t>
        </r>
      </text>
    </comment>
    <comment ref="E24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#Input("油田气科技公司_生产计划部_原料、产品收拨平衡月报表_碳酸二甲脂_外购量",":key{{dw}}",":read")
</t>
        </r>
      </text>
    </comment>
    <comment ref="F24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#Input("油田气科技公司_生产计划部_原料、产品收拨平衡月报表_碳酸二甲脂_生产量",":key{{dw}}",":read")
</t>
        </r>
      </text>
    </comment>
    <comment ref="G24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#Input("油田气科技公司_生产计划部_原料、产品收拨平衡月报表_碳酸二甲脂_装置加工量",":key{{dw}}",":read")
</t>
        </r>
      </text>
    </comment>
    <comment ref="H24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#Input("油田气科技公司_生产计划部_原料、产品收拨平衡月报表_碳酸二甲脂_成品交库",":key{{dw}}",":read")
</t>
        </r>
      </text>
    </comment>
    <comment ref="I24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#Input("油田气科技公司_生产计划部_原料、产品收拨平衡月报表_碳酸二甲脂_销售量",":key{{dw}}",":read")
</t>
        </r>
      </text>
    </comment>
    <comment ref="J24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#Input("油田气科技公司_生产计划部_原料、产品收拨平衡月报表_碳酸二甲脂_生产自用",":key{{dw}}",":read")
</t>
        </r>
      </text>
    </comment>
    <comment ref="K24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#Input("油田气科技公司_生产计划部_原料、产品收拨平衡月报表_碳酸二甲脂_移入",":key{{dw}}",":read")
</t>
        </r>
      </text>
    </comment>
    <comment ref="L24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#Input("油田气科技公司_生产计划部_原料、产品收拨平衡月报表_碳酸二甲脂_移出",":key{{dw}}",":read")
</t>
        </r>
      </text>
    </comment>
    <comment ref="M24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#Input("油田气科技公司_生产计划部_原料、产品收拨平衡月报表_碳酸二甲脂_盈亏",":key{{dw}}",":read")
</t>
        </r>
      </text>
    </comment>
    <comment ref="N24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#Input("油田气科技公司_生产计划部_原料、产品收拨平衡月报表_碳酸二甲脂_期末库存",":key{{dw}}",":read")
</t>
        </r>
      </text>
    </comment>
    <comment ref="D25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#Input("油田气科技公司_生产计划部_原料、产品收拨平衡月报表_正丁醇_期初库存",":key{{dw}}",":read")
</t>
        </r>
      </text>
    </comment>
    <comment ref="E25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#Input("油田气科技公司_生产计划部_原料、产品收拨平衡月报表_正丁醇_外购量",":key{{dw}}",":read")
</t>
        </r>
      </text>
    </comment>
    <comment ref="F25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#Input("油田气科技公司_生产计划部_原料、产品收拨平衡月报表_正丁醇_生产量",":key{{dw}}",":read")
</t>
        </r>
      </text>
    </comment>
    <comment ref="G25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#Input("油田气科技公司_生产计划部_原料、产品收拨平衡月报表_正丁醇_装置加工量",":key{{dw}}",":read")
</t>
        </r>
      </text>
    </comment>
    <comment ref="H25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#Input("油田气科技公司_生产计划部_原料、产品收拨平衡月报表_正丁醇_成品交库",":key{{dw}}",":read")
</t>
        </r>
      </text>
    </comment>
    <comment ref="I25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#Input("油田气科技公司_生产计划部_原料、产品收拨平衡月报表_正丁醇_销售量",":key{{dw}}",":read")
</t>
        </r>
      </text>
    </comment>
    <comment ref="J25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#Input("油田气科技公司_生产计划部_原料、产品收拨平衡月报表_正丁醇_生产自用",":key{{dw}}",":read")
</t>
        </r>
      </text>
    </comment>
    <comment ref="K25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#Input("油田气科技公司_生产计划部_原料、产品收拨平衡月报表_正丁醇_移入",":key{{dw}}",":read")
</t>
        </r>
      </text>
    </comment>
    <comment ref="L25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#Input("油田气科技公司_生产计划部_原料、产品收拨平衡月报表_正丁醇_移出",":key{{dw}}",":read")
</t>
        </r>
      </text>
    </comment>
    <comment ref="M25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#Input("油田气科技公司_生产计划部_原料、产品收拨平衡月报表_正丁醇_盈亏",":key{{dw}}",":read")
</t>
        </r>
      </text>
    </comment>
    <comment ref="N25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#Input("油田气科技公司_生产计划部_原料、产品收拨平衡月报表_正丁醇_期末库存",":key{{dw}}",":read")
</t>
        </r>
      </text>
    </comment>
    <comment ref="D26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#Input("油田气科技公司_生产计划部_原料、产品收拨平衡月报表_焦油_期初库存",":key{{dw}}",":read")
</t>
        </r>
      </text>
    </comment>
    <comment ref="E26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#Input("油田气科技公司_生产计划部_原料、产品收拨平衡月报表_焦油_外购量",":key{{dw}}",":read")
</t>
        </r>
      </text>
    </comment>
    <comment ref="F26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#Input("油田气科技公司_生产计划部_原料、产品收拨平衡月报表_焦油_生产量",":key{{dw}}",":read")
</t>
        </r>
      </text>
    </comment>
    <comment ref="G26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#Input("油田气科技公司_生产计划部_原料、产品收拨平衡月报表_焦油_装置加工量",":key{{dw}}",":read")
</t>
        </r>
      </text>
    </comment>
    <comment ref="H26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#Input("油田气科技公司_生产计划部_原料、产品收拨平衡月报表_焦油_成品交库",":key{{dw}}",":read")
</t>
        </r>
      </text>
    </comment>
    <comment ref="I26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#Input("油田气科技公司_生产计划部_原料、产品收拨平衡月报表_焦油_销售量",":key{{dw}}",":read")
</t>
        </r>
      </text>
    </comment>
    <comment ref="J26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#Input("油田气科技公司_生产计划部_原料、产品收拨平衡月报表_焦油_生产自用",":key{{dw}}",":read")
</t>
        </r>
      </text>
    </comment>
    <comment ref="K26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#Input("油田气科技公司_生产计划部_原料、产品收拨平衡月报表_焦油_移入",":key{{dw}}",":read")
</t>
        </r>
      </text>
    </comment>
    <comment ref="L26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#Input("油田气科技公司_生产计划部_原料、产品收拨平衡月报表_焦油_移出",":key{{dw}}",":read")
</t>
        </r>
      </text>
    </comment>
    <comment ref="M26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#Input("油田气科技公司_生产计划部_原料、产品收拨平衡月报表_焦油_盈亏",":key{{dw}}",":read")
</t>
        </r>
      </text>
    </comment>
    <comment ref="N26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#Input("油田气科技公司_生产计划部_原料、产品收拨平衡月报表_焦油_期末库存",":key{{dw}}",":read")
</t>
        </r>
      </text>
    </comment>
    <comment ref="D27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#Input("油田气科技公司_生产计划部_原料、产品收拨平衡月报表_四氢呋喃过渡料_期初库存",":key{{dw}}",":read")
</t>
        </r>
      </text>
    </comment>
    <comment ref="E27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#Input("油田气科技公司_生产计划部_原料、产品收拨平衡月报表_四氢呋喃过渡料_外购量",":key{{dw}}",":read")
</t>
        </r>
      </text>
    </comment>
    <comment ref="F27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#Input("油田气科技公司_生产计划部_原料、产品收拨平衡月报表_四氢呋喃过渡料_生产量",":key{{dw}}",":read")
</t>
        </r>
      </text>
    </comment>
    <comment ref="G27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#Input("油田气科技公司_生产计划部_原料、产品收拨平衡月报表_四氢呋喃过渡料_装置加工量",":key{{dw}}",":read")
</t>
        </r>
      </text>
    </comment>
    <comment ref="H27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#Input("油田气科技公司_生产计划部_原料、产品收拨平衡月报表_四氢呋喃过渡料_成品交库",":key{{dw}}",":read")
</t>
        </r>
      </text>
    </comment>
    <comment ref="I27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#Input("油田气科技公司_生产计划部_原料、产品收拨平衡月报表_四氢呋喃过渡料_销售量",":key{{dw}}",":read")
</t>
        </r>
      </text>
    </comment>
    <comment ref="J27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#Input("油田气科技公司_生产计划部_原料、产品收拨平衡月报表_四氢呋喃过渡料_生产自用",":key{{dw}}",":read")
</t>
        </r>
      </text>
    </comment>
    <comment ref="K27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#Input("油田气科技公司_生产计划部_原料、产品收拨平衡月报表_四氢呋喃过渡料_移入",":key{{dw}}",":read")
</t>
        </r>
      </text>
    </comment>
    <comment ref="L27" authorId="0">
      <text>
        <r>
          <rPr>
            <b/>
            <sz val="9"/>
            <color indexed="81"/>
            <rFont val="宋体"/>
            <family val="2"/>
          </rPr>
          <t xml:space="preserve">#Input("油田气科技公司_生产计划部_原料、产品收拨平衡月报表_四氢呋喃过渡料_移出",":key{{dw}}",":read")
</t>
        </r>
      </text>
    </comment>
    <comment ref="M27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#Input("油田气科技公司_生产计划部_原料、产品收拨平衡月报表_四氢呋喃过渡料_盈亏",":key{{dw}}",":read")
</t>
        </r>
      </text>
    </comment>
    <comment ref="N27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#Input("油田气科技公司_生产计划部_原料、产品收拨平衡月报表_四氢呋喃过渡料_期末库存",":key{{dw}}",":read")
</t>
        </r>
      </text>
    </comment>
    <comment ref="A28" authorId="0">
      <text>
        <r>
          <rPr>
            <sz val="9"/>
            <color indexed="81"/>
            <rFont val="宋体"/>
            <family val="2"/>
          </rPr>
          <t xml:space="preserve">#Input("油田气科技公司_生产计划部_原料、产品收拨平衡月报表_备注",":key{{dw}}")
</t>
        </r>
      </text>
    </comment>
    <comment ref="C30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#Input("油田气科技公司_生产计划部_原料、产品收拨平衡月报表_备注_单位负责人",":key{{dw}}")</t>
        </r>
      </text>
    </comment>
    <comment ref="M30" authorId="0">
      <text>
        <r>
          <rPr>
            <b/>
            <sz val="9"/>
            <color indexed="81"/>
            <rFont val="宋体"/>
            <family val="2"/>
          </rPr>
          <t>#Input("油田气科技公司_生产计划部_原料、产品收拨平衡月报表_备注_填报人",":key{{dw}}")</t>
        </r>
      </text>
    </comment>
    <comment ref="H11" authorId="0">
      <text>
        <r>
          <rPr>
            <sz val="9"/>
            <color indexed="81"/>
            <rFont val="Arial"/>
            <family val="2"/>
          </rPr>
          <t xml:space="preserve">#Input("油田气科技公司_生产计划部_原料、产品收拨平衡月报表_PTMEG20250126_成品交库",":key{{dw}}",":read")
</t>
        </r>
      </text>
    </comment>
  </commentList>
</comments>
</file>

<file path=xl/sharedStrings.xml><?xml version="1.0" encoding="utf-8"?>
<sst xmlns="http://schemas.openxmlformats.org/spreadsheetml/2006/main" count="193" uniqueCount="57">
  <si>
    <t>原料、产品收拨平衡月报表</t>
  </si>
  <si>
    <t>填报单位：油田气化工科技公司</t>
  </si>
  <si>
    <t>日期：</t>
  </si>
  <si>
    <t>2025-05</t>
  </si>
  <si>
    <t>指标名称</t>
  </si>
  <si>
    <t>单位</t>
  </si>
  <si>
    <t>期初库存</t>
  </si>
  <si>
    <t>外购量</t>
  </si>
  <si>
    <t>生产量</t>
  </si>
  <si>
    <t>装置加工量</t>
  </si>
  <si>
    <t>成品交库</t>
  </si>
  <si>
    <t>销售量</t>
  </si>
  <si>
    <t>生产自用</t>
  </si>
  <si>
    <t>移入</t>
  </si>
  <si>
    <t>移出</t>
  </si>
  <si>
    <t>盈亏</t>
  </si>
  <si>
    <t>期末库存</t>
  </si>
  <si>
    <t xml:space="preserve">   天然气</t>
  </si>
  <si>
    <r>
      <rPr>
        <charset val="134"/>
        <color rgb="FF000000"/>
        <rFont val="等线"/>
        <sz val="9"/>
      </rPr>
      <t>Nm</t>
    </r>
    <r>
      <rPr>
        <charset val="134"/>
        <color rgb="FF000000"/>
        <rFont val="等线"/>
        <sz val="9"/>
        <vertAlign val="superscript"/>
      </rPr>
      <t>3</t>
    </r>
  </si>
  <si>
    <t xml:space="preserve">       原料天然气</t>
  </si>
  <si>
    <t xml:space="preserve">       燃料天然气</t>
  </si>
  <si>
    <t xml:space="preserve">   甲醇</t>
  </si>
  <si>
    <t>t</t>
  </si>
  <si>
    <t xml:space="preserve">   醋酐</t>
  </si>
  <si>
    <t xml:space="preserve">   BDO</t>
  </si>
  <si>
    <t xml:space="preserve">   THF</t>
  </si>
  <si>
    <t xml:space="preserve">   PTMEG</t>
  </si>
  <si>
    <t>PTMEG1800</t>
  </si>
  <si>
    <t>国标</t>
  </si>
  <si>
    <t>行标</t>
  </si>
  <si>
    <t>PTMEG2000</t>
  </si>
  <si>
    <t xml:space="preserve">  副产油</t>
  </si>
  <si>
    <t xml:space="preserve">  PTMEG过渡料</t>
  </si>
  <si>
    <t xml:space="preserve">  聚酯级乙二醇</t>
  </si>
  <si>
    <t xml:space="preserve">  工业级乙二醇</t>
  </si>
  <si>
    <t>轻质多元醇</t>
  </si>
  <si>
    <t>重质多元醇</t>
  </si>
  <si>
    <t xml:space="preserve">  混合醇</t>
  </si>
  <si>
    <t xml:space="preserve">  粗乙醇</t>
  </si>
  <si>
    <t xml:space="preserve">  碳酸二甲脂</t>
  </si>
  <si>
    <t xml:space="preserve">  正丁醇</t>
  </si>
  <si>
    <t xml:space="preserve">  焦油</t>
  </si>
  <si>
    <t xml:space="preserve">  THF过渡料</t>
  </si>
  <si>
    <t>备注：</t>
  </si>
  <si>
    <t>单位负责人：</t>
  </si>
  <si>
    <t>李刚</t>
  </si>
  <si>
    <t>填报人：</t>
  </si>
  <si>
    <t>霍宇</t>
  </si>
  <si>
    <t>报表生成时间：</t>
  </si>
  <si>
    <t>2025-06-01</t>
  </si>
  <si>
    <t xml:space="preserve"> 8:00:00</t>
  </si>
  <si>
    <t xml:space="preserve">        原料天然气</t>
  </si>
  <si>
    <t xml:space="preserve">        燃料天然气</t>
  </si>
  <si>
    <t xml:space="preserve">  乙二醇过渡料/轻质多元醇</t>
  </si>
  <si>
    <t xml:space="preserve">   正丁醇</t>
  </si>
  <si>
    <t xml:space="preserve">   焦油</t>
  </si>
  <si>
    <t>THF过渡料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</si>
</sst>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;\-0"/>
  </numFmts>
  <fonts count="26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mbria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auto="1"/>
      <name val="等线"/>
    </font>
    <font>
      <sz val="9"/>
      <color rgb="FF000000"/>
      <name val="等线"/>
    </font>
    <font>
      <sz val="11"/>
      <color theme="1"/>
      <name val="等线"/>
    </font>
    <font>
      <sz val="10"/>
      <color auto="1"/>
      <name val="等线"/>
    </font>
    <font>
      <sz val="10"/>
      <color theme="1"/>
      <name val="等线"/>
    </font>
    <font>
      <b/>
      <sz val="18"/>
      <color auto="1"/>
      <name val="等线"/>
    </font>
  </fonts>
  <fills count="35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</patternFill>
    </fill>
    <fill>
      <patternFill patternType="solid">
        <fgColor rgb="FFFFFF00"/>
      </patternFill>
    </fill>
  </fills>
  <borders count="23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</borders>
  <cellStyleXfs count="49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  <xf numFmtId="0" fontId="18" fillId="0" borderId="0" applyFont="1" applyFill="0" applyBorder="0">
      <alignment vertical="top"/>
    </xf>
    <xf numFmtId="0" fontId="19" fillId="0" borderId="0" applyFont="1" applyFill="0" applyBorder="0">
      <alignment vertical="top"/>
    </xf>
  </cellStyleXfs>
  <cellXfs count="191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0" xfId="47" applyFont="1">
      <alignment vertical="top"/>
    </xf>
    <xf numFmtId="0" fontId="19" fillId="0" borderId="0" xfId="48" applyFont="1">
      <alignment vertical="top"/>
    </xf>
    <xf numFmtId="2" fontId="20" fillId="0" borderId="10" xfId="0" applyFont="1" applyBorder="1" applyNumberFormat="1">
      <alignment horizontal="right" vertical="center"/>
    </xf>
    <xf numFmtId="2" fontId="20" fillId="2" borderId="11" xfId="0" applyFont="1" applyFill="1" applyBorder="1" applyNumberFormat="1">
      <alignment horizontal="center" vertical="center" wrapText="1"/>
    </xf>
    <xf numFmtId="2" fontId="20" fillId="2" borderId="12" xfId="0" applyFont="1" applyFill="1" applyBorder="1" applyNumberFormat="1">
      <alignment horizontal="center" vertical="center" wrapText="1"/>
    </xf>
    <xf numFmtId="2" fontId="21" fillId="0" borderId="12" xfId="0" applyFont="1" applyBorder="1" applyNumberFormat="1">
      <alignment horizontal="center" vertical="center"/>
    </xf>
    <xf numFmtId="2" fontId="20" fillId="33" borderId="12" xfId="0" applyFont="1" applyFill="1" applyBorder="1" applyNumberFormat="1">
      <alignment horizontal="right" vertical="center"/>
    </xf>
    <xf numFmtId="2" fontId="20" fillId="34" borderId="12" xfId="0" applyFont="1" applyFill="1" applyBorder="1" applyNumberFormat="1">
      <alignment horizontal="right" vertical="center"/>
    </xf>
    <xf numFmtId="0" fontId="22" fillId="33" borderId="12" xfId="0" applyFont="1" applyFill="1" applyBorder="1">
      <alignment horizontal="center" vertical="center"/>
    </xf>
    <xf numFmtId="2" fontId="22" fillId="34" borderId="12" xfId="0" applyFont="1" applyFill="1" applyBorder="1" applyNumberFormat="1"/>
    <xf numFmtId="0" fontId="22" fillId="33" borderId="13" xfId="0" applyFont="1" applyFill="1" applyBorder="1">
      <alignment horizontal="center" vertical="center"/>
    </xf>
    <xf numFmtId="0" fontId="0" fillId="0" borderId="0" xfId="0" applyFont="1">
      <alignment wrapText="1"/>
    </xf>
    <xf numFmtId="2" fontId="20" fillId="0" borderId="10" xfId="0" applyFont="1" applyBorder="1" applyNumberFormat="1">
      <alignment vertical="center" wrapText="1"/>
    </xf>
    <xf numFmtId="2" fontId="20" fillId="2" borderId="14" xfId="0" applyFont="1" applyFill="1" applyBorder="1" applyNumberFormat="1">
      <alignment horizontal="center" vertical="center" wrapText="1"/>
    </xf>
    <xf numFmtId="0" fontId="20" fillId="33" borderId="12" xfId="0" applyFont="1" applyFill="1" applyBorder="1">
      <alignment horizontal="right" vertical="center"/>
    </xf>
    <xf numFmtId="2" fontId="20" fillId="33" borderId="15" xfId="0" applyFont="1" applyFill="1" applyBorder="1" applyNumberFormat="1">
      <alignment horizontal="right" vertical="center"/>
    </xf>
    <xf numFmtId="2" fontId="22" fillId="0" borderId="15" xfId="0" applyFont="1" applyBorder="1" applyNumberFormat="1"/>
    <xf numFmtId="0" fontId="0" fillId="0" borderId="0" xfId="0" applyFont="1">
      <alignment horizontal="center" vertical="center"/>
    </xf>
    <xf numFmtId="2" fontId="21" fillId="0" borderId="12" xfId="0" applyFont="1" applyBorder="1" applyNumberFormat="1">
      <alignment horizontal="center"/>
    </xf>
    <xf numFmtId="171" fontId="23" fillId="33" borderId="12" xfId="0" applyFont="1" applyFill="1" applyBorder="1" applyNumberFormat="1">
      <alignment horizontal="right" vertical="center"/>
    </xf>
    <xf numFmtId="2" fontId="23" fillId="33" borderId="12" xfId="0" applyFont="1" applyFill="1" applyBorder="1" applyNumberFormat="1">
      <alignment horizontal="right" vertical="center"/>
    </xf>
    <xf numFmtId="2" fontId="24" fillId="0" borderId="12" xfId="0" applyFont="1" applyBorder="1" applyNumberFormat="1"/>
    <xf numFmtId="0" fontId="22" fillId="0" borderId="0" xfId="0" applyFont="1"/>
    <xf numFmtId="0" fontId="22" fillId="0" borderId="0" xfId="0" applyFont="1">
      <alignment horizontal="center" vertical="center"/>
    </xf>
    <xf numFmtId="0" fontId="24" fillId="0" borderId="0" xfId="0" applyFont="1">
      <alignment horizontal="right" vertical="center"/>
    </xf>
    <xf numFmtId="2" fontId="21" fillId="0" borderId="12" xfId="0" applyFont="1" applyBorder="1" applyNumberFormat="1">
      <alignment horizontal="center"/>
    </xf>
    <xf numFmtId="171" fontId="23" fillId="33" borderId="12" xfId="0" applyFont="1" applyFill="1" applyBorder="1" applyNumberFormat="1">
      <alignment horizontal="right" vertical="center"/>
    </xf>
    <xf numFmtId="0" fontId="22" fillId="33" borderId="12" xfId="0" applyFont="1" applyFill="1" applyBorder="1">
      <alignment horizontal="center" vertical="center"/>
    </xf>
    <xf numFmtId="2" fontId="23" fillId="33" borderId="12" xfId="0" applyFont="1" applyFill="1" applyBorder="1" applyNumberFormat="1">
      <alignment horizontal="right" vertical="center"/>
    </xf>
    <xf numFmtId="2" fontId="24" fillId="0" borderId="12" xfId="0" applyFont="1" applyBorder="1" applyNumberFormat="1"/>
    <xf numFmtId="0" fontId="24" fillId="33" borderId="0" xfId="0" applyFont="1" applyFill="1">
      <alignment horizontal="right" vertical="center"/>
    </xf>
    <xf numFmtId="0" fontId="24" fillId="0" borderId="0" xfId="0" applyFont="1">
      <alignment horizontal="left" vertical="center"/>
    </xf>
    <xf numFmtId="0" fontId="22" fillId="0" borderId="0" xfId="0" applyFont="1"/>
    <xf numFmtId="0" fontId="0" fillId="0" borderId="0" xfId="0" applyFont="1">
      <alignment horizontal="center" vertical="center"/>
    </xf>
    <xf numFmtId="2" fontId="20" fillId="33" borderId="12" xfId="0" applyFont="1" applyFill="1" applyBorder="1" applyNumberFormat="1">
      <alignment horizontal="right" vertical="center"/>
    </xf>
    <xf numFmtId="2" fontId="22" fillId="0" borderId="12" xfId="0" applyFont="1" applyBorder="1" applyNumberFormat="1"/>
    <xf numFmtId="0" fontId="25" fillId="0" borderId="0" xfId="0" applyFont="1">
      <alignment horizontal="center" vertical="center"/>
    </xf>
    <xf numFmtId="2" fontId="20" fillId="0" borderId="10" xfId="0" applyFont="1" applyBorder="1" applyNumberFormat="1">
      <alignment horizontal="left" vertical="center"/>
    </xf>
    <xf numFmtId="14" fontId="20" fillId="0" borderId="10" xfId="0" applyFont="1" applyBorder="1" applyNumberFormat="1">
      <alignment horizontal="right" vertical="center"/>
    </xf>
    <xf numFmtId="2" fontId="20" fillId="2" borderId="12" xfId="0" applyFont="1" applyFill="1" applyBorder="1" applyNumberFormat="1">
      <alignment horizontal="center" vertical="center" wrapText="1"/>
    </xf>
    <xf numFmtId="0" fontId="20" fillId="0" borderId="12" xfId="0" applyFont="1" applyBorder="1">
      <alignment horizontal="center" vertical="center"/>
    </xf>
    <xf numFmtId="0" fontId="22" fillId="33" borderId="12" xfId="0" applyFont="1" applyFill="1" applyBorder="1">
      <alignment horizontal="center" vertical="center"/>
    </xf>
    <xf numFmtId="0" fontId="22" fillId="0" borderId="12" xfId="0" applyFont="1" applyBorder="1">
      <alignment horizontal="center" vertical="center"/>
    </xf>
    <xf numFmtId="0" fontId="20" fillId="33" borderId="12" xfId="0" applyFont="1" applyFill="1" applyBorder="1">
      <alignment horizontal="center" vertical="center"/>
    </xf>
    <xf numFmtId="0" fontId="20" fillId="0" borderId="12" xfId="0" applyFont="1" applyBorder="1">
      <alignment horizontal="center" vertical="center" wrapText="1"/>
    </xf>
    <xf numFmtId="0" fontId="20" fillId="33" borderId="12" xfId="0" applyFont="1" applyFill="1" applyBorder="1">
      <alignment horizontal="center" vertical="center" wrapText="1"/>
    </xf>
    <xf numFmtId="0" fontId="22" fillId="33" borderId="16" xfId="0" applyFont="1" applyFill="1" applyBorder="1">
      <alignment horizontal="center" vertical="center"/>
    </xf>
    <xf numFmtId="0" fontId="24" fillId="0" borderId="0" xfId="0" applyFont="1">
      <alignment horizontal="left" vertical="center"/>
    </xf>
    <xf numFmtId="0" fontId="24" fillId="33" borderId="16" xfId="0" applyFont="1" applyFill="1" applyBorder="1">
      <alignment horizontal="left" vertical="center"/>
    </xf>
    <xf numFmtId="0" fontId="24" fillId="33" borderId="17" xfId="0" applyFont="1" applyFill="1" applyBorder="1">
      <alignment horizontal="left" vertical="center"/>
    </xf>
    <xf numFmtId="0" fontId="24" fillId="33" borderId="18" xfId="0" applyFont="1" applyFill="1" applyBorder="1">
      <alignment horizontal="left" vertical="center"/>
    </xf>
    <xf numFmtId="0" fontId="24" fillId="33" borderId="19" xfId="0" applyFont="1" applyFill="1" applyBorder="1">
      <alignment horizontal="left" vertical="center"/>
    </xf>
    <xf numFmtId="0" fontId="24" fillId="33" borderId="11" xfId="0" applyFont="1" applyFill="1" applyBorder="1">
      <alignment horizontal="left" vertical="center"/>
    </xf>
    <xf numFmtId="0" fontId="24" fillId="33" borderId="14" xfId="0" applyFont="1" applyFill="1" applyBorder="1">
      <alignment horizontal="left" vertical="center"/>
    </xf>
    <xf numFmtId="0" fontId="24" fillId="33" borderId="10" xfId="0" applyFont="1" applyFill="1" applyBorder="1">
      <alignment horizontal="left" vertical="center"/>
    </xf>
    <xf numFmtId="0" fontId="24" fillId="33" borderId="20" xfId="0" applyFont="1" applyFill="1" applyBorder="1">
      <alignment horizontal="left" vertical="center"/>
    </xf>
    <xf numFmtId="2" fontId="20" fillId="2" borderId="20" xfId="0" applyFont="1" applyFill="1" applyBorder="1" applyNumberFormat="1">
      <alignment horizontal="center" vertical="center" wrapText="1"/>
    </xf>
    <xf numFmtId="0" fontId="20" fillId="0" borderId="21" xfId="0" applyFont="1" applyBorder="1">
      <alignment horizontal="center" vertical="center"/>
    </xf>
    <xf numFmtId="0" fontId="22" fillId="33" borderId="21" xfId="0" applyFont="1" applyFill="1" applyBorder="1">
      <alignment horizontal="center" vertical="center"/>
    </xf>
    <xf numFmtId="0" fontId="22" fillId="0" borderId="21" xfId="0" applyFont="1" applyBorder="1">
      <alignment horizontal="center" vertical="center"/>
    </xf>
    <xf numFmtId="0" fontId="20" fillId="33" borderId="21" xfId="0" applyFont="1" applyFill="1" applyBorder="1">
      <alignment horizontal="center" vertical="center"/>
    </xf>
    <xf numFmtId="0" fontId="20" fillId="0" borderId="21" xfId="0" applyFont="1" applyBorder="1">
      <alignment horizontal="center" vertical="center" wrapText="1"/>
    </xf>
    <xf numFmtId="0" fontId="20" fillId="33" borderId="21" xfId="0" applyFont="1" applyFill="1" applyBorder="1">
      <alignment horizontal="center" vertical="center" wrapText="1"/>
    </xf>
    <xf numFmtId="0" fontId="22" fillId="33" borderId="22" xfId="0" applyFont="1" applyFill="1" applyBorder="1">
      <alignment horizontal="center" vertical="center"/>
    </xf>
    <xf numFmtId="0" fontId="20" fillId="0" borderId="12" xfId="0" applyFont="1" applyBorder="1">
      <alignment horizontal="center" vertical="center" wrapText="1"/>
    </xf>
    <xf numFmtId="0" fontId="25" fillId="0" borderId="0" xfId="0" applyFont="1">
      <alignment horizontal="center" vertical="center" wrapText="1"/>
    </xf>
    <xf numFmtId="0" fontId="0" fillId="0" borderId="0" xfId="0" applyFont="1">
      <alignment wrapText="1"/>
    </xf>
    <xf numFmtId="2" fontId="20" fillId="0" borderId="10" xfId="0" applyFont="1" applyBorder="1" applyNumberFormat="1">
      <alignment horizontal="left" vertical="center" wrapText="1"/>
    </xf>
    <xf numFmtId="2" fontId="20" fillId="0" borderId="10" xfId="0" applyFont="1" applyBorder="1" applyNumberFormat="1">
      <alignment horizontal="right" vertical="center" wrapText="1"/>
    </xf>
    <xf numFmtId="2" fontId="20" fillId="0" borderId="10" xfId="0" applyFont="1" applyBorder="1" applyNumberFormat="1">
      <alignment vertical="center" wrapText="1"/>
    </xf>
    <xf numFmtId="14" fontId="20" fillId="0" borderId="10" xfId="0" applyFont="1" applyBorder="1" applyNumberFormat="1">
      <alignment horizontal="right" vertical="center" wrapText="1"/>
    </xf>
    <xf numFmtId="2" fontId="20" fillId="2" borderId="12" xfId="0" applyFont="1" applyFill="1" applyBorder="1" applyNumberFormat="1">
      <alignment horizontal="center" vertical="center" wrapText="1"/>
    </xf>
    <xf numFmtId="2" fontId="20" fillId="2" borderId="12" xfId="0" applyFont="1" applyFill="1" applyBorder="1" applyNumberFormat="1">
      <alignment horizontal="center" vertical="center" wrapText="1"/>
    </xf>
    <xf numFmtId="0" fontId="20" fillId="0" borderId="12" xfId="0" applyFont="1" applyBorder="1">
      <alignment horizontal="center" vertical="center" wrapText="1"/>
    </xf>
    <xf numFmtId="2" fontId="21" fillId="0" borderId="12" xfId="0" applyFont="1" applyBorder="1" applyNumberFormat="1">
      <alignment horizontal="center" wrapText="1"/>
    </xf>
    <xf numFmtId="171" fontId="23" fillId="33" borderId="12" xfId="0" applyFont="1" applyFill="1" applyBorder="1" applyNumberFormat="1">
      <alignment horizontal="right" vertical="center" wrapText="1"/>
    </xf>
    <xf numFmtId="171" fontId="23" fillId="33" borderId="12" xfId="0" applyFont="1" applyFill="1" applyBorder="1" applyNumberFormat="1">
      <alignment horizontal="right" vertical="center" wrapText="1"/>
    </xf>
    <xf numFmtId="2" fontId="21" fillId="0" borderId="12" xfId="0" applyFont="1" applyBorder="1" applyNumberFormat="1">
      <alignment horizontal="center" wrapText="1"/>
    </xf>
    <xf numFmtId="0" fontId="22" fillId="33" borderId="12" xfId="0" applyFont="1" applyFill="1" applyBorder="1">
      <alignment horizontal="center" vertical="center" wrapText="1"/>
    </xf>
    <xf numFmtId="0" fontId="22" fillId="33" borderId="12" xfId="0" applyFont="1" applyFill="1" applyBorder="1">
      <alignment horizontal="center" vertical="center" wrapText="1"/>
    </xf>
    <xf numFmtId="2" fontId="23" fillId="33" borderId="12" xfId="0" applyFont="1" applyFill="1" applyBorder="1" applyNumberFormat="1">
      <alignment horizontal="right" vertical="center" wrapText="1"/>
    </xf>
    <xf numFmtId="2" fontId="23" fillId="33" borderId="12" xfId="0" applyFont="1" applyFill="1" applyBorder="1" applyNumberFormat="1">
      <alignment horizontal="right" vertical="center" wrapText="1"/>
    </xf>
    <xf numFmtId="0" fontId="22" fillId="0" borderId="12" xfId="0" applyFont="1" applyBorder="1">
      <alignment horizontal="center" vertical="center" wrapText="1"/>
    </xf>
    <xf numFmtId="2" fontId="23" fillId="33" borderId="12" xfId="0" applyFont="1" applyFill="1" applyBorder="1" applyNumberFormat="1">
      <alignment horizontal="right" vertical="center" wrapText="1"/>
      <protection locked="0"/>
    </xf>
    <xf numFmtId="2" fontId="24" fillId="0" borderId="12" xfId="0" applyFont="1" applyBorder="1" applyNumberFormat="1">
      <alignment wrapText="1"/>
    </xf>
    <xf numFmtId="2" fontId="24" fillId="0" borderId="12" xfId="0" applyFont="1" applyBorder="1" applyNumberFormat="1">
      <alignment wrapText="1"/>
    </xf>
    <xf numFmtId="0" fontId="20" fillId="33" borderId="12" xfId="0" applyFont="1" applyFill="1" applyBorder="1">
      <alignment horizontal="center" vertical="center" wrapText="1"/>
    </xf>
    <xf numFmtId="0" fontId="20" fillId="0" borderId="12" xfId="0" applyFont="1" applyBorder="1">
      <alignment horizontal="center" vertical="center" wrapText="1"/>
    </xf>
    <xf numFmtId="0" fontId="20" fillId="33" borderId="12" xfId="0" applyFont="1" applyFill="1" applyBorder="1">
      <alignment horizontal="center" vertical="center" wrapText="1"/>
    </xf>
    <xf numFmtId="0" fontId="0" fillId="0" borderId="0" xfId="0" applyFont="1"/>
    <xf numFmtId="0" fontId="20" fillId="0" borderId="12" xfId="0" applyFont="1" applyBorder="1">
      <alignment horizontal="center" vertical="center" wrapText="1"/>
    </xf>
    <xf numFmtId="0" fontId="22" fillId="33" borderId="12" xfId="0" applyFont="1" applyFill="1" applyBorder="1">
      <alignment horizontal="center" vertical="center" wrapText="1"/>
    </xf>
    <xf numFmtId="0" fontId="22" fillId="33" borderId="16" xfId="0" applyFont="1" applyFill="1" applyBorder="1">
      <alignment horizontal="center" vertical="center" wrapText="1"/>
    </xf>
    <xf numFmtId="0" fontId="24" fillId="33" borderId="16" xfId="0" applyFont="1" applyFill="1" applyBorder="1">
      <alignment horizontal="left" vertical="center" wrapText="1"/>
      <protection locked="0"/>
    </xf>
    <xf numFmtId="0" fontId="24" fillId="33" borderId="17" xfId="0" applyFont="1" applyFill="1" applyBorder="1">
      <alignment horizontal="left" vertical="center" wrapText="1"/>
    </xf>
    <xf numFmtId="0" fontId="24" fillId="33" borderId="18" xfId="0" applyFont="1" applyFill="1" applyBorder="1">
      <alignment horizontal="left" vertical="center" wrapText="1"/>
    </xf>
    <xf numFmtId="0" fontId="24" fillId="33" borderId="19" xfId="0" applyFont="1" applyFill="1" applyBorder="1">
      <alignment horizontal="left" vertical="center" wrapText="1"/>
    </xf>
    <xf numFmtId="0" fontId="24" fillId="33" borderId="11" xfId="0" applyFont="1" applyFill="1" applyBorder="1">
      <alignment horizontal="left" vertical="center" wrapText="1"/>
    </xf>
    <xf numFmtId="0" fontId="24" fillId="33" borderId="14" xfId="0" applyFont="1" applyFill="1" applyBorder="1">
      <alignment horizontal="left" vertical="center" wrapText="1"/>
    </xf>
    <xf numFmtId="0" fontId="24" fillId="33" borderId="10" xfId="0" applyFont="1" applyFill="1" applyBorder="1">
      <alignment horizontal="left" vertical="center" wrapText="1"/>
    </xf>
    <xf numFmtId="0" fontId="24" fillId="33" borderId="20" xfId="0" applyFont="1" applyFill="1" applyBorder="1">
      <alignment horizontal="left" vertical="center" wrapText="1"/>
    </xf>
    <xf numFmtId="0" fontId="24" fillId="33" borderId="0" xfId="0" applyFont="1" applyFill="1">
      <alignment horizontal="right" vertical="center" wrapText="1"/>
    </xf>
    <xf numFmtId="0" fontId="24" fillId="0" borderId="0" xfId="0" applyFont="1">
      <alignment horizontal="left" vertical="center" wrapText="1"/>
    </xf>
    <xf numFmtId="0" fontId="24" fillId="0" borderId="0" xfId="0" applyFont="1">
      <alignment horizontal="left" vertical="center" wrapText="1"/>
      <protection locked="0"/>
    </xf>
    <xf numFmtId="0" fontId="24" fillId="0" borderId="0" xfId="0" applyFont="1">
      <alignment horizontal="left" vertical="center" wrapText="1"/>
    </xf>
    <xf numFmtId="0" fontId="22" fillId="0" borderId="0" xfId="0" applyFont="1">
      <alignment wrapText="1"/>
    </xf>
    <xf numFmtId="0" fontId="22" fillId="0" borderId="0" xfId="0" applyFont="1">
      <alignment wrapText="1"/>
    </xf>
    <xf numFmtId="0" fontId="22" fillId="0" borderId="0" xfId="0" applyFont="1">
      <alignment horizontal="center" vertical="center" wrapText="1"/>
    </xf>
    <xf numFmtId="0" fontId="24" fillId="0" borderId="0" xfId="0" applyFont="1">
      <alignment horizontal="right" vertical="center" wrapText="1"/>
    </xf>
    <xf numFmtId="0" fontId="0" fillId="0" borderId="0" xfId="0" applyFont="1">
      <alignment horizontal="center" vertical="center" wrapText="1"/>
    </xf>
    <xf numFmtId="0" fontId="0" fillId="0" borderId="0" xfId="0" applyFont="1">
      <alignment horizontal="center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>
      <alignment wrapText="1"/>
    </xf>
    <xf numFmtId="2" fontId="20" fillId="2" borderId="20" xfId="0" applyFont="1" applyFill="1" applyBorder="1" applyNumberFormat="1">
      <alignment horizontal="center" vertical="center" wrapText="1"/>
    </xf>
    <xf numFmtId="2" fontId="20" fillId="2" borderId="11" xfId="0" applyFont="1" applyFill="1" applyBorder="1" applyNumberFormat="1">
      <alignment horizontal="center" vertical="center" wrapText="1"/>
    </xf>
    <xf numFmtId="2" fontId="20" fillId="2" borderId="14" xfId="0" applyFont="1" applyFill="1" applyBorder="1" applyNumberFormat="1">
      <alignment horizontal="center" vertical="center" wrapText="1"/>
    </xf>
    <xf numFmtId="0" fontId="20" fillId="0" borderId="21" xfId="0" applyFont="1" applyBorder="1">
      <alignment horizontal="center" vertical="center" wrapText="1"/>
    </xf>
    <xf numFmtId="2" fontId="21" fillId="0" borderId="12" xfId="0" applyFont="1" applyBorder="1" applyNumberFormat="1">
      <alignment horizontal="center" vertical="center" wrapText="1"/>
    </xf>
    <xf numFmtId="2" fontId="20" fillId="33" borderId="12" xfId="0" applyFont="1" applyFill="1" applyBorder="1" applyNumberFormat="1">
      <alignment horizontal="right" vertical="center" wrapText="1"/>
    </xf>
    <xf numFmtId="2" fontId="20" fillId="33" borderId="12" xfId="0" applyFont="1" applyFill="1" applyBorder="1" applyNumberFormat="1">
      <alignment horizontal="right" vertical="center" wrapText="1"/>
    </xf>
    <xf numFmtId="2" fontId="20" fillId="34" borderId="12" xfId="0" applyFont="1" applyFill="1" applyBorder="1" applyNumberFormat="1">
      <alignment horizontal="right" vertical="center" wrapText="1"/>
    </xf>
    <xf numFmtId="0" fontId="20" fillId="33" borderId="12" xfId="0" applyFont="1" applyFill="1" applyBorder="1">
      <alignment horizontal="right" vertical="center" wrapText="1"/>
    </xf>
    <xf numFmtId="2" fontId="20" fillId="33" borderId="15" xfId="0" applyFont="1" applyFill="1" applyBorder="1" applyNumberFormat="1">
      <alignment horizontal="right" vertical="center" wrapText="1"/>
    </xf>
    <xf numFmtId="0" fontId="22" fillId="33" borderId="21" xfId="0" applyFont="1" applyFill="1" applyBorder="1">
      <alignment horizontal="center" vertical="center" wrapText="1"/>
    </xf>
    <xf numFmtId="0" fontId="22" fillId="0" borderId="21" xfId="0" applyFont="1" applyBorder="1">
      <alignment horizontal="center" vertical="center" wrapText="1"/>
    </xf>
    <xf numFmtId="2" fontId="22" fillId="0" borderId="12" xfId="0" applyFont="1" applyBorder="1" applyNumberFormat="1">
      <alignment wrapText="1"/>
    </xf>
    <xf numFmtId="2" fontId="22" fillId="34" borderId="12" xfId="0" applyFont="1" applyFill="1" applyBorder="1" applyNumberFormat="1">
      <alignment wrapText="1"/>
    </xf>
    <xf numFmtId="2" fontId="22" fillId="0" borderId="15" xfId="0" applyFont="1" applyBorder="1" applyNumberFormat="1">
      <alignment wrapText="1"/>
    </xf>
    <xf numFmtId="0" fontId="20" fillId="33" borderId="21" xfId="0" applyFont="1" applyFill="1" applyBorder="1">
      <alignment horizontal="center" vertical="center" wrapText="1"/>
    </xf>
    <xf numFmtId="0" fontId="20" fillId="0" borderId="21" xfId="0" applyFont="1" applyBorder="1">
      <alignment horizontal="center" vertical="center" wrapText="1"/>
    </xf>
    <xf numFmtId="0" fontId="20" fillId="33" borderId="21" xfId="0" applyFont="1" applyFill="1" applyBorder="1">
      <alignment horizontal="center" vertical="center" wrapText="1"/>
    </xf>
    <xf numFmtId="0" fontId="0" fillId="0" borderId="0" xfId="0" applyFont="1"/>
    <xf numFmtId="0" fontId="22" fillId="33" borderId="22" xfId="0" applyFont="1" applyFill="1" applyBorder="1">
      <alignment horizontal="center" vertical="center" wrapText="1"/>
    </xf>
    <xf numFmtId="0" fontId="22" fillId="33" borderId="13" xfId="0" applyFont="1" applyFill="1" applyBorder="1">
      <alignment horizontal="center" vertical="center" wrapText="1"/>
    </xf>
    <xf numFmtId="0" fontId="0" fillId="0" borderId="0" xfId="0" applyFont="1">
      <alignment wrapText="1"/>
    </xf>
    <xf numFmtId="0" fontId="0" fillId="0" borderId="0" xfId="0" applyFont="1"/>
    <xf numFmtId="0" fontId="0" fillId="0" borderId="0" xfId="0" applyFont="1">
      <alignment wrapText="1"/>
    </xf>
    <xf numFmtId="0" fontId="0" fillId="0" borderId="0" xfId="0" applyFont="1"/>
    <xf numFmtId="0" fontId="0" fillId="0" borderId="0" xfId="0" applyFont="1"/>
    <xf numFmtId="0" fontId="0" fillId="0" borderId="0" xfId="0" applyFont="1"/>
  </cellXfs>
  <cellStyles count="49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超链接" xfId="47"/>
    <cellStyle name="已访问的超链接" xfId="48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7228C37-4CB8-1748-DA18-974AE5731051}" mc:Ignorable="x14ac xr xr2 xr3">
  <dimension ref="A1:R39"/>
  <sheetViews>
    <sheetView topLeftCell="A1" showGridLines="0" workbookViewId="0" tabSelected="1">
      <selection activeCell="A1" sqref="A1:N1"/>
    </sheetView>
  </sheetViews>
  <sheetFormatPr defaultColWidth="9.00390625" customHeight="1" defaultRowHeight="13.5"/>
  <cols>
    <col min="1" max="1" style="158" width="12.8515625" customWidth="1"/>
    <col min="2" max="2" style="159" width="6.8515625" customWidth="1"/>
    <col min="3" max="3" style="160" width="6.7109375" customWidth="1"/>
    <col min="5" max="5" style="161" width="11.421875" customWidth="1"/>
    <col min="7" max="7" style="80" width="12.57421875" customWidth="1"/>
    <col min="10" max="10" style="162" width="10.57421875" customWidth="1"/>
  </cols>
  <sheetData>
    <row customHeight="1" ht="23.25">
      <c r="A1" s="112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3"/>
      <c r="P1" s="113"/>
      <c r="Q1" s="113"/>
      <c r="R1" s="113"/>
    </row>
    <row customHeight="1" ht="14.25">
      <c r="A2" s="114" t="s">
        <v>1</v>
      </c>
      <c r="B2" s="114"/>
      <c r="C2" s="114"/>
      <c r="D2" s="114"/>
      <c r="E2" s="58"/>
      <c r="F2" s="115" t="s">
        <v>2</v>
      </c>
      <c r="G2" s="114" t="s">
        <v>3</v>
      </c>
      <c r="H2" s="114"/>
      <c r="I2" s="59"/>
      <c r="J2" s="117" t="str">
        <f>取值!P1&amp;取值!Q1&amp;取值!R1</f>
        <v>报表生成时间：2025-06-01 8:00:00</v>
      </c>
      <c r="K2" s="117"/>
      <c r="L2" s="117"/>
      <c r="M2" s="117"/>
      <c r="N2" s="117"/>
      <c r="O2" s="113"/>
      <c r="P2" s="113"/>
      <c r="Q2" s="113"/>
      <c r="R2" s="113"/>
    </row>
    <row customHeight="1" ht="14.25">
      <c r="A3" s="86" t="s">
        <v>4</v>
      </c>
      <c r="B3" s="86"/>
      <c r="C3" s="51" t="s">
        <v>5</v>
      </c>
      <c r="D3" s="51" t="s">
        <v>6</v>
      </c>
      <c r="E3" s="51" t="s">
        <v>7</v>
      </c>
      <c r="F3" s="51" t="s">
        <v>8</v>
      </c>
      <c r="G3" s="51" t="s">
        <v>9</v>
      </c>
      <c r="H3" s="51" t="s">
        <v>10</v>
      </c>
      <c r="I3" s="51" t="s">
        <v>11</v>
      </c>
      <c r="J3" s="51" t="s">
        <v>12</v>
      </c>
      <c r="K3" s="51" t="s">
        <v>13</v>
      </c>
      <c r="L3" s="51" t="s">
        <v>14</v>
      </c>
      <c r="M3" s="51" t="s">
        <v>15</v>
      </c>
      <c r="N3" s="51" t="s">
        <v>16</v>
      </c>
      <c r="O3" s="113"/>
      <c r="P3" s="113"/>
      <c r="Q3" s="113"/>
      <c r="R3" s="113"/>
    </row>
    <row customHeight="1" ht="15">
      <c r="A4" s="120" t="s">
        <v>17</v>
      </c>
      <c r="B4" s="120"/>
      <c r="C4" s="121" t="s">
        <v>18</v>
      </c>
      <c r="D4" s="122"/>
      <c r="E4" s="123">
        <f>取值!E4</f>
        <v>21743000</v>
      </c>
      <c r="F4" s="122"/>
      <c r="G4" s="122"/>
      <c r="H4" s="122"/>
      <c r="I4" s="122"/>
      <c r="J4" s="122"/>
      <c r="K4" s="122"/>
      <c r="L4" s="122"/>
      <c r="M4" s="122"/>
      <c r="N4" s="122"/>
      <c r="O4" s="113"/>
      <c r="P4" s="113"/>
      <c r="Q4" s="113"/>
      <c r="R4" s="113"/>
    </row>
    <row customHeight="1" ht="15">
      <c r="A5" s="120" t="s">
        <v>19</v>
      </c>
      <c r="B5" s="120"/>
      <c r="C5" s="124" t="s">
        <v>18</v>
      </c>
      <c r="D5" s="122"/>
      <c r="E5" s="122"/>
      <c r="F5" s="122"/>
      <c r="G5" s="122">
        <f>取值!G5</f>
        <v>19990403</v>
      </c>
      <c r="H5" s="122"/>
      <c r="I5" s="122"/>
      <c r="J5" s="122"/>
      <c r="K5" s="122"/>
      <c r="L5" s="122"/>
      <c r="M5" s="122"/>
      <c r="N5" s="122"/>
      <c r="O5" s="113"/>
      <c r="P5" s="113"/>
      <c r="Q5" s="113"/>
      <c r="R5" s="113"/>
    </row>
    <row customHeight="1" ht="15.75">
      <c r="A6" s="120" t="s">
        <v>20</v>
      </c>
      <c r="B6" s="120"/>
      <c r="C6" s="124" t="s">
        <v>18</v>
      </c>
      <c r="D6" s="122"/>
      <c r="E6" s="122"/>
      <c r="F6" s="122"/>
      <c r="G6" s="122"/>
      <c r="H6" s="122"/>
      <c r="I6" s="122"/>
      <c r="J6" s="122">
        <f>取值!J6</f>
        <v>1752597</v>
      </c>
      <c r="K6" s="122"/>
      <c r="L6" s="122"/>
      <c r="M6" s="122"/>
      <c r="N6" s="122"/>
      <c r="O6" s="113"/>
      <c r="P6" s="113"/>
      <c r="Q6" s="113"/>
      <c r="R6" s="113"/>
    </row>
    <row customHeight="1" ht="14.25">
      <c r="A7" s="125" t="s">
        <v>21</v>
      </c>
      <c r="B7" s="125"/>
      <c r="C7" s="126" t="s">
        <v>22</v>
      </c>
      <c r="D7" s="127">
        <f>取值!D7</f>
        <v>3351.29</v>
      </c>
      <c r="E7" s="128">
        <f>取值!E7</f>
        <v>7060.22</v>
      </c>
      <c r="F7" s="127"/>
      <c r="G7" s="127">
        <f>取值!G7</f>
        <v>7189</v>
      </c>
      <c r="H7" s="127"/>
      <c r="I7" s="127">
        <f>取值!I7</f>
        <v>0</v>
      </c>
      <c r="J7" s="127"/>
      <c r="K7" s="127" t="str">
        <f>_xlfn.IFERROR(IF(取值!K7=0,"",取值!K7),"")</f>
        <v/>
      </c>
      <c r="L7" s="127" t="str">
        <f>_xlfn.IFERROR(IF(取值!L7=0,"",取值!L7),"")</f>
        <v/>
      </c>
      <c r="M7" s="127" t="str">
        <f>_xlfn.IFERROR(IF(取值!M7=0,"",取值!M7),"")</f>
        <v/>
      </c>
      <c r="N7" s="127">
        <f>_xlfn.IFERROR(SUM(D7,E7,F7,H7,K7,M7)-SUM(G7,I7,J7,L7),"")</f>
        <v>3222.51</v>
      </c>
      <c r="O7" s="113"/>
      <c r="P7" s="113"/>
      <c r="Q7" s="113"/>
      <c r="R7" s="113"/>
    </row>
    <row customHeight="1" ht="14.25">
      <c r="A8" s="125" t="s">
        <v>23</v>
      </c>
      <c r="B8" s="125"/>
      <c r="C8" s="126" t="s">
        <v>22</v>
      </c>
      <c r="D8" s="127">
        <f>取值!D8</f>
        <v>144.38</v>
      </c>
      <c r="E8" s="127">
        <f>取值!E8</f>
        <v>0</v>
      </c>
      <c r="F8" s="127"/>
      <c r="G8" s="127">
        <f>取值!G8</f>
        <v>0</v>
      </c>
      <c r="H8" s="127"/>
      <c r="I8" s="127">
        <f>取值!I8</f>
        <v>0</v>
      </c>
      <c r="J8" s="127"/>
      <c r="K8" s="127" t="str">
        <f>_xlfn.IFERROR(IF(取值!K8=0,"",取值!K8),"")</f>
        <v/>
      </c>
      <c r="L8" s="127" t="str">
        <f>_xlfn.IFERROR(IF(取值!L8=0,"",取值!L8),"")</f>
        <v/>
      </c>
      <c r="M8" s="127" t="str">
        <f>_xlfn.IFERROR(IF(取值!M8=0,"",取值!M8),"")</f>
        <v/>
      </c>
      <c r="N8" s="127">
        <f>_xlfn.IFERROR(SUM(D8,E8,F8,H8,K8,M8)-SUM(G8,I8,J8,L8),"")</f>
        <v>144.38</v>
      </c>
      <c r="O8" s="113"/>
      <c r="P8" s="113"/>
      <c r="Q8" s="113"/>
      <c r="R8" s="113"/>
    </row>
    <row customHeight="1" ht="14.25">
      <c r="A9" s="129" t="s">
        <v>24</v>
      </c>
      <c r="B9" s="125"/>
      <c r="C9" s="126" t="s">
        <v>22</v>
      </c>
      <c r="D9" s="127">
        <f>取值!D9</f>
        <v>326.389999999999</v>
      </c>
      <c r="E9" s="127"/>
      <c r="F9" s="127"/>
      <c r="G9" s="127">
        <f>取值!G9</f>
        <v>0</v>
      </c>
      <c r="H9" s="130">
        <v>8004.69</v>
      </c>
      <c r="I9" s="127">
        <f>取值!I9</f>
        <v>4794.78</v>
      </c>
      <c r="J9" s="127"/>
      <c r="K9" s="127" t="str">
        <f>_xlfn.IFERROR(IF(取值!K9=0,"",取值!K9),"")</f>
        <v/>
      </c>
      <c r="L9" s="127" t="str">
        <f>_xlfn.IFERROR(IF(取值!L9=0,"",取值!L9),"")</f>
        <v/>
      </c>
      <c r="M9" s="127" t="str">
        <f>_xlfn.IFERROR(IF(取值!M9=0,"",取值!M9),"")</f>
        <v/>
      </c>
      <c r="N9" s="127">
        <f>_xlfn.IFERROR(SUM(D9,E9,F9,H9,K9,M9)-SUM(G9,I9,J9,L9),"")</f>
        <v>3536.3</v>
      </c>
      <c r="O9" s="113"/>
      <c r="P9" s="113"/>
      <c r="Q9" s="113"/>
      <c r="R9" s="113"/>
    </row>
    <row customHeight="1" ht="14.25">
      <c r="A10" s="129" t="s">
        <v>25</v>
      </c>
      <c r="B10" s="125"/>
      <c r="C10" s="126" t="s">
        <v>22</v>
      </c>
      <c r="D10" s="127">
        <f>取值!D10</f>
        <v>25.88</v>
      </c>
      <c r="E10" s="127"/>
      <c r="F10" s="127"/>
      <c r="G10" s="127">
        <f>取值!G10</f>
        <v>0</v>
      </c>
      <c r="H10" s="127">
        <f>取值!H10</f>
        <v>0</v>
      </c>
      <c r="I10" s="127">
        <f>取值!I10</f>
        <v>0</v>
      </c>
      <c r="J10" s="127"/>
      <c r="K10" s="127" t="str">
        <f>_xlfn.IFERROR(IF(取值!K10=0,"",取值!K10),"")</f>
        <v/>
      </c>
      <c r="L10" s="127" t="str">
        <f>_xlfn.IFERROR(IF(取值!L10=0,"",取值!L10),"")</f>
        <v/>
      </c>
      <c r="M10" s="127" t="str">
        <f>_xlfn.IFERROR(IF(取值!M10=0,"",取值!M10),"")</f>
        <v/>
      </c>
      <c r="N10" s="127">
        <f>_xlfn.IFERROR(SUM(D10,E10,F10,H10,K10,M10)-SUM(G10,I10,J10,L10),"")</f>
        <v>25.88</v>
      </c>
      <c r="O10" s="113"/>
      <c r="P10" s="113"/>
      <c r="Q10" s="113"/>
      <c r="R10" s="113"/>
    </row>
    <row customHeight="1" ht="14.25">
      <c r="A11" s="125" t="s">
        <v>26</v>
      </c>
      <c r="B11" s="125"/>
      <c r="C11" s="126" t="s">
        <v>22</v>
      </c>
      <c r="D11" s="127">
        <f>取值!D11</f>
        <v>7138.61</v>
      </c>
      <c r="E11" s="127">
        <f>取值!E11</f>
        <v>0</v>
      </c>
      <c r="F11" s="127">
        <f>取值!F11</f>
        <v>0</v>
      </c>
      <c r="G11" s="127">
        <f>取值!G11</f>
        <v>0</v>
      </c>
      <c r="H11" s="127">
        <f>取值!H11</f>
        <v>0</v>
      </c>
      <c r="I11" s="127">
        <f>取值!I11</f>
        <v>90.18</v>
      </c>
      <c r="J11" s="127">
        <f>取值!J11</f>
        <v>0</v>
      </c>
      <c r="K11" s="127" t="str">
        <f>_xlfn.IFERROR(IF(取值!K11=0,"",取值!K11),"")</f>
        <v/>
      </c>
      <c r="L11" s="127" t="str">
        <f>_xlfn.IFERROR(IF(取值!L11=0,"",取值!L11),"")</f>
        <v/>
      </c>
      <c r="M11" s="127" t="str">
        <f>_xlfn.IFERROR(IF(取值!M11=0,"",取值!M11),"")</f>
        <v/>
      </c>
      <c r="N11" s="127">
        <f>_xlfn.IFERROR(SUM(D11,E11,F11,H11,K11,M11)-SUM(G11,I11,J11,L11),"")</f>
        <v>7048.43</v>
      </c>
      <c r="O11" s="113"/>
      <c r="P11" s="113"/>
      <c r="Q11" s="113"/>
      <c r="R11" s="113"/>
    </row>
    <row customHeight="1" ht="14.25">
      <c r="A12" s="129" t="s">
        <v>27</v>
      </c>
      <c r="B12" s="126" t="s">
        <v>28</v>
      </c>
      <c r="C12" s="126" t="s">
        <v>22</v>
      </c>
      <c r="D12" s="127">
        <f>取值!D12</f>
        <v>7138.61</v>
      </c>
      <c r="E12" s="127"/>
      <c r="F12" s="127"/>
      <c r="G12" s="127">
        <f>取值!G12</f>
        <v>0</v>
      </c>
      <c r="H12" s="127">
        <f>取值!H12</f>
        <v>0</v>
      </c>
      <c r="I12" s="127">
        <f>取值!I12</f>
        <v>90.18</v>
      </c>
      <c r="J12" s="127"/>
      <c r="K12" s="127" t="str">
        <f>_xlfn.IFERROR(IF(取值!K12=0,"",取值!K12),"")</f>
        <v/>
      </c>
      <c r="L12" s="127" t="str">
        <f>_xlfn.IFERROR(IF(取值!L12=0,"",取值!L12),"")</f>
        <v/>
      </c>
      <c r="M12" s="127" t="str">
        <f>_xlfn.IFERROR(IF(取值!M12=0,"",取值!M12),"")</f>
        <v/>
      </c>
      <c r="N12" s="127">
        <f>_xlfn.IFERROR(SUM(D12,E12,F12,H12,K12,M12)-SUM(G12,I12,J12,L12),"")</f>
        <v>7048.43</v>
      </c>
      <c r="O12" s="113"/>
      <c r="P12" s="113"/>
      <c r="Q12" s="113"/>
      <c r="R12" s="113"/>
    </row>
    <row customHeight="1" ht="14.25">
      <c r="A13" s="129"/>
      <c r="B13" s="126" t="s">
        <v>29</v>
      </c>
      <c r="C13" s="126" t="s">
        <v>22</v>
      </c>
      <c r="D13" s="127">
        <f>取值!D13</f>
        <v>0</v>
      </c>
      <c r="E13" s="127"/>
      <c r="F13" s="127"/>
      <c r="G13" s="127">
        <f>取值!G13</f>
        <v>0</v>
      </c>
      <c r="H13" s="127">
        <f>取值!H13</f>
        <v>0</v>
      </c>
      <c r="I13" s="127">
        <f>取值!I13</f>
        <v>0</v>
      </c>
      <c r="J13" s="127"/>
      <c r="K13" s="127" t="str">
        <f>_xlfn.IFERROR(IF(取值!K13=0,"",取值!K13),"")</f>
        <v/>
      </c>
      <c r="L13" s="127" t="str">
        <f>_xlfn.IFERROR(IF(取值!L13=0,"",取值!L13),"")</f>
        <v/>
      </c>
      <c r="M13" s="127" t="str">
        <f>_xlfn.IFERROR(IF(取值!M13=0,"",取值!M13),"")</f>
        <v/>
      </c>
      <c r="N13" s="127">
        <f>_xlfn.IFERROR(SUM(D13,E13,F13,H13,K13,M13)-SUM(G13,I13,J13,L13),"")</f>
        <v>0</v>
      </c>
      <c r="O13" s="113"/>
      <c r="P13" s="113"/>
      <c r="Q13" s="113"/>
      <c r="R13" s="113"/>
    </row>
    <row customHeight="1" ht="14.25">
      <c r="A14" s="129" t="s">
        <v>30</v>
      </c>
      <c r="B14" s="126" t="s">
        <v>28</v>
      </c>
      <c r="C14" s="126" t="s">
        <v>22</v>
      </c>
      <c r="D14" s="127">
        <f>取值!D14</f>
        <v>0</v>
      </c>
      <c r="E14" s="127"/>
      <c r="F14" s="127"/>
      <c r="G14" s="127">
        <f>取值!G14</f>
        <v>0</v>
      </c>
      <c r="H14" s="127">
        <f>取值!H14</f>
        <v>0</v>
      </c>
      <c r="I14" s="127">
        <f>取值!I14</f>
        <v>0</v>
      </c>
      <c r="J14" s="127"/>
      <c r="K14" s="127" t="str">
        <f>_xlfn.IFERROR(IF(取值!K14=0,"",取值!K14),"")</f>
        <v/>
      </c>
      <c r="L14" s="127" t="str">
        <f>_xlfn.IFERROR(IF(取值!L14=0,"",取值!L14),"")</f>
        <v/>
      </c>
      <c r="M14" s="127" t="str">
        <f>_xlfn.IFERROR(IF(取值!M14=0,"",取值!M14),"")</f>
        <v/>
      </c>
      <c r="N14" s="127">
        <f>_xlfn.IFERROR(SUM(D14,E14,F14,H14,K14,M14)-SUM(G14,I14,J14,L14),"")</f>
        <v>0</v>
      </c>
      <c r="O14" s="113"/>
      <c r="P14" s="113"/>
      <c r="Q14" s="113"/>
      <c r="R14" s="113"/>
    </row>
    <row customHeight="1" ht="14.25">
      <c r="A15" s="129"/>
      <c r="B15" s="126" t="s">
        <v>29</v>
      </c>
      <c r="C15" s="126" t="s">
        <v>22</v>
      </c>
      <c r="D15" s="127">
        <f>取值!D15</f>
        <v>0</v>
      </c>
      <c r="E15" s="131"/>
      <c r="F15" s="132"/>
      <c r="G15" s="127">
        <f>取值!G15</f>
        <v>0</v>
      </c>
      <c r="H15" s="127">
        <f>取值!H15</f>
        <v>0</v>
      </c>
      <c r="I15" s="127">
        <f>取值!I15</f>
        <v>0</v>
      </c>
      <c r="J15" s="132"/>
      <c r="K15" s="127" t="str">
        <f>_xlfn.IFERROR(IF(取值!K15=0,"",取值!K15),"")</f>
        <v/>
      </c>
      <c r="L15" s="127" t="str">
        <f>_xlfn.IFERROR(IF(取值!L15=0,"",取值!L15),"")</f>
        <v/>
      </c>
      <c r="M15" s="127" t="str">
        <f>_xlfn.IFERROR(IF(取值!M15=0,"",取值!M15),"")</f>
        <v/>
      </c>
      <c r="N15" s="127">
        <f>_xlfn.IFERROR(SUM(D15,E15,F15,H15,K15,M15)-SUM(G15,I15,J15,L15),"")</f>
        <v>0</v>
      </c>
      <c r="O15" s="113"/>
      <c r="P15" s="113"/>
      <c r="Q15" s="113"/>
      <c r="R15" s="113"/>
    </row>
    <row customHeight="1" ht="14.25">
      <c r="A16" s="129" t="s">
        <v>31</v>
      </c>
      <c r="B16" s="125"/>
      <c r="C16" s="126" t="s">
        <v>22</v>
      </c>
      <c r="D16" s="127">
        <f>取值!D16</f>
        <v>177.04</v>
      </c>
      <c r="E16" s="132"/>
      <c r="F16" s="132"/>
      <c r="G16" s="127"/>
      <c r="H16" s="127">
        <f>取值!H16</f>
        <v>0</v>
      </c>
      <c r="I16" s="127">
        <f>取值!I16</f>
        <v>0</v>
      </c>
      <c r="J16" s="132"/>
      <c r="K16" s="127" t="str">
        <f>_xlfn.IFERROR(IF(取值!K16=0,"",取值!K16),"")</f>
        <v/>
      </c>
      <c r="L16" s="127" t="str">
        <f>_xlfn.IFERROR(IF(取值!L16=0,"",取值!L16),"")</f>
        <v/>
      </c>
      <c r="M16" s="127" t="str">
        <f>_xlfn.IFERROR(IF(取值!M16=0,"",取值!M16),"")</f>
        <v/>
      </c>
      <c r="N16" s="127">
        <f>_xlfn.IFERROR(SUM(D16,E16,F16,H16,K16,M16)-SUM(G16,I16,J16,L16),"")</f>
        <v>177.04</v>
      </c>
      <c r="O16" s="113"/>
      <c r="P16" s="113"/>
      <c r="Q16" s="113"/>
      <c r="R16" s="113"/>
    </row>
    <row customHeight="1" ht="14.25">
      <c r="A17" s="129" t="s">
        <v>32</v>
      </c>
      <c r="B17" s="125"/>
      <c r="C17" s="126" t="s">
        <v>22</v>
      </c>
      <c r="D17" s="127">
        <f>取值!D17</f>
        <v>0</v>
      </c>
      <c r="E17" s="132"/>
      <c r="F17" s="132"/>
      <c r="G17" s="132"/>
      <c r="H17" s="127">
        <f>取值!H17</f>
        <v>0</v>
      </c>
      <c r="I17" s="127">
        <f>取值!I17</f>
        <v>0</v>
      </c>
      <c r="J17" s="132"/>
      <c r="K17" s="127" t="str">
        <f>_xlfn.IFERROR(IF(取值!K17=0,"",取值!K17),"")</f>
        <v/>
      </c>
      <c r="L17" s="127" t="str">
        <f>_xlfn.IFERROR(IF(取值!L17=0,"",取值!L17),"")</f>
        <v/>
      </c>
      <c r="M17" s="127" t="str">
        <f>_xlfn.IFERROR(IF(取值!M17=0,"",取值!M17),"")</f>
        <v/>
      </c>
      <c r="N17" s="127">
        <f>_xlfn.IFERROR(SUM(D17,E17,F17,H17,K17,M17)-SUM(G17,I17,J17,L17),"")</f>
        <v>0</v>
      </c>
      <c r="O17" s="113"/>
      <c r="P17" s="113"/>
      <c r="Q17" s="113"/>
      <c r="R17" s="113"/>
    </row>
    <row customHeight="1" ht="14.25">
      <c r="A18" s="120" t="s">
        <v>33</v>
      </c>
      <c r="B18" s="133"/>
      <c r="C18" s="126" t="s">
        <v>22</v>
      </c>
      <c r="D18" s="127">
        <f>取值!D18</f>
        <v>1472.5</v>
      </c>
      <c r="E18" s="127"/>
      <c r="F18" s="127"/>
      <c r="G18" s="127">
        <f>取值!G18</f>
        <v>0</v>
      </c>
      <c r="H18" s="127">
        <f>取值!H18</f>
        <v>4642</v>
      </c>
      <c r="I18" s="127">
        <f>取值!I18</f>
        <v>2329.92</v>
      </c>
      <c r="J18" s="127"/>
      <c r="K18" s="127" t="str">
        <f>_xlfn.IFERROR(IF(取值!K18=0,"",取值!K18),"")</f>
        <v/>
      </c>
      <c r="L18" s="127" t="str">
        <f>_xlfn.IFERROR(IF(取值!L18=0,"",取值!L18),"")</f>
        <v/>
      </c>
      <c r="M18" s="127" t="str">
        <f>_xlfn.IFERROR(IF(取值!M18=0,"",取值!M18),"")</f>
        <v/>
      </c>
      <c r="N18" s="127">
        <f>_xlfn.IFERROR(SUM(D18,E18,F18,H18,K18,M18)-SUM(G18,I18,J18,L18),"")</f>
        <v>3784.58</v>
      </c>
      <c r="O18" s="113"/>
      <c r="P18" s="113"/>
      <c r="Q18" s="113"/>
      <c r="R18" s="113"/>
    </row>
    <row customHeight="1" ht="14.25">
      <c r="A19" s="120" t="s">
        <v>34</v>
      </c>
      <c r="B19" s="133"/>
      <c r="C19" s="126" t="s">
        <v>22</v>
      </c>
      <c r="D19" s="127">
        <f>取值!D19</f>
        <v>0</v>
      </c>
      <c r="E19" s="127"/>
      <c r="F19" s="127"/>
      <c r="G19" s="127">
        <f>取值!G19</f>
        <v>0</v>
      </c>
      <c r="H19" s="127">
        <f>取值!H19</f>
        <v>0</v>
      </c>
      <c r="I19" s="127">
        <f>取值!I19</f>
        <v>0</v>
      </c>
      <c r="J19" s="127"/>
      <c r="K19" s="127" t="str">
        <f>_xlfn.IFERROR(IF(取值!K19=0,"",取值!K19),"")</f>
        <v/>
      </c>
      <c r="L19" s="127" t="str">
        <f>_xlfn.IFERROR(IF(取值!L19=0,"",取值!L19),"")</f>
        <v/>
      </c>
      <c r="M19" s="127" t="str">
        <f>_xlfn.IFERROR(IF(取值!M19=0,"",取值!M19),"")</f>
        <v/>
      </c>
      <c r="N19" s="127">
        <f>_xlfn.IFERROR(SUM(D19,E19,F19,H19,K19,M19)-SUM(G19,I19,J19,L19),"")</f>
        <v>0</v>
      </c>
      <c r="O19" s="113"/>
      <c r="P19" s="113"/>
      <c r="Q19" s="113"/>
      <c r="R19" s="113"/>
    </row>
    <row customHeight="1" ht="13.5">
      <c r="A20" s="91" t="s">
        <v>35</v>
      </c>
      <c r="B20" s="92"/>
      <c r="C20" s="126" t="s">
        <v>22</v>
      </c>
      <c r="D20" s="127">
        <f>取值!D20</f>
        <v>42.6100000000001</v>
      </c>
      <c r="E20" s="127"/>
      <c r="F20" s="127"/>
      <c r="G20" s="127"/>
      <c r="H20" s="127">
        <f>取值!H20</f>
        <v>1663.24</v>
      </c>
      <c r="I20" s="127">
        <f>取值!I20</f>
        <v>1388.44</v>
      </c>
      <c r="J20" s="127"/>
      <c r="K20" s="127" t="str">
        <f>_xlfn.IFERROR(IF(取值!K20=0,"",取值!K20),"")</f>
        <v/>
      </c>
      <c r="L20" s="127" t="str">
        <f>_xlfn.IFERROR(IF(取值!L20=0,"",取值!L20),"")</f>
        <v/>
      </c>
      <c r="M20" s="127" t="str">
        <f>_xlfn.IFERROR(IF(取值!M20=0,"",取值!M20),"")</f>
        <v/>
      </c>
      <c r="N20" s="127">
        <f>_xlfn.IFERROR(SUM(D20,E20,F20,H20,K20,M20)-SUM(G20,I20,J20,L20),"")</f>
        <v>317.41</v>
      </c>
      <c r="O20" s="113"/>
      <c r="P20" s="113"/>
      <c r="Q20" s="113"/>
      <c r="R20" s="113"/>
    </row>
    <row s="136" customFormat="1" customHeight="1" ht="13.5">
      <c r="A21" s="111" t="s">
        <v>36</v>
      </c>
      <c r="B21" s="92"/>
      <c r="C21" s="138" t="s">
        <v>22</v>
      </c>
      <c r="D21" s="128">
        <f>取值!D21</f>
        <v>247.14</v>
      </c>
      <c r="E21" s="128"/>
      <c r="F21" s="128"/>
      <c r="G21" s="128"/>
      <c r="H21" s="128">
        <f>取值!H21</f>
        <v>731.7</v>
      </c>
      <c r="I21" s="128">
        <f>取值!I21</f>
        <v>683.44</v>
      </c>
      <c r="J21" s="128"/>
      <c r="K21" s="128" t="str">
        <f>_xlfn.IFERROR(IF(取值!K21=0,"",取值!K21),"")</f>
        <v/>
      </c>
      <c r="L21" s="128" t="str">
        <f>_xlfn.IFERROR(IF(取值!L21=0,"",取值!L21),"")</f>
        <v/>
      </c>
      <c r="M21" s="128" t="str">
        <f>_xlfn.IFERROR(IF(取值!M21=0,"",取值!M21),"")</f>
        <v/>
      </c>
      <c r="N21" s="128">
        <f>_xlfn.IFERROR(SUM(D21,E21,F21,H21,K21,M21)-SUM(G21,I21,J21,L21),"")</f>
        <v>295.4</v>
      </c>
      <c r="O21" s="58"/>
      <c r="P21" s="58"/>
      <c r="Q21" s="58"/>
      <c r="R21" s="58"/>
    </row>
    <row customHeight="1" ht="14.25">
      <c r="A22" s="125" t="s">
        <v>37</v>
      </c>
      <c r="B22" s="125"/>
      <c r="C22" s="126" t="s">
        <v>22</v>
      </c>
      <c r="D22" s="127">
        <f>取值!D22</f>
        <v>37.8399999999999</v>
      </c>
      <c r="E22" s="127"/>
      <c r="F22" s="127"/>
      <c r="G22" s="127"/>
      <c r="H22" s="127">
        <f>取值!H22</f>
        <v>197.8</v>
      </c>
      <c r="I22" s="127">
        <f>取值!I22</f>
        <v>196.14</v>
      </c>
      <c r="J22" s="127"/>
      <c r="K22" s="127" t="str">
        <f>_xlfn.IFERROR(IF(取值!K22=0,"",取值!K22),"")</f>
        <v/>
      </c>
      <c r="L22" s="127" t="str">
        <f>_xlfn.IFERROR(IF(取值!L22=0,"",取值!L22),"")</f>
        <v/>
      </c>
      <c r="M22" s="127" t="str">
        <f>_xlfn.IFERROR(IF(取值!M22=0,"",取值!M22),"")</f>
        <v/>
      </c>
      <c r="N22" s="127">
        <f>_xlfn.IFERROR(SUM(D22,E22,F22,H22,K22,M22)-SUM(G22,I22,J22,L22),"")</f>
        <v>39.4999999999999</v>
      </c>
      <c r="O22" s="113"/>
      <c r="P22" s="113"/>
      <c r="Q22" s="113"/>
      <c r="R22" s="113"/>
    </row>
    <row customHeight="1" ht="14.25">
      <c r="A23" s="125" t="s">
        <v>38</v>
      </c>
      <c r="B23" s="125"/>
      <c r="C23" s="126" t="s">
        <v>22</v>
      </c>
      <c r="D23" s="127">
        <f>取值!D23</f>
        <v>0</v>
      </c>
      <c r="E23" s="127"/>
      <c r="F23" s="127"/>
      <c r="G23" s="127"/>
      <c r="H23" s="127">
        <f>取值!H23</f>
        <v>0</v>
      </c>
      <c r="I23" s="127">
        <f>取值!I23</f>
        <v>0</v>
      </c>
      <c r="J23" s="127"/>
      <c r="K23" s="127" t="str">
        <f>_xlfn.IFERROR(IF(取值!K23=0,"",取值!K23),"")</f>
        <v/>
      </c>
      <c r="L23" s="127" t="str">
        <f>_xlfn.IFERROR(IF(取值!L23=0,"",取值!L23),"")</f>
        <v/>
      </c>
      <c r="M23" s="127" t="str">
        <f>_xlfn.IFERROR(IF(取值!M23=0,"",取值!M23),"")</f>
        <v/>
      </c>
      <c r="N23" s="127">
        <f>_xlfn.IFERROR(SUM(D23,E23,F23,H23,K23,M23)-SUM(G23,I23,J23,L23),"")</f>
        <v>0</v>
      </c>
      <c r="O23" s="113"/>
      <c r="P23" s="113"/>
      <c r="Q23" s="113"/>
      <c r="R23" s="113"/>
    </row>
    <row customHeight="1" ht="14.25">
      <c r="A24" s="125" t="s">
        <v>39</v>
      </c>
      <c r="B24" s="125"/>
      <c r="C24" s="126" t="s">
        <v>22</v>
      </c>
      <c r="D24" s="127">
        <f>取值!D24</f>
        <v>166.64</v>
      </c>
      <c r="E24" s="127"/>
      <c r="F24" s="127"/>
      <c r="G24" s="127"/>
      <c r="H24" s="127">
        <f>取值!H24</f>
        <v>238.4</v>
      </c>
      <c r="I24" s="127">
        <f>取值!I24</f>
        <v>227.02</v>
      </c>
      <c r="J24" s="127"/>
      <c r="K24" s="127" t="str">
        <f>_xlfn.IFERROR(IF(取值!K24=0,"",取值!K24),"")</f>
        <v/>
      </c>
      <c r="L24" s="127" t="str">
        <f>_xlfn.IFERROR(IF(取值!L24=0,"",取值!L24),"")</f>
        <v/>
      </c>
      <c r="M24" s="127" t="str">
        <f>_xlfn.IFERROR(IF(取值!M24=0,"",取值!M24),"")</f>
        <v/>
      </c>
      <c r="N24" s="127">
        <f>_xlfn.IFERROR(SUM(D24,E24,F24,H24,K24,M24)-SUM(G24,I24,J24,L24),"")</f>
        <v>178.02</v>
      </c>
      <c r="O24" s="113"/>
      <c r="P24" s="113"/>
      <c r="Q24" s="113"/>
      <c r="R24" s="113"/>
    </row>
    <row customHeight="1" ht="14.25">
      <c r="A25" s="125" t="s">
        <v>40</v>
      </c>
      <c r="B25" s="125"/>
      <c r="C25" s="126" t="s">
        <v>22</v>
      </c>
      <c r="D25" s="127">
        <f>取值!D25</f>
        <v>204.05</v>
      </c>
      <c r="E25" s="127"/>
      <c r="F25" s="127"/>
      <c r="G25" s="127"/>
      <c r="H25" s="127">
        <f>取值!H25</f>
        <v>25.6</v>
      </c>
      <c r="I25" s="127">
        <f>取值!I25</f>
        <v>0</v>
      </c>
      <c r="J25" s="127"/>
      <c r="K25" s="127" t="str">
        <f>_xlfn.IFERROR(IF(取值!K25=0,"",取值!K25),"")</f>
        <v/>
      </c>
      <c r="L25" s="127" t="str">
        <f>_xlfn.IFERROR(IF(取值!L25=0,"",取值!L25),"")</f>
        <v/>
      </c>
      <c r="M25" s="127" t="str">
        <f>_xlfn.IFERROR(IF(取值!M25=0,"",取值!M25),"")</f>
        <v/>
      </c>
      <c r="N25" s="127">
        <f>_xlfn.IFERROR(SUM(D25,E25,F25,H25,K25,M25)-SUM(G25,I25,J25,L25),"")</f>
        <v>229.65</v>
      </c>
      <c r="O25" s="113"/>
      <c r="P25" s="113"/>
      <c r="Q25" s="113"/>
      <c r="R25" s="113"/>
    </row>
    <row customHeight="1" ht="14.25">
      <c r="A26" s="125" t="s">
        <v>41</v>
      </c>
      <c r="B26" s="125"/>
      <c r="C26" s="126" t="s">
        <v>22</v>
      </c>
      <c r="D26" s="127">
        <f>取值!D26</f>
        <v>48.44</v>
      </c>
      <c r="E26" s="127"/>
      <c r="F26" s="127"/>
      <c r="G26" s="127"/>
      <c r="H26" s="127">
        <f>取值!H26</f>
        <v>0</v>
      </c>
      <c r="I26" s="127">
        <f>取值!I26</f>
        <v>0</v>
      </c>
      <c r="J26" s="127"/>
      <c r="K26" s="127" t="str">
        <f>_xlfn.IFERROR(IF(取值!K26=0,"",取值!K26),"")</f>
        <v/>
      </c>
      <c r="L26" s="127" t="str">
        <f>_xlfn.IFERROR(IF(取值!L26=0,"",取值!L26),"")</f>
        <v/>
      </c>
      <c r="M26" s="127" t="str">
        <f>_xlfn.IFERROR(IF(取值!M26=0,"",取值!M26),"")</f>
        <v/>
      </c>
      <c r="N26" s="127">
        <f>_xlfn.IFERROR(SUM(D26,E26,F26,H26,K26,M26)-SUM(G26,I26,J26,L26),"")</f>
        <v>48.44</v>
      </c>
      <c r="O26" s="113"/>
      <c r="P26" s="113"/>
      <c r="Q26" s="113"/>
      <c r="R26" s="113"/>
    </row>
    <row customHeight="1" ht="14.25">
      <c r="A27" s="139" t="s">
        <v>42</v>
      </c>
      <c r="B27" s="139"/>
      <c r="C27" s="126" t="s">
        <v>22</v>
      </c>
      <c r="D27" s="127">
        <f>取值!D27</f>
        <v>0</v>
      </c>
      <c r="E27" s="127"/>
      <c r="F27" s="127"/>
      <c r="G27" s="127"/>
      <c r="H27" s="127">
        <f>取值!H27</f>
        <v>0</v>
      </c>
      <c r="I27" s="127">
        <f>取值!I27</f>
        <v>0</v>
      </c>
      <c r="J27" s="127"/>
      <c r="K27" s="127" t="str">
        <f>_xlfn.IFERROR(IF(取值!K27=0,"",取值!K27),"")</f>
        <v/>
      </c>
      <c r="L27" s="127" t="str">
        <f>_xlfn.IFERROR(IF(取值!L27=0,"",取值!L27),"")</f>
        <v/>
      </c>
      <c r="M27" s="127" t="str">
        <f>_xlfn.IFERROR(IF(取值!M27=0,"",取值!M27),"")</f>
        <v/>
      </c>
      <c r="N27" s="127">
        <f>_xlfn.IFERROR(SUM(D27,E27,F27,H27,K27,M27)-SUM(G27,I27,J27,L27),"")</f>
        <v>0</v>
      </c>
      <c r="O27" s="113"/>
      <c r="P27" s="113"/>
      <c r="Q27" s="113"/>
      <c r="R27" s="113"/>
    </row>
    <row customHeight="1" ht="14.25">
      <c r="A28" s="140" t="s">
        <v>43</v>
      </c>
      <c r="B28" s="141"/>
      <c r="C28" s="141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3"/>
      <c r="O28" s="113"/>
      <c r="P28" s="113"/>
      <c r="Q28" s="113"/>
      <c r="R28" s="113"/>
    </row>
    <row customHeight="1" ht="15">
      <c r="A29" s="144"/>
      <c r="B29" s="145"/>
      <c r="C29" s="145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7"/>
      <c r="O29" s="113"/>
      <c r="P29" s="113"/>
      <c r="Q29" s="113"/>
      <c r="R29" s="113"/>
    </row>
    <row customHeight="1" ht="14.25">
      <c r="A30" s="148" t="s">
        <v>44</v>
      </c>
      <c r="B30" s="149"/>
      <c r="C30" s="150" t="s">
        <v>45</v>
      </c>
      <c r="D30" s="151"/>
      <c r="E30" s="152"/>
      <c r="F30" s="153"/>
      <c r="G30" s="154"/>
      <c r="H30" s="153"/>
      <c r="I30" s="153"/>
      <c r="J30" s="152"/>
      <c r="K30" s="153"/>
      <c r="L30" s="155" t="s">
        <v>46</v>
      </c>
      <c r="M30" s="150" t="s">
        <v>47</v>
      </c>
      <c r="N30" s="151"/>
      <c r="O30" s="113"/>
      <c r="P30" s="113"/>
      <c r="Q30" s="113"/>
      <c r="R30" s="113"/>
    </row>
    <row customHeight="1" ht="13.5">
      <c r="A31" s="156"/>
      <c r="B31" s="58"/>
      <c r="C31" s="58"/>
      <c r="D31" s="113"/>
      <c r="E31" s="58"/>
      <c r="F31" s="113"/>
      <c r="G31" s="157"/>
      <c r="H31" s="113"/>
      <c r="I31" s="113"/>
      <c r="J31" s="58"/>
      <c r="K31" s="113"/>
      <c r="L31" s="113"/>
      <c r="M31" s="113"/>
      <c r="N31" s="113"/>
      <c r="O31" s="113"/>
      <c r="P31" s="113"/>
      <c r="Q31" s="113"/>
      <c r="R31" s="113"/>
    </row>
    <row customHeight="1" ht="13.5">
      <c r="A32" s="58"/>
      <c r="B32" s="58"/>
      <c r="C32" s="58"/>
      <c r="D32" s="113"/>
      <c r="E32" s="58"/>
      <c r="F32" s="113"/>
      <c r="G32" s="157"/>
      <c r="H32" s="113"/>
      <c r="I32" s="113"/>
      <c r="J32" s="58"/>
      <c r="K32" s="113"/>
      <c r="L32" s="113"/>
      <c r="M32" s="113"/>
      <c r="N32" s="113"/>
      <c r="O32" s="113"/>
      <c r="P32" s="113"/>
      <c r="Q32" s="113"/>
      <c r="R32" s="113"/>
    </row>
    <row customHeight="1" ht="13.5">
      <c r="A33" s="58"/>
      <c r="B33" s="58"/>
      <c r="C33" s="58"/>
      <c r="D33" s="113"/>
      <c r="E33" s="58"/>
      <c r="F33" s="113"/>
      <c r="G33" s="157"/>
      <c r="H33" s="113"/>
      <c r="I33" s="113"/>
      <c r="J33" s="58"/>
      <c r="K33" s="113"/>
      <c r="L33" s="113"/>
      <c r="M33" s="113"/>
      <c r="N33" s="113"/>
      <c r="O33" s="113"/>
      <c r="P33" s="113"/>
      <c r="Q33" s="113"/>
      <c r="R33" s="113"/>
    </row>
    <row customHeight="1" ht="13.5">
      <c r="A34" s="58"/>
      <c r="B34" s="58"/>
      <c r="C34" s="58"/>
      <c r="D34" s="113"/>
      <c r="E34" s="58"/>
      <c r="F34" s="113"/>
      <c r="G34" s="157"/>
      <c r="H34" s="113"/>
      <c r="I34" s="113"/>
      <c r="J34" s="58"/>
      <c r="K34" s="113"/>
      <c r="L34" s="113"/>
      <c r="M34" s="113"/>
      <c r="N34" s="113"/>
      <c r="O34" s="113"/>
      <c r="P34" s="113"/>
      <c r="Q34" s="113"/>
      <c r="R34" s="113"/>
    </row>
    <row customHeight="1" ht="13.5">
      <c r="A35" s="58"/>
      <c r="B35" s="58"/>
      <c r="C35" s="58"/>
      <c r="D35" s="113"/>
      <c r="E35" s="58"/>
      <c r="F35" s="113"/>
      <c r="G35" s="157"/>
      <c r="H35" s="113"/>
      <c r="I35" s="113"/>
      <c r="J35" s="58"/>
      <c r="K35" s="113"/>
      <c r="L35" s="113"/>
      <c r="M35" s="113"/>
      <c r="N35" s="113"/>
      <c r="O35" s="113"/>
      <c r="P35" s="113"/>
      <c r="Q35" s="113"/>
      <c r="R35" s="113"/>
    </row>
    <row customHeight="1" ht="13.5">
      <c r="A36" s="58"/>
      <c r="B36" s="58"/>
      <c r="C36" s="58"/>
      <c r="D36" s="113"/>
      <c r="E36" s="58"/>
      <c r="F36" s="113"/>
      <c r="G36" s="157"/>
      <c r="H36" s="113"/>
      <c r="I36" s="113"/>
      <c r="J36" s="58"/>
      <c r="K36" s="113"/>
      <c r="L36" s="113"/>
      <c r="M36" s="113"/>
      <c r="N36" s="113"/>
      <c r="O36" s="113"/>
      <c r="P36" s="113"/>
      <c r="Q36" s="113"/>
      <c r="R36" s="113"/>
    </row>
    <row customHeight="1" ht="13.5">
      <c r="A37" s="58"/>
      <c r="B37" s="58"/>
      <c r="C37" s="58"/>
      <c r="D37" s="113"/>
      <c r="E37" s="58"/>
      <c r="F37" s="113"/>
      <c r="G37" s="157"/>
      <c r="H37" s="113"/>
      <c r="I37" s="113"/>
      <c r="J37" s="58"/>
      <c r="K37" s="113"/>
      <c r="L37" s="113"/>
      <c r="M37" s="113"/>
      <c r="N37" s="113"/>
      <c r="O37" s="113"/>
      <c r="P37" s="113"/>
      <c r="Q37" s="113"/>
      <c r="R37" s="113"/>
    </row>
    <row customHeight="1" ht="13.5">
      <c r="A38" s="58"/>
      <c r="B38" s="58"/>
      <c r="C38" s="58"/>
      <c r="D38" s="113"/>
      <c r="E38" s="58"/>
      <c r="F38" s="113"/>
      <c r="G38" s="157"/>
      <c r="H38" s="113"/>
      <c r="I38" s="113"/>
      <c r="J38" s="58"/>
      <c r="K38" s="113"/>
      <c r="L38" s="113"/>
      <c r="M38" s="113"/>
      <c r="N38" s="113"/>
      <c r="O38" s="113"/>
      <c r="P38" s="113"/>
      <c r="Q38" s="113"/>
      <c r="R38" s="113"/>
    </row>
    <row customHeight="1" ht="13.5">
      <c r="A39" s="58"/>
      <c r="B39" s="58"/>
      <c r="C39" s="58"/>
      <c r="D39" s="113"/>
      <c r="E39" s="58"/>
      <c r="F39" s="113"/>
      <c r="G39" s="157"/>
      <c r="H39" s="113"/>
      <c r="I39" s="113"/>
      <c r="J39" s="58"/>
      <c r="K39" s="113"/>
      <c r="L39" s="113"/>
      <c r="M39" s="113"/>
      <c r="N39" s="113"/>
      <c r="O39" s="113"/>
      <c r="P39" s="113"/>
      <c r="Q39" s="113"/>
      <c r="R39" s="113"/>
    </row>
  </sheetData>
  <mergeCells count="30">
    <mergeCell ref="M30:N30"/>
    <mergeCell ref="A12:A13"/>
    <mergeCell ref="A14:A15"/>
    <mergeCell ref="A28:N29"/>
    <mergeCell ref="A21:B21"/>
    <mergeCell ref="A24:B24"/>
    <mergeCell ref="A25:B25"/>
    <mergeCell ref="A26:B26"/>
    <mergeCell ref="A27:B27"/>
    <mergeCell ref="C30:D30"/>
    <mergeCell ref="A18:B18"/>
    <mergeCell ref="A19:B19"/>
    <mergeCell ref="A20:B20"/>
    <mergeCell ref="A22:B22"/>
    <mergeCell ref="A23:B23"/>
    <mergeCell ref="A9:B9"/>
    <mergeCell ref="A10:B10"/>
    <mergeCell ref="A11:B11"/>
    <mergeCell ref="A16:B16"/>
    <mergeCell ref="A17:B17"/>
    <mergeCell ref="A4:B4"/>
    <mergeCell ref="A5:B5"/>
    <mergeCell ref="A6:B6"/>
    <mergeCell ref="A7:B7"/>
    <mergeCell ref="A8:B8"/>
    <mergeCell ref="A1:N1"/>
    <mergeCell ref="A2:D2"/>
    <mergeCell ref="G2:H2"/>
    <mergeCell ref="J2:N2"/>
    <mergeCell ref="A3:B3"/>
  </mergeCells>
  <pageMargins left="0.70" right="0.70" top="0.75" bottom="0.75" header="0.30" footer="0.30"/>
  <pageSetup paperSize="9"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64DF0F8-54A8-7FB5-7F6E-6A8A9A45C288}" mc:Ignorable="x14ac xr xr2 xr3">
  <dimension ref="A1:R70"/>
  <sheetViews>
    <sheetView topLeftCell="A1" workbookViewId="0">
      <selection activeCell="M21" sqref="M21"/>
    </sheetView>
  </sheetViews>
  <sheetFormatPr defaultColWidth="9.00390625" customHeight="1" defaultRowHeight="13.5"/>
  <cols>
    <col min="1" max="1" style="188" width="12.8515625" customWidth="1"/>
    <col min="2" max="2" style="189" width="7.8515625" customWidth="1"/>
    <col min="5" max="5" style="190" width="12.421875" customWidth="1"/>
  </cols>
  <sheetData>
    <row customHeight="1" ht="29.25">
      <c r="A1" s="112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3"/>
      <c r="P1" s="163" t="s">
        <v>48</v>
      </c>
      <c r="Q1" s="163" t="s">
        <v>49</v>
      </c>
      <c r="R1" s="163" t="s">
        <v>50</v>
      </c>
    </row>
    <row customHeight="1" ht="14.25">
      <c r="A2" s="114" t="s">
        <v>1</v>
      </c>
      <c r="B2" s="114"/>
      <c r="C2" s="114"/>
      <c r="D2" s="114"/>
      <c r="E2" s="58"/>
      <c r="F2" s="115" t="s">
        <v>2</v>
      </c>
      <c r="G2" s="114" t="s">
        <v>3</v>
      </c>
      <c r="H2" s="114"/>
      <c r="I2" s="59"/>
      <c r="J2" s="117"/>
      <c r="K2" s="117"/>
      <c r="L2" s="117"/>
      <c r="M2" s="117"/>
      <c r="N2" s="117"/>
      <c r="O2" s="113"/>
      <c r="P2" s="113"/>
      <c r="Q2" s="113"/>
      <c r="R2" s="113"/>
    </row>
    <row customHeight="1" ht="14.25">
      <c r="A3" s="103" t="s">
        <v>4</v>
      </c>
      <c r="B3" s="103"/>
      <c r="C3" s="50" t="s">
        <v>5</v>
      </c>
      <c r="D3" s="50" t="s">
        <v>6</v>
      </c>
      <c r="E3" s="51" t="s">
        <v>7</v>
      </c>
      <c r="F3" s="51" t="s">
        <v>8</v>
      </c>
      <c r="G3" s="50" t="s">
        <v>9</v>
      </c>
      <c r="H3" s="50" t="s">
        <v>10</v>
      </c>
      <c r="I3" s="50" t="s">
        <v>11</v>
      </c>
      <c r="J3" s="50" t="s">
        <v>12</v>
      </c>
      <c r="K3" s="50" t="s">
        <v>13</v>
      </c>
      <c r="L3" s="50" t="s">
        <v>14</v>
      </c>
      <c r="M3" s="50" t="s">
        <v>15</v>
      </c>
      <c r="N3" s="60" t="s">
        <v>16</v>
      </c>
      <c r="O3" s="113"/>
      <c r="P3" s="113"/>
      <c r="Q3" s="113"/>
      <c r="R3" s="113"/>
    </row>
    <row customHeight="1" ht="14.25">
      <c r="A4" s="167" t="s">
        <v>17</v>
      </c>
      <c r="B4" s="167"/>
      <c r="C4" s="168" t="s">
        <v>18</v>
      </c>
      <c r="D4" s="169"/>
      <c r="E4" s="170">
        <f>E29</f>
        <v>21743000</v>
      </c>
      <c r="F4" s="171"/>
      <c r="G4" s="169"/>
      <c r="H4" s="169"/>
      <c r="I4" s="169"/>
      <c r="J4" s="169"/>
      <c r="K4" s="169"/>
      <c r="L4" s="169"/>
      <c r="M4" s="172"/>
      <c r="N4" s="173"/>
      <c r="O4" s="113"/>
      <c r="P4" s="113"/>
      <c r="Q4" s="113"/>
      <c r="R4" s="113"/>
    </row>
    <row customHeight="1" ht="14.25">
      <c r="A5" s="167" t="s">
        <v>51</v>
      </c>
      <c r="B5" s="167"/>
      <c r="C5" s="168" t="s">
        <v>18</v>
      </c>
      <c r="D5" s="169"/>
      <c r="E5" s="169"/>
      <c r="F5" s="171"/>
      <c r="G5" s="169">
        <f>G30</f>
        <v>19990403</v>
      </c>
      <c r="H5" s="169"/>
      <c r="I5" s="169"/>
      <c r="J5" s="169"/>
      <c r="K5" s="169"/>
      <c r="L5" s="169"/>
      <c r="M5" s="172"/>
      <c r="N5" s="173"/>
      <c r="O5" s="113"/>
      <c r="P5" s="113"/>
      <c r="Q5" s="113"/>
      <c r="R5" s="113"/>
    </row>
    <row customHeight="1" ht="14.25">
      <c r="A6" s="167" t="s">
        <v>52</v>
      </c>
      <c r="B6" s="167"/>
      <c r="C6" s="168" t="s">
        <v>18</v>
      </c>
      <c r="D6" s="169"/>
      <c r="E6" s="169"/>
      <c r="F6" s="171"/>
      <c r="G6" s="169"/>
      <c r="H6" s="169"/>
      <c r="I6" s="169"/>
      <c r="J6" s="169">
        <f>_xlfn.IFERROR(SUM(E4-G5),"")</f>
        <v>1752597</v>
      </c>
      <c r="K6" s="169"/>
      <c r="L6" s="169"/>
      <c r="M6" s="172"/>
      <c r="N6" s="173"/>
      <c r="O6" s="113"/>
      <c r="P6" s="113"/>
      <c r="Q6" s="113"/>
      <c r="R6" s="113"/>
    </row>
    <row customHeight="1" ht="14.25">
      <c r="A7" s="174" t="s">
        <v>21</v>
      </c>
      <c r="B7" s="174"/>
      <c r="C7" s="126" t="s">
        <v>22</v>
      </c>
      <c r="D7" s="169">
        <f>D32</f>
        <v>3351.29</v>
      </c>
      <c r="E7" s="169">
        <f>E32</f>
        <v>7060.22</v>
      </c>
      <c r="F7" s="171"/>
      <c r="G7" s="169">
        <f>G32</f>
        <v>7189</v>
      </c>
      <c r="H7" s="169"/>
      <c r="I7" s="169">
        <f>I32</f>
        <v>0</v>
      </c>
      <c r="J7" s="171"/>
      <c r="K7" s="169">
        <f>K32</f>
        <v>0</v>
      </c>
      <c r="L7" s="169">
        <f>L32</f>
        <v>0</v>
      </c>
      <c r="M7" s="172">
        <v>0</v>
      </c>
      <c r="N7" s="173"/>
      <c r="O7" s="113"/>
      <c r="P7" s="113"/>
      <c r="Q7" s="113"/>
      <c r="R7" s="113"/>
    </row>
    <row customHeight="1" ht="14.25">
      <c r="A8" s="174" t="s">
        <v>23</v>
      </c>
      <c r="B8" s="174"/>
      <c r="C8" s="126" t="s">
        <v>22</v>
      </c>
      <c r="D8" s="169">
        <f>D33</f>
        <v>144.38</v>
      </c>
      <c r="E8" s="169">
        <f>E33</f>
        <v>0</v>
      </c>
      <c r="F8" s="171"/>
      <c r="G8" s="169">
        <f>G33</f>
        <v>0</v>
      </c>
      <c r="H8" s="169"/>
      <c r="I8" s="169">
        <f>I33</f>
        <v>0</v>
      </c>
      <c r="J8" s="171"/>
      <c r="K8" s="169">
        <f>K33</f>
        <v>0</v>
      </c>
      <c r="L8" s="169">
        <f>L33</f>
        <v>0</v>
      </c>
      <c r="M8" s="172">
        <v>0</v>
      </c>
      <c r="N8" s="173"/>
      <c r="O8" s="113"/>
      <c r="P8" s="113"/>
      <c r="Q8" s="113"/>
      <c r="R8" s="113"/>
    </row>
    <row customHeight="1" ht="14.25">
      <c r="A9" s="175" t="s">
        <v>24</v>
      </c>
      <c r="B9" s="174"/>
      <c r="C9" s="126" t="s">
        <v>22</v>
      </c>
      <c r="D9" s="169">
        <f>D34</f>
        <v>326.389999999999</v>
      </c>
      <c r="E9" s="169"/>
      <c r="F9" s="171"/>
      <c r="G9" s="169">
        <f>G34</f>
        <v>0</v>
      </c>
      <c r="H9" s="169">
        <f>H34</f>
        <v>8004.69</v>
      </c>
      <c r="I9" s="169">
        <f>I34</f>
        <v>4794.78</v>
      </c>
      <c r="J9" s="171"/>
      <c r="K9" s="169">
        <f>K34</f>
        <v>0</v>
      </c>
      <c r="L9" s="169">
        <f>L34</f>
        <v>0</v>
      </c>
      <c r="M9" s="172">
        <v>0</v>
      </c>
      <c r="N9" s="173"/>
      <c r="O9" s="113"/>
      <c r="P9" s="113"/>
      <c r="Q9" s="113"/>
      <c r="R9" s="113"/>
    </row>
    <row customHeight="1" ht="14.25">
      <c r="A10" s="175" t="s">
        <v>25</v>
      </c>
      <c r="B10" s="174"/>
      <c r="C10" s="126" t="s">
        <v>22</v>
      </c>
      <c r="D10" s="169">
        <f>D35</f>
        <v>25.88</v>
      </c>
      <c r="E10" s="169"/>
      <c r="F10" s="171"/>
      <c r="G10" s="169">
        <f>G35</f>
        <v>0</v>
      </c>
      <c r="H10" s="169">
        <f>H35</f>
        <v>0</v>
      </c>
      <c r="I10" s="169">
        <f>I35</f>
        <v>0</v>
      </c>
      <c r="J10" s="171"/>
      <c r="K10" s="169">
        <f>K35</f>
        <v>0</v>
      </c>
      <c r="L10" s="169">
        <f>L35</f>
        <v>0</v>
      </c>
      <c r="M10" s="172">
        <v>0</v>
      </c>
      <c r="N10" s="173"/>
      <c r="O10" s="113"/>
      <c r="P10" s="113"/>
      <c r="Q10" s="113"/>
      <c r="R10" s="113"/>
    </row>
    <row customHeight="1" ht="14.25">
      <c r="A11" s="174" t="s">
        <v>26</v>
      </c>
      <c r="B11" s="174"/>
      <c r="C11" s="126" t="s">
        <v>22</v>
      </c>
      <c r="D11" s="169">
        <f>_xlfn.IFERROR(SUM(D12:D15),"")</f>
        <v>7138.61</v>
      </c>
      <c r="E11" s="169">
        <f>_xlfn.IFERROR(SUM(E12:E15),"")</f>
        <v>0</v>
      </c>
      <c r="F11" s="169">
        <f>_xlfn.IFERROR(SUM(F12:F15),"")</f>
        <v>0</v>
      </c>
      <c r="G11" s="169">
        <f>_xlfn.IFERROR(SUM(G12:G15),"")</f>
        <v>0</v>
      </c>
      <c r="H11" s="169">
        <f>_xlfn.IFERROR(SUM(H12:H15),"")</f>
        <v>0</v>
      </c>
      <c r="I11" s="169">
        <f>_xlfn.IFERROR(SUM(I12:I15),"")</f>
        <v>90.18</v>
      </c>
      <c r="J11" s="169">
        <f>_xlfn.IFERROR(SUM(J12:J15),"")</f>
        <v>0</v>
      </c>
      <c r="K11" s="169">
        <f>_xlfn.IFERROR(SUM(K12:K15),"")</f>
        <v>0</v>
      </c>
      <c r="L11" s="169">
        <f>_xlfn.IFERROR(SUM(L12:L15),"")</f>
        <v>0</v>
      </c>
      <c r="M11" s="169">
        <f>_xlfn.IFERROR(SUM(M12:M15),"")</f>
        <v>0</v>
      </c>
      <c r="N11" s="169">
        <f>_xlfn.IFERROR(SUM(N12:N15),"")</f>
        <v>0</v>
      </c>
      <c r="O11" s="113"/>
      <c r="P11" s="113"/>
      <c r="Q11" s="113"/>
      <c r="R11" s="113"/>
    </row>
    <row customHeight="1" ht="14.25">
      <c r="A12" s="129" t="s">
        <v>27</v>
      </c>
      <c r="B12" s="126" t="s">
        <v>28</v>
      </c>
      <c r="C12" s="126" t="s">
        <v>22</v>
      </c>
      <c r="D12" s="169">
        <f>D37</f>
        <v>7138.61</v>
      </c>
      <c r="E12" s="169"/>
      <c r="F12" s="171"/>
      <c r="G12" s="169">
        <f>G37</f>
        <v>0</v>
      </c>
      <c r="H12" s="169">
        <f>H37</f>
        <v>0</v>
      </c>
      <c r="I12" s="169">
        <f>I37</f>
        <v>90.18</v>
      </c>
      <c r="J12" s="171"/>
      <c r="K12" s="169">
        <f>K37</f>
        <v>0</v>
      </c>
      <c r="L12" s="169">
        <f>L37</f>
        <v>0</v>
      </c>
      <c r="M12" s="172">
        <v>0</v>
      </c>
      <c r="N12" s="173"/>
      <c r="O12" s="113"/>
      <c r="P12" s="113"/>
      <c r="Q12" s="113"/>
      <c r="R12" s="113"/>
    </row>
    <row customHeight="1" ht="14.25">
      <c r="A13" s="129"/>
      <c r="B13" s="126" t="s">
        <v>29</v>
      </c>
      <c r="C13" s="126" t="s">
        <v>22</v>
      </c>
      <c r="D13" s="169">
        <f>D38</f>
        <v>0</v>
      </c>
      <c r="E13" s="169"/>
      <c r="F13" s="171"/>
      <c r="G13" s="169">
        <f>G38</f>
        <v>0</v>
      </c>
      <c r="H13" s="169">
        <f>H38</f>
        <v>0</v>
      </c>
      <c r="I13" s="169">
        <f>I38</f>
        <v>0</v>
      </c>
      <c r="J13" s="171"/>
      <c r="K13" s="169">
        <f>K38</f>
        <v>0</v>
      </c>
      <c r="L13" s="169">
        <f>L38</f>
        <v>0</v>
      </c>
      <c r="M13" s="172">
        <v>0</v>
      </c>
      <c r="N13" s="173"/>
      <c r="O13" s="113"/>
      <c r="P13" s="113"/>
      <c r="Q13" s="113"/>
      <c r="R13" s="113"/>
    </row>
    <row customHeight="1" ht="14.25">
      <c r="A14" s="129" t="s">
        <v>30</v>
      </c>
      <c r="B14" s="126" t="s">
        <v>28</v>
      </c>
      <c r="C14" s="126" t="s">
        <v>22</v>
      </c>
      <c r="D14" s="169">
        <f>D39</f>
        <v>0</v>
      </c>
      <c r="E14" s="169"/>
      <c r="F14" s="171"/>
      <c r="G14" s="169">
        <f>G39</f>
        <v>0</v>
      </c>
      <c r="H14" s="169">
        <f>H39</f>
        <v>0</v>
      </c>
      <c r="I14" s="169">
        <f>I39</f>
        <v>0</v>
      </c>
      <c r="J14" s="171"/>
      <c r="K14" s="169">
        <f>K39</f>
        <v>0</v>
      </c>
      <c r="L14" s="169">
        <f>L39</f>
        <v>0</v>
      </c>
      <c r="M14" s="172">
        <v>0</v>
      </c>
      <c r="N14" s="173"/>
      <c r="O14" s="113"/>
      <c r="P14" s="113"/>
      <c r="Q14" s="113"/>
      <c r="R14" s="113"/>
    </row>
    <row customHeight="1" ht="14.25">
      <c r="A15" s="129"/>
      <c r="B15" s="126" t="s">
        <v>29</v>
      </c>
      <c r="C15" s="126" t="s">
        <v>22</v>
      </c>
      <c r="D15" s="169">
        <f>D40</f>
        <v>0</v>
      </c>
      <c r="E15" s="176"/>
      <c r="F15" s="177"/>
      <c r="G15" s="169">
        <f>G40</f>
        <v>0</v>
      </c>
      <c r="H15" s="169">
        <f>H40</f>
        <v>0</v>
      </c>
      <c r="I15" s="169">
        <f>I40</f>
        <v>0</v>
      </c>
      <c r="J15" s="177"/>
      <c r="K15" s="169">
        <f>K40</f>
        <v>0</v>
      </c>
      <c r="L15" s="169">
        <f>L40</f>
        <v>0</v>
      </c>
      <c r="M15" s="172">
        <v>0</v>
      </c>
      <c r="N15" s="178"/>
      <c r="O15" s="113"/>
      <c r="P15" s="113"/>
      <c r="Q15" s="113"/>
      <c r="R15" s="113"/>
    </row>
    <row customHeight="1" ht="14.25">
      <c r="A16" s="175" t="s">
        <v>31</v>
      </c>
      <c r="B16" s="174"/>
      <c r="C16" s="126" t="s">
        <v>22</v>
      </c>
      <c r="D16" s="169">
        <f>D41</f>
        <v>177.04</v>
      </c>
      <c r="E16" s="176"/>
      <c r="F16" s="177"/>
      <c r="G16" s="169"/>
      <c r="H16" s="169">
        <f>H41</f>
        <v>0</v>
      </c>
      <c r="I16" s="169">
        <f>I41</f>
        <v>0</v>
      </c>
      <c r="J16" s="177"/>
      <c r="K16" s="169">
        <f>K41</f>
        <v>0</v>
      </c>
      <c r="L16" s="169">
        <f>L41</f>
        <v>0</v>
      </c>
      <c r="M16" s="172">
        <v>0</v>
      </c>
      <c r="N16" s="178"/>
      <c r="O16" s="113"/>
      <c r="P16" s="113"/>
      <c r="Q16" s="113"/>
      <c r="R16" s="113"/>
    </row>
    <row customHeight="1" ht="14.25">
      <c r="A17" s="175" t="s">
        <v>32</v>
      </c>
      <c r="B17" s="174"/>
      <c r="C17" s="126" t="s">
        <v>22</v>
      </c>
      <c r="D17" s="169">
        <f>D42</f>
        <v>0</v>
      </c>
      <c r="E17" s="176"/>
      <c r="F17" s="177"/>
      <c r="G17" s="169"/>
      <c r="H17" s="169">
        <f>H42</f>
        <v>0</v>
      </c>
      <c r="I17" s="169">
        <f>I42</f>
        <v>0</v>
      </c>
      <c r="J17" s="177"/>
      <c r="K17" s="169">
        <f>K42</f>
        <v>0</v>
      </c>
      <c r="L17" s="169">
        <f>L42</f>
        <v>0</v>
      </c>
      <c r="M17" s="172">
        <v>0</v>
      </c>
      <c r="N17" s="178"/>
      <c r="O17" s="113"/>
      <c r="P17" s="113"/>
      <c r="Q17" s="113"/>
      <c r="R17" s="113"/>
    </row>
    <row customHeight="1" ht="14.25">
      <c r="A18" s="167" t="s">
        <v>33</v>
      </c>
      <c r="B18" s="179"/>
      <c r="C18" s="126" t="s">
        <v>22</v>
      </c>
      <c r="D18" s="169">
        <f>D43</f>
        <v>1472.5</v>
      </c>
      <c r="E18" s="169"/>
      <c r="F18" s="171"/>
      <c r="G18" s="169">
        <f>G43</f>
        <v>0</v>
      </c>
      <c r="H18" s="169">
        <f>H43</f>
        <v>4642</v>
      </c>
      <c r="I18" s="169">
        <f>I43</f>
        <v>2329.92</v>
      </c>
      <c r="J18" s="171"/>
      <c r="K18" s="169">
        <f>K43</f>
        <v>0</v>
      </c>
      <c r="L18" s="169">
        <f>L43</f>
        <v>0</v>
      </c>
      <c r="M18" s="172">
        <v>0</v>
      </c>
      <c r="N18" s="173"/>
      <c r="O18" s="113"/>
      <c r="P18" s="113"/>
      <c r="Q18" s="113"/>
      <c r="R18" s="113"/>
    </row>
    <row customHeight="1" ht="14.25">
      <c r="A19" s="167" t="s">
        <v>34</v>
      </c>
      <c r="B19" s="179"/>
      <c r="C19" s="126" t="s">
        <v>22</v>
      </c>
      <c r="D19" s="169">
        <f>D44</f>
        <v>0</v>
      </c>
      <c r="E19" s="169"/>
      <c r="F19" s="171"/>
      <c r="G19" s="169">
        <f>G44</f>
        <v>0</v>
      </c>
      <c r="H19" s="169">
        <f>H44</f>
        <v>0</v>
      </c>
      <c r="I19" s="169">
        <f>I44</f>
        <v>0</v>
      </c>
      <c r="J19" s="171"/>
      <c r="K19" s="169">
        <f>K44</f>
        <v>0</v>
      </c>
      <c r="L19" s="169">
        <f>L44</f>
        <v>0</v>
      </c>
      <c r="M19" s="172">
        <v>0</v>
      </c>
      <c r="N19" s="173"/>
      <c r="O19" s="113"/>
      <c r="P19" s="113"/>
      <c r="Q19" s="113"/>
      <c r="R19" s="113"/>
    </row>
    <row customHeight="1" ht="28.5">
      <c r="A20" s="108" t="s">
        <v>53</v>
      </c>
      <c r="B20" s="109"/>
      <c r="C20" s="126" t="s">
        <v>22</v>
      </c>
      <c r="D20" s="169">
        <f>D45</f>
        <v>42.6100000000001</v>
      </c>
      <c r="E20" s="169"/>
      <c r="F20" s="171"/>
      <c r="G20" s="169"/>
      <c r="H20" s="169">
        <f>H45</f>
        <v>1663.24</v>
      </c>
      <c r="I20" s="169">
        <f>I45</f>
        <v>1388.44</v>
      </c>
      <c r="J20" s="171"/>
      <c r="K20" s="169">
        <f>K45</f>
        <v>0</v>
      </c>
      <c r="L20" s="169">
        <f>L45</f>
        <v>0</v>
      </c>
      <c r="M20" s="172">
        <v>0</v>
      </c>
      <c r="N20" s="173"/>
      <c r="O20" s="113"/>
      <c r="P20" s="113"/>
      <c r="Q20" s="113"/>
      <c r="R20" s="113"/>
    </row>
    <row s="182" customFormat="1" customHeight="1" ht="28.5">
      <c r="A21" s="111" t="s">
        <v>36</v>
      </c>
      <c r="B21" s="92"/>
      <c r="C21" s="138" t="s">
        <v>22</v>
      </c>
      <c r="D21" s="170">
        <f>D46</f>
        <v>247.14</v>
      </c>
      <c r="E21" s="170"/>
      <c r="F21" s="171"/>
      <c r="G21" s="170"/>
      <c r="H21" s="170">
        <f>H46</f>
        <v>731.7</v>
      </c>
      <c r="I21" s="170">
        <f>I46</f>
        <v>683.44</v>
      </c>
      <c r="J21" s="171"/>
      <c r="K21" s="170">
        <f>K46</f>
        <v>0</v>
      </c>
      <c r="L21" s="170">
        <f>L46</f>
        <v>0</v>
      </c>
      <c r="M21" s="172">
        <v>0</v>
      </c>
      <c r="N21" s="173"/>
      <c r="O21" s="58"/>
      <c r="P21" s="58"/>
      <c r="Q21" s="58"/>
      <c r="R21" s="58"/>
    </row>
    <row customHeight="1" ht="14.25">
      <c r="A22" s="174" t="s">
        <v>37</v>
      </c>
      <c r="B22" s="174"/>
      <c r="C22" s="126" t="s">
        <v>22</v>
      </c>
      <c r="D22" s="169">
        <f>D47</f>
        <v>37.8399999999999</v>
      </c>
      <c r="E22" s="169"/>
      <c r="F22" s="171"/>
      <c r="G22" s="169"/>
      <c r="H22" s="169">
        <f>H47</f>
        <v>197.8</v>
      </c>
      <c r="I22" s="169">
        <f>I47</f>
        <v>196.14</v>
      </c>
      <c r="J22" s="171"/>
      <c r="K22" s="169">
        <f>K47</f>
        <v>0</v>
      </c>
      <c r="L22" s="169">
        <f>L47</f>
        <v>0</v>
      </c>
      <c r="M22" s="172">
        <v>0</v>
      </c>
      <c r="N22" s="173"/>
      <c r="O22" s="113"/>
      <c r="P22" s="113"/>
      <c r="Q22" s="113"/>
      <c r="R22" s="113"/>
    </row>
    <row customHeight="1" ht="14.25">
      <c r="A23" s="174" t="s">
        <v>38</v>
      </c>
      <c r="B23" s="174"/>
      <c r="C23" s="126" t="s">
        <v>22</v>
      </c>
      <c r="D23" s="169">
        <f>D48</f>
        <v>0</v>
      </c>
      <c r="E23" s="169"/>
      <c r="F23" s="171"/>
      <c r="G23" s="169"/>
      <c r="H23" s="169">
        <f>H48</f>
        <v>0</v>
      </c>
      <c r="I23" s="169">
        <f>I48</f>
        <v>0</v>
      </c>
      <c r="J23" s="171"/>
      <c r="K23" s="169">
        <f>K48</f>
        <v>0</v>
      </c>
      <c r="L23" s="169">
        <f>L48</f>
        <v>0</v>
      </c>
      <c r="M23" s="172">
        <v>0</v>
      </c>
      <c r="N23" s="173"/>
      <c r="O23" s="113"/>
      <c r="P23" s="113"/>
      <c r="Q23" s="113"/>
      <c r="R23" s="113"/>
    </row>
    <row customHeight="1" ht="14.25">
      <c r="A24" s="174" t="s">
        <v>39</v>
      </c>
      <c r="B24" s="174"/>
      <c r="C24" s="126" t="s">
        <v>22</v>
      </c>
      <c r="D24" s="169">
        <f>D49</f>
        <v>166.64</v>
      </c>
      <c r="E24" s="169"/>
      <c r="F24" s="171"/>
      <c r="G24" s="169"/>
      <c r="H24" s="169">
        <f>H49</f>
        <v>238.4</v>
      </c>
      <c r="I24" s="169">
        <f>I49</f>
        <v>227.02</v>
      </c>
      <c r="J24" s="171"/>
      <c r="K24" s="169">
        <f>K49</f>
        <v>0</v>
      </c>
      <c r="L24" s="169">
        <f>L49</f>
        <v>0</v>
      </c>
      <c r="M24" s="172">
        <v>0</v>
      </c>
      <c r="N24" s="173"/>
      <c r="O24" s="113"/>
      <c r="P24" s="113"/>
      <c r="Q24" s="113"/>
      <c r="R24" s="113"/>
    </row>
    <row customHeight="1" ht="14.25">
      <c r="A25" s="174" t="s">
        <v>54</v>
      </c>
      <c r="B25" s="174"/>
      <c r="C25" s="126" t="s">
        <v>22</v>
      </c>
      <c r="D25" s="169">
        <f>D50</f>
        <v>204.05</v>
      </c>
      <c r="E25" s="169"/>
      <c r="F25" s="171"/>
      <c r="G25" s="169"/>
      <c r="H25" s="169">
        <f>H50</f>
        <v>25.6</v>
      </c>
      <c r="I25" s="169">
        <f>I50</f>
        <v>0</v>
      </c>
      <c r="J25" s="171"/>
      <c r="K25" s="169">
        <f>K50</f>
        <v>0</v>
      </c>
      <c r="L25" s="169">
        <f>L50</f>
        <v>0</v>
      </c>
      <c r="M25" s="172">
        <v>0</v>
      </c>
      <c r="N25" s="173"/>
      <c r="O25" s="113"/>
      <c r="P25" s="113"/>
      <c r="Q25" s="113"/>
      <c r="R25" s="113"/>
    </row>
    <row customHeight="1" ht="14.25">
      <c r="A26" s="174" t="s">
        <v>55</v>
      </c>
      <c r="B26" s="174"/>
      <c r="C26" s="126" t="s">
        <v>22</v>
      </c>
      <c r="D26" s="169">
        <f>D51</f>
        <v>48.44</v>
      </c>
      <c r="E26" s="169"/>
      <c r="F26" s="171"/>
      <c r="G26" s="169"/>
      <c r="H26" s="169">
        <f>H51</f>
        <v>0</v>
      </c>
      <c r="I26" s="169">
        <f>I51</f>
        <v>0</v>
      </c>
      <c r="J26" s="171"/>
      <c r="K26" s="169">
        <f>K51</f>
        <v>0</v>
      </c>
      <c r="L26" s="169">
        <f>L51</f>
        <v>0</v>
      </c>
      <c r="M26" s="172">
        <v>0</v>
      </c>
      <c r="N26" s="173"/>
      <c r="O26" s="113"/>
      <c r="P26" s="113"/>
      <c r="Q26" s="113"/>
      <c r="R26" s="113"/>
    </row>
    <row customHeight="1" ht="13.5">
      <c r="A27" s="183" t="s">
        <v>56</v>
      </c>
      <c r="B27" s="183"/>
      <c r="C27" s="184" t="s">
        <v>22</v>
      </c>
      <c r="D27" s="169">
        <f>D52</f>
        <v>0</v>
      </c>
      <c r="E27" s="58"/>
      <c r="F27" s="113"/>
      <c r="G27" s="113"/>
      <c r="H27" s="169">
        <f>H52</f>
        <v>0</v>
      </c>
      <c r="I27" s="169">
        <f>I52</f>
        <v>0</v>
      </c>
      <c r="J27" s="113"/>
      <c r="K27" s="169">
        <f>K52</f>
        <v>0</v>
      </c>
      <c r="L27" s="169">
        <f>L52</f>
        <v>0</v>
      </c>
      <c r="M27" s="172">
        <v>0</v>
      </c>
      <c r="N27" s="113"/>
      <c r="O27" s="113"/>
      <c r="P27" s="113"/>
      <c r="Q27" s="113"/>
      <c r="R27" s="113"/>
    </row>
    <row customHeight="1" ht="13.5">
      <c r="A28" s="58"/>
      <c r="B28" s="58"/>
      <c r="C28" s="113"/>
      <c r="D28" s="113"/>
      <c r="E28" s="58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</row>
    <row customHeight="1" ht="14.25">
      <c r="A29" s="167" t="s">
        <v>17</v>
      </c>
      <c r="B29" s="167"/>
      <c r="C29" s="168" t="s">
        <v>18</v>
      </c>
      <c r="D29" s="113"/>
      <c r="E29" s="58">
        <v>21743000</v>
      </c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</row>
    <row customHeight="1" ht="14.25">
      <c r="A30" s="167" t="s">
        <v>51</v>
      </c>
      <c r="B30" s="167"/>
      <c r="C30" s="168" t="s">
        <v>18</v>
      </c>
      <c r="D30" s="113"/>
      <c r="E30" s="58"/>
      <c r="F30" s="113"/>
      <c r="G30" s="113">
        <v>19990403</v>
      </c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</row>
    <row customHeight="1" ht="14.25">
      <c r="A31" s="167" t="s">
        <v>52</v>
      </c>
      <c r="B31" s="167"/>
      <c r="C31" s="168" t="s">
        <v>18</v>
      </c>
      <c r="D31" s="113"/>
      <c r="E31" s="58"/>
      <c r="F31" s="113"/>
      <c r="G31" s="113">
        <v>19990403</v>
      </c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</row>
    <row customHeight="1" ht="14.25">
      <c r="A32" s="174" t="s">
        <v>21</v>
      </c>
      <c r="B32" s="174"/>
      <c r="C32" s="126" t="s">
        <v>22</v>
      </c>
      <c r="D32" s="113">
        <v>3351.29</v>
      </c>
      <c r="E32" s="58">
        <v>7060.22</v>
      </c>
      <c r="F32" s="113"/>
      <c r="G32" s="113">
        <f>_xlfn.IFERROR(SUM(G57,G58,G59,G60),"")</f>
        <v>7189</v>
      </c>
      <c r="H32" s="113"/>
      <c r="I32" s="113">
        <v>0</v>
      </c>
      <c r="J32" s="113"/>
      <c r="K32" s="113">
        <v>0</v>
      </c>
      <c r="L32" s="113">
        <v>0</v>
      </c>
      <c r="M32" s="113"/>
      <c r="N32" s="113"/>
      <c r="O32" s="113"/>
      <c r="P32" s="113"/>
      <c r="Q32" s="113"/>
      <c r="R32" s="113"/>
    </row>
    <row customHeight="1" ht="29.25">
      <c r="A33" s="174" t="s">
        <v>23</v>
      </c>
      <c r="B33" s="174"/>
      <c r="C33" s="126" t="s">
        <v>22</v>
      </c>
      <c r="D33" s="58">
        <v>144.38</v>
      </c>
      <c r="E33" s="58">
        <v>0</v>
      </c>
      <c r="F33" s="113"/>
      <c r="G33" s="113">
        <v>0</v>
      </c>
      <c r="H33" s="113"/>
      <c r="I33" s="113">
        <v>0</v>
      </c>
      <c r="J33" s="113"/>
      <c r="K33" s="113">
        <v>0</v>
      </c>
      <c r="L33" s="113">
        <v>0</v>
      </c>
      <c r="M33" s="113"/>
      <c r="N33" s="113"/>
      <c r="O33" s="113"/>
      <c r="P33" s="113"/>
      <c r="Q33" s="113"/>
      <c r="R33" s="113"/>
    </row>
    <row customHeight="1" ht="14.25">
      <c r="A34" s="175" t="s">
        <v>24</v>
      </c>
      <c r="B34" s="174"/>
      <c r="C34" s="126" t="s">
        <v>22</v>
      </c>
      <c r="D34" s="113">
        <v>326.389999999999</v>
      </c>
      <c r="E34" s="58"/>
      <c r="F34" s="113"/>
      <c r="G34" s="113">
        <f>_xlfn.IFERROR(SUM(G63,G64,G65),"")</f>
        <v>0</v>
      </c>
      <c r="H34" s="113">
        <f>_xlfn.IFERROR(SUM(H63,G65),"")</f>
        <v>8004.69</v>
      </c>
      <c r="I34" s="113">
        <v>4794.78</v>
      </c>
      <c r="J34" s="113"/>
      <c r="K34" s="113">
        <v>0</v>
      </c>
      <c r="L34" s="113">
        <v>0</v>
      </c>
      <c r="M34" s="113"/>
      <c r="N34" s="113"/>
      <c r="O34" s="113"/>
      <c r="P34" s="113"/>
      <c r="Q34" s="113"/>
      <c r="R34" s="113"/>
    </row>
    <row customHeight="1" ht="14.25">
      <c r="A35" s="175" t="s">
        <v>25</v>
      </c>
      <c r="B35" s="174"/>
      <c r="C35" s="126"/>
      <c r="D35" s="113">
        <v>25.88</v>
      </c>
      <c r="E35" s="58"/>
      <c r="F35" s="113"/>
      <c r="G35" s="113">
        <v>0</v>
      </c>
      <c r="H35" s="113">
        <v>0</v>
      </c>
      <c r="I35" s="113">
        <v>0</v>
      </c>
      <c r="J35" s="113"/>
      <c r="K35" s="113">
        <v>0</v>
      </c>
      <c r="L35" s="113">
        <v>0</v>
      </c>
      <c r="M35" s="113"/>
      <c r="N35" s="113"/>
      <c r="O35" s="113"/>
      <c r="P35" s="113"/>
      <c r="Q35" s="113"/>
      <c r="R35" s="113"/>
    </row>
    <row customHeight="1" ht="14.25">
      <c r="A36" s="174" t="s">
        <v>26</v>
      </c>
      <c r="B36" s="174"/>
      <c r="C36" s="126" t="s">
        <v>22</v>
      </c>
      <c r="D36" s="113"/>
      <c r="E36" s="58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</row>
    <row customHeight="1" ht="14.25">
      <c r="A37" s="129" t="s">
        <v>27</v>
      </c>
      <c r="B37" s="126" t="s">
        <v>28</v>
      </c>
      <c r="C37" s="126" t="s">
        <v>22</v>
      </c>
      <c r="D37" s="113">
        <v>7138.61</v>
      </c>
      <c r="E37" s="58"/>
      <c r="F37" s="113"/>
      <c r="G37" s="113">
        <v>0</v>
      </c>
      <c r="H37" s="113">
        <v>0</v>
      </c>
      <c r="I37" s="113">
        <v>90.18</v>
      </c>
      <c r="J37" s="113"/>
      <c r="K37" s="113">
        <v>0</v>
      </c>
      <c r="L37" s="113">
        <v>0</v>
      </c>
      <c r="M37" s="113"/>
      <c r="N37" s="113"/>
      <c r="O37" s="113"/>
      <c r="P37" s="113"/>
      <c r="Q37" s="113"/>
      <c r="R37" s="113"/>
    </row>
    <row customHeight="1" ht="14.25">
      <c r="A38" s="129"/>
      <c r="B38" s="126" t="s">
        <v>29</v>
      </c>
      <c r="C38" s="126" t="s">
        <v>22</v>
      </c>
      <c r="D38" s="113">
        <v>0</v>
      </c>
      <c r="E38" s="58"/>
      <c r="F38" s="113"/>
      <c r="G38" s="113">
        <v>0</v>
      </c>
      <c r="H38" s="113">
        <v>0</v>
      </c>
      <c r="I38" s="113">
        <v>0</v>
      </c>
      <c r="J38" s="113"/>
      <c r="K38" s="113">
        <v>0</v>
      </c>
      <c r="L38" s="113">
        <v>0</v>
      </c>
      <c r="M38" s="113"/>
      <c r="N38" s="113"/>
      <c r="O38" s="113"/>
      <c r="P38" s="113"/>
      <c r="Q38" s="113"/>
      <c r="R38" s="113"/>
    </row>
    <row customHeight="1" ht="14.25">
      <c r="A39" s="129" t="s">
        <v>30</v>
      </c>
      <c r="B39" s="126" t="s">
        <v>28</v>
      </c>
      <c r="C39" s="126" t="s">
        <v>22</v>
      </c>
      <c r="D39" s="113">
        <v>0</v>
      </c>
      <c r="E39" s="58"/>
      <c r="F39" s="113"/>
      <c r="G39" s="113">
        <v>0</v>
      </c>
      <c r="H39" s="113">
        <v>0</v>
      </c>
      <c r="I39" s="113">
        <v>0</v>
      </c>
      <c r="J39" s="113"/>
      <c r="K39" s="113">
        <v>0</v>
      </c>
      <c r="L39" s="113">
        <v>0</v>
      </c>
      <c r="M39" s="113"/>
      <c r="N39" s="113"/>
      <c r="O39" s="113"/>
      <c r="P39" s="113"/>
      <c r="Q39" s="113"/>
      <c r="R39" s="113"/>
    </row>
    <row customHeight="1" ht="14.25">
      <c r="A40" s="129"/>
      <c r="B40" s="126" t="s">
        <v>29</v>
      </c>
      <c r="C40" s="126" t="s">
        <v>22</v>
      </c>
      <c r="D40" s="113">
        <v>0</v>
      </c>
      <c r="E40" s="58"/>
      <c r="F40" s="113"/>
      <c r="G40" s="113">
        <v>0</v>
      </c>
      <c r="H40" s="113">
        <v>0</v>
      </c>
      <c r="I40" s="113">
        <v>0</v>
      </c>
      <c r="J40" s="113"/>
      <c r="K40" s="113">
        <v>0</v>
      </c>
      <c r="L40" s="113">
        <v>0</v>
      </c>
      <c r="M40" s="113"/>
      <c r="N40" s="113"/>
      <c r="O40" s="113"/>
      <c r="P40" s="113"/>
      <c r="Q40" s="113"/>
      <c r="R40" s="113"/>
    </row>
    <row customHeight="1" ht="14.25">
      <c r="A41" s="175" t="s">
        <v>31</v>
      </c>
      <c r="B41" s="174"/>
      <c r="C41" s="126" t="s">
        <v>22</v>
      </c>
      <c r="D41" s="113">
        <v>177.04</v>
      </c>
      <c r="E41" s="58"/>
      <c r="F41" s="113"/>
      <c r="G41" s="113"/>
      <c r="H41" s="113">
        <v>0</v>
      </c>
      <c r="I41" s="113">
        <v>0</v>
      </c>
      <c r="J41" s="113"/>
      <c r="K41" s="113">
        <v>0</v>
      </c>
      <c r="L41" s="113">
        <v>0</v>
      </c>
      <c r="M41" s="113"/>
      <c r="N41" s="113"/>
      <c r="O41" s="113"/>
      <c r="P41" s="113"/>
      <c r="Q41" s="113"/>
      <c r="R41" s="113"/>
    </row>
    <row customHeight="1" ht="14.25">
      <c r="A42" s="175" t="s">
        <v>32</v>
      </c>
      <c r="B42" s="174"/>
      <c r="C42" s="126" t="s">
        <v>22</v>
      </c>
      <c r="D42" s="113">
        <v>0</v>
      </c>
      <c r="E42" s="58"/>
      <c r="F42" s="113"/>
      <c r="G42" s="113"/>
      <c r="H42" s="113">
        <v>0</v>
      </c>
      <c r="I42" s="113">
        <v>0</v>
      </c>
      <c r="J42" s="113"/>
      <c r="K42" s="113">
        <v>0</v>
      </c>
      <c r="L42" s="113">
        <v>0</v>
      </c>
      <c r="M42" s="113"/>
      <c r="N42" s="113"/>
      <c r="O42" s="113"/>
      <c r="P42" s="113"/>
      <c r="Q42" s="113"/>
      <c r="R42" s="113"/>
    </row>
    <row customHeight="1" ht="14.25">
      <c r="A43" s="167" t="s">
        <v>33</v>
      </c>
      <c r="B43" s="179"/>
      <c r="C43" s="126" t="s">
        <v>22</v>
      </c>
      <c r="D43" s="113">
        <v>1472.5</v>
      </c>
      <c r="E43" s="58"/>
      <c r="F43" s="113"/>
      <c r="G43" s="113">
        <v>0</v>
      </c>
      <c r="H43" s="113">
        <v>4642</v>
      </c>
      <c r="I43" s="113">
        <v>2329.92</v>
      </c>
      <c r="J43" s="113"/>
      <c r="K43" s="113">
        <v>0</v>
      </c>
      <c r="L43" s="113">
        <v>0</v>
      </c>
      <c r="M43" s="113"/>
      <c r="N43" s="113"/>
      <c r="O43" s="113"/>
      <c r="P43" s="113"/>
      <c r="Q43" s="113"/>
      <c r="R43" s="113"/>
    </row>
    <row customHeight="1" ht="14.25">
      <c r="A44" s="167" t="s">
        <v>34</v>
      </c>
      <c r="B44" s="179"/>
      <c r="C44" s="126" t="s">
        <v>22</v>
      </c>
      <c r="D44" s="113">
        <v>0</v>
      </c>
      <c r="E44" s="58"/>
      <c r="F44" s="113"/>
      <c r="G44" s="113">
        <v>0</v>
      </c>
      <c r="H44" s="113">
        <v>0</v>
      </c>
      <c r="I44" s="113">
        <v>0</v>
      </c>
      <c r="J44" s="113"/>
      <c r="K44" s="113">
        <v>0</v>
      </c>
      <c r="L44" s="113">
        <v>0</v>
      </c>
      <c r="M44" s="113"/>
      <c r="N44" s="113"/>
      <c r="O44" s="113"/>
      <c r="P44" s="113"/>
      <c r="Q44" s="113"/>
      <c r="R44" s="113"/>
    </row>
    <row customHeight="1" ht="28.5">
      <c r="A45" s="108" t="s">
        <v>53</v>
      </c>
      <c r="B45" s="109"/>
      <c r="C45" s="126" t="s">
        <v>22</v>
      </c>
      <c r="D45" s="113">
        <v>42.6100000000001</v>
      </c>
      <c r="E45" s="58"/>
      <c r="F45" s="113"/>
      <c r="G45" s="113"/>
      <c r="H45" s="113">
        <v>1663.24</v>
      </c>
      <c r="I45" s="113">
        <v>1388.44</v>
      </c>
      <c r="J45" s="113"/>
      <c r="K45" s="113">
        <v>0</v>
      </c>
      <c r="L45" s="113">
        <v>0</v>
      </c>
      <c r="M45" s="113"/>
      <c r="N45" s="113"/>
      <c r="O45" s="113"/>
      <c r="P45" s="113"/>
      <c r="Q45" s="113"/>
      <c r="R45" s="113"/>
    </row>
    <row s="186" customFormat="1" customHeight="1" ht="28.5">
      <c r="A46" s="111" t="s">
        <v>36</v>
      </c>
      <c r="B46" s="92"/>
      <c r="C46" s="138"/>
      <c r="D46" s="187">
        <v>247.14</v>
      </c>
      <c r="E46" s="58"/>
      <c r="F46" s="58"/>
      <c r="G46" s="58"/>
      <c r="H46" s="187">
        <v>731.7</v>
      </c>
      <c r="I46" s="187">
        <v>683.44</v>
      </c>
      <c r="J46" s="58"/>
      <c r="K46" s="187">
        <v>0</v>
      </c>
      <c r="L46" s="187">
        <v>0</v>
      </c>
      <c r="M46" s="58"/>
      <c r="N46" s="58"/>
      <c r="O46" s="58"/>
      <c r="P46" s="58"/>
      <c r="Q46" s="58"/>
      <c r="R46" s="58"/>
    </row>
    <row customHeight="1" ht="14.25">
      <c r="A47" s="174" t="s">
        <v>37</v>
      </c>
      <c r="B47" s="174"/>
      <c r="C47" s="126" t="s">
        <v>22</v>
      </c>
      <c r="D47" s="113">
        <v>37.8399999999999</v>
      </c>
      <c r="E47" s="58"/>
      <c r="F47" s="113"/>
      <c r="G47" s="113"/>
      <c r="H47" s="113">
        <v>197.8</v>
      </c>
      <c r="I47" s="113">
        <v>196.14</v>
      </c>
      <c r="J47" s="113"/>
      <c r="K47" s="113">
        <v>0</v>
      </c>
      <c r="L47" s="113">
        <v>0</v>
      </c>
      <c r="M47" s="113"/>
      <c r="N47" s="113"/>
      <c r="O47" s="113"/>
      <c r="P47" s="113"/>
      <c r="Q47" s="113"/>
      <c r="R47" s="113"/>
    </row>
    <row customHeight="1" ht="14.25">
      <c r="A48" s="174" t="s">
        <v>38</v>
      </c>
      <c r="B48" s="174"/>
      <c r="C48" s="126" t="s">
        <v>22</v>
      </c>
      <c r="D48" s="113">
        <v>0</v>
      </c>
      <c r="E48" s="58"/>
      <c r="F48" s="113"/>
      <c r="G48" s="113"/>
      <c r="H48" s="113">
        <v>0</v>
      </c>
      <c r="I48" s="113">
        <v>0</v>
      </c>
      <c r="J48" s="113"/>
      <c r="K48" s="113">
        <v>0</v>
      </c>
      <c r="L48" s="113">
        <v>0</v>
      </c>
      <c r="M48" s="113"/>
      <c r="N48" s="113"/>
      <c r="O48" s="113"/>
      <c r="P48" s="113"/>
      <c r="Q48" s="113"/>
      <c r="R48" s="113"/>
    </row>
    <row customHeight="1" ht="14.25">
      <c r="A49" s="174" t="s">
        <v>39</v>
      </c>
      <c r="B49" s="174"/>
      <c r="C49" s="126" t="s">
        <v>22</v>
      </c>
      <c r="D49" s="113">
        <v>166.64</v>
      </c>
      <c r="E49" s="58"/>
      <c r="F49" s="113"/>
      <c r="G49" s="113"/>
      <c r="H49" s="113">
        <v>238.4</v>
      </c>
      <c r="I49" s="113">
        <v>227.02</v>
      </c>
      <c r="J49" s="113"/>
      <c r="K49" s="113">
        <v>0</v>
      </c>
      <c r="L49" s="113">
        <v>0</v>
      </c>
      <c r="M49" s="113"/>
      <c r="N49" s="113"/>
      <c r="O49" s="113"/>
      <c r="P49" s="113"/>
      <c r="Q49" s="113"/>
      <c r="R49" s="113"/>
    </row>
    <row customHeight="1" ht="14.25">
      <c r="A50" s="174" t="s">
        <v>54</v>
      </c>
      <c r="B50" s="174"/>
      <c r="C50" s="126" t="s">
        <v>22</v>
      </c>
      <c r="D50" s="113">
        <v>204.05</v>
      </c>
      <c r="E50" s="58"/>
      <c r="F50" s="113"/>
      <c r="G50" s="113"/>
      <c r="H50" s="113">
        <v>25.6</v>
      </c>
      <c r="I50" s="113">
        <v>0</v>
      </c>
      <c r="J50" s="113"/>
      <c r="K50" s="113">
        <v>0</v>
      </c>
      <c r="L50" s="113">
        <v>0</v>
      </c>
      <c r="M50" s="113"/>
      <c r="N50" s="113"/>
      <c r="O50" s="113"/>
      <c r="P50" s="113"/>
      <c r="Q50" s="113"/>
      <c r="R50" s="113"/>
    </row>
    <row customHeight="1" ht="14.25">
      <c r="A51" s="174" t="s">
        <v>55</v>
      </c>
      <c r="B51" s="174"/>
      <c r="C51" s="126" t="s">
        <v>22</v>
      </c>
      <c r="D51" s="113">
        <v>48.44</v>
      </c>
      <c r="E51" s="58"/>
      <c r="F51" s="113"/>
      <c r="G51" s="113"/>
      <c r="H51" s="113">
        <v>0</v>
      </c>
      <c r="I51" s="113">
        <v>0</v>
      </c>
      <c r="J51" s="113"/>
      <c r="K51" s="113">
        <v>0</v>
      </c>
      <c r="L51" s="113">
        <v>0</v>
      </c>
      <c r="M51" s="113"/>
      <c r="N51" s="113"/>
      <c r="O51" s="113"/>
      <c r="P51" s="113"/>
      <c r="Q51" s="113"/>
      <c r="R51" s="113"/>
    </row>
    <row customHeight="1" ht="13.5">
      <c r="A52" s="174" t="s">
        <v>56</v>
      </c>
      <c r="B52" s="174"/>
      <c r="C52" s="184" t="s">
        <v>22</v>
      </c>
      <c r="D52" s="113">
        <v>0</v>
      </c>
      <c r="E52" s="58"/>
      <c r="F52" s="113"/>
      <c r="G52" s="113"/>
      <c r="H52" s="113">
        <v>0</v>
      </c>
      <c r="I52" s="113">
        <v>0</v>
      </c>
      <c r="J52" s="113"/>
      <c r="K52" s="113">
        <v>0</v>
      </c>
      <c r="L52" s="113">
        <v>0</v>
      </c>
      <c r="M52" s="113"/>
      <c r="N52" s="113"/>
      <c r="O52" s="113"/>
      <c r="P52" s="113"/>
      <c r="Q52" s="113"/>
      <c r="R52" s="113"/>
    </row>
    <row customHeight="1" ht="13.5">
      <c r="A53" s="58"/>
      <c r="B53" s="58"/>
      <c r="C53" s="113"/>
      <c r="D53" s="113"/>
      <c r="E53" s="58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</row>
    <row customHeight="1" ht="13.5">
      <c r="A54" s="58"/>
      <c r="B54" s="58"/>
      <c r="C54" s="113"/>
      <c r="D54" s="113"/>
      <c r="E54" s="58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</row>
    <row customHeight="1" ht="13.5">
      <c r="A55" s="58"/>
      <c r="B55" s="58"/>
      <c r="C55" s="113"/>
      <c r="D55" s="113"/>
      <c r="E55" s="58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</row>
    <row customHeight="1" ht="13.5">
      <c r="A56" s="58"/>
      <c r="B56" s="58"/>
      <c r="C56" s="113"/>
      <c r="D56" s="113"/>
      <c r="E56" s="58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</row>
    <row customHeight="1" ht="13.5">
      <c r="A57" s="58"/>
      <c r="B57" s="58"/>
      <c r="C57" s="113"/>
      <c r="D57" s="113"/>
      <c r="E57" s="58"/>
      <c r="F57" s="113"/>
      <c r="G57" s="113">
        <v>6275.5</v>
      </c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</row>
    <row customHeight="1" ht="13.5">
      <c r="A58" s="58"/>
      <c r="B58" s="58"/>
      <c r="C58" s="113"/>
      <c r="D58" s="113"/>
      <c r="E58" s="58"/>
      <c r="F58" s="113"/>
      <c r="G58" s="113">
        <v>0</v>
      </c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</row>
    <row customHeight="1" ht="13.5">
      <c r="A59" s="58"/>
      <c r="B59" s="58"/>
      <c r="C59" s="113"/>
      <c r="D59" s="113"/>
      <c r="E59" s="58"/>
      <c r="F59" s="113"/>
      <c r="G59" s="113">
        <v>842</v>
      </c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</row>
    <row customHeight="1" ht="13.5">
      <c r="A60" s="58"/>
      <c r="B60" s="58"/>
      <c r="C60" s="113"/>
      <c r="D60" s="113"/>
      <c r="E60" s="58"/>
      <c r="F60" s="113"/>
      <c r="G60" s="113">
        <v>71.5</v>
      </c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</row>
    <row customHeight="1" ht="13.5">
      <c r="A61" s="58"/>
      <c r="B61" s="58"/>
      <c r="C61" s="113"/>
      <c r="D61" s="113"/>
      <c r="E61" s="58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</row>
    <row customHeight="1" ht="13.5">
      <c r="A62" s="58"/>
      <c r="B62" s="58"/>
      <c r="C62" s="113"/>
      <c r="D62" s="113"/>
      <c r="E62" s="58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</row>
    <row customHeight="1" ht="13.5">
      <c r="A63" s="58"/>
      <c r="B63" s="58"/>
      <c r="C63" s="113"/>
      <c r="D63" s="113"/>
      <c r="E63" s="58"/>
      <c r="F63" s="113"/>
      <c r="G63" s="113">
        <v>0</v>
      </c>
      <c r="H63" s="113">
        <v>8004.69</v>
      </c>
      <c r="I63" s="113"/>
      <c r="J63" s="113"/>
      <c r="K63" s="113"/>
      <c r="L63" s="113"/>
      <c r="M63" s="113"/>
      <c r="N63" s="113"/>
      <c r="O63" s="113"/>
      <c r="P63" s="113"/>
      <c r="Q63" s="113"/>
      <c r="R63" s="113"/>
    </row>
    <row customHeight="1" ht="13.5">
      <c r="A64" s="58"/>
      <c r="B64" s="58"/>
      <c r="C64" s="113"/>
      <c r="D64" s="113"/>
      <c r="E64" s="58"/>
      <c r="F64" s="113"/>
      <c r="G64" s="113">
        <v>0</v>
      </c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</row>
    <row customHeight="1" ht="13.5">
      <c r="A65" s="58"/>
      <c r="B65" s="58"/>
      <c r="C65" s="113"/>
      <c r="D65" s="113"/>
      <c r="E65" s="58"/>
      <c r="F65" s="113"/>
      <c r="G65" s="113">
        <v>0</v>
      </c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</row>
    <row customHeight="1" ht="13.5">
      <c r="A66" s="58"/>
      <c r="B66" s="58"/>
      <c r="C66" s="113"/>
      <c r="D66" s="113"/>
      <c r="E66" s="58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</row>
    <row customHeight="1" ht="13.5">
      <c r="A67" s="58"/>
      <c r="B67" s="58"/>
      <c r="C67" s="113"/>
      <c r="D67" s="113"/>
      <c r="E67" s="58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</row>
    <row customHeight="1" ht="13.5">
      <c r="A68" s="58"/>
      <c r="B68" s="58"/>
      <c r="C68" s="113"/>
      <c r="D68" s="113" t="s">
        <v>43</v>
      </c>
      <c r="E68" s="58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</row>
    <row customHeight="1" ht="13.5">
      <c r="A69" s="58"/>
      <c r="B69" s="58"/>
      <c r="C69" s="113"/>
      <c r="D69" s="113" t="s">
        <v>45</v>
      </c>
      <c r="E69" s="58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</row>
    <row customHeight="1" ht="13.5">
      <c r="A70" s="58"/>
      <c r="B70" s="58"/>
      <c r="C70" s="113"/>
      <c r="D70" s="113" t="s">
        <v>47</v>
      </c>
      <c r="E70" s="58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</row>
  </sheetData>
  <mergeCells count="49">
    <mergeCell ref="A50:B50"/>
    <mergeCell ref="A51:B51"/>
    <mergeCell ref="A52:B52"/>
    <mergeCell ref="A12:A13"/>
    <mergeCell ref="A14:A15"/>
    <mergeCell ref="A37:A38"/>
    <mergeCell ref="A39:A40"/>
    <mergeCell ref="A21:B21"/>
    <mergeCell ref="A46:B46"/>
    <mergeCell ref="A44:B44"/>
    <mergeCell ref="A45:B45"/>
    <mergeCell ref="A47:B47"/>
    <mergeCell ref="A48:B48"/>
    <mergeCell ref="A49:B49"/>
    <mergeCell ref="A35:B35"/>
    <mergeCell ref="A36:B36"/>
    <mergeCell ref="A41:B41"/>
    <mergeCell ref="A42:B42"/>
    <mergeCell ref="A43:B43"/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9:B29"/>
    <mergeCell ref="A18:B18"/>
    <mergeCell ref="A19:B19"/>
    <mergeCell ref="A20:B20"/>
    <mergeCell ref="A22:B22"/>
    <mergeCell ref="A23:B23"/>
    <mergeCell ref="A9:B9"/>
    <mergeCell ref="A10:B10"/>
    <mergeCell ref="A11:B11"/>
    <mergeCell ref="A16:B16"/>
    <mergeCell ref="A17:B17"/>
    <mergeCell ref="A4:B4"/>
    <mergeCell ref="A5:B5"/>
    <mergeCell ref="A6:B6"/>
    <mergeCell ref="A7:B7"/>
    <mergeCell ref="A8:B8"/>
    <mergeCell ref="A1:N1"/>
    <mergeCell ref="A2:D2"/>
    <mergeCell ref="G2:H2"/>
    <mergeCell ref="J2:N2"/>
    <mergeCell ref="A3:B3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B240968-CA7E-32A8-56D8-14E2B98A8518}" mc:Ignorable="x14ac xr xr2 xr3">
  <dimension ref="A1:A1"/>
  <sheetViews>
    <sheetView topLeftCell="A1" workbookViewId="0">
      <selection activeCell="A1" sqref="A1"/>
    </sheetView>
  </sheetViews>
  <sheetFormatPr defaultColWidth="9.00390625" customHeight="1" defaultRowHeight="13.5"/>
  <sheetData>
    <row customHeight="1" ht="13.5">
      <c r="A1" s="113"/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原料产品收拨平衡月报</vt:lpstr>
      <vt:lpstr>取值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dhc</cp:lastModifiedBy>
  <dcterms:created xsi:type="dcterms:W3CDTF">2006-09-16T00:00:00Z</dcterms:created>
  <dcterms:modified xsi:type="dcterms:W3CDTF">2023-08-31T02:15:25Z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17180253A96B4A4C80B068075FCFF2F0</vt:lpwstr>
  </property>
  <property fmtid="{D5CDD505-2E9C-101B-9397-08002B2CF9AE}" pid="3" name="KSOProductBuildVer">
    <vt:lpwstr>2052-11.1.0.14036</vt:lpwstr>
  </property>
</Properties>
</file>