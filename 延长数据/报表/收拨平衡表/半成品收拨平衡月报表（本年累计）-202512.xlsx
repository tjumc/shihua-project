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半成品收拨平衡表" sheetId="1" r:id="rId2"/>
    <sheet name="半成品收拨取值" sheetId="2" state="hidden" r:id="rId3"/>
  </sheets>
  <calcPr calcId="0" iterate="0" iterateCount="100" iterateDelta="0.001"/>
</workbook>
</file>

<file path=xl/sharedStrings.xml><?xml version="1.0" encoding="utf-8"?>
<sst xmlns="http://schemas.openxmlformats.org/spreadsheetml/2006/main" count="110" uniqueCount="60">
  <si>
    <t>半成品收拨平衡表(本年累计）</t>
  </si>
  <si>
    <t>填报单位：延安石油化工厂</t>
  </si>
  <si>
    <t>日期：</t>
  </si>
  <si>
    <t>2025-12</t>
  </si>
  <si>
    <t>陕延油炼化计统B206表</t>
  </si>
  <si>
    <t>指标名称</t>
  </si>
  <si>
    <t>单位</t>
  </si>
  <si>
    <t>期初库存</t>
  </si>
  <si>
    <t>外购量</t>
  </si>
  <si>
    <t xml:space="preserve"> 生产量</t>
  </si>
  <si>
    <t>装置
加工量</t>
  </si>
  <si>
    <t>销 售</t>
  </si>
  <si>
    <t>生产自用</t>
  </si>
  <si>
    <t>内部调拨量</t>
  </si>
  <si>
    <t>内移量</t>
  </si>
  <si>
    <t>盈（+）</t>
  </si>
  <si>
    <t>期末库存</t>
  </si>
  <si>
    <t>调入</t>
  </si>
  <si>
    <t>调出</t>
  </si>
  <si>
    <t>移进</t>
  </si>
  <si>
    <t>移出</t>
  </si>
  <si>
    <t>亏（-）</t>
  </si>
  <si>
    <t>一、汽油</t>
  </si>
  <si>
    <t>其中:重整精制油</t>
  </si>
  <si>
    <t>吨</t>
  </si>
  <si>
    <r>
      <t xml:space="preserve">    C</t>
    </r>
    <r>
      <rPr>
        <charset val="134"/>
        <color rgb="FF000000"/>
        <family val="3"/>
        <rFont val="Calibri"/>
        <scheme val="minor"/>
        <sz val="11"/>
        <vertAlign val="subscript"/>
      </rPr>
      <t>6</t>
    </r>
    <r>
      <rPr>
        <charset val="134"/>
        <color rgb="FF000000"/>
        <family val="3"/>
        <rFont val="Calibri"/>
        <scheme val="minor"/>
        <sz val="11"/>
      </rPr>
      <t>馏分</t>
    </r>
  </si>
  <si>
    <t xml:space="preserve">    粗汽油</t>
  </si>
  <si>
    <t xml:space="preserve">    精制石脑油</t>
  </si>
  <si>
    <t>二、液化气</t>
  </si>
  <si>
    <t xml:space="preserve"> 其中：饱和液化气</t>
  </si>
  <si>
    <t xml:space="preserve">     重整液化气</t>
  </si>
  <si>
    <t xml:space="preserve">     丙烷</t>
  </si>
  <si>
    <t xml:space="preserve">     醚后C4</t>
  </si>
  <si>
    <t xml:space="preserve">     精制液化气</t>
  </si>
  <si>
    <t xml:space="preserve">     气分碳四</t>
  </si>
  <si>
    <t xml:space="preserve">     烷基化碳四</t>
  </si>
  <si>
    <t xml:space="preserve">     富异丁烯碳四</t>
  </si>
  <si>
    <t xml:space="preserve">     再生碳四</t>
  </si>
  <si>
    <t>三、丙烯</t>
  </si>
  <si>
    <t>四、粗硫磺</t>
  </si>
  <si>
    <t>五、次品</t>
  </si>
  <si>
    <r>
      <t>其中：不合格汽油（C</t>
    </r>
    <r>
      <rPr>
        <charset val="134"/>
        <color rgb="FF000000"/>
        <family val="3"/>
        <rFont val="Calibri"/>
        <scheme val="minor"/>
        <sz val="11"/>
        <vertAlign val="subscript"/>
      </rPr>
      <t>6</t>
    </r>
    <r>
      <rPr>
        <charset val="134"/>
        <color rgb="FF000000"/>
        <family val="3"/>
        <rFont val="Calibri"/>
        <scheme val="minor"/>
        <sz val="11"/>
      </rPr>
      <t>）</t>
    </r>
  </si>
  <si>
    <t xml:space="preserve">     不合格柴油</t>
  </si>
  <si>
    <t xml:space="preserve">     轻污油（石化厂）</t>
  </si>
  <si>
    <t xml:space="preserve">     轻污油（轻烃）</t>
  </si>
  <si>
    <t xml:space="preserve">     污水车间污油</t>
  </si>
  <si>
    <t>备    注</t>
  </si>
  <si>
    <t>成品交库</t>
  </si>
  <si>
    <t>油品调合</t>
  </si>
  <si>
    <t xml:space="preserve">   粗汽油</t>
  </si>
  <si>
    <t>柴油精制石脑油</t>
  </si>
  <si>
    <t xml:space="preserve">       丙烷</t>
  </si>
  <si>
    <t xml:space="preserve">       醚后C4</t>
  </si>
  <si>
    <r>
      <t xml:space="preserve">     气分C</t>
    </r>
    <r>
      <rPr>
        <charset val="134"/>
        <color rgb="FF000000"/>
        <family val="3"/>
        <rFont val="Calibri"/>
        <scheme val="minor"/>
        <sz val="11"/>
        <vertAlign val="subscript"/>
      </rPr>
      <t>4</t>
    </r>
    <r>
      <rPr>
        <charset val="134"/>
        <color rgb="FF000000"/>
        <family val="3"/>
        <rFont val="Calibri"/>
        <scheme val="minor"/>
        <sz val="11"/>
      </rPr>
      <t>馏分</t>
    </r>
  </si>
  <si>
    <t>烷基化C4</t>
  </si>
  <si>
    <t>富异丁烯</t>
  </si>
  <si>
    <t>再生C4</t>
  </si>
  <si>
    <t>报表生成时间：</t>
  </si>
  <si>
    <t>2026-01-01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</si>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</sst>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#"/>
  </numFmts>
  <fonts count="20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8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21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41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10" xfId="0" applyFont="1" applyBorder="1">
      <alignment horizontal="center" vertical="center" shrinkToFit="1"/>
    </xf>
    <xf numFmtId="0" fontId="18" fillId="0" borderId="11" xfId="0" applyFont="1" applyBorder="1">
      <alignment vertical="center"/>
    </xf>
    <xf numFmtId="0" fontId="18" fillId="0" borderId="12" xfId="0" applyFont="1" applyBorder="1">
      <alignment vertical="center"/>
    </xf>
    <xf numFmtId="0" fontId="18" fillId="0" borderId="11" xfId="0" applyFont="1" applyBorder="1">
      <alignment vertical="center"/>
    </xf>
    <xf numFmtId="0" fontId="0" fillId="0" borderId="0" xfId="0" applyFont="1">
      <alignment shrinkToFit="1"/>
    </xf>
    <xf numFmtId="0" fontId="18" fillId="0" borderId="11" xfId="0" applyFont="1" applyBorder="1">
      <alignment horizontal="center" vertical="center"/>
    </xf>
    <xf numFmtId="0" fontId="18" fillId="0" borderId="13" xfId="0" applyFont="1" applyBorder="1">
      <alignment horizontal="left" vertical="center"/>
    </xf>
    <xf numFmtId="0" fontId="18" fillId="0" borderId="14" xfId="0" applyFont="1" applyBorder="1">
      <alignment horizontal="center" vertical="center" shrinkToFit="1"/>
    </xf>
    <xf numFmtId="0" fontId="18" fillId="0" borderId="12" xfId="0" applyFont="1" applyBorder="1">
      <alignment horizontal="center" vertical="center" shrinkToFit="1"/>
    </xf>
    <xf numFmtId="0" fontId="18" fillId="0" borderId="11" xfId="0" applyFont="1" applyBorder="1">
      <alignment horizontal="center" vertical="center" shrinkToFit="1"/>
    </xf>
    <xf numFmtId="0" fontId="18" fillId="0" borderId="11" xfId="0" applyFont="1" applyBorder="1">
      <alignment horizontal="left" vertical="center"/>
    </xf>
    <xf numFmtId="0" fontId="18" fillId="0" borderId="14" xfId="0" applyFont="1" applyBorder="1">
      <alignment horizontal="center" vertical="center"/>
    </xf>
    <xf numFmtId="0" fontId="18" fillId="0" borderId="15" xfId="0" applyFont="1" applyBorder="1">
      <alignment horizontal="center" vertical="center" shrinkToFit="1"/>
    </xf>
    <xf numFmtId="0" fontId="0" fillId="0" borderId="0" xfId="0" applyFont="1">
      <alignment vertical="center" shrinkToFit="1"/>
    </xf>
    <xf numFmtId="0" fontId="18" fillId="0" borderId="13" xfId="0" applyFont="1" applyBorder="1">
      <alignment horizontal="left" vertical="center"/>
    </xf>
    <xf numFmtId="0" fontId="18" fillId="0" borderId="13" xfId="0" applyFont="1" applyBorder="1">
      <alignment horizontal="right" vertical="center"/>
    </xf>
    <xf numFmtId="0" fontId="18" fillId="0" borderId="13" xfId="0" applyFont="1" applyBorder="1">
      <alignment horizontal="left" vertical="center"/>
    </xf>
    <xf numFmtId="0" fontId="18" fillId="33" borderId="11" xfId="0" applyFont="1" applyFill="1" applyBorder="1">
      <alignment horizontal="center" vertical="center"/>
    </xf>
    <xf numFmtId="171" fontId="18" fillId="33" borderId="11" xfId="0" applyFont="1" applyFill="1" applyBorder="1" applyNumberFormat="1">
      <alignment horizontal="center" vertical="center"/>
    </xf>
    <xf numFmtId="0" fontId="18" fillId="0" borderId="11" xfId="0" applyFont="1" applyBorder="1">
      <alignment horizontal="left" vertical="center"/>
    </xf>
    <xf numFmtId="0" fontId="18" fillId="0" borderId="11" xfId="0" applyFont="1" applyBorder="1">
      <alignment vertical="center"/>
    </xf>
    <xf numFmtId="172" fontId="18" fillId="33" borderId="11" xfId="0" applyFont="1" applyFill="1" applyBorder="1" applyNumberFormat="1">
      <alignment horizontal="center" vertical="center"/>
    </xf>
    <xf numFmtId="172" fontId="18" fillId="33" borderId="10" xfId="0" applyFont="1" applyFill="1" applyBorder="1" applyNumberFormat="1">
      <alignment horizontal="center" vertical="center"/>
    </xf>
    <xf numFmtId="172" fontId="18" fillId="33" borderId="11" xfId="0" applyFont="1" applyFill="1" applyBorder="1" applyNumberFormat="1">
      <alignment horizontal="right" vertical="center"/>
    </xf>
    <xf numFmtId="0" fontId="18" fillId="0" borderId="12" xfId="0" applyFont="1" applyBorder="1">
      <alignment horizontal="left" vertical="center"/>
    </xf>
    <xf numFmtId="0" fontId="18" fillId="0" borderId="13" xfId="0" applyFont="1" applyBorder="1">
      <alignment horizontal="left" vertical="center"/>
    </xf>
    <xf numFmtId="0" fontId="18" fillId="0" borderId="14" xfId="0" applyFont="1" applyBorder="1">
      <alignment horizontal="left" vertical="center"/>
    </xf>
    <xf numFmtId="0" fontId="18" fillId="0" borderId="16" xfId="0" applyFont="1" applyBorder="1">
      <alignment horizontal="center" vertical="center" wrapText="1" shrinkToFit="1"/>
    </xf>
    <xf numFmtId="0" fontId="18" fillId="0" borderId="10" xfId="0" applyFont="1" applyBorder="1">
      <alignment horizontal="center" vertical="center" shrinkToFit="1"/>
    </xf>
    <xf numFmtId="0" fontId="18" fillId="0" borderId="17" xfId="0" applyFont="1" applyBorder="1">
      <alignment horizontal="center" vertical="center" shrinkToFit="1"/>
    </xf>
    <xf numFmtId="0" fontId="18" fillId="0" borderId="18" xfId="0" applyFont="1" applyBorder="1">
      <alignment horizontal="center" vertical="center" shrinkToFit="1"/>
    </xf>
    <xf numFmtId="0" fontId="18" fillId="0" borderId="16" xfId="0" applyFont="1" applyBorder="1">
      <alignment horizontal="center" vertical="center" shrinkToFit="1"/>
    </xf>
    <xf numFmtId="0" fontId="18" fillId="0" borderId="15" xfId="0" applyFont="1" applyBorder="1">
      <alignment horizontal="center" vertical="center" shrinkToFit="1"/>
    </xf>
    <xf numFmtId="0" fontId="18" fillId="0" borderId="19" xfId="0" applyFont="1" applyBorder="1">
      <alignment horizontal="center" vertical="center" shrinkToFit="1"/>
    </xf>
    <xf numFmtId="0" fontId="19" fillId="0" borderId="12" xfId="0" applyFont="1" applyBorder="1">
      <alignment horizontal="center" vertical="center"/>
    </xf>
    <xf numFmtId="0" fontId="19" fillId="0" borderId="13" xfId="0" applyFont="1" applyBorder="1">
      <alignment horizontal="center" vertical="center"/>
    </xf>
    <xf numFmtId="0" fontId="19" fillId="0" borderId="14" xfId="0" applyFont="1" applyBorder="1">
      <alignment horizontal="center" vertical="center"/>
    </xf>
    <xf numFmtId="0" fontId="18" fillId="0" borderId="13" xfId="0" applyFont="1" applyBorder="1">
      <alignment horizontal="right" vertical="center"/>
    </xf>
    <xf numFmtId="0" fontId="18" fillId="0" borderId="14" xfId="0" applyFont="1" applyBorder="1">
      <alignment horizontal="right" vertical="center"/>
    </xf>
    <xf numFmtId="0" fontId="18" fillId="0" borderId="11" xfId="0" applyFont="1" applyBorder="1">
      <alignment horizontal="center" vertical="center" shrinkToFit="1"/>
    </xf>
    <xf numFmtId="0" fontId="18" fillId="0" borderId="20" xfId="0" applyFont="1" applyBorder="1">
      <alignment horizontal="center" vertical="center" shrinkToFit="1"/>
    </xf>
    <xf numFmtId="0" fontId="18" fillId="0" borderId="16" xfId="0" applyFont="1" applyBorder="1">
      <alignment vertical="center" shrinkToFit="1"/>
    </xf>
    <xf numFmtId="0" fontId="18" fillId="0" borderId="10" xfId="0" applyFont="1" applyBorder="1">
      <alignment vertical="center" shrinkToFit="1"/>
    </xf>
    <xf numFmtId="171" fontId="0" fillId="0" borderId="0" xfId="0" applyFont="1" applyNumberFormat="1"/>
    <xf numFmtId="171" fontId="0" fillId="0" borderId="0" xfId="0" applyFont="1" applyNumberFormat="1"/>
    <xf numFmtId="0" fontId="0" fillId="0" borderId="0" xfId="0" applyFont="1">
      <alignment wrapText="1"/>
    </xf>
    <xf numFmtId="171" fontId="0" fillId="0" borderId="0" xfId="0" applyFont="1" applyNumberFormat="1">
      <alignment wrapText="1"/>
    </xf>
    <xf numFmtId="0" fontId="19" fillId="0" borderId="12" xfId="0" applyFont="1" applyBorder="1">
      <alignment horizontal="center" vertical="center" wrapText="1"/>
    </xf>
    <xf numFmtId="0" fontId="19" fillId="0" borderId="13" xfId="0" applyFont="1" applyBorder="1">
      <alignment horizontal="center" vertical="center" wrapText="1"/>
    </xf>
    <xf numFmtId="0" fontId="19" fillId="0" borderId="14" xfId="0" applyFont="1" applyBorder="1">
      <alignment horizontal="center" vertical="center" wrapText="1"/>
    </xf>
    <xf numFmtId="0" fontId="18" fillId="0" borderId="12" xfId="0" applyFont="1" applyBorder="1">
      <alignment horizontal="left" vertical="center" wrapText="1"/>
    </xf>
    <xf numFmtId="0" fontId="18" fillId="0" borderId="13" xfId="0" applyFont="1" applyBorder="1">
      <alignment horizontal="left" vertical="center" wrapText="1"/>
    </xf>
    <xf numFmtId="0" fontId="18" fillId="0" borderId="13" xfId="0" applyFont="1" applyBorder="1">
      <alignment horizontal="right" vertical="center" wrapText="1"/>
    </xf>
    <xf numFmtId="0" fontId="18" fillId="0" borderId="13" xfId="0" applyFont="1" applyBorder="1">
      <alignment horizontal="left" vertical="center" wrapText="1"/>
    </xf>
    <xf numFmtId="0" fontId="18" fillId="0" borderId="13" xfId="0" applyFont="1" applyBorder="1">
      <alignment horizontal="left" vertical="center" wrapText="1"/>
    </xf>
    <xf numFmtId="0" fontId="18" fillId="0" borderId="13" xfId="0" applyFont="1" applyBorder="1">
      <alignment horizontal="right" vertical="center" wrapText="1"/>
    </xf>
    <xf numFmtId="0" fontId="18" fillId="0" borderId="13" xfId="0" applyFont="1" applyBorder="1">
      <alignment horizontal="left" vertical="center" wrapText="1"/>
    </xf>
    <xf numFmtId="0" fontId="18" fillId="0" borderId="14" xfId="0" applyFont="1" applyBorder="1">
      <alignment horizontal="right" vertical="center" wrapText="1"/>
    </xf>
    <xf numFmtId="0" fontId="18" fillId="0" borderId="10" xfId="0" applyFont="1" applyBorder="1">
      <alignment horizontal="center" vertical="center" wrapText="1" shrinkToFit="1"/>
    </xf>
    <xf numFmtId="0" fontId="18" fillId="0" borderId="20" xfId="0" applyFont="1" applyBorder="1">
      <alignment horizontal="center" vertical="center" wrapText="1" shrinkToFit="1"/>
    </xf>
    <xf numFmtId="0" fontId="18" fillId="0" borderId="16" xfId="0" applyFont="1" applyBorder="1">
      <alignment horizontal="center" vertical="center" wrapText="1" shrinkToFit="1"/>
    </xf>
    <xf numFmtId="0" fontId="18" fillId="0" borderId="16" xfId="0" applyFont="1" applyBorder="1">
      <alignment vertical="center" wrapText="1" shrinkToFit="1"/>
    </xf>
    <xf numFmtId="0" fontId="18" fillId="0" borderId="16" xfId="0" applyFont="1" applyBorder="1">
      <alignment horizontal="center" vertical="center" wrapText="1" shrinkToFit="1"/>
    </xf>
    <xf numFmtId="0" fontId="18" fillId="0" borderId="17" xfId="0" applyFont="1" applyBorder="1">
      <alignment horizontal="center" vertical="center" wrapText="1" shrinkToFit="1"/>
    </xf>
    <xf numFmtId="0" fontId="18" fillId="0" borderId="18" xfId="0" applyFont="1" applyBorder="1">
      <alignment horizontal="center" vertical="center" wrapText="1" shrinkToFit="1"/>
    </xf>
    <xf numFmtId="0" fontId="18" fillId="0" borderId="15" xfId="0" applyFont="1" applyBorder="1">
      <alignment horizontal="center" vertical="center" wrapText="1" shrinkToFit="1"/>
    </xf>
    <xf numFmtId="0" fontId="18" fillId="0" borderId="19" xfId="0" applyFont="1" applyBorder="1">
      <alignment horizontal="center" vertical="center" wrapText="1" shrinkToFit="1"/>
    </xf>
    <xf numFmtId="0" fontId="18" fillId="0" borderId="15" xfId="0" applyFont="1" applyBorder="1">
      <alignment horizontal="center" vertical="center" wrapText="1" shrinkToFit="1"/>
    </xf>
    <xf numFmtId="0" fontId="18" fillId="0" borderId="11" xfId="0" applyFont="1" applyBorder="1">
      <alignment horizontal="center" vertical="center" wrapText="1" shrinkToFit="1"/>
    </xf>
    <xf numFmtId="0" fontId="18" fillId="0" borderId="10" xfId="0" applyFont="1" applyBorder="1">
      <alignment vertical="center" wrapText="1" shrinkToFit="1"/>
    </xf>
    <xf numFmtId="0" fontId="18" fillId="0" borderId="12" xfId="0" applyFont="1" applyBorder="1">
      <alignment horizontal="center" vertical="center" wrapText="1" shrinkToFit="1"/>
    </xf>
    <xf numFmtId="0" fontId="18" fillId="0" borderId="11" xfId="0" applyFont="1" applyBorder="1">
      <alignment horizontal="center" vertical="center" wrapText="1" shrinkToFit="1"/>
    </xf>
    <xf numFmtId="0" fontId="18" fillId="0" borderId="10" xfId="0" applyFont="1" applyBorder="1">
      <alignment horizontal="center" vertical="center" wrapText="1" shrinkToFit="1"/>
    </xf>
    <xf numFmtId="0" fontId="18" fillId="0" borderId="14" xfId="0" applyFont="1" applyBorder="1">
      <alignment horizontal="center" vertical="center" wrapText="1" shrinkToFit="1"/>
    </xf>
    <xf numFmtId="0" fontId="18" fillId="0" borderId="11" xfId="0" applyFont="1" applyBorder="1">
      <alignment horizontal="left" vertical="center" wrapText="1"/>
    </xf>
    <xf numFmtId="0" fontId="18" fillId="0" borderId="14" xfId="0" applyFont="1" applyBorder="1">
      <alignment horizontal="center" vertical="center" wrapText="1"/>
    </xf>
    <xf numFmtId="172" fontId="18" fillId="33" borderId="11" xfId="0" applyFont="1" applyFill="1" applyBorder="1" applyNumberFormat="1">
      <alignment horizontal="center" vertical="center" wrapText="1"/>
    </xf>
    <xf numFmtId="172" fontId="18" fillId="33" borderId="10" xfId="0" applyFont="1" applyFill="1" applyBorder="1" applyNumberFormat="1">
      <alignment horizontal="center" vertical="center" wrapText="1"/>
    </xf>
    <xf numFmtId="0" fontId="18" fillId="33" borderId="11" xfId="0" applyFont="1" applyFill="1" applyBorder="1">
      <alignment horizontal="center" vertical="center" wrapText="1"/>
    </xf>
    <xf numFmtId="172" fontId="18" fillId="33" borderId="11" xfId="0" applyFont="1" applyFill="1" applyBorder="1" applyNumberFormat="1">
      <alignment horizontal="right" vertical="center" wrapText="1"/>
    </xf>
    <xf numFmtId="171" fontId="18" fillId="33" borderId="11" xfId="0" applyFont="1" applyFill="1" applyBorder="1" applyNumberFormat="1">
      <alignment horizontal="center" vertical="center" wrapText="1"/>
    </xf>
    <xf numFmtId="171" fontId="0" fillId="0" borderId="0" xfId="0" applyFont="1" applyNumberFormat="1">
      <alignment wrapText="1"/>
    </xf>
    <xf numFmtId="0" fontId="0" fillId="0" borderId="0" xfId="0" applyFont="1">
      <alignment wrapText="1"/>
    </xf>
    <xf numFmtId="0" fontId="18" fillId="0" borderId="11" xfId="0" applyFont="1" applyBorder="1">
      <alignment horizontal="left" vertical="center" wrapText="1"/>
    </xf>
    <xf numFmtId="0" fontId="18" fillId="0" borderId="11" xfId="0" applyFont="1" applyBorder="1">
      <alignment vertical="center" wrapText="1"/>
    </xf>
    <xf numFmtId="0" fontId="18" fillId="0" borderId="12" xfId="0" applyFont="1" applyBorder="1">
      <alignment vertical="center" wrapText="1"/>
    </xf>
    <xf numFmtId="171" fontId="18" fillId="33" borderId="11" xfId="0" applyFont="1" applyFill="1" applyBorder="1" applyNumberFormat="1">
      <alignment horizontal="center" vertical="center" wrapText="1"/>
    </xf>
    <xf numFmtId="0" fontId="18" fillId="0" borderId="11" xfId="0" applyFont="1" applyBorder="1">
      <alignment vertical="center" wrapText="1"/>
    </xf>
    <xf numFmtId="0" fontId="18" fillId="0" borderId="14" xfId="0" applyFont="1" applyBorder="1">
      <alignment horizontal="left" vertical="center" wrapText="1"/>
    </xf>
    <xf numFmtId="0" fontId="0" fillId="0" borderId="0" xfId="0" applyFont="1">
      <alignment vertical="center" wrapText="1" shrinkToFit="1"/>
    </xf>
    <xf numFmtId="0" fontId="18" fillId="0" borderId="11" xfId="0" applyFont="1" applyBorder="1">
      <alignment vertical="center" wrapText="1"/>
    </xf>
    <xf numFmtId="0" fontId="18" fillId="0" borderId="11" xfId="0" applyFont="1" applyBorder="1">
      <alignment horizontal="center" vertical="center" wrapText="1"/>
    </xf>
    <xf numFmtId="0" fontId="0" fillId="0" borderId="0" xfId="0" applyFont="1">
      <alignment wrapText="1" shrinkToFi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0A21D68-9903-DAB8-2F08-669851C4B8D3}" mc:Ignorable="x14ac xr xr2 xr3">
  <dimension ref="A1:Q29"/>
  <sheetViews>
    <sheetView defaultGridColor="0" colorId="31" showGridLines="0" workbookViewId="0" tabSelected="1">
      <pane xSplit="3" ySplit="5" topLeftCell="D6" activePane="bottomRight" state="frozen"/>
      <selection pane="bottomLeft" activeCell="A6" sqref="A6"/>
      <selection pane="topRight" activeCell="D1" sqref="D1"/>
      <selection pane="bottomRight" activeCell="M14" sqref="M14"/>
    </sheetView>
  </sheetViews>
  <sheetFormatPr customHeight="1" defaultRowHeight="14.002500000000003"/>
  <cols>
    <col min="1" max="1" width="2.57421875" customWidth="1"/>
    <col min="2" max="2" width="28.421875" customWidth="1"/>
    <col min="17" max="17" style="91" width="8.7109375" customWidth="1"/>
  </cols>
  <sheetData>
    <row customHeight="1" ht="2.25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3"/>
    </row>
    <row customHeight="1" ht="22.5">
      <c r="A2" s="92"/>
      <c r="B2" s="94" t="s">
        <v>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  <c r="P2" s="92"/>
      <c r="Q2" s="93"/>
    </row>
    <row customHeight="1" ht="14.25">
      <c r="A3" s="92"/>
      <c r="B3" s="97" t="s">
        <v>1</v>
      </c>
      <c r="C3" s="98"/>
      <c r="D3" s="99" t="s">
        <v>2</v>
      </c>
      <c r="E3" s="100" t="s">
        <v>3</v>
      </c>
      <c r="F3" s="101"/>
      <c r="G3" s="102" t="str">
        <f>半成品收拨取值!A27&amp;半成品收拨取值!B27&amp;半成品收拨取值!C27</f>
        <v>报表生成时间：2026-01-01 8:00:00</v>
      </c>
      <c r="H3" s="102"/>
      <c r="I3" s="102"/>
      <c r="J3" s="102"/>
      <c r="K3" s="102"/>
      <c r="L3" s="103"/>
      <c r="M3" s="102" t="s">
        <v>4</v>
      </c>
      <c r="N3" s="102"/>
      <c r="O3" s="104"/>
      <c r="P3" s="92"/>
      <c r="Q3" s="93"/>
    </row>
    <row customHeight="1" ht="14.25">
      <c r="A4" s="92"/>
      <c r="B4" s="105" t="s">
        <v>5</v>
      </c>
      <c r="C4" s="106" t="s">
        <v>6</v>
      </c>
      <c r="D4" s="107" t="s">
        <v>7</v>
      </c>
      <c r="E4" s="107" t="s">
        <v>8</v>
      </c>
      <c r="F4" s="108" t="s">
        <v>9</v>
      </c>
      <c r="G4" s="74" t="s">
        <v>10</v>
      </c>
      <c r="H4" s="110" t="s">
        <v>11</v>
      </c>
      <c r="I4" s="107" t="s">
        <v>12</v>
      </c>
      <c r="J4" s="111" t="s">
        <v>13</v>
      </c>
      <c r="K4" s="112"/>
      <c r="L4" s="113" t="s">
        <v>14</v>
      </c>
      <c r="M4" s="112"/>
      <c r="N4" s="114" t="s">
        <v>15</v>
      </c>
      <c r="O4" s="107" t="s">
        <v>16</v>
      </c>
      <c r="P4" s="92"/>
      <c r="Q4" s="93"/>
    </row>
    <row customHeight="1" ht="14.25">
      <c r="A5" s="92"/>
      <c r="B5" s="115"/>
      <c r="C5" s="112"/>
      <c r="D5" s="105"/>
      <c r="E5" s="105"/>
      <c r="F5" s="116"/>
      <c r="G5" s="105"/>
      <c r="H5" s="111"/>
      <c r="I5" s="105"/>
      <c r="J5" s="117" t="s">
        <v>17</v>
      </c>
      <c r="K5" s="118" t="s">
        <v>18</v>
      </c>
      <c r="L5" s="119" t="s">
        <v>19</v>
      </c>
      <c r="M5" s="119" t="s">
        <v>20</v>
      </c>
      <c r="N5" s="120" t="s">
        <v>21</v>
      </c>
      <c r="O5" s="105"/>
      <c r="P5" s="92"/>
      <c r="Q5" s="93"/>
    </row>
    <row customHeight="1" ht="14.25">
      <c r="A6" s="92"/>
      <c r="B6" s="121" t="s">
        <v>22</v>
      </c>
      <c r="C6" s="122"/>
      <c r="D6" s="123"/>
      <c r="E6" s="123"/>
      <c r="F6" s="123"/>
      <c r="G6" s="123"/>
      <c r="H6" s="123"/>
      <c r="I6" s="123"/>
      <c r="J6" s="123"/>
      <c r="K6" s="123"/>
      <c r="L6" s="124"/>
      <c r="M6" s="124"/>
      <c r="N6" s="125"/>
      <c r="O6" s="123"/>
      <c r="P6" s="92"/>
      <c r="Q6" s="93"/>
    </row>
    <row customHeight="1" ht="14.25">
      <c r="A7" s="92"/>
      <c r="B7" s="121" t="s">
        <v>23</v>
      </c>
      <c r="C7" s="122" t="s">
        <v>24</v>
      </c>
      <c r="D7" s="126">
        <f>半成品收拨取值!C4</f>
        <v>7277</v>
      </c>
      <c r="E7" s="126">
        <f>半成品收拨取值!D4</f>
        <v>0</v>
      </c>
      <c r="F7" s="126">
        <f>半成品收拨取值!E4</f>
        <v>1849</v>
      </c>
      <c r="G7" s="126">
        <f>半成品收拨取值!G4</f>
        <v>1777</v>
      </c>
      <c r="H7" s="126">
        <f>半成品收拨取值!H4</f>
        <v>0</v>
      </c>
      <c r="I7" s="126">
        <f>半成品收拨取值!J4</f>
        <v>0</v>
      </c>
      <c r="J7" s="126">
        <f>半成品收拨取值!K4</f>
        <v>0</v>
      </c>
      <c r="K7" s="126">
        <f>半成品收拨取值!L4</f>
        <v>0</v>
      </c>
      <c r="L7" s="126">
        <f>半成品收拨取值!M4</f>
        <v>0</v>
      </c>
      <c r="M7" s="126">
        <f>半成品收拨取值!N4</f>
        <v>0</v>
      </c>
      <c r="N7" s="127">
        <f>_xlfn.IFERROR(SUM(O7,M7,K7,I7,H7,G7)-SUM(D7,E7,F7,J7,L7),0)</f>
        <v>61</v>
      </c>
      <c r="O7" s="126">
        <f>半成品收拨取值!P4</f>
        <v>7410</v>
      </c>
      <c r="P7" s="92">
        <f>_xlfn.IFERROR(SUM(D7,E7,F7,J7,L7,N7)-SUM(M7,K7,I7,H7,G7),0)</f>
        <v>7410</v>
      </c>
      <c r="Q7" s="128">
        <f>P7-O7</f>
        <v>0</v>
      </c>
    </row>
    <row customHeight="1" ht="15.75">
      <c r="A8" s="92"/>
      <c r="B8" s="121" t="s">
        <v>25</v>
      </c>
      <c r="C8" s="122" t="s">
        <v>24</v>
      </c>
      <c r="D8" s="126">
        <f>半成品收拨取值!C5</f>
        <v>0</v>
      </c>
      <c r="E8" s="126">
        <f>半成品收拨取值!D5</f>
        <v>0</v>
      </c>
      <c r="F8" s="126">
        <f>半成品收拨取值!E5</f>
        <v>187561</v>
      </c>
      <c r="G8" s="126">
        <f>半成品收拨取值!G5</f>
        <v>187561</v>
      </c>
      <c r="H8" s="126">
        <f>半成品收拨取值!H5</f>
        <v>0</v>
      </c>
      <c r="I8" s="126">
        <f>半成品收拨取值!J5</f>
        <v>0</v>
      </c>
      <c r="J8" s="126">
        <f>半成品收拨取值!K5</f>
        <v>0</v>
      </c>
      <c r="K8" s="126">
        <f>半成品收拨取值!L5</f>
        <v>0</v>
      </c>
      <c r="L8" s="126">
        <f>半成品收拨取值!M5</f>
        <v>0</v>
      </c>
      <c r="M8" s="126">
        <f>半成品收拨取值!N5</f>
        <v>0</v>
      </c>
      <c r="N8" s="127">
        <f>_xlfn.IFERROR(SUM(O8,M8,K8,I8,H8,G8)-SUM(D8,E8,F8,J8,L8),0)</f>
        <v>0</v>
      </c>
      <c r="O8" s="126">
        <f>半成品收拨取值!P5</f>
        <v>0</v>
      </c>
      <c r="P8" s="129">
        <f>_xlfn.IFERROR(SUM(D8,E8,F8,J8,L8,N8)-SUM(M8,K8,I8,H8,G8),0)</f>
        <v>0</v>
      </c>
      <c r="Q8" s="128">
        <f>P8-O8</f>
        <v>0</v>
      </c>
    </row>
    <row customHeight="1" ht="14.25">
      <c r="A9" s="92"/>
      <c r="B9" s="130" t="s">
        <v>26</v>
      </c>
      <c r="C9" s="122" t="s">
        <v>24</v>
      </c>
      <c r="D9" s="126">
        <f>半成品收拨取值!C6</f>
        <v>0</v>
      </c>
      <c r="E9" s="126">
        <f>半成品收拨取值!D6</f>
        <v>0</v>
      </c>
      <c r="F9" s="126">
        <f>半成品收拨取值!E6</f>
        <v>121561</v>
      </c>
      <c r="G9" s="126">
        <f>半成品收拨取值!G6</f>
        <v>0</v>
      </c>
      <c r="H9" s="126">
        <f>半成品收拨取值!H6</f>
        <v>0</v>
      </c>
      <c r="I9" s="126">
        <f>半成品收拨取值!J6</f>
        <v>0</v>
      </c>
      <c r="J9" s="126">
        <f>半成品收拨取值!K6</f>
        <v>0</v>
      </c>
      <c r="K9" s="126">
        <f>半成品收拨取值!L6</f>
        <v>0</v>
      </c>
      <c r="L9" s="126">
        <f>半成品收拨取值!M6</f>
        <v>0</v>
      </c>
      <c r="M9" s="126">
        <f>半成品收拨取值!N6</f>
        <v>121561</v>
      </c>
      <c r="N9" s="127"/>
      <c r="O9" s="126">
        <f>半成品收拨取值!P6</f>
        <v>0</v>
      </c>
      <c r="P9" s="92"/>
      <c r="Q9" s="93"/>
    </row>
    <row customHeight="1" ht="14.25">
      <c r="A10" s="92"/>
      <c r="B10" s="130" t="s">
        <v>27</v>
      </c>
      <c r="C10" s="122" t="s">
        <v>24</v>
      </c>
      <c r="D10" s="126">
        <f>半成品收拨取值!C7</f>
        <v>0</v>
      </c>
      <c r="E10" s="126">
        <f>半成品收拨取值!D7</f>
        <v>0</v>
      </c>
      <c r="F10" s="126">
        <f>半成品收拨取值!E7</f>
        <v>74643</v>
      </c>
      <c r="G10" s="126">
        <f>半成品收拨取值!G7</f>
        <v>0</v>
      </c>
      <c r="H10" s="126">
        <f>半成品收拨取值!H7</f>
        <v>0</v>
      </c>
      <c r="I10" s="126">
        <f>半成品收拨取值!J7</f>
        <v>0</v>
      </c>
      <c r="J10" s="126">
        <f>半成品收拨取值!K7</f>
        <v>0</v>
      </c>
      <c r="K10" s="126">
        <f>半成品收拨取值!L7</f>
        <v>0</v>
      </c>
      <c r="L10" s="126">
        <f>半成品收拨取值!M7</f>
        <v>0</v>
      </c>
      <c r="M10" s="126">
        <f>半成品收拨取值!N7</f>
        <v>74643</v>
      </c>
      <c r="N10" s="127"/>
      <c r="O10" s="126">
        <f>半成品收拨取值!P7</f>
        <v>0</v>
      </c>
      <c r="P10" s="92"/>
      <c r="Q10" s="93"/>
    </row>
    <row customHeight="1" ht="14.25">
      <c r="A11" s="92"/>
      <c r="B11" s="121" t="s">
        <v>28</v>
      </c>
      <c r="C11" s="122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7"/>
      <c r="O11" s="126"/>
      <c r="P11" s="92"/>
      <c r="Q11" s="93"/>
    </row>
    <row customHeight="1" ht="14.25">
      <c r="A12" s="92"/>
      <c r="B12" s="131" t="s">
        <v>29</v>
      </c>
      <c r="C12" s="122" t="s">
        <v>24</v>
      </c>
      <c r="D12" s="126">
        <f>半成品收拨取值!C9</f>
        <v>0</v>
      </c>
      <c r="E12" s="126">
        <f>半成品收拨取值!D9</f>
        <v>0</v>
      </c>
      <c r="F12" s="126"/>
      <c r="G12" s="126">
        <f>半成品收拨取值!G9</f>
        <v>110180</v>
      </c>
      <c r="H12" s="126">
        <f>半成品收拨取值!H9</f>
        <v>0</v>
      </c>
      <c r="I12" s="126"/>
      <c r="J12" s="126">
        <f>半成品收拨取值!K9</f>
        <v>54059</v>
      </c>
      <c r="K12" s="126">
        <f>半成品收拨取值!L9</f>
        <v>0</v>
      </c>
      <c r="L12" s="126">
        <f>半成品收拨取值!M9</f>
        <v>65158</v>
      </c>
      <c r="M12" s="126"/>
      <c r="N12" s="127">
        <f>_xlfn.IFERROR(SUM(O12,M12,K12,I12,H12,G12)-SUM(D12,E12,F12,J12,L12),0)</f>
        <v>-8316</v>
      </c>
      <c r="O12" s="126">
        <f>半成品收拨取值!P10</f>
        <v>721</v>
      </c>
      <c r="P12" s="129">
        <f>_xlfn.IFERROR(SUM(D12,E12,F12,J12,L12,N12)-SUM(M12,K12,I12,H12,G12),0)</f>
        <v>721</v>
      </c>
      <c r="Q12" s="128">
        <f>P12-O12</f>
        <v>0</v>
      </c>
    </row>
    <row customHeight="1" ht="14.25">
      <c r="A13" s="92"/>
      <c r="B13" s="132" t="s">
        <v>30</v>
      </c>
      <c r="C13" s="122" t="s">
        <v>24</v>
      </c>
      <c r="D13" s="126"/>
      <c r="E13" s="126"/>
      <c r="F13" s="126">
        <f>半成品收拨取值!E10</f>
        <v>69265</v>
      </c>
      <c r="G13" s="126"/>
      <c r="H13" s="126"/>
      <c r="I13" s="126">
        <f>半成品收拨取值!J10</f>
        <v>4107</v>
      </c>
      <c r="J13" s="126"/>
      <c r="K13" s="126"/>
      <c r="L13" s="126"/>
      <c r="M13" s="126">
        <f>L12</f>
        <v>65158</v>
      </c>
      <c r="N13" s="133">
        <f>_xlfn.IFERROR(SUM(O13,M13,K13,I13,H13,G13)-SUM(D13,E13,F13,J13,L13),0)</f>
        <v>0</v>
      </c>
      <c r="O13" s="126"/>
      <c r="P13" s="129">
        <f>_xlfn.IFERROR(SUM(D13,E13,F13,J13,L13,N13)-SUM(M13,K13,I13,H13,G13),0)</f>
        <v>0</v>
      </c>
      <c r="Q13" s="93"/>
    </row>
    <row customHeight="1" ht="14.25">
      <c r="A14" s="92"/>
      <c r="B14" s="134" t="s">
        <v>31</v>
      </c>
      <c r="C14" s="122" t="s">
        <v>24</v>
      </c>
      <c r="D14" s="126">
        <f>半成品收拨取值!C11</f>
        <v>996</v>
      </c>
      <c r="E14" s="126">
        <f>半成品收拨取值!D11</f>
        <v>0</v>
      </c>
      <c r="F14" s="126">
        <f>半成品收拨取值!E11</f>
        <v>81368</v>
      </c>
      <c r="G14" s="126">
        <f>半成品收拨取值!G11</f>
        <v>85819</v>
      </c>
      <c r="H14" s="126">
        <f>半成品收拨取值!H11</f>
        <v>0</v>
      </c>
      <c r="I14" s="126">
        <f>半成品收拨取值!J11</f>
        <v>6451</v>
      </c>
      <c r="J14" s="126">
        <f>半成品收拨取值!K11</f>
        <v>30403</v>
      </c>
      <c r="K14" s="126">
        <f>半成品收拨取值!L11</f>
        <v>20852</v>
      </c>
      <c r="L14" s="126">
        <f>半成品收拨取值!M11</f>
        <v>0</v>
      </c>
      <c r="M14" s="126">
        <f>半成品收拨取值!N11</f>
        <v>800</v>
      </c>
      <c r="N14" s="127">
        <f>_xlfn.IFERROR(SUM(O14,M14,K14,I14,H14,G14)-SUM(D14,E14,F14,J14,L14),0)</f>
        <v>2189</v>
      </c>
      <c r="O14" s="126">
        <f>半成品收拨取值!P11</f>
        <v>1034</v>
      </c>
      <c r="P14" s="129">
        <f>_xlfn.IFERROR(SUM(D14,E14,F14,J14,L14,N14)-SUM(M14,K14,I14,H14,G14),0)</f>
        <v>1034</v>
      </c>
      <c r="Q14" s="128">
        <f>P14-O14</f>
        <v>0</v>
      </c>
    </row>
    <row customHeight="1" ht="14.25">
      <c r="A15" s="92"/>
      <c r="B15" s="134" t="s">
        <v>32</v>
      </c>
      <c r="C15" s="122" t="s">
        <v>24</v>
      </c>
      <c r="D15" s="126">
        <f>半成品收拨取值!C12</f>
        <v>1095</v>
      </c>
      <c r="E15" s="126">
        <f>半成品收拨取值!D12</f>
        <v>0</v>
      </c>
      <c r="F15" s="126">
        <f>半成品收拨取值!E12</f>
        <v>558139</v>
      </c>
      <c r="G15" s="126">
        <f>半成品收拨取值!G12</f>
        <v>565774</v>
      </c>
      <c r="H15" s="126">
        <f>半成品收拨取值!H12</f>
        <v>0</v>
      </c>
      <c r="I15" s="126">
        <f>半成品收拨取值!J12</f>
        <v>0</v>
      </c>
      <c r="J15" s="126">
        <f>半成品收拨取值!K12</f>
        <v>74611</v>
      </c>
      <c r="K15" s="126">
        <f>半成品收拨取值!L12</f>
        <v>68876</v>
      </c>
      <c r="L15" s="126">
        <f>半成品收拨取值!M12</f>
        <v>4343</v>
      </c>
      <c r="M15" s="126">
        <f>半成品收拨取值!N12</f>
        <v>3010</v>
      </c>
      <c r="N15" s="127">
        <f>_xlfn.IFERROR(SUM(O15,M15,K15,I15,H15,G15)-SUM(D15,E15,F15,J15,L15),0)</f>
        <v>602</v>
      </c>
      <c r="O15" s="126">
        <f>半成品收拨取值!P12</f>
        <v>1130</v>
      </c>
      <c r="P15" s="129">
        <f>_xlfn.IFERROR(SUM(D15,E15,F15,J15,L15,N15)-SUM(M15,K15,I15,H15,G15),0)</f>
        <v>1130</v>
      </c>
      <c r="Q15" s="128">
        <f>P15-O15</f>
        <v>0</v>
      </c>
    </row>
    <row customHeight="1" ht="14.25">
      <c r="A16" s="92"/>
      <c r="B16" s="121" t="s">
        <v>33</v>
      </c>
      <c r="C16" s="122" t="s">
        <v>24</v>
      </c>
      <c r="D16" s="126">
        <f>半成品收拨取值!C13</f>
        <v>2202</v>
      </c>
      <c r="E16" s="126">
        <f>半成品收拨取值!D13</f>
        <v>0</v>
      </c>
      <c r="F16" s="126">
        <f>半成品收拨取值!E13</f>
        <v>656868</v>
      </c>
      <c r="G16" s="126">
        <f>半成品收拨取值!G13</f>
        <v>662215</v>
      </c>
      <c r="H16" s="126">
        <f>半成品收拨取值!H13</f>
        <v>0</v>
      </c>
      <c r="I16" s="126">
        <f>半成品收拨取值!J13</f>
        <v>0</v>
      </c>
      <c r="J16" s="126">
        <f>半成品收拨取值!K13</f>
        <v>0</v>
      </c>
      <c r="K16" s="126">
        <f>半成品收拨取值!L13</f>
        <v>0</v>
      </c>
      <c r="L16" s="126">
        <f>半成品收拨取值!M13</f>
        <v>5830</v>
      </c>
      <c r="M16" s="126">
        <f>半成品收拨取值!N13</f>
        <v>0</v>
      </c>
      <c r="N16" s="127">
        <f>_xlfn.IFERROR(SUM(O16,M16,K16,I16,H16,G16)-SUM(D16,E16,F16,J16,L16),0)</f>
        <v>-349</v>
      </c>
      <c r="O16" s="126">
        <f>半成品收拨取值!P13</f>
        <v>2336</v>
      </c>
      <c r="P16" s="129">
        <f>_xlfn.IFERROR(SUM(D16,E16,F16,J16,L16,N16)-SUM(M16,K16,I16,H16,G16),0)</f>
        <v>2336</v>
      </c>
      <c r="Q16" s="128">
        <f>P16-O16</f>
        <v>0</v>
      </c>
    </row>
    <row customHeight="1" ht="15.75">
      <c r="A17" s="92"/>
      <c r="B17" s="134" t="s">
        <v>34</v>
      </c>
      <c r="C17" s="122" t="s">
        <v>24</v>
      </c>
      <c r="D17" s="126">
        <f>半成品收拨取值!C14</f>
        <v>437</v>
      </c>
      <c r="E17" s="126">
        <f>半成品收拨取值!D14</f>
        <v>0</v>
      </c>
      <c r="F17" s="126">
        <f>半成品收拨取值!E14</f>
        <v>385084</v>
      </c>
      <c r="G17" s="126">
        <f>半成品收拨取值!G14</f>
        <v>382615</v>
      </c>
      <c r="H17" s="126">
        <f>半成品收拨取值!H14</f>
        <v>0</v>
      </c>
      <c r="I17" s="126">
        <f>半成品收拨取值!J14</f>
        <v>0</v>
      </c>
      <c r="J17" s="126">
        <f>半成品收拨取值!K14</f>
        <v>0</v>
      </c>
      <c r="K17" s="126">
        <f>半成品收拨取值!L14</f>
        <v>14274</v>
      </c>
      <c r="L17" s="126">
        <f>半成品收拨取值!M14</f>
        <v>3110</v>
      </c>
      <c r="M17" s="126">
        <f>半成品收拨取值!N14</f>
        <v>843</v>
      </c>
      <c r="N17" s="127">
        <f>_xlfn.IFERROR(SUM(O17,M17,K17,I17,H17,G17)-SUM(D17,E17,F17,J17,L17),0)</f>
        <v>9995</v>
      </c>
      <c r="O17" s="126">
        <f>半成品收拨取值!P14</f>
        <v>894</v>
      </c>
      <c r="P17" s="129">
        <f>_xlfn.IFERROR(SUM(D17,E17,F17,J17,L17,N17)-SUM(M17,K17,I17,H17,G17),0)</f>
        <v>894</v>
      </c>
      <c r="Q17" s="128">
        <f>P17-O17</f>
        <v>0</v>
      </c>
    </row>
    <row customHeight="1" ht="14.25">
      <c r="A18" s="92"/>
      <c r="B18" s="134" t="s">
        <v>35</v>
      </c>
      <c r="C18" s="122" t="s">
        <v>24</v>
      </c>
      <c r="D18" s="126">
        <f>半成品收拨取值!C15</f>
        <v>613</v>
      </c>
      <c r="E18" s="126">
        <f>半成品收拨取值!D15</f>
        <v>0</v>
      </c>
      <c r="F18" s="126">
        <f>半成品收拨取值!E15</f>
        <v>61856</v>
      </c>
      <c r="G18" s="126">
        <f>半成品收拨取值!G15</f>
        <v>132805</v>
      </c>
      <c r="H18" s="126">
        <f>半成品收拨取值!H15</f>
        <v>0</v>
      </c>
      <c r="I18" s="126">
        <f>半成品收拨取值!J15</f>
        <v>0</v>
      </c>
      <c r="J18" s="126">
        <f>半成品收拨取值!K15</f>
        <v>0</v>
      </c>
      <c r="K18" s="126">
        <f>半成品收拨取值!L15</f>
        <v>2999</v>
      </c>
      <c r="L18" s="126">
        <f>半成品收拨取值!M15</f>
        <v>74490.86</v>
      </c>
      <c r="M18" s="126">
        <f>半成品收拨取值!N15</f>
        <v>0</v>
      </c>
      <c r="N18" s="127">
        <f>_xlfn.IFERROR(SUM(O18,M18,K18,I18,H18,G18)-SUM(D18,E18,F18,J18,L18),0)</f>
        <v>-599.859999999986</v>
      </c>
      <c r="O18" s="126">
        <f>半成品收拨取值!P15</f>
        <v>556</v>
      </c>
      <c r="P18" s="129">
        <f>_xlfn.IFERROR(SUM(D18,E18,F18,J18,L18,N18)-SUM(M18,K18,I18,H18,G18),0)</f>
        <v>556</v>
      </c>
      <c r="Q18" s="128">
        <f>P18-O18</f>
        <v>0</v>
      </c>
    </row>
    <row customHeight="1" ht="14.25">
      <c r="A19" s="92"/>
      <c r="B19" s="134" t="s">
        <v>36</v>
      </c>
      <c r="C19" s="122" t="s">
        <v>24</v>
      </c>
      <c r="D19" s="126">
        <f>半成品收拨取值!C16</f>
        <v>244</v>
      </c>
      <c r="E19" s="126">
        <f>半成品收拨取值!D16</f>
        <v>0</v>
      </c>
      <c r="F19" s="126">
        <f>半成品收拨取值!E16</f>
        <v>288599</v>
      </c>
      <c r="G19" s="126">
        <f>半成品收拨取值!G16</f>
        <v>286232</v>
      </c>
      <c r="H19" s="126">
        <f>半成品收拨取值!H16</f>
        <v>0</v>
      </c>
      <c r="I19" s="126">
        <f>半成品收拨取值!J16</f>
        <v>0</v>
      </c>
      <c r="J19" s="126">
        <f>半成品收拨取值!K16</f>
        <v>0</v>
      </c>
      <c r="K19" s="126">
        <f>半成品收拨取值!L16</f>
        <v>0</v>
      </c>
      <c r="L19" s="126">
        <f>半成品收拨取值!M16</f>
        <v>0</v>
      </c>
      <c r="M19" s="126">
        <f>半成品收拨取值!N16</f>
        <v>0</v>
      </c>
      <c r="N19" s="127">
        <f>_xlfn.IFERROR(SUM(O19,M19,K19,I19,H19,G19)-SUM(D19,E19,F19,J19,L19),0)</f>
        <v>-2279</v>
      </c>
      <c r="O19" s="126">
        <f>半成品收拨取值!P16</f>
        <v>332</v>
      </c>
      <c r="P19" s="129">
        <f>_xlfn.IFERROR(SUM(D19,E19,F19,J19,L19,N19)-SUM(M19,K19,I19,H19,G19),0)</f>
        <v>332</v>
      </c>
      <c r="Q19" s="128">
        <f>P19-O19</f>
        <v>0</v>
      </c>
    </row>
    <row customHeight="1" ht="14.25">
      <c r="A20" s="92"/>
      <c r="B20" s="134" t="s">
        <v>37</v>
      </c>
      <c r="C20" s="122" t="s">
        <v>24</v>
      </c>
      <c r="D20" s="126">
        <f>半成品收拨取值!C17</f>
        <v>0</v>
      </c>
      <c r="E20" s="126">
        <f>半成品收拨取值!D17</f>
        <v>0</v>
      </c>
      <c r="F20" s="126">
        <f>半成品收拨取值!E17</f>
        <v>66081</v>
      </c>
      <c r="G20" s="126">
        <f>半成品收拨取值!G17</f>
        <v>66081</v>
      </c>
      <c r="H20" s="126">
        <f>半成品收拨取值!H17</f>
        <v>0</v>
      </c>
      <c r="I20" s="126">
        <f>半成品收拨取值!J17</f>
        <v>0</v>
      </c>
      <c r="J20" s="126">
        <f>半成品收拨取值!K17</f>
        <v>0</v>
      </c>
      <c r="K20" s="126">
        <f>半成品收拨取值!L17</f>
        <v>0</v>
      </c>
      <c r="L20" s="126">
        <f>半成品收拨取值!M17</f>
        <v>0</v>
      </c>
      <c r="M20" s="126">
        <f>半成品收拨取值!N17</f>
        <v>0</v>
      </c>
      <c r="N20" s="127"/>
      <c r="O20" s="126">
        <f>半成品收拨取值!P17</f>
        <v>0</v>
      </c>
      <c r="P20" s="129">
        <f>_xlfn.IFERROR(SUM(D20,E20,F20,J20,L20,N20)-SUM(M20,K20,I20,H20,G20),0)</f>
        <v>0</v>
      </c>
      <c r="Q20" s="93"/>
    </row>
    <row customHeight="1" ht="14.25">
      <c r="A21" s="92"/>
      <c r="B21" s="121" t="s">
        <v>38</v>
      </c>
      <c r="C21" s="122" t="s">
        <v>24</v>
      </c>
      <c r="D21" s="126">
        <f>半成品收拨取值!C18</f>
        <v>2301</v>
      </c>
      <c r="E21" s="126">
        <f>半成品收拨取值!D18</f>
        <v>0</v>
      </c>
      <c r="F21" s="126">
        <f>半成品收拨取值!E18</f>
        <v>283477</v>
      </c>
      <c r="G21" s="126">
        <f>半成品收拨取值!G18</f>
        <v>224400</v>
      </c>
      <c r="H21" s="126">
        <f>半成品收拨取值!H18</f>
        <v>0</v>
      </c>
      <c r="I21" s="126">
        <f>半成品收拨取值!J18</f>
        <v>0</v>
      </c>
      <c r="J21" s="126">
        <f>半成品收拨取值!K18</f>
        <v>0</v>
      </c>
      <c r="K21" s="126">
        <f>半成品收拨取值!L18</f>
        <v>53588</v>
      </c>
      <c r="L21" s="126">
        <f>半成品收拨取值!M18</f>
        <v>0</v>
      </c>
      <c r="M21" s="126">
        <f>半成品收拨取值!N18</f>
        <v>5830</v>
      </c>
      <c r="N21" s="127">
        <f>_xlfn.IFERROR(SUM(O21,M21,K21,I21,H21,G21)-SUM(D21,E21,F21,J21,L21),0)</f>
        <v>17</v>
      </c>
      <c r="O21" s="126">
        <f>半成品收拨取值!P18</f>
        <v>1977</v>
      </c>
      <c r="P21" s="129">
        <f>_xlfn.IFERROR(SUM(D21,E21,F21,J21,L21,N21)-SUM(M21,K21,I21,H21,G21),0)</f>
        <v>1977</v>
      </c>
      <c r="Q21" s="128">
        <f>P21-O21</f>
        <v>0</v>
      </c>
    </row>
    <row customHeight="1" ht="14.25">
      <c r="A22" s="92"/>
      <c r="B22" s="121" t="s">
        <v>39</v>
      </c>
      <c r="C22" s="122" t="s">
        <v>24</v>
      </c>
      <c r="D22" s="126">
        <f>半成品收拨取值!C19</f>
        <v>0</v>
      </c>
      <c r="E22" s="126">
        <f>半成品收拨取值!D19</f>
        <v>0</v>
      </c>
      <c r="F22" s="126">
        <f>半成品收拨取值!E19</f>
        <v>3393</v>
      </c>
      <c r="G22" s="126">
        <f>半成品收拨取值!G19</f>
        <v>3194</v>
      </c>
      <c r="H22" s="126">
        <f>半成品收拨取值!H19</f>
        <v>0</v>
      </c>
      <c r="I22" s="126">
        <f>半成品收拨取值!J19</f>
        <v>0</v>
      </c>
      <c r="J22" s="126">
        <f>半成品收拨取值!K19</f>
        <v>0</v>
      </c>
      <c r="K22" s="126">
        <f>半成品收拨取值!L19</f>
        <v>0</v>
      </c>
      <c r="L22" s="126">
        <f>半成品收拨取值!M19</f>
        <v>0</v>
      </c>
      <c r="M22" s="126">
        <f>半成品收拨取值!N19</f>
        <v>0</v>
      </c>
      <c r="N22" s="127">
        <f>_xlfn.IFERROR(SUM(O22,M22,K22,I22,H22,G22)-SUM(D22,E22,F22,J22,L22),0)</f>
        <v>-199</v>
      </c>
      <c r="O22" s="126">
        <f>半成品收拨取值!P19</f>
        <v>0</v>
      </c>
      <c r="P22" s="129">
        <f>_xlfn.IFERROR(SUM(D22,E22,F22,J22,L22,N22)-SUM(M22,K22,I22,H22,G22),0)</f>
        <v>0</v>
      </c>
      <c r="Q22" s="128">
        <f>P22-O22</f>
        <v>0</v>
      </c>
    </row>
    <row customHeight="1" ht="14.25">
      <c r="A23" s="92"/>
      <c r="B23" s="121" t="s">
        <v>40</v>
      </c>
      <c r="C23" s="122"/>
      <c r="D23" s="126">
        <f>半成品收拨取值!C20</f>
        <v>0</v>
      </c>
      <c r="E23" s="126">
        <f>半成品收拨取值!D20</f>
        <v>0</v>
      </c>
      <c r="F23" s="126">
        <f>半成品收拨取值!E20</f>
        <v>0</v>
      </c>
      <c r="G23" s="126">
        <f>半成品收拨取值!G20</f>
        <v>0</v>
      </c>
      <c r="H23" s="126">
        <f>半成品收拨取值!H20</f>
        <v>0</v>
      </c>
      <c r="I23" s="126">
        <f>半成品收拨取值!J20</f>
        <v>0</v>
      </c>
      <c r="J23" s="126">
        <f>半成品收拨取值!K20</f>
        <v>0</v>
      </c>
      <c r="K23" s="126">
        <f>半成品收拨取值!L20</f>
        <v>0</v>
      </c>
      <c r="L23" s="126">
        <f>半成品收拨取值!M20</f>
        <v>0</v>
      </c>
      <c r="M23" s="126">
        <f>半成品收拨取值!N20</f>
        <v>0</v>
      </c>
      <c r="N23" s="127"/>
      <c r="O23" s="126">
        <f>半成品收拨取值!P20</f>
        <v>0</v>
      </c>
      <c r="P23" s="129">
        <f>_xlfn.IFERROR(SUM(D23,E23,F23,J23,L23,N23)-SUM(M23,K23,I23,H23,G23),0)</f>
        <v>0</v>
      </c>
      <c r="Q23" s="93"/>
    </row>
    <row customHeight="1" ht="15.75">
      <c r="A24" s="92"/>
      <c r="B24" s="121" t="s">
        <v>41</v>
      </c>
      <c r="C24" s="122" t="s">
        <v>24</v>
      </c>
      <c r="D24" s="126">
        <f>半成品收拨取值!C21</f>
        <v>0</v>
      </c>
      <c r="E24" s="126">
        <f>半成品收拨取值!D21</f>
        <v>0</v>
      </c>
      <c r="F24" s="126">
        <f>半成品收拨取值!E21</f>
        <v>854</v>
      </c>
      <c r="G24" s="126">
        <f>半成品收拨取值!G21</f>
        <v>0</v>
      </c>
      <c r="H24" s="126">
        <f>半成品收拨取值!H21</f>
        <v>0</v>
      </c>
      <c r="I24" s="126">
        <f>半成品收拨取值!J21</f>
        <v>0</v>
      </c>
      <c r="J24" s="126">
        <f>半成品收拨取值!K21</f>
        <v>0</v>
      </c>
      <c r="K24" s="126">
        <f>半成品收拨取值!L21</f>
        <v>0</v>
      </c>
      <c r="L24" s="126">
        <f>半成品收拨取值!M21</f>
        <v>0</v>
      </c>
      <c r="M24" s="126">
        <f>半成品收拨取值!N21</f>
        <v>854</v>
      </c>
      <c r="N24" s="127">
        <f>_xlfn.IFERROR(SUM(O24,M24,K24,I24,H24,G24)-SUM(D24,E24,F24,J24,L24),0)</f>
        <v>0</v>
      </c>
      <c r="O24" s="126">
        <f>半成品收拨取值!P21</f>
        <v>0</v>
      </c>
      <c r="P24" s="129">
        <f>_xlfn.IFERROR(SUM(D24,E24,F24,J24,L24,N24)-SUM(M24,K24,I24,H24,G24),0)</f>
        <v>0</v>
      </c>
      <c r="Q24" s="128">
        <f>P24-O24</f>
        <v>0</v>
      </c>
    </row>
    <row customHeight="1" ht="14.25">
      <c r="A25" s="92"/>
      <c r="B25" s="121" t="s">
        <v>42</v>
      </c>
      <c r="C25" s="122" t="s">
        <v>24</v>
      </c>
      <c r="D25" s="126">
        <f>半成品收拨取值!C22</f>
        <v>0</v>
      </c>
      <c r="E25" s="126">
        <f>半成品收拨取值!D22</f>
        <v>0</v>
      </c>
      <c r="F25" s="126">
        <f>半成品收拨取值!E22</f>
        <v>2533.8</v>
      </c>
      <c r="G25" s="126">
        <f>半成品收拨取值!G22</f>
        <v>0</v>
      </c>
      <c r="H25" s="126">
        <f>半成品收拨取值!H22</f>
        <v>0</v>
      </c>
      <c r="I25" s="126">
        <f>半成品收拨取值!J22</f>
        <v>0</v>
      </c>
      <c r="J25" s="126">
        <f>半成品收拨取值!K22</f>
        <v>0</v>
      </c>
      <c r="K25" s="126">
        <f>半成品收拨取值!L22</f>
        <v>0</v>
      </c>
      <c r="L25" s="126">
        <f>半成品收拨取值!M22</f>
        <v>0</v>
      </c>
      <c r="M25" s="126">
        <f>半成品收拨取值!N22</f>
        <v>2534</v>
      </c>
      <c r="N25" s="127">
        <f>_xlfn.IFERROR(SUM(O25,M25,K25,I25,H25,G25)-SUM(D25,E25,F25,J25,L25),0)</f>
        <v>0.199999999999818</v>
      </c>
      <c r="O25" s="126">
        <f>半成品收拨取值!P22</f>
        <v>0</v>
      </c>
      <c r="P25" s="129">
        <f>_xlfn.IFERROR(SUM(D25,E25,F25,J25,L25,N25)-SUM(M25,K25,I25,H25,G25),0)</f>
        <v>0</v>
      </c>
      <c r="Q25" s="128">
        <f>P25-O25</f>
        <v>0</v>
      </c>
    </row>
    <row customHeight="1" ht="14.25">
      <c r="A26" s="92"/>
      <c r="B26" s="121" t="s">
        <v>43</v>
      </c>
      <c r="C26" s="122" t="s">
        <v>24</v>
      </c>
      <c r="D26" s="126">
        <f>半成品收拨取值!C23</f>
        <v>1687</v>
      </c>
      <c r="E26" s="126">
        <f>半成品收拨取值!D23</f>
        <v>0</v>
      </c>
      <c r="F26" s="126">
        <f>半成品收拨取值!E23</f>
        <v>13851</v>
      </c>
      <c r="G26" s="126">
        <f>半成品收拨取值!G23</f>
        <v>0</v>
      </c>
      <c r="H26" s="126">
        <f>半成品收拨取值!H23</f>
        <v>0</v>
      </c>
      <c r="I26" s="126">
        <f>半成品收拨取值!J23</f>
        <v>0</v>
      </c>
      <c r="J26" s="126">
        <f>半成品收拨取值!K23</f>
        <v>0</v>
      </c>
      <c r="K26" s="126">
        <f>半成品收拨取值!L23</f>
        <v>0</v>
      </c>
      <c r="L26" s="126">
        <f>半成品收拨取值!M23</f>
        <v>0</v>
      </c>
      <c r="M26" s="126">
        <f>半成品收拨取值!N23</f>
        <v>11946</v>
      </c>
      <c r="N26" s="127">
        <f>_xlfn.IFERROR(SUM(O26,M26,K26,I26,H26,G26)-SUM(D26,E26,F26,J26,L26),0)</f>
        <v>-3068</v>
      </c>
      <c r="O26" s="126">
        <f>半成品收拨取值!P23</f>
        <v>524</v>
      </c>
      <c r="P26" s="129">
        <f>_xlfn.IFERROR(SUM(D26,E26,F26,J26,L26,N26)-SUM(M26,K26,I26,H26,G26),0)</f>
        <v>524</v>
      </c>
      <c r="Q26" s="128">
        <f>P26-O26</f>
        <v>0</v>
      </c>
    </row>
    <row customHeight="1" ht="14.25">
      <c r="A27" s="92"/>
      <c r="B27" s="121" t="s">
        <v>44</v>
      </c>
      <c r="C27" s="122" t="s">
        <v>24</v>
      </c>
      <c r="D27" s="126">
        <f>半成品收拨取值!C24</f>
        <v>573</v>
      </c>
      <c r="E27" s="126">
        <f>半成品收拨取值!D24</f>
        <v>0</v>
      </c>
      <c r="F27" s="126">
        <f>半成品收拨取值!E24</f>
        <v>323</v>
      </c>
      <c r="G27" s="126">
        <f>半成品收拨取值!G24</f>
        <v>0</v>
      </c>
      <c r="H27" s="126">
        <f>半成品收拨取值!H24</f>
        <v>0</v>
      </c>
      <c r="I27" s="126">
        <f>半成品收拨取值!J24</f>
        <v>0</v>
      </c>
      <c r="J27" s="126">
        <f>半成品收拨取值!K24</f>
        <v>0</v>
      </c>
      <c r="K27" s="126">
        <f>半成品收拨取值!L24</f>
        <v>0</v>
      </c>
      <c r="L27" s="126">
        <f>半成品收拨取值!M24</f>
        <v>0</v>
      </c>
      <c r="M27" s="126">
        <f>半成品收拨取值!N24</f>
        <v>486</v>
      </c>
      <c r="N27" s="127">
        <f>_xlfn.IFERROR(SUM(O27,M27,K27,I27,H27,G27)-SUM(D27,E27,F27,J27,L27),0)</f>
        <v>980</v>
      </c>
      <c r="O27" s="126">
        <f>半成品收拨取值!P24</f>
        <v>1390</v>
      </c>
      <c r="P27" s="129">
        <f>_xlfn.IFERROR(SUM(D27,E27,F27,J27,L27,N27)-SUM(M27,K27,I27,H27,G27),0)</f>
        <v>1390</v>
      </c>
      <c r="Q27" s="128">
        <f>P27-O27</f>
        <v>0</v>
      </c>
    </row>
    <row customHeight="1" ht="14.25">
      <c r="A28" s="92"/>
      <c r="B28" s="121" t="s">
        <v>45</v>
      </c>
      <c r="C28" s="122"/>
      <c r="D28" s="126">
        <f>半成品收拨取值!C25</f>
        <v>0</v>
      </c>
      <c r="E28" s="126">
        <f>半成品收拨取值!D25</f>
        <v>0</v>
      </c>
      <c r="F28" s="126">
        <f>半成品收拨取值!E25</f>
        <v>0</v>
      </c>
      <c r="G28" s="126">
        <f>半成品收拨取值!G25</f>
        <v>0</v>
      </c>
      <c r="H28" s="126">
        <f>半成品收拨取值!H25</f>
        <v>0</v>
      </c>
      <c r="I28" s="126">
        <f>半成品收拨取值!J25</f>
        <v>0</v>
      </c>
      <c r="J28" s="126">
        <f>半成品收拨取值!K25</f>
        <v>0</v>
      </c>
      <c r="K28" s="126">
        <f>半成品收拨取值!L25</f>
        <v>0</v>
      </c>
      <c r="L28" s="126">
        <f>半成品收拨取值!M25</f>
        <v>0</v>
      </c>
      <c r="M28" s="126">
        <f>半成品收拨取值!N25</f>
        <v>0</v>
      </c>
      <c r="N28" s="127"/>
      <c r="O28" s="126">
        <f>半成品收拨取值!P25</f>
        <v>0</v>
      </c>
      <c r="P28" s="92"/>
      <c r="Q28" s="93"/>
    </row>
    <row customHeight="1" ht="49.5">
      <c r="A29" s="92"/>
      <c r="B29" s="118" t="s">
        <v>46</v>
      </c>
      <c r="C29" s="97">
        <f>半成品收拨取值!C26</f>
        <v>0</v>
      </c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135"/>
      <c r="P29" s="92"/>
      <c r="Q29" s="93"/>
    </row>
  </sheetData>
  <mergeCells count="16">
    <mergeCell ref="B2:O2"/>
    <mergeCell ref="M3:O3"/>
    <mergeCell ref="B4:B5"/>
    <mergeCell ref="C4:C5"/>
    <mergeCell ref="D4:D5"/>
    <mergeCell ref="E4:E5"/>
    <mergeCell ref="F4:F5"/>
    <mergeCell ref="O4:O5"/>
    <mergeCell ref="G3:K3"/>
    <mergeCell ref="B3:C3"/>
    <mergeCell ref="C29:O29"/>
    <mergeCell ref="G4:G5"/>
    <mergeCell ref="H4:H5"/>
    <mergeCell ref="I4:I5"/>
    <mergeCell ref="J4:K4"/>
    <mergeCell ref="L4:M4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E6C2D59-1FD5-9E23-0B68-5E2A7A2CD877}" mc:Ignorable="x14ac xr xr2 xr3">
  <dimension ref="A1:X27"/>
  <sheetViews>
    <sheetView defaultGridColor="0" colorId="31" topLeftCell="A1" workbookViewId="0">
      <selection activeCell="J11" sqref="J11"/>
    </sheetView>
  </sheetViews>
  <sheetFormatPr customHeight="1" defaultRowHeight="14.002500000000003"/>
  <cols>
    <col min="1" max="1" width="23.8515625" customWidth="1"/>
  </cols>
  <sheetData>
    <row customHeight="1" ht="14.25">
      <c r="A1" s="105" t="s">
        <v>5</v>
      </c>
      <c r="B1" s="106" t="s">
        <v>6</v>
      </c>
      <c r="C1" s="107" t="s">
        <v>7</v>
      </c>
      <c r="D1" s="107" t="s">
        <v>8</v>
      </c>
      <c r="E1" s="108" t="s">
        <v>9</v>
      </c>
      <c r="F1" s="107" t="s">
        <v>47</v>
      </c>
      <c r="G1" s="74" t="s">
        <v>10</v>
      </c>
      <c r="H1" s="110" t="s">
        <v>11</v>
      </c>
      <c r="I1" s="107" t="s">
        <v>48</v>
      </c>
      <c r="J1" s="107" t="s">
        <v>12</v>
      </c>
      <c r="K1" s="111" t="s">
        <v>13</v>
      </c>
      <c r="L1" s="112"/>
      <c r="M1" s="113" t="s">
        <v>14</v>
      </c>
      <c r="N1" s="112"/>
      <c r="O1" s="114" t="s">
        <v>15</v>
      </c>
      <c r="P1" s="107" t="s">
        <v>16</v>
      </c>
      <c r="Q1" s="92"/>
      <c r="R1" s="92"/>
      <c r="S1" s="92"/>
      <c r="T1" s="92"/>
      <c r="U1" s="92"/>
      <c r="V1" s="92"/>
      <c r="W1" s="92"/>
      <c r="X1" s="92"/>
    </row>
    <row customHeight="1" ht="14.25">
      <c r="A2" s="115"/>
      <c r="B2" s="112"/>
      <c r="C2" s="105"/>
      <c r="D2" s="105"/>
      <c r="E2" s="116"/>
      <c r="F2" s="105"/>
      <c r="G2" s="105"/>
      <c r="H2" s="111"/>
      <c r="I2" s="105"/>
      <c r="J2" s="105"/>
      <c r="K2" s="117" t="s">
        <v>17</v>
      </c>
      <c r="L2" s="118" t="s">
        <v>18</v>
      </c>
      <c r="M2" s="119" t="s">
        <v>19</v>
      </c>
      <c r="N2" s="119" t="s">
        <v>20</v>
      </c>
      <c r="O2" s="120" t="s">
        <v>21</v>
      </c>
      <c r="P2" s="105"/>
      <c r="Q2" s="92"/>
      <c r="R2" s="92"/>
      <c r="S2" s="92"/>
      <c r="T2" s="92"/>
      <c r="U2" s="92"/>
      <c r="V2" s="92"/>
      <c r="W2" s="92"/>
      <c r="X2" s="92"/>
    </row>
    <row customHeight="1" ht="14.25">
      <c r="A3" s="121" t="s">
        <v>22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</row>
    <row customHeight="1" ht="14.25">
      <c r="A4" s="121" t="s">
        <v>23</v>
      </c>
      <c r="B4" s="92"/>
      <c r="C4" s="92">
        <v>7277</v>
      </c>
      <c r="D4" s="92"/>
      <c r="E4" s="92">
        <v>1849</v>
      </c>
      <c r="F4" s="92"/>
      <c r="G4" s="92">
        <v>1777</v>
      </c>
      <c r="H4" s="92"/>
      <c r="I4" s="92"/>
      <c r="J4" s="92"/>
      <c r="K4" s="92"/>
      <c r="L4" s="92"/>
      <c r="M4" s="92">
        <v>0</v>
      </c>
      <c r="N4" s="92">
        <v>0</v>
      </c>
      <c r="O4" s="92"/>
      <c r="P4" s="92">
        <v>7410</v>
      </c>
      <c r="Q4" s="92"/>
      <c r="R4" s="92"/>
      <c r="S4" s="92"/>
      <c r="T4" s="92"/>
      <c r="U4" s="92"/>
      <c r="V4" s="92"/>
      <c r="W4" s="92"/>
      <c r="X4" s="92"/>
    </row>
    <row customHeight="1" ht="15.75">
      <c r="A5" s="121" t="s">
        <v>25</v>
      </c>
      <c r="B5" s="92"/>
      <c r="C5" s="92">
        <v>0</v>
      </c>
      <c r="D5" s="92"/>
      <c r="E5" s="92">
        <v>187561</v>
      </c>
      <c r="F5" s="92"/>
      <c r="G5" s="92">
        <v>187561</v>
      </c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</row>
    <row customHeight="1" ht="14.25">
      <c r="A6" s="121" t="s">
        <v>49</v>
      </c>
      <c r="B6" s="92"/>
      <c r="C6" s="92">
        <v>0</v>
      </c>
      <c r="D6" s="92"/>
      <c r="E6" s="92">
        <v>121561</v>
      </c>
      <c r="F6" s="92"/>
      <c r="G6" s="92"/>
      <c r="H6" s="92"/>
      <c r="I6" s="92"/>
      <c r="J6" s="92"/>
      <c r="K6" s="92"/>
      <c r="L6" s="92"/>
      <c r="M6" s="92"/>
      <c r="N6" s="92">
        <v>121561</v>
      </c>
      <c r="O6" s="92"/>
      <c r="P6" s="92"/>
      <c r="Q6" s="92"/>
      <c r="R6" s="92"/>
      <c r="S6" s="92"/>
      <c r="T6" s="92"/>
      <c r="U6" s="92"/>
      <c r="V6" s="92"/>
      <c r="W6" s="92"/>
      <c r="X6" s="92"/>
    </row>
    <row customHeight="1" ht="14.25">
      <c r="A7" s="121" t="s">
        <v>50</v>
      </c>
      <c r="B7" s="92"/>
      <c r="C7" s="92">
        <v>0</v>
      </c>
      <c r="D7" s="92"/>
      <c r="E7" s="92">
        <v>74643</v>
      </c>
      <c r="F7" s="92"/>
      <c r="G7" s="92"/>
      <c r="H7" s="92"/>
      <c r="I7" s="92"/>
      <c r="J7" s="92"/>
      <c r="K7" s="92"/>
      <c r="L7" s="92"/>
      <c r="M7" s="92"/>
      <c r="N7" s="92">
        <v>74643</v>
      </c>
      <c r="O7" s="92"/>
      <c r="P7" s="92"/>
      <c r="Q7" s="92"/>
      <c r="R7" s="92"/>
      <c r="S7" s="92"/>
      <c r="T7" s="92"/>
      <c r="U7" s="92"/>
      <c r="V7" s="92"/>
      <c r="W7" s="92"/>
      <c r="X7" s="92"/>
    </row>
    <row customHeight="1" ht="14.25">
      <c r="A8" s="121" t="s">
        <v>28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</row>
    <row customHeight="1" ht="14.25">
      <c r="A9" s="131" t="s">
        <v>29</v>
      </c>
      <c r="B9" s="92"/>
      <c r="C9" s="92"/>
      <c r="D9" s="92"/>
      <c r="E9" s="92">
        <v>69265</v>
      </c>
      <c r="F9" s="92"/>
      <c r="G9" s="92">
        <v>110180</v>
      </c>
      <c r="H9" s="92"/>
      <c r="I9" s="92"/>
      <c r="J9" s="92">
        <v>4107</v>
      </c>
      <c r="K9" s="92">
        <v>54059</v>
      </c>
      <c r="L9" s="92"/>
      <c r="M9" s="92">
        <v>65158</v>
      </c>
      <c r="N9" s="92">
        <v>65158</v>
      </c>
      <c r="O9" s="92"/>
      <c r="P9" s="92"/>
      <c r="Q9" s="92"/>
      <c r="R9" s="92"/>
      <c r="S9" s="92"/>
      <c r="T9" s="92"/>
      <c r="U9" s="92"/>
      <c r="V9" s="92"/>
      <c r="W9" s="92"/>
      <c r="X9" s="92"/>
    </row>
    <row customHeight="1" ht="14.25">
      <c r="A10" s="132" t="s">
        <v>30</v>
      </c>
      <c r="B10" s="92"/>
      <c r="C10" s="92">
        <v>1164</v>
      </c>
      <c r="D10" s="92">
        <v>0</v>
      </c>
      <c r="E10" s="92">
        <v>69265</v>
      </c>
      <c r="F10" s="92"/>
      <c r="G10" s="92">
        <v>110180</v>
      </c>
      <c r="H10" s="92"/>
      <c r="I10" s="92"/>
      <c r="J10" s="92">
        <v>4107</v>
      </c>
      <c r="K10" s="92">
        <v>54059</v>
      </c>
      <c r="L10" s="92">
        <v>6846</v>
      </c>
      <c r="M10" s="92">
        <v>65158</v>
      </c>
      <c r="N10" s="92">
        <v>65158</v>
      </c>
      <c r="O10" s="92"/>
      <c r="P10" s="92">
        <v>721</v>
      </c>
      <c r="Q10" s="92"/>
      <c r="R10" s="92"/>
      <c r="S10" s="92"/>
      <c r="T10" s="92"/>
      <c r="U10" s="92"/>
      <c r="V10" s="92"/>
      <c r="W10" s="92"/>
      <c r="X10" s="92"/>
    </row>
    <row customHeight="1" ht="14.25">
      <c r="A11" s="131" t="s">
        <v>51</v>
      </c>
      <c r="B11" s="92"/>
      <c r="C11" s="92">
        <v>996</v>
      </c>
      <c r="D11" s="92"/>
      <c r="E11" s="92">
        <v>81368</v>
      </c>
      <c r="F11" s="92"/>
      <c r="G11" s="92">
        <v>85819</v>
      </c>
      <c r="H11" s="92"/>
      <c r="I11" s="92"/>
      <c r="J11" s="92">
        <v>6451</v>
      </c>
      <c r="K11" s="92">
        <v>30403</v>
      </c>
      <c r="L11" s="92">
        <v>20852</v>
      </c>
      <c r="M11" s="92">
        <v>0</v>
      </c>
      <c r="N11" s="92">
        <v>800</v>
      </c>
      <c r="O11" s="92"/>
      <c r="P11" s="92">
        <v>1034</v>
      </c>
      <c r="Q11" s="136"/>
      <c r="R11" s="136"/>
      <c r="S11" s="136"/>
      <c r="T11" s="92"/>
      <c r="U11" s="92"/>
      <c r="V11" s="92"/>
      <c r="W11" s="92"/>
      <c r="X11" s="92"/>
    </row>
    <row customHeight="1" ht="14.25">
      <c r="A12" s="131" t="s">
        <v>52</v>
      </c>
      <c r="B12" s="92"/>
      <c r="C12" s="92">
        <v>1095</v>
      </c>
      <c r="D12" s="92"/>
      <c r="E12" s="92">
        <v>558139</v>
      </c>
      <c r="F12" s="92"/>
      <c r="G12" s="92">
        <v>565774</v>
      </c>
      <c r="H12" s="92"/>
      <c r="I12" s="92"/>
      <c r="J12" s="92"/>
      <c r="K12" s="92">
        <v>74611</v>
      </c>
      <c r="L12" s="92">
        <v>68876</v>
      </c>
      <c r="M12" s="92">
        <v>4343</v>
      </c>
      <c r="N12" s="92">
        <v>3010</v>
      </c>
      <c r="O12" s="92"/>
      <c r="P12" s="92">
        <v>1130</v>
      </c>
      <c r="Q12" s="136"/>
      <c r="R12" s="136"/>
      <c r="S12" s="136"/>
      <c r="T12" s="136"/>
      <c r="U12" s="92"/>
      <c r="V12" s="92"/>
      <c r="W12" s="92"/>
      <c r="X12" s="92"/>
    </row>
    <row customHeight="1" ht="14.25">
      <c r="A13" s="121" t="s">
        <v>33</v>
      </c>
      <c r="B13" s="92"/>
      <c r="C13" s="92">
        <v>2202</v>
      </c>
      <c r="D13" s="92"/>
      <c r="E13" s="92">
        <v>656868</v>
      </c>
      <c r="F13" s="92"/>
      <c r="G13" s="92">
        <v>662215</v>
      </c>
      <c r="H13" s="92"/>
      <c r="I13" s="92"/>
      <c r="J13" s="92"/>
      <c r="K13" s="92"/>
      <c r="L13" s="92"/>
      <c r="M13" s="92">
        <v>5830</v>
      </c>
      <c r="N13" s="92">
        <v>0</v>
      </c>
      <c r="O13" s="92"/>
      <c r="P13" s="92">
        <v>2336</v>
      </c>
      <c r="Q13" s="92"/>
      <c r="R13" s="92"/>
      <c r="S13" s="92"/>
      <c r="T13" s="92"/>
      <c r="U13" s="92"/>
      <c r="V13" s="92"/>
      <c r="W13" s="92"/>
      <c r="X13" s="92"/>
    </row>
    <row customHeight="1" ht="15.75">
      <c r="A14" s="137" t="s">
        <v>53</v>
      </c>
      <c r="B14" s="92"/>
      <c r="C14" s="92">
        <v>437</v>
      </c>
      <c r="D14" s="92"/>
      <c r="E14" s="92">
        <v>385084</v>
      </c>
      <c r="F14" s="92"/>
      <c r="G14" s="92">
        <v>382615</v>
      </c>
      <c r="H14" s="92"/>
      <c r="I14" s="92"/>
      <c r="J14" s="92"/>
      <c r="K14" s="92"/>
      <c r="L14" s="92">
        <v>14274</v>
      </c>
      <c r="M14" s="92">
        <v>3110</v>
      </c>
      <c r="N14" s="92">
        <v>843</v>
      </c>
      <c r="O14" s="92"/>
      <c r="P14" s="92">
        <v>894</v>
      </c>
      <c r="Q14" s="92"/>
      <c r="R14" s="92"/>
      <c r="S14" s="92"/>
      <c r="T14" s="92"/>
      <c r="U14" s="92"/>
      <c r="V14" s="92"/>
      <c r="W14" s="92"/>
      <c r="X14" s="92"/>
    </row>
    <row customHeight="1" ht="14.25">
      <c r="A15" s="138" t="s">
        <v>54</v>
      </c>
      <c r="B15" s="92"/>
      <c r="C15" s="92">
        <v>613</v>
      </c>
      <c r="D15" s="92"/>
      <c r="E15" s="92">
        <v>61856</v>
      </c>
      <c r="F15" s="92"/>
      <c r="G15" s="92">
        <v>132805</v>
      </c>
      <c r="H15" s="92"/>
      <c r="I15" s="92"/>
      <c r="J15" s="92"/>
      <c r="K15" s="92"/>
      <c r="L15" s="92">
        <v>2999</v>
      </c>
      <c r="M15" s="92">
        <v>74490.86</v>
      </c>
      <c r="N15" s="92">
        <v>0</v>
      </c>
      <c r="O15" s="92"/>
      <c r="P15" s="92">
        <v>556</v>
      </c>
      <c r="Q15" s="139"/>
      <c r="R15" s="139"/>
      <c r="S15" s="139"/>
      <c r="T15" s="139"/>
      <c r="U15" s="92"/>
      <c r="V15" s="92"/>
      <c r="W15" s="92"/>
      <c r="X15" s="92"/>
    </row>
    <row customHeight="1" ht="14.25">
      <c r="A16" s="138" t="s">
        <v>55</v>
      </c>
      <c r="B16" s="92"/>
      <c r="C16" s="92">
        <v>244</v>
      </c>
      <c r="D16" s="92"/>
      <c r="E16" s="92">
        <v>288599</v>
      </c>
      <c r="F16" s="92"/>
      <c r="G16" s="92">
        <v>286232</v>
      </c>
      <c r="H16" s="92"/>
      <c r="I16" s="92"/>
      <c r="J16" s="92"/>
      <c r="K16" s="92"/>
      <c r="L16" s="92">
        <v>0</v>
      </c>
      <c r="M16" s="92"/>
      <c r="N16" s="92"/>
      <c r="O16" s="92"/>
      <c r="P16" s="92">
        <v>332</v>
      </c>
      <c r="Q16" s="139"/>
      <c r="R16" s="139"/>
      <c r="S16" s="139"/>
      <c r="T16" s="139"/>
      <c r="U16" s="92"/>
      <c r="V16" s="92"/>
      <c r="W16" s="92"/>
      <c r="X16" s="92"/>
    </row>
    <row customHeight="1" ht="14.25">
      <c r="A17" s="138" t="s">
        <v>56</v>
      </c>
      <c r="B17" s="92"/>
      <c r="C17" s="92">
        <v>0</v>
      </c>
      <c r="D17" s="92"/>
      <c r="E17" s="92">
        <v>66081</v>
      </c>
      <c r="F17" s="92"/>
      <c r="G17" s="92">
        <v>66081</v>
      </c>
      <c r="H17" s="92"/>
      <c r="I17" s="92"/>
      <c r="J17" s="92"/>
      <c r="K17" s="92"/>
      <c r="L17" s="92"/>
      <c r="M17" s="92"/>
      <c r="N17" s="92"/>
      <c r="O17" s="92"/>
      <c r="P17" s="92"/>
      <c r="Q17" s="139"/>
      <c r="R17" s="139"/>
      <c r="S17" s="92"/>
      <c r="T17" s="92"/>
      <c r="U17" s="92"/>
      <c r="V17" s="92"/>
      <c r="W17" s="92"/>
      <c r="X17" s="92"/>
    </row>
    <row customHeight="1" ht="14.25">
      <c r="A18" s="121" t="s">
        <v>38</v>
      </c>
      <c r="B18" s="92"/>
      <c r="C18" s="92">
        <v>2301</v>
      </c>
      <c r="D18" s="92"/>
      <c r="E18" s="92">
        <v>283477</v>
      </c>
      <c r="F18" s="92"/>
      <c r="G18" s="92">
        <v>224400</v>
      </c>
      <c r="H18" s="92"/>
      <c r="I18" s="92"/>
      <c r="J18" s="92"/>
      <c r="K18" s="92"/>
      <c r="L18" s="92">
        <v>53588</v>
      </c>
      <c r="M18" s="92">
        <v>0</v>
      </c>
      <c r="N18" s="92">
        <v>5830</v>
      </c>
      <c r="O18" s="92"/>
      <c r="P18" s="92">
        <v>1977</v>
      </c>
      <c r="Q18" s="139"/>
      <c r="R18" s="139"/>
      <c r="S18" s="92"/>
      <c r="T18" s="92"/>
      <c r="U18" s="92"/>
      <c r="V18" s="92"/>
      <c r="W18" s="92"/>
      <c r="X18" s="92"/>
    </row>
    <row customHeight="1" ht="14.25">
      <c r="A19" s="121" t="s">
        <v>39</v>
      </c>
      <c r="B19" s="92"/>
      <c r="C19" s="92">
        <v>0</v>
      </c>
      <c r="D19" s="92"/>
      <c r="E19" s="92">
        <v>3393</v>
      </c>
      <c r="F19" s="92"/>
      <c r="G19" s="92">
        <v>3194</v>
      </c>
      <c r="H19" s="92"/>
      <c r="I19" s="92"/>
      <c r="J19" s="92"/>
      <c r="K19" s="92"/>
      <c r="L19" s="92"/>
      <c r="M19" s="92"/>
      <c r="N19" s="92"/>
      <c r="O19" s="92"/>
      <c r="P19" s="92">
        <v>0</v>
      </c>
      <c r="Q19" s="139"/>
      <c r="R19" s="139"/>
      <c r="S19" s="92"/>
      <c r="T19" s="92"/>
      <c r="U19" s="92"/>
      <c r="V19" s="92"/>
      <c r="W19" s="92"/>
      <c r="X19" s="92"/>
    </row>
    <row customHeight="1" ht="14.25">
      <c r="A20" s="121" t="s">
        <v>40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139"/>
      <c r="R20" s="139"/>
      <c r="S20" s="92"/>
      <c r="T20" s="92"/>
      <c r="U20" s="92"/>
      <c r="V20" s="92"/>
      <c r="W20" s="92"/>
      <c r="X20" s="92"/>
    </row>
    <row customHeight="1" ht="15.75">
      <c r="A21" s="121" t="s">
        <v>41</v>
      </c>
      <c r="B21" s="92"/>
      <c r="C21" s="92">
        <v>0</v>
      </c>
      <c r="D21" s="92"/>
      <c r="E21" s="92">
        <v>854</v>
      </c>
      <c r="F21" s="92"/>
      <c r="G21" s="92">
        <v>0</v>
      </c>
      <c r="H21" s="92"/>
      <c r="I21" s="92"/>
      <c r="J21" s="92"/>
      <c r="K21" s="92"/>
      <c r="L21" s="92">
        <v>0</v>
      </c>
      <c r="M21" s="92">
        <v>0</v>
      </c>
      <c r="N21" s="92">
        <v>854</v>
      </c>
      <c r="O21" s="92"/>
      <c r="P21" s="92"/>
      <c r="Q21" s="139"/>
      <c r="R21" s="139"/>
      <c r="S21" s="139"/>
      <c r="T21" s="139"/>
      <c r="U21" s="139"/>
      <c r="V21" s="139"/>
      <c r="W21" s="139"/>
      <c r="X21" s="139"/>
    </row>
    <row customHeight="1" ht="14.25">
      <c r="A22" s="121" t="s">
        <v>42</v>
      </c>
      <c r="B22" s="92"/>
      <c r="C22" s="92">
        <v>0</v>
      </c>
      <c r="D22" s="92"/>
      <c r="E22" s="92">
        <v>2533.8</v>
      </c>
      <c r="F22" s="92"/>
      <c r="G22" s="92">
        <v>0</v>
      </c>
      <c r="H22" s="92"/>
      <c r="I22" s="92"/>
      <c r="J22" s="92"/>
      <c r="K22" s="92"/>
      <c r="L22" s="92"/>
      <c r="M22" s="92">
        <v>0</v>
      </c>
      <c r="N22" s="92">
        <v>2534</v>
      </c>
      <c r="O22" s="92"/>
      <c r="P22" s="92"/>
      <c r="Q22" s="139"/>
      <c r="R22" s="139"/>
      <c r="S22" s="139"/>
      <c r="T22" s="139"/>
      <c r="U22" s="139"/>
      <c r="V22" s="139"/>
      <c r="W22" s="139"/>
      <c r="X22" s="139"/>
    </row>
    <row customHeight="1" ht="14.25">
      <c r="A23" s="121" t="s">
        <v>43</v>
      </c>
      <c r="B23" s="92"/>
      <c r="C23" s="92">
        <v>1687</v>
      </c>
      <c r="D23" s="92"/>
      <c r="E23" s="92">
        <v>13851</v>
      </c>
      <c r="F23" s="92"/>
      <c r="G23" s="92">
        <v>0</v>
      </c>
      <c r="H23" s="92"/>
      <c r="I23" s="92"/>
      <c r="J23" s="92"/>
      <c r="K23" s="92"/>
      <c r="L23" s="92"/>
      <c r="M23" s="92">
        <v>0</v>
      </c>
      <c r="N23" s="92">
        <v>11946</v>
      </c>
      <c r="O23" s="92"/>
      <c r="P23" s="92">
        <v>524</v>
      </c>
      <c r="Q23" s="139"/>
      <c r="R23" s="139"/>
      <c r="S23" s="139"/>
      <c r="T23" s="92"/>
      <c r="U23" s="92"/>
      <c r="V23" s="139"/>
      <c r="W23" s="139"/>
      <c r="X23" s="92"/>
    </row>
    <row customHeight="1" ht="14.25">
      <c r="A24" s="121" t="s">
        <v>44</v>
      </c>
      <c r="B24" s="92"/>
      <c r="C24" s="92">
        <v>573</v>
      </c>
      <c r="D24" s="92"/>
      <c r="E24" s="92">
        <v>323</v>
      </c>
      <c r="F24" s="92"/>
      <c r="G24" s="92">
        <v>0</v>
      </c>
      <c r="H24" s="92"/>
      <c r="I24" s="92"/>
      <c r="J24" s="92"/>
      <c r="K24" s="92"/>
      <c r="L24" s="92"/>
      <c r="M24" s="92"/>
      <c r="N24" s="92">
        <v>486</v>
      </c>
      <c r="O24" s="92"/>
      <c r="P24" s="92">
        <v>1390</v>
      </c>
      <c r="Q24" s="92"/>
      <c r="R24" s="92"/>
      <c r="S24" s="92"/>
      <c r="T24" s="92"/>
      <c r="U24" s="92"/>
      <c r="V24" s="92"/>
      <c r="W24" s="92"/>
      <c r="X24" s="92"/>
    </row>
    <row customHeight="1" ht="14.25">
      <c r="A25" s="121" t="s">
        <v>45</v>
      </c>
      <c r="B25" s="92"/>
      <c r="C25" s="92"/>
      <c r="D25" s="92"/>
      <c r="E25" s="92">
        <v>0</v>
      </c>
      <c r="F25" s="92"/>
      <c r="G25" s="92">
        <v>0</v>
      </c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customHeight="1" ht="14.002500000000003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customHeight="1" ht="14.25">
      <c r="A27" s="140" t="s">
        <v>57</v>
      </c>
      <c r="B27" s="140" t="s">
        <v>58</v>
      </c>
      <c r="C27" s="140" t="s">
        <v>59</v>
      </c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</sheetData>
  <mergeCells count="13">
    <mergeCell ref="F1:F2"/>
    <mergeCell ref="A1:A2"/>
    <mergeCell ref="B1:B2"/>
    <mergeCell ref="C1:C2"/>
    <mergeCell ref="D1:D2"/>
    <mergeCell ref="E1:E2"/>
    <mergeCell ref="P1:P2"/>
    <mergeCell ref="G1:G2"/>
    <mergeCell ref="H1:H2"/>
    <mergeCell ref="I1:I2"/>
    <mergeCell ref="J1:J2"/>
    <mergeCell ref="K1:L1"/>
    <mergeCell ref="M1:N1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半成品收拨平衡表</vt:lpstr>
      <vt:lpstr>半成品收拨取值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2022-05-06T08:17:14Z</dcterms:modified>
</cp:coreProperties>
</file>