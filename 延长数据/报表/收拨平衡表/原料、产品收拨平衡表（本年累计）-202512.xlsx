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原料、成品收拨平衡表（本年累计）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D40" authorId="0">
      <text>
        <r>
          <rPr>
            <sz val="9"/>
            <color indexed="81"/>
            <rFont val="Arial"/>
            <family val="2"/>
          </rPr>
          <t xml:space="preserve">#Input("延炼_原料、成品收拨平衡表（本年累计）_单位负责人",":key{{dw}}")
</t>
        </r>
      </text>
    </comment>
    <comment ref="J40" authorId="0">
      <text>
        <r>
          <rPr>
            <b/>
            <sz val="9"/>
            <color indexed="81"/>
            <rFont val="宋体"/>
            <family val="2"/>
          </rPr>
          <t>#Input("延炼_原料、成品收拨平衡表（本年累计）_填报人",":key{{dw}}")</t>
        </r>
      </text>
    </comment>
  </commentList>
</comments>
</file>

<file path=xl/sharedStrings.xml><?xml version="1.0" encoding="utf-8"?>
<sst xmlns="http://schemas.openxmlformats.org/spreadsheetml/2006/main" count="120" uniqueCount="73">
  <si>
    <t>原料、成品收拨平衡表（本年累计）</t>
  </si>
  <si>
    <t>填报单位：延安炼油厂</t>
  </si>
  <si>
    <t>日期：</t>
  </si>
  <si>
    <t>2025-12</t>
  </si>
  <si>
    <t>陕油炼计统B205表</t>
  </si>
  <si>
    <t>指标名称</t>
  </si>
  <si>
    <t>单位</t>
  </si>
  <si>
    <t>期初</t>
  </si>
  <si>
    <t>外购量</t>
  </si>
  <si>
    <t>生产量</t>
  </si>
  <si>
    <t>成品</t>
  </si>
  <si>
    <t>装置</t>
  </si>
  <si>
    <t>销售</t>
  </si>
  <si>
    <t>油品</t>
  </si>
  <si>
    <t>生产</t>
  </si>
  <si>
    <t>内部调拨量</t>
  </si>
  <si>
    <t>内移量</t>
  </si>
  <si>
    <t>盈（+）</t>
  </si>
  <si>
    <t>期末</t>
  </si>
  <si>
    <t>备  注</t>
  </si>
  <si>
    <t>库存</t>
  </si>
  <si>
    <t>交库</t>
  </si>
  <si>
    <t>加工量</t>
  </si>
  <si>
    <t>调合</t>
  </si>
  <si>
    <t>自用</t>
  </si>
  <si>
    <t>调入</t>
  </si>
  <si>
    <t>调出</t>
  </si>
  <si>
    <t>移进</t>
  </si>
  <si>
    <t>移出</t>
  </si>
  <si>
    <t>亏（-）</t>
  </si>
  <si>
    <t>一、原料</t>
  </si>
  <si>
    <t/>
  </si>
  <si>
    <t xml:space="preserve">    原油</t>
  </si>
  <si>
    <t>吨</t>
  </si>
  <si>
    <t xml:space="preserve">    1#渣油</t>
  </si>
  <si>
    <t xml:space="preserve">    甲醇</t>
  </si>
  <si>
    <t xml:space="preserve">    醋酸</t>
  </si>
  <si>
    <t xml:space="preserve">    DCC裂解石脑油</t>
  </si>
  <si>
    <t xml:space="preserve">    VGO（减压渣油）</t>
  </si>
  <si>
    <t xml:space="preserve">    沥青</t>
  </si>
  <si>
    <t xml:space="preserve">    罚没油</t>
  </si>
  <si>
    <t>二、成品</t>
  </si>
  <si>
    <t xml:space="preserve">    汽油</t>
  </si>
  <si>
    <t xml:space="preserve">        92#</t>
  </si>
  <si>
    <t xml:space="preserve">        95#</t>
  </si>
  <si>
    <t xml:space="preserve">        98#</t>
  </si>
  <si>
    <t xml:space="preserve">     柴油</t>
  </si>
  <si>
    <t xml:space="preserve">         0#</t>
  </si>
  <si>
    <t xml:space="preserve">       -10#</t>
  </si>
  <si>
    <t xml:space="preserve">       -20#</t>
  </si>
  <si>
    <t xml:space="preserve">       -35#</t>
  </si>
  <si>
    <t xml:space="preserve">    聚丙烯</t>
  </si>
  <si>
    <t xml:space="preserve">    苯乙烯焦油</t>
  </si>
  <si>
    <t xml:space="preserve">    苯乙烯</t>
  </si>
  <si>
    <t xml:space="preserve">    3#喷气燃料</t>
  </si>
  <si>
    <t xml:space="preserve">    粗硫磺</t>
  </si>
  <si>
    <t xml:space="preserve">    精制粗硫磺</t>
  </si>
  <si>
    <t xml:space="preserve">    醋酸仲丁酯</t>
  </si>
  <si>
    <t xml:space="preserve">    石脑油Ⅲ</t>
  </si>
  <si>
    <t xml:space="preserve">    2#渣油</t>
  </si>
  <si>
    <t xml:space="preserve">    硫酸铵</t>
  </si>
  <si>
    <t xml:space="preserve">    液氮</t>
  </si>
  <si>
    <t xml:space="preserve">    粗白油</t>
  </si>
  <si>
    <t xml:space="preserve">    液氨</t>
  </si>
  <si>
    <t xml:space="preserve">    煤液化沥青</t>
  </si>
  <si>
    <t xml:space="preserve">    含固渣油</t>
  </si>
  <si>
    <t>单位负责人：</t>
  </si>
  <si>
    <t>王静</t>
  </si>
  <si>
    <t>填报人：</t>
  </si>
  <si>
    <t>黄宏飞</t>
  </si>
  <si>
    <t>报出日期：</t>
  </si>
  <si>
    <t>报表生成时间：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</si>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</sst>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#"/>
    <numFmt numFmtId="172" formatCode="yyyy\-mm\-dd"/>
  </numFmts>
  <fonts count="23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rgb="FF000000"/>
      <name val="等线"/>
    </font>
    <font>
      <sz val="11"/>
      <color auto="1"/>
      <name val="等线"/>
    </font>
    <font>
      <sz val="11"/>
      <color theme="1"/>
      <name val="等线"/>
    </font>
    <font>
      <sz val="11"/>
      <color rgb="FF000000"/>
      <name val="Calibri"/>
      <scheme val="minor"/>
    </font>
    <font>
      <b/>
      <sz val="18"/>
      <color auto="1"/>
      <name val="等线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36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61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0" fillId="33" borderId="0" xfId="0" applyFont="1" applyFill="1"/>
    <xf numFmtId="2" fontId="18" fillId="0" borderId="10" xfId="0" applyFont="1" applyBorder="1" applyNumberFormat="1">
      <alignment horizontal="left" vertical="center"/>
    </xf>
    <xf numFmtId="2" fontId="18" fillId="0" borderId="11" xfId="0" applyFont="1" applyBorder="1" applyNumberFormat="1">
      <alignment horizontal="center" vertical="center"/>
    </xf>
    <xf numFmtId="2" fontId="18" fillId="0" borderId="12" xfId="0" applyFont="1" applyBorder="1" applyNumberFormat="1">
      <alignment horizontal="left" vertical="center"/>
    </xf>
    <xf numFmtId="2" fontId="18" fillId="0" borderId="13" xfId="0" applyFont="1" applyBorder="1" applyNumberFormat="1">
      <alignment horizontal="center" vertical="center"/>
    </xf>
    <xf numFmtId="2" fontId="19" fillId="0" borderId="14" xfId="0" applyFont="1" applyBorder="1" applyNumberFormat="1">
      <alignment horizontal="right" vertical="center"/>
    </xf>
    <xf numFmtId="0" fontId="0" fillId="33" borderId="0" xfId="0" applyFont="1" applyFill="1"/>
    <xf numFmtId="2" fontId="18" fillId="0" borderId="15" xfId="0" applyFont="1" applyBorder="1" applyNumberFormat="1">
      <alignment horizontal="center" vertical="center"/>
    </xf>
    <xf numFmtId="2" fontId="18" fillId="0" borderId="16" xfId="0" applyFont="1" applyBorder="1" applyNumberFormat="1">
      <alignment horizontal="left" vertical="center"/>
    </xf>
    <xf numFmtId="2" fontId="18" fillId="0" borderId="17" xfId="0" applyFont="1" applyBorder="1" applyNumberFormat="1">
      <alignment horizontal="center" vertical="center" wrapText="1"/>
    </xf>
    <xf numFmtId="2" fontId="18" fillId="0" borderId="18" xfId="0" applyFont="1" applyBorder="1" applyNumberFormat="1">
      <alignment horizontal="center" vertical="center"/>
    </xf>
    <xf numFmtId="2" fontId="18" fillId="0" borderId="19" xfId="0" applyFont="1" applyBorder="1" applyNumberFormat="1">
      <alignment horizontal="center" vertical="center"/>
    </xf>
    <xf numFmtId="2" fontId="18" fillId="0" borderId="11" xfId="0" applyFont="1" applyBorder="1" applyNumberFormat="1">
      <alignment horizontal="center" vertical="center" wrapText="1"/>
    </xf>
    <xf numFmtId="2" fontId="18" fillId="0" borderId="18" xfId="0" applyFont="1" applyBorder="1" applyNumberFormat="1">
      <alignment horizontal="center" vertical="center" wrapText="1"/>
    </xf>
    <xf numFmtId="171" fontId="18" fillId="0" borderId="15" xfId="0" applyFont="1" applyBorder="1" applyNumberFormat="1">
      <alignment horizontal="right" vertical="center"/>
    </xf>
    <xf numFmtId="171" fontId="18" fillId="0" borderId="20" xfId="0" applyFont="1" applyBorder="1" applyNumberFormat="1">
      <alignment horizontal="right" vertical="center"/>
    </xf>
    <xf numFmtId="171" fontId="18" fillId="0" borderId="21" xfId="0" applyFont="1" applyBorder="1" applyNumberFormat="1">
      <alignment horizontal="right" vertical="center"/>
    </xf>
    <xf numFmtId="171" fontId="18" fillId="0" borderId="11" xfId="0" applyFont="1" applyBorder="1" applyNumberFormat="1">
      <alignment horizontal="right" vertical="center"/>
    </xf>
    <xf numFmtId="171" fontId="18" fillId="0" borderId="22" xfId="0" applyFont="1" applyBorder="1" applyNumberFormat="1">
      <alignment horizontal="right" vertical="center"/>
    </xf>
    <xf numFmtId="171" fontId="18" fillId="0" borderId="23" xfId="0" applyFont="1" applyBorder="1" applyNumberFormat="1">
      <alignment horizontal="right" vertical="center"/>
    </xf>
    <xf numFmtId="171" fontId="18" fillId="0" borderId="13" xfId="0" applyFont="1" applyBorder="1" applyNumberFormat="1">
      <alignment horizontal="right" vertical="center"/>
    </xf>
    <xf numFmtId="171" fontId="18" fillId="0" borderId="24" xfId="0" applyFont="1" applyBorder="1" applyNumberFormat="1">
      <alignment horizontal="right" vertical="center"/>
    </xf>
    <xf numFmtId="171" fontId="18" fillId="0" borderId="25" xfId="0" applyFont="1" applyBorder="1" applyNumberFormat="1">
      <alignment horizontal="right" vertical="center"/>
    </xf>
    <xf numFmtId="0" fontId="20" fillId="0" borderId="0" xfId="0" applyFont="1"/>
    <xf numFmtId="172" fontId="20" fillId="0" borderId="0" xfId="0" applyFont="1" applyNumberFormat="1">
      <alignment horizontal="left" vertical="center"/>
    </xf>
    <xf numFmtId="0" fontId="21" fillId="0" borderId="0" xfId="0" applyFont="1">
      <alignment vertical="top"/>
    </xf>
    <xf numFmtId="172" fontId="21" fillId="0" borderId="0" xfId="0" applyFont="1" applyNumberFormat="1">
      <alignment vertical="top"/>
    </xf>
    <xf numFmtId="172" fontId="0" fillId="0" borderId="0" xfId="0" applyFont="1" applyNumberFormat="1"/>
    <xf numFmtId="2" fontId="19" fillId="0" borderId="14" xfId="0" applyFont="1" applyBorder="1" applyNumberFormat="1">
      <alignment vertical="center"/>
    </xf>
    <xf numFmtId="2" fontId="19" fillId="0" borderId="14" xfId="0" applyFont="1" applyBorder="1" applyNumberFormat="1">
      <alignment horizontal="left" vertical="center"/>
    </xf>
    <xf numFmtId="0" fontId="20" fillId="0" borderId="26" xfId="0" applyFont="1" applyBorder="1">
      <alignment horizontal="right" vertical="center"/>
    </xf>
    <xf numFmtId="0" fontId="20" fillId="7" borderId="26" xfId="0" applyFont="1" applyFill="1" applyBorder="1">
      <alignment horizontal="left" vertical="center"/>
    </xf>
    <xf numFmtId="2" fontId="18" fillId="0" borderId="11" xfId="0" applyFont="1" applyBorder="1" applyNumberFormat="1">
      <alignment horizontal="center" vertical="center" wrapText="1"/>
    </xf>
    <xf numFmtId="2" fontId="18" fillId="0" borderId="27" xfId="0" applyFont="1" applyBorder="1" applyNumberFormat="1">
      <alignment horizontal="center" vertical="center" wrapText="1"/>
    </xf>
    <xf numFmtId="2" fontId="18" fillId="0" borderId="28" xfId="0" applyFont="1" applyBorder="1" applyNumberFormat="1">
      <alignment horizontal="center" vertical="center" wrapText="1"/>
    </xf>
    <xf numFmtId="2" fontId="19" fillId="0" borderId="29" xfId="0" applyFont="1" applyBorder="1" applyNumberFormat="1">
      <alignment horizontal="left" vertical="center"/>
    </xf>
    <xf numFmtId="2" fontId="19" fillId="0" borderId="14" xfId="0" applyFont="1" applyBorder="1" applyNumberFormat="1">
      <alignment horizontal="right" vertical="center"/>
    </xf>
    <xf numFmtId="2" fontId="19" fillId="0" borderId="23" xfId="0" applyFont="1" applyBorder="1" applyNumberFormat="1">
      <alignment horizontal="right" vertical="center"/>
    </xf>
    <xf numFmtId="2" fontId="18" fillId="0" borderId="10" xfId="0" applyFont="1" applyBorder="1" applyNumberFormat="1">
      <alignment horizontal="center" vertical="center" wrapText="1"/>
    </xf>
    <xf numFmtId="2" fontId="18" fillId="0" borderId="30" xfId="0" applyFont="1" applyBorder="1" applyNumberFormat="1">
      <alignment horizontal="center" vertical="center" wrapText="1"/>
    </xf>
    <xf numFmtId="2" fontId="18" fillId="0" borderId="31" xfId="0" applyFont="1" applyBorder="1" applyNumberFormat="1">
      <alignment horizontal="center" vertical="center" wrapText="1"/>
    </xf>
    <xf numFmtId="49" fontId="19" fillId="0" borderId="14" xfId="0" applyFont="1" applyBorder="1" applyNumberFormat="1">
      <alignment horizontal="right" vertical="center"/>
    </xf>
    <xf numFmtId="2" fontId="18" fillId="0" borderId="22" xfId="0" applyFont="1" applyBorder="1" applyNumberFormat="1">
      <alignment horizontal="center" vertical="center" wrapText="1"/>
    </xf>
    <xf numFmtId="2" fontId="18" fillId="0" borderId="32" xfId="0" applyFont="1" applyBorder="1" applyNumberFormat="1">
      <alignment horizontal="center" vertical="center" wrapText="1"/>
    </xf>
    <xf numFmtId="2" fontId="22" fillId="0" borderId="33" xfId="0" applyFont="1" applyBorder="1" applyNumberFormat="1">
      <alignment horizontal="center" vertical="center"/>
    </xf>
    <xf numFmtId="2" fontId="22" fillId="0" borderId="34" xfId="0" applyFont="1" applyBorder="1" applyNumberFormat="1">
      <alignment horizontal="center" vertical="center"/>
    </xf>
    <xf numFmtId="2" fontId="22" fillId="0" borderId="35" xfId="0" applyFont="1" applyBorder="1" applyNumberFormat="1">
      <alignment horizontal="center" vertical="center"/>
    </xf>
    <xf numFmtId="0" fontId="0" fillId="0" borderId="0" xfId="0" applyFont="1">
      <alignment wrapText="1"/>
    </xf>
    <xf numFmtId="2" fontId="22" fillId="0" borderId="33" xfId="0" applyFont="1" applyBorder="1" applyNumberFormat="1">
      <alignment horizontal="center" vertical="center" wrapText="1"/>
    </xf>
    <xf numFmtId="2" fontId="22" fillId="0" borderId="34" xfId="0" applyFont="1" applyBorder="1" applyNumberFormat="1">
      <alignment horizontal="center" vertical="center" wrapText="1"/>
    </xf>
    <xf numFmtId="2" fontId="22" fillId="0" borderId="35" xfId="0" applyFont="1" applyBorder="1" applyNumberFormat="1">
      <alignment horizontal="center" vertical="center" wrapText="1"/>
    </xf>
    <xf numFmtId="2" fontId="19" fillId="0" borderId="29" xfId="0" applyFont="1" applyBorder="1" applyNumberFormat="1">
      <alignment horizontal="left" vertical="center" wrapText="1"/>
    </xf>
    <xf numFmtId="2" fontId="19" fillId="0" borderId="14" xfId="0" applyFont="1" applyBorder="1" applyNumberFormat="1">
      <alignment horizontal="left" vertical="center" wrapText="1"/>
    </xf>
    <xf numFmtId="2" fontId="19" fillId="0" borderId="14" xfId="0" applyFont="1" applyBorder="1" applyNumberFormat="1">
      <alignment horizontal="right" vertical="center" wrapText="1"/>
    </xf>
    <xf numFmtId="2" fontId="19" fillId="0" borderId="14" xfId="0" applyFont="1" applyBorder="1" applyNumberFormat="1">
      <alignment vertical="center" wrapText="1"/>
    </xf>
    <xf numFmtId="49" fontId="19" fillId="0" borderId="14" xfId="0" applyFont="1" applyBorder="1" applyNumberFormat="1">
      <alignment horizontal="right" vertical="center" wrapText="1"/>
    </xf>
    <xf numFmtId="2" fontId="19" fillId="0" borderId="14" xfId="0" applyFont="1" applyBorder="1" applyNumberFormat="1">
      <alignment horizontal="right" vertical="center" wrapText="1"/>
    </xf>
    <xf numFmtId="2" fontId="19" fillId="0" borderId="23" xfId="0" applyFont="1" applyBorder="1" applyNumberFormat="1">
      <alignment horizontal="right" vertical="center" wrapText="1"/>
    </xf>
    <xf numFmtId="2" fontId="18" fillId="0" borderId="10" xfId="0" applyFont="1" applyBorder="1" applyNumberFormat="1">
      <alignment horizontal="center" vertical="center" wrapText="1"/>
    </xf>
    <xf numFmtId="2" fontId="18" fillId="0" borderId="11" xfId="0" applyFont="1" applyBorder="1" applyNumberFormat="1">
      <alignment horizontal="center" vertical="center" wrapText="1"/>
    </xf>
    <xf numFmtId="2" fontId="18" fillId="0" borderId="17" xfId="0" applyFont="1" applyBorder="1" applyNumberFormat="1">
      <alignment horizontal="center" vertical="center" wrapText="1"/>
    </xf>
    <xf numFmtId="2" fontId="18" fillId="0" borderId="22" xfId="0" applyFont="1" applyBorder="1" applyNumberFormat="1">
      <alignment horizontal="center" vertical="center" wrapText="1"/>
    </xf>
    <xf numFmtId="2" fontId="18" fillId="0" borderId="32" xfId="0" applyFont="1" applyBorder="1" applyNumberFormat="1">
      <alignment horizontal="center" vertical="center" wrapText="1"/>
    </xf>
    <xf numFmtId="2" fontId="18" fillId="0" borderId="27" xfId="0" applyFont="1" applyBorder="1" applyNumberFormat="1">
      <alignment horizontal="center" vertical="center" wrapText="1"/>
    </xf>
    <xf numFmtId="2" fontId="18" fillId="0" borderId="30" xfId="0" applyFont="1" applyBorder="1" applyNumberFormat="1">
      <alignment horizontal="center" vertical="center" wrapText="1"/>
    </xf>
    <xf numFmtId="2" fontId="18" fillId="0" borderId="31" xfId="0" applyFont="1" applyBorder="1" applyNumberFormat="1">
      <alignment horizontal="center" vertical="center" wrapText="1"/>
    </xf>
    <xf numFmtId="2" fontId="18" fillId="0" borderId="18" xfId="0" applyFont="1" applyBorder="1" applyNumberFormat="1">
      <alignment horizontal="center" vertical="center" wrapText="1"/>
    </xf>
    <xf numFmtId="2" fontId="18" fillId="0" borderId="19" xfId="0" applyFont="1" applyBorder="1" applyNumberFormat="1">
      <alignment horizontal="center" vertical="center" wrapText="1"/>
    </xf>
    <xf numFmtId="2" fontId="18" fillId="0" borderId="11" xfId="0" applyFont="1" applyBorder="1" applyNumberFormat="1">
      <alignment horizontal="center" vertical="center" wrapText="1"/>
    </xf>
    <xf numFmtId="2" fontId="18" fillId="0" borderId="18" xfId="0" applyFont="1" applyBorder="1" applyNumberFormat="1">
      <alignment horizontal="center" vertical="center" wrapText="1"/>
    </xf>
    <xf numFmtId="2" fontId="18" fillId="0" borderId="15" xfId="0" applyFont="1" applyBorder="1" applyNumberFormat="1">
      <alignment horizontal="center" vertical="center" wrapText="1"/>
    </xf>
    <xf numFmtId="2" fontId="18" fillId="0" borderId="28" xfId="0" applyFont="1" applyBorder="1" applyNumberFormat="1">
      <alignment horizontal="center" vertical="center" wrapText="1"/>
    </xf>
    <xf numFmtId="2" fontId="18" fillId="0" borderId="16" xfId="0" applyFont="1" applyBorder="1" applyNumberFormat="1">
      <alignment horizontal="left" vertical="center" wrapText="1"/>
    </xf>
    <xf numFmtId="171" fontId="18" fillId="0" borderId="15" xfId="0" applyFont="1" applyBorder="1" applyNumberFormat="1">
      <alignment horizontal="right" vertical="center" wrapText="1"/>
    </xf>
    <xf numFmtId="171" fontId="18" fillId="0" borderId="20" xfId="0" applyFont="1" applyBorder="1" applyNumberFormat="1">
      <alignment horizontal="right" vertical="center" wrapText="1"/>
    </xf>
    <xf numFmtId="171" fontId="18" fillId="0" borderId="21" xfId="0" applyFont="1" applyBorder="1" applyNumberFormat="1">
      <alignment horizontal="right" vertical="center" wrapText="1"/>
    </xf>
    <xf numFmtId="2" fontId="18" fillId="0" borderId="10" xfId="0" applyFont="1" applyBorder="1" applyNumberFormat="1">
      <alignment horizontal="left" vertical="center" wrapText="1"/>
    </xf>
    <xf numFmtId="2" fontId="18" fillId="0" borderId="11" xfId="0" applyFont="1" applyBorder="1" applyNumberFormat="1">
      <alignment horizontal="center" vertical="center" wrapText="1"/>
    </xf>
    <xf numFmtId="171" fontId="18" fillId="0" borderId="11" xfId="0" applyFont="1" applyBorder="1" applyNumberFormat="1">
      <alignment horizontal="right" vertical="center" wrapText="1"/>
    </xf>
    <xf numFmtId="171" fontId="18" fillId="0" borderId="22" xfId="0" applyFont="1" applyBorder="1" applyNumberFormat="1">
      <alignment horizontal="right" vertical="center" wrapText="1"/>
    </xf>
    <xf numFmtId="171" fontId="18" fillId="0" borderId="23" xfId="0" applyFont="1" applyBorder="1" applyNumberFormat="1">
      <alignment horizontal="right" vertical="center" wrapText="1"/>
    </xf>
    <xf numFmtId="0" fontId="0" fillId="0" borderId="0" xfId="0" applyFont="1"/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2" fontId="18" fillId="0" borderId="12" xfId="0" applyFont="1" applyBorder="1" applyNumberFormat="1">
      <alignment horizontal="left" vertical="center" wrapText="1"/>
    </xf>
    <xf numFmtId="2" fontId="18" fillId="0" borderId="13" xfId="0" applyFont="1" applyBorder="1" applyNumberFormat="1">
      <alignment horizontal="center" vertical="center" wrapText="1"/>
    </xf>
    <xf numFmtId="171" fontId="18" fillId="0" borderId="13" xfId="0" applyFont="1" applyBorder="1" applyNumberFormat="1">
      <alignment horizontal="right" vertical="center" wrapText="1"/>
    </xf>
    <xf numFmtId="171" fontId="18" fillId="0" borderId="24" xfId="0" applyFont="1" applyBorder="1" applyNumberFormat="1">
      <alignment horizontal="right" vertical="center" wrapText="1"/>
    </xf>
    <xf numFmtId="171" fontId="18" fillId="0" borderId="25" xfId="0" applyFont="1" applyBorder="1" applyNumberFormat="1">
      <alignment horizontal="right" vertical="center" wrapText="1"/>
    </xf>
    <xf numFmtId="0" fontId="0" fillId="0" borderId="0" xfId="0" applyFont="1"/>
    <xf numFmtId="0" fontId="20" fillId="0" borderId="26" xfId="0" applyFont="1" applyBorder="1">
      <alignment horizontal="right" vertical="center" wrapText="1"/>
    </xf>
    <xf numFmtId="0" fontId="20" fillId="7" borderId="26" xfId="0" applyFont="1" applyFill="1" applyBorder="1">
      <alignment horizontal="left" vertical="center" wrapText="1"/>
      <protection locked="0"/>
    </xf>
    <xf numFmtId="0" fontId="20" fillId="7" borderId="26" xfId="0" applyFont="1" applyFill="1" applyBorder="1">
      <alignment horizontal="left" vertical="center" wrapText="1"/>
    </xf>
    <xf numFmtId="0" fontId="20" fillId="0" borderId="0" xfId="0" applyFont="1">
      <alignment wrapText="1"/>
    </xf>
    <xf numFmtId="172" fontId="20" fillId="0" borderId="0" xfId="0" applyFont="1" applyNumberFormat="1">
      <alignment horizontal="left" vertical="center" wrapText="1"/>
    </xf>
    <xf numFmtId="0" fontId="0" fillId="0" borderId="0" xfId="0" applyFont="1">
      <alignment wrapText="1"/>
    </xf>
    <xf numFmtId="0" fontId="21" fillId="0" borderId="0" xfId="0" applyFont="1">
      <alignment vertical="top" wrapText="1"/>
    </xf>
    <xf numFmtId="172" fontId="21" fillId="0" borderId="0" xfId="0" applyFont="1" applyNumberFormat="1">
      <alignment vertical="top" wrapText="1"/>
    </xf>
    <xf numFmtId="172" fontId="0" fillId="0" borderId="0" xfId="0" applyFont="1" applyNumberFormat="1">
      <alignment wrapText="1"/>
    </xf>
    <xf numFmtId="0" fontId="0" fillId="33" borderId="0" xfId="0" applyFont="1" applyFill="1">
      <alignment wrapText="1"/>
    </xf>
    <xf numFmtId="0" fontId="0" fillId="0" borderId="0" xfId="0" applyFont="1">
      <alignment wrapText="1"/>
    </xf>
    <xf numFmtId="0" fontId="0" fillId="33" borderId="0" xfId="0" applyFont="1" applyFill="1">
      <alignment wrapText="1"/>
    </xf>
    <xf numFmtId="0" fontId="0" fillId="0" borderId="0" xfId="0" applyFont="1"/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F261EBD-0628-9CE8-2DB8-04C19A468658}" mc:Ignorable="x14ac xr xr2 xr3">
  <sheetPr>
    <pageSetUpPr fitToPage="1"/>
  </sheetPr>
  <dimension ref="A1:R40"/>
  <sheetViews>
    <sheetView defaultGridColor="0" colorId="31" showGridLines="0" workbookViewId="0" tabSelected="1">
      <pane xSplit="3" ySplit="5" topLeftCell="D6" activePane="bottomRight" state="frozen"/>
      <selection pane="bottomLeft" activeCell="A6" sqref="A6"/>
      <selection pane="topRight" activeCell="D1" sqref="D1"/>
      <selection pane="bottomRight" activeCell="A1" sqref="A1"/>
    </sheetView>
  </sheetViews>
  <sheetFormatPr customHeight="1" defaultRowHeight="14.100000000000001"/>
  <cols>
    <col min="1" max="1" width="2.57421875" customWidth="1"/>
    <col min="2" max="2" width="20.57421875" customWidth="1"/>
    <col min="3" max="3" width="8.57421875" customWidth="1"/>
    <col min="4" max="17" width="11.57421875" customWidth="1"/>
    <col min="18" max="18" width="25.57421875" customWidth="1"/>
  </cols>
  <sheetData>
    <row customHeight="1" ht="2.25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customHeight="1" ht="27.75">
      <c r="A2" s="94"/>
      <c r="B2" s="95" t="s">
        <v>0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7"/>
    </row>
    <row customHeight="1" ht="18">
      <c r="A3" s="94"/>
      <c r="B3" s="98" t="s">
        <v>1</v>
      </c>
      <c r="C3" s="99"/>
      <c r="D3" s="99"/>
      <c r="E3" s="99"/>
      <c r="F3" s="100"/>
      <c r="G3" s="101"/>
      <c r="H3" s="102" t="s">
        <v>2</v>
      </c>
      <c r="I3" s="102"/>
      <c r="J3" s="99" t="s">
        <v>3</v>
      </c>
      <c r="K3" s="99"/>
      <c r="L3" s="101"/>
      <c r="M3" s="101"/>
      <c r="N3" s="101"/>
      <c r="O3" s="101"/>
      <c r="P3" s="103" t="s">
        <v>4</v>
      </c>
      <c r="Q3" s="103" t="s">
        <v>4</v>
      </c>
      <c r="R3" s="104" t="s">
        <v>4</v>
      </c>
    </row>
    <row customHeight="1" ht="18">
      <c r="A4" s="94"/>
      <c r="B4" s="85" t="s">
        <v>5</v>
      </c>
      <c r="C4" s="79" t="s">
        <v>6</v>
      </c>
      <c r="D4" s="56" t="s">
        <v>7</v>
      </c>
      <c r="E4" s="79" t="s">
        <v>8</v>
      </c>
      <c r="F4" s="79" t="s">
        <v>9</v>
      </c>
      <c r="G4" s="56" t="s">
        <v>10</v>
      </c>
      <c r="H4" s="56" t="s">
        <v>11</v>
      </c>
      <c r="I4" s="79" t="s">
        <v>12</v>
      </c>
      <c r="J4" s="56" t="s">
        <v>13</v>
      </c>
      <c r="K4" s="56" t="s">
        <v>14</v>
      </c>
      <c r="L4" s="89" t="s">
        <v>15</v>
      </c>
      <c r="M4" s="90"/>
      <c r="N4" s="79" t="s">
        <v>16</v>
      </c>
      <c r="O4" s="79" t="s">
        <v>16</v>
      </c>
      <c r="P4" s="56" t="s">
        <v>17</v>
      </c>
      <c r="Q4" s="56" t="s">
        <v>18</v>
      </c>
      <c r="R4" s="80" t="s">
        <v>19</v>
      </c>
    </row>
    <row customHeight="1" ht="18">
      <c r="A5" s="94"/>
      <c r="B5" s="86" t="s">
        <v>5</v>
      </c>
      <c r="C5" s="87" t="s">
        <v>6</v>
      </c>
      <c r="D5" s="113" t="s">
        <v>20</v>
      </c>
      <c r="E5" s="87" t="s">
        <v>8</v>
      </c>
      <c r="F5" s="87" t="s">
        <v>9</v>
      </c>
      <c r="G5" s="113" t="s">
        <v>21</v>
      </c>
      <c r="H5" s="114" t="s">
        <v>22</v>
      </c>
      <c r="I5" s="87" t="s">
        <v>12</v>
      </c>
      <c r="J5" s="113" t="s">
        <v>23</v>
      </c>
      <c r="K5" s="114" t="s">
        <v>24</v>
      </c>
      <c r="L5" s="59" t="s">
        <v>25</v>
      </c>
      <c r="M5" s="59" t="s">
        <v>26</v>
      </c>
      <c r="N5" s="59" t="s">
        <v>27</v>
      </c>
      <c r="O5" s="59" t="s">
        <v>28</v>
      </c>
      <c r="P5" s="60" t="s">
        <v>29</v>
      </c>
      <c r="Q5" s="117" t="s">
        <v>20</v>
      </c>
      <c r="R5" s="81" t="s">
        <v>19</v>
      </c>
    </row>
    <row customHeight="1" ht="18">
      <c r="A6" s="94"/>
      <c r="B6" s="119" t="s">
        <v>30</v>
      </c>
      <c r="C6" s="117" t="s">
        <v>31</v>
      </c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1"/>
      <c r="R6" s="122" t="s">
        <v>31</v>
      </c>
    </row>
    <row customHeight="1" ht="18">
      <c r="A7" s="94"/>
      <c r="B7" s="123" t="s">
        <v>32</v>
      </c>
      <c r="C7" s="124" t="s">
        <v>33</v>
      </c>
      <c r="D7" s="125">
        <f>_xlfn.IFERROR(取值!D7,0)</f>
        <v>86399</v>
      </c>
      <c r="E7" s="125">
        <f>_xlfn.IFERROR(取值!E7,0)</f>
        <v>6289398.3827145</v>
      </c>
      <c r="F7" s="125">
        <f>_xlfn.IFERROR(取值!F7,0)</f>
        <v>0</v>
      </c>
      <c r="G7" s="125">
        <f>_xlfn.IFERROR(取值!G7,0)</f>
        <v>0</v>
      </c>
      <c r="H7" s="125">
        <f>_xlfn.IFERROR(取值!H7,0)</f>
        <v>6294543</v>
      </c>
      <c r="I7" s="125">
        <f>_xlfn.IFERROR(取值!I7,0)</f>
        <v>0</v>
      </c>
      <c r="J7" s="125">
        <f>_xlfn.IFERROR(取值!J7,0)</f>
        <v>0</v>
      </c>
      <c r="K7" s="125">
        <f>_xlfn.IFERROR(取值!K7,0)</f>
        <v>0</v>
      </c>
      <c r="L7" s="125">
        <f>_xlfn.IFERROR(取值!L7,0)</f>
        <v>0</v>
      </c>
      <c r="M7" s="125">
        <f>_xlfn.IFERROR(取值!M7,0)</f>
        <v>0</v>
      </c>
      <c r="N7" s="125">
        <f>_xlfn.IFERROR(取值!N7,0)</f>
        <v>75.27</v>
      </c>
      <c r="O7" s="125">
        <f>_xlfn.IFERROR(取值!O7,0)</f>
        <v>0</v>
      </c>
      <c r="P7" s="126">
        <f>_xlfn.IFERROR(SUM(Q7,O7,M7,K7,J7,I7,H7)-SUM(D7,E7,F7,G7,L7,N7),0)</f>
        <v>-16498.6527144993</v>
      </c>
      <c r="Q7" s="125">
        <f>_xlfn.IFERROR(取值!Q7,0)</f>
        <v>64831</v>
      </c>
      <c r="R7" s="127" t="str">
        <f>IF(取值!R7=0,"",取值!R7)</f>
        <v/>
      </c>
    </row>
    <row customHeight="1" ht="18">
      <c r="A8" s="94"/>
      <c r="B8" s="123" t="s">
        <v>34</v>
      </c>
      <c r="C8" s="124" t="s">
        <v>33</v>
      </c>
      <c r="D8" s="125">
        <f>_xlfn.IFERROR(取值!D8,0)</f>
        <v>17937</v>
      </c>
      <c r="E8" s="125">
        <f>_xlfn.IFERROR(取值!E8,0)</f>
        <v>0</v>
      </c>
      <c r="F8" s="125">
        <f>_xlfn.IFERROR(取值!F8,0)</f>
        <v>3219561</v>
      </c>
      <c r="G8" s="125">
        <f>_xlfn.IFERROR(取值!G8,0)</f>
        <v>0</v>
      </c>
      <c r="H8" s="125">
        <f>_xlfn.IFERROR(取值!H8,0)</f>
        <v>3217197</v>
      </c>
      <c r="I8" s="125">
        <f>_xlfn.IFERROR(取值!I8,0)</f>
        <v>0</v>
      </c>
      <c r="J8" s="125">
        <f>_xlfn.IFERROR(取值!J8,0)</f>
        <v>0</v>
      </c>
      <c r="K8" s="125">
        <f>_xlfn.IFERROR(取值!K8,0)</f>
        <v>0</v>
      </c>
      <c r="L8" s="125">
        <f>_xlfn.IFERROR(取值!L8,0)</f>
        <v>25725.322</v>
      </c>
      <c r="M8" s="125">
        <f>_xlfn.IFERROR(取值!M8,0)</f>
        <v>0</v>
      </c>
      <c r="N8" s="125">
        <f>_xlfn.IFERROR(取值!N8,0)</f>
        <v>0</v>
      </c>
      <c r="O8" s="125">
        <f>_xlfn.IFERROR(取值!O8,0)</f>
        <v>0</v>
      </c>
      <c r="P8" s="126">
        <f>_xlfn.IFERROR(SUM(Q8,O8,M8,K8,J8,I8,H8)-SUM(D8,E8,F8,G8,L8,N8),0)</f>
        <v>-0.322000000160187</v>
      </c>
      <c r="Q8" s="125">
        <f>_xlfn.IFERROR(取值!Q8,0)</f>
        <v>46026</v>
      </c>
      <c r="R8" s="127" t="str">
        <f>IF(取值!R8=0,"",取值!R8)</f>
        <v/>
      </c>
    </row>
    <row customHeight="1" ht="18">
      <c r="A9" s="94"/>
      <c r="B9" s="123" t="s">
        <v>35</v>
      </c>
      <c r="C9" s="124" t="s">
        <v>33</v>
      </c>
      <c r="D9" s="125">
        <f>_xlfn.IFERROR(取值!D11,0)</f>
        <v>1003</v>
      </c>
      <c r="E9" s="125">
        <f>_xlfn.IFERROR(取值!E11,0)</f>
        <v>14876.06</v>
      </c>
      <c r="F9" s="125">
        <f>_xlfn.IFERROR(取值!F11,0)</f>
        <v>0</v>
      </c>
      <c r="G9" s="125">
        <f>_xlfn.IFERROR(取值!G11,0)</f>
        <v>0</v>
      </c>
      <c r="H9" s="125">
        <f>_xlfn.IFERROR(取值!H11,0)</f>
        <v>14925</v>
      </c>
      <c r="I9" s="125">
        <f>_xlfn.IFERROR(取值!I11,0)</f>
        <v>0</v>
      </c>
      <c r="J9" s="125">
        <f>_xlfn.IFERROR(取值!J11,0)</f>
        <v>0</v>
      </c>
      <c r="K9" s="125">
        <f>_xlfn.IFERROR(取值!K11,0)</f>
        <v>0</v>
      </c>
      <c r="L9" s="125">
        <f>_xlfn.IFERROR(取值!L11,0)</f>
        <v>0</v>
      </c>
      <c r="M9" s="125">
        <f>_xlfn.IFERROR(取值!M11,0)</f>
        <v>0</v>
      </c>
      <c r="N9" s="125">
        <f>_xlfn.IFERROR(取值!N11,0)</f>
        <v>0</v>
      </c>
      <c r="O9" s="125">
        <f>_xlfn.IFERROR(取值!O11,0)</f>
        <v>0</v>
      </c>
      <c r="P9" s="126">
        <f>_xlfn.IFERROR(SUM(Q9,O9,M9,K9,J9,I9,H9)-SUM(D9,E9,F9,G9,L9,N9),0)</f>
        <v>-0.0599999999994907</v>
      </c>
      <c r="Q9" s="125">
        <f>_xlfn.IFERROR(取值!Q11,0)</f>
        <v>954</v>
      </c>
      <c r="R9" s="127" t="str">
        <f>IF(取值!R11=0,"",取值!R11)</f>
        <v/>
      </c>
    </row>
    <row customHeight="1" ht="18">
      <c r="A10" s="94"/>
      <c r="B10" s="123" t="s">
        <v>36</v>
      </c>
      <c r="C10" s="124" t="s">
        <v>33</v>
      </c>
      <c r="D10" s="125">
        <f>_xlfn.IFERROR(取值!D12,0)</f>
        <v>751</v>
      </c>
      <c r="E10" s="125">
        <f>_xlfn.IFERROR(取值!E12,0)</f>
        <v>28048</v>
      </c>
      <c r="F10" s="125">
        <f>_xlfn.IFERROR(取值!F12,0)</f>
        <v>0</v>
      </c>
      <c r="G10" s="125">
        <f>_xlfn.IFERROR(取值!G12,0)</f>
        <v>0</v>
      </c>
      <c r="H10" s="125">
        <f>_xlfn.IFERROR(取值!H12,0)</f>
        <v>27999</v>
      </c>
      <c r="I10" s="125">
        <f>_xlfn.IFERROR(取值!I12,0)</f>
        <v>0</v>
      </c>
      <c r="J10" s="125">
        <f>_xlfn.IFERROR(取值!J12,0)</f>
        <v>0</v>
      </c>
      <c r="K10" s="125">
        <f>_xlfn.IFERROR(取值!K12,0)</f>
        <v>0</v>
      </c>
      <c r="L10" s="125">
        <f>_xlfn.IFERROR(取值!L12,0)</f>
        <v>0</v>
      </c>
      <c r="M10" s="125">
        <f>_xlfn.IFERROR(取值!M12,0)</f>
        <v>0</v>
      </c>
      <c r="N10" s="125">
        <f>_xlfn.IFERROR(取值!N12,0)</f>
        <v>0</v>
      </c>
      <c r="O10" s="125">
        <f>_xlfn.IFERROR(取值!O12,0)</f>
        <v>0</v>
      </c>
      <c r="P10" s="126">
        <f>_xlfn.IFERROR(SUM(Q10,O10,M10,K10,J10,I10,H10)-SUM(D10,E10,F10,G10,L10,N10),0)</f>
        <v>0</v>
      </c>
      <c r="Q10" s="125">
        <f>_xlfn.IFERROR(取值!Q12,0)</f>
        <v>800</v>
      </c>
      <c r="R10" s="127" t="str">
        <f>IF(取值!R12=0,"",取值!R12)</f>
        <v/>
      </c>
    </row>
    <row s="128" customFormat="1" customHeight="1" ht="18">
      <c r="A11" s="129"/>
      <c r="B11" s="123" t="s">
        <v>37</v>
      </c>
      <c r="C11" s="124" t="s">
        <v>33</v>
      </c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6"/>
      <c r="Q11" s="125"/>
      <c r="R11" s="127"/>
    </row>
    <row s="130" customFormat="1" customHeight="1" ht="18">
      <c r="A12" s="129"/>
      <c r="B12" s="123" t="s">
        <v>38</v>
      </c>
      <c r="C12" s="124" t="s">
        <v>33</v>
      </c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6"/>
      <c r="Q12" s="125"/>
      <c r="R12" s="127"/>
    </row>
    <row s="131" customFormat="1" customHeight="1" ht="18">
      <c r="A13" s="129"/>
      <c r="B13" s="123" t="s">
        <v>39</v>
      </c>
      <c r="C13" s="124" t="s">
        <v>33</v>
      </c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6"/>
      <c r="Q13" s="125"/>
      <c r="R13" s="127"/>
    </row>
    <row s="132" customFormat="1" customHeight="1" ht="18">
      <c r="A14" s="129"/>
      <c r="B14" s="123" t="s">
        <v>40</v>
      </c>
      <c r="C14" s="124" t="s">
        <v>33</v>
      </c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6"/>
      <c r="Q14" s="125"/>
      <c r="R14" s="127"/>
    </row>
    <row customHeight="1" ht="18">
      <c r="A15" s="94"/>
      <c r="B15" s="123" t="s">
        <v>41</v>
      </c>
      <c r="C15" s="124" t="s">
        <v>31</v>
      </c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6"/>
      <c r="Q15" s="125"/>
      <c r="R15" s="127"/>
    </row>
    <row customHeight="1" ht="18">
      <c r="A16" s="94"/>
      <c r="B16" s="123" t="s">
        <v>42</v>
      </c>
      <c r="C16" s="124" t="s">
        <v>33</v>
      </c>
      <c r="D16" s="125">
        <f>_xlfn.IFERROR(取值!D14,0)</f>
        <v>16548</v>
      </c>
      <c r="E16" s="125">
        <f>_xlfn.IFERROR(取值!E14,0)</f>
        <v>0</v>
      </c>
      <c r="F16" s="125">
        <f>_xlfn.IFERROR(取值!F14,0)</f>
        <v>3152292</v>
      </c>
      <c r="G16" s="125">
        <f>_xlfn.IFERROR(取值!G14,0)</f>
        <v>0</v>
      </c>
      <c r="H16" s="125">
        <f>_xlfn.IFERROR(取值!H14,0)</f>
        <v>0</v>
      </c>
      <c r="I16" s="125">
        <f>_xlfn.IFERROR(取值!I14,0)</f>
        <v>3151601.43</v>
      </c>
      <c r="J16" s="125">
        <f>_xlfn.IFERROR(取值!J14,0)</f>
        <v>0</v>
      </c>
      <c r="K16" s="125">
        <f>_xlfn.IFERROR(取值!K14,0)</f>
        <v>0</v>
      </c>
      <c r="L16" s="125">
        <f>_xlfn.IFERROR(取值!L14,0)</f>
        <v>0</v>
      </c>
      <c r="M16" s="125">
        <f>_xlfn.IFERROR(取值!M14,0)</f>
        <v>0</v>
      </c>
      <c r="N16" s="125">
        <f>_xlfn.IFERROR(取值!N14,0)</f>
        <v>16210</v>
      </c>
      <c r="O16" s="125">
        <f>_xlfn.IFERROR(取值!O14,0)</f>
        <v>16210</v>
      </c>
      <c r="P16" s="126">
        <f>_xlfn.IFERROR(SUM(Q16,O16,M16,K16,J16,I16,H16)-SUM(D16,E16,F16,G16,L16,N16),0)</f>
        <v>5093.43000000017</v>
      </c>
      <c r="Q16" s="125">
        <f>_xlfn.IFERROR(取值!Q14,0)</f>
        <v>22332</v>
      </c>
      <c r="R16" s="127" t="str">
        <f>IF(取值!R14=0,"",取值!R14)</f>
        <v/>
      </c>
    </row>
    <row customHeight="1" ht="18">
      <c r="A17" s="94"/>
      <c r="B17" s="123" t="s">
        <v>43</v>
      </c>
      <c r="C17" s="124" t="s">
        <v>33</v>
      </c>
      <c r="D17" s="125">
        <f>_xlfn.IFERROR(取值!D17,0)</f>
        <v>10077</v>
      </c>
      <c r="E17" s="125">
        <f>_xlfn.IFERROR(取值!E17,0)</f>
        <v>0</v>
      </c>
      <c r="F17" s="125">
        <f>_xlfn.IFERROR(取值!F17,0)</f>
        <v>1788672</v>
      </c>
      <c r="G17" s="125">
        <f>_xlfn.IFERROR(取值!G17,0)</f>
        <v>0</v>
      </c>
      <c r="H17" s="125">
        <f>_xlfn.IFERROR(取值!H17,0)</f>
        <v>0</v>
      </c>
      <c r="I17" s="125">
        <f>_xlfn.IFERROR(取值!I17,0)</f>
        <v>1794865.84</v>
      </c>
      <c r="J17" s="125">
        <f>_xlfn.IFERROR(取值!J17,0)</f>
        <v>0</v>
      </c>
      <c r="K17" s="125">
        <f>_xlfn.IFERROR(取值!K17,0)</f>
        <v>0</v>
      </c>
      <c r="L17" s="125">
        <f>_xlfn.IFERROR(取值!L17,0)</f>
        <v>0</v>
      </c>
      <c r="M17" s="125">
        <f>_xlfn.IFERROR(取值!M17,0)</f>
        <v>0</v>
      </c>
      <c r="N17" s="125">
        <f>_xlfn.IFERROR(取值!N17,0)</f>
        <v>8105</v>
      </c>
      <c r="O17" s="125">
        <f>_xlfn.IFERROR(取值!O17,0)</f>
        <v>8105</v>
      </c>
      <c r="P17" s="126">
        <f>_xlfn.IFERROR(SUM(Q17,O17,M17,K17,J17,I17,H17)-SUM(D17,E17,F17,G17,L17,N17),0)</f>
        <v>6205.84000000008</v>
      </c>
      <c r="Q17" s="125">
        <f>_xlfn.IFERROR(取值!Q17,0)</f>
        <v>10089</v>
      </c>
      <c r="R17" s="127" t="str">
        <f>IF(取值!R17=0,"",取值!R17)</f>
        <v/>
      </c>
    </row>
    <row customHeight="1" ht="18">
      <c r="A18" s="94"/>
      <c r="B18" s="123" t="s">
        <v>44</v>
      </c>
      <c r="C18" s="124" t="s">
        <v>33</v>
      </c>
      <c r="D18" s="125">
        <f>_xlfn.IFERROR(取值!D18,0)</f>
        <v>6471</v>
      </c>
      <c r="E18" s="125">
        <f>_xlfn.IFERROR(取值!E18,0)</f>
        <v>0</v>
      </c>
      <c r="F18" s="125">
        <f>_xlfn.IFERROR(取值!F18,0)</f>
        <v>1338521</v>
      </c>
      <c r="G18" s="125">
        <f>_xlfn.IFERROR(取值!G18,0)</f>
        <v>0</v>
      </c>
      <c r="H18" s="125">
        <f>_xlfn.IFERROR(取值!H18,0)</f>
        <v>0</v>
      </c>
      <c r="I18" s="125">
        <f>_xlfn.IFERROR(取值!I18,0)</f>
        <v>1331636.43</v>
      </c>
      <c r="J18" s="125">
        <f>_xlfn.IFERROR(取值!J18,0)</f>
        <v>0</v>
      </c>
      <c r="K18" s="125">
        <f>_xlfn.IFERROR(取值!K18,0)</f>
        <v>0</v>
      </c>
      <c r="L18" s="125">
        <f>_xlfn.IFERROR(取值!L18,0)</f>
        <v>0</v>
      </c>
      <c r="M18" s="125">
        <f>_xlfn.IFERROR(取值!M18,0)</f>
        <v>0</v>
      </c>
      <c r="N18" s="125">
        <f>_xlfn.IFERROR(取值!N18,0)</f>
        <v>8105</v>
      </c>
      <c r="O18" s="125">
        <f>_xlfn.IFERROR(取值!O18,0)</f>
        <v>8105</v>
      </c>
      <c r="P18" s="126">
        <f>_xlfn.IFERROR(SUM(Q18,O18,M18,K18,J18,I18,H18)-SUM(D18,E18,F18,G18,L18,N18),0)</f>
        <v>-1112.57000000007</v>
      </c>
      <c r="Q18" s="125">
        <f>_xlfn.IFERROR(取值!Q18,0)</f>
        <v>12243</v>
      </c>
      <c r="R18" s="127" t="str">
        <f>IF(取值!R18=0,"",取值!R18)</f>
        <v/>
      </c>
    </row>
    <row customHeight="1" ht="18">
      <c r="A19" s="94"/>
      <c r="B19" s="123" t="s">
        <v>45</v>
      </c>
      <c r="C19" s="124" t="s">
        <v>33</v>
      </c>
      <c r="D19" s="125">
        <f>_xlfn.IFERROR(取值!D16,0)</f>
        <v>0</v>
      </c>
      <c r="E19" s="125">
        <f>_xlfn.IFERROR(取值!E16,0)</f>
        <v>0</v>
      </c>
      <c r="F19" s="125">
        <f>_xlfn.IFERROR(取值!F16,0)</f>
        <v>25099</v>
      </c>
      <c r="G19" s="125">
        <f>_xlfn.IFERROR(取值!G16,0)</f>
        <v>0</v>
      </c>
      <c r="H19" s="125">
        <f>_xlfn.IFERROR(取值!H16,0)</f>
        <v>0</v>
      </c>
      <c r="I19" s="125">
        <f>_xlfn.IFERROR(取值!I16,0)</f>
        <v>25099</v>
      </c>
      <c r="J19" s="125">
        <f>_xlfn.IFERROR(取值!J16,0)</f>
        <v>0</v>
      </c>
      <c r="K19" s="125">
        <f>_xlfn.IFERROR(取值!K16,0)</f>
        <v>0</v>
      </c>
      <c r="L19" s="125">
        <f>_xlfn.IFERROR(取值!L16,0)</f>
        <v>0</v>
      </c>
      <c r="M19" s="125">
        <f>_xlfn.IFERROR(取值!M16,0)</f>
        <v>0</v>
      </c>
      <c r="N19" s="125">
        <f>_xlfn.IFERROR(取值!N16,0)</f>
        <v>0</v>
      </c>
      <c r="O19" s="125">
        <f>_xlfn.IFERROR(取值!O16,0)</f>
        <v>0</v>
      </c>
      <c r="P19" s="126">
        <f>_xlfn.IFERROR(SUM(Q19,O19,M19,K19,J19,I19,H19)-SUM(D19,E19,F19,G19,L19,N19),0)</f>
        <v>0</v>
      </c>
      <c r="Q19" s="125">
        <f>_xlfn.IFERROR(取值!Q16,0)</f>
        <v>0</v>
      </c>
      <c r="R19" s="127" t="str">
        <f>IF(取值!R16=0,"",取值!R16)</f>
        <v/>
      </c>
    </row>
    <row customHeight="1" ht="18">
      <c r="A20" s="94"/>
      <c r="B20" s="123" t="s">
        <v>46</v>
      </c>
      <c r="C20" s="124" t="s">
        <v>33</v>
      </c>
      <c r="D20" s="125">
        <f>_xlfn.IFERROR(取值!D19,0)</f>
        <v>21731</v>
      </c>
      <c r="E20" s="125">
        <f>_xlfn.IFERROR(取值!E19,0)</f>
        <v>0</v>
      </c>
      <c r="F20" s="125">
        <f>_xlfn.IFERROR(取值!F19,0)</f>
        <v>2575563</v>
      </c>
      <c r="G20" s="125">
        <f>_xlfn.IFERROR(取值!G19,0)</f>
        <v>0</v>
      </c>
      <c r="H20" s="125">
        <f>_xlfn.IFERROR(取值!H19,0)</f>
        <v>0</v>
      </c>
      <c r="I20" s="125">
        <f>_xlfn.IFERROR(取值!I19,0)</f>
        <v>2590712.997</v>
      </c>
      <c r="J20" s="125">
        <f>_xlfn.IFERROR(取值!J19,0)</f>
        <v>0</v>
      </c>
      <c r="K20" s="125">
        <f>_xlfn.IFERROR(取值!K19,0)</f>
        <v>3.98</v>
      </c>
      <c r="L20" s="125">
        <f>_xlfn.IFERROR(取值!L19,0)</f>
        <v>0</v>
      </c>
      <c r="M20" s="125">
        <f>_xlfn.IFERROR(取值!M19,0)</f>
        <v>831.02</v>
      </c>
      <c r="N20" s="125">
        <f>_xlfn.IFERROR(取值!N19,0)</f>
        <v>0</v>
      </c>
      <c r="O20" s="125">
        <f>_xlfn.IFERROR(取值!O19,0)</f>
        <v>0</v>
      </c>
      <c r="P20" s="126">
        <f>_xlfn.IFERROR(SUM(Q20,O20,M20,K20,J20,I20,H20)-SUM(D20,E20,F20,G20,L20,N20),0)</f>
        <v>4801.99699999997</v>
      </c>
      <c r="Q20" s="125">
        <f>_xlfn.IFERROR(取值!Q19,0)</f>
        <v>10548</v>
      </c>
      <c r="R20" s="127" t="str">
        <f>IF(取值!R19=0,"",取值!R19)</f>
        <v/>
      </c>
    </row>
    <row customHeight="1" ht="18">
      <c r="A21" s="94"/>
      <c r="B21" s="123" t="s">
        <v>47</v>
      </c>
      <c r="C21" s="124" t="s">
        <v>33</v>
      </c>
      <c r="D21" s="125">
        <f>_xlfn.IFERROR(取值!D22,0)</f>
        <v>21731</v>
      </c>
      <c r="E21" s="125">
        <f>_xlfn.IFERROR(取值!E22,0)</f>
        <v>0</v>
      </c>
      <c r="F21" s="125">
        <f>_xlfn.IFERROR(取值!F22,0)</f>
        <v>2575563</v>
      </c>
      <c r="G21" s="125">
        <f>_xlfn.IFERROR(取值!G22,0)</f>
        <v>0</v>
      </c>
      <c r="H21" s="125">
        <f>_xlfn.IFERROR(取值!H22,0)</f>
        <v>0</v>
      </c>
      <c r="I21" s="125">
        <f>_xlfn.IFERROR(取值!I22,0)</f>
        <v>2590712.997</v>
      </c>
      <c r="J21" s="125">
        <f>_xlfn.IFERROR(取值!J22,0)</f>
        <v>0</v>
      </c>
      <c r="K21" s="125">
        <f>_xlfn.IFERROR(取值!K22,0)</f>
        <v>3.98</v>
      </c>
      <c r="L21" s="125">
        <f>_xlfn.IFERROR(取值!L22,0)</f>
        <v>0</v>
      </c>
      <c r="M21" s="125">
        <f>_xlfn.IFERROR(取值!M22,0)</f>
        <v>831.02</v>
      </c>
      <c r="N21" s="125">
        <f>_xlfn.IFERROR(取值!N22,0)</f>
        <v>0</v>
      </c>
      <c r="O21" s="125">
        <f>_xlfn.IFERROR(取值!O22,0)</f>
        <v>0</v>
      </c>
      <c r="P21" s="126">
        <f>_xlfn.IFERROR(SUM(Q21,O21,M21,K21,J21,I21,H21)-SUM(D21,E21,F21,G21,L21,N21),0)</f>
        <v>4801.99699999997</v>
      </c>
      <c r="Q21" s="125">
        <f>_xlfn.IFERROR(取值!Q22,0)</f>
        <v>10548</v>
      </c>
      <c r="R21" s="127" t="str">
        <f>IF(取值!R22=0,"",取值!R22)</f>
        <v/>
      </c>
    </row>
    <row customHeight="1" ht="18">
      <c r="A22" s="94"/>
      <c r="B22" s="123" t="s">
        <v>48</v>
      </c>
      <c r="C22" s="124" t="s">
        <v>33</v>
      </c>
      <c r="D22" s="125">
        <f>_xlfn.IFERROR(取值!D24,0)</f>
        <v>0</v>
      </c>
      <c r="E22" s="125">
        <f>_xlfn.IFERROR(取值!E24,0)</f>
        <v>0</v>
      </c>
      <c r="F22" s="125">
        <f>_xlfn.IFERROR(取值!F24,0)</f>
        <v>0</v>
      </c>
      <c r="G22" s="125">
        <f>_xlfn.IFERROR(取值!G24,0)</f>
        <v>0</v>
      </c>
      <c r="H22" s="125">
        <f>_xlfn.IFERROR(取值!H24,0)</f>
        <v>0</v>
      </c>
      <c r="I22" s="125">
        <f>_xlfn.IFERROR(取值!I24,0)</f>
        <v>0</v>
      </c>
      <c r="J22" s="125">
        <f>_xlfn.IFERROR(取值!J24,0)</f>
        <v>0</v>
      </c>
      <c r="K22" s="125">
        <f>_xlfn.IFERROR(取值!K24,0)</f>
        <v>0</v>
      </c>
      <c r="L22" s="125">
        <f>_xlfn.IFERROR(取值!L24,0)</f>
        <v>0</v>
      </c>
      <c r="M22" s="125">
        <f>_xlfn.IFERROR(取值!M24,0)</f>
        <v>0</v>
      </c>
      <c r="N22" s="125">
        <f>_xlfn.IFERROR(取值!N24,0)</f>
        <v>0</v>
      </c>
      <c r="O22" s="125">
        <f>_xlfn.IFERROR(取值!O24,0)</f>
        <v>0</v>
      </c>
      <c r="P22" s="126">
        <f>_xlfn.IFERROR(SUM(Q22,O22,M22,K22,J22,I22,H22)-SUM(D22,E22,F22,G22,L22,N22),0)</f>
        <v>0</v>
      </c>
      <c r="Q22" s="125">
        <f>_xlfn.IFERROR(取值!Q24,0)</f>
        <v>0</v>
      </c>
      <c r="R22" s="127" t="str">
        <f>IF(取值!R24=0,"",取值!R24)</f>
        <v/>
      </c>
    </row>
    <row s="133" customFormat="1" customHeight="1" ht="18">
      <c r="A23" s="129"/>
      <c r="B23" s="123" t="s">
        <v>49</v>
      </c>
      <c r="C23" s="124" t="s">
        <v>33</v>
      </c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6"/>
      <c r="Q23" s="125"/>
      <c r="R23" s="127"/>
    </row>
    <row s="134" customFormat="1" customHeight="1" ht="18">
      <c r="A24" s="129"/>
      <c r="B24" s="123" t="s">
        <v>50</v>
      </c>
      <c r="C24" s="124" t="s">
        <v>33</v>
      </c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6"/>
      <c r="Q24" s="125"/>
      <c r="R24" s="127"/>
    </row>
    <row customHeight="1" ht="18">
      <c r="A25" s="94"/>
      <c r="B25" s="123" t="s">
        <v>51</v>
      </c>
      <c r="C25" s="124" t="s">
        <v>33</v>
      </c>
      <c r="D25" s="125">
        <f>_xlfn.IFERROR(取值!D27,0)</f>
        <v>501</v>
      </c>
      <c r="E25" s="125">
        <f>_xlfn.IFERROR(取值!E27,0)</f>
        <v>0</v>
      </c>
      <c r="F25" s="125">
        <f>_xlfn.IFERROR(取值!F27,0)</f>
        <v>103425</v>
      </c>
      <c r="G25" s="125">
        <f>_xlfn.IFERROR(取值!G27,0)</f>
        <v>0</v>
      </c>
      <c r="H25" s="125">
        <f>_xlfn.IFERROR(取值!H27,0)</f>
        <v>0</v>
      </c>
      <c r="I25" s="125">
        <f>_xlfn.IFERROR(取值!I27,0)</f>
        <v>103015</v>
      </c>
      <c r="J25" s="125">
        <f>_xlfn.IFERROR(取值!J27,0)</f>
        <v>0</v>
      </c>
      <c r="K25" s="125">
        <f>_xlfn.IFERROR(取值!K27,0)</f>
        <v>0</v>
      </c>
      <c r="L25" s="125">
        <f>_xlfn.IFERROR(取值!L27,0)</f>
        <v>0</v>
      </c>
      <c r="M25" s="125">
        <f>_xlfn.IFERROR(取值!M27,0)</f>
        <v>0</v>
      </c>
      <c r="N25" s="125">
        <f>_xlfn.IFERROR(取值!N27,0)</f>
        <v>0</v>
      </c>
      <c r="O25" s="125">
        <f>_xlfn.IFERROR(取值!O27,0)</f>
        <v>0</v>
      </c>
      <c r="P25" s="126">
        <f>_xlfn.IFERROR(SUM(Q25,O25,M25,K25,J25,I25,H25)-SUM(D25,E25,F25,G25,L25,N25),0)</f>
        <v>0</v>
      </c>
      <c r="Q25" s="125">
        <f>_xlfn.IFERROR(取值!Q27,0)</f>
        <v>911</v>
      </c>
      <c r="R25" s="127" t="str">
        <f>IF(取值!R27=0,"",取值!R27)</f>
        <v/>
      </c>
    </row>
    <row s="135" customFormat="1" customHeight="1" ht="18">
      <c r="A26" s="129"/>
      <c r="B26" s="123" t="s">
        <v>52</v>
      </c>
      <c r="C26" s="124" t="s">
        <v>33</v>
      </c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6"/>
      <c r="Q26" s="125"/>
      <c r="R26" s="127"/>
    </row>
    <row customHeight="1" ht="18">
      <c r="A27" s="94"/>
      <c r="B27" s="123" t="s">
        <v>53</v>
      </c>
      <c r="C27" s="124" t="s">
        <v>33</v>
      </c>
      <c r="D27" s="125">
        <f>_xlfn.IFERROR(取值!D28,0)</f>
        <v>2091</v>
      </c>
      <c r="E27" s="125">
        <f>_xlfn.IFERROR(取值!E28,0)</f>
        <v>0</v>
      </c>
      <c r="F27" s="125">
        <f>_xlfn.IFERROR(取值!F28,0)</f>
        <v>59047</v>
      </c>
      <c r="G27" s="125">
        <f>_xlfn.IFERROR(取值!G28,0)</f>
        <v>0</v>
      </c>
      <c r="H27" s="125">
        <f>_xlfn.IFERROR(取值!H28,0)</f>
        <v>0</v>
      </c>
      <c r="I27" s="125">
        <f>_xlfn.IFERROR(取值!I28,0)</f>
        <v>58520.48</v>
      </c>
      <c r="J27" s="125">
        <f>_xlfn.IFERROR(取值!J28,0)</f>
        <v>0</v>
      </c>
      <c r="K27" s="125">
        <f>_xlfn.IFERROR(取值!K28,0)</f>
        <v>0</v>
      </c>
      <c r="L27" s="125">
        <f>_xlfn.IFERROR(取值!L28,0)</f>
        <v>0</v>
      </c>
      <c r="M27" s="125">
        <f>_xlfn.IFERROR(取值!M28,0)</f>
        <v>0</v>
      </c>
      <c r="N27" s="125">
        <f>_xlfn.IFERROR(取值!N28,0)</f>
        <v>0</v>
      </c>
      <c r="O27" s="125">
        <f>_xlfn.IFERROR(取值!O28,0)</f>
        <v>0</v>
      </c>
      <c r="P27" s="126">
        <f>_xlfn.IFERROR(SUM(Q27,O27,M27,K27,J27,I27,H27)-SUM(D27,E27,F27,G27,L27,N27),0)</f>
        <v>-0.119999999995343</v>
      </c>
      <c r="Q27" s="125">
        <f>_xlfn.IFERROR(取值!Q28,0)</f>
        <v>2617.4</v>
      </c>
      <c r="R27" s="127" t="str">
        <f>IF(取值!R28=0,"",取值!R28)</f>
        <v/>
      </c>
    </row>
    <row customHeight="1" ht="18">
      <c r="A28" s="94"/>
      <c r="B28" s="123" t="s">
        <v>54</v>
      </c>
      <c r="C28" s="124" t="s">
        <v>33</v>
      </c>
      <c r="D28" s="125">
        <f>_xlfn.IFERROR(取值!D25,0)</f>
        <v>30059</v>
      </c>
      <c r="E28" s="125">
        <f>_xlfn.IFERROR(取值!E25,0)</f>
        <v>0</v>
      </c>
      <c r="F28" s="125">
        <f>_xlfn.IFERROR(取值!F25,0)</f>
        <v>0</v>
      </c>
      <c r="G28" s="125">
        <f>_xlfn.IFERROR(取值!G25,0)</f>
        <v>127332</v>
      </c>
      <c r="H28" s="125">
        <f>_xlfn.IFERROR(取值!H25,0)</f>
        <v>0</v>
      </c>
      <c r="I28" s="125">
        <f>_xlfn.IFERROR(取值!I25,0)</f>
        <v>119058</v>
      </c>
      <c r="J28" s="125">
        <f>_xlfn.IFERROR(取值!J25,0)</f>
        <v>0</v>
      </c>
      <c r="K28" s="125">
        <f>_xlfn.IFERROR(取值!K25,0)</f>
        <v>0</v>
      </c>
      <c r="L28" s="125">
        <f>_xlfn.IFERROR(取值!L25,0)</f>
        <v>0</v>
      </c>
      <c r="M28" s="125">
        <f>_xlfn.IFERROR(取值!M25,0)</f>
        <v>0</v>
      </c>
      <c r="N28" s="125">
        <f>_xlfn.IFERROR(取值!N25,0)</f>
        <v>0</v>
      </c>
      <c r="O28" s="125">
        <f>_xlfn.IFERROR(取值!O25,0)</f>
        <v>425</v>
      </c>
      <c r="P28" s="126">
        <f>_xlfn.IFERROR(SUM(Q28,O28,M28,K28,J28,I28,H28)-SUM(D28,E28,F28,G28,L28,N28),0)</f>
        <v>0</v>
      </c>
      <c r="Q28" s="125">
        <f>_xlfn.IFERROR(取值!Q25,0)</f>
        <v>37908</v>
      </c>
      <c r="R28" s="127" t="str">
        <f>IF(取值!R25=0,"",取值!R25)</f>
        <v/>
      </c>
    </row>
    <row customHeight="1" ht="18">
      <c r="A29" s="94"/>
      <c r="B29" s="123" t="s">
        <v>55</v>
      </c>
      <c r="C29" s="124" t="s">
        <v>33</v>
      </c>
      <c r="D29" s="125">
        <f>_xlfn.IFERROR(取值!D35,0)</f>
        <v>0</v>
      </c>
      <c r="E29" s="125">
        <f>_xlfn.IFERROR(取值!E35,0)</f>
        <v>0</v>
      </c>
      <c r="F29" s="125">
        <f>_xlfn.IFERROR(取值!F35,0)</f>
        <v>0</v>
      </c>
      <c r="G29" s="125">
        <f>_xlfn.IFERROR(取值!G35,0)</f>
        <v>4597</v>
      </c>
      <c r="H29" s="125">
        <f>_xlfn.IFERROR(取值!H35,0)</f>
        <v>0</v>
      </c>
      <c r="I29" s="125">
        <f>_xlfn.IFERROR(取值!I35,0)</f>
        <v>4597</v>
      </c>
      <c r="J29" s="125">
        <f>_xlfn.IFERROR(取值!J35,0)</f>
        <v>0</v>
      </c>
      <c r="K29" s="125">
        <f>_xlfn.IFERROR(取值!K35,0)</f>
        <v>0</v>
      </c>
      <c r="L29" s="125">
        <f>_xlfn.IFERROR(取值!L35,0)</f>
        <v>0</v>
      </c>
      <c r="M29" s="125">
        <f>_xlfn.IFERROR(取值!M35,0)</f>
        <v>0</v>
      </c>
      <c r="N29" s="125">
        <f>_xlfn.IFERROR(取值!N35,0)</f>
        <v>0</v>
      </c>
      <c r="O29" s="125">
        <f>_xlfn.IFERROR(取值!O35,0)</f>
        <v>0</v>
      </c>
      <c r="P29" s="126">
        <f>_xlfn.IFERROR(SUM(Q29,O29,M29,K29,J29,I29,H29)-SUM(D29,E29,F29,G29,L29,N29),0)</f>
        <v>0</v>
      </c>
      <c r="Q29" s="125">
        <f>_xlfn.IFERROR(取值!Q35,0)</f>
        <v>0</v>
      </c>
      <c r="R29" s="127" t="str">
        <f>IF(取值!R35=0,"",取值!R35)</f>
        <v/>
      </c>
    </row>
    <row s="136" customFormat="1" customHeight="1" ht="18">
      <c r="A30" s="129"/>
      <c r="B30" s="123" t="s">
        <v>56</v>
      </c>
      <c r="C30" s="124" t="s">
        <v>33</v>
      </c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6"/>
      <c r="Q30" s="125"/>
      <c r="R30" s="127"/>
    </row>
    <row customHeight="1" ht="18">
      <c r="A31" s="94"/>
      <c r="B31" s="123" t="s">
        <v>57</v>
      </c>
      <c r="C31" s="124" t="s">
        <v>33</v>
      </c>
      <c r="D31" s="125">
        <f>_xlfn.IFERROR(取值!D33,0)</f>
        <v>953</v>
      </c>
      <c r="E31" s="125">
        <f>_xlfn.IFERROR(取值!E33,0)</f>
        <v>0</v>
      </c>
      <c r="F31" s="125">
        <f>_xlfn.IFERROR(取值!F33,0)</f>
        <v>52640</v>
      </c>
      <c r="G31" s="125">
        <f>_xlfn.IFERROR(取值!G33,0)</f>
        <v>0</v>
      </c>
      <c r="H31" s="125">
        <f>_xlfn.IFERROR(取值!H33,0)</f>
        <v>0</v>
      </c>
      <c r="I31" s="125">
        <f>_xlfn.IFERROR(取值!I33,0)</f>
        <v>52676</v>
      </c>
      <c r="J31" s="125">
        <f>_xlfn.IFERROR(取值!J33,0)</f>
        <v>0</v>
      </c>
      <c r="K31" s="125">
        <f>_xlfn.IFERROR(取值!K33,0)</f>
        <v>0</v>
      </c>
      <c r="L31" s="125">
        <f>_xlfn.IFERROR(取值!L33,0)</f>
        <v>0</v>
      </c>
      <c r="M31" s="125">
        <f>_xlfn.IFERROR(取值!M33,0)</f>
        <v>0</v>
      </c>
      <c r="N31" s="125">
        <f>_xlfn.IFERROR(取值!N33,0)</f>
        <v>0</v>
      </c>
      <c r="O31" s="125">
        <f>_xlfn.IFERROR(取值!O33,0)</f>
        <v>0</v>
      </c>
      <c r="P31" s="126">
        <f>_xlfn.IFERROR(SUM(Q31,O31,M31,K31,J31,I31,H31)-SUM(D31,E31,F31,G31,L31,N31),0)</f>
        <v>0</v>
      </c>
      <c r="Q31" s="125">
        <f>_xlfn.IFERROR(取值!Q33,0)</f>
        <v>917</v>
      </c>
      <c r="R31" s="127" t="str">
        <f>IF(取值!R33=0,"",取值!R33)</f>
        <v/>
      </c>
    </row>
    <row s="137" customFormat="1" customHeight="1" ht="18">
      <c r="A32" s="129"/>
      <c r="B32" s="123" t="s">
        <v>58</v>
      </c>
      <c r="C32" s="124" t="s">
        <v>33</v>
      </c>
      <c r="D32" s="125">
        <f>取值!D34</f>
        <v>535</v>
      </c>
      <c r="E32" s="125">
        <f>取值!E34</f>
        <v>0</v>
      </c>
      <c r="F32" s="125">
        <f>取值!F34</f>
        <v>27456</v>
      </c>
      <c r="G32" s="125">
        <f>取值!G34</f>
        <v>0</v>
      </c>
      <c r="H32" s="125">
        <f>取值!H34</f>
        <v>0</v>
      </c>
      <c r="I32" s="125">
        <f>取值!I34</f>
        <v>27051.92</v>
      </c>
      <c r="J32" s="125">
        <f>取值!J34</f>
        <v>0</v>
      </c>
      <c r="K32" s="125">
        <f>取值!K34</f>
        <v>0</v>
      </c>
      <c r="L32" s="125">
        <f>取值!L34</f>
        <v>0</v>
      </c>
      <c r="M32" s="125">
        <f>取值!M34</f>
        <v>0</v>
      </c>
      <c r="N32" s="125">
        <f>取值!N34</f>
        <v>0</v>
      </c>
      <c r="O32" s="125">
        <f>取值!O34</f>
        <v>0</v>
      </c>
      <c r="P32" s="126">
        <f>_xlfn.IFERROR(SUM(Q32,O32,M32,K32,J32,I32,H32)-SUM(D32,E32,F32,G32,L32,N32),0)</f>
        <v>-0.0800000000017462</v>
      </c>
      <c r="Q32" s="125">
        <f>_xlfn.IFERROR(取值!Q34,0)</f>
        <v>939</v>
      </c>
      <c r="R32" s="127"/>
    </row>
    <row customHeight="1" ht="18">
      <c r="A33" s="94"/>
      <c r="B33" s="123" t="s">
        <v>59</v>
      </c>
      <c r="C33" s="124" t="s">
        <v>33</v>
      </c>
      <c r="D33" s="125">
        <f>_xlfn.IFERROR(取值!D31,0)</f>
        <v>1338</v>
      </c>
      <c r="E33" s="125">
        <f>_xlfn.IFERROR(取值!E31,0)</f>
        <v>0</v>
      </c>
      <c r="F33" s="125">
        <f>_xlfn.IFERROR(取值!F31,0)</f>
        <v>23244</v>
      </c>
      <c r="G33" s="125">
        <f>_xlfn.IFERROR(取值!G31,0)</f>
        <v>0</v>
      </c>
      <c r="H33" s="125">
        <f>_xlfn.IFERROR(取值!H31,0)</f>
        <v>0</v>
      </c>
      <c r="I33" s="125">
        <f>_xlfn.IFERROR(取值!I31,0)</f>
        <v>23150.62</v>
      </c>
      <c r="J33" s="125">
        <f>_xlfn.IFERROR(取值!J31,0)</f>
        <v>0</v>
      </c>
      <c r="K33" s="125">
        <f>_xlfn.IFERROR(取值!K31,0)</f>
        <v>0</v>
      </c>
      <c r="L33" s="125">
        <f>_xlfn.IFERROR(取值!L31,0)</f>
        <v>0</v>
      </c>
      <c r="M33" s="125">
        <f>_xlfn.IFERROR(取值!M31,0)</f>
        <v>0</v>
      </c>
      <c r="N33" s="125">
        <f>_xlfn.IFERROR(取值!N31,0)</f>
        <v>0</v>
      </c>
      <c r="O33" s="125">
        <f>_xlfn.IFERROR(取值!O31,0)</f>
        <v>0</v>
      </c>
      <c r="P33" s="126">
        <f>_xlfn.IFERROR(SUM(Q33,O33,M33,K33,J33,I33,H33)-SUM(D33,E33,F33,G33,L33,N33),0)</f>
        <v>-0.880000000001019</v>
      </c>
      <c r="Q33" s="125">
        <f>_xlfn.IFERROR(取值!Q31,0)</f>
        <v>1430.5</v>
      </c>
      <c r="R33" s="127" t="str">
        <f>IF(取值!R31=0,"",取值!R31)</f>
        <v/>
      </c>
    </row>
    <row customHeight="1" ht="18">
      <c r="A34" s="94"/>
      <c r="B34" s="123" t="s">
        <v>60</v>
      </c>
      <c r="C34" s="124" t="s">
        <v>33</v>
      </c>
      <c r="D34" s="125">
        <f>_xlfn.IFERROR(取值!D32,0)</f>
        <v>0</v>
      </c>
      <c r="E34" s="125">
        <f>_xlfn.IFERROR(取值!E32,0)</f>
        <v>0</v>
      </c>
      <c r="F34" s="125">
        <f>_xlfn.IFERROR(取值!F32,0)</f>
        <v>207.14</v>
      </c>
      <c r="G34" s="125">
        <f>_xlfn.IFERROR(取值!G32,0)</f>
        <v>0</v>
      </c>
      <c r="H34" s="125">
        <f>_xlfn.IFERROR(取值!H32,0)</f>
        <v>0</v>
      </c>
      <c r="I34" s="125">
        <f>_xlfn.IFERROR(取值!I32,0)</f>
        <v>177.14</v>
      </c>
      <c r="J34" s="125">
        <f>_xlfn.IFERROR(取值!J32,0)</f>
        <v>0</v>
      </c>
      <c r="K34" s="125">
        <f>_xlfn.IFERROR(取值!K32,0)</f>
        <v>0</v>
      </c>
      <c r="L34" s="125">
        <f>_xlfn.IFERROR(取值!L32,0)</f>
        <v>0</v>
      </c>
      <c r="M34" s="125">
        <f>_xlfn.IFERROR(取值!M32,0)</f>
        <v>0</v>
      </c>
      <c r="N34" s="125">
        <f>_xlfn.IFERROR(取值!N32,0)</f>
        <v>0</v>
      </c>
      <c r="O34" s="125">
        <f>_xlfn.IFERROR(取值!O32,0)</f>
        <v>0</v>
      </c>
      <c r="P34" s="126">
        <f>_xlfn.IFERROR(SUM(Q34,O34,M34,K34,J34,I34,H34)-SUM(D34,E34,F34,G34,L34,N34),0)</f>
        <v>0</v>
      </c>
      <c r="Q34" s="125">
        <f>_xlfn.IFERROR(取值!Q32,0)</f>
        <v>30</v>
      </c>
      <c r="R34" s="127" t="str">
        <f>IF(取值!R32=0,"",取值!R32)</f>
        <v/>
      </c>
    </row>
    <row s="138" customFormat="1" customHeight="1" ht="18">
      <c r="A35" s="129"/>
      <c r="B35" s="123" t="s">
        <v>61</v>
      </c>
      <c r="C35" s="124" t="s">
        <v>33</v>
      </c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6"/>
      <c r="Q35" s="125"/>
      <c r="R35" s="127"/>
    </row>
    <row s="139" customFormat="1" customHeight="1" ht="18">
      <c r="A36" s="129"/>
      <c r="B36" s="123" t="s">
        <v>62</v>
      </c>
      <c r="C36" s="124" t="s">
        <v>33</v>
      </c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6"/>
      <c r="Q36" s="125"/>
      <c r="R36" s="127"/>
    </row>
    <row s="140" customFormat="1" customHeight="1" ht="18">
      <c r="A37" s="129"/>
      <c r="B37" s="123" t="s">
        <v>63</v>
      </c>
      <c r="C37" s="124" t="s">
        <v>33</v>
      </c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6"/>
      <c r="Q37" s="125"/>
      <c r="R37" s="127"/>
    </row>
    <row customHeight="1" ht="18">
      <c r="A38" s="94"/>
      <c r="B38" s="123" t="s">
        <v>64</v>
      </c>
      <c r="C38" s="124" t="s">
        <v>33</v>
      </c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6"/>
      <c r="Q38" s="125"/>
      <c r="R38" s="127"/>
    </row>
    <row customHeight="1" ht="18">
      <c r="A39" s="94"/>
      <c r="B39" s="141" t="s">
        <v>65</v>
      </c>
      <c r="C39" s="142" t="s">
        <v>33</v>
      </c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4"/>
      <c r="R39" s="145" t="s">
        <v>31</v>
      </c>
    </row>
    <row s="146" customFormat="1" customHeight="1" ht="18">
      <c r="A40" s="129"/>
      <c r="B40" s="147" t="s">
        <v>66</v>
      </c>
      <c r="C40" s="147"/>
      <c r="D40" s="148" t="s">
        <v>67</v>
      </c>
      <c r="E40" s="149"/>
      <c r="F40" s="150"/>
      <c r="G40" s="150"/>
      <c r="H40" s="147" t="s">
        <v>68</v>
      </c>
      <c r="I40" s="147"/>
      <c r="J40" s="148" t="s">
        <v>69</v>
      </c>
      <c r="K40" s="149"/>
      <c r="L40" s="150"/>
      <c r="M40" s="150"/>
      <c r="N40" s="150"/>
      <c r="O40" s="150"/>
      <c r="P40" s="147" t="s">
        <v>70</v>
      </c>
      <c r="Q40" s="147"/>
      <c r="R40" s="151">
        <f>_xlfn.IFERROR(取值!B3,"")</f>
        <v>46022</v>
      </c>
    </row>
  </sheetData>
  <mergeCells count="18">
    <mergeCell ref="B2:R2"/>
    <mergeCell ref="P40:Q40"/>
    <mergeCell ref="N4:O4"/>
    <mergeCell ref="R4:R5"/>
    <mergeCell ref="B3:E3"/>
    <mergeCell ref="P3:R3"/>
    <mergeCell ref="B4:B5"/>
    <mergeCell ref="C4:C5"/>
    <mergeCell ref="E4:E5"/>
    <mergeCell ref="F4:F5"/>
    <mergeCell ref="I4:I5"/>
    <mergeCell ref="L4:M4"/>
    <mergeCell ref="H3:I3"/>
    <mergeCell ref="J3:K3"/>
    <mergeCell ref="B40:C40"/>
    <mergeCell ref="D40:E40"/>
    <mergeCell ref="H40:I40"/>
    <mergeCell ref="J40:K40"/>
  </mergeCells>
  <pageMargins left="0.71" right="0.71" top="1.15" bottom="0.75" header="0.31" footer="0.31"/>
  <pageSetup paperSize="9" scale="60" fitToHeight="0" pageOrder="downThenOver" orientation="landscape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730F368-411B-5DFA-D1B8-64C1865A54B2}" mc:Ignorable="x14ac xr xr2 xr3">
  <dimension ref="A1:R39"/>
  <sheetViews>
    <sheetView defaultGridColor="0" colorId="31" topLeftCell="A1" workbookViewId="0">
      <selection activeCell="A1" sqref="A1"/>
    </sheetView>
  </sheetViews>
  <sheetFormatPr customHeight="1" defaultRowHeight="14.100000000000001"/>
  <sheetData>
    <row customHeight="1" ht="14.25">
      <c r="A1" s="152" t="s">
        <v>71</v>
      </c>
      <c r="B1" s="153" t="s">
        <v>3</v>
      </c>
      <c r="C1" s="152" t="s">
        <v>72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</row>
    <row customHeight="1" ht="14.25">
      <c r="A2" s="94"/>
      <c r="B2" s="154" t="str">
        <f>EDATE(B1,1)</f>
        <v>46023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</row>
    <row customHeight="1" ht="14.25">
      <c r="A3" s="94"/>
      <c r="B3" s="155">
        <f>B2-1</f>
        <v>46022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</row>
    <row customHeight="1" ht="14.100000000000001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</row>
    <row customHeight="1" ht="14.100000000000001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</row>
    <row customHeight="1" ht="14.100000000000001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</row>
    <row customHeight="1" ht="14.25">
      <c r="A7" s="94"/>
      <c r="B7" s="94"/>
      <c r="C7" s="94"/>
      <c r="D7" s="156">
        <v>86399</v>
      </c>
      <c r="E7" s="94">
        <v>6289398.3827145</v>
      </c>
      <c r="F7" s="94">
        <v>0</v>
      </c>
      <c r="G7" s="94">
        <v>0</v>
      </c>
      <c r="H7" s="94">
        <v>6294543</v>
      </c>
      <c r="I7" s="94"/>
      <c r="J7" s="94">
        <v>0</v>
      </c>
      <c r="K7" s="94">
        <v>0</v>
      </c>
      <c r="L7" s="94">
        <v>0</v>
      </c>
      <c r="M7" s="94">
        <v>0</v>
      </c>
      <c r="N7" s="94">
        <v>75.27</v>
      </c>
      <c r="O7" s="94">
        <v>0</v>
      </c>
      <c r="P7" s="94"/>
      <c r="Q7" s="157">
        <v>64831</v>
      </c>
      <c r="R7" s="157"/>
    </row>
    <row customHeight="1" ht="14.25">
      <c r="A8" s="94"/>
      <c r="B8" s="94"/>
      <c r="C8" s="94"/>
      <c r="D8" s="158">
        <v>17937</v>
      </c>
      <c r="E8" s="94">
        <v>0</v>
      </c>
      <c r="F8" s="94">
        <v>3219561</v>
      </c>
      <c r="G8" s="94">
        <v>0</v>
      </c>
      <c r="H8" s="94">
        <v>3217197</v>
      </c>
      <c r="I8" s="94"/>
      <c r="J8" s="94">
        <v>0</v>
      </c>
      <c r="K8" s="94">
        <v>0</v>
      </c>
      <c r="L8" s="94">
        <v>25725.322</v>
      </c>
      <c r="M8" s="94">
        <v>0</v>
      </c>
      <c r="N8" s="94">
        <v>0</v>
      </c>
      <c r="O8" s="94">
        <v>0</v>
      </c>
      <c r="P8" s="94"/>
      <c r="Q8" s="94">
        <v>46026</v>
      </c>
      <c r="R8" s="94"/>
    </row>
    <row customHeight="1" ht="14.25">
      <c r="A9" s="94"/>
      <c r="B9" s="94"/>
      <c r="C9" s="94"/>
      <c r="D9" s="158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</row>
    <row customHeight="1" ht="14.25">
      <c r="A10" s="94"/>
      <c r="B10" s="94"/>
      <c r="C10" s="94"/>
      <c r="D10" s="158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</row>
    <row customHeight="1" ht="14.25">
      <c r="A11" s="94"/>
      <c r="B11" s="94"/>
      <c r="C11" s="94"/>
      <c r="D11" s="158">
        <v>1003</v>
      </c>
      <c r="E11" s="94">
        <v>14876.06</v>
      </c>
      <c r="F11" s="94">
        <v>0</v>
      </c>
      <c r="G11" s="94">
        <v>0</v>
      </c>
      <c r="H11" s="94">
        <v>14925</v>
      </c>
      <c r="I11" s="94"/>
      <c r="J11" s="94">
        <v>0</v>
      </c>
      <c r="K11" s="94">
        <v>0</v>
      </c>
      <c r="L11" s="94">
        <v>0</v>
      </c>
      <c r="M11" s="94">
        <v>0</v>
      </c>
      <c r="N11" s="94">
        <v>0</v>
      </c>
      <c r="O11" s="94">
        <v>0</v>
      </c>
      <c r="P11" s="94"/>
      <c r="Q11" s="94">
        <v>954</v>
      </c>
      <c r="R11" s="94"/>
    </row>
    <row customHeight="1" ht="14.25">
      <c r="A12" s="94"/>
      <c r="B12" s="94"/>
      <c r="C12" s="94"/>
      <c r="D12" s="158">
        <v>751</v>
      </c>
      <c r="E12" s="94">
        <v>28048</v>
      </c>
      <c r="F12" s="94">
        <v>0</v>
      </c>
      <c r="G12" s="94">
        <v>0</v>
      </c>
      <c r="H12" s="94">
        <v>27999</v>
      </c>
      <c r="I12" s="94">
        <v>0</v>
      </c>
      <c r="J12" s="94">
        <v>0</v>
      </c>
      <c r="K12" s="94">
        <v>0</v>
      </c>
      <c r="L12" s="94">
        <v>0</v>
      </c>
      <c r="M12" s="94">
        <v>0</v>
      </c>
      <c r="N12" s="94">
        <v>0</v>
      </c>
      <c r="O12" s="94">
        <v>0</v>
      </c>
      <c r="P12" s="94"/>
      <c r="Q12" s="94">
        <v>800</v>
      </c>
      <c r="R12" s="94"/>
    </row>
    <row customHeight="1" ht="14.25">
      <c r="A13" s="94"/>
      <c r="B13" s="94"/>
      <c r="C13" s="94"/>
      <c r="D13" s="158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</row>
    <row customHeight="1" ht="14.25">
      <c r="A14" s="94"/>
      <c r="B14" s="94"/>
      <c r="C14" s="94"/>
      <c r="D14" s="158">
        <v>16548</v>
      </c>
      <c r="E14" s="94">
        <v>0</v>
      </c>
      <c r="F14" s="94">
        <v>3152292</v>
      </c>
      <c r="G14" s="94"/>
      <c r="H14" s="94">
        <v>0</v>
      </c>
      <c r="I14" s="94">
        <v>3151601.43</v>
      </c>
      <c r="J14" s="94">
        <v>0</v>
      </c>
      <c r="K14" s="94">
        <v>0</v>
      </c>
      <c r="L14" s="94">
        <v>0</v>
      </c>
      <c r="M14" s="94">
        <v>0</v>
      </c>
      <c r="N14" s="94">
        <v>16210</v>
      </c>
      <c r="O14" s="94">
        <v>16210</v>
      </c>
      <c r="P14" s="94"/>
      <c r="Q14" s="157">
        <v>22332</v>
      </c>
      <c r="R14" s="94"/>
    </row>
    <row customHeight="1" ht="14.25">
      <c r="A15" s="94"/>
      <c r="B15" s="94"/>
      <c r="C15" s="94"/>
      <c r="D15" s="158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</row>
    <row customHeight="1" ht="14.25">
      <c r="A16" s="94"/>
      <c r="B16" s="94"/>
      <c r="C16" s="94"/>
      <c r="D16" s="158">
        <v>0</v>
      </c>
      <c r="E16" s="94">
        <v>0</v>
      </c>
      <c r="F16" s="94">
        <v>25099</v>
      </c>
      <c r="G16" s="94"/>
      <c r="H16" s="94">
        <v>0</v>
      </c>
      <c r="I16" s="94">
        <v>25099</v>
      </c>
      <c r="J16" s="94">
        <v>0</v>
      </c>
      <c r="K16" s="94">
        <v>0</v>
      </c>
      <c r="L16" s="94">
        <v>0</v>
      </c>
      <c r="M16" s="94">
        <v>0</v>
      </c>
      <c r="N16" s="94">
        <v>0</v>
      </c>
      <c r="O16" s="94">
        <v>0</v>
      </c>
      <c r="P16" s="94"/>
      <c r="Q16" s="94">
        <v>0</v>
      </c>
      <c r="R16" s="94"/>
    </row>
    <row customHeight="1" ht="14.25">
      <c r="A17" s="94"/>
      <c r="B17" s="94"/>
      <c r="C17" s="94"/>
      <c r="D17" s="158">
        <v>10077</v>
      </c>
      <c r="E17" s="94">
        <v>0</v>
      </c>
      <c r="F17" s="94">
        <v>1788672</v>
      </c>
      <c r="G17" s="94"/>
      <c r="H17" s="94">
        <v>0</v>
      </c>
      <c r="I17" s="94">
        <v>1794865.84</v>
      </c>
      <c r="J17" s="94">
        <v>0</v>
      </c>
      <c r="K17" s="94">
        <v>0</v>
      </c>
      <c r="L17" s="94">
        <v>0</v>
      </c>
      <c r="M17" s="94">
        <v>0</v>
      </c>
      <c r="N17" s="94">
        <v>8105</v>
      </c>
      <c r="O17" s="94">
        <v>8105</v>
      </c>
      <c r="P17" s="94"/>
      <c r="Q17" s="94">
        <v>10089</v>
      </c>
      <c r="R17" s="94"/>
    </row>
    <row customHeight="1" ht="14.25">
      <c r="A18" s="94"/>
      <c r="B18" s="94"/>
      <c r="C18" s="94"/>
      <c r="D18" s="158">
        <v>6471</v>
      </c>
      <c r="E18" s="94">
        <v>0</v>
      </c>
      <c r="F18" s="94">
        <v>1338521</v>
      </c>
      <c r="G18" s="94"/>
      <c r="H18" s="94">
        <v>0</v>
      </c>
      <c r="I18" s="94">
        <v>1331636.43</v>
      </c>
      <c r="J18" s="94">
        <v>0</v>
      </c>
      <c r="K18" s="94">
        <v>0</v>
      </c>
      <c r="L18" s="94">
        <v>0</v>
      </c>
      <c r="M18" s="94">
        <v>0</v>
      </c>
      <c r="N18" s="94">
        <v>8105</v>
      </c>
      <c r="O18" s="94">
        <v>8105</v>
      </c>
      <c r="P18" s="94"/>
      <c r="Q18" s="94">
        <v>12243</v>
      </c>
      <c r="R18" s="94"/>
    </row>
    <row customHeight="1" ht="14.25">
      <c r="A19" s="94"/>
      <c r="B19" s="94"/>
      <c r="C19" s="94"/>
      <c r="D19" s="158">
        <v>21731</v>
      </c>
      <c r="E19" s="94">
        <v>0</v>
      </c>
      <c r="F19" s="94">
        <v>2575563</v>
      </c>
      <c r="G19" s="94"/>
      <c r="H19" s="94">
        <v>0</v>
      </c>
      <c r="I19" s="94">
        <v>2590712.997</v>
      </c>
      <c r="J19" s="94">
        <v>0</v>
      </c>
      <c r="K19" s="94">
        <v>3.98</v>
      </c>
      <c r="L19" s="94">
        <v>0</v>
      </c>
      <c r="M19" s="94">
        <v>831.02</v>
      </c>
      <c r="N19" s="94">
        <v>0</v>
      </c>
      <c r="O19" s="94">
        <v>0</v>
      </c>
      <c r="P19" s="94"/>
      <c r="Q19" s="94">
        <v>10548</v>
      </c>
      <c r="R19" s="94"/>
    </row>
    <row customHeight="1" ht="14.25">
      <c r="A20" s="94"/>
      <c r="B20" s="94"/>
      <c r="C20" s="94"/>
      <c r="D20" s="158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</row>
    <row customHeight="1" ht="14.25">
      <c r="A21" s="94"/>
      <c r="B21" s="94"/>
      <c r="C21" s="94"/>
      <c r="D21" s="158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</row>
    <row customHeight="1" ht="14.25">
      <c r="A22" s="94"/>
      <c r="B22" s="94"/>
      <c r="C22" s="94"/>
      <c r="D22" s="158">
        <v>21731</v>
      </c>
      <c r="E22" s="94">
        <v>0</v>
      </c>
      <c r="F22" s="94">
        <v>2575563</v>
      </c>
      <c r="G22" s="94"/>
      <c r="H22" s="94">
        <v>0</v>
      </c>
      <c r="I22" s="94">
        <v>2590712.997</v>
      </c>
      <c r="J22" s="94">
        <v>0</v>
      </c>
      <c r="K22" s="94">
        <v>3.98</v>
      </c>
      <c r="L22" s="94">
        <v>0</v>
      </c>
      <c r="M22" s="94">
        <v>831.02</v>
      </c>
      <c r="N22" s="94">
        <v>0</v>
      </c>
      <c r="O22" s="94">
        <v>0</v>
      </c>
      <c r="P22" s="94"/>
      <c r="Q22" s="94">
        <v>10548</v>
      </c>
      <c r="R22" s="94"/>
    </row>
    <row customHeight="1" ht="14.25">
      <c r="A23" s="94"/>
      <c r="B23" s="94"/>
      <c r="C23" s="94"/>
      <c r="D23" s="158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</row>
    <row customHeight="1" ht="14.25">
      <c r="A24" s="94"/>
      <c r="B24" s="94"/>
      <c r="C24" s="94"/>
      <c r="D24" s="158">
        <v>0</v>
      </c>
      <c r="E24" s="94">
        <v>0</v>
      </c>
      <c r="F24" s="94">
        <v>0</v>
      </c>
      <c r="G24" s="94"/>
      <c r="H24" s="94">
        <v>0</v>
      </c>
      <c r="I24" s="94">
        <v>0</v>
      </c>
      <c r="J24" s="94">
        <v>0</v>
      </c>
      <c r="K24" s="94">
        <v>0</v>
      </c>
      <c r="L24" s="94">
        <v>0</v>
      </c>
      <c r="M24" s="94">
        <v>0</v>
      </c>
      <c r="N24" s="94">
        <v>0</v>
      </c>
      <c r="O24" s="94">
        <v>0</v>
      </c>
      <c r="P24" s="94"/>
      <c r="Q24" s="94">
        <v>0</v>
      </c>
      <c r="R24" s="94"/>
    </row>
    <row customHeight="1" ht="14.25">
      <c r="A25" s="94"/>
      <c r="B25" s="94"/>
      <c r="C25" s="94"/>
      <c r="D25" s="158">
        <v>30059</v>
      </c>
      <c r="E25" s="94">
        <v>0</v>
      </c>
      <c r="F25" s="94">
        <v>0</v>
      </c>
      <c r="G25" s="94">
        <v>127332</v>
      </c>
      <c r="H25" s="94">
        <v>0</v>
      </c>
      <c r="I25" s="94">
        <v>119058</v>
      </c>
      <c r="J25" s="94">
        <v>0</v>
      </c>
      <c r="K25" s="94">
        <v>0</v>
      </c>
      <c r="L25" s="94">
        <v>0</v>
      </c>
      <c r="M25" s="94">
        <v>0</v>
      </c>
      <c r="N25" s="94">
        <v>0</v>
      </c>
      <c r="O25" s="94">
        <v>425</v>
      </c>
      <c r="P25" s="94"/>
      <c r="Q25" s="94">
        <v>37908</v>
      </c>
      <c r="R25" s="94"/>
    </row>
    <row customHeight="1" ht="14.25">
      <c r="A26" s="94"/>
      <c r="B26" s="94"/>
      <c r="C26" s="94"/>
      <c r="D26" s="158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</row>
    <row customHeight="1" ht="14.25">
      <c r="A27" s="94"/>
      <c r="B27" s="94"/>
      <c r="C27" s="94"/>
      <c r="D27" s="158">
        <v>501</v>
      </c>
      <c r="E27" s="94"/>
      <c r="F27" s="94">
        <v>103425</v>
      </c>
      <c r="G27" s="94"/>
      <c r="H27" s="94"/>
      <c r="I27" s="94">
        <v>103015</v>
      </c>
      <c r="J27" s="94"/>
      <c r="K27" s="94"/>
      <c r="L27" s="94"/>
      <c r="M27" s="94"/>
      <c r="N27" s="94"/>
      <c r="O27" s="94"/>
      <c r="P27" s="94"/>
      <c r="Q27" s="94">
        <v>911</v>
      </c>
      <c r="R27" s="94"/>
    </row>
    <row customHeight="1" ht="14.25">
      <c r="A28" s="94"/>
      <c r="B28" s="94"/>
      <c r="C28" s="94"/>
      <c r="D28" s="158">
        <v>2091</v>
      </c>
      <c r="E28" s="94">
        <v>0</v>
      </c>
      <c r="F28" s="94">
        <v>59047</v>
      </c>
      <c r="G28" s="94">
        <v>0</v>
      </c>
      <c r="H28" s="94">
        <v>0</v>
      </c>
      <c r="I28" s="94">
        <v>58520.48</v>
      </c>
      <c r="J28" s="94">
        <v>0</v>
      </c>
      <c r="K28" s="94">
        <v>0</v>
      </c>
      <c r="L28" s="94">
        <v>0</v>
      </c>
      <c r="M28" s="94">
        <v>0</v>
      </c>
      <c r="N28" s="94">
        <v>0</v>
      </c>
      <c r="O28" s="94">
        <v>0</v>
      </c>
      <c r="P28" s="94"/>
      <c r="Q28" s="94">
        <v>2617.4</v>
      </c>
      <c r="R28" s="94"/>
    </row>
    <row customHeight="1" ht="14.25">
      <c r="A29" s="94"/>
      <c r="B29" s="94"/>
      <c r="C29" s="94"/>
      <c r="D29" s="158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</row>
    <row customHeight="1" ht="14.25">
      <c r="A30" s="94"/>
      <c r="B30" s="94"/>
      <c r="C30" s="94"/>
      <c r="D30" s="158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</row>
    <row customHeight="1" ht="14.25">
      <c r="A31" s="94"/>
      <c r="B31" s="94"/>
      <c r="C31" s="94"/>
      <c r="D31" s="158">
        <v>1338</v>
      </c>
      <c r="E31" s="94">
        <v>0</v>
      </c>
      <c r="F31" s="94">
        <v>23244</v>
      </c>
      <c r="G31" s="94">
        <v>0</v>
      </c>
      <c r="H31" s="94">
        <v>0</v>
      </c>
      <c r="I31" s="94">
        <v>23150.62</v>
      </c>
      <c r="J31" s="94">
        <v>0</v>
      </c>
      <c r="K31" s="94">
        <v>0</v>
      </c>
      <c r="L31" s="94">
        <v>0</v>
      </c>
      <c r="M31" s="94">
        <v>0</v>
      </c>
      <c r="N31" s="94">
        <v>0</v>
      </c>
      <c r="O31" s="94">
        <v>0</v>
      </c>
      <c r="P31" s="94"/>
      <c r="Q31" s="94">
        <v>1430.5</v>
      </c>
      <c r="R31" s="94"/>
    </row>
    <row customHeight="1" ht="14.25">
      <c r="A32" s="94"/>
      <c r="B32" s="94"/>
      <c r="C32" s="94"/>
      <c r="D32" s="158">
        <v>0</v>
      </c>
      <c r="E32" s="94"/>
      <c r="F32" s="94">
        <v>207.14</v>
      </c>
      <c r="G32" s="94"/>
      <c r="H32" s="94"/>
      <c r="I32" s="94">
        <v>177.14</v>
      </c>
      <c r="J32" s="94"/>
      <c r="K32" s="94"/>
      <c r="L32" s="94"/>
      <c r="M32" s="94"/>
      <c r="N32" s="94"/>
      <c r="O32" s="94"/>
      <c r="P32" s="94"/>
      <c r="Q32" s="94">
        <v>30</v>
      </c>
      <c r="R32" s="94"/>
    </row>
    <row customHeight="1" ht="14.25">
      <c r="A33" s="94"/>
      <c r="B33" s="94"/>
      <c r="C33" s="94"/>
      <c r="D33" s="158">
        <v>953</v>
      </c>
      <c r="E33" s="94"/>
      <c r="F33" s="94">
        <v>52640</v>
      </c>
      <c r="G33" s="94"/>
      <c r="H33" s="94"/>
      <c r="I33" s="94">
        <v>52676</v>
      </c>
      <c r="J33" s="94"/>
      <c r="K33" s="94"/>
      <c r="L33" s="94">
        <v>0</v>
      </c>
      <c r="M33" s="94">
        <v>0</v>
      </c>
      <c r="N33" s="94">
        <v>0</v>
      </c>
      <c r="O33" s="94">
        <v>0</v>
      </c>
      <c r="P33" s="94"/>
      <c r="Q33" s="94">
        <v>917</v>
      </c>
      <c r="R33" s="94"/>
    </row>
    <row s="159" customFormat="1" customHeight="1" ht="14.25">
      <c r="A34" s="129"/>
      <c r="B34" s="129"/>
      <c r="C34" s="129"/>
      <c r="D34" s="156">
        <v>535</v>
      </c>
      <c r="E34" s="157">
        <v>0</v>
      </c>
      <c r="F34" s="157">
        <v>27456</v>
      </c>
      <c r="G34" s="157">
        <v>0</v>
      </c>
      <c r="H34" s="157">
        <v>0</v>
      </c>
      <c r="I34" s="157">
        <v>27051.92</v>
      </c>
      <c r="J34" s="157">
        <v>0</v>
      </c>
      <c r="K34" s="157">
        <v>0</v>
      </c>
      <c r="L34" s="157"/>
      <c r="M34" s="157"/>
      <c r="N34" s="157"/>
      <c r="O34" s="157"/>
      <c r="P34" s="129"/>
      <c r="Q34" s="157">
        <v>939</v>
      </c>
      <c r="R34" s="157"/>
    </row>
    <row customHeight="1" ht="14.25">
      <c r="A35" s="94"/>
      <c r="B35" s="94"/>
      <c r="C35" s="94"/>
      <c r="D35" s="158"/>
      <c r="E35" s="94"/>
      <c r="F35" s="94"/>
      <c r="G35" s="94">
        <v>4597</v>
      </c>
      <c r="H35" s="94"/>
      <c r="I35" s="94">
        <v>4597</v>
      </c>
      <c r="J35" s="94"/>
      <c r="K35" s="94"/>
      <c r="L35" s="94"/>
      <c r="M35" s="94"/>
      <c r="N35" s="94"/>
      <c r="O35" s="94"/>
      <c r="P35" s="94"/>
      <c r="Q35" s="94"/>
      <c r="R35" s="94"/>
    </row>
    <row customHeight="1" ht="14.10000000000000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</row>
    <row customHeight="1" ht="14.100000000000001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</row>
    <row customHeight="1" ht="14.25">
      <c r="A38" s="94"/>
      <c r="B38" s="94"/>
      <c r="C38" s="94"/>
      <c r="D38" s="160" t="s">
        <v>67</v>
      </c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</row>
    <row customHeight="1" ht="14.25">
      <c r="A39" s="94"/>
      <c r="B39" s="94"/>
      <c r="C39" s="94"/>
      <c r="D39" s="160" t="s">
        <v>69</v>
      </c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原料、成品收拨平衡表（本年累计）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c3</cp:lastModifiedBy>
  <cp:lastPrinted>2022-05-27T09:22:33Z</cp:lastPrinted>
  <dcterms:created xsi:type="dcterms:W3CDTF">2015-06-05T18:19:34Z</dcterms:created>
  <dcterms:modified xsi:type="dcterms:W3CDTF">2022-08-05T09:55:02Z</dcterms:modified>
</cp:coreProperties>
</file>