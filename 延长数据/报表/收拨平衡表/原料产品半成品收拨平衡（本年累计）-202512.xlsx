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原料油、成品收拨平衡表（本年累计）" sheetId="1" r:id="rId2"/>
    <sheet name="取值" sheetId="2" state="hidden" r:id="rId3"/>
    <sheet name="Sheet4" sheetId="3" state="hidden" r:id="rId4"/>
    <sheet name="Sheet2" sheetId="4" state="hidden" r:id="rId5"/>
    <sheet name="Sheet1" sheetId="5" state="hidden" r:id="rId6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T6" authorId="0">
      <text>
        <r>
          <rPr>
            <b/>
            <sz val="9"/>
            <color indexed="81"/>
            <rFont val="宋体"/>
            <family val="2"/>
          </rPr>
          <t>#Input("榆炼_半成品收拨平衡表_备注",":key{{dw}}")</t>
        </r>
      </text>
    </comment>
  </commentList>
</comments>
</file>

<file path=xl/sharedStrings.xml><?xml version="1.0" encoding="utf-8"?>
<sst xmlns="http://schemas.openxmlformats.org/spreadsheetml/2006/main" count="186" uniqueCount="103">
  <si>
    <t>原料油、成品收拨平衡表（本年累计）</t>
  </si>
  <si>
    <t>填报单位：榆林炼油厂</t>
  </si>
  <si>
    <t>日期：</t>
  </si>
  <si>
    <t>2025-12</t>
  </si>
  <si>
    <t>陕油炼计统B205表</t>
  </si>
  <si>
    <t>指标名称</t>
  </si>
  <si>
    <t>单位</t>
  </si>
  <si>
    <t>期初
库存</t>
  </si>
  <si>
    <t>外购量</t>
  </si>
  <si>
    <t>生产量</t>
  </si>
  <si>
    <t>成品
交库</t>
  </si>
  <si>
    <t>装置
加工量</t>
  </si>
  <si>
    <t>销售</t>
  </si>
  <si>
    <t>油品
调合</t>
  </si>
  <si>
    <t>生产
自用</t>
  </si>
  <si>
    <t>内部调拨量</t>
  </si>
  <si>
    <t>内移量</t>
  </si>
  <si>
    <r>
      <rPr>
        <charset val="134"/>
        <rFont val="宋体"/>
        <sz val="10"/>
      </rPr>
      <t>盈</t>
    </r>
    <r>
      <rPr>
        <charset val="134"/>
        <rFont val="Times New Roman"/>
        <sz val="10"/>
      </rPr>
      <t>(+)</t>
    </r>
    <r>
      <rPr>
        <charset val="134"/>
        <rFont val="宋体"/>
        <sz val="10"/>
      </rPr>
      <t xml:space="preserve">
亏</t>
    </r>
    <r>
      <rPr>
        <charset val="134"/>
        <rFont val="Times New Roman"/>
        <sz val="10"/>
      </rPr>
      <t>(-)</t>
    </r>
  </si>
  <si>
    <t>期末
库存</t>
  </si>
  <si>
    <r>
      <rPr>
        <charset val="134"/>
        <rFont val="宋体"/>
        <sz val="10"/>
      </rPr>
      <t>备</t>
    </r>
    <r>
      <rPr>
        <charset val="134"/>
        <rFont val="Times New Roman"/>
        <sz val="10"/>
      </rPr>
      <t xml:space="preserve">  </t>
    </r>
    <r>
      <rPr>
        <charset val="134"/>
        <rFont val="宋体"/>
        <sz val="10"/>
      </rPr>
      <t>注</t>
    </r>
  </si>
  <si>
    <t>公路、铁路</t>
  </si>
  <si>
    <t>管道</t>
  </si>
  <si>
    <t>调入</t>
  </si>
  <si>
    <t>调出</t>
  </si>
  <si>
    <t>移进</t>
  </si>
  <si>
    <t>移出</t>
  </si>
  <si>
    <t>一、原油及原料油</t>
  </si>
  <si>
    <t xml:space="preserve"> 原油</t>
  </si>
  <si>
    <t>吨</t>
  </si>
  <si>
    <t>1#渣油</t>
  </si>
  <si>
    <t xml:space="preserve">   甲醇</t>
  </si>
  <si>
    <t xml:space="preserve">   醋酸</t>
  </si>
  <si>
    <r>
      <rPr>
        <charset val="134"/>
        <rFont val="宋体"/>
        <sz val="9"/>
      </rPr>
      <t xml:space="preserve"> </t>
    </r>
    <r>
      <rPr>
        <charset val="134"/>
        <rFont val="宋体"/>
        <sz val="10"/>
      </rPr>
      <t xml:space="preserve"> </t>
    </r>
    <r>
      <rPr>
        <charset val="134"/>
        <rFont val="宋体"/>
        <sz val="10"/>
      </rPr>
      <t>DCC裂解石脑油</t>
    </r>
  </si>
  <si>
    <t xml:space="preserve">  DCC裂解轻油</t>
  </si>
  <si>
    <r>
      <rPr>
        <charset val="134"/>
        <rFont val="宋体"/>
        <sz val="9"/>
      </rPr>
      <t xml:space="preserve"> </t>
    </r>
    <r>
      <rPr>
        <charset val="134"/>
        <rFont val="宋体"/>
        <sz val="9"/>
      </rPr>
      <t xml:space="preserve"> </t>
    </r>
    <r>
      <rPr>
        <charset val="134"/>
        <rFont val="宋体"/>
        <sz val="9"/>
      </rPr>
      <t>VGO（减压蜡油）</t>
    </r>
  </si>
  <si>
    <t xml:space="preserve">  沥青</t>
  </si>
  <si>
    <t xml:space="preserve">  罚没油</t>
  </si>
  <si>
    <t>二、成品油</t>
  </si>
  <si>
    <t xml:space="preserve">    汽油</t>
  </si>
  <si>
    <r>
      <rPr>
        <charset val="134"/>
        <rFont val="宋体"/>
        <sz val="10"/>
      </rPr>
      <t xml:space="preserve">    9</t>
    </r>
    <r>
      <rPr>
        <charset val="134"/>
        <rFont val="宋体"/>
        <sz val="10"/>
      </rPr>
      <t>2</t>
    </r>
    <r>
      <rPr>
        <charset val="134"/>
        <rFont val="宋体"/>
        <sz val="10"/>
        <vertAlign val="superscript"/>
      </rPr>
      <t>#</t>
    </r>
  </si>
  <si>
    <r>
      <rPr>
        <charset val="134"/>
        <rFont val="宋体"/>
        <sz val="10"/>
      </rPr>
      <t xml:space="preserve">    9</t>
    </r>
    <r>
      <rPr>
        <charset val="134"/>
        <rFont val="宋体"/>
        <sz val="10"/>
      </rPr>
      <t>5</t>
    </r>
    <r>
      <rPr>
        <charset val="134"/>
        <rFont val="宋体"/>
        <sz val="10"/>
      </rPr>
      <t>#</t>
    </r>
  </si>
  <si>
    <t xml:space="preserve">    98#</t>
  </si>
  <si>
    <t xml:space="preserve">    柴油</t>
  </si>
  <si>
    <t xml:space="preserve">   0#</t>
  </si>
  <si>
    <t xml:space="preserve">   -10#</t>
  </si>
  <si>
    <t xml:space="preserve">   -20#</t>
  </si>
  <si>
    <t xml:space="preserve">    -35#</t>
  </si>
  <si>
    <t xml:space="preserve">  聚丙烯</t>
  </si>
  <si>
    <t xml:space="preserve">  苯乙烯焦油</t>
  </si>
  <si>
    <t xml:space="preserve">  苯乙烯</t>
  </si>
  <si>
    <t>3#喷气燃料</t>
  </si>
  <si>
    <t xml:space="preserve">  粗硫磺</t>
  </si>
  <si>
    <t>精制硫磺</t>
  </si>
  <si>
    <t xml:space="preserve">  醋酸仲丁酯</t>
  </si>
  <si>
    <t xml:space="preserve">  石脑油III</t>
  </si>
  <si>
    <r>
      <rPr>
        <charset val="134"/>
        <rFont val="宋体"/>
        <sz val="10"/>
      </rPr>
      <t>2</t>
    </r>
    <r>
      <rPr>
        <charset val="134"/>
        <rFont val="宋体"/>
        <sz val="10"/>
      </rPr>
      <t>#渣油</t>
    </r>
  </si>
  <si>
    <t xml:space="preserve">  硫酸铵</t>
  </si>
  <si>
    <t xml:space="preserve">  液氮</t>
  </si>
  <si>
    <t xml:space="preserve">  粗白油</t>
  </si>
  <si>
    <t xml:space="preserve">  液氨</t>
  </si>
  <si>
    <t xml:space="preserve">  煤液化沥青</t>
  </si>
  <si>
    <t xml:space="preserve">  含固渣油</t>
  </si>
  <si>
    <t>三、LNG</t>
  </si>
  <si>
    <t>四、油田气原料产品</t>
  </si>
  <si>
    <t xml:space="preserve">   天然气</t>
  </si>
  <si>
    <r>
      <rPr>
        <charset val="134"/>
        <color rgb="FF000000"/>
        <rFont val="宋体"/>
        <sz val="9"/>
      </rPr>
      <t>Nm</t>
    </r>
    <r>
      <rPr>
        <charset val="134"/>
        <color rgb="FF000000"/>
        <rFont val="宋体"/>
        <sz val="9"/>
        <vertAlign val="superscript"/>
      </rPr>
      <t>3</t>
    </r>
  </si>
  <si>
    <t xml:space="preserve">    原料天然气</t>
  </si>
  <si>
    <t xml:space="preserve">    燃料天然气</t>
  </si>
  <si>
    <t xml:space="preserve">  甲醇</t>
  </si>
  <si>
    <t xml:space="preserve">  醋酐</t>
  </si>
  <si>
    <t xml:space="preserve">  1,4-丁二醇（BDO）</t>
  </si>
  <si>
    <t xml:space="preserve">  四氢呋喃</t>
  </si>
  <si>
    <t xml:space="preserve">  聚四氢呋喃</t>
  </si>
  <si>
    <t xml:space="preserve">  副产油</t>
  </si>
  <si>
    <t xml:space="preserve">  PTMEG过渡料</t>
  </si>
  <si>
    <t xml:space="preserve">  聚酯级乙二醇</t>
  </si>
  <si>
    <t xml:space="preserve">  工业级乙二醇</t>
  </si>
  <si>
    <t xml:space="preserve">  轻质多元醇</t>
  </si>
  <si>
    <t xml:space="preserve">  混合醇</t>
  </si>
  <si>
    <t xml:space="preserve">  粗乙醇</t>
  </si>
  <si>
    <t xml:space="preserve">  碳酸二甲酯</t>
  </si>
  <si>
    <t xml:space="preserve">  正丁醇</t>
  </si>
  <si>
    <t xml:space="preserve">  焦油</t>
  </si>
  <si>
    <t>报表生成时间：</t>
  </si>
  <si>
    <t>2026-01-01</t>
  </si>
  <si>
    <t xml:space="preserve"> 8:00:00</t>
  </si>
  <si>
    <t>销售_公路</t>
  </si>
  <si>
    <t>盈(+)
亏(-)</t>
  </si>
  <si>
    <t>销售_管道</t>
  </si>
  <si>
    <t>盈亏</t>
  </si>
  <si>
    <t>天燃气</t>
  </si>
  <si>
    <t>DCC裂解石脑油</t>
  </si>
  <si>
    <t>VCC粗汽油</t>
  </si>
  <si>
    <t>VCC石脑油</t>
  </si>
  <si>
    <t xml:space="preserve">    92#</t>
  </si>
  <si>
    <t xml:space="preserve">    95#</t>
  </si>
  <si>
    <t>苯</t>
  </si>
  <si>
    <t>干气</t>
  </si>
  <si>
    <t>2#渣油</t>
  </si>
  <si>
    <t>除盐水</t>
  </si>
  <si>
    <t>罚没油</t>
  </si>
  <si>
    <t>混油</t>
  </si>
  <si>
    <t>液氮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</si>
</sst>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1" formatCode="0_ "/>
    <numFmt numFmtId="172" formatCode="_(* #,##0.00_);_(* \(#,##0.00\);_(* &quot;-&quot;??_);_(@_)"/>
    <numFmt numFmtId="173" formatCode="_(* #,##0_);_(* \(#,##0\);_(* &quot;-&quot;_);_(@_)"/>
    <numFmt numFmtId="174" formatCode="_(&quot;$&quot;* #,##0.00_);_(&quot;$&quot;* \(#,##0.00\);_(&quot;$&quot;* &quot;-&quot;??_);_(@_)"/>
    <numFmt numFmtId="175" formatCode="_(&quot;$&quot;* #,##0_);_(&quot;$&quot;* \(#,##0\);_(&quot;$&quot;* &quot;-&quot;_);_(@_)"/>
  </numFmts>
  <fonts count="26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2"/>
      <color auto="1"/>
      <name val="宋体"/>
    </font>
    <font>
      <b/>
      <sz val="18"/>
      <color theme="1"/>
      <name val="Calibri"/>
      <scheme val="minor"/>
    </font>
    <font>
      <sz val="10"/>
      <color auto="1"/>
      <name val="宋体"/>
    </font>
    <font>
      <sz val="9"/>
      <color auto="1"/>
      <name val="宋体"/>
    </font>
    <font>
      <sz val="9"/>
      <color rgb="FF000000"/>
      <name val="宋体"/>
    </font>
    <font>
      <sz val="8"/>
      <color theme="1"/>
      <name val="等线"/>
    </font>
  </fonts>
  <fills count="34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</patternFill>
    </fill>
  </fills>
  <borders count="27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51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172" fontId="5" fillId="0" borderId="0" applyFont="0" applyFill="0" applyBorder="0" applyNumberFormat="1">
      <alignment vertical="top"/>
    </xf>
    <xf numFmtId="173" fontId="5" fillId="0" borderId="0" applyFont="0" applyFill="0" applyBorder="0" applyNumberFormat="1">
      <alignment vertical="top"/>
    </xf>
    <xf numFmtId="174" fontId="5" fillId="0" borderId="0" applyFont="0" applyFill="0" applyBorder="0" applyNumberFormat="1">
      <alignment vertical="top"/>
    </xf>
    <xf numFmtId="175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>
      <alignment vertical="top"/>
    </xf>
    <xf numFmtId="0" fontId="19" fillId="0" borderId="0" applyFont="1" applyFill="0" applyBorder="0">
      <alignment vertical="top"/>
    </xf>
    <xf numFmtId="0" fontId="20" fillId="0" borderId="0" applyFont="1" applyFill="0" applyBorder="0"/>
    <xf numFmtId="0" fontId="20" fillId="0" borderId="0" applyFont="1" applyFill="0" applyBorder="0">
      <alignment vertical="center"/>
    </xf>
  </cellStyleXfs>
  <cellXfs count="159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172" fontId="5" fillId="0" borderId="0" xfId="28" applyFont="0" applyNumberFormat="1">
      <alignment vertical="top"/>
    </xf>
    <xf numFmtId="173" fontId="5" fillId="0" borderId="0" xfId="29" applyFont="0" applyNumberFormat="1">
      <alignment vertical="top"/>
    </xf>
    <xf numFmtId="174" fontId="5" fillId="0" borderId="0" xfId="30" applyFont="0" applyNumberFormat="1">
      <alignment vertical="top"/>
    </xf>
    <xf numFmtId="175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>
      <alignment vertical="top"/>
    </xf>
    <xf numFmtId="0" fontId="19" fillId="0" borderId="0" xfId="48" applyFont="1">
      <alignment vertical="top"/>
    </xf>
    <xf numFmtId="0" fontId="20" fillId="0" borderId="0" xfId="49" applyFont="1"/>
    <xf numFmtId="0" fontId="20" fillId="0" borderId="0" xfId="50" applyFont="1">
      <alignment vertical="center"/>
    </xf>
    <xf numFmtId="0" fontId="0" fillId="0" borderId="0" xfId="0" applyFont="1">
      <alignment vertical="center"/>
    </xf>
    <xf numFmtId="0" fontId="21" fillId="33" borderId="10" xfId="0" applyFont="1" applyFill="1" applyBorder="1">
      <alignment horizontal="center" vertical="center"/>
    </xf>
    <xf numFmtId="0" fontId="21" fillId="33" borderId="11" xfId="0" applyFont="1" applyFill="1" applyBorder="1">
      <alignment horizontal="center" vertical="center"/>
    </xf>
    <xf numFmtId="0" fontId="0" fillId="33" borderId="12" xfId="0" applyFont="1" applyFill="1" applyBorder="1">
      <alignment horizontal="left" vertical="center"/>
    </xf>
    <xf numFmtId="0" fontId="0" fillId="33" borderId="13" xfId="0" applyFont="1" applyFill="1" applyBorder="1">
      <alignment horizontal="left" vertical="center"/>
    </xf>
    <xf numFmtId="0" fontId="0" fillId="33" borderId="14" xfId="0" applyFont="1" applyFill="1" applyBorder="1">
      <alignment horizontal="left" vertical="center"/>
    </xf>
    <xf numFmtId="0" fontId="22" fillId="33" borderId="15" xfId="0" applyFont="1" applyFill="1" applyBorder="1">
      <alignment horizontal="center" vertical="center" wrapText="1"/>
    </xf>
    <xf numFmtId="0" fontId="22" fillId="33" borderId="16" xfId="0" applyFont="1" applyFill="1" applyBorder="1">
      <alignment horizontal="center" vertical="center" wrapText="1"/>
    </xf>
    <xf numFmtId="0" fontId="22" fillId="33" borderId="15" xfId="0" applyFont="1" applyFill="1" applyBorder="1">
      <alignment horizontal="left" vertical="center"/>
    </xf>
    <xf numFmtId="0" fontId="22" fillId="33" borderId="16" xfId="0" applyFont="1" applyFill="1" applyBorder="1">
      <alignment horizontal="center" vertical="center"/>
    </xf>
    <xf numFmtId="171" fontId="22" fillId="33" borderId="16" xfId="0" applyFont="1" applyFill="1" applyBorder="1" applyNumberFormat="1">
      <alignment horizontal="right" vertical="center"/>
    </xf>
    <xf numFmtId="0" fontId="23" fillId="33" borderId="15" xfId="49" applyFont="1" applyFill="1" applyBorder="1">
      <alignment horizontal="left" vertical="center"/>
    </xf>
    <xf numFmtId="0" fontId="22" fillId="33" borderId="16" xfId="49" applyFont="1" applyFill="1" applyBorder="1">
      <alignment horizontal="center" vertical="center"/>
    </xf>
    <xf numFmtId="171" fontId="22" fillId="33" borderId="15" xfId="49" applyFont="1" applyFill="1" applyBorder="1" applyNumberFormat="1">
      <alignment horizontal="left" vertical="center"/>
    </xf>
    <xf numFmtId="0" fontId="22" fillId="33" borderId="15" xfId="0" applyFont="1" applyFill="1" applyBorder="1">
      <alignment vertical="center"/>
    </xf>
    <xf numFmtId="0" fontId="23" fillId="33" borderId="15" xfId="49" applyFont="1" applyFill="1" applyBorder="1">
      <alignment vertical="center"/>
    </xf>
    <xf numFmtId="0" fontId="23" fillId="33" borderId="15" xfId="49" applyFont="1" applyFill="1" applyBorder="1">
      <alignment horizontal="left"/>
    </xf>
    <xf numFmtId="0" fontId="22" fillId="33" borderId="15" xfId="49" applyFont="1" applyFill="1" applyBorder="1">
      <alignment horizontal="left"/>
    </xf>
    <xf numFmtId="0" fontId="23" fillId="33" borderId="15" xfId="50" applyFont="1" applyFill="1" applyBorder="1">
      <alignment vertical="center"/>
    </xf>
    <xf numFmtId="0" fontId="22" fillId="33" borderId="16" xfId="50" applyFont="1" applyFill="1" applyBorder="1">
      <alignment horizontal="center" vertical="center"/>
    </xf>
    <xf numFmtId="171" fontId="22" fillId="33" borderId="17" xfId="0" applyFont="1" applyFill="1" applyBorder="1" applyNumberFormat="1">
      <alignment horizontal="right" vertical="center"/>
    </xf>
    <xf numFmtId="0" fontId="22" fillId="33" borderId="18" xfId="49" applyFont="1" applyFill="1" applyBorder="1">
      <alignment horizontal="center" vertical="center"/>
    </xf>
    <xf numFmtId="0" fontId="0" fillId="0" borderId="16" xfId="0" applyFont="1" applyBorder="1"/>
    <xf numFmtId="171" fontId="22" fillId="33" borderId="19" xfId="0" applyFont="1" applyFill="1" applyBorder="1" applyNumberFormat="1">
      <alignment horizontal="right" vertical="center"/>
    </xf>
    <xf numFmtId="171" fontId="22" fillId="33" borderId="15" xfId="49" applyFont="1" applyFill="1" applyBorder="1" applyNumberFormat="1">
      <alignment vertical="center"/>
    </xf>
    <xf numFmtId="0" fontId="23" fillId="0" borderId="20" xfId="49" applyFont="1" applyBorder="1">
      <alignment horizontal="left"/>
    </xf>
    <xf numFmtId="0" fontId="22" fillId="0" borderId="19" xfId="49" applyFont="1" applyBorder="1">
      <alignment horizontal="center" vertical="center"/>
    </xf>
    <xf numFmtId="2" fontId="24" fillId="33" borderId="16" xfId="0" applyFont="1" applyFill="1" applyBorder="1" applyNumberFormat="1">
      <alignment horizontal="center" vertical="center"/>
    </xf>
    <xf numFmtId="171" fontId="22" fillId="33" borderId="15" xfId="49" applyFont="1" applyFill="1" applyBorder="1" applyNumberFormat="1">
      <alignment horizontal="center" vertical="center"/>
    </xf>
    <xf numFmtId="171" fontId="22" fillId="33" borderId="21" xfId="49" applyFont="1" applyFill="1" applyBorder="1" applyNumberFormat="1">
      <alignment vertical="center"/>
    </xf>
    <xf numFmtId="0" fontId="22" fillId="33" borderId="22" xfId="49" applyFont="1" applyFill="1" applyBorder="1">
      <alignment horizontal="center" vertical="center"/>
    </xf>
    <xf numFmtId="171" fontId="22" fillId="33" borderId="22" xfId="0" applyFont="1" applyFill="1" applyBorder="1" applyNumberFormat="1">
      <alignment horizontal="right" vertical="center"/>
    </xf>
    <xf numFmtId="0" fontId="0" fillId="33" borderId="16" xfId="0" applyFont="1" applyFill="1" applyBorder="1">
      <alignment horizontal="right" vertical="center"/>
    </xf>
    <xf numFmtId="0" fontId="0" fillId="33" borderId="18" xfId="0" applyFont="1" applyFill="1" applyBorder="1">
      <alignment horizontal="left" vertical="center"/>
    </xf>
    <xf numFmtId="0" fontId="0" fillId="33" borderId="18" xfId="0" applyFont="1" applyFill="1" applyBorder="1">
      <alignment horizontal="center" vertical="center"/>
    </xf>
    <xf numFmtId="0" fontId="0" fillId="33" borderId="13" xfId="0" applyFont="1" applyFill="1" applyBorder="1">
      <alignment horizontal="center" vertical="center"/>
    </xf>
    <xf numFmtId="0" fontId="22" fillId="33" borderId="17" xfId="0" applyFont="1" applyFill="1" applyBorder="1">
      <alignment horizontal="center" vertical="center" wrapText="1"/>
    </xf>
    <xf numFmtId="0" fontId="22" fillId="33" borderId="18" xfId="0" applyFont="1" applyFill="1" applyBorder="1">
      <alignment horizontal="center" vertical="center" wrapText="1"/>
    </xf>
    <xf numFmtId="0" fontId="22" fillId="33" borderId="14" xfId="0" applyFont="1" applyFill="1" applyBorder="1">
      <alignment horizontal="center" vertical="center" wrapText="1"/>
    </xf>
    <xf numFmtId="0" fontId="22" fillId="33" borderId="19" xfId="0" applyFont="1" applyFill="1" applyBorder="1">
      <alignment horizontal="center" vertical="center" wrapText="1"/>
    </xf>
    <xf numFmtId="0" fontId="25" fillId="33" borderId="16" xfId="0" applyFont="1" applyFill="1" applyBorder="1">
      <alignment horizontal="center" vertical="center" wrapText="1"/>
    </xf>
    <xf numFmtId="171" fontId="22" fillId="33" borderId="16" xfId="0" applyFont="1" applyFill="1" applyBorder="1" applyNumberFormat="1">
      <alignment horizontal="right" vertical="center"/>
    </xf>
    <xf numFmtId="0" fontId="0" fillId="0" borderId="16" xfId="0" applyFont="1" applyBorder="1">
      <alignment horizontal="right"/>
    </xf>
    <xf numFmtId="0" fontId="21" fillId="33" borderId="23" xfId="0" applyFont="1" applyFill="1" applyBorder="1">
      <alignment horizontal="center" vertical="center"/>
    </xf>
    <xf numFmtId="0" fontId="0" fillId="33" borderId="14" xfId="0" applyFont="1" applyFill="1" applyBorder="1">
      <alignment horizontal="center" vertical="center"/>
    </xf>
    <xf numFmtId="0" fontId="0" fillId="33" borderId="16" xfId="0" applyFont="1" applyFill="1" applyBorder="1">
      <alignment vertical="center"/>
    </xf>
    <xf numFmtId="0" fontId="0" fillId="33" borderId="24" xfId="0" applyFont="1" applyFill="1" applyBorder="1">
      <alignment horizontal="right" vertical="center"/>
    </xf>
    <xf numFmtId="0" fontId="22" fillId="33" borderId="24" xfId="0" applyFont="1" applyFill="1" applyBorder="1">
      <alignment horizontal="center" vertical="center" wrapText="1"/>
    </xf>
    <xf numFmtId="0" fontId="23" fillId="33" borderId="24" xfId="0" applyFont="1" applyFill="1" applyBorder="1">
      <alignment horizontal="center"/>
    </xf>
    <xf numFmtId="0" fontId="23" fillId="33" borderId="25" xfId="0" applyFont="1" applyFill="1" applyBorder="1">
      <alignment horizontal="center"/>
    </xf>
    <xf numFmtId="0" fontId="23" fillId="33" borderId="26" xfId="0" applyFont="1" applyFill="1" applyBorder="1">
      <alignment horizontal="center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21" fillId="33" borderId="10" xfId="0" applyFont="1" applyFill="1" applyBorder="1">
      <alignment horizontal="center" vertical="center" wrapText="1"/>
    </xf>
    <xf numFmtId="0" fontId="21" fillId="33" borderId="11" xfId="0" applyFont="1" applyFill="1" applyBorder="1">
      <alignment horizontal="center" vertical="center" wrapText="1"/>
    </xf>
    <xf numFmtId="0" fontId="21" fillId="33" borderId="23" xfId="0" applyFont="1" applyFill="1" applyBorder="1">
      <alignment horizontal="center" vertical="center" wrapText="1"/>
    </xf>
    <xf numFmtId="0" fontId="0" fillId="0" borderId="0" xfId="0" applyFont="1">
      <alignment vertical="center" wrapText="1"/>
    </xf>
    <xf numFmtId="0" fontId="0" fillId="33" borderId="12" xfId="0" applyFont="1" applyFill="1" applyBorder="1">
      <alignment horizontal="left" vertical="center" wrapText="1"/>
    </xf>
    <xf numFmtId="0" fontId="0" fillId="33" borderId="13" xfId="0" applyFont="1" applyFill="1" applyBorder="1">
      <alignment horizontal="left" vertical="center" wrapText="1"/>
    </xf>
    <xf numFmtId="0" fontId="0" fillId="33" borderId="14" xfId="0" applyFont="1" applyFill="1" applyBorder="1">
      <alignment horizontal="left" vertical="center" wrapText="1"/>
    </xf>
    <xf numFmtId="0" fontId="0" fillId="33" borderId="16" xfId="0" applyFont="1" applyFill="1" applyBorder="1">
      <alignment horizontal="right" vertical="center" wrapText="1"/>
    </xf>
    <xf numFmtId="0" fontId="0" fillId="33" borderId="18" xfId="0" applyFont="1" applyFill="1" applyBorder="1">
      <alignment horizontal="left" vertical="center" wrapText="1"/>
    </xf>
    <xf numFmtId="0" fontId="0" fillId="33" borderId="18" xfId="0" applyFont="1" applyFill="1" applyBorder="1">
      <alignment horizontal="center" vertical="center" wrapText="1"/>
    </xf>
    <xf numFmtId="0" fontId="0" fillId="33" borderId="13" xfId="0" applyFont="1" applyFill="1" applyBorder="1">
      <alignment horizontal="center" vertical="center" wrapText="1"/>
    </xf>
    <xf numFmtId="0" fontId="0" fillId="33" borderId="14" xfId="0" applyFont="1" applyFill="1" applyBorder="1">
      <alignment horizontal="center" vertical="center" wrapText="1"/>
    </xf>
    <xf numFmtId="0" fontId="0" fillId="33" borderId="16" xfId="0" applyFont="1" applyFill="1" applyBorder="1">
      <alignment vertical="center" wrapText="1"/>
    </xf>
    <xf numFmtId="0" fontId="0" fillId="33" borderId="24" xfId="0" applyFont="1" applyFill="1" applyBorder="1">
      <alignment horizontal="right" vertical="center" wrapText="1"/>
    </xf>
    <xf numFmtId="0" fontId="22" fillId="33" borderId="15" xfId="0" applyFont="1" applyFill="1" applyBorder="1">
      <alignment horizontal="center" vertical="center" wrapText="1"/>
    </xf>
    <xf numFmtId="0" fontId="22" fillId="33" borderId="16" xfId="0" applyFont="1" applyFill="1" applyBorder="1">
      <alignment horizontal="center" vertical="center" wrapText="1"/>
    </xf>
    <xf numFmtId="0" fontId="22" fillId="33" borderId="17" xfId="0" applyFont="1" applyFill="1" applyBorder="1">
      <alignment horizontal="center" vertical="center" wrapText="1"/>
    </xf>
    <xf numFmtId="0" fontId="22" fillId="33" borderId="18" xfId="0" applyFont="1" applyFill="1" applyBorder="1">
      <alignment horizontal="center" vertical="center" wrapText="1"/>
    </xf>
    <xf numFmtId="0" fontId="22" fillId="33" borderId="14" xfId="0" applyFont="1" applyFill="1" applyBorder="1">
      <alignment horizontal="center" vertical="center" wrapText="1"/>
    </xf>
    <xf numFmtId="0" fontId="22" fillId="33" borderId="24" xfId="0" applyFont="1" applyFill="1" applyBorder="1">
      <alignment horizontal="center" vertical="center" wrapText="1"/>
    </xf>
    <xf numFmtId="0" fontId="22" fillId="33" borderId="19" xfId="0" applyFont="1" applyFill="1" applyBorder="1">
      <alignment horizontal="center" vertical="center" wrapText="1"/>
    </xf>
    <xf numFmtId="0" fontId="25" fillId="33" borderId="16" xfId="0" applyFont="1" applyFill="1" applyBorder="1">
      <alignment horizontal="center" vertical="center" wrapText="1"/>
    </xf>
    <xf numFmtId="0" fontId="22" fillId="33" borderId="15" xfId="0" applyFont="1" applyFill="1" applyBorder="1">
      <alignment horizontal="left" vertical="center" wrapText="1"/>
    </xf>
    <xf numFmtId="0" fontId="22" fillId="33" borderId="16" xfId="0" applyFont="1" applyFill="1" applyBorder="1">
      <alignment horizontal="center" vertical="center" wrapText="1"/>
    </xf>
    <xf numFmtId="171" fontId="22" fillId="33" borderId="16" xfId="0" applyFont="1" applyFill="1" applyBorder="1" applyNumberFormat="1">
      <alignment horizontal="right" vertical="center" wrapText="1"/>
    </xf>
    <xf numFmtId="0" fontId="23" fillId="33" borderId="24" xfId="0" applyFont="1" applyFill="1" applyBorder="1">
      <alignment horizontal="center" wrapText="1"/>
      <protection locked="0"/>
    </xf>
    <xf numFmtId="0" fontId="23" fillId="33" borderId="24" xfId="0" applyFont="1" applyFill="1" applyBorder="1">
      <alignment horizontal="center" wrapText="1"/>
    </xf>
    <xf numFmtId="0" fontId="23" fillId="33" borderId="15" xfId="0" applyFont="1" applyFill="1" applyBorder="1">
      <alignment horizontal="left" vertical="center" wrapText="1"/>
    </xf>
    <xf numFmtId="0" fontId="22" fillId="33" borderId="16" xfId="0" applyFont="1" applyFill="1" applyBorder="1">
      <alignment horizontal="center" vertical="center" wrapText="1"/>
    </xf>
    <xf numFmtId="171" fontId="22" fillId="33" borderId="15" xfId="0" applyFont="1" applyFill="1" applyBorder="1" applyNumberFormat="1">
      <alignment horizontal="left" vertical="center" wrapText="1"/>
    </xf>
    <xf numFmtId="0" fontId="22" fillId="33" borderId="15" xfId="0" applyFont="1" applyFill="1" applyBorder="1">
      <alignment vertical="center" wrapText="1"/>
    </xf>
    <xf numFmtId="0" fontId="23" fillId="33" borderId="15" xfId="0" applyFont="1" applyFill="1" applyBorder="1">
      <alignment vertical="center" wrapText="1"/>
    </xf>
    <xf numFmtId="0" fontId="23" fillId="33" borderId="15" xfId="0" applyFont="1" applyFill="1" applyBorder="1">
      <alignment horizontal="left" wrapText="1"/>
    </xf>
    <xf numFmtId="0" fontId="22" fillId="33" borderId="15" xfId="0" applyFont="1" applyFill="1" applyBorder="1">
      <alignment horizontal="left" wrapText="1"/>
    </xf>
    <xf numFmtId="0" fontId="23" fillId="33" borderId="15" xfId="0" applyFont="1" applyFill="1" applyBorder="1">
      <alignment vertical="center" wrapText="1"/>
    </xf>
    <xf numFmtId="0" fontId="22" fillId="33" borderId="16" xfId="0" applyFont="1" applyFill="1" applyBorder="1">
      <alignment horizontal="center" vertical="center" wrapText="1"/>
    </xf>
    <xf numFmtId="171" fontId="22" fillId="33" borderId="17" xfId="0" applyFont="1" applyFill="1" applyBorder="1" applyNumberFormat="1">
      <alignment horizontal="right" vertical="center" wrapText="1"/>
    </xf>
    <xf numFmtId="0" fontId="22" fillId="33" borderId="18" xfId="0" applyFont="1" applyFill="1" applyBorder="1">
      <alignment horizontal="center" vertical="center" wrapText="1"/>
    </xf>
    <xf numFmtId="0" fontId="0" fillId="0" borderId="16" xfId="0" applyFont="1" applyBorder="1">
      <alignment wrapText="1"/>
    </xf>
    <xf numFmtId="171" fontId="22" fillId="33" borderId="16" xfId="0" applyFont="1" applyFill="1" applyBorder="1" applyNumberFormat="1">
      <alignment horizontal="right" vertical="center" wrapText="1"/>
    </xf>
    <xf numFmtId="0" fontId="0" fillId="0" borderId="16" xfId="0" applyFont="1" applyBorder="1">
      <alignment horizontal="right" wrapText="1"/>
    </xf>
    <xf numFmtId="0" fontId="23" fillId="33" borderId="25" xfId="0" applyFont="1" applyFill="1" applyBorder="1">
      <alignment horizontal="center" wrapText="1"/>
    </xf>
    <xf numFmtId="171" fontId="22" fillId="33" borderId="19" xfId="0" applyFont="1" applyFill="1" applyBorder="1" applyNumberFormat="1">
      <alignment horizontal="right" vertical="center" wrapText="1"/>
    </xf>
    <xf numFmtId="171" fontId="22" fillId="33" borderId="15" xfId="0" applyFont="1" applyFill="1" applyBorder="1" applyNumberFormat="1">
      <alignment vertical="center" wrapText="1"/>
    </xf>
    <xf numFmtId="0" fontId="23" fillId="0" borderId="20" xfId="0" applyFont="1" applyBorder="1">
      <alignment horizontal="left" wrapText="1"/>
    </xf>
    <xf numFmtId="0" fontId="22" fillId="0" borderId="19" xfId="0" applyFont="1" applyBorder="1">
      <alignment horizontal="center" vertical="center" wrapText="1"/>
    </xf>
    <xf numFmtId="2" fontId="24" fillId="33" borderId="16" xfId="0" applyFont="1" applyFill="1" applyBorder="1" applyNumberFormat="1">
      <alignment horizontal="center" vertical="center" wrapText="1"/>
    </xf>
    <xf numFmtId="171" fontId="22" fillId="33" borderId="15" xfId="0" applyFont="1" applyFill="1" applyBorder="1" applyNumberFormat="1">
      <alignment horizontal="center" vertical="center" wrapText="1"/>
    </xf>
    <xf numFmtId="171" fontId="22" fillId="33" borderId="21" xfId="0" applyFont="1" applyFill="1" applyBorder="1" applyNumberFormat="1">
      <alignment vertical="center" wrapText="1"/>
    </xf>
    <xf numFmtId="0" fontId="22" fillId="33" borderId="22" xfId="0" applyFont="1" applyFill="1" applyBorder="1">
      <alignment horizontal="center" vertical="center" wrapText="1"/>
    </xf>
    <xf numFmtId="171" fontId="22" fillId="33" borderId="22" xfId="0" applyFont="1" applyFill="1" applyBorder="1" applyNumberFormat="1">
      <alignment horizontal="right" vertical="center" wrapText="1"/>
    </xf>
    <xf numFmtId="0" fontId="23" fillId="33" borderId="26" xfId="0" applyFont="1" applyFill="1" applyBorder="1">
      <alignment horizontal="center" wrapText="1"/>
    </xf>
    <xf numFmtId="0" fontId="0" fillId="0" borderId="0" xfId="0" applyFont="1"/>
    <xf numFmtId="0" fontId="0" fillId="0" borderId="0" xfId="0" applyFont="1">
      <alignment wrapText="1"/>
    </xf>
    <xf numFmtId="0" fontId="0" fillId="0" borderId="0" xfId="0" applyFont="1">
      <alignment wrapText="1"/>
    </xf>
  </cellXfs>
  <cellStyles count="51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超链接" xfId="47"/>
    <cellStyle name="已访问的超链接" xfId="48"/>
    <cellStyle name="常规_Sheet1" xfId="49"/>
    <cellStyle name="常规_炼化" xfId="5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Relationship Id="rId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1F7D1BC-7DF5-F127-17ED-B35D19288948}" mc:Ignorable="x14ac xr xr2 xr3">
  <dimension ref="A1:T62"/>
  <sheetViews>
    <sheetView topLeftCell="A1" showGridLines="0" workbookViewId="0" tabSelected="1">
      <selection activeCell="A1" sqref="A1"/>
    </sheetView>
  </sheetViews>
  <sheetFormatPr defaultColWidth="9.00390625" customHeight="1" defaultRowHeight="13.799999999999999"/>
  <cols>
    <col min="1" max="1" style="156" width="2.57421875" customWidth="1"/>
    <col min="2" max="2" style="156" width="25.57421875" customWidth="1"/>
    <col min="4" max="9" style="156" width="15.57421875" customWidth="1"/>
    <col min="10" max="11" style="156" width="15.57421875" hidden="1" customWidth="1"/>
    <col min="12" max="20" style="156" width="15.57421875" customWidth="1"/>
  </cols>
  <sheetData>
    <row customHeight="1" ht="2.25">
      <c r="A1" s="102"/>
      <c r="B1" s="102"/>
      <c r="C1" s="103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</row>
    <row customHeight="1" ht="27">
      <c r="A2" s="102"/>
      <c r="B2" s="104" t="s">
        <v>0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6"/>
    </row>
    <row s="51" customFormat="1" customHeight="1" ht="20.25">
      <c r="A3" s="107"/>
      <c r="B3" s="108" t="s">
        <v>1</v>
      </c>
      <c r="C3" s="109"/>
      <c r="D3" s="109"/>
      <c r="E3" s="109"/>
      <c r="F3" s="109"/>
      <c r="G3" s="109"/>
      <c r="H3" s="110"/>
      <c r="I3" s="111" t="s">
        <v>2</v>
      </c>
      <c r="J3" s="111" t="s">
        <v>2</v>
      </c>
      <c r="K3" s="111"/>
      <c r="L3" s="112" t="s">
        <v>3</v>
      </c>
      <c r="M3" s="110"/>
      <c r="N3" s="113" t="str">
        <f>取值!A1&amp;取值!B1&amp;取值!C1</f>
        <v>报表生成时间：2026-01-01 8:00:00</v>
      </c>
      <c r="O3" s="114"/>
      <c r="P3" s="114"/>
      <c r="Q3" s="115"/>
      <c r="R3" s="116"/>
      <c r="S3" s="111" t="s">
        <v>4</v>
      </c>
      <c r="T3" s="117"/>
    </row>
    <row customHeight="1" ht="20.25">
      <c r="A4" s="102"/>
      <c r="B4" s="57" t="s">
        <v>5</v>
      </c>
      <c r="C4" s="58" t="s">
        <v>6</v>
      </c>
      <c r="D4" s="58" t="s">
        <v>7</v>
      </c>
      <c r="E4" s="58" t="s">
        <v>8</v>
      </c>
      <c r="F4" s="58" t="s">
        <v>9</v>
      </c>
      <c r="G4" s="58" t="s">
        <v>10</v>
      </c>
      <c r="H4" s="58" t="s">
        <v>11</v>
      </c>
      <c r="I4" s="87" t="s">
        <v>12</v>
      </c>
      <c r="J4" s="58" t="s">
        <v>12</v>
      </c>
      <c r="K4" s="58"/>
      <c r="L4" s="58" t="s">
        <v>13</v>
      </c>
      <c r="M4" s="58" t="s">
        <v>14</v>
      </c>
      <c r="N4" s="88" t="s">
        <v>15</v>
      </c>
      <c r="O4" s="89"/>
      <c r="P4" s="58" t="s">
        <v>16</v>
      </c>
      <c r="Q4" s="58"/>
      <c r="R4" s="58" t="s">
        <v>17</v>
      </c>
      <c r="S4" s="58" t="s">
        <v>18</v>
      </c>
      <c r="T4" s="98" t="s">
        <v>19</v>
      </c>
    </row>
    <row customHeight="1" ht="20.25">
      <c r="A5" s="102"/>
      <c r="B5" s="57"/>
      <c r="C5" s="58"/>
      <c r="D5" s="58"/>
      <c r="E5" s="58"/>
      <c r="F5" s="58"/>
      <c r="G5" s="58"/>
      <c r="H5" s="58"/>
      <c r="I5" s="90"/>
      <c r="J5" s="91" t="s">
        <v>20</v>
      </c>
      <c r="K5" s="91" t="s">
        <v>21</v>
      </c>
      <c r="L5" s="58"/>
      <c r="M5" s="58"/>
      <c r="N5" s="58" t="s">
        <v>22</v>
      </c>
      <c r="O5" s="58" t="s">
        <v>23</v>
      </c>
      <c r="P5" s="58" t="s">
        <v>24</v>
      </c>
      <c r="Q5" s="58" t="s">
        <v>25</v>
      </c>
      <c r="R5" s="58"/>
      <c r="S5" s="58"/>
      <c r="T5" s="98"/>
    </row>
    <row customHeight="1" ht="20.25">
      <c r="A6" s="102"/>
      <c r="B6" s="126" t="s">
        <v>26</v>
      </c>
      <c r="C6" s="127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9"/>
    </row>
    <row customHeight="1" ht="20.25">
      <c r="A7" s="102"/>
      <c r="B7" s="126" t="s">
        <v>27</v>
      </c>
      <c r="C7" s="127" t="s">
        <v>28</v>
      </c>
      <c r="D7" s="128">
        <f>取值!D7</f>
        <v>113371</v>
      </c>
      <c r="E7" s="128">
        <f>取值!E7</f>
        <v>5180465</v>
      </c>
      <c r="F7" s="128">
        <f>取值!F7</f>
        <v>0</v>
      </c>
      <c r="G7" s="128">
        <f>取值!G7</f>
        <v>0</v>
      </c>
      <c r="H7" s="128">
        <f>取值!H7</f>
        <v>5055169</v>
      </c>
      <c r="I7" s="128">
        <f>_xlfn.IFERROR(J7+K7,"")</f>
        <v>0</v>
      </c>
      <c r="J7" s="128">
        <f>取值!I7</f>
        <v>0</v>
      </c>
      <c r="K7" s="128">
        <f>取值!U7</f>
        <v>0</v>
      </c>
      <c r="L7" s="128">
        <f>取值!J7</f>
        <v>0</v>
      </c>
      <c r="M7" s="128">
        <f>取值!K7</f>
        <v>0</v>
      </c>
      <c r="N7" s="128">
        <f>取值!M7</f>
        <v>0</v>
      </c>
      <c r="O7" s="128">
        <f>取值!L7</f>
        <v>0</v>
      </c>
      <c r="P7" s="128">
        <f>取值!N7</f>
        <v>7765</v>
      </c>
      <c r="Q7" s="128">
        <f>取值!O7</f>
        <v>0</v>
      </c>
      <c r="R7" s="128">
        <f>取值!W7</f>
        <v>2</v>
      </c>
      <c r="S7" s="128">
        <f>取值!Q7</f>
        <v>246434</v>
      </c>
      <c r="T7" s="130"/>
    </row>
    <row customHeight="1" ht="20.25">
      <c r="A8" s="102"/>
      <c r="B8" s="126" t="s">
        <v>29</v>
      </c>
      <c r="C8" s="127" t="s">
        <v>28</v>
      </c>
      <c r="D8" s="128">
        <f>取值!D8</f>
        <v>10071</v>
      </c>
      <c r="E8" s="128">
        <f>取值!E8</f>
        <v>0</v>
      </c>
      <c r="F8" s="128">
        <f>取值!F8</f>
        <v>2393921</v>
      </c>
      <c r="G8" s="128">
        <f>取值!G8</f>
        <v>0</v>
      </c>
      <c r="H8" s="128">
        <f>取值!H8</f>
        <v>1699985</v>
      </c>
      <c r="I8" s="128">
        <f>_xlfn.IFERROR(J8+K8,"")</f>
        <v>746254</v>
      </c>
      <c r="J8" s="128">
        <f>取值!I8</f>
        <v>0</v>
      </c>
      <c r="K8" s="128">
        <f>取值!U8</f>
        <v>746254</v>
      </c>
      <c r="L8" s="128">
        <f>取值!J8</f>
        <v>0</v>
      </c>
      <c r="M8" s="128">
        <f>取值!K8</f>
        <v>0</v>
      </c>
      <c r="N8" s="128">
        <f>取值!M8</f>
        <v>82461</v>
      </c>
      <c r="O8" s="128">
        <f>取值!L8</f>
        <v>0</v>
      </c>
      <c r="P8" s="128">
        <f>取值!N8</f>
        <v>0</v>
      </c>
      <c r="Q8" s="128">
        <f>取值!O8</f>
        <v>8300</v>
      </c>
      <c r="R8" s="128">
        <f>取值!W8</f>
        <v>0</v>
      </c>
      <c r="S8" s="128">
        <f>取值!Q8</f>
        <v>31914</v>
      </c>
      <c r="T8" s="130"/>
    </row>
    <row customHeight="1" ht="20.25">
      <c r="A9" s="102"/>
      <c r="B9" s="131" t="s">
        <v>30</v>
      </c>
      <c r="C9" s="132" t="s">
        <v>28</v>
      </c>
      <c r="D9" s="128"/>
      <c r="E9" s="128"/>
      <c r="F9" s="128"/>
      <c r="G9" s="128"/>
      <c r="H9" s="128"/>
      <c r="I9" s="128">
        <f>_xlfn.IFERROR(J9+K9,"")</f>
        <v>0</v>
      </c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30"/>
    </row>
    <row customHeight="1" ht="20.25">
      <c r="A10" s="102"/>
      <c r="B10" s="131" t="s">
        <v>31</v>
      </c>
      <c r="C10" s="132" t="s">
        <v>28</v>
      </c>
      <c r="D10" s="128"/>
      <c r="E10" s="128"/>
      <c r="F10" s="128"/>
      <c r="G10" s="128"/>
      <c r="H10" s="128"/>
      <c r="I10" s="128">
        <f>_xlfn.IFERROR(J10+K10,"")</f>
        <v>0</v>
      </c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30"/>
    </row>
    <row customHeight="1" ht="20.25">
      <c r="A11" s="102"/>
      <c r="B11" s="131" t="s">
        <v>32</v>
      </c>
      <c r="C11" s="127" t="s">
        <v>28</v>
      </c>
      <c r="D11" s="128">
        <f>取值!D11</f>
        <v>0</v>
      </c>
      <c r="E11" s="128">
        <f>取值!E11</f>
        <v>481</v>
      </c>
      <c r="F11" s="128">
        <f>取值!F11</f>
        <v>0</v>
      </c>
      <c r="G11" s="128">
        <f>取值!G11</f>
        <v>0</v>
      </c>
      <c r="H11" s="128">
        <f>取值!H11</f>
        <v>0</v>
      </c>
      <c r="I11" s="128">
        <f>_xlfn.IFERROR(J11+K11,"")</f>
        <v>0</v>
      </c>
      <c r="J11" s="128">
        <f>取值!I11</f>
        <v>0</v>
      </c>
      <c r="K11" s="128">
        <f>取值!U11</f>
        <v>0</v>
      </c>
      <c r="L11" s="128">
        <f>取值!J11</f>
        <v>0</v>
      </c>
      <c r="M11" s="128">
        <f>取值!K11</f>
        <v>0</v>
      </c>
      <c r="N11" s="128">
        <f>取值!M11</f>
        <v>0</v>
      </c>
      <c r="O11" s="128">
        <f>取值!L11</f>
        <v>0</v>
      </c>
      <c r="P11" s="128">
        <f>取值!N11</f>
        <v>0</v>
      </c>
      <c r="Q11" s="128">
        <f>取值!O11</f>
        <v>0</v>
      </c>
      <c r="R11" s="128">
        <f>取值!W11</f>
        <v>-481</v>
      </c>
      <c r="S11" s="128">
        <f>取值!Q11</f>
        <v>0</v>
      </c>
      <c r="T11" s="130"/>
    </row>
    <row customHeight="1" ht="20.25">
      <c r="A12" s="102"/>
      <c r="B12" s="131" t="s">
        <v>33</v>
      </c>
      <c r="C12" s="132" t="s">
        <v>28</v>
      </c>
      <c r="D12" s="128"/>
      <c r="E12" s="128"/>
      <c r="F12" s="128"/>
      <c r="G12" s="128"/>
      <c r="H12" s="128"/>
      <c r="I12" s="128">
        <f>_xlfn.IFERROR(J12+K12,"")</f>
        <v>0</v>
      </c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30"/>
    </row>
    <row customHeight="1" ht="20.25">
      <c r="A13" s="102"/>
      <c r="B13" s="131" t="s">
        <v>34</v>
      </c>
      <c r="C13" s="132" t="s">
        <v>28</v>
      </c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30"/>
    </row>
    <row customHeight="1" ht="20.25">
      <c r="A14" s="102"/>
      <c r="B14" s="133" t="s">
        <v>35</v>
      </c>
      <c r="C14" s="132" t="s">
        <v>28</v>
      </c>
      <c r="D14" s="128"/>
      <c r="E14" s="128"/>
      <c r="F14" s="128"/>
      <c r="G14" s="128"/>
      <c r="H14" s="128"/>
      <c r="I14" s="128">
        <f>_xlfn.IFERROR(J14+K14,"")</f>
        <v>0</v>
      </c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30"/>
    </row>
    <row customHeight="1" ht="20.25">
      <c r="A15" s="102"/>
      <c r="B15" s="133" t="s">
        <v>36</v>
      </c>
      <c r="C15" s="132" t="s">
        <v>28</v>
      </c>
      <c r="D15" s="128"/>
      <c r="E15" s="128">
        <f>取值!E13</f>
        <v>9</v>
      </c>
      <c r="F15" s="128"/>
      <c r="G15" s="128"/>
      <c r="H15" s="128"/>
      <c r="I15" s="128">
        <f>_xlfn.IFERROR(J15+K15,"")</f>
        <v>0</v>
      </c>
      <c r="J15" s="128"/>
      <c r="K15" s="128"/>
      <c r="L15" s="128"/>
      <c r="M15" s="128"/>
      <c r="N15" s="128"/>
      <c r="O15" s="128"/>
      <c r="P15" s="128"/>
      <c r="Q15" s="128">
        <f>取值!O13</f>
        <v>9</v>
      </c>
      <c r="R15" s="128"/>
      <c r="S15" s="128"/>
      <c r="T15" s="130"/>
    </row>
    <row customHeight="1" ht="20.25">
      <c r="A16" s="102"/>
      <c r="B16" s="134" t="s">
        <v>37</v>
      </c>
      <c r="C16" s="127" t="s">
        <v>28</v>
      </c>
      <c r="D16" s="128">
        <f>取值!D15</f>
        <v>0</v>
      </c>
      <c r="E16" s="128">
        <f>_xlfn.IFERROR(E17+E21,"")</f>
        <v>0</v>
      </c>
      <c r="F16" s="128">
        <f>_xlfn.IFERROR(F17+F21,"")</f>
        <v>3342820</v>
      </c>
      <c r="G16" s="128">
        <f>_xlfn.IFERROR(G17+G21,"")</f>
        <v>0</v>
      </c>
      <c r="H16" s="128">
        <f>_xlfn.IFERROR(H17+H21,"")</f>
        <v>0</v>
      </c>
      <c r="I16" s="128">
        <f>_xlfn.IFERROR(I17+I21,"")</f>
        <v>3268210</v>
      </c>
      <c r="J16" s="128">
        <f>_xlfn.IFERROR(J17+J21,"")</f>
        <v>0</v>
      </c>
      <c r="K16" s="128">
        <f>_xlfn.IFERROR(K17+K21,"")</f>
        <v>0</v>
      </c>
      <c r="L16" s="128">
        <f>_xlfn.IFERROR(L17+L21,"")</f>
        <v>0</v>
      </c>
      <c r="M16" s="128">
        <f>_xlfn.IFERROR(M17+M21,"")</f>
        <v>0</v>
      </c>
      <c r="N16" s="128">
        <f>_xlfn.IFERROR(N17+N21,"")</f>
        <v>0</v>
      </c>
      <c r="O16" s="128">
        <f>_xlfn.IFERROR(O17+O21,"")</f>
        <v>0</v>
      </c>
      <c r="P16" s="128">
        <f>_xlfn.IFERROR(P17+P21,"")</f>
        <v>20809</v>
      </c>
      <c r="Q16" s="128">
        <f>_xlfn.IFERROR(Q17+Q21,"")</f>
        <v>20809</v>
      </c>
      <c r="R16" s="128">
        <f>_xlfn.IFERROR(R17+R21,"")</f>
        <v>-461</v>
      </c>
      <c r="S16" s="128">
        <f>_xlfn.IFERROR(S17+S21,"")</f>
        <v>168233</v>
      </c>
      <c r="T16" s="130"/>
    </row>
    <row customHeight="1" ht="20.25">
      <c r="A17" s="102"/>
      <c r="B17" s="126" t="s">
        <v>38</v>
      </c>
      <c r="C17" s="127" t="s">
        <v>28</v>
      </c>
      <c r="D17" s="128">
        <f>取值!D16</f>
        <v>38500</v>
      </c>
      <c r="E17" s="128">
        <f>_xlfn.IFERROR(E18+E19,"")</f>
        <v>0</v>
      </c>
      <c r="F17" s="128">
        <f>_xlfn.IFERROR(F18+F19,"")</f>
        <v>1659056</v>
      </c>
      <c r="G17" s="128">
        <f>_xlfn.IFERROR(G18+G19,"")</f>
        <v>0</v>
      </c>
      <c r="H17" s="128">
        <f>_xlfn.IFERROR(H18+H19,"")</f>
        <v>0</v>
      </c>
      <c r="I17" s="128">
        <f>_xlfn.IFERROR(I18+I19,"")</f>
        <v>1619985</v>
      </c>
      <c r="J17" s="128"/>
      <c r="K17" s="128"/>
      <c r="L17" s="128">
        <f>_xlfn.IFERROR(L18+L19,"")</f>
        <v>0</v>
      </c>
      <c r="M17" s="128">
        <f>_xlfn.IFERROR(M18+M19,"")</f>
        <v>0</v>
      </c>
      <c r="N17" s="128">
        <f>_xlfn.IFERROR(N18+N19,"")</f>
        <v>0</v>
      </c>
      <c r="O17" s="128">
        <f>_xlfn.IFERROR(O18+O19,"")</f>
        <v>0</v>
      </c>
      <c r="P17" s="128">
        <f>_xlfn.IFERROR(P18+P19,"")</f>
        <v>16000</v>
      </c>
      <c r="Q17" s="128">
        <f>_xlfn.IFERROR(Q18+Q19,"")</f>
        <v>16000</v>
      </c>
      <c r="R17" s="128">
        <f>_xlfn.IFERROR(R18+R19,"")</f>
        <v>-231</v>
      </c>
      <c r="S17" s="128">
        <f>_xlfn.IFERROR(S18+S19,"")</f>
        <v>77340</v>
      </c>
      <c r="T17" s="130"/>
    </row>
    <row customHeight="1" ht="20.25">
      <c r="A18" s="102"/>
      <c r="B18" s="126" t="s">
        <v>39</v>
      </c>
      <c r="C18" s="127" t="s">
        <v>28</v>
      </c>
      <c r="D18" s="128">
        <f>取值!D17</f>
        <v>32323</v>
      </c>
      <c r="E18" s="128">
        <f>取值!E17</f>
        <v>0</v>
      </c>
      <c r="F18" s="128">
        <f>取值!F17</f>
        <v>1479584</v>
      </c>
      <c r="G18" s="128">
        <f>取值!G17</f>
        <v>0</v>
      </c>
      <c r="H18" s="128">
        <f>取值!H17</f>
        <v>0</v>
      </c>
      <c r="I18" s="128">
        <f>_xlfn.IFERROR(J18+K18,"")</f>
        <v>1420862</v>
      </c>
      <c r="J18" s="128">
        <f>取值!I17</f>
        <v>996117</v>
      </c>
      <c r="K18" s="128">
        <f>取值!U17</f>
        <v>424745</v>
      </c>
      <c r="L18" s="128">
        <f>取值!J17</f>
        <v>0</v>
      </c>
      <c r="M18" s="128">
        <f>取值!K17</f>
        <v>0</v>
      </c>
      <c r="N18" s="128">
        <f>取值!M17</f>
        <v>0</v>
      </c>
      <c r="O18" s="128">
        <f>取值!L17</f>
        <v>0</v>
      </c>
      <c r="P18" s="128">
        <f>取值!N17</f>
        <v>0</v>
      </c>
      <c r="Q18" s="128">
        <f>取值!O17</f>
        <v>16000</v>
      </c>
      <c r="R18" s="128">
        <f>取值!W17</f>
        <v>-231</v>
      </c>
      <c r="S18" s="128">
        <f>取值!Q17</f>
        <v>74814</v>
      </c>
      <c r="T18" s="130"/>
    </row>
    <row customHeight="1" ht="20.25">
      <c r="A19" s="102"/>
      <c r="B19" s="126" t="s">
        <v>40</v>
      </c>
      <c r="C19" s="127" t="s">
        <v>28</v>
      </c>
      <c r="D19" s="128">
        <f>取值!D18</f>
        <v>6177</v>
      </c>
      <c r="E19" s="128">
        <f>取值!E18</f>
        <v>0</v>
      </c>
      <c r="F19" s="128">
        <f>取值!F18</f>
        <v>179472</v>
      </c>
      <c r="G19" s="128">
        <f>取值!G18</f>
        <v>0</v>
      </c>
      <c r="H19" s="128">
        <f>取值!H18</f>
        <v>0</v>
      </c>
      <c r="I19" s="128">
        <f>_xlfn.IFERROR(J19+K19,"")</f>
        <v>199123</v>
      </c>
      <c r="J19" s="128">
        <f>取值!I18</f>
        <v>199123</v>
      </c>
      <c r="K19" s="128">
        <f>取值!U18</f>
        <v>0</v>
      </c>
      <c r="L19" s="128">
        <f>取值!J18</f>
        <v>0</v>
      </c>
      <c r="M19" s="128">
        <f>取值!K18</f>
        <v>0</v>
      </c>
      <c r="N19" s="128">
        <f>取值!M18</f>
        <v>0</v>
      </c>
      <c r="O19" s="128">
        <f>取值!L18</f>
        <v>0</v>
      </c>
      <c r="P19" s="128">
        <f>取值!N18</f>
        <v>16000</v>
      </c>
      <c r="Q19" s="128">
        <f>取值!O18</f>
        <v>0</v>
      </c>
      <c r="R19" s="128">
        <f>取值!W18</f>
        <v>0</v>
      </c>
      <c r="S19" s="128">
        <f>取值!Q18</f>
        <v>2526</v>
      </c>
      <c r="T19" s="130"/>
    </row>
    <row customHeight="1" ht="20.25">
      <c r="A20" s="102"/>
      <c r="B20" s="135" t="s">
        <v>41</v>
      </c>
      <c r="C20" s="132" t="s">
        <v>28</v>
      </c>
      <c r="D20" s="128"/>
      <c r="E20" s="128"/>
      <c r="F20" s="128"/>
      <c r="G20" s="128"/>
      <c r="H20" s="128"/>
      <c r="I20" s="128">
        <f>_xlfn.IFERROR(J20+K20,"")</f>
        <v>0</v>
      </c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30"/>
    </row>
    <row customHeight="1" ht="20.25">
      <c r="A21" s="102"/>
      <c r="B21" s="126" t="s">
        <v>42</v>
      </c>
      <c r="C21" s="127" t="s">
        <v>28</v>
      </c>
      <c r="D21" s="128">
        <f>取值!D19</f>
        <v>55584</v>
      </c>
      <c r="E21" s="128">
        <f>_xlfn.IFERROR(E22+E23+E24,"")</f>
        <v>0</v>
      </c>
      <c r="F21" s="128">
        <f>_xlfn.IFERROR(F22+F23+F24,"")</f>
        <v>1683764</v>
      </c>
      <c r="G21" s="128">
        <f>_xlfn.IFERROR(G22+G23+G24,"")</f>
        <v>0</v>
      </c>
      <c r="H21" s="128">
        <f>_xlfn.IFERROR(H22+H23+H24,"")</f>
        <v>0</v>
      </c>
      <c r="I21" s="128">
        <f>_xlfn.IFERROR(I22+I23+I24,"")</f>
        <v>1648225</v>
      </c>
      <c r="J21" s="128"/>
      <c r="K21" s="128"/>
      <c r="L21" s="128">
        <f>_xlfn.IFERROR(L22+L23+L24,"")</f>
        <v>0</v>
      </c>
      <c r="M21" s="128">
        <f>_xlfn.IFERROR(M22+M23+M24,"")</f>
        <v>0</v>
      </c>
      <c r="N21" s="128">
        <f>_xlfn.IFERROR(N22+N23+N24,"")</f>
        <v>0</v>
      </c>
      <c r="O21" s="128">
        <f>_xlfn.IFERROR(O22+O23+O24,"")</f>
        <v>0</v>
      </c>
      <c r="P21" s="128">
        <f>_xlfn.IFERROR(P22+P23+P24,"")</f>
        <v>4809</v>
      </c>
      <c r="Q21" s="128">
        <f>_xlfn.IFERROR(Q22+Q23+Q24,"")</f>
        <v>4809</v>
      </c>
      <c r="R21" s="128">
        <f>_xlfn.IFERROR(R22+R23+R24,"")</f>
        <v>-230</v>
      </c>
      <c r="S21" s="128">
        <f>_xlfn.IFERROR(S22+S23+S24,"")</f>
        <v>90893</v>
      </c>
      <c r="T21" s="130"/>
    </row>
    <row customHeight="1" ht="20.25">
      <c r="A22" s="102"/>
      <c r="B22" s="126" t="s">
        <v>43</v>
      </c>
      <c r="C22" s="127" t="s">
        <v>28</v>
      </c>
      <c r="D22" s="128">
        <f>取值!D20</f>
        <v>48949</v>
      </c>
      <c r="E22" s="128">
        <f>取值!E20</f>
        <v>0</v>
      </c>
      <c r="F22" s="128">
        <f>取值!F20</f>
        <v>1559802</v>
      </c>
      <c r="G22" s="128">
        <f>取值!G20</f>
        <v>0</v>
      </c>
      <c r="H22" s="128">
        <f>取值!H20</f>
        <v>0</v>
      </c>
      <c r="I22" s="128">
        <f>_xlfn.IFERROR(J22+K22,"")</f>
        <v>1530660</v>
      </c>
      <c r="J22" s="128">
        <f>取值!I20</f>
        <v>1130907</v>
      </c>
      <c r="K22" s="128">
        <f>取值!U20</f>
        <v>399753</v>
      </c>
      <c r="L22" s="128">
        <f>取值!J20</f>
        <v>0</v>
      </c>
      <c r="M22" s="128">
        <f>取值!K20</f>
        <v>0</v>
      </c>
      <c r="N22" s="128">
        <f>取值!M20</f>
        <v>0</v>
      </c>
      <c r="O22" s="128">
        <f>取值!L20</f>
        <v>0</v>
      </c>
      <c r="P22" s="128">
        <f>取值!N20</f>
        <v>4809</v>
      </c>
      <c r="Q22" s="128">
        <f>取值!O20</f>
        <v>0</v>
      </c>
      <c r="R22" s="128">
        <f>取值!W20</f>
        <v>-230</v>
      </c>
      <c r="S22" s="128">
        <f>取值!Q20</f>
        <v>82670</v>
      </c>
      <c r="T22" s="130"/>
    </row>
    <row customHeight="1" ht="20.25">
      <c r="A23" s="102"/>
      <c r="B23" s="126" t="s">
        <v>44</v>
      </c>
      <c r="C23" s="127" t="s">
        <v>28</v>
      </c>
      <c r="D23" s="128">
        <f>取值!D21</f>
        <v>6635</v>
      </c>
      <c r="E23" s="128">
        <f>取值!E21</f>
        <v>0</v>
      </c>
      <c r="F23" s="128">
        <f>取值!F21</f>
        <v>109351</v>
      </c>
      <c r="G23" s="128">
        <f>取值!G21</f>
        <v>0</v>
      </c>
      <c r="H23" s="128">
        <f>取值!H21</f>
        <v>0</v>
      </c>
      <c r="I23" s="128">
        <f>_xlfn.IFERROR(J23+K23,"")</f>
        <v>106752</v>
      </c>
      <c r="J23" s="128">
        <f>取值!I21</f>
        <v>76648</v>
      </c>
      <c r="K23" s="128">
        <f>取值!U21</f>
        <v>30104</v>
      </c>
      <c r="L23" s="128">
        <f>取值!J21</f>
        <v>0</v>
      </c>
      <c r="M23" s="128">
        <f>取值!K21</f>
        <v>0</v>
      </c>
      <c r="N23" s="128">
        <f>取值!M21</f>
        <v>0</v>
      </c>
      <c r="O23" s="128">
        <f>取值!L21</f>
        <v>0</v>
      </c>
      <c r="P23" s="128">
        <f>取值!N21</f>
        <v>0</v>
      </c>
      <c r="Q23" s="128">
        <f>取值!O21</f>
        <v>4809</v>
      </c>
      <c r="R23" s="128">
        <f>取值!W21</f>
        <v>0</v>
      </c>
      <c r="S23" s="128">
        <f>取值!Q21</f>
        <v>4425</v>
      </c>
      <c r="T23" s="130"/>
    </row>
    <row customHeight="1" ht="20.25">
      <c r="A24" s="102"/>
      <c r="B24" s="126" t="s">
        <v>45</v>
      </c>
      <c r="C24" s="127" t="s">
        <v>28</v>
      </c>
      <c r="D24" s="128">
        <f>取值!D22</f>
        <v>0</v>
      </c>
      <c r="E24" s="128">
        <f>取值!E22</f>
        <v>0</v>
      </c>
      <c r="F24" s="128">
        <f>取值!F22</f>
        <v>14611</v>
      </c>
      <c r="G24" s="128">
        <f>取值!G22</f>
        <v>0</v>
      </c>
      <c r="H24" s="128">
        <f>取值!H22</f>
        <v>0</v>
      </c>
      <c r="I24" s="128">
        <f>_xlfn.IFERROR(J24+K24,"")</f>
        <v>10813</v>
      </c>
      <c r="J24" s="128">
        <f>取值!I22</f>
        <v>10813</v>
      </c>
      <c r="K24" s="128">
        <f>取值!U22</f>
        <v>0</v>
      </c>
      <c r="L24" s="128">
        <f>取值!J22</f>
        <v>0</v>
      </c>
      <c r="M24" s="128">
        <f>取值!K22</f>
        <v>0</v>
      </c>
      <c r="N24" s="128">
        <f>取值!M22</f>
        <v>0</v>
      </c>
      <c r="O24" s="128">
        <f>取值!L22</f>
        <v>0</v>
      </c>
      <c r="P24" s="128">
        <f>取值!N22</f>
        <v>0</v>
      </c>
      <c r="Q24" s="128">
        <f>取值!O22</f>
        <v>0</v>
      </c>
      <c r="R24" s="128">
        <f>取值!W22</f>
        <v>0</v>
      </c>
      <c r="S24" s="128">
        <f>取值!Q22</f>
        <v>3798</v>
      </c>
      <c r="T24" s="130"/>
    </row>
    <row customHeight="1" ht="20.25">
      <c r="A25" s="102"/>
      <c r="B25" s="135" t="s">
        <v>46</v>
      </c>
      <c r="C25" s="132" t="s">
        <v>28</v>
      </c>
      <c r="D25" s="128"/>
      <c r="E25" s="128"/>
      <c r="F25" s="128"/>
      <c r="G25" s="128"/>
      <c r="H25" s="128"/>
      <c r="I25" s="128">
        <f>_xlfn.IFERROR(J25+K25,"")</f>
        <v>0</v>
      </c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30"/>
    </row>
    <row customHeight="1" ht="20.25">
      <c r="A26" s="102"/>
      <c r="B26" s="136" t="s">
        <v>47</v>
      </c>
      <c r="C26" s="132" t="s">
        <v>28</v>
      </c>
      <c r="D26" s="128"/>
      <c r="E26" s="128"/>
      <c r="F26" s="128"/>
      <c r="G26" s="128"/>
      <c r="H26" s="128"/>
      <c r="I26" s="128">
        <f>_xlfn.IFERROR(J26+K26,"")</f>
        <v>0</v>
      </c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30"/>
    </row>
    <row customHeight="1" ht="20.25">
      <c r="A27" s="102"/>
      <c r="B27" s="136" t="s">
        <v>48</v>
      </c>
      <c r="C27" s="132" t="s">
        <v>28</v>
      </c>
      <c r="D27" s="128"/>
      <c r="E27" s="128"/>
      <c r="F27" s="128"/>
      <c r="G27" s="128"/>
      <c r="H27" s="128"/>
      <c r="I27" s="128">
        <f>_xlfn.IFERROR(J27+K27,"")</f>
        <v>0</v>
      </c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30"/>
    </row>
    <row customHeight="1" ht="20.25">
      <c r="A28" s="102"/>
      <c r="B28" s="136" t="s">
        <v>49</v>
      </c>
      <c r="C28" s="132" t="s">
        <v>28</v>
      </c>
      <c r="D28" s="128"/>
      <c r="E28" s="128"/>
      <c r="F28" s="128"/>
      <c r="G28" s="128"/>
      <c r="H28" s="128"/>
      <c r="I28" s="128">
        <f>_xlfn.IFERROR(J28+K28,"")</f>
        <v>0</v>
      </c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30"/>
    </row>
    <row customHeight="1" ht="20.25">
      <c r="A29" s="102"/>
      <c r="B29" s="126" t="s">
        <v>50</v>
      </c>
      <c r="C29" s="127" t="s">
        <v>28</v>
      </c>
      <c r="D29" s="128">
        <f>取值!D31</f>
        <v>7106</v>
      </c>
      <c r="E29" s="128">
        <f>取值!E31</f>
        <v>0</v>
      </c>
      <c r="F29" s="128">
        <f>取值!F31</f>
        <v>272723</v>
      </c>
      <c r="G29" s="128">
        <f>取值!G31</f>
        <v>0</v>
      </c>
      <c r="H29" s="128">
        <f>取值!H31</f>
        <v>0</v>
      </c>
      <c r="I29" s="128">
        <f>_xlfn.IFERROR(J29+K29,"")</f>
        <v>257518</v>
      </c>
      <c r="J29" s="128">
        <f>取值!I31</f>
        <v>0</v>
      </c>
      <c r="K29" s="128">
        <f>取值!U31</f>
        <v>257518</v>
      </c>
      <c r="L29" s="128">
        <f>取值!J31</f>
        <v>9383</v>
      </c>
      <c r="M29" s="128">
        <f>取值!K31</f>
        <v>0</v>
      </c>
      <c r="N29" s="128">
        <f>取值!M31</f>
        <v>0</v>
      </c>
      <c r="O29" s="128">
        <f>取值!L31</f>
        <v>0</v>
      </c>
      <c r="P29" s="128">
        <f>取值!N31</f>
        <v>0</v>
      </c>
      <c r="Q29" s="128">
        <f>取值!O31</f>
        <v>7596</v>
      </c>
      <c r="R29" s="128">
        <f>取值!W31</f>
        <v>0</v>
      </c>
      <c r="S29" s="128">
        <f>取值!Q31</f>
        <v>5332</v>
      </c>
      <c r="T29" s="130"/>
    </row>
    <row customHeight="1" ht="20.25">
      <c r="A30" s="102"/>
      <c r="B30" s="136" t="s">
        <v>51</v>
      </c>
      <c r="C30" s="132" t="s">
        <v>28</v>
      </c>
      <c r="D30" s="128"/>
      <c r="E30" s="128"/>
      <c r="F30" s="128"/>
      <c r="G30" s="128"/>
      <c r="H30" s="128"/>
      <c r="I30" s="128">
        <f>_xlfn.IFERROR(J30+K30,"")</f>
        <v>0</v>
      </c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30"/>
    </row>
    <row customHeight="1" ht="20.25">
      <c r="A31" s="102"/>
      <c r="B31" s="137" t="s">
        <v>52</v>
      </c>
      <c r="C31" s="127" t="s">
        <v>28</v>
      </c>
      <c r="D31" s="128">
        <f>取值!D26</f>
        <v>136.18</v>
      </c>
      <c r="E31" s="128">
        <f>取值!E26</f>
        <v>0</v>
      </c>
      <c r="F31" s="128">
        <f>取值!F26</f>
        <v>5775</v>
      </c>
      <c r="G31" s="128">
        <f>取值!G26</f>
        <v>0</v>
      </c>
      <c r="H31" s="128">
        <f>取值!H26</f>
        <v>0</v>
      </c>
      <c r="I31" s="128">
        <f>_xlfn.IFERROR(J31+K31,"")</f>
        <v>5814</v>
      </c>
      <c r="J31" s="128">
        <f>取值!I26</f>
        <v>5814</v>
      </c>
      <c r="K31" s="128">
        <f>取值!U26</f>
        <v>0</v>
      </c>
      <c r="L31" s="128">
        <f>取值!J26</f>
        <v>0</v>
      </c>
      <c r="M31" s="128">
        <f>取值!K26</f>
        <v>0</v>
      </c>
      <c r="N31" s="128">
        <f>取值!M26</f>
        <v>0</v>
      </c>
      <c r="O31" s="128">
        <f>取值!L26</f>
        <v>0</v>
      </c>
      <c r="P31" s="128">
        <f>取值!N26</f>
        <v>0</v>
      </c>
      <c r="Q31" s="128">
        <f>取值!O26</f>
        <v>0</v>
      </c>
      <c r="R31" s="128">
        <f>取值!W26</f>
        <v>-1</v>
      </c>
      <c r="S31" s="128">
        <f>取值!Q26</f>
        <v>95.88</v>
      </c>
      <c r="T31" s="130"/>
    </row>
    <row customHeight="1" ht="20.25">
      <c r="A32" s="102"/>
      <c r="B32" s="136" t="s">
        <v>53</v>
      </c>
      <c r="C32" s="132" t="s">
        <v>28</v>
      </c>
      <c r="D32" s="128"/>
      <c r="E32" s="128"/>
      <c r="F32" s="128"/>
      <c r="G32" s="128"/>
      <c r="H32" s="128"/>
      <c r="I32" s="128">
        <f>_xlfn.IFERROR(J32+K32,"")</f>
        <v>0</v>
      </c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30"/>
    </row>
    <row customHeight="1" ht="20.25">
      <c r="A33" s="102"/>
      <c r="B33" s="138" t="s">
        <v>54</v>
      </c>
      <c r="C33" s="139" t="s">
        <v>28</v>
      </c>
      <c r="D33" s="128"/>
      <c r="E33" s="128"/>
      <c r="F33" s="128"/>
      <c r="G33" s="128"/>
      <c r="H33" s="128"/>
      <c r="I33" s="128">
        <f>_xlfn.IFERROR(J33+K33,"")</f>
        <v>0</v>
      </c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30"/>
    </row>
    <row customHeight="1" ht="20.25">
      <c r="A34" s="102"/>
      <c r="B34" s="126" t="s">
        <v>55</v>
      </c>
      <c r="C34" s="127" t="s">
        <v>28</v>
      </c>
      <c r="D34" s="128">
        <f>取值!D27</f>
        <v>2159</v>
      </c>
      <c r="E34" s="128">
        <f>取值!E27</f>
        <v>0</v>
      </c>
      <c r="F34" s="128">
        <f>取值!F27</f>
        <v>55349</v>
      </c>
      <c r="G34" s="128">
        <f>取值!G27</f>
        <v>0</v>
      </c>
      <c r="H34" s="128">
        <f>取值!H27</f>
        <v>0</v>
      </c>
      <c r="I34" s="128">
        <f>_xlfn.IFERROR(J34+K34,"")</f>
        <v>61449</v>
      </c>
      <c r="J34" s="128">
        <f>取值!I27</f>
        <v>61449</v>
      </c>
      <c r="K34" s="128">
        <f>取值!U27</f>
        <v>0</v>
      </c>
      <c r="L34" s="128">
        <f>取值!J27</f>
        <v>0</v>
      </c>
      <c r="M34" s="128">
        <f>取值!K27</f>
        <v>0</v>
      </c>
      <c r="N34" s="128">
        <f>取值!M27</f>
        <v>0</v>
      </c>
      <c r="O34" s="128">
        <f>取值!L27</f>
        <v>0</v>
      </c>
      <c r="P34" s="128">
        <f>取值!N27</f>
        <v>8300</v>
      </c>
      <c r="Q34" s="128">
        <f>取值!O27</f>
        <v>0</v>
      </c>
      <c r="R34" s="128">
        <f>取值!W27</f>
        <v>0</v>
      </c>
      <c r="S34" s="128">
        <f>取值!Q27</f>
        <v>4359</v>
      </c>
      <c r="T34" s="130"/>
    </row>
    <row customHeight="1" ht="20.25">
      <c r="A35" s="102"/>
      <c r="B35" s="136" t="s">
        <v>56</v>
      </c>
      <c r="C35" s="132" t="s">
        <v>28</v>
      </c>
      <c r="D35" s="140"/>
      <c r="E35" s="140"/>
      <c r="F35" s="140"/>
      <c r="G35" s="140"/>
      <c r="H35" s="140"/>
      <c r="I35" s="140">
        <f>_xlfn.IFERROR(J35+K35,"")</f>
        <v>0</v>
      </c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30"/>
    </row>
    <row customHeight="1" ht="20.25">
      <c r="A36" s="102"/>
      <c r="B36" s="136" t="s">
        <v>57</v>
      </c>
      <c r="C36" s="141" t="s">
        <v>28</v>
      </c>
      <c r="D36" s="142">
        <f>取值!D39</f>
        <v>0</v>
      </c>
      <c r="E36" s="142">
        <f>取值!E39</f>
        <v>776</v>
      </c>
      <c r="F36" s="142">
        <f>取值!F39</f>
        <v>0</v>
      </c>
      <c r="G36" s="142">
        <f>取值!G39</f>
        <v>0</v>
      </c>
      <c r="H36" s="142">
        <f>取值!H39</f>
        <v>0</v>
      </c>
      <c r="I36" s="143">
        <f>_xlfn.IFERROR(J36+K36,"")</f>
        <v>0</v>
      </c>
      <c r="J36" s="142">
        <f>取值!I39</f>
        <v>0</v>
      </c>
      <c r="K36" s="142">
        <f>取值!U39</f>
        <v>0</v>
      </c>
      <c r="L36" s="144">
        <f>取值!J39</f>
        <v>0</v>
      </c>
      <c r="M36" s="144">
        <f>取值!K39</f>
        <v>776</v>
      </c>
      <c r="N36" s="144">
        <f>取值!L39</f>
        <v>0</v>
      </c>
      <c r="O36" s="144">
        <f>取值!M39</f>
        <v>0</v>
      </c>
      <c r="P36" s="144">
        <f>取值!N39</f>
        <v>0</v>
      </c>
      <c r="Q36" s="144">
        <f>取值!O39</f>
        <v>0</v>
      </c>
      <c r="R36" s="144">
        <f>取值!P39</f>
        <v>0</v>
      </c>
      <c r="S36" s="144">
        <f>取值!Q39</f>
        <v>0</v>
      </c>
      <c r="T36" s="145"/>
    </row>
    <row customHeight="1" ht="20.25">
      <c r="A37" s="102"/>
      <c r="B37" s="136" t="s">
        <v>58</v>
      </c>
      <c r="C37" s="132" t="s">
        <v>28</v>
      </c>
      <c r="D37" s="146"/>
      <c r="E37" s="146"/>
      <c r="F37" s="146"/>
      <c r="G37" s="146"/>
      <c r="H37" s="146"/>
      <c r="I37" s="146">
        <f>_xlfn.IFERROR(J37+K37,"")</f>
        <v>0</v>
      </c>
      <c r="J37" s="146"/>
      <c r="K37" s="146"/>
      <c r="L37" s="146"/>
      <c r="M37" s="146"/>
      <c r="N37" s="146">
        <f>取值!G35</f>
        <v>0</v>
      </c>
      <c r="O37" s="146">
        <f>取值!H35</f>
        <v>0</v>
      </c>
      <c r="P37" s="146">
        <f>取值!G36</f>
        <v>0</v>
      </c>
      <c r="Q37" s="146">
        <f>取值!H36</f>
        <v>0</v>
      </c>
      <c r="R37" s="146"/>
      <c r="S37" s="146"/>
      <c r="T37" s="130"/>
    </row>
    <row customHeight="1" ht="20.25">
      <c r="A38" s="102"/>
      <c r="B38" s="136" t="s">
        <v>59</v>
      </c>
      <c r="C38" s="132" t="s">
        <v>28</v>
      </c>
      <c r="D38" s="128">
        <f>取值!D33</f>
        <v>576</v>
      </c>
      <c r="E38" s="128"/>
      <c r="F38" s="128">
        <f>取值!F33</f>
        <v>5024</v>
      </c>
      <c r="G38" s="128"/>
      <c r="H38" s="128"/>
      <c r="I38" s="128">
        <f>_xlfn.IFERROR(J38+K38,"")</f>
        <v>3113</v>
      </c>
      <c r="J38" s="128">
        <f>取值!D35</f>
        <v>3113</v>
      </c>
      <c r="K38" s="128">
        <f>取值!D36</f>
        <v>0</v>
      </c>
      <c r="L38" s="128"/>
      <c r="M38" s="128"/>
      <c r="N38" s="128"/>
      <c r="O38" s="128">
        <f>取值!M38</f>
        <v>1867</v>
      </c>
      <c r="P38" s="128"/>
      <c r="Q38" s="128"/>
      <c r="R38" s="128"/>
      <c r="S38" s="128">
        <f>取值!D37</f>
        <v>619</v>
      </c>
      <c r="T38" s="130"/>
    </row>
    <row customHeight="1" ht="20.25">
      <c r="A39" s="102"/>
      <c r="B39" s="147" t="s">
        <v>60</v>
      </c>
      <c r="C39" s="132" t="s">
        <v>28</v>
      </c>
      <c r="D39" s="128"/>
      <c r="E39" s="128"/>
      <c r="F39" s="128"/>
      <c r="G39" s="128"/>
      <c r="H39" s="128"/>
      <c r="I39" s="128">
        <f>_xlfn.IFERROR(J39+K39,"")</f>
        <v>0</v>
      </c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30"/>
    </row>
    <row customHeight="1" ht="20.25">
      <c r="A40" s="102"/>
      <c r="B40" s="147" t="s">
        <v>61</v>
      </c>
      <c r="C40" s="132" t="s">
        <v>28</v>
      </c>
      <c r="D40" s="128"/>
      <c r="E40" s="128"/>
      <c r="F40" s="128"/>
      <c r="G40" s="128"/>
      <c r="H40" s="128"/>
      <c r="I40" s="128">
        <f>_xlfn.IFERROR(J40+K40,"")</f>
        <v>0</v>
      </c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30"/>
    </row>
    <row customHeight="1" ht="20.25">
      <c r="A41" s="102"/>
      <c r="B41" s="148" t="s">
        <v>62</v>
      </c>
      <c r="C41" s="149" t="s">
        <v>28</v>
      </c>
      <c r="D41" s="128"/>
      <c r="E41" s="128"/>
      <c r="F41" s="128"/>
      <c r="G41" s="128"/>
      <c r="H41" s="128"/>
      <c r="I41" s="128">
        <f>_xlfn.IFERROR(J41+K41,"")</f>
        <v>0</v>
      </c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30"/>
    </row>
    <row customHeight="1" ht="20.25">
      <c r="A42" s="102"/>
      <c r="B42" s="136" t="s">
        <v>63</v>
      </c>
      <c r="C42" s="132"/>
      <c r="D42" s="128"/>
      <c r="E42" s="128"/>
      <c r="F42" s="128"/>
      <c r="G42" s="128"/>
      <c r="H42" s="128"/>
      <c r="I42" s="128">
        <f>_xlfn.IFERROR(J42+K42,"")</f>
        <v>0</v>
      </c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30"/>
    </row>
    <row customHeight="1" ht="20.25">
      <c r="A43" s="102"/>
      <c r="B43" s="136" t="s">
        <v>64</v>
      </c>
      <c r="C43" s="150" t="s">
        <v>65</v>
      </c>
      <c r="D43" s="128"/>
      <c r="E43" s="128"/>
      <c r="F43" s="128"/>
      <c r="G43" s="128"/>
      <c r="H43" s="128"/>
      <c r="I43" s="128">
        <f>_xlfn.IFERROR(J43+K43,"")</f>
        <v>0</v>
      </c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30"/>
    </row>
    <row customHeight="1" ht="20.25">
      <c r="A44" s="102"/>
      <c r="B44" s="136" t="s">
        <v>66</v>
      </c>
      <c r="C44" s="150" t="s">
        <v>65</v>
      </c>
      <c r="D44" s="128"/>
      <c r="E44" s="128"/>
      <c r="F44" s="128"/>
      <c r="G44" s="128"/>
      <c r="H44" s="128"/>
      <c r="I44" s="128">
        <f>_xlfn.IFERROR(J44+K44,"")</f>
        <v>0</v>
      </c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30"/>
    </row>
    <row customHeight="1" ht="20.25">
      <c r="A45" s="102"/>
      <c r="B45" s="136" t="s">
        <v>67</v>
      </c>
      <c r="C45" s="150" t="s">
        <v>65</v>
      </c>
      <c r="D45" s="128"/>
      <c r="E45" s="128"/>
      <c r="F45" s="128"/>
      <c r="G45" s="128"/>
      <c r="H45" s="128"/>
      <c r="I45" s="128">
        <f>_xlfn.IFERROR(J45+K45,"")</f>
        <v>0</v>
      </c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30"/>
    </row>
    <row customHeight="1" ht="20.25">
      <c r="A46" s="102"/>
      <c r="B46" s="136" t="s">
        <v>68</v>
      </c>
      <c r="C46" s="150" t="s">
        <v>28</v>
      </c>
      <c r="D46" s="128"/>
      <c r="E46" s="128"/>
      <c r="F46" s="128"/>
      <c r="G46" s="128"/>
      <c r="H46" s="128"/>
      <c r="I46" s="128">
        <f>_xlfn.IFERROR(J46+K46,"")</f>
        <v>0</v>
      </c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30"/>
    </row>
    <row customHeight="1" ht="20.25">
      <c r="A47" s="102"/>
      <c r="B47" s="147" t="s">
        <v>69</v>
      </c>
      <c r="C47" s="132" t="s">
        <v>28</v>
      </c>
      <c r="D47" s="128"/>
      <c r="E47" s="128"/>
      <c r="F47" s="128"/>
      <c r="G47" s="128"/>
      <c r="H47" s="128"/>
      <c r="I47" s="128">
        <f>_xlfn.IFERROR(J47+K47,"")</f>
        <v>0</v>
      </c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30"/>
    </row>
    <row customHeight="1" ht="20.25">
      <c r="A48" s="102"/>
      <c r="B48" s="136" t="s">
        <v>70</v>
      </c>
      <c r="C48" s="132" t="s">
        <v>28</v>
      </c>
      <c r="D48" s="128"/>
      <c r="E48" s="128"/>
      <c r="F48" s="128"/>
      <c r="G48" s="128"/>
      <c r="H48" s="128"/>
      <c r="I48" s="128">
        <f>_xlfn.IFERROR(J48+K48,"")</f>
        <v>0</v>
      </c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30"/>
    </row>
    <row customHeight="1" ht="20.25">
      <c r="A49" s="102"/>
      <c r="B49" s="136" t="s">
        <v>71</v>
      </c>
      <c r="C49" s="132" t="s">
        <v>28</v>
      </c>
      <c r="D49" s="128"/>
      <c r="E49" s="128"/>
      <c r="F49" s="128"/>
      <c r="G49" s="128"/>
      <c r="H49" s="128"/>
      <c r="I49" s="128">
        <f>_xlfn.IFERROR(J49+K49,"")</f>
        <v>0</v>
      </c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30"/>
    </row>
    <row customHeight="1" ht="20.25">
      <c r="A50" s="102"/>
      <c r="B50" s="147" t="s">
        <v>72</v>
      </c>
      <c r="C50" s="132" t="s">
        <v>28</v>
      </c>
      <c r="D50" s="128"/>
      <c r="E50" s="128"/>
      <c r="F50" s="128"/>
      <c r="G50" s="128"/>
      <c r="H50" s="128"/>
      <c r="I50" s="128">
        <f>_xlfn.IFERROR(J50+K50,"")</f>
        <v>0</v>
      </c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30"/>
    </row>
    <row customHeight="1" ht="20.25">
      <c r="A51" s="102"/>
      <c r="B51" s="151">
        <v>1800</v>
      </c>
      <c r="C51" s="132" t="s">
        <v>28</v>
      </c>
      <c r="D51" s="128"/>
      <c r="E51" s="128"/>
      <c r="F51" s="128"/>
      <c r="G51" s="128"/>
      <c r="H51" s="128"/>
      <c r="I51" s="128">
        <f>_xlfn.IFERROR(J51+K51,"")</f>
        <v>0</v>
      </c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30"/>
    </row>
    <row customHeight="1" ht="20.25">
      <c r="A52" s="102"/>
      <c r="B52" s="151">
        <v>2000</v>
      </c>
      <c r="C52" s="132" t="s">
        <v>28</v>
      </c>
      <c r="D52" s="128"/>
      <c r="E52" s="128"/>
      <c r="F52" s="128"/>
      <c r="G52" s="128"/>
      <c r="H52" s="128"/>
      <c r="I52" s="128">
        <f>_xlfn.IFERROR(J52+K52,"")</f>
        <v>0</v>
      </c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30"/>
    </row>
    <row customHeight="1" ht="20.25">
      <c r="A53" s="102"/>
      <c r="B53" s="133" t="s">
        <v>73</v>
      </c>
      <c r="C53" s="132" t="s">
        <v>28</v>
      </c>
      <c r="D53" s="128"/>
      <c r="E53" s="128"/>
      <c r="F53" s="128"/>
      <c r="G53" s="128"/>
      <c r="H53" s="128"/>
      <c r="I53" s="128">
        <f>_xlfn.IFERROR(J53+K53,"")</f>
        <v>0</v>
      </c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30"/>
    </row>
    <row customHeight="1" ht="20.25">
      <c r="A54" s="102"/>
      <c r="B54" s="147" t="s">
        <v>74</v>
      </c>
      <c r="C54" s="132" t="s">
        <v>28</v>
      </c>
      <c r="D54" s="128"/>
      <c r="E54" s="128"/>
      <c r="F54" s="128"/>
      <c r="G54" s="128"/>
      <c r="H54" s="128"/>
      <c r="I54" s="128">
        <f>_xlfn.IFERROR(J54+K54,"")</f>
        <v>0</v>
      </c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30"/>
    </row>
    <row customHeight="1" ht="20.25">
      <c r="A55" s="102"/>
      <c r="B55" s="136" t="s">
        <v>75</v>
      </c>
      <c r="C55" s="132" t="s">
        <v>28</v>
      </c>
      <c r="D55" s="128"/>
      <c r="E55" s="128"/>
      <c r="F55" s="128"/>
      <c r="G55" s="128"/>
      <c r="H55" s="128"/>
      <c r="I55" s="128">
        <f>_xlfn.IFERROR(J55+K55,"")</f>
        <v>0</v>
      </c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30"/>
    </row>
    <row customHeight="1" ht="20.25">
      <c r="A56" s="102"/>
      <c r="B56" s="147" t="s">
        <v>76</v>
      </c>
      <c r="C56" s="132" t="s">
        <v>28</v>
      </c>
      <c r="D56" s="128"/>
      <c r="E56" s="128"/>
      <c r="F56" s="128"/>
      <c r="G56" s="128"/>
      <c r="H56" s="128"/>
      <c r="I56" s="128">
        <f>_xlfn.IFERROR(J56+K56,"")</f>
        <v>0</v>
      </c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30"/>
    </row>
    <row customHeight="1" ht="20.25">
      <c r="A57" s="102"/>
      <c r="B57" s="147" t="s">
        <v>77</v>
      </c>
      <c r="C57" s="132" t="s">
        <v>28</v>
      </c>
      <c r="D57" s="128"/>
      <c r="E57" s="128"/>
      <c r="F57" s="128"/>
      <c r="G57" s="128"/>
      <c r="H57" s="128"/>
      <c r="I57" s="128">
        <f>_xlfn.IFERROR(J57+K57,"")</f>
        <v>0</v>
      </c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30"/>
    </row>
    <row customHeight="1" ht="20.25">
      <c r="A58" s="102"/>
      <c r="B58" s="147" t="s">
        <v>78</v>
      </c>
      <c r="C58" s="132" t="s">
        <v>28</v>
      </c>
      <c r="D58" s="128"/>
      <c r="E58" s="128"/>
      <c r="F58" s="128"/>
      <c r="G58" s="128"/>
      <c r="H58" s="128"/>
      <c r="I58" s="128">
        <f>_xlfn.IFERROR(J58+K58,"")</f>
        <v>0</v>
      </c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30"/>
    </row>
    <row customHeight="1" ht="20.25">
      <c r="A59" s="102"/>
      <c r="B59" s="147" t="s">
        <v>79</v>
      </c>
      <c r="C59" s="132" t="s">
        <v>28</v>
      </c>
      <c r="D59" s="128"/>
      <c r="E59" s="128"/>
      <c r="F59" s="128"/>
      <c r="G59" s="128"/>
      <c r="H59" s="128"/>
      <c r="I59" s="128">
        <f>_xlfn.IFERROR(J59+K59,"")</f>
        <v>0</v>
      </c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30"/>
    </row>
    <row customHeight="1" ht="20.25">
      <c r="A60" s="102"/>
      <c r="B60" s="147" t="s">
        <v>80</v>
      </c>
      <c r="C60" s="132" t="s">
        <v>28</v>
      </c>
      <c r="D60" s="128"/>
      <c r="E60" s="128"/>
      <c r="F60" s="128"/>
      <c r="G60" s="128"/>
      <c r="H60" s="128"/>
      <c r="I60" s="128">
        <f>_xlfn.IFERROR(J60+K60,"")</f>
        <v>0</v>
      </c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30"/>
    </row>
    <row customHeight="1" ht="20.25">
      <c r="A61" s="102"/>
      <c r="B61" s="147" t="s">
        <v>81</v>
      </c>
      <c r="C61" s="132" t="s">
        <v>28</v>
      </c>
      <c r="D61" s="128"/>
      <c r="E61" s="128"/>
      <c r="F61" s="128"/>
      <c r="G61" s="128"/>
      <c r="H61" s="128"/>
      <c r="I61" s="128">
        <f>_xlfn.IFERROR(J61+K61,"")</f>
        <v>0</v>
      </c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30"/>
    </row>
    <row customHeight="1" ht="20.25">
      <c r="A62" s="102"/>
      <c r="B62" s="152" t="s">
        <v>82</v>
      </c>
      <c r="C62" s="153" t="s">
        <v>28</v>
      </c>
      <c r="D62" s="154"/>
      <c r="E62" s="154"/>
      <c r="F62" s="154"/>
      <c r="G62" s="154"/>
      <c r="H62" s="154"/>
      <c r="I62" s="128">
        <f>_xlfn.IFERROR(J62+K62,"")</f>
        <v>0</v>
      </c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5"/>
    </row>
  </sheetData>
  <mergeCells count="22">
    <mergeCell ref="B2:T2"/>
    <mergeCell ref="B3:H3"/>
    <mergeCell ref="L3:M3"/>
    <mergeCell ref="N3:Q3"/>
    <mergeCell ref="S3:T3"/>
    <mergeCell ref="J4:K4"/>
    <mergeCell ref="N4:O4"/>
    <mergeCell ref="P4:Q4"/>
    <mergeCell ref="B4:B5"/>
    <mergeCell ref="C4:C5"/>
    <mergeCell ref="D4:D5"/>
    <mergeCell ref="E4:E5"/>
    <mergeCell ref="F4:F5"/>
    <mergeCell ref="G4:G5"/>
    <mergeCell ref="H4:H5"/>
    <mergeCell ref="I4:I5"/>
    <mergeCell ref="L4:L5"/>
    <mergeCell ref="M4:M5"/>
    <mergeCell ref="R4:R5"/>
    <mergeCell ref="S4:S5"/>
    <mergeCell ref="T4:T5"/>
    <mergeCell ref="T6:T62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47C01C8-C598-3A92-1FD1-3AFAED9277D8}" mc:Ignorable="x14ac xr xr2 xr3">
  <dimension ref="A1:W39"/>
  <sheetViews>
    <sheetView topLeftCell="E19" workbookViewId="0">
      <selection activeCell="M38" sqref="M38"/>
    </sheetView>
  </sheetViews>
  <sheetFormatPr defaultColWidth="9.00390625" customHeight="1" defaultRowHeight="13.5"/>
  <cols>
    <col min="2" max="2" style="156" width="17.28125" customWidth="1"/>
    <col min="4" max="4" style="156" width="91.00390625" customWidth="1"/>
    <col min="5" max="5" style="156" width="17.8515625" customWidth="1"/>
    <col min="6" max="6" style="156" width="46.7109375" customWidth="1"/>
    <col min="9" max="9" style="156" width="8.8515625" customWidth="1"/>
    <col min="21" max="21" style="156" width="8.8515625" customWidth="1"/>
    <col min="23" max="23" style="156" width="8.8515625" customWidth="1"/>
  </cols>
  <sheetData>
    <row customHeight="1" ht="13.5">
      <c r="A1" s="103" t="s">
        <v>83</v>
      </c>
      <c r="B1" s="102" t="s">
        <v>84</v>
      </c>
      <c r="C1" s="103" t="s">
        <v>85</v>
      </c>
      <c r="D1" s="102"/>
      <c r="E1" s="102"/>
      <c r="F1" s="102"/>
      <c r="G1" s="103"/>
      <c r="H1" s="103"/>
      <c r="I1" s="102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2"/>
      <c r="V1" s="103"/>
      <c r="W1" s="102"/>
    </row>
    <row customHeight="1" ht="13.5">
      <c r="A2" s="103"/>
      <c r="B2" s="102"/>
      <c r="C2" s="103"/>
      <c r="D2" s="102"/>
      <c r="E2" s="102"/>
      <c r="F2" s="102"/>
      <c r="G2" s="103"/>
      <c r="H2" s="103"/>
      <c r="I2" s="102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2"/>
      <c r="V2" s="103"/>
      <c r="W2" s="102"/>
    </row>
    <row customHeight="1" ht="13.5">
      <c r="A3" s="103"/>
      <c r="B3" s="102"/>
      <c r="C3" s="103"/>
      <c r="D3" s="102"/>
      <c r="E3" s="102"/>
      <c r="F3" s="102"/>
      <c r="G3" s="103"/>
      <c r="H3" s="103"/>
      <c r="I3" s="102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2"/>
      <c r="V3" s="103"/>
      <c r="W3" s="102"/>
    </row>
    <row customHeight="1" ht="13.5">
      <c r="A4" s="103"/>
      <c r="B4" s="157" t="s">
        <v>5</v>
      </c>
      <c r="C4" s="157" t="s">
        <v>6</v>
      </c>
      <c r="D4" s="157" t="s">
        <v>7</v>
      </c>
      <c r="E4" s="157" t="s">
        <v>8</v>
      </c>
      <c r="F4" s="157" t="s">
        <v>9</v>
      </c>
      <c r="G4" s="157" t="s">
        <v>10</v>
      </c>
      <c r="H4" s="157" t="s">
        <v>11</v>
      </c>
      <c r="I4" s="157" t="s">
        <v>86</v>
      </c>
      <c r="J4" s="157" t="s">
        <v>13</v>
      </c>
      <c r="K4" s="157" t="s">
        <v>14</v>
      </c>
      <c r="L4" s="157" t="s">
        <v>15</v>
      </c>
      <c r="M4" s="103"/>
      <c r="N4" s="157" t="s">
        <v>16</v>
      </c>
      <c r="O4" s="103"/>
      <c r="P4" s="157" t="s">
        <v>87</v>
      </c>
      <c r="Q4" s="157" t="s">
        <v>18</v>
      </c>
      <c r="R4" s="103"/>
      <c r="S4" s="103"/>
      <c r="T4" s="103"/>
      <c r="U4" s="157" t="s">
        <v>88</v>
      </c>
      <c r="V4" s="103"/>
      <c r="W4" s="102"/>
    </row>
    <row customHeight="1" ht="13.5">
      <c r="A5" s="103"/>
      <c r="B5" s="102"/>
      <c r="C5" s="103"/>
      <c r="D5" s="102"/>
      <c r="E5" s="102"/>
      <c r="F5" s="102"/>
      <c r="G5" s="103"/>
      <c r="H5" s="103"/>
      <c r="I5" s="102"/>
      <c r="J5" s="103"/>
      <c r="K5" s="103"/>
      <c r="L5" s="157" t="s">
        <v>23</v>
      </c>
      <c r="M5" s="157" t="s">
        <v>22</v>
      </c>
      <c r="N5" s="157" t="s">
        <v>24</v>
      </c>
      <c r="O5" s="157" t="s">
        <v>25</v>
      </c>
      <c r="P5" s="103"/>
      <c r="Q5" s="103"/>
      <c r="R5" s="103"/>
      <c r="S5" s="103"/>
      <c r="T5" s="103"/>
      <c r="U5" s="102"/>
      <c r="V5" s="103"/>
      <c r="W5" s="157" t="s">
        <v>89</v>
      </c>
    </row>
    <row customHeight="1" ht="13.5">
      <c r="A6" s="103"/>
      <c r="B6" s="157" t="s">
        <v>26</v>
      </c>
      <c r="C6" s="103"/>
      <c r="D6" s="102"/>
      <c r="E6" s="102"/>
      <c r="F6" s="102"/>
      <c r="G6" s="103"/>
      <c r="H6" s="103"/>
      <c r="I6" s="102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2"/>
      <c r="V6" s="103"/>
      <c r="W6" s="102"/>
    </row>
    <row customHeight="1" ht="13.5">
      <c r="A7" s="103"/>
      <c r="B7" s="102" t="s">
        <v>27</v>
      </c>
      <c r="C7" s="103"/>
      <c r="D7" s="102">
        <v>113371</v>
      </c>
      <c r="E7" s="102">
        <v>5180465</v>
      </c>
      <c r="F7" s="102">
        <v>0</v>
      </c>
      <c r="G7" s="103">
        <v>0</v>
      </c>
      <c r="H7" s="103">
        <v>5055169</v>
      </c>
      <c r="I7" s="102">
        <v>0</v>
      </c>
      <c r="J7" s="103">
        <v>0</v>
      </c>
      <c r="K7" s="103">
        <v>0</v>
      </c>
      <c r="L7" s="103">
        <v>0</v>
      </c>
      <c r="M7" s="103">
        <v>0</v>
      </c>
      <c r="N7" s="103">
        <v>7765</v>
      </c>
      <c r="O7" s="103">
        <v>0</v>
      </c>
      <c r="P7" s="103">
        <v>2</v>
      </c>
      <c r="Q7" s="103">
        <v>246434</v>
      </c>
      <c r="R7" s="103"/>
      <c r="S7" s="103"/>
      <c r="T7" s="103"/>
      <c r="U7" s="102"/>
      <c r="V7" s="103"/>
      <c r="W7" s="102">
        <v>2</v>
      </c>
    </row>
    <row customHeight="1" ht="13.5">
      <c r="A8" s="103"/>
      <c r="B8" s="102" t="s">
        <v>29</v>
      </c>
      <c r="C8" s="103"/>
      <c r="D8" s="102">
        <v>10071</v>
      </c>
      <c r="E8" s="102">
        <v>0</v>
      </c>
      <c r="F8" s="102">
        <v>2393921</v>
      </c>
      <c r="G8" s="103">
        <v>0</v>
      </c>
      <c r="H8" s="103">
        <v>1699985</v>
      </c>
      <c r="I8" s="102">
        <v>0</v>
      </c>
      <c r="J8" s="103">
        <v>0</v>
      </c>
      <c r="K8" s="103">
        <v>0</v>
      </c>
      <c r="L8" s="103">
        <v>0</v>
      </c>
      <c r="M8" s="103">
        <v>82461</v>
      </c>
      <c r="N8" s="103">
        <v>0</v>
      </c>
      <c r="O8" s="103">
        <v>8300</v>
      </c>
      <c r="P8" s="103">
        <v>0</v>
      </c>
      <c r="Q8" s="103">
        <v>31914</v>
      </c>
      <c r="R8" s="103"/>
      <c r="S8" s="103"/>
      <c r="T8" s="103"/>
      <c r="U8" s="102">
        <v>746254</v>
      </c>
      <c r="V8" s="103"/>
      <c r="W8" s="102">
        <v>0</v>
      </c>
    </row>
    <row customHeight="1" ht="13.5">
      <c r="A9" s="103"/>
      <c r="B9" s="157" t="s">
        <v>90</v>
      </c>
      <c r="C9" s="103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03"/>
      <c r="S9" s="103"/>
      <c r="T9" s="103"/>
      <c r="U9" s="157"/>
      <c r="V9" s="103"/>
      <c r="W9" s="157"/>
    </row>
    <row customHeight="1" ht="13.5">
      <c r="A10" s="103"/>
      <c r="B10" s="102"/>
      <c r="C10" s="103"/>
      <c r="D10" s="102"/>
      <c r="E10" s="102"/>
      <c r="F10" s="102"/>
      <c r="G10" s="103"/>
      <c r="H10" s="103"/>
      <c r="I10" s="102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2"/>
      <c r="V10" s="103"/>
      <c r="W10" s="102"/>
    </row>
    <row customHeight="1" ht="13.5">
      <c r="A11" s="103"/>
      <c r="B11" s="102" t="s">
        <v>91</v>
      </c>
      <c r="C11" s="103"/>
      <c r="D11" s="102">
        <v>0</v>
      </c>
      <c r="E11" s="102">
        <v>481</v>
      </c>
      <c r="F11" s="102">
        <v>0</v>
      </c>
      <c r="G11" s="103">
        <v>0</v>
      </c>
      <c r="H11" s="103">
        <v>0</v>
      </c>
      <c r="I11" s="102">
        <v>0</v>
      </c>
      <c r="J11" s="103">
        <v>0</v>
      </c>
      <c r="K11" s="103">
        <v>0</v>
      </c>
      <c r="L11" s="103">
        <v>0</v>
      </c>
      <c r="M11" s="103">
        <v>0</v>
      </c>
      <c r="N11" s="103">
        <v>0</v>
      </c>
      <c r="O11" s="103">
        <v>0</v>
      </c>
      <c r="P11" s="103">
        <v>-481</v>
      </c>
      <c r="Q11" s="103">
        <v>0</v>
      </c>
      <c r="R11" s="103"/>
      <c r="S11" s="103"/>
      <c r="T11" s="103"/>
      <c r="U11" s="102">
        <v>0</v>
      </c>
      <c r="V11" s="103"/>
      <c r="W11" s="102">
        <v>-481</v>
      </c>
    </row>
    <row customHeight="1" ht="13.5">
      <c r="A12" s="103"/>
      <c r="B12" s="102" t="s">
        <v>92</v>
      </c>
      <c r="C12" s="103"/>
      <c r="D12" s="102"/>
      <c r="E12" s="102"/>
      <c r="F12" s="102"/>
      <c r="G12" s="103"/>
      <c r="H12" s="103"/>
      <c r="I12" s="102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2"/>
      <c r="V12" s="103"/>
      <c r="W12" s="102"/>
    </row>
    <row customHeight="1" ht="13.5">
      <c r="A13" s="103"/>
      <c r="B13" s="102"/>
      <c r="C13" s="103"/>
      <c r="D13" s="102"/>
      <c r="E13" s="102">
        <v>9</v>
      </c>
      <c r="F13" s="102"/>
      <c r="G13" s="103"/>
      <c r="H13" s="103"/>
      <c r="I13" s="102"/>
      <c r="J13" s="103"/>
      <c r="K13" s="103"/>
      <c r="L13" s="103"/>
      <c r="M13" s="103"/>
      <c r="N13" s="103"/>
      <c r="O13" s="103">
        <v>9</v>
      </c>
      <c r="P13" s="103"/>
      <c r="Q13" s="103"/>
      <c r="R13" s="103"/>
      <c r="S13" s="103"/>
      <c r="T13" s="103"/>
      <c r="U13" s="102"/>
      <c r="V13" s="103"/>
      <c r="W13" s="102"/>
    </row>
    <row customHeight="1" ht="13.5">
      <c r="A14" s="103"/>
      <c r="B14" s="102" t="s">
        <v>93</v>
      </c>
      <c r="C14" s="103"/>
      <c r="D14" s="102"/>
      <c r="E14" s="102"/>
      <c r="F14" s="102"/>
      <c r="G14" s="103"/>
      <c r="H14" s="103"/>
      <c r="I14" s="102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2"/>
      <c r="V14" s="103"/>
      <c r="W14" s="102"/>
    </row>
    <row customHeight="1" ht="13.5">
      <c r="A15" s="103"/>
      <c r="B15" s="102" t="s">
        <v>37</v>
      </c>
      <c r="C15" s="103"/>
      <c r="D15" s="102"/>
      <c r="E15" s="102"/>
      <c r="F15" s="102"/>
      <c r="G15" s="103"/>
      <c r="H15" s="103"/>
      <c r="I15" s="102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2"/>
      <c r="V15" s="103"/>
      <c r="W15" s="102"/>
    </row>
    <row customHeight="1" ht="13.5">
      <c r="A16" s="103"/>
      <c r="B16" s="102" t="s">
        <v>38</v>
      </c>
      <c r="C16" s="103"/>
      <c r="D16" s="102">
        <v>38500</v>
      </c>
      <c r="E16" s="102"/>
      <c r="F16" s="102"/>
      <c r="G16" s="103"/>
      <c r="H16" s="103"/>
      <c r="I16" s="102"/>
      <c r="J16" s="103">
        <v>0</v>
      </c>
      <c r="K16" s="103">
        <v>0</v>
      </c>
      <c r="L16" s="103">
        <v>0</v>
      </c>
      <c r="M16" s="103">
        <v>0</v>
      </c>
      <c r="N16" s="103">
        <v>0</v>
      </c>
      <c r="O16" s="103">
        <v>0</v>
      </c>
      <c r="P16" s="103">
        <v>-227</v>
      </c>
      <c r="Q16" s="103">
        <v>77340</v>
      </c>
      <c r="R16" s="103"/>
      <c r="S16" s="103"/>
      <c r="T16" s="103"/>
      <c r="U16" s="102"/>
      <c r="V16" s="103"/>
      <c r="W16" s="102">
        <v>-227</v>
      </c>
    </row>
    <row customHeight="1" ht="13.5">
      <c r="A17" s="103"/>
      <c r="B17" s="102" t="s">
        <v>94</v>
      </c>
      <c r="C17" s="103"/>
      <c r="D17" s="102">
        <v>32323</v>
      </c>
      <c r="E17" s="102">
        <v>0</v>
      </c>
      <c r="F17" s="102">
        <v>1479584</v>
      </c>
      <c r="G17" s="103">
        <v>0</v>
      </c>
      <c r="H17" s="103">
        <v>0</v>
      </c>
      <c r="I17" s="102">
        <v>996117</v>
      </c>
      <c r="J17" s="103">
        <v>0</v>
      </c>
      <c r="K17" s="103">
        <v>0</v>
      </c>
      <c r="L17" s="103">
        <v>0</v>
      </c>
      <c r="M17" s="103">
        <v>0</v>
      </c>
      <c r="N17" s="103">
        <v>0</v>
      </c>
      <c r="O17" s="103">
        <v>16000</v>
      </c>
      <c r="P17" s="103">
        <v>-231</v>
      </c>
      <c r="Q17" s="103">
        <v>74814</v>
      </c>
      <c r="R17" s="103"/>
      <c r="S17" s="103"/>
      <c r="T17" s="103"/>
      <c r="U17" s="102">
        <v>424745</v>
      </c>
      <c r="V17" s="103"/>
      <c r="W17" s="102">
        <v>-231</v>
      </c>
    </row>
    <row customHeight="1" ht="13.5">
      <c r="A18" s="103"/>
      <c r="B18" s="102" t="s">
        <v>95</v>
      </c>
      <c r="C18" s="103"/>
      <c r="D18" s="102">
        <v>6177</v>
      </c>
      <c r="E18" s="102">
        <v>0</v>
      </c>
      <c r="F18" s="102">
        <v>179472</v>
      </c>
      <c r="G18" s="103">
        <v>0</v>
      </c>
      <c r="H18" s="103">
        <v>0</v>
      </c>
      <c r="I18" s="102">
        <v>199123</v>
      </c>
      <c r="J18" s="103">
        <v>0</v>
      </c>
      <c r="K18" s="103">
        <v>0</v>
      </c>
      <c r="L18" s="103">
        <v>0</v>
      </c>
      <c r="M18" s="103">
        <v>0</v>
      </c>
      <c r="N18" s="103">
        <v>16000</v>
      </c>
      <c r="O18" s="103">
        <v>0</v>
      </c>
      <c r="P18" s="103">
        <v>0</v>
      </c>
      <c r="Q18" s="103">
        <v>2526</v>
      </c>
      <c r="R18" s="103"/>
      <c r="S18" s="103"/>
      <c r="T18" s="103"/>
      <c r="U18" s="102">
        <v>0</v>
      </c>
      <c r="V18" s="103"/>
      <c r="W18" s="102">
        <v>0</v>
      </c>
    </row>
    <row customHeight="1" ht="13.5">
      <c r="A19" s="103"/>
      <c r="B19" s="102" t="s">
        <v>42</v>
      </c>
      <c r="C19" s="103"/>
      <c r="D19" s="102">
        <v>55584</v>
      </c>
      <c r="E19" s="102"/>
      <c r="F19" s="102">
        <v>1683764</v>
      </c>
      <c r="G19" s="103"/>
      <c r="H19" s="103"/>
      <c r="I19" s="102"/>
      <c r="J19" s="103">
        <v>0</v>
      </c>
      <c r="K19" s="103">
        <v>0</v>
      </c>
      <c r="L19" s="103">
        <v>0</v>
      </c>
      <c r="M19" s="103">
        <v>0</v>
      </c>
      <c r="N19" s="103">
        <v>0</v>
      </c>
      <c r="O19" s="103">
        <v>0</v>
      </c>
      <c r="P19" s="103">
        <v>-230</v>
      </c>
      <c r="Q19" s="103">
        <v>90893</v>
      </c>
      <c r="R19" s="103"/>
      <c r="S19" s="103"/>
      <c r="T19" s="103"/>
      <c r="U19" s="102"/>
      <c r="V19" s="103"/>
      <c r="W19" s="102">
        <v>-230</v>
      </c>
    </row>
    <row customHeight="1" ht="13.5">
      <c r="A20" s="103"/>
      <c r="B20" s="102" t="s">
        <v>43</v>
      </c>
      <c r="C20" s="103"/>
      <c r="D20" s="102">
        <v>48949</v>
      </c>
      <c r="E20" s="102">
        <v>0</v>
      </c>
      <c r="F20" s="102">
        <v>1559802</v>
      </c>
      <c r="G20" s="103">
        <v>0</v>
      </c>
      <c r="H20" s="103">
        <v>0</v>
      </c>
      <c r="I20" s="102">
        <v>1130907</v>
      </c>
      <c r="J20" s="103">
        <v>0</v>
      </c>
      <c r="K20" s="103">
        <v>0</v>
      </c>
      <c r="L20" s="103">
        <v>0</v>
      </c>
      <c r="M20" s="103">
        <v>0</v>
      </c>
      <c r="N20" s="103">
        <v>4809</v>
      </c>
      <c r="O20" s="103">
        <v>0</v>
      </c>
      <c r="P20" s="103">
        <v>-230</v>
      </c>
      <c r="Q20" s="103">
        <v>82670</v>
      </c>
      <c r="R20" s="103"/>
      <c r="S20" s="103"/>
      <c r="T20" s="103"/>
      <c r="U20" s="102">
        <v>399753</v>
      </c>
      <c r="V20" s="103"/>
      <c r="W20" s="102">
        <v>-230</v>
      </c>
    </row>
    <row customHeight="1" ht="13.5">
      <c r="A21" s="103"/>
      <c r="B21" s="157" t="s">
        <v>44</v>
      </c>
      <c r="C21" s="103"/>
      <c r="D21" s="157">
        <v>6635</v>
      </c>
      <c r="E21" s="157">
        <v>0</v>
      </c>
      <c r="F21" s="157">
        <v>109351</v>
      </c>
      <c r="G21" s="157">
        <v>0</v>
      </c>
      <c r="H21" s="157">
        <v>0</v>
      </c>
      <c r="I21" s="157">
        <v>76648</v>
      </c>
      <c r="J21" s="157">
        <v>0</v>
      </c>
      <c r="K21" s="157">
        <v>0</v>
      </c>
      <c r="L21" s="157">
        <v>0</v>
      </c>
      <c r="M21" s="157">
        <v>0</v>
      </c>
      <c r="N21" s="157">
        <v>0</v>
      </c>
      <c r="O21" s="157">
        <v>4809</v>
      </c>
      <c r="P21" s="157">
        <v>0</v>
      </c>
      <c r="Q21" s="157">
        <v>4425</v>
      </c>
      <c r="R21" s="103"/>
      <c r="S21" s="103"/>
      <c r="T21" s="103"/>
      <c r="U21" s="157">
        <v>30104</v>
      </c>
      <c r="V21" s="103"/>
      <c r="W21" s="157">
        <v>0</v>
      </c>
    </row>
    <row customHeight="1" ht="13.5">
      <c r="A22" s="103"/>
      <c r="B22" s="102" t="s">
        <v>45</v>
      </c>
      <c r="C22" s="103"/>
      <c r="D22" s="102">
        <v>0</v>
      </c>
      <c r="E22" s="102">
        <v>0</v>
      </c>
      <c r="F22" s="102">
        <v>14611</v>
      </c>
      <c r="G22" s="103">
        <v>0</v>
      </c>
      <c r="H22" s="103">
        <v>0</v>
      </c>
      <c r="I22" s="102">
        <v>10813</v>
      </c>
      <c r="J22" s="103">
        <v>0</v>
      </c>
      <c r="K22" s="103">
        <v>0</v>
      </c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>
        <v>3798</v>
      </c>
      <c r="R22" s="103"/>
      <c r="S22" s="103"/>
      <c r="T22" s="103"/>
      <c r="U22" s="102">
        <v>0</v>
      </c>
      <c r="V22" s="103"/>
      <c r="W22" s="102">
        <v>0</v>
      </c>
    </row>
    <row customHeight="1" ht="13.5">
      <c r="A23" s="103"/>
      <c r="B23" s="157" t="s">
        <v>96</v>
      </c>
      <c r="C23" s="103"/>
      <c r="D23" s="157">
        <v>951</v>
      </c>
      <c r="E23" s="157">
        <v>0</v>
      </c>
      <c r="F23" s="157">
        <v>41528</v>
      </c>
      <c r="G23" s="157">
        <v>0</v>
      </c>
      <c r="H23" s="157">
        <v>0</v>
      </c>
      <c r="I23" s="157"/>
      <c r="J23" s="157">
        <v>0</v>
      </c>
      <c r="K23" s="157">
        <v>0</v>
      </c>
      <c r="L23" s="157">
        <v>0</v>
      </c>
      <c r="M23" s="157">
        <v>0</v>
      </c>
      <c r="N23" s="157">
        <v>0</v>
      </c>
      <c r="O23" s="157">
        <v>0</v>
      </c>
      <c r="P23" s="157">
        <v>0</v>
      </c>
      <c r="Q23" s="157">
        <v>1012</v>
      </c>
      <c r="R23" s="103"/>
      <c r="S23" s="103"/>
      <c r="T23" s="103"/>
      <c r="U23" s="157"/>
      <c r="V23" s="103"/>
      <c r="W23" s="157">
        <v>0</v>
      </c>
    </row>
    <row customHeight="1" ht="13.5">
      <c r="A24" s="103"/>
      <c r="B24" s="102"/>
      <c r="C24" s="103"/>
      <c r="D24" s="102"/>
      <c r="E24" s="102"/>
      <c r="F24" s="102"/>
      <c r="G24" s="103"/>
      <c r="H24" s="103"/>
      <c r="I24" s="102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2"/>
      <c r="V24" s="103"/>
      <c r="W24" s="102"/>
    </row>
    <row customHeight="1" ht="13.5">
      <c r="A25" s="103"/>
      <c r="B25" s="102" t="s">
        <v>97</v>
      </c>
      <c r="C25" s="103"/>
      <c r="D25" s="102"/>
      <c r="E25" s="102"/>
      <c r="F25" s="102"/>
      <c r="G25" s="103"/>
      <c r="H25" s="103"/>
      <c r="I25" s="102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2"/>
      <c r="V25" s="103"/>
      <c r="W25" s="102"/>
    </row>
    <row customHeight="1" ht="13.5">
      <c r="A26" s="103"/>
      <c r="B26" s="102" t="s">
        <v>52</v>
      </c>
      <c r="C26" s="103"/>
      <c r="D26" s="102">
        <v>136.18</v>
      </c>
      <c r="E26" s="102">
        <v>0</v>
      </c>
      <c r="F26" s="102">
        <v>5775</v>
      </c>
      <c r="G26" s="103">
        <v>0</v>
      </c>
      <c r="H26" s="103">
        <v>0</v>
      </c>
      <c r="I26" s="102">
        <v>5814</v>
      </c>
      <c r="J26" s="103">
        <v>0</v>
      </c>
      <c r="K26" s="103">
        <v>0</v>
      </c>
      <c r="L26" s="103">
        <v>0</v>
      </c>
      <c r="M26" s="103">
        <v>0</v>
      </c>
      <c r="N26" s="103">
        <v>0</v>
      </c>
      <c r="O26" s="103">
        <v>0</v>
      </c>
      <c r="P26" s="103">
        <v>-1</v>
      </c>
      <c r="Q26" s="103">
        <v>95.88</v>
      </c>
      <c r="R26" s="103"/>
      <c r="S26" s="103"/>
      <c r="T26" s="103"/>
      <c r="U26" s="102">
        <v>0</v>
      </c>
      <c r="V26" s="103"/>
      <c r="W26" s="102">
        <v>-1</v>
      </c>
    </row>
    <row customHeight="1" ht="13.5">
      <c r="A27" s="103"/>
      <c r="B27" s="102" t="s">
        <v>98</v>
      </c>
      <c r="C27" s="103"/>
      <c r="D27" s="102">
        <v>2159</v>
      </c>
      <c r="E27" s="102">
        <v>0</v>
      </c>
      <c r="F27" s="102">
        <v>55349</v>
      </c>
      <c r="G27" s="103">
        <v>0</v>
      </c>
      <c r="H27" s="103">
        <v>0</v>
      </c>
      <c r="I27" s="102">
        <v>61449</v>
      </c>
      <c r="J27" s="103">
        <v>0</v>
      </c>
      <c r="K27" s="103">
        <v>0</v>
      </c>
      <c r="L27" s="103">
        <v>0</v>
      </c>
      <c r="M27" s="103">
        <v>0</v>
      </c>
      <c r="N27" s="103">
        <v>8300</v>
      </c>
      <c r="O27" s="103">
        <v>0</v>
      </c>
      <c r="P27" s="103">
        <v>0</v>
      </c>
      <c r="Q27" s="103">
        <v>4359</v>
      </c>
      <c r="R27" s="103"/>
      <c r="S27" s="103"/>
      <c r="T27" s="103"/>
      <c r="U27" s="102">
        <v>0</v>
      </c>
      <c r="V27" s="103"/>
      <c r="W27" s="102">
        <v>0</v>
      </c>
    </row>
    <row customHeight="1" ht="13.5">
      <c r="A28" s="103"/>
      <c r="B28" s="102" t="s">
        <v>99</v>
      </c>
      <c r="C28" s="103"/>
      <c r="D28" s="102"/>
      <c r="E28" s="102"/>
      <c r="F28" s="102"/>
      <c r="G28" s="103"/>
      <c r="H28" s="103"/>
      <c r="I28" s="102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2"/>
      <c r="V28" s="103"/>
      <c r="W28" s="102"/>
    </row>
    <row customHeight="1" ht="13.5">
      <c r="A29" s="103"/>
      <c r="B29" s="102" t="s">
        <v>100</v>
      </c>
      <c r="C29" s="103"/>
      <c r="D29" s="102">
        <v>0</v>
      </c>
      <c r="E29" s="102">
        <v>9</v>
      </c>
      <c r="F29" s="102">
        <v>0</v>
      </c>
      <c r="G29" s="103">
        <v>0</v>
      </c>
      <c r="H29" s="103">
        <v>0</v>
      </c>
      <c r="I29" s="102">
        <v>0</v>
      </c>
      <c r="J29" s="103">
        <v>0</v>
      </c>
      <c r="K29" s="103">
        <v>0</v>
      </c>
      <c r="L29" s="103">
        <v>0</v>
      </c>
      <c r="M29" s="103">
        <v>0</v>
      </c>
      <c r="N29" s="103">
        <v>0</v>
      </c>
      <c r="O29" s="103">
        <v>9</v>
      </c>
      <c r="P29" s="103">
        <v>0</v>
      </c>
      <c r="Q29" s="103"/>
      <c r="R29" s="103"/>
      <c r="S29" s="103"/>
      <c r="T29" s="103"/>
      <c r="U29" s="102">
        <v>0</v>
      </c>
      <c r="V29" s="103"/>
      <c r="W29" s="102">
        <v>0</v>
      </c>
    </row>
    <row customHeight="1" ht="13.5">
      <c r="A30" s="103"/>
      <c r="B30" s="102" t="s">
        <v>101</v>
      </c>
      <c r="C30" s="103"/>
      <c r="D30" s="102"/>
      <c r="E30" s="102"/>
      <c r="F30" s="102"/>
      <c r="G30" s="103"/>
      <c r="H30" s="103"/>
      <c r="I30" s="102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2"/>
      <c r="V30" s="103"/>
      <c r="W30" s="102"/>
    </row>
    <row customHeight="1" ht="13.5">
      <c r="A31" s="103"/>
      <c r="B31" s="102" t="s">
        <v>50</v>
      </c>
      <c r="C31" s="103"/>
      <c r="D31" s="102">
        <v>7106</v>
      </c>
      <c r="E31" s="102">
        <v>0</v>
      </c>
      <c r="F31" s="102">
        <v>272723</v>
      </c>
      <c r="G31" s="103">
        <v>0</v>
      </c>
      <c r="H31" s="103">
        <v>0</v>
      </c>
      <c r="I31" s="102">
        <v>0</v>
      </c>
      <c r="J31" s="103">
        <v>9383</v>
      </c>
      <c r="K31" s="103">
        <v>0</v>
      </c>
      <c r="L31" s="103">
        <v>0</v>
      </c>
      <c r="M31" s="103">
        <v>0</v>
      </c>
      <c r="N31" s="103">
        <v>0</v>
      </c>
      <c r="O31" s="103">
        <v>7596</v>
      </c>
      <c r="P31" s="103">
        <v>0</v>
      </c>
      <c r="Q31" s="103">
        <v>5332</v>
      </c>
      <c r="R31" s="103"/>
      <c r="S31" s="103"/>
      <c r="T31" s="103"/>
      <c r="U31" s="102">
        <v>257518</v>
      </c>
      <c r="V31" s="103"/>
      <c r="W31" s="102">
        <v>0</v>
      </c>
    </row>
    <row customHeight="1" ht="13.5">
      <c r="A32" s="103"/>
      <c r="B32" s="102"/>
      <c r="C32" s="103"/>
      <c r="D32" s="102"/>
      <c r="E32" s="102"/>
      <c r="F32" s="102"/>
      <c r="G32" s="103"/>
      <c r="H32" s="103"/>
      <c r="I32" s="102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2"/>
      <c r="V32" s="103"/>
      <c r="W32" s="102"/>
    </row>
    <row customHeight="1" ht="13.5">
      <c r="A33" s="103"/>
      <c r="B33" s="102"/>
      <c r="C33" s="103"/>
      <c r="D33" s="102">
        <v>576</v>
      </c>
      <c r="E33" s="102"/>
      <c r="F33" s="102">
        <v>5024</v>
      </c>
      <c r="G33" s="103"/>
      <c r="H33" s="103"/>
      <c r="I33" s="102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2"/>
      <c r="V33" s="103"/>
      <c r="W33" s="102"/>
    </row>
    <row customHeight="1" ht="13.5">
      <c r="A34" s="103"/>
      <c r="B34" s="102"/>
      <c r="C34" s="103"/>
      <c r="D34" s="102"/>
      <c r="E34" s="102"/>
      <c r="F34" s="102"/>
      <c r="G34" s="103"/>
      <c r="H34" s="103"/>
      <c r="I34" s="102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2"/>
      <c r="V34" s="103"/>
      <c r="W34" s="102"/>
    </row>
    <row customHeight="1" ht="13.5">
      <c r="A35" s="103"/>
      <c r="B35" s="102"/>
      <c r="C35" s="103"/>
      <c r="D35" s="102">
        <v>3113</v>
      </c>
      <c r="E35" s="102"/>
      <c r="F35" s="102"/>
      <c r="G35" s="103">
        <v>0</v>
      </c>
      <c r="H35" s="103">
        <v>0</v>
      </c>
      <c r="I35" s="102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2"/>
      <c r="V35" s="103"/>
      <c r="W35" s="102"/>
    </row>
    <row customHeight="1" ht="13.5">
      <c r="A36" s="103"/>
      <c r="B36" s="102"/>
      <c r="C36" s="103"/>
      <c r="D36" s="102">
        <v>0</v>
      </c>
      <c r="E36" s="102"/>
      <c r="F36" s="102"/>
      <c r="G36" s="103">
        <v>0</v>
      </c>
      <c r="H36" s="103">
        <v>0</v>
      </c>
      <c r="I36" s="102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2"/>
      <c r="V36" s="103"/>
      <c r="W36" s="102"/>
    </row>
    <row customHeight="1" ht="13.5">
      <c r="A37" s="103"/>
      <c r="B37" s="102"/>
      <c r="C37" s="103"/>
      <c r="D37" s="102">
        <v>619</v>
      </c>
      <c r="E37" s="102"/>
      <c r="F37" s="102"/>
      <c r="G37" s="103"/>
      <c r="H37" s="158"/>
      <c r="I37" s="102"/>
      <c r="J37" s="103"/>
      <c r="K37" s="103"/>
      <c r="L37" s="103"/>
      <c r="M37" s="158">
        <v>82461</v>
      </c>
      <c r="N37" s="103"/>
      <c r="O37" s="103"/>
      <c r="P37" s="103"/>
      <c r="Q37" s="103"/>
      <c r="R37" s="103"/>
      <c r="S37" s="103"/>
      <c r="T37" s="103"/>
      <c r="U37" s="102"/>
      <c r="V37" s="103"/>
      <c r="W37" s="102"/>
    </row>
    <row customHeight="1" ht="13.5">
      <c r="A38" s="103"/>
      <c r="B38" s="102"/>
      <c r="C38" s="103"/>
      <c r="D38" s="102"/>
      <c r="E38" s="102"/>
      <c r="F38" s="102"/>
      <c r="G38" s="103"/>
      <c r="H38" s="103"/>
      <c r="I38" s="102"/>
      <c r="J38" s="103"/>
      <c r="K38" s="103"/>
      <c r="L38" s="103"/>
      <c r="M38" s="158">
        <v>1867</v>
      </c>
      <c r="N38" s="103"/>
      <c r="O38" s="103"/>
      <c r="P38" s="103"/>
      <c r="Q38" s="103"/>
      <c r="R38" s="103"/>
      <c r="S38" s="103"/>
      <c r="T38" s="103"/>
      <c r="U38" s="102"/>
      <c r="V38" s="103"/>
      <c r="W38" s="102"/>
    </row>
    <row customHeight="1" ht="13.5">
      <c r="A39" s="103"/>
      <c r="B39" s="102" t="s">
        <v>102</v>
      </c>
      <c r="C39" s="103"/>
      <c r="D39" s="102"/>
      <c r="E39" s="102">
        <v>776</v>
      </c>
      <c r="F39" s="102">
        <v>0</v>
      </c>
      <c r="G39" s="103">
        <v>0</v>
      </c>
      <c r="H39" s="103"/>
      <c r="I39" s="102">
        <v>0</v>
      </c>
      <c r="J39" s="103">
        <v>0</v>
      </c>
      <c r="K39" s="103">
        <v>776</v>
      </c>
      <c r="L39" s="103">
        <v>0</v>
      </c>
      <c r="M39" s="103">
        <v>0</v>
      </c>
      <c r="N39" s="103">
        <v>0</v>
      </c>
      <c r="O39" s="103">
        <v>0</v>
      </c>
      <c r="P39" s="103">
        <v>0</v>
      </c>
      <c r="Q39" s="103"/>
      <c r="R39" s="103"/>
      <c r="S39" s="103"/>
      <c r="T39" s="103"/>
      <c r="U39" s="102">
        <v>0</v>
      </c>
      <c r="V39" s="103"/>
      <c r="W39" s="102">
        <v>0</v>
      </c>
    </row>
  </sheetData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C5FC66C-5C57-0FC3-CFFB-17F1C0CFAD38}" mc:Ignorable="x14ac xr xr2 xr3">
  <dimension ref="A1:A31"/>
  <sheetViews>
    <sheetView topLeftCell="A1" workbookViewId="0">
      <selection activeCell="A1" sqref="A1:A31"/>
    </sheetView>
  </sheetViews>
  <sheetFormatPr defaultColWidth="9.00390625" customHeight="1" defaultRowHeight="14.399999999999999"/>
  <cols>
    <col min="1" max="1" style="156" width="8.8515625" customWidth="1"/>
  </cols>
  <sheetData>
    <row customHeight="1" ht="14.399999999999999">
      <c r="A1" s="102"/>
    </row>
    <row customHeight="1" ht="14.399999999999999">
      <c r="A2" s="102"/>
    </row>
    <row customHeight="1" ht="14.399999999999999">
      <c r="A3" s="102"/>
    </row>
    <row customHeight="1" ht="14.399999999999999">
      <c r="A4" s="102"/>
    </row>
    <row customHeight="1" ht="14.25">
      <c r="A5" s="102" t="s">
        <v>89</v>
      </c>
    </row>
    <row customHeight="1" ht="14.399999999999999">
      <c r="A6" s="102"/>
    </row>
    <row customHeight="1" ht="14.25">
      <c r="A7" s="102">
        <v>2</v>
      </c>
    </row>
    <row customHeight="1" ht="14.25">
      <c r="A8" s="102">
        <v>0</v>
      </c>
    </row>
    <row customHeight="1" ht="14.25">
      <c r="A9" s="102"/>
    </row>
    <row customHeight="1" ht="14.399999999999999">
      <c r="A10" s="102"/>
    </row>
    <row customHeight="1" ht="14.25">
      <c r="A11" s="102">
        <v>-481</v>
      </c>
    </row>
    <row customHeight="1" ht="14.25">
      <c r="A12" s="102"/>
    </row>
    <row customHeight="1" ht="14.399999999999999">
      <c r="A13" s="102"/>
    </row>
    <row customHeight="1" ht="14.25">
      <c r="A14" s="102"/>
    </row>
    <row customHeight="1" ht="14.25">
      <c r="A15" s="102"/>
    </row>
    <row customHeight="1" ht="14.25">
      <c r="A16" s="102">
        <v>-227</v>
      </c>
    </row>
    <row customHeight="1" ht="14.25">
      <c r="A17" s="102">
        <v>-231</v>
      </c>
    </row>
    <row customHeight="1" ht="14.25">
      <c r="A18" s="102">
        <v>0</v>
      </c>
    </row>
    <row customHeight="1" ht="14.25">
      <c r="A19" s="102">
        <v>-230</v>
      </c>
    </row>
    <row customHeight="1" ht="14.25">
      <c r="A20" s="102">
        <v>-230</v>
      </c>
    </row>
    <row customHeight="1" ht="14.25">
      <c r="A21" s="102">
        <v>0</v>
      </c>
    </row>
    <row customHeight="1" ht="14.25">
      <c r="A22" s="102">
        <v>0</v>
      </c>
    </row>
    <row customHeight="1" ht="14.25">
      <c r="A23" s="102">
        <v>0</v>
      </c>
    </row>
    <row customHeight="1" ht="14.399999999999999">
      <c r="A24" s="102"/>
    </row>
    <row customHeight="1" ht="14.25">
      <c r="A25" s="102"/>
    </row>
    <row customHeight="1" ht="14.25">
      <c r="A26" s="102">
        <v>-1</v>
      </c>
    </row>
    <row customHeight="1" ht="14.25">
      <c r="A27" s="102">
        <v>0</v>
      </c>
    </row>
    <row customHeight="1" ht="14.25">
      <c r="A28" s="102"/>
    </row>
    <row customHeight="1" ht="14.25">
      <c r="A29" s="102">
        <v>0</v>
      </c>
    </row>
    <row customHeight="1" ht="14.25">
      <c r="A30" s="102"/>
    </row>
    <row customHeight="1" ht="14.25">
      <c r="A31" s="102">
        <v>0</v>
      </c>
    </row>
  </sheetData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83C8D2F-A2E8-CEA8-EDD9-EE7E7023AD98}" mc:Ignorable="x14ac xr xr2 xr3">
  <dimension ref="A1:A25"/>
  <sheetViews>
    <sheetView topLeftCell="A1" workbookViewId="0">
      <selection activeCell="A1" sqref="A1:A25"/>
    </sheetView>
  </sheetViews>
  <sheetFormatPr defaultColWidth="9.00390625" customHeight="1" defaultRowHeight="14.399999999999999"/>
  <sheetData>
    <row customHeight="1" ht="14.25">
      <c r="A1" s="103">
        <v>113371</v>
      </c>
    </row>
    <row customHeight="1" ht="14.25">
      <c r="A2" s="103">
        <v>10071</v>
      </c>
    </row>
    <row customHeight="1" ht="14.25">
      <c r="A3" s="103"/>
    </row>
    <row customHeight="1" ht="14.25">
      <c r="A4" s="103"/>
    </row>
    <row customHeight="1" ht="14.25">
      <c r="A5" s="103">
        <v>0</v>
      </c>
    </row>
    <row customHeight="1" ht="14.25">
      <c r="A6" s="103"/>
    </row>
    <row customHeight="1" ht="14.25">
      <c r="A7" s="103"/>
    </row>
    <row customHeight="1" ht="14.25">
      <c r="A8" s="103"/>
    </row>
    <row customHeight="1" ht="14.25">
      <c r="A9" s="103"/>
    </row>
    <row customHeight="1" ht="14.25">
      <c r="A10" s="103">
        <v>38500</v>
      </c>
    </row>
    <row customHeight="1" ht="14.25">
      <c r="A11" s="103">
        <v>32323</v>
      </c>
    </row>
    <row customHeight="1" ht="14.25">
      <c r="A12" s="103">
        <v>6177</v>
      </c>
    </row>
    <row customHeight="1" ht="14.25">
      <c r="A13" s="103">
        <v>55584</v>
      </c>
    </row>
    <row customHeight="1" ht="14.25">
      <c r="A14" s="103">
        <v>48949</v>
      </c>
    </row>
    <row customHeight="1" ht="14.25">
      <c r="A15" s="103">
        <v>6635</v>
      </c>
    </row>
    <row customHeight="1" ht="14.25">
      <c r="A16" s="103">
        <v>0</v>
      </c>
    </row>
    <row customHeight="1" ht="14.25">
      <c r="A17" s="103">
        <v>951</v>
      </c>
    </row>
    <row customHeight="1" ht="14.25">
      <c r="A18" s="103"/>
    </row>
    <row customHeight="1" ht="14.25">
      <c r="A19" s="103"/>
    </row>
    <row customHeight="1" ht="14.25">
      <c r="A20" s="103">
        <v>136.18</v>
      </c>
    </row>
    <row customHeight="1" ht="14.25">
      <c r="A21" s="103">
        <v>2159</v>
      </c>
    </row>
    <row customHeight="1" ht="14.25">
      <c r="A22" s="103"/>
    </row>
    <row customHeight="1" ht="14.25">
      <c r="A23" s="103">
        <v>0</v>
      </c>
    </row>
    <row customHeight="1" ht="14.25">
      <c r="A24" s="103"/>
    </row>
    <row customHeight="1" ht="14.25">
      <c r="A25" s="103">
        <v>7106</v>
      </c>
    </row>
  </sheetData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F2BB728-FA14-1F81-E686-CAF6F89B31CE}" mc:Ignorable="x14ac xr xr2 xr3">
  <dimension ref="A1:A260"/>
  <sheetViews>
    <sheetView topLeftCell="A241" workbookViewId="0">
      <selection activeCell="A236" sqref="A236:A260"/>
    </sheetView>
  </sheetViews>
  <sheetFormatPr defaultColWidth="9.00390625" customHeight="1" defaultRowHeight="14.399999999999999"/>
  <sheetData>
    <row customHeight="1" ht="14.25">
      <c r="A1" s="103">
        <v>0</v>
      </c>
    </row>
    <row customHeight="1" ht="14.25">
      <c r="A2" s="103">
        <v>0</v>
      </c>
    </row>
    <row customHeight="1" ht="14.25">
      <c r="A3" s="103"/>
    </row>
    <row customHeight="1" ht="14.25">
      <c r="A4" s="103"/>
    </row>
    <row customHeight="1" ht="14.25">
      <c r="A5" s="103">
        <v>0</v>
      </c>
    </row>
    <row customHeight="1" ht="14.25">
      <c r="A6" s="103"/>
    </row>
    <row customHeight="1" ht="14.25">
      <c r="A7" s="103"/>
    </row>
    <row customHeight="1" ht="14.25">
      <c r="A8" s="103"/>
    </row>
    <row customHeight="1" ht="14.25">
      <c r="A9" s="103"/>
    </row>
    <row customHeight="1" ht="14.25">
      <c r="A10" s="103"/>
    </row>
    <row customHeight="1" ht="14.25">
      <c r="A11" s="103">
        <v>0</v>
      </c>
    </row>
    <row customHeight="1" ht="14.25">
      <c r="A12" s="103">
        <v>0</v>
      </c>
    </row>
    <row customHeight="1" ht="14.25">
      <c r="A13" s="103"/>
    </row>
    <row customHeight="1" ht="14.25">
      <c r="A14" s="103">
        <v>0</v>
      </c>
    </row>
    <row customHeight="1" ht="14.25">
      <c r="A15" s="103">
        <v>0</v>
      </c>
    </row>
    <row customHeight="1" ht="14.25">
      <c r="A16" s="103">
        <v>0</v>
      </c>
    </row>
    <row customHeight="1" ht="14.25">
      <c r="A17" s="103">
        <v>0</v>
      </c>
    </row>
    <row customHeight="1" ht="14.25">
      <c r="A18" s="103"/>
    </row>
    <row customHeight="1" ht="14.25">
      <c r="A19" s="103"/>
    </row>
    <row customHeight="1" ht="14.25">
      <c r="A20" s="103">
        <v>0</v>
      </c>
    </row>
    <row customHeight="1" ht="14.25">
      <c r="A21" s="103">
        <v>0</v>
      </c>
    </row>
    <row customHeight="1" ht="14.25">
      <c r="A22" s="103"/>
    </row>
    <row customHeight="1" ht="14.25">
      <c r="A23" s="103">
        <v>0</v>
      </c>
    </row>
    <row customHeight="1" ht="14.25">
      <c r="A24" s="103"/>
    </row>
    <row customHeight="1" ht="14.25">
      <c r="A25" s="103">
        <v>0</v>
      </c>
    </row>
    <row customHeight="1" ht="14.399999999999999">
      <c r="A26" s="103"/>
    </row>
    <row customHeight="1" ht="14.25">
      <c r="A27" s="103">
        <v>4553852</v>
      </c>
    </row>
    <row customHeight="1" ht="14.25">
      <c r="A28" s="103">
        <v>1575046</v>
      </c>
    </row>
    <row customHeight="1" ht="14.25">
      <c r="A29" s="103"/>
    </row>
    <row customHeight="1" ht="14.25">
      <c r="A30" s="103"/>
    </row>
    <row customHeight="1" ht="14.25">
      <c r="A31" s="103">
        <v>0</v>
      </c>
    </row>
    <row customHeight="1" ht="14.25">
      <c r="A32" s="103"/>
    </row>
    <row customHeight="1" ht="14.25">
      <c r="A33" s="103"/>
    </row>
    <row customHeight="1" ht="14.25">
      <c r="A34" s="103"/>
    </row>
    <row customHeight="1" ht="14.25">
      <c r="A35" s="103"/>
    </row>
    <row customHeight="1" ht="14.25">
      <c r="A36" s="103"/>
    </row>
    <row customHeight="1" ht="14.25">
      <c r="A37" s="103">
        <v>0</v>
      </c>
    </row>
    <row customHeight="1" ht="14.25">
      <c r="A38" s="103">
        <v>0</v>
      </c>
    </row>
    <row customHeight="1" ht="14.25">
      <c r="A39" s="103"/>
    </row>
    <row customHeight="1" ht="14.25">
      <c r="A40" s="103">
        <v>0</v>
      </c>
    </row>
    <row customHeight="1" ht="14.25">
      <c r="A41" s="103">
        <v>0</v>
      </c>
    </row>
    <row customHeight="1" ht="14.25">
      <c r="A42" s="103">
        <v>0</v>
      </c>
    </row>
    <row customHeight="1" ht="14.25">
      <c r="A43" s="103">
        <v>0</v>
      </c>
    </row>
    <row customHeight="1" ht="14.25">
      <c r="A44" s="103"/>
    </row>
    <row customHeight="1" ht="14.25">
      <c r="A45" s="103"/>
    </row>
    <row customHeight="1" ht="14.25">
      <c r="A46" s="103">
        <v>0</v>
      </c>
    </row>
    <row customHeight="1" ht="14.25">
      <c r="A47" s="103">
        <v>0</v>
      </c>
    </row>
    <row customHeight="1" ht="14.25">
      <c r="A48" s="103"/>
    </row>
    <row customHeight="1" ht="14.25">
      <c r="A49" s="103">
        <v>0</v>
      </c>
    </row>
    <row customHeight="1" ht="14.25">
      <c r="A50" s="103"/>
    </row>
    <row customHeight="1" ht="14.25">
      <c r="A51" s="103">
        <v>0</v>
      </c>
    </row>
    <row customHeight="1" ht="14.399999999999999">
      <c r="A52" s="103"/>
    </row>
    <row customHeight="1" ht="14.25">
      <c r="A53" s="103"/>
    </row>
    <row customHeight="1" ht="14.25">
      <c r="A54" s="103"/>
    </row>
    <row customHeight="1" ht="14.25">
      <c r="A55" s="103"/>
    </row>
    <row customHeight="1" ht="14.25">
      <c r="A56" s="103"/>
    </row>
    <row customHeight="1" ht="14.25">
      <c r="A57" s="103"/>
    </row>
    <row customHeight="1" ht="14.25">
      <c r="A58" s="103"/>
    </row>
    <row customHeight="1" ht="14.25">
      <c r="A59" s="103"/>
    </row>
    <row customHeight="1" ht="14.25">
      <c r="A60" s="103"/>
    </row>
    <row customHeight="1" ht="14.25">
      <c r="A61" s="103"/>
    </row>
    <row customHeight="1" ht="14.25">
      <c r="A62" s="103"/>
    </row>
    <row customHeight="1" ht="14.25">
      <c r="A63" s="103"/>
    </row>
    <row customHeight="1" ht="14.25">
      <c r="A64" s="103"/>
    </row>
    <row customHeight="1" ht="14.25">
      <c r="A65" s="103"/>
    </row>
    <row customHeight="1" ht="14.25">
      <c r="A66" s="103"/>
    </row>
    <row customHeight="1" ht="14.25">
      <c r="A67" s="103"/>
    </row>
    <row customHeight="1" ht="14.25">
      <c r="A68" s="103"/>
    </row>
    <row customHeight="1" ht="14.25">
      <c r="A69" s="103">
        <v>37648</v>
      </c>
    </row>
    <row customHeight="1" ht="14.25">
      <c r="A70" s="103"/>
    </row>
    <row customHeight="1" ht="14.25">
      <c r="A71" s="103"/>
    </row>
    <row customHeight="1" ht="14.25">
      <c r="A72" s="103"/>
    </row>
    <row customHeight="1" ht="14.25">
      <c r="A73" s="103"/>
    </row>
    <row customHeight="1" ht="14.25">
      <c r="A74" s="103"/>
    </row>
    <row customHeight="1" ht="14.25">
      <c r="A75" s="103"/>
    </row>
    <row customHeight="1" ht="14.25">
      <c r="A76" s="103"/>
    </row>
    <row customHeight="1" ht="14.25">
      <c r="A77" s="103"/>
    </row>
    <row customHeight="1" ht="14.399999999999999">
      <c r="A78" s="103"/>
    </row>
    <row customHeight="1" ht="14.25">
      <c r="A79" s="103">
        <v>0</v>
      </c>
    </row>
    <row customHeight="1" ht="14.25">
      <c r="A80" s="103">
        <v>0</v>
      </c>
    </row>
    <row customHeight="1" ht="14.25">
      <c r="A81" s="103"/>
    </row>
    <row customHeight="1" ht="14.25">
      <c r="A82" s="103"/>
    </row>
    <row customHeight="1" ht="14.25">
      <c r="A83" s="103">
        <v>0</v>
      </c>
    </row>
    <row customHeight="1" ht="14.25">
      <c r="A84" s="103"/>
    </row>
    <row customHeight="1" ht="14.25">
      <c r="A85" s="103"/>
    </row>
    <row customHeight="1" ht="14.25">
      <c r="A86" s="103"/>
    </row>
    <row customHeight="1" ht="14.25">
      <c r="A87" s="103"/>
    </row>
    <row customHeight="1" ht="14.25">
      <c r="A88" s="103">
        <v>0</v>
      </c>
    </row>
    <row customHeight="1" ht="14.25">
      <c r="A89" s="103">
        <v>0</v>
      </c>
    </row>
    <row customHeight="1" ht="14.25">
      <c r="A90" s="103">
        <v>0</v>
      </c>
    </row>
    <row customHeight="1" ht="14.25">
      <c r="A91" s="103">
        <v>0</v>
      </c>
    </row>
    <row customHeight="1" ht="14.25">
      <c r="A92" s="103">
        <v>0</v>
      </c>
    </row>
    <row customHeight="1" ht="14.25">
      <c r="A93" s="103">
        <v>0</v>
      </c>
    </row>
    <row customHeight="1" ht="14.25">
      <c r="A94" s="103">
        <v>0</v>
      </c>
    </row>
    <row customHeight="1" ht="14.25">
      <c r="A95" s="103">
        <v>0</v>
      </c>
    </row>
    <row customHeight="1" ht="14.25">
      <c r="A96" s="103"/>
    </row>
    <row customHeight="1" ht="14.25">
      <c r="A97" s="103"/>
    </row>
    <row customHeight="1" ht="14.25">
      <c r="A98" s="103">
        <v>0</v>
      </c>
    </row>
    <row customHeight="1" ht="14.25">
      <c r="A99" s="103">
        <v>0</v>
      </c>
    </row>
    <row customHeight="1" ht="14.25">
      <c r="A100" s="103"/>
    </row>
    <row customHeight="1" ht="14.25">
      <c r="A101" s="103">
        <v>0</v>
      </c>
    </row>
    <row customHeight="1" ht="14.25">
      <c r="A102" s="103"/>
    </row>
    <row customHeight="1" ht="14.25">
      <c r="A103" s="103">
        <v>7795</v>
      </c>
    </row>
    <row customHeight="1" ht="14.399999999999999">
      <c r="A104" s="103"/>
    </row>
    <row customHeight="1" ht="14.25">
      <c r="A105" s="103">
        <v>0</v>
      </c>
    </row>
    <row customHeight="1" ht="14.25">
      <c r="A106" s="103">
        <v>0</v>
      </c>
    </row>
    <row customHeight="1" ht="14.25">
      <c r="A107" s="103"/>
    </row>
    <row customHeight="1" ht="14.25">
      <c r="A108" s="103"/>
    </row>
    <row customHeight="1" ht="14.25">
      <c r="A109" s="103">
        <v>0</v>
      </c>
    </row>
    <row customHeight="1" ht="14.25">
      <c r="A110" s="103"/>
    </row>
    <row customHeight="1" ht="14.25">
      <c r="A111" s="103"/>
    </row>
    <row customHeight="1" ht="14.25">
      <c r="A112" s="103"/>
    </row>
    <row customHeight="1" ht="14.25">
      <c r="A113" s="103"/>
    </row>
    <row customHeight="1" ht="14.25">
      <c r="A114" s="103">
        <v>0</v>
      </c>
    </row>
    <row customHeight="1" ht="14.25">
      <c r="A115" s="103">
        <v>0</v>
      </c>
    </row>
    <row customHeight="1" ht="14.25">
      <c r="A116" s="103">
        <v>0</v>
      </c>
    </row>
    <row customHeight="1" ht="14.25">
      <c r="A117" s="103">
        <v>0</v>
      </c>
    </row>
    <row customHeight="1" ht="14.25">
      <c r="A118" s="103">
        <v>0</v>
      </c>
    </row>
    <row customHeight="1" ht="14.25">
      <c r="A119" s="103">
        <v>0</v>
      </c>
    </row>
    <row customHeight="1" ht="14.25">
      <c r="A120" s="103">
        <v>0</v>
      </c>
    </row>
    <row customHeight="1" ht="14.25">
      <c r="A121" s="103">
        <v>0</v>
      </c>
    </row>
    <row customHeight="1" ht="14.25">
      <c r="A122" s="103"/>
    </row>
    <row customHeight="1" ht="14.25">
      <c r="A123" s="103"/>
    </row>
    <row customHeight="1" ht="14.25">
      <c r="A124" s="103">
        <v>0</v>
      </c>
    </row>
    <row customHeight="1" ht="14.25">
      <c r="A125" s="103">
        <v>0</v>
      </c>
    </row>
    <row customHeight="1" ht="14.25">
      <c r="A126" s="103"/>
    </row>
    <row customHeight="1" ht="14.25">
      <c r="A127" s="103">
        <v>0</v>
      </c>
    </row>
    <row customHeight="1" ht="14.25">
      <c r="A128" s="103"/>
    </row>
    <row customHeight="1" ht="14.25">
      <c r="A129" s="103">
        <v>0</v>
      </c>
    </row>
    <row customHeight="1" ht="14.399999999999999">
      <c r="A130" s="103"/>
    </row>
    <row customHeight="1" ht="14.25">
      <c r="A131" s="103">
        <v>0</v>
      </c>
    </row>
    <row customHeight="1" ht="14.25">
      <c r="A132" s="103">
        <v>0</v>
      </c>
    </row>
    <row customHeight="1" ht="14.25">
      <c r="A133" s="103"/>
    </row>
    <row customHeight="1" ht="14.25">
      <c r="A134" s="103"/>
    </row>
    <row customHeight="1" ht="14.25">
      <c r="A135" s="103">
        <v>0</v>
      </c>
    </row>
    <row customHeight="1" ht="14.25">
      <c r="A136" s="103"/>
    </row>
    <row customHeight="1" ht="14.25">
      <c r="A137" s="103"/>
    </row>
    <row customHeight="1" ht="14.25">
      <c r="A138" s="103"/>
    </row>
    <row customHeight="1" ht="14.25">
      <c r="A139" s="103"/>
    </row>
    <row customHeight="1" ht="14.25">
      <c r="A140" s="103">
        <v>0</v>
      </c>
    </row>
    <row customHeight="1" ht="14.25">
      <c r="A141" s="103">
        <v>0</v>
      </c>
    </row>
    <row customHeight="1" ht="14.25">
      <c r="A142" s="103">
        <v>0</v>
      </c>
    </row>
    <row customHeight="1" ht="14.25">
      <c r="A143" s="103">
        <v>0</v>
      </c>
    </row>
    <row customHeight="1" ht="14.25">
      <c r="A144" s="103">
        <v>0</v>
      </c>
    </row>
    <row customHeight="1" ht="14.25">
      <c r="A145" s="103">
        <v>0</v>
      </c>
    </row>
    <row customHeight="1" ht="14.25">
      <c r="A146" s="103">
        <v>0</v>
      </c>
    </row>
    <row customHeight="1" ht="14.25">
      <c r="A147" s="103">
        <v>0</v>
      </c>
    </row>
    <row customHeight="1" ht="14.25">
      <c r="A148" s="103"/>
    </row>
    <row customHeight="1" ht="14.25">
      <c r="A149" s="103"/>
    </row>
    <row customHeight="1" ht="14.25">
      <c r="A150" s="103">
        <v>0</v>
      </c>
    </row>
    <row customHeight="1" ht="14.25">
      <c r="A151" s="103">
        <v>0</v>
      </c>
    </row>
    <row customHeight="1" ht="14.25">
      <c r="A152" s="103"/>
    </row>
    <row customHeight="1" ht="14.25">
      <c r="A153" s="103">
        <v>0</v>
      </c>
    </row>
    <row customHeight="1" ht="14.25">
      <c r="A154" s="103"/>
    </row>
    <row customHeight="1" ht="14.25">
      <c r="A155" s="103">
        <v>0</v>
      </c>
    </row>
    <row customHeight="1" ht="14.399999999999999">
      <c r="A156" s="103"/>
    </row>
    <row customHeight="1" ht="14.25">
      <c r="A157" s="103">
        <v>0</v>
      </c>
    </row>
    <row customHeight="1" ht="14.25">
      <c r="A158" s="103">
        <v>82460.58</v>
      </c>
    </row>
    <row customHeight="1" ht="14.25">
      <c r="A159" s="103"/>
    </row>
    <row customHeight="1" ht="14.25">
      <c r="A160" s="103"/>
    </row>
    <row customHeight="1" ht="14.25">
      <c r="A161" s="103">
        <v>0</v>
      </c>
    </row>
    <row customHeight="1" ht="14.25">
      <c r="A162" s="103"/>
    </row>
    <row customHeight="1" ht="14.25">
      <c r="A163" s="103"/>
    </row>
    <row customHeight="1" ht="14.25">
      <c r="A164" s="103"/>
    </row>
    <row customHeight="1" ht="14.25">
      <c r="A165" s="103"/>
    </row>
    <row customHeight="1" ht="14.25">
      <c r="A166" s="103">
        <v>0</v>
      </c>
    </row>
    <row customHeight="1" ht="14.25">
      <c r="A167" s="103">
        <v>0</v>
      </c>
    </row>
    <row customHeight="1" ht="14.25">
      <c r="A168" s="103">
        <v>0</v>
      </c>
    </row>
    <row customHeight="1" ht="14.25">
      <c r="A169" s="103">
        <v>0</v>
      </c>
    </row>
    <row customHeight="1" ht="14.25">
      <c r="A170" s="103">
        <v>0</v>
      </c>
    </row>
    <row customHeight="1" ht="14.25">
      <c r="A171" s="103">
        <v>0</v>
      </c>
    </row>
    <row customHeight="1" ht="14.25">
      <c r="A172" s="103">
        <v>0</v>
      </c>
    </row>
    <row customHeight="1" ht="14.25">
      <c r="A173" s="103">
        <v>0</v>
      </c>
    </row>
    <row customHeight="1" ht="14.25">
      <c r="A174" s="103"/>
    </row>
    <row customHeight="1" ht="14.25">
      <c r="A175" s="103"/>
    </row>
    <row customHeight="1" ht="14.25">
      <c r="A176" s="103">
        <v>0</v>
      </c>
    </row>
    <row customHeight="1" ht="14.25">
      <c r="A177" s="103">
        <v>0</v>
      </c>
    </row>
    <row customHeight="1" ht="14.25">
      <c r="A178" s="103"/>
    </row>
    <row customHeight="1" ht="14.25">
      <c r="A179" s="103">
        <v>0</v>
      </c>
    </row>
    <row customHeight="1" ht="14.25">
      <c r="A180" s="103"/>
    </row>
    <row customHeight="1" ht="14.25">
      <c r="A181" s="103">
        <v>0</v>
      </c>
    </row>
    <row customHeight="1" ht="14.399999999999999">
      <c r="A182" s="103"/>
    </row>
    <row customHeight="1" ht="14.25">
      <c r="A183" s="103">
        <v>7291.92</v>
      </c>
    </row>
    <row customHeight="1" ht="14.25">
      <c r="A184" s="103">
        <v>0</v>
      </c>
    </row>
    <row customHeight="1" ht="14.25">
      <c r="A185" s="103"/>
    </row>
    <row customHeight="1" ht="14.25">
      <c r="A186" s="103"/>
    </row>
    <row customHeight="1" ht="14.25">
      <c r="A187" s="103">
        <v>0</v>
      </c>
    </row>
    <row customHeight="1" ht="14.25">
      <c r="A188" s="103"/>
    </row>
    <row customHeight="1" ht="14.25">
      <c r="A189" s="103"/>
    </row>
    <row customHeight="1" ht="14.25">
      <c r="A190" s="103"/>
    </row>
    <row customHeight="1" ht="14.25">
      <c r="A191" s="103"/>
    </row>
    <row customHeight="1" ht="14.25">
      <c r="A192" s="103">
        <v>0</v>
      </c>
    </row>
    <row customHeight="1" ht="14.25">
      <c r="A193" s="103">
        <v>0</v>
      </c>
    </row>
    <row customHeight="1" ht="14.25">
      <c r="A194" s="103">
        <v>16000</v>
      </c>
    </row>
    <row customHeight="1" ht="14.25">
      <c r="A195" s="103">
        <v>0</v>
      </c>
    </row>
    <row customHeight="1" ht="14.25">
      <c r="A196" s="103">
        <v>4809</v>
      </c>
    </row>
    <row customHeight="1" ht="14.25">
      <c r="A197" s="103">
        <v>0</v>
      </c>
    </row>
    <row customHeight="1" ht="14.25">
      <c r="A198" s="103">
        <v>0</v>
      </c>
    </row>
    <row customHeight="1" ht="14.25">
      <c r="A199" s="103">
        <v>0</v>
      </c>
    </row>
    <row customHeight="1" ht="14.25">
      <c r="A200" s="103"/>
    </row>
    <row customHeight="1" ht="14.25">
      <c r="A201" s="103"/>
    </row>
    <row customHeight="1" ht="14.25">
      <c r="A202" s="103">
        <v>0</v>
      </c>
    </row>
    <row customHeight="1" ht="14.25">
      <c r="A203" s="103">
        <v>8300</v>
      </c>
    </row>
    <row customHeight="1" ht="14.25">
      <c r="A204" s="103"/>
    </row>
    <row customHeight="1" ht="14.25">
      <c r="A205" s="103">
        <v>0</v>
      </c>
    </row>
    <row customHeight="1" ht="14.25">
      <c r="A206" s="103"/>
    </row>
    <row customHeight="1" ht="14.25">
      <c r="A207" s="103">
        <v>0</v>
      </c>
    </row>
    <row customHeight="1" ht="14.399999999999999">
      <c r="A208" s="103"/>
    </row>
    <row customHeight="1" ht="14.399999999999999">
      <c r="A209" s="103"/>
    </row>
    <row customHeight="1" ht="14.25">
      <c r="A210" s="103">
        <v>0</v>
      </c>
    </row>
    <row customHeight="1" ht="14.25">
      <c r="A211" s="103">
        <v>8300</v>
      </c>
    </row>
    <row customHeight="1" ht="14.25">
      <c r="A212" s="103"/>
    </row>
    <row customHeight="1" ht="14.25">
      <c r="A213" s="103"/>
    </row>
    <row customHeight="1" ht="14.25">
      <c r="A214" s="103">
        <v>0</v>
      </c>
    </row>
    <row customHeight="1" ht="14.25">
      <c r="A215" s="103"/>
    </row>
    <row customHeight="1" ht="14.25">
      <c r="A216" s="103"/>
    </row>
    <row customHeight="1" ht="14.25">
      <c r="A217" s="103"/>
    </row>
    <row customHeight="1" ht="14.25">
      <c r="A218" s="103"/>
    </row>
    <row customHeight="1" ht="14.25">
      <c r="A219" s="103">
        <v>0</v>
      </c>
    </row>
    <row customHeight="1" ht="14.25">
      <c r="A220" s="103">
        <v>16000</v>
      </c>
    </row>
    <row customHeight="1" ht="14.25">
      <c r="A221" s="103">
        <v>0</v>
      </c>
    </row>
    <row customHeight="1" ht="14.25">
      <c r="A222" s="103">
        <v>0</v>
      </c>
    </row>
    <row customHeight="1" ht="14.25">
      <c r="A223" s="103">
        <v>0</v>
      </c>
    </row>
    <row customHeight="1" ht="14.25">
      <c r="A224" s="103">
        <v>4809</v>
      </c>
    </row>
    <row customHeight="1" ht="14.25">
      <c r="A225" s="103">
        <v>0</v>
      </c>
    </row>
    <row customHeight="1" ht="14.25">
      <c r="A226" s="103">
        <v>0</v>
      </c>
    </row>
    <row customHeight="1" ht="14.25">
      <c r="A227" s="103"/>
    </row>
    <row customHeight="1" ht="14.25">
      <c r="A228" s="103"/>
    </row>
    <row customHeight="1" ht="14.25">
      <c r="A229" s="103">
        <v>0</v>
      </c>
    </row>
    <row customHeight="1" ht="14.25">
      <c r="A230" s="103">
        <v>0</v>
      </c>
    </row>
    <row customHeight="1" ht="14.25">
      <c r="A231" s="103"/>
    </row>
    <row customHeight="1" ht="14.25">
      <c r="A232" s="103">
        <v>9</v>
      </c>
    </row>
    <row customHeight="1" ht="14.25">
      <c r="A233" s="103"/>
    </row>
    <row customHeight="1" ht="14.25">
      <c r="A234" s="103">
        <v>7596</v>
      </c>
    </row>
    <row customHeight="1" ht="14.399999999999999">
      <c r="A235" s="103"/>
    </row>
    <row customHeight="1" ht="14.25">
      <c r="A236" s="103">
        <v>2.080000000074506</v>
      </c>
    </row>
    <row customHeight="1" ht="14.25">
      <c r="A237" s="103">
        <v>0.0899999999674033</v>
      </c>
    </row>
    <row customHeight="1" ht="14.25">
      <c r="A238" s="103"/>
    </row>
    <row customHeight="1" ht="14.25">
      <c r="A239" s="103"/>
    </row>
    <row customHeight="1" ht="14.25">
      <c r="A240" s="103">
        <v>-481</v>
      </c>
    </row>
    <row customHeight="1" ht="14.25">
      <c r="A241" s="103"/>
    </row>
    <row customHeight="1" ht="14.25">
      <c r="A242" s="103"/>
    </row>
    <row customHeight="1" ht="14.25">
      <c r="A243" s="103"/>
    </row>
    <row customHeight="1" ht="14.25">
      <c r="A244" s="103"/>
    </row>
    <row customHeight="1" ht="14.25">
      <c r="A245" s="103">
        <v>-204.47999999989415</v>
      </c>
    </row>
    <row customHeight="1" ht="14.25">
      <c r="A246" s="103">
        <v>-208.7399999999907</v>
      </c>
    </row>
    <row customHeight="1" ht="14.25">
      <c r="A247" s="103">
        <v>0.260000000005675</v>
      </c>
    </row>
    <row customHeight="1" ht="14.25">
      <c r="A248" s="103">
        <v>-208.3599999999861</v>
      </c>
    </row>
    <row customHeight="1" ht="14.25">
      <c r="A249" s="103">
        <v>-208</v>
      </c>
    </row>
    <row customHeight="1" ht="14.25">
      <c r="A250" s="103">
        <v>-0.580000000004475</v>
      </c>
    </row>
    <row customHeight="1" ht="14.25">
      <c r="A251" s="103">
        <v>0</v>
      </c>
    </row>
    <row customHeight="1" ht="14.25">
      <c r="A252" s="103">
        <v>0</v>
      </c>
    </row>
    <row customHeight="1" ht="14.25">
      <c r="A253" s="103"/>
    </row>
    <row customHeight="1" ht="14.25">
      <c r="A254" s="103"/>
    </row>
    <row customHeight="1" ht="14.25">
      <c r="A255" s="103">
        <v>-0.380000000000053</v>
      </c>
    </row>
    <row customHeight="1" ht="14.25">
      <c r="A256" s="103">
        <v>0.3399999999992368</v>
      </c>
    </row>
    <row customHeight="1" ht="14.25">
      <c r="A257" s="103"/>
    </row>
    <row customHeight="1" ht="14.25">
      <c r="A258" s="103">
        <v>0</v>
      </c>
    </row>
    <row customHeight="1" ht="14.25">
      <c r="A259" s="103"/>
    </row>
    <row customHeight="1" ht="14.25">
      <c r="A260" s="103">
        <v>0</v>
      </c>
    </row>
  </sheetData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原料油、成品收拨平衡表（本年累计）</vt:lpstr>
      <vt:lpstr>取值</vt:lpstr>
      <vt:lpstr>Sheet4</vt:lpstr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tong_zhigang</dc:creator>
  <cp:lastModifiedBy>dhc</cp:lastModifiedBy>
  <dcterms:created xsi:type="dcterms:W3CDTF">2015-06-05T18:19:00Z</dcterms:created>
  <dcterms:modified xsi:type="dcterms:W3CDTF">2023-07-05T05:52:17Z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{B5AAC3FC-2B43-4216-A8CF-641822008C2B}</vt:lpwstr>
  </property>
  <property fmtid="{D5CDD505-2E9C-101B-9397-08002B2CF9AE}" pid="3" name="ICV">
    <vt:lpwstr>4D71869BFA9B444396ECF7C75BD17D33_12</vt:lpwstr>
  </property>
  <property fmtid="{D5CDD505-2E9C-101B-9397-08002B2CF9AE}" pid="4" name="KSOProductBuildVer">
    <vt:lpwstr>2052-11.1.0.14309</vt:lpwstr>
  </property>
</Properties>
</file>