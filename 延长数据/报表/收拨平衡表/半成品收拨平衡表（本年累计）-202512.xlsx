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半成品收拨平衡表（本年累计）" sheetId="1" r:id="rId2"/>
    <sheet name="取值" sheetId="2" state="hidden" r:id="rId3"/>
  </sheets>
  <definedNames>
    <definedName name="_xlnm.Print_Titles" localSheetId="0">'半成品收拨平衡表（本年累计）'!$2:$5</definedName>
  </definedName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C64" authorId="0">
      <text>
        <r>
          <rPr>
            <b/>
            <sz val="9"/>
            <color indexed="81"/>
            <rFont val="宋体"/>
            <family val="2"/>
          </rPr>
          <t>#Input("延炼_半成品收拨平衡表（本年累计）_单位负责人",":key{{dw}}")</t>
        </r>
      </text>
    </comment>
    <comment ref="I64" authorId="0">
      <text>
        <r>
          <rPr>
            <b/>
            <sz val="9"/>
            <color indexed="81"/>
            <rFont val="宋体"/>
            <family val="2"/>
          </rPr>
          <t xml:space="preserve">#Input("延炼_半成品收拨平衡表（本年累计）_填报人",":key{{dw}}") </t>
        </r>
      </text>
    </comment>
  </commentList>
</comments>
</file>

<file path=xl/sharedStrings.xml><?xml version="1.0" encoding="utf-8"?>
<sst xmlns="http://schemas.openxmlformats.org/spreadsheetml/2006/main" count="167" uniqueCount="97">
  <si>
    <t>半成品收拨平衡表（本年累计）</t>
  </si>
  <si>
    <t>填报单位：延安炼油厂</t>
  </si>
  <si>
    <t>日期：</t>
  </si>
  <si>
    <t>2025-12</t>
  </si>
  <si>
    <t xml:space="preserve"> 陕油炼计统B206表</t>
  </si>
  <si>
    <t>指标名称</t>
  </si>
  <si>
    <t>单位</t>
  </si>
  <si>
    <t>期初</t>
  </si>
  <si>
    <t>外购量</t>
  </si>
  <si>
    <t>生产量</t>
  </si>
  <si>
    <t>成品</t>
  </si>
  <si>
    <t>装置</t>
  </si>
  <si>
    <t>销售</t>
  </si>
  <si>
    <t>油品</t>
  </si>
  <si>
    <t>生产</t>
  </si>
  <si>
    <t>内部调拨量</t>
  </si>
  <si>
    <t>内移量</t>
  </si>
  <si>
    <t>盈（+）</t>
  </si>
  <si>
    <t>期末</t>
  </si>
  <si>
    <t>备  注</t>
  </si>
  <si>
    <t>库存</t>
  </si>
  <si>
    <t>交库</t>
  </si>
  <si>
    <t>加工量</t>
  </si>
  <si>
    <t>调合</t>
  </si>
  <si>
    <t>自用</t>
  </si>
  <si>
    <t>调入</t>
  </si>
  <si>
    <t>调出</t>
  </si>
  <si>
    <t>移进</t>
  </si>
  <si>
    <t>移出</t>
  </si>
  <si>
    <t>亏（-）</t>
  </si>
  <si>
    <t>一、汽油</t>
  </si>
  <si>
    <t>吨</t>
  </si>
  <si>
    <t/>
  </si>
  <si>
    <t xml:space="preserve">    常压石脑油</t>
  </si>
  <si>
    <t xml:space="preserve">    重整精制油</t>
  </si>
  <si>
    <t xml:space="preserve">    MTBE</t>
  </si>
  <si>
    <t xml:space="preserve">    二甲苯</t>
  </si>
  <si>
    <t xml:space="preserve">    催化汽油</t>
  </si>
  <si>
    <t xml:space="preserve">    重整汽油</t>
  </si>
  <si>
    <t xml:space="preserve">    加氢粗汽油</t>
  </si>
  <si>
    <t xml:space="preserve">    航煤粗汽油</t>
  </si>
  <si>
    <t xml:space="preserve">    抽提汽油（非芳烃）</t>
  </si>
  <si>
    <t xml:space="preserve">    C6馏分</t>
  </si>
  <si>
    <t xml:space="preserve">    二甲苯塔底油</t>
  </si>
  <si>
    <t xml:space="preserve">    石脑油号Ⅱ（拔头油）</t>
  </si>
  <si>
    <t xml:space="preserve">    戊烷</t>
  </si>
  <si>
    <t xml:space="preserve">    甲苯</t>
  </si>
  <si>
    <t xml:space="preserve">    丙苯</t>
  </si>
  <si>
    <t xml:space="preserve">    高沸物</t>
  </si>
  <si>
    <t xml:space="preserve">    精制汽油</t>
  </si>
  <si>
    <t xml:space="preserve">    DCC脱戊烷油</t>
  </si>
  <si>
    <t xml:space="preserve">    油煤石脑油</t>
  </si>
  <si>
    <t xml:space="preserve">    异辛烷组分</t>
  </si>
  <si>
    <t>二、柴油</t>
  </si>
  <si>
    <t xml:space="preserve">    常压柴油</t>
  </si>
  <si>
    <t xml:space="preserve">    催化柴油</t>
  </si>
  <si>
    <t xml:space="preserve">    加氢柴油</t>
  </si>
  <si>
    <t xml:space="preserve">    精制柴油</t>
  </si>
  <si>
    <t xml:space="preserve">    油煤柴油</t>
  </si>
  <si>
    <t xml:space="preserve"> （航煤原料）常一线</t>
  </si>
  <si>
    <t xml:space="preserve">    军柴原料</t>
  </si>
  <si>
    <t xml:space="preserve">    常三线</t>
  </si>
  <si>
    <t xml:space="preserve">    半成品航煤</t>
  </si>
  <si>
    <t>三、液化气</t>
  </si>
  <si>
    <t xml:space="preserve">    常压液化气</t>
  </si>
  <si>
    <t xml:space="preserve">    催化液化气</t>
  </si>
  <si>
    <t xml:space="preserve">    苯乙烯液化气</t>
  </si>
  <si>
    <t xml:space="preserve">    重整液化气</t>
  </si>
  <si>
    <t xml:space="preserve">    精制液化气</t>
  </si>
  <si>
    <t xml:space="preserve">    加氢液化气</t>
  </si>
  <si>
    <t xml:space="preserve">    丙烷</t>
  </si>
  <si>
    <t xml:space="preserve">    气分碳四</t>
  </si>
  <si>
    <t xml:space="preserve">    醚后碳四</t>
  </si>
  <si>
    <t xml:space="preserve">    丙烯</t>
  </si>
  <si>
    <t xml:space="preserve">    酯后碳四</t>
  </si>
  <si>
    <t xml:space="preserve">    DCC液化气</t>
  </si>
  <si>
    <t xml:space="preserve">    烷基化碳四</t>
  </si>
  <si>
    <t xml:space="preserve">    正丁烷</t>
  </si>
  <si>
    <t xml:space="preserve">    异丁烷</t>
  </si>
  <si>
    <t xml:space="preserve">    民用液化气</t>
  </si>
  <si>
    <t xml:space="preserve">    饱和液化气</t>
  </si>
  <si>
    <t xml:space="preserve">    富异丁烯碳四</t>
  </si>
  <si>
    <t xml:space="preserve">    再生碳四</t>
  </si>
  <si>
    <t>四、苯</t>
  </si>
  <si>
    <t>五、烃化液</t>
  </si>
  <si>
    <t>六、乙苯</t>
  </si>
  <si>
    <t>七、脱氢液</t>
  </si>
  <si>
    <t>八、C8（粗脂）</t>
  </si>
  <si>
    <t>九、C12</t>
  </si>
  <si>
    <t>十、污油</t>
  </si>
  <si>
    <t>单位负责人：</t>
  </si>
  <si>
    <t>王静</t>
  </si>
  <si>
    <t>填报人：</t>
  </si>
  <si>
    <t>黄宏飞</t>
  </si>
  <si>
    <t>报出日期：</t>
  </si>
  <si>
    <t>报表生成时间：</t>
  </si>
  <si>
    <t xml:space="preserve"> 8:00:00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</si>
</sst>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#"/>
    <numFmt numFmtId="172" formatCode="yyyy\-mm\-dd"/>
  </numFmts>
  <fonts count="23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sz val="10"/>
      <color auto="1"/>
      <name val="Arial"/>
    </font>
    <font>
      <sz val="11"/>
      <color rgb="FF000000"/>
      <name val="等线"/>
    </font>
    <font>
      <sz val="11"/>
      <color theme="1"/>
      <name val="等线"/>
    </font>
    <font>
      <sz val="11"/>
      <color rgb="FF000000"/>
      <name val="Calibri"/>
      <scheme val="minor"/>
    </font>
    <font>
      <b/>
      <sz val="18"/>
      <color auto="1"/>
      <name val="等线"/>
    </font>
  </fonts>
  <fills count="34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</patternFill>
    </fill>
  </fills>
  <borders count="32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</borders>
  <cellStyleXfs count="49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  <xf numFmtId="0" fontId="0" fillId="0" borderId="0" applyFont="1" applyFill="0" applyBorder="0"/>
    <xf numFmtId="0" fontId="18" fillId="0" borderId="0" applyFont="1" applyFill="0" applyBorder="0"/>
  </cellStyleXfs>
  <cellXfs count="196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0" fillId="0" borderId="0" xfId="47" applyFont="1"/>
    <xf numFmtId="0" fontId="18" fillId="0" borderId="0" xfId="48" applyFont="1"/>
    <xf numFmtId="0" fontId="0" fillId="33" borderId="0" xfId="0" applyFont="1" applyFill="1"/>
    <xf numFmtId="2" fontId="19" fillId="0" borderId="10" xfId="0" applyFont="1" applyBorder="1" applyNumberFormat="1">
      <alignment horizontal="center" vertical="center" wrapText="1"/>
    </xf>
    <xf numFmtId="2" fontId="19" fillId="0" borderId="11" xfId="48" applyFont="1" applyBorder="1" applyNumberFormat="1">
      <alignment horizontal="left" vertical="center"/>
    </xf>
    <xf numFmtId="2" fontId="19" fillId="0" borderId="12" xfId="48" applyFont="1" applyBorder="1" applyNumberFormat="1">
      <alignment horizontal="center" vertical="center"/>
    </xf>
    <xf numFmtId="2" fontId="19" fillId="0" borderId="13" xfId="0" applyFont="1" applyBorder="1" applyNumberFormat="1">
      <alignment vertical="center"/>
    </xf>
    <xf numFmtId="2" fontId="19" fillId="0" borderId="13" xfId="0" applyFont="1" applyBorder="1" applyNumberFormat="1">
      <alignment horizontal="right" vertical="center"/>
    </xf>
    <xf numFmtId="2" fontId="19" fillId="0" borderId="13" xfId="0" applyFont="1" applyBorder="1" applyNumberFormat="1">
      <alignment horizontal="right" vertical="center"/>
    </xf>
    <xf numFmtId="2" fontId="19" fillId="0" borderId="10" xfId="0" applyFont="1" applyBorder="1" applyNumberFormat="1">
      <alignment horizontal="center" vertical="center" wrapText="1"/>
    </xf>
    <xf numFmtId="2" fontId="19" fillId="0" borderId="11" xfId="0" applyFont="1" applyBorder="1" applyNumberFormat="1">
      <alignment horizontal="left"/>
    </xf>
    <xf numFmtId="2" fontId="19" fillId="0" borderId="11" xfId="0" applyFont="1" applyBorder="1" applyNumberFormat="1">
      <alignment horizontal="left" vertical="center"/>
    </xf>
    <xf numFmtId="2" fontId="19" fillId="0" borderId="12" xfId="0" applyFont="1" applyBorder="1" applyNumberFormat="1">
      <alignment horizontal="center" vertical="center"/>
    </xf>
    <xf numFmtId="2" fontId="19" fillId="0" borderId="0" xfId="0" applyFont="1" applyNumberFormat="1">
      <alignment horizontal="center" vertical="center"/>
    </xf>
    <xf numFmtId="2" fontId="19" fillId="0" borderId="14" xfId="0" applyFont="1" applyBorder="1" applyNumberFormat="1">
      <alignment horizontal="center" vertical="center"/>
    </xf>
    <xf numFmtId="2" fontId="19" fillId="0" borderId="0" xfId="0" applyFont="1" applyNumberFormat="1">
      <alignment horizontal="center" vertical="center" wrapText="1"/>
    </xf>
    <xf numFmtId="2" fontId="19" fillId="0" borderId="15" xfId="0" applyFont="1" applyBorder="1" applyNumberFormat="1">
      <alignment horizontal="center" vertical="center"/>
    </xf>
    <xf numFmtId="2" fontId="19" fillId="0" borderId="16" xfId="0" applyFont="1" applyBorder="1" applyNumberFormat="1">
      <alignment horizontal="left" vertical="center"/>
    </xf>
    <xf numFmtId="2" fontId="19" fillId="0" borderId="17" xfId="0" applyFont="1" applyBorder="1" applyNumberFormat="1">
      <alignment horizontal="center" vertical="center"/>
    </xf>
    <xf numFmtId="0" fontId="0" fillId="33" borderId="0" xfId="0" applyFont="1" applyFill="1"/>
    <xf numFmtId="171" fontId="19" fillId="0" borderId="12" xfId="0" applyFont="1" applyBorder="1" applyNumberFormat="1">
      <alignment horizontal="right" vertical="center"/>
    </xf>
    <xf numFmtId="171" fontId="19" fillId="0" borderId="18" xfId="0" applyFont="1" applyBorder="1" applyNumberFormat="1">
      <alignment horizontal="left" vertical="center"/>
    </xf>
    <xf numFmtId="171" fontId="19" fillId="0" borderId="18" xfId="0" applyFont="1" applyBorder="1" applyNumberFormat="1">
      <alignment horizontal="right" vertical="center"/>
    </xf>
    <xf numFmtId="171" fontId="19" fillId="0" borderId="17" xfId="0" applyFont="1" applyBorder="1" applyNumberFormat="1">
      <alignment horizontal="right" vertical="center"/>
    </xf>
    <xf numFmtId="171" fontId="19" fillId="0" borderId="19" xfId="0" applyFont="1" applyBorder="1" applyNumberFormat="1">
      <alignment horizontal="right" vertical="center"/>
    </xf>
    <xf numFmtId="2" fontId="19" fillId="0" borderId="20" xfId="47" applyFont="1" applyBorder="1" applyNumberFormat="1">
      <alignment horizontal="right" vertical="center"/>
    </xf>
    <xf numFmtId="0" fontId="20" fillId="0" borderId="20" xfId="0" applyFont="1" applyBorder="1"/>
    <xf numFmtId="0" fontId="20" fillId="0" borderId="20" xfId="0" applyFont="1" applyBorder="1">
      <alignment horizontal="right" vertical="center"/>
    </xf>
    <xf numFmtId="172" fontId="20" fillId="0" borderId="20" xfId="0" applyFont="1" applyBorder="1" applyNumberFormat="1">
      <alignment horizontal="left" vertical="center"/>
    </xf>
    <xf numFmtId="0" fontId="21" fillId="0" borderId="0" xfId="0" applyFont="1">
      <alignment vertical="top"/>
    </xf>
    <xf numFmtId="172" fontId="21" fillId="0" borderId="0" xfId="0" applyFont="1" applyNumberFormat="1">
      <alignment vertical="top"/>
    </xf>
    <xf numFmtId="172" fontId="0" fillId="0" borderId="0" xfId="0" applyFont="1" applyNumberFormat="1"/>
    <xf numFmtId="2" fontId="19" fillId="0" borderId="21" xfId="0" applyFont="1" applyBorder="1" applyNumberFormat="1">
      <alignment vertical="center"/>
    </xf>
    <xf numFmtId="2" fontId="22" fillId="0" borderId="22" xfId="0" applyFont="1" applyBorder="1" applyNumberFormat="1">
      <alignment horizontal="center" vertical="center"/>
    </xf>
    <xf numFmtId="2" fontId="22" fillId="0" borderId="23" xfId="0" applyFont="1" applyBorder="1" applyNumberFormat="1">
      <alignment horizontal="center" vertical="center"/>
    </xf>
    <xf numFmtId="2" fontId="22" fillId="0" borderId="24" xfId="0" applyFont="1" applyBorder="1" applyNumberFormat="1">
      <alignment horizontal="center" vertical="center"/>
    </xf>
    <xf numFmtId="0" fontId="20" fillId="7" borderId="20" xfId="0" applyFont="1" applyFill="1" applyBorder="1">
      <alignment horizontal="left" vertical="center"/>
    </xf>
    <xf numFmtId="0" fontId="20" fillId="0" borderId="20" xfId="0" applyFont="1" applyBorder="1">
      <alignment horizontal="right" vertical="center"/>
    </xf>
    <xf numFmtId="2" fontId="19" fillId="0" borderId="21" xfId="0" applyFont="1" applyBorder="1" applyNumberFormat="1">
      <alignment horizontal="left" vertical="center"/>
    </xf>
    <xf numFmtId="2" fontId="19" fillId="0" borderId="21" xfId="0" applyFont="1" applyBorder="1" applyNumberFormat="1">
      <alignment horizontal="right" vertical="center"/>
    </xf>
    <xf numFmtId="2" fontId="19" fillId="0" borderId="12" xfId="0" applyFont="1" applyBorder="1" applyNumberFormat="1">
      <alignment horizontal="center" vertical="center" wrapText="1"/>
    </xf>
    <xf numFmtId="2" fontId="19" fillId="0" borderId="18" xfId="0" applyFont="1" applyBorder="1" applyNumberFormat="1">
      <alignment horizontal="center" vertical="center" wrapText="1"/>
    </xf>
    <xf numFmtId="2" fontId="19" fillId="0" borderId="25" xfId="0" applyFont="1" applyBorder="1" applyNumberFormat="1">
      <alignment horizontal="center" vertical="center" wrapText="1"/>
    </xf>
    <xf numFmtId="2" fontId="19" fillId="0" borderId="13" xfId="0" applyFont="1" applyBorder="1" applyNumberFormat="1">
      <alignment horizontal="right" vertical="center"/>
    </xf>
    <xf numFmtId="2" fontId="19" fillId="0" borderId="26" xfId="0" applyFont="1" applyBorder="1" applyNumberFormat="1">
      <alignment horizontal="right" vertical="center"/>
    </xf>
    <xf numFmtId="2" fontId="19" fillId="0" borderId="11" xfId="0" applyFont="1" applyBorder="1" applyNumberFormat="1">
      <alignment horizontal="center" vertical="center" wrapText="1"/>
    </xf>
    <xf numFmtId="2" fontId="19" fillId="0" borderId="27" xfId="0" applyFont="1" applyBorder="1" applyNumberFormat="1">
      <alignment horizontal="center" vertical="center" wrapText="1"/>
    </xf>
    <xf numFmtId="2" fontId="19" fillId="0" borderId="28" xfId="0" applyFont="1" applyBorder="1" applyNumberFormat="1">
      <alignment horizontal="center" vertical="center" wrapText="1"/>
    </xf>
    <xf numFmtId="2" fontId="19" fillId="0" borderId="29" xfId="0" applyFont="1" applyBorder="1" applyNumberFormat="1">
      <alignment horizontal="center" vertical="center" wrapText="1"/>
    </xf>
    <xf numFmtId="2" fontId="19" fillId="0" borderId="30" xfId="0" applyFont="1" applyBorder="1" applyNumberFormat="1">
      <alignment horizontal="center" vertical="center" wrapText="1"/>
    </xf>
    <xf numFmtId="2" fontId="19" fillId="0" borderId="31" xfId="0" applyFont="1" applyBorder="1" applyNumberFormat="1">
      <alignment horizontal="left" vertical="center"/>
    </xf>
    <xf numFmtId="0" fontId="0" fillId="0" borderId="0" xfId="0" applyFont="1">
      <alignment wrapText="1"/>
    </xf>
    <xf numFmtId="0" fontId="0" fillId="0" borderId="0" xfId="47" applyFont="1">
      <alignment wrapText="1"/>
    </xf>
    <xf numFmtId="2" fontId="22" fillId="0" borderId="22" xfId="0" applyFont="1" applyBorder="1" applyNumberFormat="1">
      <alignment horizontal="center" vertical="center" wrapText="1"/>
    </xf>
    <xf numFmtId="2" fontId="22" fillId="0" borderId="23" xfId="0" applyFont="1" applyBorder="1" applyNumberFormat="1">
      <alignment horizontal="center" vertical="center" wrapText="1"/>
    </xf>
    <xf numFmtId="2" fontId="22" fillId="0" borderId="24" xfId="0" applyFont="1" applyBorder="1" applyNumberFormat="1">
      <alignment horizontal="center" vertical="center" wrapText="1"/>
    </xf>
    <xf numFmtId="2" fontId="19" fillId="0" borderId="31" xfId="0" applyFont="1" applyBorder="1" applyNumberFormat="1">
      <alignment horizontal="left" vertical="center" wrapText="1"/>
    </xf>
    <xf numFmtId="2" fontId="19" fillId="0" borderId="21" xfId="0" applyFont="1" applyBorder="1" applyNumberFormat="1">
      <alignment horizontal="left" vertical="center" wrapText="1"/>
    </xf>
    <xf numFmtId="2" fontId="19" fillId="0" borderId="13" xfId="0" applyFont="1" applyBorder="1" applyNumberFormat="1">
      <alignment vertical="center" wrapText="1"/>
    </xf>
    <xf numFmtId="2" fontId="19" fillId="0" borderId="13" xfId="0" applyFont="1" applyBorder="1" applyNumberFormat="1">
      <alignment horizontal="right" vertical="center" wrapText="1"/>
    </xf>
    <xf numFmtId="2" fontId="19" fillId="0" borderId="13" xfId="0" applyFont="1" applyBorder="1" applyNumberFormat="1">
      <alignment horizontal="right" vertical="center" wrapText="1"/>
    </xf>
    <xf numFmtId="2" fontId="19" fillId="0" borderId="21" xfId="0" applyFont="1" applyBorder="1" applyNumberFormat="1">
      <alignment vertical="center" wrapText="1"/>
    </xf>
    <xf numFmtId="2" fontId="19" fillId="0" borderId="21" xfId="0" applyFont="1" applyBorder="1" applyNumberFormat="1">
      <alignment horizontal="right" vertical="center" wrapText="1"/>
    </xf>
    <xf numFmtId="2" fontId="19" fillId="0" borderId="13" xfId="0" applyFont="1" applyBorder="1" applyNumberFormat="1">
      <alignment horizontal="right" vertical="center" wrapText="1"/>
    </xf>
    <xf numFmtId="2" fontId="19" fillId="0" borderId="26" xfId="0" applyFont="1" applyBorder="1" applyNumberFormat="1">
      <alignment horizontal="right" vertical="center" wrapText="1"/>
    </xf>
    <xf numFmtId="2" fontId="19" fillId="0" borderId="11" xfId="0" applyFont="1" applyBorder="1" applyNumberFormat="1">
      <alignment horizontal="center" vertical="center" wrapText="1"/>
    </xf>
    <xf numFmtId="2" fontId="19" fillId="0" borderId="12" xfId="0" applyFont="1" applyBorder="1" applyNumberFormat="1">
      <alignment horizontal="center" vertical="center" wrapText="1"/>
    </xf>
    <xf numFmtId="2" fontId="19" fillId="0" borderId="10" xfId="0" applyFont="1" applyBorder="1" applyNumberFormat="1">
      <alignment horizontal="center" vertical="center" wrapText="1"/>
    </xf>
    <xf numFmtId="2" fontId="19" fillId="0" borderId="29" xfId="0" applyFont="1" applyBorder="1" applyNumberFormat="1">
      <alignment horizontal="center" vertical="center" wrapText="1"/>
    </xf>
    <xf numFmtId="2" fontId="19" fillId="0" borderId="30" xfId="0" applyFont="1" applyBorder="1" applyNumberFormat="1">
      <alignment horizontal="center" vertical="center" wrapText="1"/>
    </xf>
    <xf numFmtId="2" fontId="19" fillId="0" borderId="18" xfId="0" applyFont="1" applyBorder="1" applyNumberFormat="1">
      <alignment horizontal="center" vertical="center" wrapText="1"/>
    </xf>
    <xf numFmtId="2" fontId="19" fillId="0" borderId="27" xfId="0" applyFont="1" applyBorder="1" applyNumberFormat="1">
      <alignment horizontal="center" vertical="center" wrapText="1"/>
    </xf>
    <xf numFmtId="2" fontId="19" fillId="0" borderId="28" xfId="0" applyFont="1" applyBorder="1" applyNumberFormat="1">
      <alignment horizontal="center" vertical="center" wrapText="1"/>
    </xf>
    <xf numFmtId="2" fontId="19" fillId="0" borderId="0" xfId="0" applyFont="1" applyNumberFormat="1">
      <alignment horizontal="center" vertical="center" wrapText="1"/>
    </xf>
    <xf numFmtId="2" fontId="19" fillId="0" borderId="14" xfId="0" applyFont="1" applyBorder="1" applyNumberFormat="1">
      <alignment horizontal="center" vertical="center" wrapText="1"/>
    </xf>
    <xf numFmtId="2" fontId="19" fillId="0" borderId="10" xfId="0" applyFont="1" applyBorder="1" applyNumberFormat="1">
      <alignment horizontal="center" vertical="center" wrapText="1"/>
    </xf>
    <xf numFmtId="2" fontId="19" fillId="0" borderId="0" xfId="0" applyFont="1" applyNumberFormat="1">
      <alignment horizontal="center" vertical="center" wrapText="1"/>
    </xf>
    <xf numFmtId="2" fontId="19" fillId="0" borderId="15" xfId="0" applyFont="1" applyBorder="1" applyNumberFormat="1">
      <alignment horizontal="center" vertical="center" wrapText="1"/>
    </xf>
    <xf numFmtId="2" fontId="19" fillId="0" borderId="25" xfId="0" applyFont="1" applyBorder="1" applyNumberFormat="1">
      <alignment horizontal="center" vertical="center" wrapText="1"/>
    </xf>
    <xf numFmtId="2" fontId="19" fillId="0" borderId="11" xfId="0" applyFont="1" applyBorder="1" applyNumberFormat="1">
      <alignment horizontal="left" vertical="center" wrapText="1"/>
    </xf>
    <xf numFmtId="2" fontId="19" fillId="0" borderId="12" xfId="0" applyFont="1" applyBorder="1" applyNumberFormat="1">
      <alignment horizontal="center" vertical="center" wrapText="1"/>
    </xf>
    <xf numFmtId="171" fontId="19" fillId="0" borderId="12" xfId="0" applyFont="1" applyBorder="1" applyNumberFormat="1">
      <alignment horizontal="right" vertical="center" wrapText="1"/>
    </xf>
    <xf numFmtId="171" fontId="19" fillId="0" borderId="18" xfId="0" applyFont="1" applyBorder="1" applyNumberFormat="1">
      <alignment horizontal="left" vertical="center" wrapText="1"/>
    </xf>
    <xf numFmtId="171" fontId="19" fillId="0" borderId="18" xfId="0" applyFont="1" applyBorder="1" applyNumberFormat="1">
      <alignment horizontal="right" vertical="center"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2" fontId="19" fillId="0" borderId="11" xfId="0" applyFont="1" applyBorder="1" applyNumberFormat="1">
      <alignment horizontal="left"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2" fontId="19" fillId="0" borderId="11" xfId="0" applyFont="1" applyBorder="1" applyNumberFormat="1">
      <alignment horizontal="left" vertical="center" wrapText="1"/>
    </xf>
    <xf numFmtId="2" fontId="19" fillId="0" borderId="12" xfId="0" applyFont="1" applyBorder="1" applyNumberFormat="1">
      <alignment horizontal="center" vertical="center"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2" fontId="19" fillId="0" borderId="16" xfId="0" applyFont="1" applyBorder="1" applyNumberFormat="1">
      <alignment horizontal="left" vertical="center" wrapText="1"/>
    </xf>
    <xf numFmtId="2" fontId="19" fillId="0" borderId="17" xfId="0" applyFont="1" applyBorder="1" applyNumberFormat="1">
      <alignment horizontal="center" vertical="center" wrapText="1"/>
    </xf>
    <xf numFmtId="171" fontId="19" fillId="0" borderId="17" xfId="0" applyFont="1" applyBorder="1" applyNumberFormat="1">
      <alignment horizontal="right" vertical="center" wrapText="1"/>
    </xf>
    <xf numFmtId="171" fontId="19" fillId="0" borderId="19" xfId="0" applyFont="1" applyBorder="1" applyNumberFormat="1">
      <alignment horizontal="right" vertical="center" wrapText="1"/>
    </xf>
    <xf numFmtId="0" fontId="0" fillId="0" borderId="0" xfId="0" applyFont="1"/>
    <xf numFmtId="2" fontId="19" fillId="0" borderId="20" xfId="0" applyFont="1" applyBorder="1" applyNumberFormat="1">
      <alignment horizontal="right" vertical="center" wrapText="1"/>
    </xf>
    <xf numFmtId="0" fontId="20" fillId="7" borderId="20" xfId="0" applyFont="1" applyFill="1" applyBorder="1">
      <alignment horizontal="left" vertical="center" wrapText="1"/>
      <protection locked="0"/>
    </xf>
    <xf numFmtId="0" fontId="20" fillId="7" borderId="20" xfId="0" applyFont="1" applyFill="1" applyBorder="1">
      <alignment horizontal="left" vertical="center" wrapText="1"/>
    </xf>
    <xf numFmtId="0" fontId="20" fillId="0" borderId="20" xfId="0" applyFont="1" applyBorder="1">
      <alignment wrapText="1"/>
    </xf>
    <xf numFmtId="0" fontId="20" fillId="0" borderId="20" xfId="0" applyFont="1" applyBorder="1">
      <alignment horizontal="right" vertical="center" wrapText="1"/>
    </xf>
    <xf numFmtId="0" fontId="20" fillId="0" borderId="20" xfId="0" applyFont="1" applyBorder="1">
      <alignment horizontal="right" vertical="center" wrapText="1"/>
    </xf>
    <xf numFmtId="172" fontId="20" fillId="0" borderId="20" xfId="0" applyFont="1" applyBorder="1" applyNumberFormat="1">
      <alignment horizontal="left" vertical="center"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>
      <alignment wrapText="1"/>
    </xf>
    <xf numFmtId="0" fontId="0" fillId="0" borderId="0" xfId="0" applyFont="1">
      <alignment wrapText="1"/>
    </xf>
    <xf numFmtId="0" fontId="21" fillId="0" borderId="0" xfId="0" applyFont="1">
      <alignment vertical="top" wrapText="1"/>
    </xf>
    <xf numFmtId="172" fontId="21" fillId="0" borderId="0" xfId="0" applyFont="1" applyNumberFormat="1">
      <alignment vertical="top" wrapText="1"/>
    </xf>
    <xf numFmtId="172" fontId="0" fillId="0" borderId="0" xfId="0" applyFont="1" applyNumberFormat="1">
      <alignment wrapText="1"/>
    </xf>
    <xf numFmtId="0" fontId="0" fillId="33" borderId="0" xfId="0" applyFont="1" applyFill="1">
      <alignment wrapText="1"/>
    </xf>
    <xf numFmtId="0" fontId="0" fillId="0" borderId="0" xfId="0" applyFont="1">
      <alignment wrapText="1"/>
    </xf>
    <xf numFmtId="0" fontId="0" fillId="0" borderId="0" xfId="0" applyFont="1"/>
    <xf numFmtId="0" fontId="0" fillId="33" borderId="0" xfId="0" applyFont="1" applyFill="1">
      <alignment wrapText="1"/>
    </xf>
    <xf numFmtId="0" fontId="0" fillId="0" borderId="0" xfId="0" applyFont="1">
      <alignment wrapText="1"/>
    </xf>
    <xf numFmtId="0" fontId="0" fillId="0" borderId="0" xfId="0" applyFont="1">
      <alignment wrapText="1"/>
    </xf>
    <xf numFmtId="0" fontId="0" fillId="0" borderId="0" xfId="0" applyFont="1"/>
    <xf numFmtId="0" fontId="0" fillId="0" borderId="0" xfId="0" applyFont="1">
      <alignment wrapText="1"/>
    </xf>
    <xf numFmtId="0" fontId="0" fillId="0" borderId="0" xfId="0" applyFont="1">
      <alignment wrapText="1"/>
    </xf>
  </cellXfs>
  <cellStyles count="49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  <cellStyle name="常规 2" xfId="47"/>
    <cellStyle name="常规 2 2" xfId="48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0E66E3A-92F5-BA18-299D-FE7608A5F1A8}" mc:Ignorable="x14ac xr xr2 xr3">
  <sheetPr>
    <pageSetUpPr fitToPage="1"/>
  </sheetPr>
  <dimension ref="A1:R64"/>
  <sheetViews>
    <sheetView defaultGridColor="0" colorId="31" showGridLines="0" zoomScale="105" workbookViewId="0" tabSelected="1">
      <pane xSplit="3" ySplit="5" topLeftCell="F21" activePane="bottomRight" state="frozen"/>
      <selection pane="bottomLeft" activeCell="A6" sqref="A6"/>
      <selection pane="topRight" activeCell="D1" sqref="D1"/>
      <selection pane="bottomRight" activeCell="A1" sqref="A1"/>
    </sheetView>
  </sheetViews>
  <sheetFormatPr customHeight="1" defaultRowHeight="14.152500000000002"/>
  <cols>
    <col min="1" max="1" style="165" width="2.57421875" customWidth="1"/>
    <col min="2" max="2" style="166" width="25.57421875" customWidth="1"/>
    <col min="3" max="3" style="47" width="8.57421875" customWidth="1"/>
    <col min="4" max="4" style="167" width="11.57421875" customWidth="1"/>
    <col min="5" max="5" style="168" width="11.57421875" customWidth="1"/>
    <col min="6" max="6" style="169" width="11.57421875" customWidth="1"/>
    <col min="7" max="7" style="170" width="11.57421875" customWidth="1"/>
    <col min="8" max="8" style="171" width="11.57421875" customWidth="1"/>
    <col min="9" max="9" style="172" width="11.57421875" customWidth="1"/>
    <col min="10" max="10" style="173" width="11.57421875" customWidth="1"/>
    <col min="11" max="11" style="174" width="11.57421875" customWidth="1"/>
    <col min="12" max="12" style="175" width="11.57421875" customWidth="1"/>
    <col min="13" max="13" style="176" width="11.57421875" customWidth="1"/>
    <col min="14" max="14" style="177" width="11.57421875" customWidth="1"/>
    <col min="15" max="15" style="178" width="11.57421875" customWidth="1"/>
    <col min="16" max="16" style="179" width="11.57421875" customWidth="1"/>
    <col min="17" max="17" style="180" width="11.57421875" customWidth="1"/>
    <col min="18" max="18" style="181" width="20.57421875" customWidth="1"/>
  </cols>
  <sheetData>
    <row customHeight="1" ht="2.25">
      <c r="A1" s="98"/>
      <c r="B1" s="98"/>
      <c r="C1" s="99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</row>
    <row customHeight="1" ht="27.75">
      <c r="A2" s="98"/>
      <c r="B2" s="100" t="s">
        <v>0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2"/>
    </row>
    <row customHeight="1" ht="18">
      <c r="A3" s="98"/>
      <c r="B3" s="103" t="s">
        <v>1</v>
      </c>
      <c r="C3" s="104"/>
      <c r="D3" s="105"/>
      <c r="E3" s="106"/>
      <c r="F3" s="107"/>
      <c r="G3" s="108"/>
      <c r="H3" s="109" t="s">
        <v>2</v>
      </c>
      <c r="I3" s="109"/>
      <c r="J3" s="104" t="s">
        <v>3</v>
      </c>
      <c r="K3" s="104"/>
      <c r="L3" s="108"/>
      <c r="M3" s="108"/>
      <c r="N3" s="108"/>
      <c r="O3" s="107"/>
      <c r="P3" s="110" t="s">
        <v>4</v>
      </c>
      <c r="Q3" s="110" t="s">
        <v>4</v>
      </c>
      <c r="R3" s="111" t="s">
        <v>4</v>
      </c>
    </row>
    <row customHeight="1" ht="18">
      <c r="A4" s="98"/>
      <c r="B4" s="92" t="s">
        <v>5</v>
      </c>
      <c r="C4" s="87" t="s">
        <v>6</v>
      </c>
      <c r="D4" s="50" t="s">
        <v>7</v>
      </c>
      <c r="E4" s="87" t="s">
        <v>8</v>
      </c>
      <c r="F4" s="87" t="s">
        <v>9</v>
      </c>
      <c r="G4" s="50" t="s">
        <v>10</v>
      </c>
      <c r="H4" s="50" t="s">
        <v>11</v>
      </c>
      <c r="I4" s="87" t="s">
        <v>12</v>
      </c>
      <c r="J4" s="50" t="s">
        <v>13</v>
      </c>
      <c r="K4" s="50" t="s">
        <v>14</v>
      </c>
      <c r="L4" s="95" t="s">
        <v>15</v>
      </c>
      <c r="M4" s="96"/>
      <c r="N4" s="87" t="s">
        <v>16</v>
      </c>
      <c r="O4" s="87" t="s">
        <v>16</v>
      </c>
      <c r="P4" s="50" t="s">
        <v>17</v>
      </c>
      <c r="Q4" s="50" t="s">
        <v>18</v>
      </c>
      <c r="R4" s="88" t="s">
        <v>19</v>
      </c>
    </row>
    <row customHeight="1" ht="18">
      <c r="A5" s="98"/>
      <c r="B5" s="93" t="s">
        <v>5</v>
      </c>
      <c r="C5" s="94" t="s">
        <v>6</v>
      </c>
      <c r="D5" s="120" t="s">
        <v>20</v>
      </c>
      <c r="E5" s="94" t="s">
        <v>8</v>
      </c>
      <c r="F5" s="94" t="s">
        <v>9</v>
      </c>
      <c r="G5" s="120" t="s">
        <v>21</v>
      </c>
      <c r="H5" s="121" t="s">
        <v>22</v>
      </c>
      <c r="I5" s="94" t="s">
        <v>12</v>
      </c>
      <c r="J5" s="120" t="s">
        <v>23</v>
      </c>
      <c r="K5" s="121" t="s">
        <v>24</v>
      </c>
      <c r="L5" s="56" t="s">
        <v>25</v>
      </c>
      <c r="M5" s="56" t="s">
        <v>26</v>
      </c>
      <c r="N5" s="56" t="s">
        <v>27</v>
      </c>
      <c r="O5" s="56" t="s">
        <v>28</v>
      </c>
      <c r="P5" s="62" t="s">
        <v>29</v>
      </c>
      <c r="Q5" s="124" t="s">
        <v>20</v>
      </c>
      <c r="R5" s="89" t="s">
        <v>19</v>
      </c>
    </row>
    <row customHeight="1" ht="18">
      <c r="A6" s="98"/>
      <c r="B6" s="126" t="s">
        <v>30</v>
      </c>
      <c r="C6" s="127" t="s">
        <v>31</v>
      </c>
      <c r="D6" s="128">
        <f>IF(_xlfn.IFERROR(SUM(D7:D26),0)=0,"",_xlfn.IFERROR(SUM(D7:D26),0))</f>
        <v>27148</v>
      </c>
      <c r="E6" s="128">
        <f>IF(_xlfn.IFERROR(SUM(E7:E26),0)=0,"",_xlfn.IFERROR(SUM(E7:E26),0))</f>
        <v>23126.66</v>
      </c>
      <c r="F6" s="128">
        <f>IF(_xlfn.IFERROR(SUM(F7:F26),0)=0,"",_xlfn.IFERROR(SUM(F7:F26),0))</f>
        <v>2535501</v>
      </c>
      <c r="G6" s="128" t="str">
        <f>IF(_xlfn.IFERROR(SUM(G7:G26),0)=0,"",_xlfn.IFERROR(SUM(G7:G26),0))</f>
        <v/>
      </c>
      <c r="H6" s="128">
        <f>IF(_xlfn.IFERROR(SUM(H7:H26),0)=0,"",_xlfn.IFERROR(SUM(H7:H26),0))</f>
        <v>12140</v>
      </c>
      <c r="I6" s="128" t="str">
        <f>IF(_xlfn.IFERROR(SUM(I7:I26),0)=0,"",_xlfn.IFERROR(SUM(I7:I26),0))</f>
        <v/>
      </c>
      <c r="J6" s="128">
        <f>IF(_xlfn.IFERROR(SUM(J7:J26),0)=0,"",_xlfn.IFERROR(SUM(J7:J26),0))</f>
        <v>3187045</v>
      </c>
      <c r="K6" s="128" t="str">
        <f>IF(_xlfn.IFERROR(SUM(K7:K26),0)=0,"",_xlfn.IFERROR(SUM(K7:K26),0))</f>
        <v/>
      </c>
      <c r="L6" s="128">
        <f>IF(_xlfn.IFERROR(SUM(L7:L26),0)=0,"",_xlfn.IFERROR(SUM(L7:L26),0))</f>
        <v>3132877.92</v>
      </c>
      <c r="M6" s="128">
        <f>IF(_xlfn.IFERROR(SUM(M7:M26),0)=0,"",_xlfn.IFERROR(SUM(M7:M26),0))</f>
        <v>2485577</v>
      </c>
      <c r="N6" s="128">
        <f>IF(_xlfn.IFERROR(SUM(N7:N26),0)=0,"",_xlfn.IFERROR(SUM(N7:N26),0))</f>
        <v>19183</v>
      </c>
      <c r="O6" s="128">
        <f>IF(_xlfn.IFERROR(SUM(O7:O26),0)=0,"",_xlfn.IFERROR(SUM(O7:O26),0))</f>
        <v>19884</v>
      </c>
      <c r="P6" s="128">
        <f>_xlfn.IFERROR(SUM(P7:P26),0)</f>
        <v>-1772.18000000001</v>
      </c>
      <c r="Q6" s="128">
        <f>IF(_xlfn.IFERROR(SUM(Q7:Q26),0)=0,"",_xlfn.IFERROR(SUM(Q7:Q26),0))</f>
        <v>31418.4</v>
      </c>
      <c r="R6" s="129" t="s">
        <v>32</v>
      </c>
    </row>
    <row customHeight="1" ht="18">
      <c r="A7" s="98"/>
      <c r="B7" s="126" t="s">
        <v>33</v>
      </c>
      <c r="C7" s="127" t="s">
        <v>31</v>
      </c>
      <c r="D7" s="128">
        <f>取值!D7</f>
        <v>1492</v>
      </c>
      <c r="E7" s="128">
        <f>取值!E7</f>
        <v>0</v>
      </c>
      <c r="F7" s="128">
        <f>取值!F7</f>
        <v>950698</v>
      </c>
      <c r="G7" s="128">
        <f>取值!G7</f>
        <v>0</v>
      </c>
      <c r="H7" s="128">
        <f>取值!H7</f>
        <v>0</v>
      </c>
      <c r="I7" s="128">
        <f>取值!I7</f>
        <v>0</v>
      </c>
      <c r="J7" s="128">
        <f>取值!J7</f>
        <v>0</v>
      </c>
      <c r="K7" s="128">
        <f>取值!K7</f>
        <v>0</v>
      </c>
      <c r="L7" s="128">
        <f>取值!L7</f>
        <v>0</v>
      </c>
      <c r="M7" s="128">
        <f>取值!M7</f>
        <v>953346</v>
      </c>
      <c r="N7" s="128">
        <f>取值!N7</f>
        <v>8626</v>
      </c>
      <c r="O7" s="128">
        <f>取值!O7</f>
        <v>0</v>
      </c>
      <c r="P7" s="128">
        <f>-_xlfn.IFERROR(SUM(IF(D7="",0,D7),IF(E7="",0,E7),IF(F7="",0,F7),IF(G7="",0,G7),IF(L7="",0,L7),IF(N7="",0,N7))-SUM(IF(H7="",0,H7),IF(I7="",0,I7),IF(J7="",0,J7),IF(K7="",0,K7),IF(M7="",0,M7),IF(O7="",0,O7),IF(Q7="",0,Q7)),"")</f>
        <v>-95</v>
      </c>
      <c r="Q7" s="128">
        <f>取值!Q7</f>
        <v>7375</v>
      </c>
      <c r="R7" s="130" t="str">
        <f>IF(取值!R7=0,"",取值!R7)</f>
        <v/>
      </c>
    </row>
    <row s="131" customFormat="1" customHeight="1" ht="18">
      <c r="A8" s="98"/>
      <c r="B8" s="126" t="s">
        <v>34</v>
      </c>
      <c r="C8" s="127" t="s">
        <v>31</v>
      </c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30"/>
    </row>
    <row customHeight="1" ht="18">
      <c r="A9" s="98"/>
      <c r="B9" s="126" t="s">
        <v>35</v>
      </c>
      <c r="C9" s="127" t="s">
        <v>31</v>
      </c>
      <c r="D9" s="128">
        <f>取值!D14</f>
        <v>6222</v>
      </c>
      <c r="E9" s="128">
        <f>取值!E14</f>
        <v>9400.16</v>
      </c>
      <c r="F9" s="128">
        <f>取值!F14</f>
        <v>40319</v>
      </c>
      <c r="G9" s="128">
        <f>取值!G14</f>
        <v>0</v>
      </c>
      <c r="H9" s="128">
        <f>取值!H14</f>
        <v>0</v>
      </c>
      <c r="I9" s="128">
        <f>取值!I14</f>
        <v>0</v>
      </c>
      <c r="J9" s="128">
        <f>取值!J14</f>
        <v>266399</v>
      </c>
      <c r="K9" s="128">
        <f>取值!K14</f>
        <v>0</v>
      </c>
      <c r="L9" s="128">
        <f>取值!L14</f>
        <v>214664.6</v>
      </c>
      <c r="M9" s="128">
        <f>取值!M14</f>
        <v>0</v>
      </c>
      <c r="N9" s="128">
        <f>取值!N14</f>
        <v>0</v>
      </c>
      <c r="O9" s="128">
        <f>取值!O14</f>
        <v>767</v>
      </c>
      <c r="P9" s="128">
        <f>-_xlfn.IFERROR(SUM(IF(D9="",0,D9),IF(E9="",0,E9),IF(F9="",0,F9),IF(G9="",0,G9),IF(L9="",0,L9),IF(N9="",0,N9))-SUM(IF(H9="",0,H9),IF(I9="",0,I9),IF(J9="",0,J9),IF(K9="",0,K9),IF(M9="",0,M9),IF(O9="",0,O9),IF(Q9="",0,Q9)),"")</f>
        <v>0.239999999990687</v>
      </c>
      <c r="Q9" s="128">
        <f>取值!Q14</f>
        <v>3440</v>
      </c>
      <c r="R9" s="130" t="str">
        <f>IF(取值!R14=0,"",取值!R14)</f>
        <v/>
      </c>
    </row>
    <row customHeight="1" ht="18">
      <c r="A10" s="98"/>
      <c r="B10" s="126" t="s">
        <v>36</v>
      </c>
      <c r="C10" s="127" t="s">
        <v>31</v>
      </c>
      <c r="D10" s="128">
        <f>取值!D20</f>
        <v>2078</v>
      </c>
      <c r="E10" s="128">
        <f>取值!E20</f>
        <v>13726.5</v>
      </c>
      <c r="F10" s="128">
        <f>取值!F20</f>
        <v>0</v>
      </c>
      <c r="G10" s="128">
        <f>取值!G20</f>
        <v>0</v>
      </c>
      <c r="H10" s="128">
        <f>取值!H20</f>
        <v>0</v>
      </c>
      <c r="I10" s="128">
        <f>取值!I20</f>
        <v>0</v>
      </c>
      <c r="J10" s="128">
        <f>取值!J20</f>
        <v>27570</v>
      </c>
      <c r="K10" s="128">
        <f>取值!K20</f>
        <v>0</v>
      </c>
      <c r="L10" s="128">
        <f>取值!L20</f>
        <v>14644.32</v>
      </c>
      <c r="M10" s="128">
        <f>取值!M20</f>
        <v>0</v>
      </c>
      <c r="N10" s="128">
        <f>取值!N20</f>
        <v>767</v>
      </c>
      <c r="O10" s="128">
        <f>取值!O20</f>
        <v>0</v>
      </c>
      <c r="P10" s="128">
        <f>-_xlfn.IFERROR(SUM(IF(D10="",0,D10),IF(E10="",0,E10),IF(F10="",0,F10),IF(G10="",0,G10),IF(L10="",0,L10),IF(N10="",0,N10))-SUM(IF(H10="",0,H10),IF(I10="",0,I10),IF(J10="",0,J10),IF(K10="",0,K10),IF(M10="",0,M10),IF(O10="",0,O10),IF(Q10="",0,Q10)),"")</f>
        <v>-0.419999999998254</v>
      </c>
      <c r="Q10" s="128">
        <f>取值!Q20</f>
        <v>3645.4</v>
      </c>
      <c r="R10" s="130" t="str">
        <f>IF(取值!R20=0,"",取值!R20)</f>
        <v/>
      </c>
    </row>
    <row customHeight="1" ht="18">
      <c r="A11" s="98"/>
      <c r="B11" s="126" t="s">
        <v>37</v>
      </c>
      <c r="C11" s="127" t="s">
        <v>31</v>
      </c>
      <c r="D11" s="128">
        <f>取值!D8</f>
        <v>1217</v>
      </c>
      <c r="E11" s="128">
        <f>取值!E8</f>
        <v>0</v>
      </c>
      <c r="F11" s="128">
        <f>取值!F8</f>
        <v>1523017</v>
      </c>
      <c r="G11" s="128">
        <f>取值!G8</f>
        <v>0</v>
      </c>
      <c r="H11" s="128">
        <f>取值!H8</f>
        <v>0</v>
      </c>
      <c r="I11" s="128">
        <f>取值!I8</f>
        <v>0</v>
      </c>
      <c r="J11" s="128">
        <f>取值!J8</f>
        <v>0</v>
      </c>
      <c r="K11" s="128">
        <f>取值!K8</f>
        <v>0</v>
      </c>
      <c r="L11" s="128">
        <f>取值!L8</f>
        <v>0</v>
      </c>
      <c r="M11" s="128">
        <f>取值!M8</f>
        <v>1532231</v>
      </c>
      <c r="N11" s="128">
        <f>取值!N8</f>
        <v>9790</v>
      </c>
      <c r="O11" s="128">
        <f>取值!O8</f>
        <v>0</v>
      </c>
      <c r="P11" s="128">
        <f>-_xlfn.IFERROR(SUM(IF(D11="",0,D11),IF(E11="",0,E11),IF(F11="",0,F11),IF(G11="",0,G11),IF(L11="",0,L11),IF(N11="",0,N11))-SUM(IF(H11="",0,H11),IF(I11="",0,I11),IF(J11="",0,J11),IF(K11="",0,K11),IF(M11="",0,M11),IF(O11="",0,O11),IF(Q11="",0,Q11)),"")</f>
        <v>-130</v>
      </c>
      <c r="Q11" s="128">
        <f>取值!Q8</f>
        <v>1663</v>
      </c>
      <c r="R11" s="130" t="str">
        <f>IF(取值!R8=0,"",取值!R8)</f>
        <v/>
      </c>
    </row>
    <row customHeight="1" ht="18">
      <c r="A12" s="98"/>
      <c r="B12" s="126" t="s">
        <v>38</v>
      </c>
      <c r="C12" s="127" t="s">
        <v>31</v>
      </c>
      <c r="D12" s="128">
        <f>取值!D9</f>
        <v>4214</v>
      </c>
      <c r="E12" s="128">
        <f>取值!E9</f>
        <v>0</v>
      </c>
      <c r="F12" s="128">
        <f>取值!F9</f>
        <v>0</v>
      </c>
      <c r="G12" s="128">
        <f>取值!G9</f>
        <v>0</v>
      </c>
      <c r="H12" s="128">
        <f>取值!H9</f>
        <v>0</v>
      </c>
      <c r="I12" s="128">
        <f>取值!I9</f>
        <v>0</v>
      </c>
      <c r="J12" s="128">
        <f>取值!J9</f>
        <v>992028</v>
      </c>
      <c r="K12" s="128">
        <f>取值!K9</f>
        <v>0</v>
      </c>
      <c r="L12" s="128">
        <f>取值!L9</f>
        <v>992065</v>
      </c>
      <c r="M12" s="128">
        <f>取值!M9</f>
        <v>0</v>
      </c>
      <c r="N12" s="128">
        <f>取值!N9</f>
        <v>0</v>
      </c>
      <c r="O12" s="128">
        <f>取值!O9</f>
        <v>0</v>
      </c>
      <c r="P12" s="128">
        <f>-_xlfn.IFERROR(SUM(IF(D12="",0,D12),IF(E12="",0,E12),IF(F12="",0,F12),IF(G12="",0,G12),IF(L12="",0,L12),IF(N12="",0,N12))-SUM(IF(H12="",0,H12),IF(I12="",0,I12),IF(J12="",0,J12),IF(K12="",0,K12),IF(M12="",0,M12),IF(O12="",0,O12),IF(Q12="",0,Q12)),"")</f>
        <v>-609</v>
      </c>
      <c r="Q12" s="128">
        <f>取值!Q9</f>
        <v>3642</v>
      </c>
      <c r="R12" s="130" t="str">
        <f>IF(取值!R9=0,"",取值!R9)</f>
        <v/>
      </c>
    </row>
    <row s="132" customFormat="1" customHeight="1" ht="18">
      <c r="A13" s="98"/>
      <c r="B13" s="126" t="s">
        <v>39</v>
      </c>
      <c r="C13" s="127" t="s">
        <v>31</v>
      </c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30"/>
    </row>
    <row s="133" customFormat="1" customHeight="1" ht="18">
      <c r="A14" s="98"/>
      <c r="B14" s="126" t="s">
        <v>40</v>
      </c>
      <c r="C14" s="127" t="s">
        <v>31</v>
      </c>
      <c r="D14" s="128">
        <f>取值!D10</f>
        <v>0</v>
      </c>
      <c r="E14" s="128">
        <f>取值!E10</f>
        <v>0</v>
      </c>
      <c r="F14" s="128">
        <f>取值!F10</f>
        <v>4472</v>
      </c>
      <c r="G14" s="128">
        <f>取值!G10</f>
        <v>0</v>
      </c>
      <c r="H14" s="128">
        <f>取值!H10</f>
        <v>0</v>
      </c>
      <c r="I14" s="128">
        <f>取值!I10</f>
        <v>0</v>
      </c>
      <c r="J14" s="128">
        <f>取值!J10</f>
        <v>0</v>
      </c>
      <c r="K14" s="128">
        <f>取值!K10</f>
        <v>0</v>
      </c>
      <c r="L14" s="128">
        <f>取值!L10</f>
        <v>0</v>
      </c>
      <c r="M14" s="128">
        <f>取值!M10</f>
        <v>0</v>
      </c>
      <c r="N14" s="128">
        <f>取值!N10</f>
        <v>0</v>
      </c>
      <c r="O14" s="128">
        <f>取值!O10</f>
        <v>4472</v>
      </c>
      <c r="P14" s="128">
        <f>-_xlfn.IFERROR(SUM(IF(D14="",0,D14),IF(E14="",0,E14),IF(F14="",0,F14),IF(G14="",0,G14),IF(L14="",0,L14),IF(N14="",0,N14))-SUM(IF(H14="",0,H14),IF(I14="",0,I14),IF(J14="",0,J14),IF(K14="",0,K14),IF(M14="",0,M14),IF(O14="",0,O14),IF(Q14="",0,Q14)),"")</f>
        <v>0</v>
      </c>
      <c r="Q14" s="128">
        <f>取值!Q10</f>
        <v>0</v>
      </c>
      <c r="R14" s="130" t="str">
        <f>IF(取值!R10=0,"",取值!R10)</f>
        <v/>
      </c>
    </row>
    <row s="134" customFormat="1" customHeight="1" ht="18">
      <c r="A15" s="98"/>
      <c r="B15" s="126" t="s">
        <v>41</v>
      </c>
      <c r="C15" s="127" t="s">
        <v>31</v>
      </c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30"/>
    </row>
    <row s="135" customFormat="1" customHeight="1" ht="18">
      <c r="A16" s="98"/>
      <c r="B16" s="126" t="s">
        <v>42</v>
      </c>
      <c r="C16" s="127" t="s">
        <v>31</v>
      </c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30"/>
    </row>
    <row s="136" customFormat="1" customHeight="1" ht="18">
      <c r="A17" s="98"/>
      <c r="B17" s="126" t="s">
        <v>43</v>
      </c>
      <c r="C17" s="127" t="s">
        <v>31</v>
      </c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30"/>
    </row>
    <row customHeight="1" ht="18">
      <c r="A18" s="98"/>
      <c r="B18" s="126" t="s">
        <v>44</v>
      </c>
      <c r="C18" s="127" t="s">
        <v>31</v>
      </c>
      <c r="D18" s="128">
        <f>取值!D11</f>
        <v>0</v>
      </c>
      <c r="E18" s="128">
        <f>取值!E11</f>
        <v>0</v>
      </c>
      <c r="F18" s="128">
        <f>取值!F11</f>
        <v>0</v>
      </c>
      <c r="G18" s="128">
        <f>取值!G11</f>
        <v>0</v>
      </c>
      <c r="H18" s="128">
        <f>取值!H11</f>
        <v>0</v>
      </c>
      <c r="I18" s="128">
        <f>取值!I11</f>
        <v>0</v>
      </c>
      <c r="J18" s="128">
        <f>取值!J11</f>
        <v>259307</v>
      </c>
      <c r="K18" s="128">
        <f>取值!K11</f>
        <v>0</v>
      </c>
      <c r="L18" s="128">
        <f>取值!L11</f>
        <v>259307</v>
      </c>
      <c r="M18" s="128">
        <f>取值!M11</f>
        <v>0</v>
      </c>
      <c r="N18" s="128">
        <f>取值!N11</f>
        <v>0</v>
      </c>
      <c r="O18" s="128">
        <f>取值!O11</f>
        <v>0</v>
      </c>
      <c r="P18" s="128">
        <f>-_xlfn.IFERROR(SUM(IF(D18="",0,D18),IF(E18="",0,E18),IF(F18="",0,F18),IF(G18="",0,G18),IF(L18="",0,L18),IF(N18="",0,N18))-SUM(IF(H18="",0,H18),IF(I18="",0,I18),IF(J18="",0,J18),IF(K18="",0,K18),IF(M18="",0,M18),IF(O18="",0,O18),IF(Q18="",0,Q18)),"")</f>
        <v>0</v>
      </c>
      <c r="Q18" s="128">
        <f>取值!Q11</f>
        <v>0</v>
      </c>
      <c r="R18" s="130" t="str">
        <f>IF(取值!R11=0,"",取值!R11)</f>
        <v/>
      </c>
    </row>
    <row customHeight="1" ht="18">
      <c r="A19" s="98"/>
      <c r="B19" s="126" t="s">
        <v>45</v>
      </c>
      <c r="C19" s="127" t="s">
        <v>31</v>
      </c>
      <c r="D19" s="128">
        <f>取值!D13</f>
        <v>0</v>
      </c>
      <c r="E19" s="128">
        <f>取值!E13</f>
        <v>0</v>
      </c>
      <c r="F19" s="128">
        <f>取值!F13</f>
        <v>12140</v>
      </c>
      <c r="G19" s="128">
        <f>取值!G13</f>
        <v>0</v>
      </c>
      <c r="H19" s="128">
        <f>取值!H13</f>
        <v>12140</v>
      </c>
      <c r="I19" s="128">
        <f>取值!I13</f>
        <v>0</v>
      </c>
      <c r="J19" s="128">
        <f>取值!J13</f>
        <v>0</v>
      </c>
      <c r="K19" s="128">
        <f>取值!K13</f>
        <v>0</v>
      </c>
      <c r="L19" s="128">
        <f>取值!L13</f>
        <v>0</v>
      </c>
      <c r="M19" s="128">
        <f>取值!M13</f>
        <v>0</v>
      </c>
      <c r="N19" s="128">
        <f>取值!N13</f>
        <v>0</v>
      </c>
      <c r="O19" s="128">
        <f>取值!O13</f>
        <v>0</v>
      </c>
      <c r="P19" s="128">
        <f>-_xlfn.IFERROR(SUM(IF(D19="",0,D19),IF(E19="",0,E19),IF(F19="",0,F19),IF(G19="",0,G19),IF(L19="",0,L19),IF(N19="",0,N19))-SUM(IF(H19="",0,H19),IF(I19="",0,I19),IF(J19="",0,J19),IF(K19="",0,K19),IF(M19="",0,M19),IF(O19="",0,O19),IF(Q19="",0,Q19)),"")</f>
        <v>0</v>
      </c>
      <c r="Q19" s="128">
        <f>取值!Q13</f>
        <v>0</v>
      </c>
      <c r="R19" s="130" t="str">
        <f>IF(取值!R13=0,"",取值!R13)</f>
        <v/>
      </c>
    </row>
    <row customHeight="1" ht="18">
      <c r="A20" s="98"/>
      <c r="B20" s="126" t="s">
        <v>46</v>
      </c>
      <c r="C20" s="127" t="s">
        <v>31</v>
      </c>
      <c r="D20" s="128">
        <f>取值!D15</f>
        <v>0</v>
      </c>
      <c r="E20" s="128">
        <f>取值!E15</f>
        <v>0</v>
      </c>
      <c r="F20" s="128">
        <f>取值!F15</f>
        <v>1725</v>
      </c>
      <c r="G20" s="128">
        <f>取值!G15</f>
        <v>0</v>
      </c>
      <c r="H20" s="128">
        <f>取值!H15</f>
        <v>0</v>
      </c>
      <c r="I20" s="128">
        <f>取值!I15</f>
        <v>0</v>
      </c>
      <c r="J20" s="128">
        <f>取值!J15</f>
        <v>0</v>
      </c>
      <c r="K20" s="128">
        <f>取值!K15</f>
        <v>0</v>
      </c>
      <c r="L20" s="128">
        <f>取值!L15</f>
        <v>0</v>
      </c>
      <c r="M20" s="128">
        <f>取值!M15</f>
        <v>0</v>
      </c>
      <c r="N20" s="128">
        <f>取值!N15</f>
        <v>0</v>
      </c>
      <c r="O20" s="128">
        <f>取值!O15</f>
        <v>1725</v>
      </c>
      <c r="P20" s="128">
        <f>-_xlfn.IFERROR(SUM(IF(D20="",0,D20),IF(E20="",0,E20),IF(F20="",0,F20),IF(G20="",0,G20),IF(L20="",0,L20),IF(N20="",0,N20))-SUM(IF(H20="",0,H20),IF(I20="",0,I20),IF(J20="",0,J20),IF(K20="",0,K20),IF(M20="",0,M20),IF(O20="",0,O20),IF(Q20="",0,Q20)),"")</f>
        <v>0</v>
      </c>
      <c r="Q20" s="128">
        <f>取值!Q15</f>
        <v>0</v>
      </c>
      <c r="R20" s="130" t="str">
        <f>IF(取值!R15=0,"",取值!R15)</f>
        <v/>
      </c>
    </row>
    <row customHeight="1" ht="18">
      <c r="A21" s="98"/>
      <c r="B21" s="126" t="s">
        <v>47</v>
      </c>
      <c r="C21" s="127" t="s">
        <v>31</v>
      </c>
      <c r="D21" s="128">
        <f>取值!D16</f>
        <v>0</v>
      </c>
      <c r="E21" s="128">
        <f>取值!E16</f>
        <v>0</v>
      </c>
      <c r="F21" s="128">
        <f>取值!F16</f>
        <v>2430</v>
      </c>
      <c r="G21" s="128">
        <f>取值!G16</f>
        <v>0</v>
      </c>
      <c r="H21" s="128">
        <f>取值!H16</f>
        <v>0</v>
      </c>
      <c r="I21" s="128">
        <f>取值!I16</f>
        <v>0</v>
      </c>
      <c r="J21" s="128">
        <f>取值!J16</f>
        <v>0</v>
      </c>
      <c r="K21" s="128">
        <f>取值!K16</f>
        <v>0</v>
      </c>
      <c r="L21" s="128">
        <f>取值!L16</f>
        <v>0</v>
      </c>
      <c r="M21" s="128">
        <f>取值!M16</f>
        <v>0</v>
      </c>
      <c r="N21" s="128">
        <f>取值!N16</f>
        <v>0</v>
      </c>
      <c r="O21" s="128">
        <f>取值!O16</f>
        <v>2430</v>
      </c>
      <c r="P21" s="128">
        <f>-_xlfn.IFERROR(SUM(IF(D21="",0,D21),IF(E21="",0,E21),IF(F21="",0,F21),IF(G21="",0,G21),IF(L21="",0,L21),IF(N21="",0,N21))-SUM(IF(H21="",0,H21),IF(I21="",0,I21),IF(J21="",0,J21),IF(K21="",0,K21),IF(M21="",0,M21),IF(O21="",0,O21),IF(Q21="",0,Q21)),"")</f>
        <v>0</v>
      </c>
      <c r="Q21" s="128">
        <f>取值!Q16</f>
        <v>0</v>
      </c>
      <c r="R21" s="130" t="str">
        <f>IF(取值!R16=0,"",取值!R16)</f>
        <v/>
      </c>
    </row>
    <row customHeight="1" ht="18">
      <c r="A22" s="98"/>
      <c r="B22" s="126" t="s">
        <v>48</v>
      </c>
      <c r="C22" s="127" t="s">
        <v>31</v>
      </c>
      <c r="D22" s="128">
        <f>取值!D17</f>
        <v>0</v>
      </c>
      <c r="E22" s="128">
        <f>取值!E17</f>
        <v>0</v>
      </c>
      <c r="F22" s="128">
        <f>取值!F17</f>
        <v>700</v>
      </c>
      <c r="G22" s="128">
        <f>取值!G17</f>
        <v>0</v>
      </c>
      <c r="H22" s="128">
        <f>取值!H17</f>
        <v>0</v>
      </c>
      <c r="I22" s="128">
        <f>取值!I17</f>
        <v>0</v>
      </c>
      <c r="J22" s="128">
        <f>取值!J17</f>
        <v>0</v>
      </c>
      <c r="K22" s="128">
        <f>取值!K17</f>
        <v>0</v>
      </c>
      <c r="L22" s="128">
        <f>取值!L17</f>
        <v>0</v>
      </c>
      <c r="M22" s="128">
        <f>取值!M17</f>
        <v>0</v>
      </c>
      <c r="N22" s="128">
        <f>取值!N17</f>
        <v>0</v>
      </c>
      <c r="O22" s="128">
        <f>取值!O17</f>
        <v>700</v>
      </c>
      <c r="P22" s="128">
        <f>-_xlfn.IFERROR(SUM(IF(D22="",0,D22),IF(E22="",0,E22),IF(F22="",0,F22),IF(G22="",0,G22),IF(L22="",0,L22),IF(N22="",0,N22))-SUM(IF(H22="",0,H22),IF(I22="",0,I22),IF(J22="",0,J22),IF(K22="",0,K22),IF(M22="",0,M22),IF(O22="",0,O22),IF(Q22="",0,Q22)),"")</f>
        <v>0</v>
      </c>
      <c r="Q22" s="128">
        <f>取值!Q17</f>
        <v>0</v>
      </c>
      <c r="R22" s="130" t="str">
        <f>IF(取值!R17=0,"",取值!R17)</f>
        <v/>
      </c>
    </row>
    <row customHeight="1" ht="18">
      <c r="A23" s="98"/>
      <c r="B23" s="126" t="s">
        <v>49</v>
      </c>
      <c r="C23" s="127" t="s">
        <v>31</v>
      </c>
      <c r="D23" s="128">
        <f>取值!D12</f>
        <v>9226</v>
      </c>
      <c r="E23" s="128">
        <f>取值!E12</f>
        <v>0</v>
      </c>
      <c r="F23" s="128">
        <f>取值!F12</f>
        <v>0</v>
      </c>
      <c r="G23" s="128">
        <f>取值!G12</f>
        <v>0</v>
      </c>
      <c r="H23" s="128">
        <f>取值!H12</f>
        <v>0</v>
      </c>
      <c r="I23" s="128">
        <f>取值!I12</f>
        <v>0</v>
      </c>
      <c r="J23" s="128">
        <f>取值!J12</f>
        <v>1508263</v>
      </c>
      <c r="K23" s="128">
        <f>取值!K12</f>
        <v>0</v>
      </c>
      <c r="L23" s="128">
        <f>取值!L12</f>
        <v>1517049</v>
      </c>
      <c r="M23" s="128">
        <f>取值!M12</f>
        <v>0</v>
      </c>
      <c r="N23" s="128">
        <f>取值!N12</f>
        <v>0</v>
      </c>
      <c r="O23" s="128">
        <f>取值!O12</f>
        <v>9790</v>
      </c>
      <c r="P23" s="128">
        <f>-_xlfn.IFERROR(SUM(IF(D23="",0,D23),IF(E23="",0,E23),IF(F23="",0,F23),IF(G23="",0,G23),IF(L23="",0,L23),IF(N23="",0,N23))-SUM(IF(H23="",0,H23),IF(I23="",0,I23),IF(J23="",0,J23),IF(K23="",0,K23),IF(M23="",0,M23),IF(O23="",0,O23),IF(Q23="",0,Q23)),"")</f>
        <v>-938</v>
      </c>
      <c r="Q23" s="128">
        <f>取值!Q12</f>
        <v>7284</v>
      </c>
      <c r="R23" s="130" t="str">
        <f>IF(取值!R12=0,"",取值!R12)</f>
        <v/>
      </c>
    </row>
    <row s="137" customFormat="1" customHeight="1" ht="18">
      <c r="A24" s="98"/>
      <c r="B24" s="126" t="s">
        <v>50</v>
      </c>
      <c r="C24" s="127" t="s">
        <v>31</v>
      </c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30"/>
    </row>
    <row customHeight="1" ht="18">
      <c r="A25" s="98"/>
      <c r="B25" s="126" t="s">
        <v>51</v>
      </c>
      <c r="C25" s="127" t="s">
        <v>31</v>
      </c>
      <c r="D25" s="128">
        <f>取值!D19</f>
        <v>0</v>
      </c>
      <c r="E25" s="128">
        <f>取值!E19</f>
        <v>0</v>
      </c>
      <c r="F25" s="128">
        <f>取值!F19</f>
        <v>0</v>
      </c>
      <c r="G25" s="128">
        <f>取值!G19</f>
        <v>0</v>
      </c>
      <c r="H25" s="128">
        <f>取值!H19</f>
        <v>0</v>
      </c>
      <c r="I25" s="128">
        <f>取值!I19</f>
        <v>0</v>
      </c>
      <c r="J25" s="128">
        <f>取值!J19</f>
        <v>0</v>
      </c>
      <c r="K25" s="128">
        <f>取值!K19</f>
        <v>0</v>
      </c>
      <c r="L25" s="128">
        <f>取值!L19</f>
        <v>0</v>
      </c>
      <c r="M25" s="128">
        <f>取值!M19</f>
        <v>0</v>
      </c>
      <c r="N25" s="128">
        <f>取值!N19</f>
        <v>0</v>
      </c>
      <c r="O25" s="128">
        <f>取值!O19</f>
        <v>0</v>
      </c>
      <c r="P25" s="128">
        <f>-_xlfn.IFERROR(SUM(IF(D25="",0,D25),IF(E25="",0,E25),IF(F25="",0,F25),IF(G25="",0,G25),IF(L25="",0,L25),IF(N25="",0,N25))-SUM(IF(H25="",0,H25),IF(I25="",0,I25),IF(J25="",0,J25),IF(K25="",0,K25),IF(M25="",0,M25),IF(O25="",0,O25),IF(Q25="",0,Q25)),"")</f>
        <v>0</v>
      </c>
      <c r="Q25" s="128">
        <f>取值!Q19</f>
        <v>0</v>
      </c>
      <c r="R25" s="130" t="str">
        <f>IF(取值!R19=0,"",取值!R19)</f>
        <v/>
      </c>
    </row>
    <row customHeight="1" ht="18">
      <c r="A26" s="98"/>
      <c r="B26" s="126" t="s">
        <v>52</v>
      </c>
      <c r="C26" s="127" t="s">
        <v>31</v>
      </c>
      <c r="D26" s="128">
        <f>取值!D18</f>
        <v>2699</v>
      </c>
      <c r="E26" s="128">
        <f>取值!E18</f>
        <v>0</v>
      </c>
      <c r="F26" s="128">
        <f>取值!F18</f>
        <v>0</v>
      </c>
      <c r="G26" s="128">
        <f>取值!G18</f>
        <v>0</v>
      </c>
      <c r="H26" s="128">
        <f>取值!H18</f>
        <v>0</v>
      </c>
      <c r="I26" s="128">
        <f>取值!I18</f>
        <v>0</v>
      </c>
      <c r="J26" s="128">
        <f>取值!J18</f>
        <v>133478</v>
      </c>
      <c r="K26" s="128">
        <f>取值!K18</f>
        <v>0</v>
      </c>
      <c r="L26" s="128">
        <f>取值!L18</f>
        <v>135148</v>
      </c>
      <c r="M26" s="128">
        <f>取值!M18</f>
        <v>0</v>
      </c>
      <c r="N26" s="128">
        <f>取值!N18</f>
        <v>0</v>
      </c>
      <c r="O26" s="128">
        <f>取值!O18</f>
        <v>0</v>
      </c>
      <c r="P26" s="128">
        <f>-_xlfn.IFERROR(SUM(IF(D26="",0,D26),IF(E26="",0,E26),IF(F26="",0,F26),IF(G26="",0,G26),IF(L26="",0,L26),IF(N26="",0,N26))-SUM(IF(H26="",0,H26),IF(I26="",0,I26),IF(J26="",0,J26),IF(K26="",0,K26),IF(M26="",0,M26),IF(O26="",0,O26),IF(Q26="",0,Q26)),"")</f>
        <v>0</v>
      </c>
      <c r="Q26" s="128">
        <f>取值!Q18</f>
        <v>4369</v>
      </c>
      <c r="R26" s="130" t="str">
        <f>IF(取值!R18=0,"",取值!R18)</f>
        <v/>
      </c>
    </row>
    <row customHeight="1" ht="18">
      <c r="A27" s="98"/>
      <c r="B27" s="126" t="s">
        <v>53</v>
      </c>
      <c r="C27" s="127" t="s">
        <v>31</v>
      </c>
      <c r="D27" s="128">
        <f>IF(_xlfn.IFERROR(SUM(D28:D36),0)=0,"",_xlfn.IFERROR(SUM(D28:D36),0))</f>
        <v>22067</v>
      </c>
      <c r="E27" s="128" t="str">
        <f>IF(_xlfn.IFERROR(SUM(E28:E36),0)=0,"",_xlfn.IFERROR(SUM(E28:E36),0))</f>
        <v/>
      </c>
      <c r="F27" s="128">
        <f>IF(_xlfn.IFERROR(SUM(F28:F36),0)=0,"",_xlfn.IFERROR(SUM(F28:F36),0))</f>
        <v>3172441</v>
      </c>
      <c r="G27" s="128" t="str">
        <f>IF(_xlfn.IFERROR(SUM(G28:G36),0)=0,"",_xlfn.IFERROR(SUM(G28:G36),0))</f>
        <v/>
      </c>
      <c r="H27" s="128">
        <f>IF(_xlfn.IFERROR(SUM(H28:H36),0)=0,"",_xlfn.IFERROR(SUM(H28:H36),0))</f>
        <v>223400</v>
      </c>
      <c r="I27" s="128" t="str">
        <f>IF(_xlfn.IFERROR(SUM(I28:I36),0)=0,"",_xlfn.IFERROR(SUM(I28:I36),0))</f>
        <v/>
      </c>
      <c r="J27" s="128">
        <f>IF(_xlfn.IFERROR(SUM(J28:J36),0)=0,"",_xlfn.IFERROR(SUM(J28:J36),0))</f>
        <v>2749834</v>
      </c>
      <c r="K27" s="128" t="str">
        <f>IF(_xlfn.IFERROR(SUM(K28:K36),0)=0,"",_xlfn.IFERROR(SUM(K28:K36),0))</f>
        <v/>
      </c>
      <c r="L27" s="128">
        <f>IF(_xlfn.IFERROR(SUM(L28:L36),0)=0,"",_xlfn.IFERROR(SUM(L28:L36),0))</f>
        <v>2629264</v>
      </c>
      <c r="M27" s="128">
        <f>IF(_xlfn.IFERROR(SUM(M28:M36),0)=0,"",_xlfn.IFERROR(SUM(M28:M36),0))</f>
        <v>2831211</v>
      </c>
      <c r="N27" s="128">
        <f>IF(_xlfn.IFERROR(SUM(N28:N36),0)=0,"",_xlfn.IFERROR(SUM(N28:N36),0))</f>
        <v>589853</v>
      </c>
      <c r="O27" s="128">
        <f>IF(_xlfn.IFERROR(SUM(O28:O36),0)=0,"",_xlfn.IFERROR(SUM(O28:O36),0))</f>
        <v>587461</v>
      </c>
      <c r="P27" s="128">
        <f>_xlfn.IFERROR(SUM(P28:P36),0)</f>
        <v>-1025</v>
      </c>
      <c r="Q27" s="128">
        <f>IF(_xlfn.IFERROR(SUM(Q28:Q36),0)=0,"",_xlfn.IFERROR(SUM(Q28:Q36),0))</f>
        <v>20694</v>
      </c>
      <c r="R27" s="130"/>
    </row>
    <row customHeight="1" ht="18">
      <c r="A28" s="98"/>
      <c r="B28" s="126" t="s">
        <v>54</v>
      </c>
      <c r="C28" s="127" t="s">
        <v>31</v>
      </c>
      <c r="D28" s="128">
        <f>取值!D22</f>
        <v>4053</v>
      </c>
      <c r="E28" s="128">
        <f>取值!E22</f>
        <v>0</v>
      </c>
      <c r="F28" s="128">
        <f>取值!F22</f>
        <v>1681854</v>
      </c>
      <c r="G28" s="128">
        <f>取值!G22</f>
        <v>0</v>
      </c>
      <c r="H28" s="128">
        <f>取值!H22</f>
        <v>0</v>
      </c>
      <c r="I28" s="128">
        <f>取值!I22</f>
        <v>0</v>
      </c>
      <c r="J28" s="128">
        <f>取值!J22</f>
        <v>0</v>
      </c>
      <c r="K28" s="128">
        <f>取值!K22</f>
        <v>0</v>
      </c>
      <c r="L28" s="128">
        <f>取值!L22</f>
        <v>0</v>
      </c>
      <c r="M28" s="128">
        <f>取值!M22</f>
        <v>1866906</v>
      </c>
      <c r="N28" s="128">
        <f>取值!N22</f>
        <v>356594</v>
      </c>
      <c r="O28" s="128">
        <f>取值!O22</f>
        <v>172147</v>
      </c>
      <c r="P28" s="128">
        <f>-_xlfn.IFERROR(SUM(IF(D28="",0,D28),IF(E28="",0,E28),IF(F28="",0,F28),IF(G28="",0,G28),IF(L28="",0,L28),IF(N28="",0,N28))-SUM(IF(H28="",0,H28),IF(I28="",0,I28),IF(J28="",0,J28),IF(K28="",0,K28),IF(M28="",0,M28),IF(O28="",0,O28),IF(Q28="",0,Q28)),"")</f>
        <v>-164</v>
      </c>
      <c r="Q28" s="128">
        <f>取值!Q22</f>
        <v>3284</v>
      </c>
      <c r="R28" s="130" t="str">
        <f>IF(取值!R22=0,"",取值!R22)</f>
        <v/>
      </c>
    </row>
    <row customHeight="1" ht="18">
      <c r="A29" s="98"/>
      <c r="B29" s="126" t="s">
        <v>55</v>
      </c>
      <c r="C29" s="127" t="s">
        <v>31</v>
      </c>
      <c r="D29" s="128">
        <f>取值!D25</f>
        <v>5921</v>
      </c>
      <c r="E29" s="128">
        <f>取值!E25</f>
        <v>0</v>
      </c>
      <c r="F29" s="128">
        <f>取值!F25</f>
        <v>791281</v>
      </c>
      <c r="G29" s="128">
        <f>取值!G25</f>
        <v>0</v>
      </c>
      <c r="H29" s="128">
        <f>取值!H25</f>
        <v>0</v>
      </c>
      <c r="I29" s="128">
        <f>取值!I25</f>
        <v>0</v>
      </c>
      <c r="J29" s="128">
        <f>取值!J25</f>
        <v>0</v>
      </c>
      <c r="K29" s="128">
        <f>取值!K25</f>
        <v>0</v>
      </c>
      <c r="L29" s="128">
        <f>取值!L25</f>
        <v>0</v>
      </c>
      <c r="M29" s="128">
        <f>取值!M25</f>
        <v>964305</v>
      </c>
      <c r="N29" s="128">
        <f>取值!N25</f>
        <v>172847</v>
      </c>
      <c r="O29" s="128">
        <f>取值!O25</f>
        <v>0</v>
      </c>
      <c r="P29" s="128">
        <f>-_xlfn.IFERROR(SUM(IF(D29="",0,D29),IF(E29="",0,E29),IF(F29="",0,F29),IF(G29="",0,G29),IF(L29="",0,L29),IF(N29="",0,N29))-SUM(IF(H29="",0,H29),IF(I29="",0,I29),IF(J29="",0,J29),IF(K29="",0,K29),IF(M29="",0,M29),IF(O29="",0,O29),IF(Q29="",0,Q29)),"")</f>
        <v>-91</v>
      </c>
      <c r="Q29" s="128">
        <f>取值!Q25</f>
        <v>5653</v>
      </c>
      <c r="R29" s="130" t="str">
        <f>IF(取值!R25=0,"",取值!R25)</f>
        <v/>
      </c>
    </row>
    <row customHeight="1" ht="18">
      <c r="A30" s="98"/>
      <c r="B30" s="126" t="s">
        <v>56</v>
      </c>
      <c r="C30" s="127" t="s">
        <v>31</v>
      </c>
      <c r="D30" s="128">
        <f>取值!D26</f>
        <v>0</v>
      </c>
      <c r="E30" s="128">
        <f>取值!E26</f>
        <v>0</v>
      </c>
      <c r="F30" s="128">
        <f>取值!F26</f>
        <v>0</v>
      </c>
      <c r="G30" s="128">
        <f>取值!G26</f>
        <v>0</v>
      </c>
      <c r="H30" s="128">
        <f>取值!H26</f>
        <v>0</v>
      </c>
      <c r="I30" s="128">
        <f>取值!I26</f>
        <v>0</v>
      </c>
      <c r="J30" s="128">
        <f>取值!J26</f>
        <v>872747</v>
      </c>
      <c r="K30" s="128">
        <f>取值!K26</f>
        <v>0</v>
      </c>
      <c r="L30" s="128">
        <f>取值!L26</f>
        <v>890659</v>
      </c>
      <c r="M30" s="128">
        <f>取值!M26</f>
        <v>0</v>
      </c>
      <c r="N30" s="128">
        <f>取值!N26</f>
        <v>4155</v>
      </c>
      <c r="O30" s="128">
        <f>取值!O26</f>
        <v>21877</v>
      </c>
      <c r="P30" s="128">
        <f>-_xlfn.IFERROR(SUM(IF(D30="",0,D30),IF(E30="",0,E30),IF(F30="",0,F30),IF(G30="",0,G30),IF(L30="",0,L30),IF(N30="",0,N30))-SUM(IF(H30="",0,H30),IF(I30="",0,I30),IF(J30="",0,J30),IF(K30="",0,K30),IF(M30="",0,M30),IF(O30="",0,O30),IF(Q30="",0,Q30)),"")</f>
        <v>-190</v>
      </c>
      <c r="Q30" s="128">
        <f>取值!Q26</f>
        <v>0</v>
      </c>
      <c r="R30" s="130" t="str">
        <f>IF(取值!R26=0,"",取值!R26)</f>
        <v/>
      </c>
    </row>
    <row customHeight="1" ht="18">
      <c r="A31" s="98"/>
      <c r="B31" s="126" t="s">
        <v>57</v>
      </c>
      <c r="C31" s="127" t="s">
        <v>31</v>
      </c>
      <c r="D31" s="128">
        <f>取值!D27</f>
        <v>4468</v>
      </c>
      <c r="E31" s="128">
        <f>取值!E27</f>
        <v>0</v>
      </c>
      <c r="F31" s="128">
        <f>取值!F27</f>
        <v>0</v>
      </c>
      <c r="G31" s="128">
        <f>取值!G27</f>
        <v>0</v>
      </c>
      <c r="H31" s="128">
        <f>取值!H27</f>
        <v>0</v>
      </c>
      <c r="I31" s="128">
        <f>取值!I27</f>
        <v>0</v>
      </c>
      <c r="J31" s="128">
        <f>取值!J27</f>
        <v>1749755</v>
      </c>
      <c r="K31" s="128">
        <f>取值!K27</f>
        <v>0</v>
      </c>
      <c r="L31" s="128">
        <f>取值!L27</f>
        <v>1738605</v>
      </c>
      <c r="M31" s="128">
        <f>取值!M27</f>
        <v>0</v>
      </c>
      <c r="N31" s="128">
        <f>取值!N27</f>
        <v>21877</v>
      </c>
      <c r="O31" s="128">
        <f>取值!O27</f>
        <v>4155</v>
      </c>
      <c r="P31" s="128">
        <f>-_xlfn.IFERROR(SUM(IF(D31="",0,D31),IF(E31="",0,E31),IF(F31="",0,F31),IF(G31="",0,G31),IF(L31="",0,L31),IF(N31="",0,N31))-SUM(IF(H31="",0,H31),IF(I31="",0,I31),IF(J31="",0,J31),IF(K31="",0,K31),IF(M31="",0,M31),IF(O31="",0,O31),IF(Q31="",0,Q31)),"")</f>
        <v>-580</v>
      </c>
      <c r="Q31" s="128">
        <f>取值!Q27</f>
        <v>10460</v>
      </c>
      <c r="R31" s="130" t="str">
        <f>IF(取值!R27=0,"",取值!R27)</f>
        <v/>
      </c>
    </row>
    <row s="138" customFormat="1" customHeight="1" ht="18">
      <c r="A32" s="98"/>
      <c r="B32" s="126" t="s">
        <v>58</v>
      </c>
      <c r="C32" s="127" t="s">
        <v>31</v>
      </c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30"/>
    </row>
    <row customHeight="1" ht="18">
      <c r="A33" s="98"/>
      <c r="B33" s="126" t="s">
        <v>59</v>
      </c>
      <c r="C33" s="127" t="s">
        <v>31</v>
      </c>
      <c r="D33" s="128">
        <f>取值!D23</f>
        <v>7625</v>
      </c>
      <c r="E33" s="128">
        <f>取值!E23</f>
        <v>0</v>
      </c>
      <c r="F33" s="128">
        <f>取值!F23</f>
        <v>481048</v>
      </c>
      <c r="G33" s="128">
        <f>取值!G23</f>
        <v>0</v>
      </c>
      <c r="H33" s="128">
        <f>取值!H23</f>
        <v>223400</v>
      </c>
      <c r="I33" s="128">
        <f>取值!I23</f>
        <v>0</v>
      </c>
      <c r="J33" s="128">
        <f>取值!J23</f>
        <v>0</v>
      </c>
      <c r="K33" s="128">
        <f>取值!K23</f>
        <v>0</v>
      </c>
      <c r="L33" s="128">
        <f>取值!L23</f>
        <v>0</v>
      </c>
      <c r="M33" s="128">
        <f>取值!M23</f>
        <v>0</v>
      </c>
      <c r="N33" s="128">
        <f>取值!N23</f>
        <v>34380</v>
      </c>
      <c r="O33" s="128">
        <f>取值!O23</f>
        <v>298356</v>
      </c>
      <c r="P33" s="128">
        <f>-_xlfn.IFERROR(SUM(IF(D33="",0,D33),IF(E33="",0,E33),IF(F33="",0,F33),IF(G33="",0,G33),IF(L33="",0,L33),IF(N33="",0,N33))-SUM(IF(H33="",0,H33),IF(I33="",0,I33),IF(J33="",0,J33),IF(K33="",0,K33),IF(M33="",0,M33),IF(O33="",0,O33),IF(Q33="",0,Q33)),"")</f>
        <v>0</v>
      </c>
      <c r="Q33" s="128">
        <f>取值!Q23</f>
        <v>1297</v>
      </c>
      <c r="R33" s="130" t="str">
        <f>IF(取值!R23=0,"",取值!R23)</f>
        <v/>
      </c>
    </row>
    <row s="139" customFormat="1" customHeight="1" ht="18">
      <c r="A34" s="98"/>
      <c r="B34" s="126" t="s">
        <v>60</v>
      </c>
      <c r="C34" s="127" t="s">
        <v>31</v>
      </c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30"/>
    </row>
    <row s="140" customFormat="1" customHeight="1" ht="18">
      <c r="A35" s="98"/>
      <c r="B35" s="126" t="s">
        <v>61</v>
      </c>
      <c r="C35" s="127" t="s">
        <v>31</v>
      </c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30"/>
    </row>
    <row customHeight="1" ht="18">
      <c r="A36" s="98"/>
      <c r="B36" s="126" t="s">
        <v>62</v>
      </c>
      <c r="C36" s="127" t="s">
        <v>31</v>
      </c>
      <c r="D36" s="128">
        <f>取值!D24</f>
        <v>0</v>
      </c>
      <c r="E36" s="128">
        <f>取值!E24</f>
        <v>0</v>
      </c>
      <c r="F36" s="128">
        <f>取值!F24</f>
        <v>218258</v>
      </c>
      <c r="G36" s="128">
        <f>取值!G24</f>
        <v>0</v>
      </c>
      <c r="H36" s="128">
        <f>取值!H24</f>
        <v>0</v>
      </c>
      <c r="I36" s="128">
        <f>取值!I24</f>
        <v>0</v>
      </c>
      <c r="J36" s="128">
        <f>取值!J24</f>
        <v>127332</v>
      </c>
      <c r="K36" s="128">
        <f>取值!K24</f>
        <v>0</v>
      </c>
      <c r="L36" s="128">
        <f>取值!L24</f>
        <v>0</v>
      </c>
      <c r="M36" s="128">
        <f>取值!M24</f>
        <v>0</v>
      </c>
      <c r="N36" s="128">
        <f>取值!N24</f>
        <v>0</v>
      </c>
      <c r="O36" s="128">
        <f>取值!O24</f>
        <v>90926</v>
      </c>
      <c r="P36" s="128">
        <f>-_xlfn.IFERROR(SUM(IF(D36="",0,D36),IF(E36="",0,E36),IF(F36="",0,F36),IF(G36="",0,G36),IF(L36="",0,L36),IF(N36="",0,N36))-SUM(IF(H36="",0,H36),IF(I36="",0,I36),IF(J36="",0,J36),IF(K36="",0,K36),IF(M36="",0,M36),IF(O36="",0,O36),IF(Q36="",0,Q36)),"")</f>
        <v>0</v>
      </c>
      <c r="Q36" s="128">
        <f>取值!Q24</f>
        <v>0</v>
      </c>
      <c r="R36" s="130" t="str">
        <f>IF(取值!R24=0,"",取值!R24)</f>
        <v/>
      </c>
    </row>
    <row customHeight="1" ht="18">
      <c r="A37" s="98"/>
      <c r="B37" s="126" t="s">
        <v>63</v>
      </c>
      <c r="C37" s="127" t="s">
        <v>31</v>
      </c>
      <c r="D37" s="128">
        <f>IF(_xlfn.IFERROR(SUM(D38:D56),0)=0,"",_xlfn.IFERROR(SUM(D38:D56),0))</f>
        <v>8977</v>
      </c>
      <c r="E37" s="128" t="str">
        <f>IF(_xlfn.IFERROR(SUM(E38:E56),0)=0,"",_xlfn.IFERROR(SUM(E38:E56),0))</f>
        <v/>
      </c>
      <c r="F37" s="128">
        <f>IF(_xlfn.IFERROR(SUM(F38:F56),0)=0,"",_xlfn.IFERROR(SUM(F38:F56),0))</f>
        <v>1441652</v>
      </c>
      <c r="G37" s="128">
        <f>IF(_xlfn.IFERROR(SUM(G38:G56),0)=0,"",_xlfn.IFERROR(SUM(G38:G56),0))</f>
        <v>15368</v>
      </c>
      <c r="H37" s="128">
        <f>IF(_xlfn.IFERROR(SUM(H38:H56),0)=0,"",_xlfn.IFERROR(SUM(H38:H56),0))</f>
        <v>1081279</v>
      </c>
      <c r="I37" s="128">
        <f>IF(_xlfn.IFERROR(SUM(I38:I56),0)=0,"",_xlfn.IFERROR(SUM(I38:I56),0))</f>
        <v>321442.8</v>
      </c>
      <c r="J37" s="128" t="str">
        <f>IF(_xlfn.IFERROR(SUM(J38:J56),0)=0,"",_xlfn.IFERROR(SUM(J38:J56),0))</f>
        <v/>
      </c>
      <c r="K37" s="128" t="str">
        <f>IF(_xlfn.IFERROR(SUM(K38:K56),0)=0,"",_xlfn.IFERROR(SUM(K38:K56),0))</f>
        <v/>
      </c>
      <c r="L37" s="128">
        <f>IF(_xlfn.IFERROR(SUM(L38:L56),0)=0,"",_xlfn.IFERROR(SUM(L38:L56),0))</f>
        <v>738629.32</v>
      </c>
      <c r="M37" s="128">
        <f>IF(_xlfn.IFERROR(SUM(M38:M56),0)=0,"",_xlfn.IFERROR(SUM(M38:M56),0))</f>
        <v>780162</v>
      </c>
      <c r="N37" s="128">
        <f>IF(_xlfn.IFERROR(SUM(N38:N56),0)=0,"",_xlfn.IFERROR(SUM(N38:N56),0))</f>
        <v>176004</v>
      </c>
      <c r="O37" s="128">
        <f>IF(_xlfn.IFERROR(SUM(O38:O56),0)=0,"",_xlfn.IFERROR(SUM(O38:O56),0))</f>
        <v>191372</v>
      </c>
      <c r="P37" s="128">
        <f>_xlfn.IFERROR(SUM(P38:P56),0)</f>
        <v>957.479999999952</v>
      </c>
      <c r="Q37" s="128">
        <f>IF(_xlfn.IFERROR(SUM(Q38:Q56),0)=0,"",_xlfn.IFERROR(SUM(Q38:Q56),0))</f>
        <v>7332</v>
      </c>
      <c r="R37" s="130"/>
    </row>
    <row s="141" customFormat="1" customHeight="1" ht="18">
      <c r="A38" s="98"/>
      <c r="B38" s="126" t="s">
        <v>64</v>
      </c>
      <c r="C38" s="127" t="s">
        <v>31</v>
      </c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30"/>
    </row>
    <row customHeight="1" ht="18">
      <c r="A39" s="98"/>
      <c r="B39" s="126" t="s">
        <v>65</v>
      </c>
      <c r="C39" s="127" t="s">
        <v>31</v>
      </c>
      <c r="D39" s="128">
        <f>取值!D29</f>
        <v>3659</v>
      </c>
      <c r="E39" s="128">
        <f>取值!E29</f>
        <v>0</v>
      </c>
      <c r="F39" s="128">
        <f>取值!F29</f>
        <v>539226</v>
      </c>
      <c r="G39" s="128">
        <f>取值!G29</f>
        <v>0</v>
      </c>
      <c r="H39" s="128">
        <f>取值!H29</f>
        <v>333212</v>
      </c>
      <c r="I39" s="128">
        <f>取值!I29</f>
        <v>0</v>
      </c>
      <c r="J39" s="128">
        <f>取值!J29</f>
        <v>0</v>
      </c>
      <c r="K39" s="128">
        <f>取值!K29</f>
        <v>0</v>
      </c>
      <c r="L39" s="128">
        <f>取值!L29</f>
        <v>412944.82</v>
      </c>
      <c r="M39" s="128">
        <f>取值!M29</f>
        <v>621089</v>
      </c>
      <c r="N39" s="128">
        <f>取值!N29</f>
        <v>875</v>
      </c>
      <c r="O39" s="128">
        <f>取值!O29</f>
        <v>0</v>
      </c>
      <c r="P39" s="128">
        <f>-_xlfn.IFERROR(SUM(IF(D39="",0,D39),IF(E39="",0,E39),IF(F39="",0,F39),IF(G39="",0,G39),IF(L39="",0,L39),IF(N39="",0,N39))-SUM(IF(H39="",0,H39),IF(I39="",0,I39),IF(J39="",0,J39),IF(K39="",0,K39),IF(M39="",0,M39),IF(O39="",0,O39),IF(Q39="",0,Q39)),"")</f>
        <v>950.679999999935</v>
      </c>
      <c r="Q39" s="128">
        <f>取值!Q29</f>
        <v>3354.5</v>
      </c>
      <c r="R39" s="130" t="str">
        <f>IF(取值!R29=0,"",取值!R29)</f>
        <v/>
      </c>
    </row>
    <row customHeight="1" ht="18">
      <c r="A40" s="98"/>
      <c r="B40" s="126" t="s">
        <v>66</v>
      </c>
      <c r="C40" s="127" t="s">
        <v>31</v>
      </c>
      <c r="D40" s="128">
        <f>取值!D30</f>
        <v>0</v>
      </c>
      <c r="E40" s="128">
        <f>取值!E30</f>
        <v>0</v>
      </c>
      <c r="F40" s="128">
        <f>取值!F30</f>
        <v>0</v>
      </c>
      <c r="G40" s="128">
        <f>取值!G30</f>
        <v>0</v>
      </c>
      <c r="H40" s="128">
        <f>取值!H30</f>
        <v>0</v>
      </c>
      <c r="I40" s="128">
        <f>取值!I30</f>
        <v>0</v>
      </c>
      <c r="J40" s="128">
        <f>取值!J30</f>
        <v>0</v>
      </c>
      <c r="K40" s="128">
        <f>取值!K30</f>
        <v>0</v>
      </c>
      <c r="L40" s="128">
        <f>取值!L30</f>
        <v>0</v>
      </c>
      <c r="M40" s="128">
        <f>取值!M30</f>
        <v>0</v>
      </c>
      <c r="N40" s="128">
        <f>取值!N30</f>
        <v>0</v>
      </c>
      <c r="O40" s="128">
        <f>取值!O30</f>
        <v>0</v>
      </c>
      <c r="P40" s="128">
        <f>-_xlfn.IFERROR(SUM(IF(D40="",0,D40),IF(E40="",0,E40),IF(F40="",0,F40),IF(G40="",0,G40),IF(L40="",0,L40),IF(N40="",0,N40))-SUM(IF(H40="",0,H40),IF(I40="",0,I40),IF(J40="",0,J40),IF(K40="",0,K40),IF(M40="",0,M40),IF(O40="",0,O40),IF(Q40="",0,Q40)),"")</f>
        <v>0</v>
      </c>
      <c r="Q40" s="128">
        <f>取值!Q30</f>
        <v>0</v>
      </c>
      <c r="R40" s="130" t="str">
        <f>IF(取值!R30=0,"",取值!R30)</f>
        <v/>
      </c>
    </row>
    <row s="142" customFormat="1" customHeight="1" ht="18">
      <c r="A41" s="98"/>
      <c r="B41" s="126" t="s">
        <v>67</v>
      </c>
      <c r="C41" s="127" t="s">
        <v>31</v>
      </c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30"/>
    </row>
    <row customHeight="1" ht="18">
      <c r="A42" s="98"/>
      <c r="B42" s="126" t="s">
        <v>68</v>
      </c>
      <c r="C42" s="127" t="s">
        <v>31</v>
      </c>
      <c r="D42" s="128">
        <f>取值!D31</f>
        <v>0</v>
      </c>
      <c r="E42" s="128">
        <f>取值!E31</f>
        <v>0</v>
      </c>
      <c r="F42" s="128">
        <f>取值!F31</f>
        <v>332118</v>
      </c>
      <c r="G42" s="128">
        <f>取值!G31</f>
        <v>0</v>
      </c>
      <c r="H42" s="128">
        <f>取值!H31</f>
        <v>332118</v>
      </c>
      <c r="I42" s="128">
        <f>取值!I31</f>
        <v>0</v>
      </c>
      <c r="J42" s="128">
        <f>取值!J31</f>
        <v>0</v>
      </c>
      <c r="K42" s="128">
        <f>取值!K31</f>
        <v>0</v>
      </c>
      <c r="L42" s="128">
        <f>取值!L31</f>
        <v>0</v>
      </c>
      <c r="M42" s="128">
        <f>取值!M31</f>
        <v>0</v>
      </c>
      <c r="N42" s="128">
        <f>取值!N31</f>
        <v>0</v>
      </c>
      <c r="O42" s="128">
        <f>取值!O31</f>
        <v>0</v>
      </c>
      <c r="P42" s="128">
        <f>-_xlfn.IFERROR(SUM(IF(D42="",0,D42),IF(E42="",0,E42),IF(F42="",0,F42),IF(G42="",0,G42),IF(L42="",0,L42),IF(N42="",0,N42))-SUM(IF(H42="",0,H42),IF(I42="",0,I42),IF(J42="",0,J42),IF(K42="",0,K42),IF(M42="",0,M42),IF(O42="",0,O42),IF(Q42="",0,Q42)),"")</f>
        <v>0</v>
      </c>
      <c r="Q42" s="128">
        <f>取值!Q31</f>
        <v>0</v>
      </c>
      <c r="R42" s="130" t="str">
        <f>IF(取值!R31=0,"",取值!R31)</f>
        <v/>
      </c>
    </row>
    <row s="143" customFormat="1" customHeight="1" ht="18">
      <c r="A43" s="98"/>
      <c r="B43" s="126" t="s">
        <v>69</v>
      </c>
      <c r="C43" s="127" t="s">
        <v>31</v>
      </c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30"/>
    </row>
    <row customHeight="1" ht="18">
      <c r="A44" s="98"/>
      <c r="B44" s="126" t="s">
        <v>70</v>
      </c>
      <c r="C44" s="127" t="s">
        <v>31</v>
      </c>
      <c r="D44" s="128">
        <f>取值!D33</f>
        <v>715</v>
      </c>
      <c r="E44" s="128">
        <f>取值!E33</f>
        <v>0</v>
      </c>
      <c r="F44" s="128">
        <f>取值!F33</f>
        <v>31882</v>
      </c>
      <c r="G44" s="128">
        <f>取值!G33</f>
        <v>0</v>
      </c>
      <c r="H44" s="128">
        <f>取值!H33</f>
        <v>0</v>
      </c>
      <c r="I44" s="128">
        <f>取值!I33</f>
        <v>0</v>
      </c>
      <c r="J44" s="128">
        <f>取值!J33</f>
        <v>0</v>
      </c>
      <c r="K44" s="128">
        <f>取值!K33</f>
        <v>0</v>
      </c>
      <c r="L44" s="128">
        <f>取值!L33</f>
        <v>20852</v>
      </c>
      <c r="M44" s="128">
        <f>取值!M33</f>
        <v>30403</v>
      </c>
      <c r="N44" s="128">
        <f>取值!N33</f>
        <v>0</v>
      </c>
      <c r="O44" s="128">
        <f>取值!O33</f>
        <v>22779</v>
      </c>
      <c r="P44" s="128">
        <f>-_xlfn.IFERROR(SUM(IF(D44="",0,D44),IF(E44="",0,E44),IF(F44="",0,F44),IF(G44="",0,G44),IF(L44="",0,L44),IF(N44="",0,N44))-SUM(IF(H44="",0,H44),IF(I44="",0,I44),IF(J44="",0,J44),IF(K44="",0,K44),IF(M44="",0,M44),IF(O44="",0,O44),IF(Q44="",0,Q44)),"")</f>
        <v>0</v>
      </c>
      <c r="Q44" s="128">
        <f>取值!Q33</f>
        <v>267</v>
      </c>
      <c r="R44" s="130" t="str">
        <f>IF(取值!R33=0,"",取值!R33)</f>
        <v/>
      </c>
    </row>
    <row customHeight="1" ht="18">
      <c r="A45" s="98"/>
      <c r="B45" s="144" t="s">
        <v>71</v>
      </c>
      <c r="C45" s="127" t="s">
        <v>31</v>
      </c>
      <c r="D45" s="128">
        <f>取值!D32</f>
        <v>260</v>
      </c>
      <c r="E45" s="128">
        <f>取值!E32</f>
        <v>0</v>
      </c>
      <c r="F45" s="128">
        <f>取值!F32</f>
        <v>194448</v>
      </c>
      <c r="G45" s="128">
        <f>取值!G32</f>
        <v>0</v>
      </c>
      <c r="H45" s="128">
        <f>取值!H32</f>
        <v>194539</v>
      </c>
      <c r="I45" s="128">
        <f>取值!I32</f>
        <v>0</v>
      </c>
      <c r="J45" s="128">
        <f>取值!J32</f>
        <v>0</v>
      </c>
      <c r="K45" s="128">
        <f>取值!K32</f>
        <v>0</v>
      </c>
      <c r="L45" s="128">
        <f>取值!L32</f>
        <v>14213</v>
      </c>
      <c r="M45" s="128">
        <f>取值!M32</f>
        <v>0</v>
      </c>
      <c r="N45" s="128">
        <f>取值!N32</f>
        <v>0</v>
      </c>
      <c r="O45" s="128">
        <f>取值!O32</f>
        <v>14287</v>
      </c>
      <c r="P45" s="128">
        <f>-_xlfn.IFERROR(SUM(IF(D45="",0,D45),IF(E45="",0,E45),IF(F45="",0,F45),IF(G45="",0,G45),IF(L45="",0,L45),IF(N45="",0,N45))-SUM(IF(H45="",0,H45),IF(I45="",0,I45),IF(J45="",0,J45),IF(K45="",0,K45),IF(M45="",0,M45),IF(O45="",0,O45),IF(Q45="",0,Q45)),"")</f>
        <v>0</v>
      </c>
      <c r="Q45" s="128">
        <f>取值!Q32</f>
        <v>95</v>
      </c>
      <c r="R45" s="130" t="str">
        <f>IF(取值!R32=0,"",取值!R32)</f>
        <v/>
      </c>
    </row>
    <row customHeight="1" ht="18">
      <c r="A46" s="98"/>
      <c r="B46" s="126" t="s">
        <v>72</v>
      </c>
      <c r="C46" s="127" t="s">
        <v>31</v>
      </c>
      <c r="D46" s="128">
        <f>取值!D34</f>
        <v>694</v>
      </c>
      <c r="E46" s="128">
        <f>取值!E34</f>
        <v>0</v>
      </c>
      <c r="F46" s="128">
        <f>取值!F34</f>
        <v>166720</v>
      </c>
      <c r="G46" s="128">
        <f>取值!G34</f>
        <v>0</v>
      </c>
      <c r="H46" s="128">
        <f>取值!H34</f>
        <v>113631</v>
      </c>
      <c r="I46" s="128">
        <f>取值!I34</f>
        <v>95198.64</v>
      </c>
      <c r="J46" s="128">
        <f>取值!J34</f>
        <v>0</v>
      </c>
      <c r="K46" s="128">
        <f>取值!K34</f>
        <v>0</v>
      </c>
      <c r="L46" s="128">
        <f>取值!L34</f>
        <v>74310</v>
      </c>
      <c r="M46" s="128">
        <f>取值!M34</f>
        <v>0</v>
      </c>
      <c r="N46" s="128">
        <f>取值!N34</f>
        <v>267</v>
      </c>
      <c r="O46" s="128">
        <f>取值!O34</f>
        <v>32686</v>
      </c>
      <c r="P46" s="128">
        <f>-_xlfn.IFERROR(SUM(IF(D46="",0,D46),IF(E46="",0,E46),IF(F46="",0,F46),IF(G46="",0,G46),IF(L46="",0,L46),IF(N46="",0,N46))-SUM(IF(H46="",0,H46),IF(I46="",0,I46),IF(J46="",0,J46),IF(K46="",0,K46),IF(M46="",0,M46),IF(O46="",0,O46),IF(Q46="",0,Q46)),"")</f>
        <v>1.64000000001397</v>
      </c>
      <c r="Q46" s="128">
        <f>取值!Q34</f>
        <v>477</v>
      </c>
      <c r="R46" s="130" t="str">
        <f>IF(取值!R34=0,"",取值!R34)</f>
        <v/>
      </c>
    </row>
    <row customHeight="1" ht="18">
      <c r="A47" s="98"/>
      <c r="B47" s="126" t="s">
        <v>73</v>
      </c>
      <c r="C47" s="127" t="s">
        <v>31</v>
      </c>
      <c r="D47" s="128">
        <f>取值!D39</f>
        <v>491</v>
      </c>
      <c r="E47" s="128">
        <f>取值!E39</f>
        <v>0</v>
      </c>
      <c r="F47" s="128">
        <f>取值!F39</f>
        <v>92386</v>
      </c>
      <c r="G47" s="128">
        <f>取值!G39</f>
        <v>0</v>
      </c>
      <c r="H47" s="128">
        <f>取值!H39</f>
        <v>107779</v>
      </c>
      <c r="I47" s="128">
        <f>取值!I39</f>
        <v>36938.76</v>
      </c>
      <c r="J47" s="128">
        <f>取值!J39</f>
        <v>0</v>
      </c>
      <c r="K47" s="128">
        <f>取值!K39</f>
        <v>0</v>
      </c>
      <c r="L47" s="128">
        <f>取值!L39</f>
        <v>53588</v>
      </c>
      <c r="M47" s="128">
        <f>取值!M39</f>
        <v>0</v>
      </c>
      <c r="N47" s="128">
        <f>取值!N39</f>
        <v>0</v>
      </c>
      <c r="O47" s="128">
        <f>取值!O39</f>
        <v>875</v>
      </c>
      <c r="P47" s="128">
        <f>-_xlfn.IFERROR(SUM(IF(D47="",0,D47),IF(E47="",0,E47),IF(F47="",0,F47),IF(G47="",0,G47),IF(L47="",0,L47),IF(N47="",0,N47))-SUM(IF(H47="",0,H47),IF(I47="",0,I47),IF(J47="",0,J47),IF(K47="",0,K47),IF(M47="",0,M47),IF(O47="",0,O47),IF(Q47="",0,Q47)),"")</f>
        <v>0.260000000009313</v>
      </c>
      <c r="Q47" s="128">
        <f>取值!Q39</f>
        <v>872.5</v>
      </c>
      <c r="R47" s="130" t="str">
        <f>IF(取值!R39=0,"",取值!R39)</f>
        <v/>
      </c>
    </row>
    <row customHeight="1" ht="18">
      <c r="A48" s="98"/>
      <c r="B48" s="126" t="s">
        <v>74</v>
      </c>
      <c r="C48" s="127" t="s">
        <v>31</v>
      </c>
      <c r="D48" s="128">
        <f>取值!D35</f>
        <v>487</v>
      </c>
      <c r="E48" s="128">
        <f>取值!E35</f>
        <v>0</v>
      </c>
      <c r="F48" s="128">
        <f>取值!F35</f>
        <v>84872</v>
      </c>
      <c r="G48" s="128">
        <f>取值!G35</f>
        <v>0</v>
      </c>
      <c r="H48" s="128">
        <f>取值!H35</f>
        <v>0</v>
      </c>
      <c r="I48" s="128">
        <f>取值!I35</f>
        <v>0</v>
      </c>
      <c r="J48" s="128">
        <f>取值!J35</f>
        <v>0</v>
      </c>
      <c r="K48" s="128">
        <f>取值!K35</f>
        <v>0</v>
      </c>
      <c r="L48" s="128">
        <f>取值!L35</f>
        <v>509</v>
      </c>
      <c r="M48" s="128">
        <f>取值!M35</f>
        <v>74611</v>
      </c>
      <c r="N48" s="128">
        <f>取值!N35</f>
        <v>168</v>
      </c>
      <c r="O48" s="128">
        <f>取值!O35</f>
        <v>10984</v>
      </c>
      <c r="P48" s="128">
        <f>-_xlfn.IFERROR(SUM(IF(D48="",0,D48),IF(E48="",0,E48),IF(F48="",0,F48),IF(G48="",0,G48),IF(L48="",0,L48),IF(N48="",0,N48))-SUM(IF(H48="",0,H48),IF(I48="",0,I48),IF(J48="",0,J48),IF(K48="",0,K48),IF(M48="",0,M48),IF(O48="",0,O48),IF(Q48="",0,Q48)),"")</f>
        <v>0</v>
      </c>
      <c r="Q48" s="128">
        <f>取值!Q35</f>
        <v>441</v>
      </c>
      <c r="R48" s="130" t="str">
        <f>IF(取值!R35=0,"",取值!R35)</f>
        <v/>
      </c>
    </row>
    <row s="145" customFormat="1" customHeight="1" ht="18">
      <c r="A49" s="98"/>
      <c r="B49" s="126" t="s">
        <v>75</v>
      </c>
      <c r="C49" s="127" t="s">
        <v>31</v>
      </c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30"/>
    </row>
    <row s="146" customFormat="1" customHeight="1" ht="18">
      <c r="A50" s="98"/>
      <c r="B50" s="126" t="s">
        <v>76</v>
      </c>
      <c r="C50" s="127" t="s">
        <v>31</v>
      </c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30"/>
    </row>
    <row s="147" customFormat="1" customHeight="1" ht="18">
      <c r="A51" s="98"/>
      <c r="B51" s="148" t="s">
        <v>77</v>
      </c>
      <c r="C51" s="149" t="s">
        <v>31</v>
      </c>
      <c r="D51" s="128">
        <f>取值!D37</f>
        <v>592</v>
      </c>
      <c r="E51" s="128">
        <f>取值!E37</f>
        <v>0</v>
      </c>
      <c r="F51" s="128">
        <f>取值!F37</f>
        <v>0</v>
      </c>
      <c r="G51" s="128">
        <f>取值!G37</f>
        <v>0</v>
      </c>
      <c r="H51" s="128">
        <f>取值!H37</f>
        <v>0</v>
      </c>
      <c r="I51" s="128">
        <f>取值!I37</f>
        <v>0</v>
      </c>
      <c r="J51" s="128">
        <f>取值!J37</f>
        <v>0</v>
      </c>
      <c r="K51" s="128">
        <f>取值!K37</f>
        <v>0</v>
      </c>
      <c r="L51" s="128">
        <f>取值!L37</f>
        <v>109406</v>
      </c>
      <c r="M51" s="128">
        <f>取值!M37</f>
        <v>0</v>
      </c>
      <c r="N51" s="128">
        <f>取值!N37</f>
        <v>0</v>
      </c>
      <c r="O51" s="128">
        <f>取值!O37</f>
        <v>109761</v>
      </c>
      <c r="P51" s="128">
        <f>-_xlfn.IFERROR(SUM(IF(D51="",0,D51),IF(E51="",0,E51),IF(F51="",0,F51),IF(G51="",0,G51),IF(L51="",0,L51),IF(N51="",0,N51))-SUM(IF(H51="",0,H51),IF(I51="",0,I51),IF(J51="",0,J51),IF(K51="",0,K51),IF(M51="",0,M51),IF(O51="",0,O51),IF(Q51="",0,Q51)),"")</f>
        <v>6</v>
      </c>
      <c r="Q51" s="128">
        <f>取值!Q37</f>
        <v>243</v>
      </c>
      <c r="R51" s="130" t="str">
        <f>IF(取值!R37=0,"",取值!R37)</f>
        <v/>
      </c>
    </row>
    <row s="150" customFormat="1" customHeight="1" ht="18">
      <c r="A52" s="98"/>
      <c r="B52" s="148" t="s">
        <v>78</v>
      </c>
      <c r="C52" s="149" t="s">
        <v>31</v>
      </c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30"/>
    </row>
    <row customHeight="1" ht="18">
      <c r="A53" s="98"/>
      <c r="B53" s="126" t="s">
        <v>79</v>
      </c>
      <c r="C53" s="127" t="s">
        <v>31</v>
      </c>
      <c r="D53" s="128">
        <f>取值!D38</f>
        <v>492</v>
      </c>
      <c r="E53" s="128">
        <f>取值!E38</f>
        <v>0</v>
      </c>
      <c r="F53" s="128">
        <f>取值!F38</f>
        <v>0</v>
      </c>
      <c r="G53" s="128">
        <f>取值!G38</f>
        <v>15368</v>
      </c>
      <c r="H53" s="128">
        <f>取值!H38</f>
        <v>0</v>
      </c>
      <c r="I53" s="128">
        <f>取值!I38</f>
        <v>189305.4</v>
      </c>
      <c r="J53" s="128">
        <f>取值!J38</f>
        <v>0</v>
      </c>
      <c r="K53" s="128">
        <f>取值!K38</f>
        <v>0</v>
      </c>
      <c r="L53" s="128">
        <f>取值!L38</f>
        <v>0</v>
      </c>
      <c r="M53" s="128">
        <f>取值!M38</f>
        <v>0</v>
      </c>
      <c r="N53" s="128">
        <f>取值!N38</f>
        <v>174694</v>
      </c>
      <c r="O53" s="128">
        <f>取值!O38</f>
        <v>0</v>
      </c>
      <c r="P53" s="128">
        <f>-_xlfn.IFERROR(SUM(IF(D53="",0,D53),IF(E53="",0,E53),IF(F53="",0,F53),IF(G53="",0,G53),IF(L53="",0,L53),IF(N53="",0,N53))-SUM(IF(H53="",0,H53),IF(I53="",0,I53),IF(J53="",0,J53),IF(K53="",0,K53),IF(M53="",0,M53),IF(O53="",0,O53),IF(Q53="",0,Q53)),"")</f>
        <v>-1.60000000000582</v>
      </c>
      <c r="Q53" s="128">
        <f>取值!Q38</f>
        <v>1247</v>
      </c>
      <c r="R53" s="130" t="str">
        <f>IF(取值!R38=0,"",取值!R38)</f>
        <v/>
      </c>
    </row>
    <row customHeight="1" ht="18">
      <c r="A54" s="98"/>
      <c r="B54" s="148" t="s">
        <v>80</v>
      </c>
      <c r="C54" s="149" t="s">
        <v>31</v>
      </c>
      <c r="D54" s="128">
        <f>取值!D36</f>
        <v>1587</v>
      </c>
      <c r="E54" s="128">
        <f>取值!E36</f>
        <v>0</v>
      </c>
      <c r="F54" s="128">
        <f>取值!F36</f>
        <v>0</v>
      </c>
      <c r="G54" s="128">
        <f>取值!G36</f>
        <v>0</v>
      </c>
      <c r="H54" s="128">
        <f>取值!H36</f>
        <v>0</v>
      </c>
      <c r="I54" s="128">
        <f>取值!I36</f>
        <v>0</v>
      </c>
      <c r="J54" s="128">
        <f>取值!J36</f>
        <v>0</v>
      </c>
      <c r="K54" s="128">
        <f>取值!K36</f>
        <v>0</v>
      </c>
      <c r="L54" s="128">
        <f>取值!L36</f>
        <v>52806.5</v>
      </c>
      <c r="M54" s="128">
        <f>取值!M36</f>
        <v>54059</v>
      </c>
      <c r="N54" s="128">
        <f>取值!N36</f>
        <v>0</v>
      </c>
      <c r="O54" s="128">
        <f>取值!O36</f>
        <v>0</v>
      </c>
      <c r="P54" s="128">
        <f>-_xlfn.IFERROR(SUM(IF(D54="",0,D54),IF(E54="",0,E54),IF(F54="",0,F54),IF(G54="",0,G54),IF(L54="",0,L54),IF(N54="",0,N54))-SUM(IF(H54="",0,H54),IF(I54="",0,I54),IF(J54="",0,J54),IF(K54="",0,K54),IF(M54="",0,M54),IF(O54="",0,O54),IF(Q54="",0,Q54)),"")</f>
        <v>0.5</v>
      </c>
      <c r="Q54" s="128">
        <f>取值!Q36</f>
        <v>335</v>
      </c>
      <c r="R54" s="130" t="str">
        <f>IF(取值!R36=0,"",取值!R36)</f>
        <v/>
      </c>
    </row>
    <row s="151" customFormat="1" customHeight="1" ht="18">
      <c r="A55" s="98"/>
      <c r="B55" s="148" t="s">
        <v>81</v>
      </c>
      <c r="C55" s="149" t="s">
        <v>31</v>
      </c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30"/>
    </row>
    <row s="152" customFormat="1" customHeight="1" ht="18">
      <c r="A56" s="98"/>
      <c r="B56" s="148" t="s">
        <v>82</v>
      </c>
      <c r="C56" s="149" t="s">
        <v>31</v>
      </c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30"/>
    </row>
    <row customHeight="1" ht="18">
      <c r="A57" s="98"/>
      <c r="B57" s="126" t="s">
        <v>83</v>
      </c>
      <c r="C57" s="127" t="s">
        <v>31</v>
      </c>
      <c r="D57" s="128">
        <f>取值!D40</f>
        <v>2369</v>
      </c>
      <c r="E57" s="128">
        <f>取值!E40</f>
        <v>0</v>
      </c>
      <c r="F57" s="128">
        <f>取值!F40</f>
        <v>0</v>
      </c>
      <c r="G57" s="128">
        <f>取值!G40</f>
        <v>0</v>
      </c>
      <c r="H57" s="128">
        <f>取值!H40</f>
        <v>51293</v>
      </c>
      <c r="I57" s="128">
        <f>取值!I40</f>
        <v>8687.74</v>
      </c>
      <c r="J57" s="128">
        <f>取值!J40</f>
        <v>0</v>
      </c>
      <c r="K57" s="128">
        <f>取值!K40</f>
        <v>0</v>
      </c>
      <c r="L57" s="128">
        <f>取值!L40</f>
        <v>59327</v>
      </c>
      <c r="M57" s="128">
        <f>取值!M40</f>
        <v>0</v>
      </c>
      <c r="N57" s="128">
        <f>取值!N40</f>
        <v>0</v>
      </c>
      <c r="O57" s="128">
        <f>取值!O40</f>
        <v>0</v>
      </c>
      <c r="P57" s="128">
        <f>-_xlfn.IFERROR(SUM(IF(D57="",0,D57),IF(E57="",0,E57),IF(F57="",0,F57),IF(G57="",0,G57),IF(L57="",0,L57),IF(N57="",0,N57))-SUM(IF(H57="",0,H57),IF(I57="",0,I57),IF(J57="",0,J57),IF(K57="",0,K57),IF(M57="",0,M57),IF(O57="",0,O57),IF(Q57="",0,Q57)),"")</f>
        <v>-0.260000000002037</v>
      </c>
      <c r="Q57" s="128">
        <f>取值!Q40</f>
        <v>1715</v>
      </c>
      <c r="R57" s="130" t="str">
        <f>IF(取值!R40=0,"",取值!R40)</f>
        <v/>
      </c>
    </row>
    <row customHeight="1" ht="18">
      <c r="A58" s="98"/>
      <c r="B58" s="126" t="s">
        <v>84</v>
      </c>
      <c r="C58" s="127" t="s">
        <v>31</v>
      </c>
      <c r="D58" s="128">
        <f>取值!D41</f>
        <v>0</v>
      </c>
      <c r="E58" s="128">
        <f>取值!E41</f>
        <v>0</v>
      </c>
      <c r="F58" s="128">
        <f>取值!F41</f>
        <v>0</v>
      </c>
      <c r="G58" s="128">
        <f>取值!G41</f>
        <v>0</v>
      </c>
      <c r="H58" s="128">
        <f>取值!H41</f>
        <v>0</v>
      </c>
      <c r="I58" s="128">
        <f>取值!I41</f>
        <v>0</v>
      </c>
      <c r="J58" s="128">
        <f>取值!J41</f>
        <v>0</v>
      </c>
      <c r="K58" s="128">
        <f>取值!K41</f>
        <v>0</v>
      </c>
      <c r="L58" s="128">
        <f>取值!L41</f>
        <v>0</v>
      </c>
      <c r="M58" s="128">
        <f>取值!M41</f>
        <v>0</v>
      </c>
      <c r="N58" s="128">
        <f>取值!N41</f>
        <v>0</v>
      </c>
      <c r="O58" s="128">
        <f>取值!O41</f>
        <v>0</v>
      </c>
      <c r="P58" s="128">
        <f>-_xlfn.IFERROR(SUM(IF(D58="",0,D58),IF(E58="",0,E58),IF(F58="",0,F58),IF(G58="",0,G58),IF(L58="",0,L58),IF(N58="",0,N58))-SUM(IF(H58="",0,H58),IF(I58="",0,I58),IF(J58="",0,J58),IF(K58="",0,K58),IF(M58="",0,M58),IF(O58="",0,O58),IF(Q58="",0,Q58)),"")</f>
        <v>0</v>
      </c>
      <c r="Q58" s="128">
        <f>取值!Q41</f>
        <v>0</v>
      </c>
      <c r="R58" s="130" t="str">
        <f>IF(取值!R41=0,"",取值!R41)</f>
        <v/>
      </c>
    </row>
    <row customHeight="1" ht="18">
      <c r="A59" s="98"/>
      <c r="B59" s="126" t="s">
        <v>85</v>
      </c>
      <c r="C59" s="127" t="s">
        <v>31</v>
      </c>
      <c r="D59" s="128">
        <f>取值!D42</f>
        <v>2368</v>
      </c>
      <c r="E59" s="128">
        <f>取值!E42</f>
        <v>0</v>
      </c>
      <c r="F59" s="128">
        <f>取值!F42</f>
        <v>65411</v>
      </c>
      <c r="G59" s="128">
        <f>取值!G42</f>
        <v>0</v>
      </c>
      <c r="H59" s="128">
        <f>取值!H42</f>
        <v>64164</v>
      </c>
      <c r="I59" s="128">
        <f>取值!I42</f>
        <v>0</v>
      </c>
      <c r="J59" s="128">
        <f>取值!J42</f>
        <v>0</v>
      </c>
      <c r="K59" s="128">
        <f>取值!K42</f>
        <v>0</v>
      </c>
      <c r="L59" s="128">
        <f>取值!L42</f>
        <v>0</v>
      </c>
      <c r="M59" s="128">
        <f>取值!M42</f>
        <v>0</v>
      </c>
      <c r="N59" s="128">
        <f>取值!N42</f>
        <v>0</v>
      </c>
      <c r="O59" s="128">
        <f>取值!O42</f>
        <v>0</v>
      </c>
      <c r="P59" s="128">
        <f>-_xlfn.IFERROR(SUM(IF(D59="",0,D59),IF(E59="",0,E59),IF(F59="",0,F59),IF(G59="",0,G59),IF(L59="",0,L59),IF(N59="",0,N59))-SUM(IF(H59="",0,H59),IF(I59="",0,I59),IF(J59="",0,J59),IF(K59="",0,K59),IF(M59="",0,M59),IF(O59="",0,O59),IF(Q59="",0,Q59)),"")</f>
        <v>0</v>
      </c>
      <c r="Q59" s="128">
        <f>取值!Q42</f>
        <v>3615</v>
      </c>
      <c r="R59" s="130" t="str">
        <f>IF(取值!R42=0,"",取值!R42)</f>
        <v/>
      </c>
    </row>
    <row customHeight="1" ht="18">
      <c r="A60" s="98"/>
      <c r="B60" s="126" t="s">
        <v>86</v>
      </c>
      <c r="C60" s="127" t="s">
        <v>31</v>
      </c>
      <c r="D60" s="128">
        <f>取值!D43</f>
        <v>565</v>
      </c>
      <c r="E60" s="128">
        <f>取值!E43</f>
        <v>0</v>
      </c>
      <c r="F60" s="128">
        <f>取值!F43</f>
        <v>62340</v>
      </c>
      <c r="G60" s="128">
        <f>取值!G43</f>
        <v>0</v>
      </c>
      <c r="H60" s="128">
        <f>取值!H43</f>
        <v>62252</v>
      </c>
      <c r="I60" s="128">
        <f>取值!I43</f>
        <v>0</v>
      </c>
      <c r="J60" s="128">
        <f>取值!J43</f>
        <v>0</v>
      </c>
      <c r="K60" s="128">
        <f>取值!K43</f>
        <v>0</v>
      </c>
      <c r="L60" s="128">
        <f>取值!L43</f>
        <v>0</v>
      </c>
      <c r="M60" s="128">
        <f>取值!M43</f>
        <v>0</v>
      </c>
      <c r="N60" s="128">
        <f>取值!N43</f>
        <v>0</v>
      </c>
      <c r="O60" s="128">
        <f>取值!O43</f>
        <v>0</v>
      </c>
      <c r="P60" s="128">
        <f>-_xlfn.IFERROR(SUM(IF(D60="",0,D60),IF(E60="",0,E60),IF(F60="",0,F60),IF(G60="",0,G60),IF(L60="",0,L60),IF(N60="",0,N60))-SUM(IF(H60="",0,H60),IF(I60="",0,I60),IF(J60="",0,J60),IF(K60="",0,K60),IF(M60="",0,M60),IF(O60="",0,O60),IF(Q60="",0,Q60)),"")</f>
        <v>0</v>
      </c>
      <c r="Q60" s="128">
        <f>取值!Q43</f>
        <v>653</v>
      </c>
      <c r="R60" s="130" t="str">
        <f>IF(取值!R43=0,"",取值!R43)</f>
        <v/>
      </c>
    </row>
    <row customHeight="1" ht="18">
      <c r="A61" s="98"/>
      <c r="B61" s="126" t="s">
        <v>87</v>
      </c>
      <c r="C61" s="127" t="s">
        <v>31</v>
      </c>
      <c r="D61" s="128">
        <f>取值!D46</f>
        <v>0</v>
      </c>
      <c r="E61" s="128">
        <f>取值!E46</f>
        <v>0</v>
      </c>
      <c r="F61" s="128">
        <f>取值!F46</f>
        <v>1109</v>
      </c>
      <c r="G61" s="128">
        <f>取值!G46</f>
        <v>0</v>
      </c>
      <c r="H61" s="128">
        <f>取值!H46</f>
        <v>0</v>
      </c>
      <c r="I61" s="128">
        <f>取值!I46</f>
        <v>0</v>
      </c>
      <c r="J61" s="128">
        <f>取值!J46</f>
        <v>0</v>
      </c>
      <c r="K61" s="128">
        <f>取值!K46</f>
        <v>0</v>
      </c>
      <c r="L61" s="128">
        <f>取值!L46</f>
        <v>0</v>
      </c>
      <c r="M61" s="128">
        <f>取值!M46</f>
        <v>0</v>
      </c>
      <c r="N61" s="128">
        <f>取值!N46</f>
        <v>0</v>
      </c>
      <c r="O61" s="128">
        <f>取值!O46</f>
        <v>1109</v>
      </c>
      <c r="P61" s="128">
        <f>-_xlfn.IFERROR(SUM(IF(D61="",0,D61),IF(E61="",0,E61),IF(F61="",0,F61),IF(G61="",0,G61),IF(L61="",0,L61),IF(N61="",0,N61))-SUM(IF(H61="",0,H61),IF(I61="",0,I61),IF(J61="",0,J61),IF(K61="",0,K61),IF(M61="",0,M61),IF(O61="",0,O61),IF(Q61="",0,Q61)),"")</f>
        <v>0</v>
      </c>
      <c r="Q61" s="128">
        <f>取值!Q46</f>
        <v>0</v>
      </c>
      <c r="R61" s="130" t="str">
        <f>IF(取值!R46=0,"",取值!R46)</f>
        <v/>
      </c>
    </row>
    <row customHeight="1" ht="18">
      <c r="A62" s="98"/>
      <c r="B62" s="126" t="s">
        <v>88</v>
      </c>
      <c r="C62" s="127" t="s">
        <v>31</v>
      </c>
      <c r="D62" s="128">
        <f>取值!D47</f>
        <v>0</v>
      </c>
      <c r="E62" s="128">
        <f>取值!E47</f>
        <v>0</v>
      </c>
      <c r="F62" s="128">
        <f>取值!F47</f>
        <v>0</v>
      </c>
      <c r="G62" s="128">
        <f>取值!G47</f>
        <v>0</v>
      </c>
      <c r="H62" s="128">
        <f>取值!H47</f>
        <v>0</v>
      </c>
      <c r="I62" s="128">
        <f>取值!I47</f>
        <v>0</v>
      </c>
      <c r="J62" s="128">
        <f>取值!J47</f>
        <v>0</v>
      </c>
      <c r="K62" s="128">
        <f>取值!K47</f>
        <v>0</v>
      </c>
      <c r="L62" s="128">
        <f>取值!L47</f>
        <v>0</v>
      </c>
      <c r="M62" s="128">
        <f>取值!M47</f>
        <v>0</v>
      </c>
      <c r="N62" s="128">
        <f>取值!N47</f>
        <v>0</v>
      </c>
      <c r="O62" s="128">
        <f>取值!O47</f>
        <v>0</v>
      </c>
      <c r="P62" s="128">
        <f>-_xlfn.IFERROR(SUM(IF(D62="",0,D62),IF(E62="",0,E62),IF(F62="",0,F62),IF(G62="",0,G62),IF(L62="",0,L62),IF(N62="",0,N62))-SUM(IF(H62="",0,H62),IF(I62="",0,I62),IF(J62="",0,J62),IF(K62="",0,K62),IF(M62="",0,M62),IF(O62="",0,O62),IF(Q62="",0,Q62)),"")</f>
        <v>0</v>
      </c>
      <c r="Q62" s="128">
        <f>取值!Q47</f>
        <v>0</v>
      </c>
      <c r="R62" s="130" t="str">
        <f>IF(取值!R47=0,"",取值!R47)</f>
        <v/>
      </c>
    </row>
    <row customHeight="1" ht="18">
      <c r="A63" s="98"/>
      <c r="B63" s="153" t="s">
        <v>89</v>
      </c>
      <c r="C63" s="154" t="s">
        <v>31</v>
      </c>
      <c r="D63" s="155">
        <f>取值!D48</f>
        <v>0</v>
      </c>
      <c r="E63" s="155">
        <f>取值!E48</f>
        <v>75.73</v>
      </c>
      <c r="F63" s="155">
        <f>取值!F48</f>
        <v>0</v>
      </c>
      <c r="G63" s="155">
        <f>取值!G48</f>
        <v>0</v>
      </c>
      <c r="H63" s="155">
        <f>取值!H48</f>
        <v>0</v>
      </c>
      <c r="I63" s="155">
        <f>取值!I48</f>
        <v>0</v>
      </c>
      <c r="J63" s="155">
        <f>取值!J48</f>
        <v>0</v>
      </c>
      <c r="K63" s="155">
        <f>取值!K48</f>
        <v>0</v>
      </c>
      <c r="L63" s="155">
        <f>取值!L48</f>
        <v>0</v>
      </c>
      <c r="M63" s="155">
        <f>取值!M48</f>
        <v>0</v>
      </c>
      <c r="N63" s="155">
        <f>取值!N48</f>
        <v>0</v>
      </c>
      <c r="O63" s="155">
        <f>取值!O48</f>
        <v>75.17</v>
      </c>
      <c r="P63" s="155">
        <f>-_xlfn.IFERROR(SUM(IF(D63="",0,D63),IF(E63="",0,E63),IF(F63="",0,F63),IF(G63="",0,G63),IF(L63="",0,L63),IF(N63="",0,N63))-SUM(IF(H63="",0,H63),IF(I63="",0,I63),IF(J63="",0,J63),IF(K63="",0,K63),IF(M63="",0,M63),IF(O63="",0,O63),IF(Q63="",0,Q63)),"")</f>
        <v>-0.16</v>
      </c>
      <c r="Q63" s="155">
        <f>取值!Q48</f>
        <v>0.4</v>
      </c>
      <c r="R63" s="156" t="str">
        <f>IF(取值!R48=0,"",取值!R48)</f>
        <v/>
      </c>
    </row>
    <row s="157" customFormat="1" customHeight="1" ht="18">
      <c r="A64" s="98"/>
      <c r="B64" s="158" t="s">
        <v>90</v>
      </c>
      <c r="C64" s="159" t="s">
        <v>91</v>
      </c>
      <c r="D64" s="160"/>
      <c r="E64" s="161"/>
      <c r="F64" s="161"/>
      <c r="G64" s="161"/>
      <c r="H64" s="162" t="s">
        <v>92</v>
      </c>
      <c r="I64" s="159" t="s">
        <v>93</v>
      </c>
      <c r="J64" s="160"/>
      <c r="K64" s="161"/>
      <c r="L64" s="161"/>
      <c r="M64" s="161"/>
      <c r="N64" s="161"/>
      <c r="O64" s="161"/>
      <c r="P64" s="163" t="s">
        <v>94</v>
      </c>
      <c r="Q64" s="163"/>
      <c r="R64" s="164">
        <f>_xlfn.IFERROR(取值!C3,"")</f>
        <v>46022</v>
      </c>
    </row>
  </sheetData>
  <mergeCells count="16">
    <mergeCell ref="B2:R2"/>
    <mergeCell ref="C64:D64"/>
    <mergeCell ref="I64:J64"/>
    <mergeCell ref="P64:Q64"/>
    <mergeCell ref="J3:K3"/>
    <mergeCell ref="H3:I3"/>
    <mergeCell ref="N4:O4"/>
    <mergeCell ref="R4:R5"/>
    <mergeCell ref="P3:R3"/>
    <mergeCell ref="B4:B5"/>
    <mergeCell ref="C4:C5"/>
    <mergeCell ref="E4:E5"/>
    <mergeCell ref="F4:F5"/>
    <mergeCell ref="I4:I5"/>
    <mergeCell ref="L4:M4"/>
    <mergeCell ref="B3:C3"/>
  </mergeCells>
  <pageMargins left="0.71" right="0.71" top="0.95" bottom="0.75" header="0.31" footer="0.31"/>
  <pageSetup paperSize="9" scale="60" fitToHeight="0" pageOrder="downThenOver" orientation="landscape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1FED40E-E828-A0E8-F1E8-D562F14DBA68}" mc:Ignorable="x14ac xr xr2 xr3">
  <dimension ref="A1:R52"/>
  <sheetViews>
    <sheetView defaultGridColor="0" colorId="31" topLeftCell="B4" workbookViewId="0">
      <selection activeCell="R11" sqref="R11"/>
    </sheetView>
  </sheetViews>
  <sheetFormatPr customHeight="1" defaultRowHeight="14.152500000000002"/>
  <sheetData>
    <row customHeight="1" ht="14.25">
      <c r="A1" s="182"/>
      <c r="B1" s="183" t="s">
        <v>95</v>
      </c>
      <c r="C1" s="184" t="s">
        <v>3</v>
      </c>
      <c r="D1" s="183" t="s">
        <v>96</v>
      </c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</row>
    <row customHeight="1" ht="14.25">
      <c r="A2" s="182"/>
      <c r="B2" s="182"/>
      <c r="C2" s="185" t="str">
        <f>EDATE(C1,1)</f>
        <v>46023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</row>
    <row customHeight="1" ht="14.25">
      <c r="A3" s="182"/>
      <c r="B3" s="182"/>
      <c r="C3" s="186">
        <f>C2-1</f>
        <v>46022</v>
      </c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</row>
    <row customHeight="1" ht="14.152500000000002">
      <c r="A4" s="182"/>
      <c r="B4" s="182"/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</row>
    <row customHeight="1" ht="14.152500000000002">
      <c r="A5" s="182"/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</row>
    <row customHeight="1" ht="14.152500000000002">
      <c r="A6" s="182"/>
      <c r="B6" s="182"/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</row>
    <row customHeight="1" ht="14.25">
      <c r="A7" s="182"/>
      <c r="B7" s="182"/>
      <c r="C7" s="182"/>
      <c r="D7" s="187">
        <v>1492</v>
      </c>
      <c r="E7" s="182">
        <v>0</v>
      </c>
      <c r="F7" s="182">
        <v>950698</v>
      </c>
      <c r="G7" s="182">
        <v>0</v>
      </c>
      <c r="H7" s="182">
        <v>0</v>
      </c>
      <c r="I7" s="182">
        <v>0</v>
      </c>
      <c r="J7" s="182">
        <v>0</v>
      </c>
      <c r="K7" s="182">
        <v>0</v>
      </c>
      <c r="L7" s="182">
        <v>0</v>
      </c>
      <c r="M7" s="182">
        <v>953346</v>
      </c>
      <c r="N7" s="182">
        <v>8626</v>
      </c>
      <c r="O7" s="182">
        <v>0</v>
      </c>
      <c r="P7" s="182"/>
      <c r="Q7" s="188">
        <v>7375</v>
      </c>
      <c r="R7" s="182"/>
    </row>
    <row customHeight="1" ht="14.25">
      <c r="A8" s="182"/>
      <c r="B8" s="182"/>
      <c r="C8" s="182"/>
      <c r="D8" s="187">
        <v>1217</v>
      </c>
      <c r="E8" s="182">
        <v>0</v>
      </c>
      <c r="F8" s="182">
        <v>1523017</v>
      </c>
      <c r="G8" s="182">
        <v>0</v>
      </c>
      <c r="H8" s="182">
        <v>0</v>
      </c>
      <c r="I8" s="182">
        <v>0</v>
      </c>
      <c r="J8" s="182">
        <v>0</v>
      </c>
      <c r="K8" s="182">
        <v>0</v>
      </c>
      <c r="L8" s="182">
        <v>0</v>
      </c>
      <c r="M8" s="182">
        <v>1532231</v>
      </c>
      <c r="N8" s="182">
        <v>9790</v>
      </c>
      <c r="O8" s="182">
        <v>0</v>
      </c>
      <c r="P8" s="182"/>
      <c r="Q8" s="182">
        <v>1663</v>
      </c>
      <c r="R8" s="182"/>
    </row>
    <row customHeight="1" ht="14.25">
      <c r="A9" s="182"/>
      <c r="B9" s="182"/>
      <c r="C9" s="182"/>
      <c r="D9" s="187">
        <v>4214</v>
      </c>
      <c r="E9" s="182">
        <v>0</v>
      </c>
      <c r="F9" s="182">
        <v>0</v>
      </c>
      <c r="G9" s="182">
        <v>0</v>
      </c>
      <c r="H9" s="182">
        <v>0</v>
      </c>
      <c r="I9" s="182">
        <v>0</v>
      </c>
      <c r="J9" s="182">
        <v>992028</v>
      </c>
      <c r="K9" s="182">
        <v>0</v>
      </c>
      <c r="L9" s="182">
        <v>992065</v>
      </c>
      <c r="M9" s="182">
        <v>0</v>
      </c>
      <c r="N9" s="182">
        <v>0</v>
      </c>
      <c r="O9" s="182">
        <v>0</v>
      </c>
      <c r="P9" s="182"/>
      <c r="Q9" s="182">
        <v>3642</v>
      </c>
      <c r="R9" s="182"/>
    </row>
    <row s="189" customFormat="1" customHeight="1" ht="14.25">
      <c r="A10" s="98"/>
      <c r="B10" s="98"/>
      <c r="C10" s="98"/>
      <c r="D10" s="190"/>
      <c r="E10" s="191">
        <v>0</v>
      </c>
      <c r="F10" s="191">
        <v>4472</v>
      </c>
      <c r="G10" s="191">
        <v>0</v>
      </c>
      <c r="H10" s="191">
        <v>0</v>
      </c>
      <c r="I10" s="191">
        <v>0</v>
      </c>
      <c r="J10" s="191">
        <v>0</v>
      </c>
      <c r="K10" s="191">
        <v>0</v>
      </c>
      <c r="L10" s="191">
        <v>0</v>
      </c>
      <c r="M10" s="191"/>
      <c r="N10" s="191"/>
      <c r="O10" s="191">
        <v>4472</v>
      </c>
      <c r="P10" s="98"/>
      <c r="Q10" s="191"/>
      <c r="R10" s="192"/>
    </row>
    <row customHeight="1" ht="14.25">
      <c r="A11" s="182"/>
      <c r="B11" s="182"/>
      <c r="C11" s="182"/>
      <c r="D11" s="187">
        <v>0</v>
      </c>
      <c r="E11" s="182">
        <v>0</v>
      </c>
      <c r="F11" s="182">
        <v>0</v>
      </c>
      <c r="G11" s="182">
        <v>0</v>
      </c>
      <c r="H11" s="182">
        <v>0</v>
      </c>
      <c r="I11" s="182">
        <v>0</v>
      </c>
      <c r="J11" s="182">
        <v>259307</v>
      </c>
      <c r="K11" s="182">
        <v>0</v>
      </c>
      <c r="L11" s="182">
        <v>259307</v>
      </c>
      <c r="M11" s="182">
        <v>0</v>
      </c>
      <c r="N11" s="182">
        <v>0</v>
      </c>
      <c r="O11" s="182">
        <v>0</v>
      </c>
      <c r="P11" s="182"/>
      <c r="Q11" s="182">
        <v>0</v>
      </c>
      <c r="R11" s="182"/>
    </row>
    <row customHeight="1" ht="14.25">
      <c r="A12" s="182"/>
      <c r="B12" s="182"/>
      <c r="C12" s="182"/>
      <c r="D12" s="187">
        <v>9226</v>
      </c>
      <c r="E12" s="182">
        <v>0</v>
      </c>
      <c r="F12" s="182">
        <v>0</v>
      </c>
      <c r="G12" s="182">
        <v>0</v>
      </c>
      <c r="H12" s="182">
        <v>0</v>
      </c>
      <c r="I12" s="182">
        <v>0</v>
      </c>
      <c r="J12" s="182">
        <v>1508263</v>
      </c>
      <c r="K12" s="182">
        <v>0</v>
      </c>
      <c r="L12" s="182">
        <v>1517049</v>
      </c>
      <c r="M12" s="182">
        <v>0</v>
      </c>
      <c r="N12" s="182">
        <v>0</v>
      </c>
      <c r="O12" s="182">
        <v>9790</v>
      </c>
      <c r="P12" s="182"/>
      <c r="Q12" s="182">
        <v>7284</v>
      </c>
      <c r="R12" s="182"/>
    </row>
    <row customHeight="1" ht="14.25">
      <c r="A13" s="182"/>
      <c r="B13" s="182"/>
      <c r="C13" s="182"/>
      <c r="D13" s="187">
        <v>0</v>
      </c>
      <c r="E13" s="182">
        <v>0</v>
      </c>
      <c r="F13" s="182">
        <v>12140</v>
      </c>
      <c r="G13" s="182">
        <v>0</v>
      </c>
      <c r="H13" s="182">
        <v>12140</v>
      </c>
      <c r="I13" s="182">
        <v>0</v>
      </c>
      <c r="J13" s="182">
        <v>0</v>
      </c>
      <c r="K13" s="182">
        <v>0</v>
      </c>
      <c r="L13" s="182">
        <v>0</v>
      </c>
      <c r="M13" s="182">
        <v>0</v>
      </c>
      <c r="N13" s="182">
        <v>0</v>
      </c>
      <c r="O13" s="182">
        <v>0</v>
      </c>
      <c r="P13" s="182"/>
      <c r="Q13" s="182">
        <v>0</v>
      </c>
      <c r="R13" s="182"/>
    </row>
    <row customHeight="1" ht="14.25">
      <c r="A14" s="182"/>
      <c r="B14" s="182"/>
      <c r="C14" s="182"/>
      <c r="D14" s="187">
        <v>6222</v>
      </c>
      <c r="E14" s="182">
        <v>9400.16</v>
      </c>
      <c r="F14" s="182">
        <v>40319</v>
      </c>
      <c r="G14" s="182">
        <v>0</v>
      </c>
      <c r="H14" s="182">
        <v>0</v>
      </c>
      <c r="I14" s="182">
        <v>0</v>
      </c>
      <c r="J14" s="182">
        <v>266399</v>
      </c>
      <c r="K14" s="182">
        <v>0</v>
      </c>
      <c r="L14" s="182">
        <v>214664.6</v>
      </c>
      <c r="M14" s="182">
        <v>0</v>
      </c>
      <c r="N14" s="182">
        <v>0</v>
      </c>
      <c r="O14" s="182">
        <v>767</v>
      </c>
      <c r="P14" s="182"/>
      <c r="Q14" s="182">
        <v>3440</v>
      </c>
      <c r="R14" s="182"/>
    </row>
    <row customHeight="1" ht="14.25">
      <c r="A15" s="182"/>
      <c r="B15" s="182"/>
      <c r="C15" s="182"/>
      <c r="D15" s="187">
        <v>0</v>
      </c>
      <c r="E15" s="182">
        <v>0</v>
      </c>
      <c r="F15" s="182">
        <v>1725</v>
      </c>
      <c r="G15" s="182">
        <v>0</v>
      </c>
      <c r="H15" s="182">
        <v>0</v>
      </c>
      <c r="I15" s="182">
        <v>0</v>
      </c>
      <c r="J15" s="182">
        <v>0</v>
      </c>
      <c r="K15" s="182">
        <v>0</v>
      </c>
      <c r="L15" s="182">
        <v>0</v>
      </c>
      <c r="M15" s="182">
        <v>0</v>
      </c>
      <c r="N15" s="182">
        <v>0</v>
      </c>
      <c r="O15" s="182">
        <v>1725</v>
      </c>
      <c r="P15" s="182"/>
      <c r="Q15" s="182">
        <v>0</v>
      </c>
      <c r="R15" s="182"/>
    </row>
    <row customHeight="1" ht="14.25">
      <c r="A16" s="182"/>
      <c r="B16" s="182"/>
      <c r="C16" s="182"/>
      <c r="D16" s="187">
        <v>0</v>
      </c>
      <c r="E16" s="182">
        <v>0</v>
      </c>
      <c r="F16" s="182">
        <v>2430</v>
      </c>
      <c r="G16" s="182">
        <v>0</v>
      </c>
      <c r="H16" s="182">
        <v>0</v>
      </c>
      <c r="I16" s="182">
        <v>0</v>
      </c>
      <c r="J16" s="182">
        <v>0</v>
      </c>
      <c r="K16" s="182">
        <v>0</v>
      </c>
      <c r="L16" s="182">
        <v>0</v>
      </c>
      <c r="M16" s="182">
        <v>0</v>
      </c>
      <c r="N16" s="182">
        <v>0</v>
      </c>
      <c r="O16" s="182">
        <v>2430</v>
      </c>
      <c r="P16" s="182"/>
      <c r="Q16" s="182">
        <v>0</v>
      </c>
      <c r="R16" s="182"/>
    </row>
    <row customHeight="1" ht="14.25">
      <c r="A17" s="182"/>
      <c r="B17" s="182"/>
      <c r="C17" s="182"/>
      <c r="D17" s="187">
        <v>0</v>
      </c>
      <c r="E17" s="182">
        <v>0</v>
      </c>
      <c r="F17" s="182">
        <v>700</v>
      </c>
      <c r="G17" s="182">
        <v>0</v>
      </c>
      <c r="H17" s="182">
        <v>0</v>
      </c>
      <c r="I17" s="182">
        <v>0</v>
      </c>
      <c r="J17" s="182">
        <v>0</v>
      </c>
      <c r="K17" s="182">
        <v>0</v>
      </c>
      <c r="L17" s="182">
        <v>0</v>
      </c>
      <c r="M17" s="182">
        <v>0</v>
      </c>
      <c r="N17" s="182">
        <v>0</v>
      </c>
      <c r="O17" s="182">
        <v>700</v>
      </c>
      <c r="P17" s="182"/>
      <c r="Q17" s="182">
        <v>0</v>
      </c>
      <c r="R17" s="182"/>
    </row>
    <row customHeight="1" ht="14.25">
      <c r="A18" s="182"/>
      <c r="B18" s="182"/>
      <c r="C18" s="182"/>
      <c r="D18" s="187">
        <v>2699</v>
      </c>
      <c r="E18" s="182">
        <v>0</v>
      </c>
      <c r="F18" s="182">
        <v>0</v>
      </c>
      <c r="G18" s="182">
        <v>0</v>
      </c>
      <c r="H18" s="182">
        <v>0</v>
      </c>
      <c r="I18" s="182">
        <v>0</v>
      </c>
      <c r="J18" s="182">
        <v>133478</v>
      </c>
      <c r="K18" s="182">
        <v>0</v>
      </c>
      <c r="L18" s="182">
        <v>135148</v>
      </c>
      <c r="M18" s="182">
        <v>0</v>
      </c>
      <c r="N18" s="182">
        <v>0</v>
      </c>
      <c r="O18" s="182">
        <v>0</v>
      </c>
      <c r="P18" s="182"/>
      <c r="Q18" s="182">
        <v>4369</v>
      </c>
      <c r="R18" s="182"/>
    </row>
    <row customHeight="1" ht="14.25">
      <c r="A19" s="182"/>
      <c r="B19" s="182"/>
      <c r="C19" s="182"/>
      <c r="D19" s="187">
        <v>0</v>
      </c>
      <c r="E19" s="182">
        <v>0</v>
      </c>
      <c r="F19" s="182">
        <v>0</v>
      </c>
      <c r="G19" s="182">
        <v>0</v>
      </c>
      <c r="H19" s="182">
        <v>0</v>
      </c>
      <c r="I19" s="182">
        <v>0</v>
      </c>
      <c r="J19" s="182">
        <v>0</v>
      </c>
      <c r="K19" s="182">
        <v>0</v>
      </c>
      <c r="L19" s="182">
        <v>0</v>
      </c>
      <c r="M19" s="182">
        <v>0</v>
      </c>
      <c r="N19" s="182">
        <v>0</v>
      </c>
      <c r="O19" s="182">
        <v>0</v>
      </c>
      <c r="P19" s="182"/>
      <c r="Q19" s="182">
        <v>0</v>
      </c>
      <c r="R19" s="182"/>
    </row>
    <row customHeight="1" ht="14.25">
      <c r="A20" s="182"/>
      <c r="B20" s="182"/>
      <c r="C20" s="182"/>
      <c r="D20" s="187">
        <v>2078</v>
      </c>
      <c r="E20" s="182">
        <v>13726.5</v>
      </c>
      <c r="F20" s="182">
        <v>0</v>
      </c>
      <c r="G20" s="182">
        <v>0</v>
      </c>
      <c r="H20" s="182">
        <v>0</v>
      </c>
      <c r="I20" s="182">
        <v>0</v>
      </c>
      <c r="J20" s="182">
        <v>27570</v>
      </c>
      <c r="K20" s="182">
        <v>0</v>
      </c>
      <c r="L20" s="182">
        <v>14644.32</v>
      </c>
      <c r="M20" s="182">
        <v>0</v>
      </c>
      <c r="N20" s="182">
        <v>767</v>
      </c>
      <c r="O20" s="182">
        <v>0</v>
      </c>
      <c r="P20" s="182"/>
      <c r="Q20" s="182">
        <v>3645.4</v>
      </c>
      <c r="R20" s="182"/>
    </row>
    <row customHeight="1" ht="14.25">
      <c r="A21" s="182"/>
      <c r="B21" s="182"/>
      <c r="C21" s="182"/>
      <c r="D21" s="187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82"/>
    </row>
    <row customHeight="1" ht="14.25">
      <c r="A22" s="182"/>
      <c r="B22" s="182"/>
      <c r="C22" s="182"/>
      <c r="D22" s="187">
        <v>4053</v>
      </c>
      <c r="E22" s="182">
        <v>0</v>
      </c>
      <c r="F22" s="182">
        <v>1681854</v>
      </c>
      <c r="G22" s="182">
        <v>0</v>
      </c>
      <c r="H22" s="182">
        <v>0</v>
      </c>
      <c r="I22" s="182">
        <v>0</v>
      </c>
      <c r="J22" s="182">
        <v>0</v>
      </c>
      <c r="K22" s="182">
        <v>0</v>
      </c>
      <c r="L22" s="182">
        <v>0</v>
      </c>
      <c r="M22" s="182">
        <v>1866906</v>
      </c>
      <c r="N22" s="182">
        <v>356594</v>
      </c>
      <c r="O22" s="182">
        <v>172147</v>
      </c>
      <c r="P22" s="182"/>
      <c r="Q22" s="182">
        <v>3284</v>
      </c>
      <c r="R22" s="182"/>
    </row>
    <row customHeight="1" ht="14.25">
      <c r="A23" s="182"/>
      <c r="B23" s="182"/>
      <c r="C23" s="182"/>
      <c r="D23" s="187">
        <v>7625</v>
      </c>
      <c r="E23" s="182">
        <v>0</v>
      </c>
      <c r="F23" s="182">
        <v>481048</v>
      </c>
      <c r="G23" s="182">
        <v>0</v>
      </c>
      <c r="H23" s="182">
        <v>223400</v>
      </c>
      <c r="I23" s="182">
        <v>0</v>
      </c>
      <c r="J23" s="182">
        <v>0</v>
      </c>
      <c r="K23" s="182">
        <v>0</v>
      </c>
      <c r="L23" s="182">
        <v>0</v>
      </c>
      <c r="M23" s="182">
        <v>0</v>
      </c>
      <c r="N23" s="182">
        <v>34380</v>
      </c>
      <c r="O23" s="182">
        <v>298356</v>
      </c>
      <c r="P23" s="182"/>
      <c r="Q23" s="182">
        <v>1297</v>
      </c>
      <c r="R23" s="182"/>
    </row>
    <row customHeight="1" ht="14.25">
      <c r="A24" s="182"/>
      <c r="B24" s="182"/>
      <c r="C24" s="182"/>
      <c r="D24" s="187">
        <v>0</v>
      </c>
      <c r="E24" s="182">
        <v>0</v>
      </c>
      <c r="F24" s="182">
        <v>218258</v>
      </c>
      <c r="G24" s="182">
        <v>0</v>
      </c>
      <c r="H24" s="182">
        <v>0</v>
      </c>
      <c r="I24" s="182">
        <v>0</v>
      </c>
      <c r="J24" s="182">
        <v>127332</v>
      </c>
      <c r="K24" s="182">
        <v>0</v>
      </c>
      <c r="L24" s="182">
        <v>0</v>
      </c>
      <c r="M24" s="182">
        <v>0</v>
      </c>
      <c r="N24" s="182">
        <v>0</v>
      </c>
      <c r="O24" s="182">
        <v>90926</v>
      </c>
      <c r="P24" s="182"/>
      <c r="Q24" s="182">
        <v>0</v>
      </c>
      <c r="R24" s="182"/>
    </row>
    <row customHeight="1" ht="14.25">
      <c r="A25" s="182"/>
      <c r="B25" s="182"/>
      <c r="C25" s="182"/>
      <c r="D25" s="187">
        <v>5921</v>
      </c>
      <c r="E25" s="182">
        <v>0</v>
      </c>
      <c r="F25" s="182">
        <v>791281</v>
      </c>
      <c r="G25" s="182">
        <v>0</v>
      </c>
      <c r="H25" s="182">
        <v>0</v>
      </c>
      <c r="I25" s="182">
        <v>0</v>
      </c>
      <c r="J25" s="182">
        <v>0</v>
      </c>
      <c r="K25" s="182">
        <v>0</v>
      </c>
      <c r="L25" s="182">
        <v>0</v>
      </c>
      <c r="M25" s="182">
        <v>964305</v>
      </c>
      <c r="N25" s="182">
        <v>172847</v>
      </c>
      <c r="O25" s="182">
        <v>0</v>
      </c>
      <c r="P25" s="182"/>
      <c r="Q25" s="182">
        <v>5653</v>
      </c>
      <c r="R25" s="182"/>
    </row>
    <row customHeight="1" ht="14.25">
      <c r="A26" s="182"/>
      <c r="B26" s="182"/>
      <c r="C26" s="182"/>
      <c r="D26" s="187">
        <v>0</v>
      </c>
      <c r="E26" s="182">
        <v>0</v>
      </c>
      <c r="F26" s="182">
        <v>0</v>
      </c>
      <c r="G26" s="182">
        <v>0</v>
      </c>
      <c r="H26" s="182">
        <v>0</v>
      </c>
      <c r="I26" s="182">
        <v>0</v>
      </c>
      <c r="J26" s="182">
        <v>872747</v>
      </c>
      <c r="K26" s="182">
        <v>0</v>
      </c>
      <c r="L26" s="182">
        <v>890659</v>
      </c>
      <c r="M26" s="182">
        <v>0</v>
      </c>
      <c r="N26" s="182">
        <v>4155</v>
      </c>
      <c r="O26" s="182">
        <v>21877</v>
      </c>
      <c r="P26" s="182"/>
      <c r="Q26" s="182">
        <v>0</v>
      </c>
      <c r="R26" s="182"/>
    </row>
    <row customHeight="1" ht="14.25">
      <c r="A27" s="182"/>
      <c r="B27" s="182"/>
      <c r="C27" s="182"/>
      <c r="D27" s="187">
        <v>4468</v>
      </c>
      <c r="E27" s="182">
        <v>0</v>
      </c>
      <c r="F27" s="182">
        <v>0</v>
      </c>
      <c r="G27" s="182">
        <v>0</v>
      </c>
      <c r="H27" s="182">
        <v>0</v>
      </c>
      <c r="I27" s="182">
        <v>0</v>
      </c>
      <c r="J27" s="182">
        <v>1749755</v>
      </c>
      <c r="K27" s="182">
        <v>0</v>
      </c>
      <c r="L27" s="182">
        <v>1738605</v>
      </c>
      <c r="M27" s="182">
        <v>0</v>
      </c>
      <c r="N27" s="182">
        <v>21877</v>
      </c>
      <c r="O27" s="182">
        <v>4155</v>
      </c>
      <c r="P27" s="182"/>
      <c r="Q27" s="182">
        <v>10460</v>
      </c>
      <c r="R27" s="182"/>
    </row>
    <row customHeight="1" ht="14.25">
      <c r="A28" s="182"/>
      <c r="B28" s="182"/>
      <c r="C28" s="182"/>
      <c r="D28" s="187"/>
      <c r="E28" s="182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</row>
    <row customHeight="1" ht="14.25">
      <c r="A29" s="182"/>
      <c r="B29" s="182"/>
      <c r="C29" s="182"/>
      <c r="D29" s="187">
        <v>3659</v>
      </c>
      <c r="E29" s="182">
        <v>0</v>
      </c>
      <c r="F29" s="182">
        <v>539226</v>
      </c>
      <c r="G29" s="182">
        <v>0</v>
      </c>
      <c r="H29" s="182">
        <v>333212</v>
      </c>
      <c r="I29" s="182">
        <v>0</v>
      </c>
      <c r="J29" s="182">
        <v>0</v>
      </c>
      <c r="K29" s="182">
        <v>0</v>
      </c>
      <c r="L29" s="182">
        <v>412944.82</v>
      </c>
      <c r="M29" s="182">
        <v>621089</v>
      </c>
      <c r="N29" s="182">
        <v>875</v>
      </c>
      <c r="O29" s="182">
        <v>0</v>
      </c>
      <c r="P29" s="182"/>
      <c r="Q29" s="182">
        <v>3354.5</v>
      </c>
      <c r="R29" s="182"/>
    </row>
    <row customHeight="1" ht="14.25">
      <c r="A30" s="182"/>
      <c r="B30" s="182"/>
      <c r="C30" s="182"/>
      <c r="D30" s="187">
        <v>0</v>
      </c>
      <c r="E30" s="182">
        <v>0</v>
      </c>
      <c r="F30" s="182">
        <v>0</v>
      </c>
      <c r="G30" s="182">
        <v>0</v>
      </c>
      <c r="H30" s="182">
        <v>0</v>
      </c>
      <c r="I30" s="182">
        <v>0</v>
      </c>
      <c r="J30" s="182">
        <v>0</v>
      </c>
      <c r="K30" s="182">
        <v>0</v>
      </c>
      <c r="L30" s="182">
        <v>0</v>
      </c>
      <c r="M30" s="182">
        <v>0</v>
      </c>
      <c r="N30" s="182">
        <v>0</v>
      </c>
      <c r="O30" s="182">
        <v>0</v>
      </c>
      <c r="P30" s="182"/>
      <c r="Q30" s="182">
        <v>0</v>
      </c>
      <c r="R30" s="182"/>
    </row>
    <row customHeight="1" ht="14.25">
      <c r="A31" s="182"/>
      <c r="B31" s="182"/>
      <c r="C31" s="182"/>
      <c r="D31" s="187">
        <v>0</v>
      </c>
      <c r="E31" s="182">
        <v>0</v>
      </c>
      <c r="F31" s="182">
        <v>332118</v>
      </c>
      <c r="G31" s="182">
        <v>0</v>
      </c>
      <c r="H31" s="182">
        <v>332118</v>
      </c>
      <c r="I31" s="182">
        <v>0</v>
      </c>
      <c r="J31" s="182">
        <v>0</v>
      </c>
      <c r="K31" s="182">
        <v>0</v>
      </c>
      <c r="L31" s="182">
        <v>0</v>
      </c>
      <c r="M31" s="182">
        <v>0</v>
      </c>
      <c r="N31" s="182">
        <v>0</v>
      </c>
      <c r="O31" s="182">
        <v>0</v>
      </c>
      <c r="P31" s="182"/>
      <c r="Q31" s="182">
        <v>0</v>
      </c>
      <c r="R31" s="182"/>
    </row>
    <row customHeight="1" ht="14.25">
      <c r="A32" s="182"/>
      <c r="B32" s="182"/>
      <c r="C32" s="182"/>
      <c r="D32" s="187">
        <v>260</v>
      </c>
      <c r="E32" s="182">
        <v>0</v>
      </c>
      <c r="F32" s="182">
        <v>194448</v>
      </c>
      <c r="G32" s="182">
        <v>0</v>
      </c>
      <c r="H32" s="182">
        <v>194539</v>
      </c>
      <c r="I32" s="182">
        <v>0</v>
      </c>
      <c r="J32" s="182">
        <v>0</v>
      </c>
      <c r="K32" s="182">
        <v>0</v>
      </c>
      <c r="L32" s="182">
        <v>14213</v>
      </c>
      <c r="M32" s="182">
        <v>0</v>
      </c>
      <c r="N32" s="182">
        <v>0</v>
      </c>
      <c r="O32" s="182">
        <v>14287</v>
      </c>
      <c r="P32" s="182"/>
      <c r="Q32" s="182">
        <v>95</v>
      </c>
      <c r="R32" s="182"/>
    </row>
    <row customHeight="1" ht="14.25">
      <c r="A33" s="182"/>
      <c r="B33" s="182"/>
      <c r="C33" s="182"/>
      <c r="D33" s="187">
        <v>715</v>
      </c>
      <c r="E33" s="182">
        <v>0</v>
      </c>
      <c r="F33" s="182">
        <v>31882</v>
      </c>
      <c r="G33" s="182">
        <v>0</v>
      </c>
      <c r="H33" s="182">
        <v>0</v>
      </c>
      <c r="I33" s="182">
        <v>0</v>
      </c>
      <c r="J33" s="182">
        <v>0</v>
      </c>
      <c r="K33" s="182">
        <v>0</v>
      </c>
      <c r="L33" s="182">
        <v>20852</v>
      </c>
      <c r="M33" s="182">
        <v>30403</v>
      </c>
      <c r="N33" s="182">
        <v>0</v>
      </c>
      <c r="O33" s="182">
        <v>22779</v>
      </c>
      <c r="P33" s="182"/>
      <c r="Q33" s="182">
        <v>267</v>
      </c>
      <c r="R33" s="182"/>
    </row>
    <row customHeight="1" ht="14.25">
      <c r="A34" s="182"/>
      <c r="B34" s="182"/>
      <c r="C34" s="182"/>
      <c r="D34" s="187">
        <v>694</v>
      </c>
      <c r="E34" s="182">
        <v>0</v>
      </c>
      <c r="F34" s="182">
        <v>166720</v>
      </c>
      <c r="G34" s="182"/>
      <c r="H34" s="182">
        <v>113631</v>
      </c>
      <c r="I34" s="182">
        <v>95198.64</v>
      </c>
      <c r="J34" s="182">
        <v>0</v>
      </c>
      <c r="K34" s="182">
        <v>0</v>
      </c>
      <c r="L34" s="182">
        <v>74310</v>
      </c>
      <c r="M34" s="182">
        <v>0</v>
      </c>
      <c r="N34" s="182">
        <v>267</v>
      </c>
      <c r="O34" s="182">
        <v>32686</v>
      </c>
      <c r="P34" s="182"/>
      <c r="Q34" s="182">
        <v>477</v>
      </c>
      <c r="R34" s="182"/>
    </row>
    <row customHeight="1" ht="14.25">
      <c r="A35" s="182"/>
      <c r="B35" s="182"/>
      <c r="C35" s="182"/>
      <c r="D35" s="187">
        <v>487</v>
      </c>
      <c r="E35" s="182">
        <v>0</v>
      </c>
      <c r="F35" s="182">
        <v>84872</v>
      </c>
      <c r="G35" s="182">
        <v>0</v>
      </c>
      <c r="H35" s="182">
        <v>0</v>
      </c>
      <c r="I35" s="182">
        <v>0</v>
      </c>
      <c r="J35" s="182">
        <v>0</v>
      </c>
      <c r="K35" s="182">
        <v>0</v>
      </c>
      <c r="L35" s="182">
        <v>509</v>
      </c>
      <c r="M35" s="182">
        <v>74611</v>
      </c>
      <c r="N35" s="182">
        <v>168</v>
      </c>
      <c r="O35" s="182">
        <v>10984</v>
      </c>
      <c r="P35" s="182"/>
      <c r="Q35" s="182">
        <v>441</v>
      </c>
      <c r="R35" s="182"/>
    </row>
    <row customHeight="1" ht="14.25">
      <c r="A36" s="182"/>
      <c r="B36" s="182"/>
      <c r="C36" s="182"/>
      <c r="D36" s="187">
        <v>1587</v>
      </c>
      <c r="E36" s="182"/>
      <c r="F36" s="182"/>
      <c r="G36" s="182"/>
      <c r="H36" s="182"/>
      <c r="I36" s="182"/>
      <c r="J36" s="182"/>
      <c r="K36" s="182"/>
      <c r="L36" s="182">
        <v>52806.5</v>
      </c>
      <c r="M36" s="182">
        <v>54059</v>
      </c>
      <c r="N36" s="182"/>
      <c r="O36" s="182"/>
      <c r="P36" s="182"/>
      <c r="Q36" s="182">
        <v>335</v>
      </c>
      <c r="R36" s="182"/>
    </row>
    <row s="193" customFormat="1" customHeight="1" ht="14.25">
      <c r="A37" s="98"/>
      <c r="B37" s="98"/>
      <c r="C37" s="98"/>
      <c r="D37" s="190">
        <v>592</v>
      </c>
      <c r="E37" s="194">
        <v>0</v>
      </c>
      <c r="F37" s="194">
        <v>0</v>
      </c>
      <c r="G37" s="194">
        <v>0</v>
      </c>
      <c r="H37" s="194">
        <v>0</v>
      </c>
      <c r="I37" s="194">
        <v>0</v>
      </c>
      <c r="J37" s="194">
        <v>0</v>
      </c>
      <c r="K37" s="194">
        <v>0</v>
      </c>
      <c r="L37" s="194">
        <v>109406</v>
      </c>
      <c r="M37" s="194">
        <v>0</v>
      </c>
      <c r="N37" s="194">
        <v>0</v>
      </c>
      <c r="O37" s="194">
        <v>109761</v>
      </c>
      <c r="P37" s="98"/>
      <c r="Q37" s="194">
        <v>243</v>
      </c>
      <c r="R37" s="195"/>
    </row>
    <row customHeight="1" ht="14.25">
      <c r="A38" s="182"/>
      <c r="B38" s="182"/>
      <c r="C38" s="182"/>
      <c r="D38" s="187">
        <v>492</v>
      </c>
      <c r="E38" s="182"/>
      <c r="F38" s="182"/>
      <c r="G38" s="182">
        <v>15368</v>
      </c>
      <c r="H38" s="182"/>
      <c r="I38" s="182">
        <v>189305.4</v>
      </c>
      <c r="J38" s="182"/>
      <c r="K38" s="182"/>
      <c r="L38" s="182"/>
      <c r="M38" s="182"/>
      <c r="N38" s="182">
        <v>174694</v>
      </c>
      <c r="O38" s="182">
        <v>0</v>
      </c>
      <c r="P38" s="182"/>
      <c r="Q38" s="182">
        <v>1247</v>
      </c>
      <c r="R38" s="182"/>
    </row>
    <row customHeight="1" ht="14.25">
      <c r="A39" s="182"/>
      <c r="B39" s="182"/>
      <c r="C39" s="182"/>
      <c r="D39" s="187">
        <v>491</v>
      </c>
      <c r="E39" s="182">
        <v>0</v>
      </c>
      <c r="F39" s="182">
        <v>92386</v>
      </c>
      <c r="G39" s="182">
        <v>0</v>
      </c>
      <c r="H39" s="182">
        <v>107779</v>
      </c>
      <c r="I39" s="182">
        <v>36938.76</v>
      </c>
      <c r="J39" s="182">
        <v>0</v>
      </c>
      <c r="K39" s="182">
        <v>0</v>
      </c>
      <c r="L39" s="182">
        <v>53588</v>
      </c>
      <c r="M39" s="182">
        <v>0</v>
      </c>
      <c r="N39" s="182">
        <v>0</v>
      </c>
      <c r="O39" s="182">
        <v>875</v>
      </c>
      <c r="P39" s="182"/>
      <c r="Q39" s="182">
        <v>872.5</v>
      </c>
      <c r="R39" s="182"/>
    </row>
    <row customHeight="1" ht="14.25">
      <c r="A40" s="182"/>
      <c r="B40" s="182"/>
      <c r="C40" s="182"/>
      <c r="D40" s="187">
        <v>2369</v>
      </c>
      <c r="E40" s="182">
        <v>0</v>
      </c>
      <c r="F40" s="182">
        <v>0</v>
      </c>
      <c r="G40" s="182">
        <v>0</v>
      </c>
      <c r="H40" s="182">
        <v>51293</v>
      </c>
      <c r="I40" s="182">
        <v>8687.74</v>
      </c>
      <c r="J40" s="182">
        <v>0</v>
      </c>
      <c r="K40" s="182">
        <v>0</v>
      </c>
      <c r="L40" s="182">
        <v>59327</v>
      </c>
      <c r="M40" s="182">
        <v>0</v>
      </c>
      <c r="N40" s="182">
        <v>0</v>
      </c>
      <c r="O40" s="182">
        <v>0</v>
      </c>
      <c r="P40" s="182"/>
      <c r="Q40" s="182">
        <v>1715</v>
      </c>
      <c r="R40" s="182"/>
    </row>
    <row customHeight="1" ht="14.25">
      <c r="A41" s="182"/>
      <c r="B41" s="182"/>
      <c r="C41" s="182"/>
      <c r="D41" s="187">
        <v>0</v>
      </c>
      <c r="E41" s="182">
        <v>0</v>
      </c>
      <c r="F41" s="182">
        <v>0</v>
      </c>
      <c r="G41" s="182">
        <v>0</v>
      </c>
      <c r="H41" s="182">
        <v>0</v>
      </c>
      <c r="I41" s="182">
        <v>0</v>
      </c>
      <c r="J41" s="182">
        <v>0</v>
      </c>
      <c r="K41" s="182">
        <v>0</v>
      </c>
      <c r="L41" s="182">
        <v>0</v>
      </c>
      <c r="M41" s="182">
        <v>0</v>
      </c>
      <c r="N41" s="182">
        <v>0</v>
      </c>
      <c r="O41" s="182">
        <v>0</v>
      </c>
      <c r="P41" s="182"/>
      <c r="Q41" s="182">
        <v>0</v>
      </c>
      <c r="R41" s="182"/>
    </row>
    <row customHeight="1" ht="14.25">
      <c r="A42" s="182"/>
      <c r="B42" s="182"/>
      <c r="C42" s="182"/>
      <c r="D42" s="187">
        <v>2368</v>
      </c>
      <c r="E42" s="182">
        <v>0</v>
      </c>
      <c r="F42" s="182">
        <v>65411</v>
      </c>
      <c r="G42" s="182">
        <v>0</v>
      </c>
      <c r="H42" s="182">
        <v>64164</v>
      </c>
      <c r="I42" s="182">
        <v>0</v>
      </c>
      <c r="J42" s="182">
        <v>0</v>
      </c>
      <c r="K42" s="182">
        <v>0</v>
      </c>
      <c r="L42" s="182">
        <v>0</v>
      </c>
      <c r="M42" s="182">
        <v>0</v>
      </c>
      <c r="N42" s="182">
        <v>0</v>
      </c>
      <c r="O42" s="182">
        <v>0</v>
      </c>
      <c r="P42" s="182"/>
      <c r="Q42" s="182">
        <v>3615</v>
      </c>
      <c r="R42" s="182"/>
    </row>
    <row customHeight="1" ht="14.25">
      <c r="A43" s="182"/>
      <c r="B43" s="182"/>
      <c r="C43" s="182"/>
      <c r="D43" s="187">
        <v>565</v>
      </c>
      <c r="E43" s="182">
        <v>0</v>
      </c>
      <c r="F43" s="182">
        <v>62340</v>
      </c>
      <c r="G43" s="182">
        <v>0</v>
      </c>
      <c r="H43" s="182">
        <v>62252</v>
      </c>
      <c r="I43" s="182">
        <v>0</v>
      </c>
      <c r="J43" s="182">
        <v>0</v>
      </c>
      <c r="K43" s="182">
        <v>0</v>
      </c>
      <c r="L43" s="182">
        <v>0</v>
      </c>
      <c r="M43" s="182">
        <v>0</v>
      </c>
      <c r="N43" s="182">
        <v>0</v>
      </c>
      <c r="O43" s="182">
        <v>0</v>
      </c>
      <c r="P43" s="182"/>
      <c r="Q43" s="182">
        <v>653</v>
      </c>
      <c r="R43" s="182"/>
    </row>
    <row customHeight="1" ht="14.25">
      <c r="A44" s="182"/>
      <c r="B44" s="182"/>
      <c r="C44" s="182"/>
      <c r="D44" s="187"/>
      <c r="E44" s="182"/>
      <c r="F44" s="182"/>
      <c r="G44" s="182"/>
      <c r="H44" s="182"/>
      <c r="I44" s="182"/>
      <c r="J44" s="182"/>
      <c r="K44" s="182"/>
      <c r="L44" s="182"/>
      <c r="M44" s="182"/>
      <c r="N44" s="182"/>
      <c r="O44" s="182"/>
      <c r="P44" s="182"/>
      <c r="Q44" s="182"/>
      <c r="R44" s="182"/>
    </row>
    <row customHeight="1" ht="14.25">
      <c r="A45" s="182"/>
      <c r="B45" s="182"/>
      <c r="C45" s="182"/>
      <c r="D45" s="187">
        <v>535</v>
      </c>
      <c r="E45" s="182">
        <v>0</v>
      </c>
      <c r="F45" s="182">
        <v>25371</v>
      </c>
      <c r="G45" s="182">
        <v>0</v>
      </c>
      <c r="H45" s="182">
        <v>0</v>
      </c>
      <c r="I45" s="182">
        <v>24882.5</v>
      </c>
      <c r="J45" s="182">
        <v>0</v>
      </c>
      <c r="K45" s="182">
        <v>0</v>
      </c>
      <c r="L45" s="182">
        <v>0</v>
      </c>
      <c r="M45" s="182">
        <v>0</v>
      </c>
      <c r="N45" s="182">
        <v>0</v>
      </c>
      <c r="O45" s="182">
        <v>0</v>
      </c>
      <c r="P45" s="182"/>
      <c r="Q45" s="182"/>
      <c r="R45" s="182"/>
    </row>
    <row customHeight="1" ht="14.25">
      <c r="A46" s="182"/>
      <c r="B46" s="182"/>
      <c r="C46" s="182"/>
      <c r="D46" s="187">
        <v>0</v>
      </c>
      <c r="E46" s="182">
        <v>0</v>
      </c>
      <c r="F46" s="182">
        <v>1109</v>
      </c>
      <c r="G46" s="182">
        <v>0</v>
      </c>
      <c r="H46" s="182">
        <v>0</v>
      </c>
      <c r="I46" s="182">
        <v>0</v>
      </c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82">
        <v>1109</v>
      </c>
      <c r="P46" s="182"/>
      <c r="Q46" s="182">
        <v>0</v>
      </c>
      <c r="R46" s="182"/>
    </row>
    <row customHeight="1" ht="14.25">
      <c r="A47" s="182"/>
      <c r="B47" s="182"/>
      <c r="C47" s="182"/>
      <c r="D47" s="187"/>
      <c r="E47" s="182"/>
      <c r="F47" s="182"/>
      <c r="G47" s="182"/>
      <c r="H47" s="182"/>
      <c r="I47" s="182"/>
      <c r="J47" s="182"/>
      <c r="K47" s="182"/>
      <c r="L47" s="182"/>
      <c r="M47" s="182"/>
      <c r="N47" s="182"/>
      <c r="O47" s="182"/>
      <c r="P47" s="182"/>
      <c r="Q47" s="182"/>
      <c r="R47" s="182"/>
    </row>
    <row customHeight="1" ht="14.25">
      <c r="A48" s="182"/>
      <c r="B48" s="182"/>
      <c r="C48" s="182"/>
      <c r="D48" s="187">
        <v>0</v>
      </c>
      <c r="E48" s="182">
        <v>75.73</v>
      </c>
      <c r="F48" s="182">
        <v>0</v>
      </c>
      <c r="G48" s="182">
        <v>0</v>
      </c>
      <c r="H48" s="182">
        <v>0</v>
      </c>
      <c r="I48" s="182">
        <v>0</v>
      </c>
      <c r="J48" s="182">
        <v>0</v>
      </c>
      <c r="K48" s="182">
        <v>0</v>
      </c>
      <c r="L48" s="182">
        <v>0</v>
      </c>
      <c r="M48" s="182">
        <v>0</v>
      </c>
      <c r="N48" s="182">
        <v>0</v>
      </c>
      <c r="O48" s="182">
        <v>75.17</v>
      </c>
      <c r="P48" s="182"/>
      <c r="Q48" s="182">
        <v>0.4</v>
      </c>
      <c r="R48" s="182"/>
    </row>
    <row customHeight="1" ht="14.152500000000002">
      <c r="A49" s="182"/>
      <c r="B49" s="182"/>
      <c r="C49" s="182"/>
      <c r="D49" s="182"/>
      <c r="E49" s="182"/>
      <c r="F49" s="182"/>
      <c r="G49" s="182"/>
      <c r="H49" s="182"/>
      <c r="I49" s="182"/>
      <c r="J49" s="182"/>
      <c r="K49" s="182"/>
      <c r="L49" s="182"/>
      <c r="M49" s="182"/>
      <c r="N49" s="182"/>
      <c r="O49" s="182"/>
      <c r="P49" s="182"/>
      <c r="Q49" s="182"/>
      <c r="R49" s="182"/>
    </row>
    <row customHeight="1" ht="14.152500000000002">
      <c r="A50" s="182"/>
      <c r="B50" s="182"/>
      <c r="C50" s="182"/>
      <c r="D50" s="182"/>
      <c r="E50" s="182"/>
      <c r="F50" s="182"/>
      <c r="G50" s="182"/>
      <c r="H50" s="182"/>
      <c r="I50" s="182"/>
      <c r="J50" s="182"/>
      <c r="K50" s="182"/>
      <c r="L50" s="182"/>
      <c r="M50" s="182"/>
      <c r="N50" s="182"/>
      <c r="O50" s="182"/>
      <c r="P50" s="182"/>
      <c r="Q50" s="182"/>
      <c r="R50" s="182"/>
    </row>
    <row customHeight="1" ht="14.25">
      <c r="A51" s="182"/>
      <c r="B51" s="182"/>
      <c r="C51" s="182"/>
      <c r="D51" s="192" t="s">
        <v>91</v>
      </c>
      <c r="E51" s="182"/>
      <c r="F51" s="182"/>
      <c r="G51" s="182"/>
      <c r="H51" s="182"/>
      <c r="I51" s="182"/>
      <c r="J51" s="182"/>
      <c r="K51" s="182"/>
      <c r="L51" s="182"/>
      <c r="M51" s="182"/>
      <c r="N51" s="182"/>
      <c r="O51" s="182"/>
      <c r="P51" s="182"/>
      <c r="Q51" s="182"/>
      <c r="R51" s="182"/>
    </row>
    <row customHeight="1" ht="14.25">
      <c r="A52" s="182"/>
      <c r="B52" s="182"/>
      <c r="C52" s="182"/>
      <c r="D52" s="192" t="s">
        <v>93</v>
      </c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2"/>
      <c r="R52" s="182"/>
    </row>
  </sheetData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半成品收拨平衡表（本年累计）</vt:lpstr>
      <vt:lpstr>取值</vt:lpstr>
      <vt:lpstr>'半成品收拨平衡表（本年累计）'!Print_Titles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dhc</cp:lastModifiedBy>
  <cp:lastPrinted>2022-05-31T07:47:08Z</cp:lastPrinted>
  <dcterms:created xsi:type="dcterms:W3CDTF">2015-06-05T18:19:34Z</dcterms:created>
  <dcterms:modified xsi:type="dcterms:W3CDTF">2022-09-01T02:16:59Z</dcterms:modified>
</cp:coreProperties>
</file>