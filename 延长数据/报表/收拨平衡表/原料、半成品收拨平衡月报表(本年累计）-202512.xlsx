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原料产品收拨平衡表" sheetId="1" r:id="rId2"/>
    <sheet name="原料产品取值" sheetId="2" state="hidden" r:id="rId3"/>
  </sheets>
  <calcPr calcId="0" iterate="0" iterateCount="100" iterateDelta="0.001"/>
</workbook>
</file>

<file path=xl/sharedStrings.xml><?xml version="1.0" encoding="utf-8"?>
<sst xmlns="http://schemas.openxmlformats.org/spreadsheetml/2006/main" count="176" uniqueCount="89">
  <si>
    <t xml:space="preserve">原料油、产品收拨平衡表(本年累计)     </t>
  </si>
  <si>
    <t xml:space="preserve">填报单位：延安石油化工厂  </t>
  </si>
  <si>
    <t>日期：</t>
  </si>
  <si>
    <t>2025-12</t>
  </si>
  <si>
    <t>陕延油炼化计统B205表</t>
  </si>
  <si>
    <t>指标名称</t>
  </si>
  <si>
    <t>单位</t>
  </si>
  <si>
    <t>期初库存</t>
  </si>
  <si>
    <t>外购量</t>
  </si>
  <si>
    <t xml:space="preserve"> 生产量</t>
  </si>
  <si>
    <t>装置加工量</t>
  </si>
  <si>
    <t>销 售</t>
  </si>
  <si>
    <t>生产自用</t>
  </si>
  <si>
    <t>内部调拨量</t>
  </si>
  <si>
    <t>内移量</t>
  </si>
  <si>
    <t>盈（+）</t>
  </si>
  <si>
    <t>期末库存</t>
  </si>
  <si>
    <t>调入</t>
  </si>
  <si>
    <t>调出</t>
  </si>
  <si>
    <t>移入</t>
  </si>
  <si>
    <t>移出</t>
  </si>
  <si>
    <t>亏（-）</t>
  </si>
  <si>
    <t xml:space="preserve"> 一、原料油（气）</t>
  </si>
  <si>
    <t xml:space="preserve"> 1、常压石脑油
   （石脑油Ⅰ）</t>
  </si>
  <si>
    <t>吨</t>
  </si>
  <si>
    <t xml:space="preserve"> 其中：延炼</t>
  </si>
  <si>
    <t xml:space="preserve">       永炼</t>
  </si>
  <si>
    <t xml:space="preserve">       榆炼</t>
  </si>
  <si>
    <t xml:space="preserve"> 2、催化柴油</t>
  </si>
  <si>
    <t xml:space="preserve"> 3、催化汽油</t>
  </si>
  <si>
    <t xml:space="preserve"> 4、常压柴油</t>
  </si>
  <si>
    <t xml:space="preserve">      永炼</t>
  </si>
  <si>
    <t xml:space="preserve">      榆炼</t>
  </si>
  <si>
    <t xml:space="preserve"> 5、催化液化气</t>
  </si>
  <si>
    <t xml:space="preserve"> 6、甲醇</t>
  </si>
  <si>
    <t>7、DCC</t>
  </si>
  <si>
    <t>8、柴油0#</t>
  </si>
  <si>
    <t>9、柴油-10#</t>
  </si>
  <si>
    <t>10、柴油-20#</t>
  </si>
  <si>
    <t>11、异丁烷</t>
  </si>
  <si>
    <t>12、其他</t>
  </si>
  <si>
    <t xml:space="preserve"> 二、产品产量</t>
  </si>
  <si>
    <t xml:space="preserve"> (一）汽油</t>
  </si>
  <si>
    <t xml:space="preserve"> 1、重整汽油</t>
  </si>
  <si>
    <t xml:space="preserve"> 2、重整轻汽油</t>
  </si>
  <si>
    <t xml:space="preserve"> 3、非芳烃</t>
  </si>
  <si>
    <t xml:space="preserve"> 4、戊烷</t>
  </si>
  <si>
    <t xml:space="preserve"> 5、MTBE</t>
  </si>
  <si>
    <t xml:space="preserve">     永炼</t>
  </si>
  <si>
    <t xml:space="preserve">     榆炼</t>
  </si>
  <si>
    <t xml:space="preserve"> 6、精制汽油</t>
  </si>
  <si>
    <t xml:space="preserve"> 7、异辛烷组分</t>
  </si>
  <si>
    <t xml:space="preserve"> （二）柴油</t>
  </si>
  <si>
    <t xml:space="preserve"> 1、加氢柴油</t>
  </si>
  <si>
    <t xml:space="preserve"> 2、精制柴油</t>
  </si>
  <si>
    <t xml:space="preserve"> （三）液化气</t>
  </si>
  <si>
    <t xml:space="preserve"> 1、加氢液化气</t>
  </si>
  <si>
    <t xml:space="preserve"> 2、正丁烷</t>
  </si>
  <si>
    <t xml:space="preserve"> （四）苯</t>
  </si>
  <si>
    <t xml:space="preserve"> （五）聚丙烯</t>
  </si>
  <si>
    <t xml:space="preserve"> （六）精制硫磺</t>
  </si>
  <si>
    <t>备注</t>
  </si>
  <si>
    <t>成品交库</t>
  </si>
  <si>
    <t>装 置 加工量</t>
  </si>
  <si>
    <t>油品调合</t>
  </si>
  <si>
    <t xml:space="preserve"> 1、常压石脑油</t>
  </si>
  <si>
    <t xml:space="preserve"> 5、原料液化气</t>
  </si>
  <si>
    <t>7、裂解轻油</t>
  </si>
  <si>
    <t xml:space="preserve"> 1、汽油</t>
  </si>
  <si>
    <t xml:space="preserve"> 其中：重整汽油</t>
  </si>
  <si>
    <t xml:space="preserve">       重整轻汽油</t>
  </si>
  <si>
    <t xml:space="preserve">      非芳烃</t>
  </si>
  <si>
    <t xml:space="preserve">       戊烷</t>
  </si>
  <si>
    <t xml:space="preserve">       MTBE</t>
  </si>
  <si>
    <t xml:space="preserve">       精制汽油</t>
  </si>
  <si>
    <t xml:space="preserve">      烷基化油</t>
  </si>
  <si>
    <t>其中：惠家河</t>
  </si>
  <si>
    <t xml:space="preserve"> 2、柴油</t>
  </si>
  <si>
    <t xml:space="preserve">  其中：加氢柴油</t>
  </si>
  <si>
    <t xml:space="preserve">        精制柴油</t>
  </si>
  <si>
    <t xml:space="preserve"> 3、液化气</t>
  </si>
  <si>
    <t xml:space="preserve">  其中：加氢液化气</t>
  </si>
  <si>
    <t xml:space="preserve">       正丁烷</t>
  </si>
  <si>
    <t xml:space="preserve"> 4、苯</t>
  </si>
  <si>
    <t xml:space="preserve"> 5、聚丙烯</t>
  </si>
  <si>
    <t xml:space="preserve"> 6、精制硫磺</t>
  </si>
  <si>
    <t>报表生成时间：</t>
  </si>
  <si>
    <t>2026-01-01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</si>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</sst>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_ "/>
    <numFmt numFmtId="172" formatCode="#"/>
  </numFmts>
  <fonts count="20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b/>
      <sz val="18"/>
      <color rgb="FF0000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000"/>
      </patternFill>
    </fill>
    <fill>
      <patternFill patternType="solid">
        <fgColor rgb="FFFFFFFF"/>
      </patternFill>
    </fill>
  </fills>
  <borders count="22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154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10" xfId="0" applyFont="1" applyBorder="1">
      <alignment horizontal="center" vertical="center" shrinkToFit="1"/>
    </xf>
    <xf numFmtId="0" fontId="18" fillId="0" borderId="10" xfId="0" applyFont="1" applyBorder="1">
      <alignment vertical="center"/>
    </xf>
    <xf numFmtId="0" fontId="18" fillId="0" borderId="11" xfId="0" applyFont="1" applyBorder="1">
      <alignment horizontal="center" vertical="center"/>
    </xf>
    <xf numFmtId="0" fontId="18" fillId="0" borderId="11" xfId="0" applyFont="1" applyBorder="1">
      <alignment horizontal="center" vertical="center" shrinkToFit="1"/>
    </xf>
    <xf numFmtId="0" fontId="18" fillId="0" borderId="11" xfId="0" applyFont="1" applyBorder="1">
      <alignment vertical="center"/>
    </xf>
    <xf numFmtId="0" fontId="18" fillId="0" borderId="11" xfId="0" applyFont="1" applyBorder="1">
      <alignment vertical="top"/>
    </xf>
    <xf numFmtId="0" fontId="18" fillId="0" borderId="12" xfId="0" applyFont="1" applyBorder="1">
      <alignment vertical="center"/>
    </xf>
    <xf numFmtId="0" fontId="18" fillId="0" borderId="13" xfId="0" applyFont="1" applyBorder="1">
      <alignment vertical="center"/>
    </xf>
    <xf numFmtId="0" fontId="18" fillId="0" borderId="11" xfId="0" applyFont="1" applyBorder="1">
      <alignment vertical="center"/>
    </xf>
    <xf numFmtId="0" fontId="18" fillId="0" borderId="13" xfId="0" applyFont="1" applyBorder="1">
      <alignment horizontal="center" vertical="center"/>
    </xf>
    <xf numFmtId="0" fontId="18" fillId="0" borderId="13" xfId="0" applyFont="1" applyBorder="1">
      <alignment horizontal="center" vertical="center"/>
    </xf>
    <xf numFmtId="0" fontId="18" fillId="0" borderId="12" xfId="0" applyFont="1" applyBorder="1">
      <alignment vertical="center"/>
    </xf>
    <xf numFmtId="0" fontId="18" fillId="0" borderId="11" xfId="0" applyFont="1" applyBorder="1">
      <alignment horizontal="center" vertical="center"/>
    </xf>
    <xf numFmtId="0" fontId="18" fillId="0" borderId="13" xfId="0" applyFont="1" applyBorder="1">
      <alignment vertical="top"/>
    </xf>
    <xf numFmtId="0" fontId="18" fillId="0" borderId="11" xfId="0" applyFont="1" applyBorder="1">
      <alignment vertical="center"/>
    </xf>
    <xf numFmtId="0" fontId="18" fillId="33" borderId="10" xfId="0" applyFont="1" applyFill="1" applyBorder="1">
      <alignment vertical="center"/>
    </xf>
    <xf numFmtId="0" fontId="0" fillId="0" borderId="0" xfId="0" applyFont="1">
      <alignment shrinkToFit="1"/>
    </xf>
    <xf numFmtId="0" fontId="0" fillId="0" borderId="0" xfId="0" applyFont="1">
      <alignment shrinkToFit="1"/>
    </xf>
    <xf numFmtId="0" fontId="18" fillId="0" borderId="14" xfId="0" applyFont="1" applyBorder="1">
      <alignment horizontal="right" vertical="center"/>
    </xf>
    <xf numFmtId="0" fontId="18" fillId="0" borderId="14" xfId="0" applyFont="1" applyBorder="1">
      <alignment horizontal="right" vertical="center"/>
    </xf>
    <xf numFmtId="171" fontId="18" fillId="34" borderId="11" xfId="0" applyFont="1" applyFill="1" applyBorder="1" applyNumberFormat="1">
      <alignment vertical="center"/>
    </xf>
    <xf numFmtId="0" fontId="18" fillId="0" borderId="11" xfId="0" applyFont="1" applyBorder="1">
      <alignment horizontal="center" vertical="center"/>
    </xf>
    <xf numFmtId="0" fontId="0" fillId="0" borderId="0" xfId="0" applyFont="1">
      <alignment shrinkToFit="1"/>
    </xf>
    <xf numFmtId="0" fontId="18" fillId="0" borderId="11" xfId="0" applyFont="1" applyBorder="1">
      <alignment vertical="center"/>
    </xf>
    <xf numFmtId="172" fontId="18" fillId="34" borderId="11" xfId="0" applyFont="1" applyFill="1" applyBorder="1" applyNumberFormat="1">
      <alignment horizontal="right" vertical="center"/>
    </xf>
    <xf numFmtId="0" fontId="18" fillId="0" borderId="11" xfId="0" applyFont="1" applyBorder="1">
      <alignment vertical="center" wrapText="1"/>
    </xf>
    <xf numFmtId="0" fontId="18" fillId="0" borderId="11" xfId="0" applyFont="1" applyBorder="1">
      <alignment vertical="center"/>
    </xf>
    <xf numFmtId="0" fontId="18" fillId="0" borderId="11" xfId="0" applyFont="1" applyBorder="1">
      <alignment vertical="top"/>
    </xf>
    <xf numFmtId="0" fontId="18" fillId="0" borderId="12" xfId="0" applyFont="1" applyBorder="1">
      <alignment vertical="center"/>
    </xf>
    <xf numFmtId="0" fontId="18" fillId="0" borderId="13" xfId="0" applyFont="1" applyBorder="1">
      <alignment vertical="center"/>
    </xf>
    <xf numFmtId="0" fontId="0" fillId="0" borderId="0" xfId="0" applyFont="1">
      <alignment shrinkToFit="1"/>
    </xf>
    <xf numFmtId="0" fontId="18" fillId="0" borderId="14" xfId="0" applyFont="1" applyBorder="1">
      <alignment horizontal="right" vertical="center"/>
    </xf>
    <xf numFmtId="0" fontId="19" fillId="0" borderId="15" xfId="0" applyFont="1" applyBorder="1">
      <alignment horizontal="center" vertical="center"/>
    </xf>
    <xf numFmtId="0" fontId="19" fillId="0" borderId="16" xfId="0" applyFont="1" applyBorder="1">
      <alignment horizontal="center" vertical="center"/>
    </xf>
    <xf numFmtId="0" fontId="19" fillId="0" borderId="17" xfId="0" applyFont="1" applyBorder="1">
      <alignment horizontal="center" vertical="center"/>
    </xf>
    <xf numFmtId="0" fontId="18" fillId="0" borderId="18" xfId="0" applyFont="1" applyBorder="1">
      <alignment horizontal="right" vertical="center"/>
    </xf>
    <xf numFmtId="0" fontId="18" fillId="0" borderId="19" xfId="0" applyFont="1" applyBorder="1">
      <alignment horizontal="center" vertical="center"/>
    </xf>
    <xf numFmtId="0" fontId="18" fillId="0" borderId="10" xfId="0" applyFont="1" applyBorder="1">
      <alignment horizontal="center" vertical="center"/>
    </xf>
    <xf numFmtId="0" fontId="18" fillId="0" borderId="13" xfId="0" applyFont="1" applyBorder="1">
      <alignment horizontal="center" vertical="center"/>
    </xf>
    <xf numFmtId="0" fontId="18" fillId="0" borderId="12" xfId="0" applyFont="1" applyBorder="1">
      <alignment horizontal="left" vertical="center"/>
    </xf>
    <xf numFmtId="0" fontId="18" fillId="0" borderId="14" xfId="0" applyFont="1" applyBorder="1">
      <alignment horizontal="left" vertical="center"/>
    </xf>
    <xf numFmtId="0" fontId="18" fillId="0" borderId="11" xfId="0" applyFont="1" applyBorder="1">
      <alignment horizontal="center" vertical="center"/>
    </xf>
    <xf numFmtId="2" fontId="18" fillId="0" borderId="11" xfId="0" applyFont="1" applyBorder="1" applyNumberFormat="1">
      <alignment horizontal="left" vertical="center"/>
    </xf>
    <xf numFmtId="0" fontId="18" fillId="0" borderId="19" xfId="0" applyFont="1" applyBorder="1">
      <alignment horizontal="center" vertical="center" wrapText="1" shrinkToFit="1"/>
    </xf>
    <xf numFmtId="0" fontId="18" fillId="0" borderId="10" xfId="0" applyFont="1" applyBorder="1">
      <alignment horizontal="center" vertical="center" wrapText="1" shrinkToFit="1"/>
    </xf>
    <xf numFmtId="0" fontId="18" fillId="0" borderId="20" xfId="0" applyFont="1" applyBorder="1">
      <alignment horizontal="center" vertical="center"/>
    </xf>
    <xf numFmtId="0" fontId="18" fillId="0" borderId="21" xfId="0" applyFont="1" applyBorder="1">
      <alignment horizontal="center" vertical="center"/>
    </xf>
    <xf numFmtId="0" fontId="0" fillId="0" borderId="0" xfId="0" applyFont="1">
      <alignment shrinkToFit="1"/>
    </xf>
    <xf numFmtId="171" fontId="0" fillId="0" borderId="0" xfId="0" applyFont="1" applyNumberFormat="1">
      <alignment horizontal="center" vertical="center"/>
    </xf>
    <xf numFmtId="0" fontId="0" fillId="0" borderId="0" xfId="0" applyFont="1">
      <alignment wrapText="1"/>
    </xf>
    <xf numFmtId="0" fontId="19" fillId="0" borderId="15" xfId="0" applyFont="1" applyBorder="1">
      <alignment horizontal="center" vertical="center" wrapText="1"/>
    </xf>
    <xf numFmtId="0" fontId="19" fillId="0" borderId="16" xfId="0" applyFont="1" applyBorder="1">
      <alignment horizontal="center" vertical="center" wrapText="1"/>
    </xf>
    <xf numFmtId="0" fontId="19" fillId="0" borderId="17" xfId="0" applyFont="1" applyBorder="1">
      <alignment horizontal="center" vertical="center" wrapText="1"/>
    </xf>
    <xf numFmtId="0" fontId="18" fillId="0" borderId="12" xfId="0" applyFont="1" applyBorder="1">
      <alignment horizontal="left" vertical="center" wrapText="1"/>
    </xf>
    <xf numFmtId="0" fontId="18" fillId="0" borderId="14" xfId="0" applyFont="1" applyBorder="1">
      <alignment horizontal="left" vertical="center" wrapText="1"/>
    </xf>
    <xf numFmtId="0" fontId="18" fillId="0" borderId="14" xfId="0" applyFont="1" applyBorder="1">
      <alignment horizontal="right" vertical="center" wrapText="1"/>
    </xf>
    <xf numFmtId="0" fontId="18" fillId="0" borderId="14" xfId="0" applyFont="1" applyBorder="1">
      <alignment horizontal="right" vertical="center" wrapText="1"/>
    </xf>
    <xf numFmtId="0" fontId="18" fillId="0" borderId="14" xfId="0" applyFont="1" applyBorder="1">
      <alignment horizontal="right" vertical="center" wrapText="1"/>
    </xf>
    <xf numFmtId="0" fontId="18" fillId="0" borderId="18" xfId="0" applyFont="1" applyBorder="1">
      <alignment horizontal="right" vertical="center" wrapText="1"/>
    </xf>
    <xf numFmtId="0" fontId="18" fillId="0" borderId="19" xfId="0" applyFont="1" applyBorder="1">
      <alignment horizontal="center" vertical="center" wrapText="1"/>
    </xf>
    <xf numFmtId="0" fontId="18" fillId="0" borderId="19" xfId="0" applyFont="1" applyBorder="1">
      <alignment horizontal="center" vertical="center" wrapText="1" shrinkToFit="1"/>
    </xf>
    <xf numFmtId="0" fontId="18" fillId="0" borderId="20" xfId="0" applyFont="1" applyBorder="1">
      <alignment horizontal="center" vertical="center" wrapText="1"/>
    </xf>
    <xf numFmtId="0" fontId="18" fillId="0" borderId="21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 shrinkToFit="1"/>
    </xf>
    <xf numFmtId="0" fontId="18" fillId="0" borderId="13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 shrinkToFit="1"/>
    </xf>
    <xf numFmtId="0" fontId="18" fillId="0" borderId="11" xfId="0" applyFont="1" applyBorder="1">
      <alignment horizontal="center" vertical="center" wrapText="1"/>
    </xf>
    <xf numFmtId="0" fontId="18" fillId="0" borderId="11" xfId="0" applyFont="1" applyBorder="1">
      <alignment horizontal="center" vertical="center" wrapText="1" shrinkToFit="1"/>
    </xf>
    <xf numFmtId="0" fontId="18" fillId="0" borderId="11" xfId="0" applyFont="1" applyBorder="1">
      <alignment vertical="center" wrapText="1"/>
    </xf>
    <xf numFmtId="0" fontId="18" fillId="0" borderId="11" xfId="0" applyFont="1" applyBorder="1">
      <alignment vertical="center" wrapText="1"/>
    </xf>
    <xf numFmtId="172" fontId="18" fillId="34" borderId="11" xfId="0" applyFont="1" applyFill="1" applyBorder="1" applyNumberFormat="1">
      <alignment horizontal="right" vertical="center" wrapText="1"/>
    </xf>
    <xf numFmtId="171" fontId="18" fillId="34" borderId="11" xfId="0" applyFont="1" applyFill="1" applyBorder="1" applyNumberFormat="1">
      <alignment vertical="center" wrapText="1"/>
    </xf>
    <xf numFmtId="171" fontId="0" fillId="0" borderId="0" xfId="0" applyFont="1" applyNumberFormat="1">
      <alignment horizontal="center" vertical="center" wrapText="1"/>
    </xf>
    <xf numFmtId="0" fontId="18" fillId="0" borderId="11" xfId="0" applyFont="1" applyBorder="1">
      <alignment vertical="top" wrapText="1"/>
    </xf>
    <xf numFmtId="0" fontId="18" fillId="0" borderId="11" xfId="0" applyFont="1" applyBorder="1">
      <alignment horizontal="center" vertical="center" wrapText="1"/>
    </xf>
    <xf numFmtId="0" fontId="18" fillId="0" borderId="11" xfId="0" applyFont="1" applyBorder="1">
      <alignment vertical="center" wrapText="1"/>
    </xf>
    <xf numFmtId="0" fontId="18" fillId="0" borderId="12" xfId="0" applyFont="1" applyBorder="1">
      <alignment vertical="center" wrapText="1"/>
    </xf>
    <xf numFmtId="0" fontId="18" fillId="0" borderId="12" xfId="0" applyFont="1" applyBorder="1">
      <alignment vertical="center" wrapText="1"/>
    </xf>
    <xf numFmtId="0" fontId="18" fillId="0" borderId="11" xfId="0" applyFont="1" applyBorder="1">
      <alignment horizontal="center" vertical="center" wrapText="1"/>
    </xf>
    <xf numFmtId="0" fontId="18" fillId="0" borderId="11" xfId="0" applyFont="1" applyBorder="1">
      <alignment vertical="top" wrapText="1"/>
    </xf>
    <xf numFmtId="0" fontId="0" fillId="0" borderId="0" xfId="0" applyFont="1"/>
    <xf numFmtId="0" fontId="0" fillId="0" borderId="0" xfId="0" applyFont="1">
      <alignment wrapText="1"/>
    </xf>
    <xf numFmtId="0" fontId="18" fillId="0" borderId="12" xfId="0" applyFont="1" applyBorder="1">
      <alignment vertical="center" wrapText="1"/>
    </xf>
    <xf numFmtId="0" fontId="0" fillId="0" borderId="0" xfId="0" applyFont="1"/>
    <xf numFmtId="0" fontId="0" fillId="0" borderId="0" xfId="0" applyFont="1"/>
    <xf numFmtId="0" fontId="18" fillId="0" borderId="13" xfId="0" applyFont="1" applyBorder="1">
      <alignment horizontal="center" vertical="center" wrapText="1"/>
    </xf>
    <xf numFmtId="0" fontId="18" fillId="0" borderId="13" xfId="0" applyFont="1" applyBorder="1">
      <alignment vertical="center" wrapText="1"/>
    </xf>
    <xf numFmtId="0" fontId="18" fillId="0" borderId="13" xfId="0" applyFont="1" applyBorder="1">
      <alignment horizontal="center" vertical="center" wrapText="1"/>
    </xf>
    <xf numFmtId="0" fontId="18" fillId="0" borderId="11" xfId="0" applyFont="1" applyBorder="1">
      <alignment horizontal="center" vertical="center" wrapText="1"/>
    </xf>
    <xf numFmtId="2" fontId="18" fillId="0" borderId="11" xfId="0" applyFont="1" applyBorder="1" applyNumberFormat="1">
      <alignment horizontal="left" vertical="center" wrapText="1"/>
    </xf>
    <xf numFmtId="0" fontId="18" fillId="0" borderId="10" xfId="0" applyFont="1" applyBorder="1">
      <alignment vertical="center" wrapText="1"/>
    </xf>
    <xf numFmtId="0" fontId="0" fillId="0" borderId="0" xfId="0" applyFont="1">
      <alignment wrapText="1" shrinkToFit="1"/>
    </xf>
    <xf numFmtId="0" fontId="0" fillId="0" borderId="0" xfId="0" applyFont="1">
      <alignment wrapText="1" shrinkToFit="1"/>
    </xf>
    <xf numFmtId="0" fontId="0" fillId="0" borderId="0" xfId="0" applyFont="1">
      <alignment wrapText="1" shrinkToFit="1"/>
    </xf>
    <xf numFmtId="0" fontId="18" fillId="0" borderId="13" xfId="0" applyFont="1" applyBorder="1">
      <alignment vertical="top" wrapText="1"/>
    </xf>
    <xf numFmtId="0" fontId="18" fillId="0" borderId="11" xfId="0" applyFont="1" applyBorder="1">
      <alignment vertical="center" wrapText="1"/>
    </xf>
    <xf numFmtId="0" fontId="18" fillId="0" borderId="11" xfId="0" applyFont="1" applyBorder="1">
      <alignment vertical="center" wrapText="1"/>
    </xf>
    <xf numFmtId="0" fontId="18" fillId="33" borderId="10" xfId="0" applyFont="1" applyFill="1" applyBorder="1">
      <alignment vertical="center" wrapText="1"/>
    </xf>
    <xf numFmtId="0" fontId="0" fillId="0" borderId="0" xfId="0" applyFont="1">
      <alignment wrapText="1" shrinkToFit="1"/>
    </xf>
    <xf numFmtId="0" fontId="0" fillId="0" borderId="0" xfId="0" applyFont="1"/>
    <xf numFmtId="0" fontId="18" fillId="0" borderId="11" xfId="0" applyFont="1" applyBorder="1">
      <alignment vertical="center" wrapText="1"/>
    </xf>
    <xf numFmtId="0" fontId="0" fillId="0" borderId="0" xfId="0" applyFont="1">
      <alignment wrapText="1" shrinkToFit="1"/>
    </xf>
    <xf numFmtId="0" fontId="0" fillId="0" borderId="0" xfId="0" applyFont="1"/>
    <xf numFmtId="0" fontId="0" fillId="0" borderId="0" xfId="0" applyFont="1"/>
    <xf numFmtId="0" fontId="18" fillId="0" borderId="13" xfId="0" applyFont="1" applyBorder="1">
      <alignment vertical="center" wrapText="1"/>
    </xf>
    <xf numFmtId="0" fontId="0" fillId="0" borderId="0" xfId="0" applyFont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A550138-2EC3-4F98-A46D-0C447F6EBA68}" mc:Ignorable="x14ac xr xr2 xr3">
  <dimension ref="A1:Q54"/>
  <sheetViews>
    <sheetView defaultGridColor="0" colorId="31" showGridLines="0" workbookViewId="0" tabSelected="1">
      <pane xSplit="3" ySplit="5" topLeftCell="D6" activePane="bottomRight" state="frozen"/>
      <selection pane="bottomLeft" activeCell="A6" sqref="A6"/>
      <selection pane="topRight" activeCell="D1" sqref="D1"/>
      <selection pane="bottomRight" activeCell="B4" sqref="B4:B5"/>
    </sheetView>
  </sheetViews>
  <sheetFormatPr customHeight="1" defaultRowHeight="14.002500000000003"/>
  <cols>
    <col min="1" max="1" width="2.57421875" customWidth="1"/>
    <col min="2" max="2" width="20.57421875" customWidth="1"/>
  </cols>
  <sheetData>
    <row customHeight="1" ht="2.25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</row>
    <row customHeight="1" ht="22.5">
      <c r="A2" s="96"/>
      <c r="B2" s="97" t="s">
        <v>0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9"/>
      <c r="P2" s="96"/>
      <c r="Q2" s="96"/>
    </row>
    <row customHeight="1" ht="14.25">
      <c r="A3" s="96"/>
      <c r="B3" s="100" t="s">
        <v>1</v>
      </c>
      <c r="C3" s="101"/>
      <c r="D3" s="102" t="s">
        <v>2</v>
      </c>
      <c r="E3" s="101" t="s">
        <v>3</v>
      </c>
      <c r="F3" s="101"/>
      <c r="G3" s="103"/>
      <c r="H3" s="104" t="str">
        <f>原料产品取值!A49&amp;原料产品取值!B49&amp;原料产品取值!C49</f>
        <v>报表生成时间：2026-01-01 8:00:00</v>
      </c>
      <c r="I3" s="104"/>
      <c r="J3" s="104"/>
      <c r="K3" s="104"/>
      <c r="L3" s="104"/>
      <c r="M3" s="104" t="s">
        <v>4</v>
      </c>
      <c r="N3" s="104"/>
      <c r="O3" s="105"/>
      <c r="P3" s="96"/>
      <c r="Q3" s="96"/>
    </row>
    <row customHeight="1" ht="14.25">
      <c r="A4" s="96"/>
      <c r="B4" s="106" t="s">
        <v>5</v>
      </c>
      <c r="C4" s="106" t="s">
        <v>6</v>
      </c>
      <c r="D4" s="106" t="s">
        <v>7</v>
      </c>
      <c r="E4" s="106" t="s">
        <v>8</v>
      </c>
      <c r="F4" s="106" t="s">
        <v>9</v>
      </c>
      <c r="G4" s="90" t="s">
        <v>10</v>
      </c>
      <c r="H4" s="106" t="s">
        <v>11</v>
      </c>
      <c r="I4" s="106" t="s">
        <v>12</v>
      </c>
      <c r="J4" s="108" t="s">
        <v>13</v>
      </c>
      <c r="K4" s="109"/>
      <c r="L4" s="108" t="s">
        <v>14</v>
      </c>
      <c r="M4" s="109"/>
      <c r="N4" s="110" t="s">
        <v>15</v>
      </c>
      <c r="O4" s="111" t="s">
        <v>16</v>
      </c>
      <c r="P4" s="96"/>
      <c r="Q4" s="96"/>
    </row>
    <row customHeight="1" ht="14.25">
      <c r="A5" s="96"/>
      <c r="B5" s="112"/>
      <c r="C5" s="112"/>
      <c r="D5" s="112"/>
      <c r="E5" s="112"/>
      <c r="F5" s="112"/>
      <c r="G5" s="91"/>
      <c r="H5" s="112"/>
      <c r="I5" s="112"/>
      <c r="J5" s="114" t="s">
        <v>17</v>
      </c>
      <c r="K5" s="114" t="s">
        <v>18</v>
      </c>
      <c r="L5" s="114" t="s">
        <v>19</v>
      </c>
      <c r="M5" s="114" t="s">
        <v>20</v>
      </c>
      <c r="N5" s="115" t="s">
        <v>21</v>
      </c>
      <c r="O5" s="112"/>
      <c r="P5" s="96"/>
      <c r="Q5" s="96"/>
    </row>
    <row customHeight="1" ht="14.25">
      <c r="A6" s="96"/>
      <c r="B6" s="116" t="s">
        <v>22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96"/>
      <c r="Q6" s="96"/>
    </row>
    <row customHeight="1" ht="30">
      <c r="A7" s="96"/>
      <c r="B7" s="72" t="s">
        <v>23</v>
      </c>
      <c r="C7" s="114" t="s">
        <v>24</v>
      </c>
      <c r="D7" s="118">
        <f>原料产品取值!B3</f>
        <v>7587</v>
      </c>
      <c r="E7" s="118">
        <f>原料产品取值!C3</f>
        <v>0</v>
      </c>
      <c r="F7" s="118">
        <f>原料产品取值!D3</f>
        <v>0</v>
      </c>
      <c r="G7" s="118">
        <f>原料产品取值!F3</f>
        <v>1491491</v>
      </c>
      <c r="H7" s="118">
        <f>原料产品取值!G3</f>
        <v>0</v>
      </c>
      <c r="I7" s="118">
        <f>原料产品取值!I3</f>
        <v>0</v>
      </c>
      <c r="J7" s="118">
        <f>原料产品取值!J3</f>
        <v>1301027.58</v>
      </c>
      <c r="K7" s="118">
        <f>原料产品取值!K3</f>
        <v>0</v>
      </c>
      <c r="L7" s="118">
        <f>原料产品取值!L3</f>
        <v>197058</v>
      </c>
      <c r="M7" s="118">
        <f>原料产品取值!M3</f>
        <v>0</v>
      </c>
      <c r="N7" s="119">
        <f>_xlfn.IFERROR(SUM(IF(G7="",0,G7),IF(H7="",0,H7),IF(I7="",0,I7),IF(K7="",0,K7),IF(M7="",0,M7),IF(O7="",0,O7))-SUM(IF(D7="",0,D7),IF(E7="",0,E7),IF(F7="",0,F7),IF(J7="",0,J7),IF(L7="",0,L7)),0)</f>
        <v>-3892.58000000007</v>
      </c>
      <c r="O7" s="118">
        <f>原料产品取值!O3</f>
        <v>10289</v>
      </c>
      <c r="P7" s="120">
        <f>_xlfn.IFERROR(SUM(D7,E7,F7,J7,L7,N7)-SUM(G7,H7,I7,K7,M7),0)</f>
        <v>10289</v>
      </c>
      <c r="Q7" s="120">
        <f>_xlfn.IFERROR(P7-O7,"0")</f>
        <v>0</v>
      </c>
    </row>
    <row customHeight="1" ht="14.25">
      <c r="A8" s="96"/>
      <c r="B8" s="116" t="s">
        <v>25</v>
      </c>
      <c r="C8" s="114" t="s">
        <v>24</v>
      </c>
      <c r="D8" s="118">
        <f>原料产品取值!B4</f>
        <v>0</v>
      </c>
      <c r="E8" s="118">
        <f>原料产品取值!C4</f>
        <v>0</v>
      </c>
      <c r="F8" s="118">
        <f>原料产品取值!D4</f>
        <v>0</v>
      </c>
      <c r="G8" s="118">
        <f>原料产品取值!F4</f>
        <v>0</v>
      </c>
      <c r="H8" s="118">
        <f>原料产品取值!G4</f>
        <v>0</v>
      </c>
      <c r="I8" s="118">
        <f>原料产品取值!I4</f>
        <v>0</v>
      </c>
      <c r="J8" s="118">
        <f>原料产品取值!J4</f>
        <v>955826</v>
      </c>
      <c r="K8" s="118">
        <f>原料产品取值!K4</f>
        <v>0</v>
      </c>
      <c r="L8" s="118">
        <f>原料产品取值!L4</f>
        <v>0</v>
      </c>
      <c r="M8" s="118">
        <f>原料产品取值!M4</f>
        <v>0</v>
      </c>
      <c r="N8" s="119"/>
      <c r="O8" s="118">
        <f>原料产品取值!O4</f>
        <v>0</v>
      </c>
      <c r="P8" s="120"/>
      <c r="Q8" s="120"/>
    </row>
    <row customHeight="1" ht="14.25">
      <c r="A9" s="96"/>
      <c r="B9" s="116" t="s">
        <v>26</v>
      </c>
      <c r="C9" s="114" t="s">
        <v>24</v>
      </c>
      <c r="D9" s="118">
        <f>原料产品取值!B5</f>
        <v>0</v>
      </c>
      <c r="E9" s="118">
        <f>原料产品取值!C5</f>
        <v>0</v>
      </c>
      <c r="F9" s="118">
        <f>原料产品取值!D5</f>
        <v>0</v>
      </c>
      <c r="G9" s="118">
        <f>原料产品取值!F5</f>
        <v>0</v>
      </c>
      <c r="H9" s="118">
        <f>原料产品取值!G5</f>
        <v>0</v>
      </c>
      <c r="I9" s="118">
        <f>原料产品取值!I5</f>
        <v>0</v>
      </c>
      <c r="J9" s="118">
        <f>原料产品取值!J5</f>
        <v>296258.06</v>
      </c>
      <c r="K9" s="118">
        <f>原料产品取值!K5</f>
        <v>0</v>
      </c>
      <c r="L9" s="118">
        <f>原料产品取值!L5</f>
        <v>0</v>
      </c>
      <c r="M9" s="118">
        <f>原料产品取值!M5</f>
        <v>0</v>
      </c>
      <c r="N9" s="119"/>
      <c r="O9" s="118">
        <f>原料产品取值!O5</f>
        <v>0</v>
      </c>
      <c r="P9" s="120"/>
      <c r="Q9" s="120"/>
    </row>
    <row customHeight="1" ht="14.25">
      <c r="A10" s="96"/>
      <c r="B10" s="116" t="s">
        <v>27</v>
      </c>
      <c r="C10" s="114" t="s">
        <v>24</v>
      </c>
      <c r="D10" s="118">
        <f>原料产品取值!B6</f>
        <v>0</v>
      </c>
      <c r="E10" s="118">
        <f>原料产品取值!C6</f>
        <v>0</v>
      </c>
      <c r="F10" s="118">
        <f>原料产品取值!D6</f>
        <v>0</v>
      </c>
      <c r="G10" s="118">
        <f>原料产品取值!F6</f>
        <v>0</v>
      </c>
      <c r="H10" s="118">
        <f>原料产品取值!G6</f>
        <v>0</v>
      </c>
      <c r="I10" s="118">
        <f>原料产品取值!I6</f>
        <v>0</v>
      </c>
      <c r="J10" s="118">
        <f>原料产品取值!J6</f>
        <v>48943.52</v>
      </c>
      <c r="K10" s="118">
        <f>原料产品取值!K6</f>
        <v>0</v>
      </c>
      <c r="L10" s="118">
        <f>原料产品取值!L6</f>
        <v>0</v>
      </c>
      <c r="M10" s="118">
        <f>原料产品取值!M6</f>
        <v>0</v>
      </c>
      <c r="N10" s="119"/>
      <c r="O10" s="118">
        <f>原料产品取值!O6</f>
        <v>0</v>
      </c>
      <c r="P10" s="120"/>
      <c r="Q10" s="120"/>
    </row>
    <row customHeight="1" ht="14.25">
      <c r="A11" s="96"/>
      <c r="B11" s="116" t="s">
        <v>28</v>
      </c>
      <c r="C11" s="114" t="s">
        <v>24</v>
      </c>
      <c r="D11" s="118">
        <f>原料产品取值!B7</f>
        <v>11515</v>
      </c>
      <c r="E11" s="118">
        <f>原料产品取值!C7</f>
        <v>0</v>
      </c>
      <c r="F11" s="118">
        <f>原料产品取值!D7</f>
        <v>0</v>
      </c>
      <c r="G11" s="118">
        <f>原料产品取值!F7</f>
        <v>1018725</v>
      </c>
      <c r="H11" s="118">
        <f>原料产品取值!G7</f>
        <v>0</v>
      </c>
      <c r="I11" s="118">
        <f>原料产品取值!I7</f>
        <v>0</v>
      </c>
      <c r="J11" s="118">
        <f>原料产品取值!J7</f>
        <v>987289.68</v>
      </c>
      <c r="K11" s="118">
        <f>原料产品取值!K7</f>
        <v>0</v>
      </c>
      <c r="L11" s="118">
        <f>原料产品取值!L7</f>
        <v>30745</v>
      </c>
      <c r="M11" s="118">
        <f>原料产品取值!M7</f>
        <v>518</v>
      </c>
      <c r="N11" s="119">
        <f>_xlfn.IFERROR(SUM(IF(G11="",0,G11),IF(H11="",0,H11),IF(I11="",0,I11),IF(K11="",0,K11),IF(M11="",0,M11),IF(O11="",0,O11))-SUM(IF(D11="",0,D11),IF(E11="",0,E11),IF(F11="",0,F11),IF(J11="",0,J11),IF(L11="",0,L11)),0)</f>
        <v>231.319999999949</v>
      </c>
      <c r="O11" s="118">
        <f>原料产品取值!O7</f>
        <v>10538</v>
      </c>
      <c r="P11" s="120">
        <f>_xlfn.IFERROR(SUM(D11,E11,F11,J11,L11,N11)-SUM(G11,H11,I11,K11,M11),0)</f>
        <v>10538</v>
      </c>
      <c r="Q11" s="120">
        <f>_xlfn.IFERROR(P11-O11,"0")</f>
        <v>0</v>
      </c>
    </row>
    <row customHeight="1" ht="14.25">
      <c r="A12" s="96"/>
      <c r="B12" s="116" t="s">
        <v>25</v>
      </c>
      <c r="C12" s="114" t="s">
        <v>24</v>
      </c>
      <c r="D12" s="118">
        <f>原料产品取值!B8</f>
        <v>0</v>
      </c>
      <c r="E12" s="118">
        <f>原料产品取值!C8</f>
        <v>0</v>
      </c>
      <c r="F12" s="118">
        <f>原料产品取值!D8</f>
        <v>0</v>
      </c>
      <c r="G12" s="118">
        <f>原料产品取值!F8</f>
        <v>0</v>
      </c>
      <c r="H12" s="118">
        <f>原料产品取值!G8</f>
        <v>0</v>
      </c>
      <c r="I12" s="118">
        <f>原料产品取值!I8</f>
        <v>0</v>
      </c>
      <c r="J12" s="118">
        <f>原料产品取值!J8</f>
        <v>966625</v>
      </c>
      <c r="K12" s="118">
        <f>原料产品取值!K8</f>
        <v>0</v>
      </c>
      <c r="L12" s="118">
        <f>原料产品取值!L8</f>
        <v>0</v>
      </c>
      <c r="M12" s="118">
        <f>原料产品取值!M8</f>
        <v>0</v>
      </c>
      <c r="N12" s="119"/>
      <c r="O12" s="118">
        <f>原料产品取值!O8</f>
        <v>0</v>
      </c>
      <c r="P12" s="120"/>
      <c r="Q12" s="120"/>
    </row>
    <row customHeight="1" ht="14.25">
      <c r="A13" s="96"/>
      <c r="B13" s="116" t="s">
        <v>26</v>
      </c>
      <c r="C13" s="114" t="s">
        <v>24</v>
      </c>
      <c r="D13" s="118">
        <f>原料产品取值!B9</f>
        <v>0</v>
      </c>
      <c r="E13" s="118">
        <f>原料产品取值!C9</f>
        <v>0</v>
      </c>
      <c r="F13" s="118">
        <f>原料产品取值!D9</f>
        <v>0</v>
      </c>
      <c r="G13" s="118">
        <f>原料产品取值!F9</f>
        <v>0</v>
      </c>
      <c r="H13" s="118">
        <f>原料产品取值!G9</f>
        <v>0</v>
      </c>
      <c r="I13" s="118">
        <f>原料产品取值!I9</f>
        <v>0</v>
      </c>
      <c r="J13" s="118">
        <f>原料产品取值!J9</f>
        <v>0</v>
      </c>
      <c r="K13" s="118">
        <f>原料产品取值!K9</f>
        <v>0</v>
      </c>
      <c r="L13" s="118">
        <f>原料产品取值!L9</f>
        <v>0</v>
      </c>
      <c r="M13" s="118">
        <f>原料产品取值!M9</f>
        <v>0</v>
      </c>
      <c r="N13" s="119"/>
      <c r="O13" s="118">
        <f>原料产品取值!O9</f>
        <v>0</v>
      </c>
      <c r="P13" s="120"/>
      <c r="Q13" s="120"/>
    </row>
    <row customHeight="1" ht="14.25">
      <c r="A14" s="96"/>
      <c r="B14" s="116" t="s">
        <v>27</v>
      </c>
      <c r="C14" s="114" t="s">
        <v>24</v>
      </c>
      <c r="D14" s="118">
        <f>原料产品取值!B10</f>
        <v>0</v>
      </c>
      <c r="E14" s="118">
        <f>原料产品取值!C10</f>
        <v>0</v>
      </c>
      <c r="F14" s="118">
        <f>原料产品取值!D10</f>
        <v>0</v>
      </c>
      <c r="G14" s="118">
        <f>原料产品取值!F10</f>
        <v>0</v>
      </c>
      <c r="H14" s="118">
        <f>原料产品取值!G10</f>
        <v>0</v>
      </c>
      <c r="I14" s="118">
        <f>原料产品取值!I10</f>
        <v>0</v>
      </c>
      <c r="J14" s="118">
        <f>原料产品取值!J10</f>
        <v>20664.68</v>
      </c>
      <c r="K14" s="118">
        <f>原料产品取值!K10</f>
        <v>0</v>
      </c>
      <c r="L14" s="118">
        <f>原料产品取值!L10</f>
        <v>0</v>
      </c>
      <c r="M14" s="118">
        <f>原料产品取值!M10</f>
        <v>0</v>
      </c>
      <c r="N14" s="119"/>
      <c r="O14" s="118">
        <f>原料产品取值!O10</f>
        <v>0</v>
      </c>
      <c r="P14" s="120"/>
      <c r="Q14" s="120"/>
    </row>
    <row customHeight="1" ht="14.25">
      <c r="A15" s="96"/>
      <c r="B15" s="116" t="s">
        <v>29</v>
      </c>
      <c r="C15" s="114" t="s">
        <v>24</v>
      </c>
      <c r="D15" s="118">
        <f>原料产品取值!B11</f>
        <v>1293</v>
      </c>
      <c r="E15" s="118">
        <f>原料产品取值!C11</f>
        <v>0</v>
      </c>
      <c r="F15" s="118">
        <f>原料产品取值!D11</f>
        <v>0</v>
      </c>
      <c r="G15" s="118">
        <f>原料产品取值!F11</f>
        <v>1533158</v>
      </c>
      <c r="H15" s="118">
        <f>原料产品取值!G11</f>
        <v>0</v>
      </c>
      <c r="I15" s="118">
        <f>原料产品取值!I11</f>
        <v>0</v>
      </c>
      <c r="J15" s="118">
        <f>原料产品取值!J11</f>
        <v>1537211</v>
      </c>
      <c r="K15" s="118">
        <f>原料产品取值!K11</f>
        <v>0</v>
      </c>
      <c r="L15" s="118">
        <f>原料产品取值!L11</f>
        <v>0</v>
      </c>
      <c r="M15" s="118">
        <f>原料产品取值!M11</f>
        <v>0</v>
      </c>
      <c r="N15" s="119">
        <f>_xlfn.IFERROR(SUM(IF(G15="",0,G15),IF(H15="",0,H15),IF(I15="",0,I15),IF(K15="",0,K15),IF(M15="",0,M15),IF(O15="",0,O15))-SUM(IF(D15="",0,D15),IF(E15="",0,E15),IF(F15="",0,F15),IF(J15="",0,J15),IF(L15="",0,L15)),0)</f>
        <v>-3782</v>
      </c>
      <c r="O15" s="118">
        <f>原料产品取值!O11</f>
        <v>1564</v>
      </c>
      <c r="P15" s="120">
        <f>_xlfn.IFERROR(SUM(D15,E15,F15,J15,L15,N15)-SUM(G15,H15,I15,K15,M15),0)</f>
        <v>1564</v>
      </c>
      <c r="Q15" s="120">
        <f>_xlfn.IFERROR(P15-O15,"0")</f>
        <v>0</v>
      </c>
    </row>
    <row customHeight="1" ht="14.25">
      <c r="A16" s="96"/>
      <c r="B16" s="116" t="s">
        <v>30</v>
      </c>
      <c r="C16" s="114" t="s">
        <v>24</v>
      </c>
      <c r="D16" s="118">
        <f>原料产品取值!B12</f>
        <v>2174</v>
      </c>
      <c r="E16" s="118">
        <f>原料产品取值!C12</f>
        <v>0</v>
      </c>
      <c r="F16" s="118">
        <f>原料产品取值!D12</f>
        <v>0</v>
      </c>
      <c r="G16" s="118">
        <f>原料产品取值!F12</f>
        <v>1864458</v>
      </c>
      <c r="H16" s="118">
        <f>原料产品取值!G12</f>
        <v>0</v>
      </c>
      <c r="I16" s="118">
        <f>原料产品取值!I12</f>
        <v>0</v>
      </c>
      <c r="J16" s="118">
        <f>原料产品取值!J12</f>
        <v>1872356</v>
      </c>
      <c r="K16" s="118">
        <f>原料产品取值!K12</f>
        <v>0</v>
      </c>
      <c r="L16" s="118">
        <f>原料产品取值!L12</f>
        <v>2007</v>
      </c>
      <c r="M16" s="118">
        <f>原料产品取值!M12</f>
        <v>10897</v>
      </c>
      <c r="N16" s="119">
        <f>_xlfn.IFERROR(SUM(IF(G16="",0,G16),IF(H16="",0,H16),IF(I16="",0,I16),IF(K16="",0,K16),IF(M16="",0,M16),IF(O16="",0,O16))-SUM(IF(D16="",0,D16),IF(E16="",0,E16),IF(F16="",0,F16),IF(J16="",0,J16),IF(L16="",0,L16)),0)</f>
        <v>907</v>
      </c>
      <c r="O16" s="118">
        <f>原料产品取值!O12</f>
        <v>2089</v>
      </c>
      <c r="P16" s="120">
        <f>_xlfn.IFERROR(SUM(D16,E16,F16,J16,L16,N16)-SUM(G16,H16,I16,K16,M16),0)</f>
        <v>2089</v>
      </c>
      <c r="Q16" s="120">
        <f>_xlfn.IFERROR(P16-O16,"0")</f>
        <v>0</v>
      </c>
    </row>
    <row customHeight="1" ht="14.25">
      <c r="A17" s="96"/>
      <c r="B17" s="121" t="s">
        <v>25</v>
      </c>
      <c r="C17" s="114" t="s">
        <v>24</v>
      </c>
      <c r="D17" s="118">
        <f>原料产品取值!B13</f>
        <v>0</v>
      </c>
      <c r="E17" s="118">
        <f>原料产品取值!C13</f>
        <v>0</v>
      </c>
      <c r="F17" s="118">
        <f>原料产品取值!D13</f>
        <v>0</v>
      </c>
      <c r="G17" s="118">
        <f>原料产品取值!F13</f>
        <v>0</v>
      </c>
      <c r="H17" s="118">
        <f>原料产品取值!G13</f>
        <v>0</v>
      </c>
      <c r="I17" s="118">
        <f>原料产品取值!I13</f>
        <v>0</v>
      </c>
      <c r="J17" s="118">
        <f>原料产品取值!J13</f>
        <v>1872356</v>
      </c>
      <c r="K17" s="118">
        <f>原料产品取值!K13</f>
        <v>0</v>
      </c>
      <c r="L17" s="118">
        <f>原料产品取值!L13</f>
        <v>0</v>
      </c>
      <c r="M17" s="118">
        <f>原料产品取值!M13</f>
        <v>0</v>
      </c>
      <c r="N17" s="119"/>
      <c r="O17" s="118">
        <f>原料产品取值!O13</f>
        <v>0</v>
      </c>
      <c r="P17" s="120"/>
      <c r="Q17" s="120"/>
    </row>
    <row customHeight="1" ht="14.25">
      <c r="A18" s="96"/>
      <c r="B18" s="121" t="s">
        <v>31</v>
      </c>
      <c r="C18" s="114" t="s">
        <v>24</v>
      </c>
      <c r="D18" s="118">
        <f>原料产品取值!B14</f>
        <v>0</v>
      </c>
      <c r="E18" s="118">
        <f>原料产品取值!C14</f>
        <v>0</v>
      </c>
      <c r="F18" s="118">
        <f>原料产品取值!D14</f>
        <v>0</v>
      </c>
      <c r="G18" s="118">
        <f>原料产品取值!F14</f>
        <v>0</v>
      </c>
      <c r="H18" s="118">
        <f>原料产品取值!G14</f>
        <v>0</v>
      </c>
      <c r="I18" s="118">
        <f>原料产品取值!I14</f>
        <v>0</v>
      </c>
      <c r="J18" s="118">
        <f>原料产品取值!J14</f>
        <v>0</v>
      </c>
      <c r="K18" s="118">
        <f>原料产品取值!K14</f>
        <v>0</v>
      </c>
      <c r="L18" s="118">
        <f>原料产品取值!L14</f>
        <v>0</v>
      </c>
      <c r="M18" s="118">
        <f>原料产品取值!M14</f>
        <v>0</v>
      </c>
      <c r="N18" s="119"/>
      <c r="O18" s="118">
        <f>原料产品取值!O14</f>
        <v>0</v>
      </c>
      <c r="P18" s="120"/>
      <c r="Q18" s="120"/>
    </row>
    <row customHeight="1" ht="14.25">
      <c r="A19" s="96"/>
      <c r="B19" s="121" t="s">
        <v>32</v>
      </c>
      <c r="C19" s="122" t="s">
        <v>24</v>
      </c>
      <c r="D19" s="118">
        <f>原料产品取值!B15</f>
        <v>0</v>
      </c>
      <c r="E19" s="118">
        <f>原料产品取值!C15</f>
        <v>0</v>
      </c>
      <c r="F19" s="118">
        <f>原料产品取值!D15</f>
        <v>0</v>
      </c>
      <c r="G19" s="118">
        <f>原料产品取值!F15</f>
        <v>0</v>
      </c>
      <c r="H19" s="118">
        <f>原料产品取值!G15</f>
        <v>0</v>
      </c>
      <c r="I19" s="118">
        <f>原料产品取值!I15</f>
        <v>0</v>
      </c>
      <c r="J19" s="118">
        <f>原料产品取值!J15</f>
        <v>0</v>
      </c>
      <c r="K19" s="118">
        <f>原料产品取值!K15</f>
        <v>0</v>
      </c>
      <c r="L19" s="118">
        <f>原料产品取值!L15</f>
        <v>0</v>
      </c>
      <c r="M19" s="118">
        <f>原料产品取值!M15</f>
        <v>0</v>
      </c>
      <c r="N19" s="119"/>
      <c r="O19" s="118">
        <f>原料产品取值!O15</f>
        <v>0</v>
      </c>
      <c r="P19" s="120"/>
      <c r="Q19" s="120"/>
    </row>
    <row customHeight="1" ht="14.25">
      <c r="A20" s="96"/>
      <c r="B20" s="123" t="s">
        <v>33</v>
      </c>
      <c r="C20" s="114" t="s">
        <v>24</v>
      </c>
      <c r="D20" s="118">
        <f>原料产品取值!B16</f>
        <v>0</v>
      </c>
      <c r="E20" s="118">
        <f>原料产品取值!C16</f>
        <v>0</v>
      </c>
      <c r="F20" s="118">
        <f>原料产品取值!D16</f>
        <v>0</v>
      </c>
      <c r="G20" s="118">
        <f>原料产品取值!F16</f>
        <v>621089</v>
      </c>
      <c r="H20" s="118">
        <f>原料产品取值!G16</f>
        <v>0</v>
      </c>
      <c r="I20" s="118">
        <f>原料产品取值!I16</f>
        <v>0</v>
      </c>
      <c r="J20" s="118">
        <f>原料产品取值!J16</f>
        <v>621089</v>
      </c>
      <c r="K20" s="118">
        <f>原料产品取值!K16</f>
        <v>0</v>
      </c>
      <c r="L20" s="118">
        <f>原料产品取值!L16</f>
        <v>0</v>
      </c>
      <c r="M20" s="118">
        <f>原料产品取值!M16</f>
        <v>0</v>
      </c>
      <c r="N20" s="119"/>
      <c r="O20" s="118">
        <f>原料产品取值!O16</f>
        <v>0</v>
      </c>
      <c r="P20" s="120">
        <f>_xlfn.IFERROR(SUM(D20,E20,F20,J20,L20,N20)-SUM(G20,H20,I20,K20,M20),0)</f>
        <v>0</v>
      </c>
      <c r="Q20" s="120">
        <f>_xlfn.IFERROR(P20-O20,"0")</f>
        <v>0</v>
      </c>
    </row>
    <row customHeight="1" ht="14.25">
      <c r="A21" s="96"/>
      <c r="B21" s="124" t="s">
        <v>34</v>
      </c>
      <c r="C21" s="114" t="s">
        <v>24</v>
      </c>
      <c r="D21" s="118">
        <f>原料产品取值!B17</f>
        <v>5540</v>
      </c>
      <c r="E21" s="118">
        <f>原料产品取值!C17</f>
        <v>98470.22</v>
      </c>
      <c r="F21" s="118">
        <f>原料产品取值!D17</f>
        <v>0</v>
      </c>
      <c r="G21" s="118">
        <f>原料产品取值!F17</f>
        <v>98558</v>
      </c>
      <c r="H21" s="118">
        <f>原料产品取值!G17</f>
        <v>0</v>
      </c>
      <c r="I21" s="118">
        <f>原料产品取值!I17</f>
        <v>0</v>
      </c>
      <c r="J21" s="118">
        <f>原料产品取值!J17</f>
        <v>0</v>
      </c>
      <c r="K21" s="118">
        <f>原料产品取值!K17</f>
        <v>0</v>
      </c>
      <c r="L21" s="118">
        <f>原料产品取值!L17</f>
        <v>0</v>
      </c>
      <c r="M21" s="118">
        <f>原料产品取值!M17</f>
        <v>0</v>
      </c>
      <c r="N21" s="119">
        <f>_xlfn.IFERROR(SUM(IF(G21="",0,G21),IF(H21="",0,H21),IF(I21="",0,I21),IF(K21="",0,K21),IF(M21="",0,M21),IF(O21="",0,O21))-SUM(IF(D21="",0,D21),IF(E21="",0,E21),IF(F21="",0,F21),IF(J21="",0,J21),IF(L21="",0,L21)),0)</f>
        <v>-435.220000000001</v>
      </c>
      <c r="O21" s="118">
        <f>原料产品取值!O17</f>
        <v>5017</v>
      </c>
      <c r="P21" s="120">
        <f>_xlfn.IFERROR(SUM(D21,E21,F21,J21,L21,N21)-SUM(G21,H21,I21,K21,M21),0)</f>
        <v>5017</v>
      </c>
      <c r="Q21" s="120">
        <f>_xlfn.IFERROR(P21-O21,"0")</f>
        <v>0</v>
      </c>
    </row>
    <row customHeight="1" ht="14.25">
      <c r="A22" s="96"/>
      <c r="B22" s="124" t="s">
        <v>35</v>
      </c>
      <c r="C22" s="114" t="s">
        <v>24</v>
      </c>
      <c r="D22" s="118">
        <f>原料产品取值!B18</f>
        <v>0</v>
      </c>
      <c r="E22" s="118">
        <f>原料产品取值!C18</f>
        <v>65</v>
      </c>
      <c r="F22" s="118">
        <f>原料产品取值!D18</f>
        <v>0</v>
      </c>
      <c r="G22" s="118">
        <f>原料产品取值!F18</f>
        <v>0</v>
      </c>
      <c r="H22" s="118">
        <f>原料产品取值!G18</f>
        <v>0</v>
      </c>
      <c r="I22" s="118">
        <f>原料产品取值!I18</f>
        <v>0</v>
      </c>
      <c r="J22" s="118">
        <f>原料产品取值!J18</f>
        <v>6305.7</v>
      </c>
      <c r="K22" s="118">
        <f>原料产品取值!K18</f>
        <v>0</v>
      </c>
      <c r="L22" s="118">
        <f>原料产品取值!L18</f>
        <v>0</v>
      </c>
      <c r="M22" s="118">
        <f>原料产品取值!M18</f>
        <v>6370.7</v>
      </c>
      <c r="N22" s="119"/>
      <c r="O22" s="118">
        <f>原料产品取值!O18</f>
        <v>0</v>
      </c>
      <c r="P22" s="120">
        <f>_xlfn.IFERROR(SUM(D22,E22,F22,J22,L22,N22)-SUM(G22,H22,I22,K22,M22),0)</f>
        <v>0</v>
      </c>
      <c r="Q22" s="120">
        <f>_xlfn.IFERROR(P22-O22,"0")</f>
        <v>0</v>
      </c>
    </row>
    <row customHeight="1" ht="14.25">
      <c r="A23" s="96"/>
      <c r="B23" s="125" t="s">
        <v>36</v>
      </c>
      <c r="C23" s="114" t="s">
        <v>24</v>
      </c>
      <c r="D23" s="118">
        <f>原料产品取值!B19</f>
        <v>39</v>
      </c>
      <c r="E23" s="118">
        <f>原料产品取值!C19</f>
        <v>0</v>
      </c>
      <c r="F23" s="118">
        <f>原料产品取值!D19</f>
        <v>0</v>
      </c>
      <c r="G23" s="118">
        <f>原料产品取值!F19</f>
        <v>0</v>
      </c>
      <c r="H23" s="118">
        <f>原料产品取值!G19</f>
        <v>0</v>
      </c>
      <c r="I23" s="118">
        <f>原料产品取值!I19</f>
        <v>675</v>
      </c>
      <c r="J23" s="118">
        <f>原料产品取值!J19</f>
        <v>691</v>
      </c>
      <c r="K23" s="118">
        <f>原料产品取值!K19</f>
        <v>0</v>
      </c>
      <c r="L23" s="118">
        <f>原料产品取值!L19</f>
        <v>0</v>
      </c>
      <c r="M23" s="118">
        <f>原料产品取值!M19</f>
        <v>0</v>
      </c>
      <c r="N23" s="119"/>
      <c r="O23" s="118">
        <f>原料产品取值!O19</f>
        <v>0</v>
      </c>
      <c r="P23" s="120">
        <f>_xlfn.IFERROR(SUM(D23,E23,F23,J23,L23,N23)-SUM(G23,H23,I23,K23,M23),0)</f>
        <v>55</v>
      </c>
      <c r="Q23" s="120">
        <f>_xlfn.IFERROR(P23-O23,"0")</f>
        <v>55</v>
      </c>
    </row>
    <row customHeight="1" ht="14.25">
      <c r="A24" s="96"/>
      <c r="B24" s="125" t="s">
        <v>37</v>
      </c>
      <c r="C24" s="114" t="s">
        <v>24</v>
      </c>
      <c r="D24" s="118">
        <f>原料产品取值!B20</f>
        <v>0</v>
      </c>
      <c r="E24" s="118">
        <f>原料产品取值!C20</f>
        <v>0</v>
      </c>
      <c r="F24" s="118">
        <f>原料产品取值!D20</f>
        <v>0</v>
      </c>
      <c r="G24" s="118">
        <f>原料产品取值!F20</f>
        <v>0</v>
      </c>
      <c r="H24" s="118">
        <f>原料产品取值!G20</f>
        <v>0</v>
      </c>
      <c r="I24" s="118">
        <f>原料产品取值!I20</f>
        <v>0</v>
      </c>
      <c r="J24" s="118">
        <f>原料产品取值!J20</f>
        <v>0</v>
      </c>
      <c r="K24" s="118">
        <f>原料产品取值!K20</f>
        <v>0</v>
      </c>
      <c r="L24" s="118">
        <f>原料产品取值!L20</f>
        <v>0</v>
      </c>
      <c r="M24" s="118">
        <f>原料产品取值!M20</f>
        <v>0</v>
      </c>
      <c r="N24" s="119"/>
      <c r="O24" s="118">
        <f>原料产品取值!O20</f>
        <v>0</v>
      </c>
      <c r="P24" s="120">
        <f>_xlfn.IFERROR(SUM(D24,E24,F24,J24,L24,N24)-SUM(G24,H24,I24,K24,M24),0)</f>
        <v>0</v>
      </c>
      <c r="Q24" s="120">
        <f>_xlfn.IFERROR(P24-O24,"0")</f>
        <v>0</v>
      </c>
    </row>
    <row customHeight="1" ht="14.25">
      <c r="A25" s="96"/>
      <c r="B25" s="125" t="s">
        <v>38</v>
      </c>
      <c r="C25" s="114" t="s">
        <v>24</v>
      </c>
      <c r="D25" s="118">
        <f>原料产品取值!B21</f>
        <v>0</v>
      </c>
      <c r="E25" s="118">
        <f>原料产品取值!C21</f>
        <v>0</v>
      </c>
      <c r="F25" s="118">
        <f>原料产品取值!D21</f>
        <v>0</v>
      </c>
      <c r="G25" s="118">
        <f>原料产品取值!F21</f>
        <v>0</v>
      </c>
      <c r="H25" s="118">
        <f>原料产品取值!G21</f>
        <v>0</v>
      </c>
      <c r="I25" s="118">
        <f>原料产品取值!I21</f>
        <v>30</v>
      </c>
      <c r="J25" s="118">
        <f>原料产品取值!J21</f>
        <v>30</v>
      </c>
      <c r="K25" s="118">
        <f>原料产品取值!K21</f>
        <v>0</v>
      </c>
      <c r="L25" s="118">
        <f>原料产品取值!L21</f>
        <v>0</v>
      </c>
      <c r="M25" s="118">
        <f>原料产品取值!M21</f>
        <v>0</v>
      </c>
      <c r="N25" s="119"/>
      <c r="O25" s="118">
        <f>原料产品取值!O21</f>
        <v>0</v>
      </c>
      <c r="P25" s="120">
        <f>_xlfn.IFERROR(SUM(D25,E25,F25,J25,L25,N25)-SUM(G25,H25,I25,K25,M25),0)</f>
        <v>0</v>
      </c>
      <c r="Q25" s="120">
        <f>_xlfn.IFERROR(P25-O25,"0")</f>
        <v>0</v>
      </c>
    </row>
    <row customHeight="1" ht="14.25">
      <c r="A26" s="96"/>
      <c r="B26" s="125" t="s">
        <v>39</v>
      </c>
      <c r="C26" s="126" t="s">
        <v>24</v>
      </c>
      <c r="D26" s="118">
        <f>原料产品取值!B22</f>
        <v>0</v>
      </c>
      <c r="E26" s="118">
        <f>原料产品取值!C22</f>
        <v>74490.36</v>
      </c>
      <c r="F26" s="118">
        <f>原料产品取值!D22</f>
        <v>0</v>
      </c>
      <c r="G26" s="118">
        <f>原料产品取值!F22</f>
        <v>0</v>
      </c>
      <c r="H26" s="118">
        <f>原料产品取值!G22</f>
        <v>0</v>
      </c>
      <c r="I26" s="118">
        <f>原料产品取值!I22</f>
        <v>0</v>
      </c>
      <c r="J26" s="118">
        <f>原料产品取值!J22</f>
        <v>0</v>
      </c>
      <c r="K26" s="118">
        <f>原料产品取值!K22</f>
        <v>0</v>
      </c>
      <c r="L26" s="118">
        <f>原料产品取值!L22</f>
        <v>0</v>
      </c>
      <c r="M26" s="118">
        <f>原料产品取值!M22</f>
        <v>74490.36</v>
      </c>
      <c r="N26" s="119"/>
      <c r="O26" s="118">
        <f>原料产品取值!O22</f>
        <v>0</v>
      </c>
      <c r="P26" s="120">
        <f>_xlfn.IFERROR(SUM(D26,E26,F26,J26,L26,N26)-SUM(G26,H26,I26,K26,M26),0)</f>
        <v>0</v>
      </c>
      <c r="Q26" s="120">
        <f>_xlfn.IFERROR(P26-O26,"0")</f>
        <v>0</v>
      </c>
    </row>
    <row customHeight="1" ht="14.25">
      <c r="A27" s="96"/>
      <c r="B27" s="124" t="s">
        <v>40</v>
      </c>
      <c r="C27" s="114" t="s">
        <v>24</v>
      </c>
      <c r="D27" s="118">
        <f>原料产品取值!B23</f>
        <v>0</v>
      </c>
      <c r="E27" s="118">
        <f>原料产品取值!C23</f>
        <v>0</v>
      </c>
      <c r="F27" s="118">
        <f>原料产品取值!D23</f>
        <v>0</v>
      </c>
      <c r="G27" s="118">
        <f>原料产品取值!F23</f>
        <v>0</v>
      </c>
      <c r="H27" s="118">
        <f>原料产品取值!G23</f>
        <v>0</v>
      </c>
      <c r="I27" s="118">
        <f>原料产品取值!I23</f>
        <v>0</v>
      </c>
      <c r="J27" s="118">
        <f>原料产品取值!J23</f>
        <v>0</v>
      </c>
      <c r="K27" s="118">
        <f>原料产品取值!K23</f>
        <v>0</v>
      </c>
      <c r="L27" s="118">
        <f>原料产品取值!L23</f>
        <v>0</v>
      </c>
      <c r="M27" s="118">
        <f>原料产品取值!M23</f>
        <v>0</v>
      </c>
      <c r="N27" s="119"/>
      <c r="O27" s="118">
        <f>原料产品取值!O23</f>
        <v>0</v>
      </c>
      <c r="P27" s="120">
        <f>_xlfn.IFERROR(SUM(D27,E27,F27,J27,L27,N27)-SUM(G27,H27,I27,K27,M27),0)</f>
        <v>0</v>
      </c>
      <c r="Q27" s="120">
        <f>_xlfn.IFERROR(P27-O27,"0")</f>
        <v>0</v>
      </c>
    </row>
    <row customHeight="1" ht="14.25">
      <c r="A28" s="96"/>
      <c r="B28" s="116" t="s">
        <v>41</v>
      </c>
      <c r="C28" s="114"/>
      <c r="D28" s="118">
        <f>原料产品取值!B24</f>
        <v>0</v>
      </c>
      <c r="E28" s="118">
        <f>原料产品取值!C24</f>
        <v>0</v>
      </c>
      <c r="F28" s="118">
        <f>原料产品取值!D24</f>
        <v>0</v>
      </c>
      <c r="G28" s="118">
        <f>原料产品取值!F24</f>
        <v>0</v>
      </c>
      <c r="H28" s="118">
        <f>原料产品取值!G24</f>
        <v>0</v>
      </c>
      <c r="I28" s="118">
        <f>原料产品取值!I24</f>
        <v>0</v>
      </c>
      <c r="J28" s="118">
        <f>原料产品取值!J24</f>
        <v>0</v>
      </c>
      <c r="K28" s="118">
        <f>原料产品取值!K24</f>
        <v>0</v>
      </c>
      <c r="L28" s="118">
        <f>原料产品取值!L24</f>
        <v>0</v>
      </c>
      <c r="M28" s="118">
        <f>原料产品取值!M24</f>
        <v>0</v>
      </c>
      <c r="N28" s="119"/>
      <c r="O28" s="118">
        <f>原料产品取值!O24</f>
        <v>0</v>
      </c>
      <c r="P28" s="120"/>
      <c r="Q28" s="120"/>
    </row>
    <row customHeight="1" ht="14.25">
      <c r="A29" s="96"/>
      <c r="B29" s="123" t="s">
        <v>42</v>
      </c>
      <c r="C29" s="114" t="s">
        <v>24</v>
      </c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9"/>
      <c r="O29" s="118"/>
      <c r="P29" s="120"/>
      <c r="Q29" s="120"/>
    </row>
    <row customHeight="1" ht="14.25">
      <c r="A30" s="96"/>
      <c r="B30" s="123" t="s">
        <v>43</v>
      </c>
      <c r="C30" s="114" t="s">
        <v>24</v>
      </c>
      <c r="D30" s="118">
        <f>原料产品取值!B26</f>
        <v>0</v>
      </c>
      <c r="E30" s="118">
        <f>原料产品取值!C26</f>
        <v>0</v>
      </c>
      <c r="F30" s="118">
        <f>原料产品取值!D26</f>
        <v>866531</v>
      </c>
      <c r="G30" s="118">
        <f>原料产品取值!F26</f>
        <v>0</v>
      </c>
      <c r="H30" s="118">
        <f>原料产品取值!G26</f>
        <v>0</v>
      </c>
      <c r="I30" s="118">
        <f>原料产品取值!I26</f>
        <v>0</v>
      </c>
      <c r="J30" s="118">
        <f>原料产品取值!J26</f>
        <v>0</v>
      </c>
      <c r="K30" s="118">
        <f>原料产品取值!K26</f>
        <v>866531</v>
      </c>
      <c r="L30" s="118">
        <f>原料产品取值!L26</f>
        <v>0</v>
      </c>
      <c r="M30" s="118">
        <f>原料产品取值!M26</f>
        <v>0</v>
      </c>
      <c r="N30" s="119"/>
      <c r="O30" s="118">
        <f>原料产品取值!O26</f>
        <v>0</v>
      </c>
      <c r="P30" s="120">
        <f>_xlfn.IFERROR(SUM(D30,E30,F30,J30,L30,N30)-SUM(G30,H30,I30,K30,M30),0)</f>
        <v>0</v>
      </c>
      <c r="Q30" s="120">
        <f>_xlfn.IFERROR(P30-O30,"0")</f>
        <v>0</v>
      </c>
    </row>
    <row customHeight="1" ht="14.25">
      <c r="A31" s="96"/>
      <c r="B31" s="127" t="s">
        <v>44</v>
      </c>
      <c r="C31" s="114" t="s">
        <v>24</v>
      </c>
      <c r="D31" s="118">
        <f>原料产品取值!B27</f>
        <v>0</v>
      </c>
      <c r="E31" s="118">
        <f>原料产品取值!C27</f>
        <v>0</v>
      </c>
      <c r="F31" s="118">
        <f>原料产品取值!D27</f>
        <v>260107</v>
      </c>
      <c r="G31" s="118">
        <f>原料产品取值!F27</f>
        <v>0</v>
      </c>
      <c r="H31" s="118">
        <f>原料产品取值!G27</f>
        <v>0</v>
      </c>
      <c r="I31" s="118">
        <f>原料产品取值!I27</f>
        <v>0</v>
      </c>
      <c r="J31" s="118">
        <f>原料产品取值!J27</f>
        <v>0</v>
      </c>
      <c r="K31" s="118">
        <f>原料产品取值!K27</f>
        <v>260107</v>
      </c>
      <c r="L31" s="118">
        <f>原料产品取值!L27</f>
        <v>0</v>
      </c>
      <c r="M31" s="118">
        <f>原料产品取值!M27</f>
        <v>0</v>
      </c>
      <c r="N31" s="119"/>
      <c r="O31" s="118">
        <f>原料产品取值!O27</f>
        <v>0</v>
      </c>
      <c r="P31" s="120">
        <f>_xlfn.IFERROR(SUM(D31,E31,F31,J31,L31,N31)-SUM(G31,H31,I31,K31,M31),0)</f>
        <v>0</v>
      </c>
      <c r="Q31" s="120">
        <f>_xlfn.IFERROR(P31-O31,"0")</f>
        <v>0</v>
      </c>
    </row>
    <row customHeight="1" ht="14.25">
      <c r="A32" s="96"/>
      <c r="B32" s="123" t="s">
        <v>45</v>
      </c>
      <c r="C32" s="114" t="s">
        <v>24</v>
      </c>
      <c r="D32" s="118">
        <f>原料产品取值!B28</f>
        <v>0</v>
      </c>
      <c r="E32" s="118">
        <f>原料产品取值!C28</f>
        <v>0</v>
      </c>
      <c r="F32" s="118">
        <f>原料产品取值!D28</f>
        <v>126972</v>
      </c>
      <c r="G32" s="118">
        <f>原料产品取值!F28</f>
        <v>0</v>
      </c>
      <c r="H32" s="118">
        <f>原料产品取值!G28</f>
        <v>0</v>
      </c>
      <c r="I32" s="118">
        <f>原料产品取值!I28</f>
        <v>0</v>
      </c>
      <c r="J32" s="118">
        <f>原料产品取值!J28</f>
        <v>0</v>
      </c>
      <c r="K32" s="118">
        <f>原料产品取值!K28</f>
        <v>126972</v>
      </c>
      <c r="L32" s="118">
        <f>原料产品取值!L28</f>
        <v>0</v>
      </c>
      <c r="M32" s="118">
        <f>原料产品取值!M28</f>
        <v>0</v>
      </c>
      <c r="N32" s="119"/>
      <c r="O32" s="118">
        <f>原料产品取值!O28</f>
        <v>0</v>
      </c>
      <c r="P32" s="120">
        <f>_xlfn.IFERROR(SUM(D32,E32,F32,J32,L32,N32)-SUM(G32,H32,I32,K32,M32),0)</f>
        <v>0</v>
      </c>
      <c r="Q32" s="120">
        <f>_xlfn.IFERROR(P32-O32,"0")</f>
        <v>0</v>
      </c>
    </row>
    <row customHeight="1" ht="14.25">
      <c r="A33" s="96"/>
      <c r="B33" s="123" t="s">
        <v>46</v>
      </c>
      <c r="C33" s="114" t="s">
        <v>24</v>
      </c>
      <c r="D33" s="118">
        <f>原料产品取值!B29</f>
        <v>0</v>
      </c>
      <c r="E33" s="118">
        <f>原料产品取值!C29</f>
        <v>0</v>
      </c>
      <c r="F33" s="118">
        <f>原料产品取值!D29</f>
        <v>5870</v>
      </c>
      <c r="G33" s="118">
        <f>原料产品取值!F29</f>
        <v>1777</v>
      </c>
      <c r="H33" s="118">
        <f>原料产品取值!G29</f>
        <v>0</v>
      </c>
      <c r="I33" s="118">
        <f>原料产品取值!I29</f>
        <v>0</v>
      </c>
      <c r="J33" s="118">
        <f>原料产品取值!J29</f>
        <v>0</v>
      </c>
      <c r="K33" s="118">
        <f>原料产品取值!K29</f>
        <v>4093</v>
      </c>
      <c r="L33" s="118">
        <f>原料产品取值!L29</f>
        <v>0</v>
      </c>
      <c r="M33" s="118">
        <f>原料产品取值!M29</f>
        <v>0</v>
      </c>
      <c r="N33" s="119"/>
      <c r="O33" s="118">
        <f>原料产品取值!O29</f>
        <v>0</v>
      </c>
      <c r="P33" s="120">
        <f>_xlfn.IFERROR(SUM(D33,E33,F33,J33,L33,N33)-SUM(G33,H33,I33,K33,M33),0)</f>
        <v>0</v>
      </c>
      <c r="Q33" s="120">
        <f>_xlfn.IFERROR(P33-O33,"0")</f>
        <v>0</v>
      </c>
    </row>
    <row customHeight="1" ht="14.25">
      <c r="A34" s="96"/>
      <c r="B34" s="123" t="s">
        <v>47</v>
      </c>
      <c r="C34" s="114" t="s">
        <v>24</v>
      </c>
      <c r="D34" s="118">
        <f>原料产品取值!B30</f>
        <v>7131</v>
      </c>
      <c r="E34" s="118">
        <f>原料产品取值!C30</f>
        <v>3135</v>
      </c>
      <c r="F34" s="118">
        <f>原料产品取值!D30</f>
        <v>270854</v>
      </c>
      <c r="G34" s="118">
        <f>原料产品取值!F30</f>
        <v>0</v>
      </c>
      <c r="H34" s="118">
        <f>原料产品取值!G30</f>
        <v>0</v>
      </c>
      <c r="I34" s="118">
        <f>原料产品取值!I30</f>
        <v>0</v>
      </c>
      <c r="J34" s="118">
        <f>原料产品取值!J30</f>
        <v>0</v>
      </c>
      <c r="K34" s="118">
        <f>原料产品取值!K30</f>
        <v>275659.36</v>
      </c>
      <c r="L34" s="118">
        <f>原料产品取值!L30</f>
        <v>0</v>
      </c>
      <c r="M34" s="118">
        <f>原料产品取值!M30</f>
        <v>0</v>
      </c>
      <c r="N34" s="119">
        <f>_xlfn.IFERROR(SUM(IF(G34="",0,G34),IF(H34="",0,H34),IF(I34="",0,I34),IF(K34="",0,K34),IF(M34="",0,M34),IF(O34="",0,O34))-SUM(IF(D34="",0,D34),IF(E34="",0,E34),IF(F34="",0,F34),IF(J34="",0,J34),IF(L34="",0,L34)),0)</f>
        <v>-483.640000000014</v>
      </c>
      <c r="O34" s="118">
        <f>原料产品取值!O30</f>
        <v>4977</v>
      </c>
      <c r="P34" s="120">
        <f>_xlfn.IFERROR(SUM(D34,E34,F34,J34,L34,N34)-SUM(G34,H34,I34,K34,M34),0)</f>
        <v>4977</v>
      </c>
      <c r="Q34" s="120">
        <f>_xlfn.IFERROR(P34-O34,"0")</f>
        <v>0</v>
      </c>
    </row>
    <row s="128" customFormat="1" customHeight="1" ht="14.25">
      <c r="A35" s="129"/>
      <c r="B35" s="130" t="s">
        <v>25</v>
      </c>
      <c r="C35" s="122" t="s">
        <v>24</v>
      </c>
      <c r="D35" s="118">
        <f>原料产品取值!B31</f>
        <v>0</v>
      </c>
      <c r="E35" s="118">
        <f>原料产品取值!C31</f>
        <v>0</v>
      </c>
      <c r="F35" s="118">
        <f>原料产品取值!D31</f>
        <v>0</v>
      </c>
      <c r="G35" s="118">
        <f>原料产品取值!F31</f>
        <v>0</v>
      </c>
      <c r="H35" s="118">
        <f>原料产品取值!F31</f>
        <v>0</v>
      </c>
      <c r="I35" s="118">
        <f>原料产品取值!I31</f>
        <v>0</v>
      </c>
      <c r="J35" s="118">
        <f>原料产品取值!J31</f>
        <v>0</v>
      </c>
      <c r="K35" s="118">
        <f>原料产品取值!K31</f>
        <v>214665</v>
      </c>
      <c r="L35" s="118">
        <f>原料产品取值!L31</f>
        <v>0</v>
      </c>
      <c r="M35" s="118">
        <f>原料产品取值!M31</f>
        <v>0</v>
      </c>
      <c r="N35" s="119"/>
      <c r="O35" s="118">
        <f>原料产品取值!O31</f>
        <v>0</v>
      </c>
      <c r="P35" s="120"/>
      <c r="Q35" s="120"/>
    </row>
    <row s="131" customFormat="1" customHeight="1" ht="14.25">
      <c r="A36" s="129"/>
      <c r="B36" s="130" t="s">
        <v>48</v>
      </c>
      <c r="C36" s="122" t="s">
        <v>24</v>
      </c>
      <c r="D36" s="118">
        <f>原料产品取值!B32</f>
        <v>0</v>
      </c>
      <c r="E36" s="118">
        <f>原料产品取值!C32</f>
        <v>0</v>
      </c>
      <c r="F36" s="118">
        <f>原料产品取值!D32</f>
        <v>0</v>
      </c>
      <c r="G36" s="118">
        <f>原料产品取值!F32</f>
        <v>0</v>
      </c>
      <c r="H36" s="118">
        <f>原料产品取值!F32</f>
        <v>0</v>
      </c>
      <c r="I36" s="118">
        <f>原料产品取值!I32</f>
        <v>0</v>
      </c>
      <c r="J36" s="118">
        <f>原料产品取值!J32</f>
        <v>0</v>
      </c>
      <c r="K36" s="118">
        <f>原料产品取值!K32</f>
        <v>48816.64</v>
      </c>
      <c r="L36" s="118">
        <f>原料产品取值!L32</f>
        <v>0</v>
      </c>
      <c r="M36" s="118">
        <f>原料产品取值!M32</f>
        <v>0</v>
      </c>
      <c r="N36" s="119"/>
      <c r="O36" s="118">
        <f>原料产品取值!O32</f>
        <v>0</v>
      </c>
      <c r="P36" s="120"/>
      <c r="Q36" s="120"/>
    </row>
    <row s="132" customFormat="1" customHeight="1" ht="14.25">
      <c r="A37" s="129"/>
      <c r="B37" s="130" t="s">
        <v>49</v>
      </c>
      <c r="C37" s="122" t="s">
        <v>24</v>
      </c>
      <c r="D37" s="118">
        <f>原料产品取值!B33</f>
        <v>0</v>
      </c>
      <c r="E37" s="118">
        <f>原料产品取值!C33</f>
        <v>0</v>
      </c>
      <c r="F37" s="118">
        <f>原料产品取值!D33</f>
        <v>0</v>
      </c>
      <c r="G37" s="118">
        <f>原料产品取值!F33</f>
        <v>0</v>
      </c>
      <c r="H37" s="118">
        <f>原料产品取值!F33</f>
        <v>0</v>
      </c>
      <c r="I37" s="118">
        <f>原料产品取值!I33</f>
        <v>0</v>
      </c>
      <c r="J37" s="118">
        <f>原料产品取值!J33</f>
        <v>0</v>
      </c>
      <c r="K37" s="118">
        <f>原料产品取值!K33</f>
        <v>12177.72</v>
      </c>
      <c r="L37" s="118">
        <f>原料产品取值!L33</f>
        <v>0</v>
      </c>
      <c r="M37" s="118">
        <f>原料产品取值!M33</f>
        <v>0</v>
      </c>
      <c r="N37" s="119"/>
      <c r="O37" s="118">
        <f>原料产品取值!O33</f>
        <v>0</v>
      </c>
      <c r="P37" s="120"/>
      <c r="Q37" s="120"/>
    </row>
    <row customHeight="1" ht="14.25">
      <c r="A38" s="96"/>
      <c r="B38" s="123" t="s">
        <v>50</v>
      </c>
      <c r="C38" s="114" t="s">
        <v>24</v>
      </c>
      <c r="D38" s="118">
        <f>原料产品取值!B34</f>
        <v>0</v>
      </c>
      <c r="E38" s="118">
        <f>原料产品取值!C34</f>
        <v>0</v>
      </c>
      <c r="F38" s="118">
        <f>原料产品取值!D34</f>
        <v>1517866</v>
      </c>
      <c r="G38" s="118">
        <f>原料产品取值!F34</f>
        <v>0</v>
      </c>
      <c r="H38" s="118">
        <f>原料产品取值!G34</f>
        <v>0</v>
      </c>
      <c r="I38" s="118">
        <f>原料产品取值!I34</f>
        <v>0</v>
      </c>
      <c r="J38" s="118">
        <f>原料产品取值!J34</f>
        <v>0</v>
      </c>
      <c r="K38" s="118">
        <f>原料产品取值!K34</f>
        <v>1517866</v>
      </c>
      <c r="L38" s="118">
        <f>原料产品取值!L34</f>
        <v>0</v>
      </c>
      <c r="M38" s="118">
        <f>原料产品取值!M34</f>
        <v>0</v>
      </c>
      <c r="N38" s="119">
        <f>_xlfn.IFERROR(SUM(IF(G38="",0,G38),IF(H38="",0,H38),IF(I38="",0,I38),IF(K38="",0,K38),IF(M38="",0,M38),IF(O38="",0,O38))-SUM(IF(D38="",0,D38),IF(E38="",0,E38),IF(F38="",0,F38),IF(J38="",0,J38),IF(L38="",0,L38)),0)</f>
        <v>0</v>
      </c>
      <c r="O38" s="118">
        <f>原料产品取值!O34</f>
        <v>0</v>
      </c>
      <c r="P38" s="120">
        <f>_xlfn.IFERROR(SUM(D38,E38,F38,J38,L38,N38)-SUM(G38,H38,I38,K38,M38),0)</f>
        <v>0</v>
      </c>
      <c r="Q38" s="120">
        <f>_xlfn.IFERROR(P38-O38,"0")</f>
        <v>0</v>
      </c>
    </row>
    <row customHeight="1" ht="14.25">
      <c r="A39" s="96"/>
      <c r="B39" s="130" t="s">
        <v>51</v>
      </c>
      <c r="C39" s="114" t="s">
        <v>24</v>
      </c>
      <c r="D39" s="118">
        <f>原料产品取值!B35</f>
        <v>5550</v>
      </c>
      <c r="E39" s="118">
        <f>原料产品取值!C35</f>
        <v>0</v>
      </c>
      <c r="F39" s="118">
        <f>原料产品取值!D35</f>
        <v>230334</v>
      </c>
      <c r="G39" s="118">
        <f>原料产品取值!F35</f>
        <v>0</v>
      </c>
      <c r="H39" s="118">
        <f>原料产品取值!G35</f>
        <v>0</v>
      </c>
      <c r="I39" s="118">
        <f>原料产品取值!I35</f>
        <v>0</v>
      </c>
      <c r="J39" s="118">
        <f>原料产品取值!J35</f>
        <v>0</v>
      </c>
      <c r="K39" s="118">
        <f>原料产品取值!K35</f>
        <v>234179.16</v>
      </c>
      <c r="L39" s="118">
        <f>原料产品取值!L35</f>
        <v>0</v>
      </c>
      <c r="M39" s="118"/>
      <c r="N39" s="119">
        <f>_xlfn.IFERROR(SUM(IF(G39="",0,G39),IF(H39="",0,H39),IF(I39="",0,I39),IF(K39="",0,K39),IF(M39="",0,M39),IF(O39="",0,O39))-SUM(IF(D39="",0,D39),IF(E39="",0,E39),IF(F39="",0,F39),IF(J39="",0,J39),IF(L39="",0,L39)),0)</f>
        <v>3521.16</v>
      </c>
      <c r="O39" s="118">
        <f>原料产品取值!O35</f>
        <v>5226</v>
      </c>
      <c r="P39" s="120">
        <f>_xlfn.IFERROR(SUM(D39,E39,F39,J39,L39,N39)-SUM(G39,H39,I39,K39,M39),0)</f>
        <v>5226</v>
      </c>
      <c r="Q39" s="120">
        <f>_xlfn.IFERROR(P39-O39,"0")</f>
        <v>0</v>
      </c>
    </row>
    <row customHeight="1" ht="14.25">
      <c r="A40" s="96"/>
      <c r="B40" s="130" t="s">
        <v>25</v>
      </c>
      <c r="C40" s="114" t="s">
        <v>24</v>
      </c>
      <c r="D40" s="118">
        <f>原料产品取值!B36</f>
        <v>0</v>
      </c>
      <c r="E40" s="118">
        <f>原料产品取值!C36</f>
        <v>0</v>
      </c>
      <c r="F40" s="118">
        <f>原料产品取值!D36</f>
        <v>0</v>
      </c>
      <c r="G40" s="118">
        <f>原料产品取值!F36</f>
        <v>0</v>
      </c>
      <c r="H40" s="118">
        <f>原料产品取值!G36</f>
        <v>0</v>
      </c>
      <c r="I40" s="118">
        <f>原料产品取值!I36</f>
        <v>0</v>
      </c>
      <c r="J40" s="118">
        <f>原料产品取值!J36</f>
        <v>0</v>
      </c>
      <c r="K40" s="118">
        <f>原料产品取值!K36</f>
        <v>135148</v>
      </c>
      <c r="L40" s="118">
        <f>原料产品取值!L36</f>
        <v>0</v>
      </c>
      <c r="M40" s="118">
        <f>原料产品取值!M36</f>
        <v>0</v>
      </c>
      <c r="N40" s="119"/>
      <c r="O40" s="118">
        <f>原料产品取值!O36</f>
        <v>0</v>
      </c>
      <c r="P40" s="120"/>
      <c r="Q40" s="120"/>
    </row>
    <row customHeight="1" ht="14.25">
      <c r="A41" s="96"/>
      <c r="B41" s="124" t="s">
        <v>49</v>
      </c>
      <c r="C41" s="114" t="s">
        <v>24</v>
      </c>
      <c r="D41" s="118">
        <f>原料产品取值!B37</f>
        <v>0</v>
      </c>
      <c r="E41" s="118">
        <f>原料产品取值!C37</f>
        <v>0</v>
      </c>
      <c r="F41" s="118">
        <f>原料产品取值!D37</f>
        <v>0</v>
      </c>
      <c r="G41" s="118">
        <f>原料产品取值!F37</f>
        <v>0</v>
      </c>
      <c r="H41" s="118">
        <f>原料产品取值!G37</f>
        <v>0</v>
      </c>
      <c r="I41" s="118">
        <f>原料产品取值!I37</f>
        <v>0</v>
      </c>
      <c r="J41" s="118">
        <f>原料产品取值!J37</f>
        <v>0</v>
      </c>
      <c r="K41" s="118">
        <f>原料产品取值!K37</f>
        <v>55777.62</v>
      </c>
      <c r="L41" s="118">
        <f>原料产品取值!L37</f>
        <v>0</v>
      </c>
      <c r="M41" s="118">
        <f>原料产品取值!M37</f>
        <v>0</v>
      </c>
      <c r="N41" s="119"/>
      <c r="O41" s="118">
        <f>原料产品取值!O37</f>
        <v>0</v>
      </c>
      <c r="P41" s="120"/>
      <c r="Q41" s="120"/>
    </row>
    <row customHeight="1" ht="14.25">
      <c r="A42" s="96"/>
      <c r="B42" s="124" t="s">
        <v>48</v>
      </c>
      <c r="C42" s="114" t="s">
        <v>24</v>
      </c>
      <c r="D42" s="118">
        <f>原料产品取值!B38</f>
        <v>0</v>
      </c>
      <c r="E42" s="118">
        <f>原料产品取值!C38</f>
        <v>0</v>
      </c>
      <c r="F42" s="118">
        <f>原料产品取值!D38</f>
        <v>0</v>
      </c>
      <c r="G42" s="118">
        <f>原料产品取值!F38</f>
        <v>0</v>
      </c>
      <c r="H42" s="118">
        <f>原料产品取值!G38</f>
        <v>0</v>
      </c>
      <c r="I42" s="118">
        <f>原料产品取值!I38</f>
        <v>0</v>
      </c>
      <c r="J42" s="118">
        <f>原料产品取值!J38</f>
        <v>0</v>
      </c>
      <c r="K42" s="118">
        <f>原料产品取值!K38</f>
        <v>43253.54</v>
      </c>
      <c r="L42" s="118">
        <f>原料产品取值!L38</f>
        <v>0</v>
      </c>
      <c r="M42" s="118">
        <f>原料产品取值!M38</f>
        <v>0</v>
      </c>
      <c r="N42" s="119"/>
      <c r="O42" s="118">
        <f>原料产品取值!O38</f>
        <v>0</v>
      </c>
      <c r="P42" s="120"/>
      <c r="Q42" s="120"/>
    </row>
    <row customHeight="1" ht="14.25">
      <c r="A43" s="96"/>
      <c r="B43" s="123" t="s">
        <v>52</v>
      </c>
      <c r="C43" s="114" t="s">
        <v>24</v>
      </c>
      <c r="D43" s="118">
        <f>原料产品取值!B39</f>
        <v>0</v>
      </c>
      <c r="E43" s="118">
        <f>原料产品取值!C39</f>
        <v>0</v>
      </c>
      <c r="F43" s="118">
        <f>原料产品取值!D39</f>
        <v>2636010</v>
      </c>
      <c r="G43" s="118">
        <f>原料产品取值!F39</f>
        <v>0</v>
      </c>
      <c r="H43" s="118">
        <f>原料产品取值!G39</f>
        <v>0</v>
      </c>
      <c r="I43" s="118">
        <f>原料产品取值!I39</f>
        <v>0</v>
      </c>
      <c r="J43" s="118">
        <f>原料产品取值!J39</f>
        <v>0</v>
      </c>
      <c r="K43" s="118">
        <f>原料产品取值!K39</f>
        <v>2636010</v>
      </c>
      <c r="L43" s="118">
        <f>原料产品取值!L39</f>
        <v>0</v>
      </c>
      <c r="M43" s="118">
        <f>原料产品取值!M39</f>
        <v>0</v>
      </c>
      <c r="N43" s="119"/>
      <c r="O43" s="118">
        <f>原料产品取值!O39</f>
        <v>0</v>
      </c>
      <c r="P43" s="120"/>
      <c r="Q43" s="120"/>
    </row>
    <row customHeight="1" ht="14.25">
      <c r="A44" s="96"/>
      <c r="B44" s="123" t="s">
        <v>53</v>
      </c>
      <c r="C44" s="114" t="s">
        <v>24</v>
      </c>
      <c r="D44" s="118">
        <f>原料产品取值!B40</f>
        <v>0</v>
      </c>
      <c r="E44" s="118">
        <f>原料产品取值!C40</f>
        <v>0</v>
      </c>
      <c r="F44" s="118">
        <f>原料产品取值!D40</f>
        <v>892459</v>
      </c>
      <c r="G44" s="118">
        <f>原料产品取值!F40</f>
        <v>0</v>
      </c>
      <c r="H44" s="118">
        <f>原料产品取值!G40</f>
        <v>0</v>
      </c>
      <c r="I44" s="118">
        <f>原料产品取值!I40</f>
        <v>0</v>
      </c>
      <c r="J44" s="118">
        <f>原料产品取值!J40</f>
        <v>0</v>
      </c>
      <c r="K44" s="118">
        <f>原料产品取值!K40</f>
        <v>892459</v>
      </c>
      <c r="L44" s="118">
        <f>原料产品取值!L40</f>
        <v>0</v>
      </c>
      <c r="M44" s="118">
        <f>原料产品取值!M40</f>
        <v>0</v>
      </c>
      <c r="N44" s="119"/>
      <c r="O44" s="118">
        <f>原料产品取值!O40</f>
        <v>0</v>
      </c>
      <c r="P44" s="120">
        <f>_xlfn.IFERROR(SUM(D44,E44,F44,J44,L44,N44)-SUM(G44,H44,I44,K44,M44),0)</f>
        <v>0</v>
      </c>
      <c r="Q44" s="120">
        <f>_xlfn.IFERROR(P44-O44,"0")</f>
        <v>0</v>
      </c>
    </row>
    <row customHeight="1" ht="14.25">
      <c r="A45" s="96"/>
      <c r="B45" s="123" t="s">
        <v>54</v>
      </c>
      <c r="C45" s="114" t="s">
        <v>24</v>
      </c>
      <c r="D45" s="118">
        <f>原料产品取值!B41</f>
        <v>0</v>
      </c>
      <c r="E45" s="118">
        <f>原料产品取值!C41</f>
        <v>0</v>
      </c>
      <c r="F45" s="118">
        <f>原料产品取值!D41</f>
        <v>1743551</v>
      </c>
      <c r="G45" s="118">
        <f>原料产品取值!F41</f>
        <v>0</v>
      </c>
      <c r="H45" s="118">
        <f>原料产品取值!G41</f>
        <v>0</v>
      </c>
      <c r="I45" s="118">
        <f>原料产品取值!I41</f>
        <v>0</v>
      </c>
      <c r="J45" s="118">
        <f>原料产品取值!J41</f>
        <v>0</v>
      </c>
      <c r="K45" s="118">
        <f>原料产品取值!K41</f>
        <v>1743551</v>
      </c>
      <c r="L45" s="118">
        <f>原料产品取值!L41</f>
        <v>0</v>
      </c>
      <c r="M45" s="118">
        <f>原料产品取值!M41</f>
        <v>0</v>
      </c>
      <c r="N45" s="119"/>
      <c r="O45" s="118">
        <f>原料产品取值!O41</f>
        <v>0</v>
      </c>
      <c r="P45" s="120">
        <f>_xlfn.IFERROR(SUM(D45,E45,F45,J45,L45,N45)-SUM(G45,H45,I45,K45,M45),0)</f>
        <v>0</v>
      </c>
      <c r="Q45" s="120">
        <f>_xlfn.IFERROR(P45-O45,"0")</f>
        <v>0</v>
      </c>
    </row>
    <row customHeight="1" ht="14.25">
      <c r="A46" s="96"/>
      <c r="B46" s="123" t="s">
        <v>55</v>
      </c>
      <c r="C46" s="114" t="s">
        <v>24</v>
      </c>
      <c r="D46" s="118">
        <f>原料产品取值!B42</f>
        <v>0</v>
      </c>
      <c r="E46" s="118">
        <f>原料产品取值!C42</f>
        <v>0</v>
      </c>
      <c r="F46" s="118">
        <f>原料产品取值!D42</f>
        <v>0</v>
      </c>
      <c r="G46" s="118">
        <f>原料产品取值!F42</f>
        <v>0</v>
      </c>
      <c r="H46" s="118">
        <f>原料产品取值!G42</f>
        <v>0</v>
      </c>
      <c r="I46" s="118">
        <f>原料产品取值!I42</f>
        <v>0</v>
      </c>
      <c r="J46" s="118">
        <f>原料产品取值!J42</f>
        <v>0</v>
      </c>
      <c r="K46" s="118">
        <f>原料产品取值!K42</f>
        <v>0</v>
      </c>
      <c r="L46" s="118">
        <f>原料产品取值!L42</f>
        <v>0</v>
      </c>
      <c r="M46" s="118">
        <f>原料产品取值!M42</f>
        <v>0</v>
      </c>
      <c r="N46" s="119"/>
      <c r="O46" s="118">
        <f>原料产品取值!O42</f>
        <v>0</v>
      </c>
      <c r="P46" s="120"/>
      <c r="Q46" s="120"/>
    </row>
    <row customHeight="1" ht="14.25">
      <c r="A47" s="96"/>
      <c r="B47" s="123" t="s">
        <v>56</v>
      </c>
      <c r="C47" s="114" t="s">
        <v>24</v>
      </c>
      <c r="D47" s="118">
        <f>原料产品取值!B43</f>
        <v>0</v>
      </c>
      <c r="E47" s="118">
        <f>原料产品取值!C43</f>
        <v>0</v>
      </c>
      <c r="F47" s="118">
        <f>原料产品取值!D43</f>
        <v>36001</v>
      </c>
      <c r="G47" s="118">
        <f>原料产品取值!F43</f>
        <v>36001</v>
      </c>
      <c r="H47" s="118">
        <f>原料产品取值!G43</f>
        <v>0</v>
      </c>
      <c r="I47" s="118">
        <f>原料产品取值!I43</f>
        <v>0</v>
      </c>
      <c r="J47" s="118">
        <f>原料产品取值!J43</f>
        <v>0</v>
      </c>
      <c r="K47" s="118">
        <f>原料产品取值!K43</f>
        <v>0</v>
      </c>
      <c r="L47" s="118">
        <f>原料产品取值!L43</f>
        <v>0</v>
      </c>
      <c r="M47" s="118">
        <f>原料产品取值!M43</f>
        <v>0</v>
      </c>
      <c r="N47" s="119"/>
      <c r="O47" s="118">
        <f>原料产品取值!O43</f>
        <v>0</v>
      </c>
      <c r="P47" s="120">
        <f>_xlfn.IFERROR(SUM(D47,E47,F47,J47,L47,N47)-SUM(G47,H47,I47,K47,M47),0)</f>
        <v>0</v>
      </c>
      <c r="Q47" s="120">
        <f>_xlfn.IFERROR(P47-O47,"0")</f>
        <v>0</v>
      </c>
    </row>
    <row customHeight="1" ht="14.25">
      <c r="A48" s="96"/>
      <c r="B48" s="130" t="s">
        <v>57</v>
      </c>
      <c r="C48" s="114" t="s">
        <v>24</v>
      </c>
      <c r="D48" s="118">
        <f>原料产品取值!B44</f>
        <v>0</v>
      </c>
      <c r="E48" s="118">
        <f>原料产品取值!C44</f>
        <v>0</v>
      </c>
      <c r="F48" s="118">
        <f>原料产品取值!D44</f>
        <v>105443</v>
      </c>
      <c r="G48" s="118">
        <f>原料产品取值!F44</f>
        <v>0</v>
      </c>
      <c r="H48" s="118">
        <f>原料产品取值!G44</f>
        <v>0</v>
      </c>
      <c r="I48" s="118">
        <f>原料产品取值!I44</f>
        <v>0</v>
      </c>
      <c r="J48" s="118">
        <f>原料产品取值!J44</f>
        <v>0</v>
      </c>
      <c r="K48" s="118">
        <f>原料产品取值!K44</f>
        <v>105443</v>
      </c>
      <c r="L48" s="118">
        <f>原料产品取值!L44</f>
        <v>0</v>
      </c>
      <c r="M48" s="118">
        <f>原料产品取值!M44</f>
        <v>0</v>
      </c>
      <c r="N48" s="119"/>
      <c r="O48" s="118">
        <f>原料产品取值!O44</f>
        <v>0</v>
      </c>
      <c r="P48" s="120">
        <f>_xlfn.IFERROR(SUM(D48,E48,F48,J48,L48,N48)-SUM(G48,H48,I48,K48,M48),0)</f>
        <v>0</v>
      </c>
      <c r="Q48" s="120">
        <f>_xlfn.IFERROR(P48-O48,"0")</f>
        <v>0</v>
      </c>
    </row>
    <row customHeight="1" ht="14.25">
      <c r="A49" s="96"/>
      <c r="B49" s="123" t="s">
        <v>58</v>
      </c>
      <c r="C49" s="114" t="s">
        <v>24</v>
      </c>
      <c r="D49" s="118">
        <f>原料产品取值!B45</f>
        <v>371</v>
      </c>
      <c r="E49" s="118">
        <f>原料产品取值!C45</f>
        <v>0</v>
      </c>
      <c r="F49" s="118">
        <f>原料产品取值!D45</f>
        <v>59342</v>
      </c>
      <c r="G49" s="118">
        <f>原料产品取值!F45</f>
        <v>0</v>
      </c>
      <c r="H49" s="118">
        <f>原料产品取值!G45</f>
        <v>0</v>
      </c>
      <c r="I49" s="118">
        <f>原料产品取值!I45</f>
        <v>0</v>
      </c>
      <c r="J49" s="118">
        <f>原料产品取值!J45</f>
        <v>0</v>
      </c>
      <c r="K49" s="118">
        <f>原料产品取值!K45</f>
        <v>59327</v>
      </c>
      <c r="L49" s="118">
        <f>原料产品取值!L45</f>
        <v>0</v>
      </c>
      <c r="M49" s="118">
        <f>原料产品取值!M45</f>
        <v>0</v>
      </c>
      <c r="N49" s="119">
        <f>_xlfn.IFERROR(SUM(IF(G49="",0,G49),IF(H49="",0,H49),IF(I49="",0,I49),IF(K49="",0,K49),IF(M49="",0,M49),IF(O49="",0,O49))-SUM(IF(D49="",0,D49),IF(E49="",0,E49),IF(F49="",0,F49),IF(J49="",0,J49),IF(L49="",0,L49)),0)</f>
        <v>0</v>
      </c>
      <c r="O49" s="118">
        <f>原料产品取值!O45</f>
        <v>386</v>
      </c>
      <c r="P49" s="120">
        <f>_xlfn.IFERROR(SUM(D49,E49,F49,J49,L49,N49)-SUM(G49,H49,I49,K49,M49),0)</f>
        <v>386</v>
      </c>
      <c r="Q49" s="120">
        <f>_xlfn.IFERROR(P49-O49,"0")</f>
        <v>0</v>
      </c>
    </row>
    <row customHeight="1" ht="14.25">
      <c r="A50" s="96"/>
      <c r="B50" s="123" t="s">
        <v>59</v>
      </c>
      <c r="C50" s="133" t="s">
        <v>24</v>
      </c>
      <c r="D50" s="118">
        <f>原料产品取值!B46</f>
        <v>1067</v>
      </c>
      <c r="E50" s="118">
        <f>原料产品取值!C46</f>
        <v>0</v>
      </c>
      <c r="F50" s="118">
        <f>原料产品取值!D46</f>
        <v>217169</v>
      </c>
      <c r="G50" s="118">
        <f>原料产品取值!F46</f>
        <v>0</v>
      </c>
      <c r="H50" s="118">
        <f>原料产品取值!G46</f>
        <v>217124</v>
      </c>
      <c r="I50" s="118">
        <f>原料产品取值!I46</f>
        <v>0</v>
      </c>
      <c r="J50" s="118">
        <f>原料产品取值!J46</f>
        <v>0</v>
      </c>
      <c r="K50" s="118">
        <f>原料产品取值!K46</f>
        <v>0</v>
      </c>
      <c r="L50" s="118">
        <f>原料产品取值!L46</f>
        <v>0</v>
      </c>
      <c r="M50" s="118">
        <f>原料产品取值!M46</f>
        <v>0</v>
      </c>
      <c r="N50" s="119">
        <f>_xlfn.IFERROR(SUM(IF(G50="",0,G50),IF(H50="",0,H50),IF(I50="",0,I50),IF(K50="",0,K50),IF(M50="",0,M50),IF(O50="",0,O50))-SUM(IF(D50="",0,D50),IF(E50="",0,E50),IF(F50="",0,F50),IF(J50="",0,J50),IF(L50="",0,L50)),0)</f>
        <v>0</v>
      </c>
      <c r="O50" s="118">
        <f>原料产品取值!O46</f>
        <v>1112</v>
      </c>
      <c r="P50" s="120">
        <f>_xlfn.IFERROR(SUM(D50,E50,F50,J50,L50,N50)-SUM(G50,H50,I50,K50,M50),0)</f>
        <v>1112</v>
      </c>
      <c r="Q50" s="120">
        <f>_xlfn.IFERROR(P50-O50,"0")</f>
        <v>0</v>
      </c>
    </row>
    <row customHeight="1" ht="14.25">
      <c r="A51" s="96"/>
      <c r="B51" s="134" t="s">
        <v>60</v>
      </c>
      <c r="C51" s="135" t="s">
        <v>24</v>
      </c>
      <c r="D51" s="118">
        <f>原料产品取值!B47</f>
        <v>55</v>
      </c>
      <c r="E51" s="118">
        <f>原料产品取值!C47</f>
        <v>0</v>
      </c>
      <c r="F51" s="118">
        <f>原料产品取值!D47</f>
        <v>2231</v>
      </c>
      <c r="G51" s="118">
        <f>原料产品取值!F47</f>
        <v>0</v>
      </c>
      <c r="H51" s="118">
        <f>原料产品取值!G47</f>
        <v>2234</v>
      </c>
      <c r="I51" s="118">
        <f>原料产品取值!I47</f>
        <v>0</v>
      </c>
      <c r="J51" s="118">
        <f>原料产品取值!J47</f>
        <v>0</v>
      </c>
      <c r="K51" s="118">
        <f>原料产品取值!K47</f>
        <v>0</v>
      </c>
      <c r="L51" s="118">
        <f>原料产品取值!L47</f>
        <v>0</v>
      </c>
      <c r="M51" s="118">
        <f>原料产品取值!M47</f>
        <v>0</v>
      </c>
      <c r="N51" s="119">
        <f>_xlfn.IFERROR(SUM(IF(G51="",0,G51),IF(H51="",0,H51),IF(I51="",0,I51),IF(K51="",0,K51),IF(M51="",0,M51),IF(O51="",0,O51))-SUM(IF(D51="",0,D51),IF(E51="",0,E51),IF(F51="",0,F51),IF(J51="",0,J51),IF(L51="",0,L51)),0)</f>
        <v>0</v>
      </c>
      <c r="O51" s="118">
        <f>原料产品取值!O47</f>
        <v>52</v>
      </c>
      <c r="P51" s="120">
        <f>_xlfn.IFERROR(SUM(D51,E51,F51,J51,L51,N51)-SUM(G51,H51,I51,K51,M51),0)</f>
        <v>52</v>
      </c>
      <c r="Q51" s="120">
        <f>_xlfn.IFERROR(P51-O51,"0")</f>
        <v>0</v>
      </c>
    </row>
    <row customHeight="1" ht="14.25">
      <c r="A52" s="96"/>
      <c r="B52" s="136" t="s">
        <v>61</v>
      </c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96"/>
      <c r="Q52" s="96"/>
    </row>
    <row customHeight="1" ht="14.25">
      <c r="A53" s="96"/>
      <c r="B53" s="136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96"/>
      <c r="Q53" s="96"/>
    </row>
    <row customHeight="1" ht="14.25">
      <c r="A54" s="96"/>
      <c r="B54" s="136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96"/>
      <c r="Q54" s="96"/>
    </row>
  </sheetData>
  <mergeCells count="20">
    <mergeCell ref="B52:B54"/>
    <mergeCell ref="C52:O52"/>
    <mergeCell ref="C53:O53"/>
    <mergeCell ref="C54:O54"/>
    <mergeCell ref="G4:G5"/>
    <mergeCell ref="H4:H5"/>
    <mergeCell ref="I4:I5"/>
    <mergeCell ref="J4:K4"/>
    <mergeCell ref="L4:M4"/>
    <mergeCell ref="H3:L3"/>
    <mergeCell ref="B2:O2"/>
    <mergeCell ref="M3:O3"/>
    <mergeCell ref="B4:B5"/>
    <mergeCell ref="C4:C5"/>
    <mergeCell ref="D4:D5"/>
    <mergeCell ref="E4:E5"/>
    <mergeCell ref="F4:F5"/>
    <mergeCell ref="O4:O5"/>
    <mergeCell ref="B3:C3"/>
    <mergeCell ref="E3:F3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2CCEBF1-8FD8-D168-C4D6-311318DD308D}" mc:Ignorable="x14ac xr xr2 xr3">
  <dimension ref="A1:Q51"/>
  <sheetViews>
    <sheetView defaultGridColor="0" colorId="31" workbookViewId="0">
      <pane xSplit="1" ySplit="2" topLeftCell="B3" activePane="bottomRight" state="frozen"/>
      <selection pane="bottomLeft" activeCell="A3" sqref="A3"/>
      <selection pane="topRight" activeCell="B1" sqref="B1"/>
      <selection pane="bottomRight" activeCell="B3" sqref="B3"/>
    </sheetView>
  </sheetViews>
  <sheetFormatPr customHeight="1" defaultRowHeight="14.002500000000003"/>
  <cols>
    <col min="1" max="1" width="19.140625" customWidth="1"/>
  </cols>
  <sheetData>
    <row customHeight="1" ht="14.25">
      <c r="A1" s="96"/>
      <c r="B1" s="106" t="s">
        <v>7</v>
      </c>
      <c r="C1" s="106" t="s">
        <v>8</v>
      </c>
      <c r="D1" s="106" t="s">
        <v>9</v>
      </c>
      <c r="E1" s="106" t="s">
        <v>62</v>
      </c>
      <c r="F1" s="90" t="s">
        <v>63</v>
      </c>
      <c r="G1" s="106" t="s">
        <v>11</v>
      </c>
      <c r="H1" s="106" t="s">
        <v>64</v>
      </c>
      <c r="I1" s="106" t="s">
        <v>12</v>
      </c>
      <c r="J1" s="108" t="s">
        <v>13</v>
      </c>
      <c r="K1" s="109"/>
      <c r="L1" s="108" t="s">
        <v>14</v>
      </c>
      <c r="M1" s="109"/>
      <c r="N1" s="110" t="s">
        <v>15</v>
      </c>
      <c r="O1" s="138" t="s">
        <v>16</v>
      </c>
      <c r="P1" s="96"/>
      <c r="Q1" s="96"/>
    </row>
    <row customHeight="1" ht="14.25">
      <c r="A2" s="116" t="s">
        <v>22</v>
      </c>
      <c r="B2" s="112"/>
      <c r="C2" s="112"/>
      <c r="D2" s="112"/>
      <c r="E2" s="112"/>
      <c r="F2" s="91"/>
      <c r="G2" s="112"/>
      <c r="H2" s="112"/>
      <c r="I2" s="112"/>
      <c r="J2" s="114" t="s">
        <v>17</v>
      </c>
      <c r="K2" s="114" t="s">
        <v>18</v>
      </c>
      <c r="L2" s="114" t="s">
        <v>19</v>
      </c>
      <c r="M2" s="114" t="s">
        <v>20</v>
      </c>
      <c r="N2" s="115" t="s">
        <v>21</v>
      </c>
      <c r="O2" s="116"/>
      <c r="P2" s="96"/>
      <c r="Q2" s="96"/>
    </row>
    <row customHeight="1" ht="14.25">
      <c r="A3" s="116" t="s">
        <v>65</v>
      </c>
      <c r="B3" s="139">
        <v>7587</v>
      </c>
      <c r="C3" s="140"/>
      <c r="D3" s="140"/>
      <c r="E3" s="140"/>
      <c r="F3" s="140">
        <v>1491491</v>
      </c>
      <c r="G3" s="140"/>
      <c r="H3" s="140"/>
      <c r="I3" s="140"/>
      <c r="J3" s="140">
        <v>1301027.58</v>
      </c>
      <c r="K3" s="140"/>
      <c r="L3" s="140">
        <v>197058</v>
      </c>
      <c r="M3" s="140">
        <v>0</v>
      </c>
      <c r="N3" s="140"/>
      <c r="O3" s="139">
        <v>10289</v>
      </c>
      <c r="P3" s="96"/>
      <c r="Q3" s="96"/>
    </row>
    <row customHeight="1" ht="14.25">
      <c r="A4" s="116" t="s">
        <v>25</v>
      </c>
      <c r="B4" s="140"/>
      <c r="C4" s="140"/>
      <c r="D4" s="140"/>
      <c r="E4" s="140"/>
      <c r="F4" s="140"/>
      <c r="G4" s="140"/>
      <c r="H4" s="140"/>
      <c r="I4" s="140"/>
      <c r="J4" s="140">
        <v>955826</v>
      </c>
      <c r="K4" s="140"/>
      <c r="L4" s="140"/>
      <c r="M4" s="140"/>
      <c r="N4" s="140"/>
      <c r="O4" s="140"/>
      <c r="P4" s="96"/>
      <c r="Q4" s="96"/>
    </row>
    <row customHeight="1" ht="14.25">
      <c r="A5" s="116" t="s">
        <v>26</v>
      </c>
      <c r="B5" s="140"/>
      <c r="C5" s="140"/>
      <c r="D5" s="140"/>
      <c r="E5" s="140"/>
      <c r="F5" s="140"/>
      <c r="G5" s="140"/>
      <c r="H5" s="140"/>
      <c r="I5" s="140"/>
      <c r="J5" s="140">
        <v>296258.06</v>
      </c>
      <c r="K5" s="140"/>
      <c r="L5" s="140"/>
      <c r="M5" s="140"/>
      <c r="N5" s="140"/>
      <c r="O5" s="140"/>
      <c r="P5" s="96"/>
      <c r="Q5" s="96"/>
    </row>
    <row customHeight="1" ht="14.25">
      <c r="A6" s="116" t="s">
        <v>27</v>
      </c>
      <c r="B6" s="141"/>
      <c r="C6" s="139"/>
      <c r="D6" s="141"/>
      <c r="E6" s="141"/>
      <c r="F6" s="141"/>
      <c r="G6" s="141"/>
      <c r="H6" s="141"/>
      <c r="I6" s="141"/>
      <c r="J6" s="141">
        <v>48943.52</v>
      </c>
      <c r="K6" s="141"/>
      <c r="L6" s="141"/>
      <c r="M6" s="141"/>
      <c r="N6" s="96"/>
      <c r="O6" s="141"/>
      <c r="P6" s="96"/>
      <c r="Q6" s="96"/>
    </row>
    <row customHeight="1" ht="14.25">
      <c r="A7" s="116" t="s">
        <v>28</v>
      </c>
      <c r="B7" s="141">
        <v>11515</v>
      </c>
      <c r="C7" s="141"/>
      <c r="D7" s="141"/>
      <c r="E7" s="141"/>
      <c r="F7" s="141">
        <v>1018725</v>
      </c>
      <c r="G7" s="141"/>
      <c r="H7" s="141"/>
      <c r="I7" s="141"/>
      <c r="J7" s="141">
        <v>987289.68</v>
      </c>
      <c r="K7" s="141"/>
      <c r="L7" s="141">
        <v>30745</v>
      </c>
      <c r="M7" s="141">
        <v>518</v>
      </c>
      <c r="N7" s="141"/>
      <c r="O7" s="141">
        <v>10538</v>
      </c>
      <c r="P7" s="96"/>
      <c r="Q7" s="96"/>
    </row>
    <row customHeight="1" ht="14.25">
      <c r="A8" s="116" t="s">
        <v>25</v>
      </c>
      <c r="B8" s="141"/>
      <c r="C8" s="141"/>
      <c r="D8" s="141"/>
      <c r="E8" s="141"/>
      <c r="F8" s="141"/>
      <c r="G8" s="141"/>
      <c r="H8" s="141"/>
      <c r="I8" s="141"/>
      <c r="J8" s="141">
        <v>966625</v>
      </c>
      <c r="K8" s="141"/>
      <c r="L8" s="141"/>
      <c r="M8" s="141"/>
      <c r="N8" s="141"/>
      <c r="O8" s="141"/>
      <c r="P8" s="96"/>
      <c r="Q8" s="96"/>
    </row>
    <row customHeight="1" ht="14.25">
      <c r="A9" s="116" t="s">
        <v>26</v>
      </c>
      <c r="B9" s="141"/>
      <c r="C9" s="141"/>
      <c r="D9" s="141"/>
      <c r="E9" s="141"/>
      <c r="F9" s="141"/>
      <c r="G9" s="141"/>
      <c r="H9" s="141"/>
      <c r="I9" s="141"/>
      <c r="J9" s="141">
        <v>0</v>
      </c>
      <c r="K9" s="141"/>
      <c r="L9" s="141"/>
      <c r="M9" s="141"/>
      <c r="N9" s="141"/>
      <c r="O9" s="141"/>
      <c r="P9" s="96"/>
      <c r="Q9" s="96"/>
    </row>
    <row customHeight="1" ht="14.25">
      <c r="A10" s="116" t="s">
        <v>27</v>
      </c>
      <c r="B10" s="141"/>
      <c r="C10" s="141"/>
      <c r="D10" s="141"/>
      <c r="E10" s="141"/>
      <c r="F10" s="141"/>
      <c r="G10" s="141"/>
      <c r="H10" s="141"/>
      <c r="I10" s="141"/>
      <c r="J10" s="141">
        <v>20664.68</v>
      </c>
      <c r="K10" s="141"/>
      <c r="L10" s="141"/>
      <c r="M10" s="141"/>
      <c r="N10" s="141"/>
      <c r="O10" s="141"/>
      <c r="P10" s="96"/>
      <c r="Q10" s="96"/>
    </row>
    <row customHeight="1" ht="14.25">
      <c r="A11" s="116" t="s">
        <v>29</v>
      </c>
      <c r="B11" s="141">
        <v>1293</v>
      </c>
      <c r="C11" s="141"/>
      <c r="D11" s="141"/>
      <c r="E11" s="141"/>
      <c r="F11" s="141">
        <v>1533158</v>
      </c>
      <c r="G11" s="141"/>
      <c r="H11" s="141"/>
      <c r="I11" s="141"/>
      <c r="J11" s="141">
        <v>1537211</v>
      </c>
      <c r="K11" s="141"/>
      <c r="L11" s="141">
        <v>0</v>
      </c>
      <c r="M11" s="141">
        <v>0</v>
      </c>
      <c r="N11" s="141"/>
      <c r="O11" s="141">
        <v>1564</v>
      </c>
      <c r="P11" s="96"/>
      <c r="Q11" s="96"/>
    </row>
    <row customHeight="1" ht="14.25">
      <c r="A12" s="116" t="s">
        <v>30</v>
      </c>
      <c r="B12" s="141">
        <v>2174</v>
      </c>
      <c r="C12" s="141"/>
      <c r="D12" s="141"/>
      <c r="E12" s="141"/>
      <c r="F12" s="141">
        <v>1864458</v>
      </c>
      <c r="G12" s="141"/>
      <c r="H12" s="141"/>
      <c r="I12" s="141"/>
      <c r="J12" s="141">
        <v>1872356</v>
      </c>
      <c r="K12" s="141"/>
      <c r="L12" s="141">
        <v>2007</v>
      </c>
      <c r="M12" s="141">
        <v>10897</v>
      </c>
      <c r="N12" s="141"/>
      <c r="O12" s="141">
        <v>2089</v>
      </c>
      <c r="P12" s="96"/>
      <c r="Q12" s="96"/>
    </row>
    <row customHeight="1" ht="14.25">
      <c r="A13" s="121" t="s">
        <v>25</v>
      </c>
      <c r="B13" s="141"/>
      <c r="C13" s="141"/>
      <c r="D13" s="141"/>
      <c r="E13" s="141"/>
      <c r="F13" s="141"/>
      <c r="G13" s="141"/>
      <c r="H13" s="141"/>
      <c r="I13" s="141"/>
      <c r="J13" s="141">
        <v>1872356</v>
      </c>
      <c r="K13" s="141"/>
      <c r="L13" s="141"/>
      <c r="M13" s="141"/>
      <c r="N13" s="141"/>
      <c r="O13" s="141">
        <v>0</v>
      </c>
      <c r="P13" s="96"/>
      <c r="Q13" s="96"/>
    </row>
    <row customHeight="1" ht="14.25">
      <c r="A14" s="121" t="s">
        <v>31</v>
      </c>
      <c r="B14" s="141"/>
      <c r="C14" s="141"/>
      <c r="D14" s="141"/>
      <c r="E14" s="141"/>
      <c r="F14" s="141"/>
      <c r="G14" s="141"/>
      <c r="H14" s="141"/>
      <c r="I14" s="141"/>
      <c r="J14" s="141">
        <v>0</v>
      </c>
      <c r="K14" s="141"/>
      <c r="L14" s="141"/>
      <c r="M14" s="141"/>
      <c r="N14" s="141"/>
      <c r="O14" s="141">
        <v>0</v>
      </c>
      <c r="P14" s="96"/>
      <c r="Q14" s="96"/>
    </row>
    <row customHeight="1" ht="14.25">
      <c r="A15" s="142" t="s">
        <v>32</v>
      </c>
      <c r="B15" s="141"/>
      <c r="C15" s="141"/>
      <c r="D15" s="141"/>
      <c r="E15" s="141"/>
      <c r="F15" s="141"/>
      <c r="G15" s="141"/>
      <c r="H15" s="141"/>
      <c r="I15" s="141"/>
      <c r="J15" s="141">
        <v>0</v>
      </c>
      <c r="K15" s="141"/>
      <c r="L15" s="141"/>
      <c r="M15" s="141"/>
      <c r="N15" s="141"/>
      <c r="O15" s="141"/>
      <c r="P15" s="96"/>
      <c r="Q15" s="96"/>
    </row>
    <row customHeight="1" ht="14.25">
      <c r="A16" s="143" t="s">
        <v>66</v>
      </c>
      <c r="B16" s="141"/>
      <c r="C16" s="141"/>
      <c r="D16" s="141"/>
      <c r="E16" s="141"/>
      <c r="F16" s="141">
        <v>621089</v>
      </c>
      <c r="G16" s="141"/>
      <c r="H16" s="141"/>
      <c r="I16" s="141"/>
      <c r="J16" s="141">
        <v>621089</v>
      </c>
      <c r="K16" s="141"/>
      <c r="L16" s="141">
        <v>0</v>
      </c>
      <c r="M16" s="141">
        <v>0</v>
      </c>
      <c r="N16" s="141"/>
      <c r="O16" s="141">
        <v>0</v>
      </c>
      <c r="P16" s="96"/>
      <c r="Q16" s="96"/>
    </row>
    <row customHeight="1" ht="14.25">
      <c r="A17" s="143" t="s">
        <v>34</v>
      </c>
      <c r="B17" s="141">
        <v>5540</v>
      </c>
      <c r="C17" s="141">
        <v>98470.22</v>
      </c>
      <c r="D17" s="141"/>
      <c r="E17" s="141"/>
      <c r="F17" s="141">
        <v>98558</v>
      </c>
      <c r="G17" s="141"/>
      <c r="H17" s="141"/>
      <c r="I17" s="141"/>
      <c r="J17" s="141"/>
      <c r="K17" s="141"/>
      <c r="L17" s="141">
        <v>0</v>
      </c>
      <c r="M17" s="141">
        <v>0</v>
      </c>
      <c r="N17" s="141"/>
      <c r="O17" s="141">
        <v>5017</v>
      </c>
      <c r="P17" s="96"/>
      <c r="Q17" s="96"/>
    </row>
    <row customHeight="1" ht="14.25">
      <c r="A18" s="143" t="s">
        <v>67</v>
      </c>
      <c r="B18" s="141"/>
      <c r="C18" s="141">
        <v>65</v>
      </c>
      <c r="D18" s="141"/>
      <c r="E18" s="141"/>
      <c r="F18" s="141"/>
      <c r="G18" s="141"/>
      <c r="H18" s="141"/>
      <c r="I18" s="141"/>
      <c r="J18" s="141">
        <v>6305.7</v>
      </c>
      <c r="K18" s="141"/>
      <c r="L18" s="141"/>
      <c r="M18" s="141">
        <v>6370.7</v>
      </c>
      <c r="N18" s="96"/>
      <c r="O18" s="141"/>
      <c r="P18" s="96"/>
      <c r="Q18" s="96"/>
    </row>
    <row customHeight="1" ht="14.25">
      <c r="A19" s="143" t="s">
        <v>36</v>
      </c>
      <c r="B19" s="141">
        <v>39</v>
      </c>
      <c r="C19" s="141"/>
      <c r="D19" s="141"/>
      <c r="E19" s="141"/>
      <c r="F19" s="141"/>
      <c r="G19" s="141"/>
      <c r="H19" s="141"/>
      <c r="I19" s="141">
        <v>675</v>
      </c>
      <c r="J19" s="141">
        <v>691</v>
      </c>
      <c r="K19" s="141"/>
      <c r="L19" s="141"/>
      <c r="M19" s="141"/>
      <c r="N19" s="96"/>
      <c r="O19" s="141">
        <v>0</v>
      </c>
      <c r="P19" s="96"/>
      <c r="Q19" s="96"/>
    </row>
    <row customHeight="1" ht="14.25">
      <c r="A20" s="143" t="s">
        <v>37</v>
      </c>
      <c r="B20" s="141">
        <v>0</v>
      </c>
      <c r="C20" s="141"/>
      <c r="D20" s="141"/>
      <c r="E20" s="141"/>
      <c r="F20" s="141"/>
      <c r="G20" s="141"/>
      <c r="H20" s="141"/>
      <c r="I20" s="141">
        <v>0</v>
      </c>
      <c r="J20" s="141">
        <v>0</v>
      </c>
      <c r="K20" s="141"/>
      <c r="L20" s="141"/>
      <c r="M20" s="141"/>
      <c r="N20" s="96"/>
      <c r="O20" s="141">
        <v>0</v>
      </c>
      <c r="P20" s="96"/>
      <c r="Q20" s="96"/>
    </row>
    <row customHeight="1" ht="14.25">
      <c r="A21" s="143" t="s">
        <v>38</v>
      </c>
      <c r="B21" s="141">
        <v>0</v>
      </c>
      <c r="C21" s="141"/>
      <c r="D21" s="141"/>
      <c r="E21" s="141"/>
      <c r="F21" s="141"/>
      <c r="G21" s="141"/>
      <c r="H21" s="141"/>
      <c r="I21" s="141">
        <v>30</v>
      </c>
      <c r="J21" s="141">
        <v>30</v>
      </c>
      <c r="K21" s="141"/>
      <c r="L21" s="141"/>
      <c r="M21" s="141"/>
      <c r="N21" s="96"/>
      <c r="O21" s="141">
        <v>0</v>
      </c>
      <c r="P21" s="96"/>
      <c r="Q21" s="96"/>
    </row>
    <row customHeight="1" ht="14.25">
      <c r="A22" s="144" t="s">
        <v>39</v>
      </c>
      <c r="B22" s="141"/>
      <c r="C22" s="141">
        <v>74490.36</v>
      </c>
      <c r="D22" s="141"/>
      <c r="E22" s="141"/>
      <c r="F22" s="141"/>
      <c r="G22" s="141"/>
      <c r="H22" s="141"/>
      <c r="I22" s="141"/>
      <c r="J22" s="141"/>
      <c r="K22" s="141"/>
      <c r="L22" s="141"/>
      <c r="M22" s="141">
        <v>74490.36</v>
      </c>
      <c r="N22" s="96"/>
      <c r="O22" s="141"/>
      <c r="P22" s="96"/>
      <c r="Q22" s="96"/>
    </row>
    <row customHeight="1" ht="14.25">
      <c r="A23" s="143" t="s">
        <v>40</v>
      </c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96"/>
      <c r="O23" s="141"/>
      <c r="P23" s="96"/>
      <c r="Q23" s="96"/>
    </row>
    <row customHeight="1" ht="14.25">
      <c r="A24" s="145" t="s">
        <v>41</v>
      </c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96"/>
      <c r="O24" s="141"/>
      <c r="P24" s="96"/>
      <c r="Q24" s="96"/>
    </row>
    <row customHeight="1" ht="14.25">
      <c r="A25" s="116" t="s">
        <v>68</v>
      </c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96"/>
      <c r="O25" s="141"/>
      <c r="P25" s="96"/>
      <c r="Q25" s="96"/>
    </row>
    <row customHeight="1" ht="14.25">
      <c r="A26" s="116" t="s">
        <v>69</v>
      </c>
      <c r="B26" s="141"/>
      <c r="C26" s="141"/>
      <c r="D26" s="141">
        <v>866531</v>
      </c>
      <c r="E26" s="141"/>
      <c r="F26" s="141"/>
      <c r="G26" s="141"/>
      <c r="H26" s="141"/>
      <c r="I26" s="141"/>
      <c r="J26" s="141"/>
      <c r="K26" s="141">
        <v>866531</v>
      </c>
      <c r="L26" s="141"/>
      <c r="M26" s="141"/>
      <c r="N26" s="141"/>
      <c r="O26" s="141"/>
      <c r="P26" s="141"/>
      <c r="Q26" s="141"/>
    </row>
    <row customHeight="1" ht="14.25">
      <c r="A27" s="121" t="s">
        <v>70</v>
      </c>
      <c r="B27" s="146"/>
      <c r="C27" s="141"/>
      <c r="D27" s="141">
        <v>260107</v>
      </c>
      <c r="E27" s="141"/>
      <c r="F27" s="141"/>
      <c r="G27" s="141"/>
      <c r="H27" s="141"/>
      <c r="I27" s="141"/>
      <c r="J27" s="141"/>
      <c r="K27" s="141">
        <v>260107</v>
      </c>
      <c r="L27" s="141"/>
      <c r="M27" s="141"/>
      <c r="N27" s="141"/>
      <c r="O27" s="141"/>
      <c r="P27" s="141"/>
      <c r="Q27" s="141"/>
    </row>
    <row customHeight="1" ht="14.25">
      <c r="A28" s="116" t="s">
        <v>71</v>
      </c>
      <c r="B28" s="141"/>
      <c r="C28" s="141"/>
      <c r="D28" s="141">
        <v>126972</v>
      </c>
      <c r="E28" s="141"/>
      <c r="F28" s="141"/>
      <c r="G28" s="141"/>
      <c r="H28" s="141"/>
      <c r="I28" s="141"/>
      <c r="J28" s="141"/>
      <c r="K28" s="141">
        <v>126972</v>
      </c>
      <c r="L28" s="141"/>
      <c r="M28" s="141"/>
      <c r="N28" s="141"/>
      <c r="O28" s="141"/>
      <c r="P28" s="141"/>
      <c r="Q28" s="141"/>
    </row>
    <row customHeight="1" ht="14.25">
      <c r="A29" s="116" t="s">
        <v>72</v>
      </c>
      <c r="B29" s="141"/>
      <c r="C29" s="141"/>
      <c r="D29" s="141">
        <v>5870</v>
      </c>
      <c r="E29" s="141"/>
      <c r="F29" s="141">
        <v>1777</v>
      </c>
      <c r="G29" s="141"/>
      <c r="H29" s="141"/>
      <c r="I29" s="141"/>
      <c r="J29" s="141"/>
      <c r="K29" s="141">
        <v>4093</v>
      </c>
      <c r="L29" s="141"/>
      <c r="M29" s="141"/>
      <c r="N29" s="141"/>
      <c r="O29" s="141"/>
      <c r="P29" s="141"/>
      <c r="Q29" s="141"/>
    </row>
    <row customHeight="1" ht="14.25">
      <c r="A30" s="116" t="s">
        <v>73</v>
      </c>
      <c r="B30" s="141">
        <v>7131</v>
      </c>
      <c r="C30" s="141">
        <v>3135</v>
      </c>
      <c r="D30" s="141">
        <v>270854</v>
      </c>
      <c r="E30" s="141"/>
      <c r="F30" s="141">
        <v>0</v>
      </c>
      <c r="G30" s="141">
        <v>0</v>
      </c>
      <c r="H30" s="141"/>
      <c r="I30" s="141">
        <v>0</v>
      </c>
      <c r="J30" s="141">
        <v>0</v>
      </c>
      <c r="K30" s="141">
        <v>275659.36</v>
      </c>
      <c r="L30" s="141">
        <v>0</v>
      </c>
      <c r="M30" s="141">
        <v>0</v>
      </c>
      <c r="N30" s="141"/>
      <c r="O30" s="141">
        <v>4977</v>
      </c>
      <c r="P30" s="141"/>
      <c r="Q30" s="141"/>
    </row>
    <row s="147" customFormat="1" customHeight="1" ht="14.25">
      <c r="A31" s="148"/>
      <c r="B31" s="139"/>
      <c r="C31" s="149"/>
      <c r="D31" s="149"/>
      <c r="E31" s="149"/>
      <c r="F31" s="149"/>
      <c r="G31" s="149"/>
      <c r="H31" s="149"/>
      <c r="I31" s="149"/>
      <c r="J31" s="149"/>
      <c r="K31" s="149">
        <v>214665</v>
      </c>
      <c r="L31" s="149"/>
      <c r="M31" s="149"/>
      <c r="N31" s="149"/>
      <c r="O31" s="149"/>
      <c r="P31" s="149"/>
      <c r="Q31" s="149"/>
    </row>
    <row s="150" customFormat="1" customHeight="1" ht="14.25">
      <c r="A32" s="148"/>
      <c r="B32" s="149"/>
      <c r="C32" s="149"/>
      <c r="D32" s="149"/>
      <c r="E32" s="149"/>
      <c r="F32" s="149"/>
      <c r="G32" s="149"/>
      <c r="H32" s="149"/>
      <c r="I32" s="149"/>
      <c r="J32" s="149"/>
      <c r="K32" s="149">
        <v>48816.64</v>
      </c>
      <c r="L32" s="149"/>
      <c r="M32" s="149"/>
      <c r="N32" s="149"/>
      <c r="O32" s="149"/>
      <c r="P32" s="149"/>
      <c r="Q32" s="149"/>
    </row>
    <row s="151" customFormat="1" customHeight="1" ht="14.25">
      <c r="A33" s="148"/>
      <c r="B33" s="149"/>
      <c r="C33" s="149"/>
      <c r="D33" s="149"/>
      <c r="E33" s="149"/>
      <c r="F33" s="149"/>
      <c r="G33" s="149"/>
      <c r="H33" s="149"/>
      <c r="I33" s="149"/>
      <c r="J33" s="149"/>
      <c r="K33" s="149">
        <v>12177.72</v>
      </c>
      <c r="L33" s="149"/>
      <c r="M33" s="149"/>
      <c r="N33" s="149"/>
      <c r="O33" s="149"/>
      <c r="P33" s="149"/>
      <c r="Q33" s="149"/>
    </row>
    <row customHeight="1" ht="14.25">
      <c r="A34" s="116" t="s">
        <v>74</v>
      </c>
      <c r="B34" s="141"/>
      <c r="C34" s="141"/>
      <c r="D34" s="141">
        <v>1517866</v>
      </c>
      <c r="E34" s="141"/>
      <c r="F34" s="141"/>
      <c r="G34" s="141"/>
      <c r="H34" s="141"/>
      <c r="I34" s="141"/>
      <c r="J34" s="141"/>
      <c r="K34" s="141">
        <v>1517866</v>
      </c>
      <c r="L34" s="141"/>
      <c r="M34" s="141"/>
      <c r="N34" s="141"/>
      <c r="O34" s="141"/>
      <c r="P34" s="141"/>
      <c r="Q34" s="141"/>
    </row>
    <row customHeight="1" ht="14.25">
      <c r="A35" s="124" t="s">
        <v>75</v>
      </c>
      <c r="B35" s="141">
        <v>5550</v>
      </c>
      <c r="C35" s="141"/>
      <c r="D35" s="141">
        <v>230334</v>
      </c>
      <c r="E35" s="141"/>
      <c r="F35" s="141"/>
      <c r="G35" s="141">
        <v>0</v>
      </c>
      <c r="H35" s="141"/>
      <c r="I35" s="141"/>
      <c r="J35" s="141"/>
      <c r="K35" s="141">
        <v>234179.16</v>
      </c>
      <c r="L35" s="141"/>
      <c r="M35" s="141">
        <v>0</v>
      </c>
      <c r="N35" s="141"/>
      <c r="O35" s="141">
        <v>5226</v>
      </c>
      <c r="P35" s="141"/>
      <c r="Q35" s="141"/>
    </row>
    <row customHeight="1" ht="14.25">
      <c r="A36" s="124" t="s">
        <v>76</v>
      </c>
      <c r="B36" s="141"/>
      <c r="C36" s="141"/>
      <c r="D36" s="141"/>
      <c r="E36" s="141"/>
      <c r="F36" s="141"/>
      <c r="G36" s="141"/>
      <c r="H36" s="141"/>
      <c r="I36" s="141"/>
      <c r="J36" s="141"/>
      <c r="K36" s="141">
        <v>135148</v>
      </c>
      <c r="L36" s="141"/>
      <c r="M36" s="141"/>
      <c r="N36" s="141"/>
      <c r="O36" s="141"/>
      <c r="P36" s="141"/>
      <c r="Q36" s="141"/>
    </row>
    <row customHeight="1" ht="14.25">
      <c r="A37" s="124" t="s">
        <v>49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>
        <v>55777.62</v>
      </c>
      <c r="L37" s="141"/>
      <c r="M37" s="141"/>
      <c r="N37" s="141"/>
      <c r="O37" s="141"/>
      <c r="P37" s="141"/>
      <c r="Q37" s="141"/>
    </row>
    <row customHeight="1" ht="14.25">
      <c r="A38" s="124" t="s">
        <v>48</v>
      </c>
      <c r="B38" s="146"/>
      <c r="C38" s="141"/>
      <c r="D38" s="141"/>
      <c r="E38" s="141"/>
      <c r="F38" s="141"/>
      <c r="G38" s="141"/>
      <c r="H38" s="141"/>
      <c r="I38" s="141"/>
      <c r="J38" s="141"/>
      <c r="K38" s="141">
        <v>43253.54</v>
      </c>
      <c r="L38" s="141"/>
      <c r="M38" s="141"/>
      <c r="N38" s="96"/>
      <c r="O38" s="141"/>
      <c r="P38" s="96"/>
      <c r="Q38" s="96"/>
    </row>
    <row customHeight="1" ht="14.25">
      <c r="A39" s="116" t="s">
        <v>77</v>
      </c>
      <c r="B39" s="141">
        <v>0</v>
      </c>
      <c r="C39" s="141">
        <v>0</v>
      </c>
      <c r="D39" s="141">
        <v>2636010</v>
      </c>
      <c r="E39" s="141"/>
      <c r="F39" s="141">
        <v>0</v>
      </c>
      <c r="G39" s="141">
        <v>0</v>
      </c>
      <c r="H39" s="141"/>
      <c r="I39" s="141">
        <v>0</v>
      </c>
      <c r="J39" s="141">
        <v>0</v>
      </c>
      <c r="K39" s="141">
        <v>2636010</v>
      </c>
      <c r="L39" s="141"/>
      <c r="M39" s="141"/>
      <c r="N39" s="141"/>
      <c r="O39" s="141"/>
      <c r="P39" s="141"/>
      <c r="Q39" s="96"/>
    </row>
    <row customHeight="1" ht="14.25">
      <c r="A40" s="116" t="s">
        <v>78</v>
      </c>
      <c r="B40" s="141"/>
      <c r="C40" s="141"/>
      <c r="D40" s="141">
        <v>892459</v>
      </c>
      <c r="E40" s="141"/>
      <c r="F40" s="141"/>
      <c r="G40" s="141"/>
      <c r="H40" s="141"/>
      <c r="I40" s="141"/>
      <c r="J40" s="141"/>
      <c r="K40" s="141">
        <v>892459</v>
      </c>
      <c r="L40" s="141"/>
      <c r="M40" s="141"/>
      <c r="N40" s="141"/>
      <c r="O40" s="141"/>
      <c r="P40" s="141"/>
      <c r="Q40" s="96"/>
    </row>
    <row customHeight="1" ht="14.25">
      <c r="A41" s="116" t="s">
        <v>79</v>
      </c>
      <c r="B41" s="141"/>
      <c r="C41" s="141"/>
      <c r="D41" s="141">
        <v>1743551</v>
      </c>
      <c r="E41" s="141"/>
      <c r="F41" s="141"/>
      <c r="G41" s="141"/>
      <c r="H41" s="141"/>
      <c r="I41" s="141"/>
      <c r="J41" s="141"/>
      <c r="K41" s="141">
        <v>1743551</v>
      </c>
      <c r="L41" s="141"/>
      <c r="M41" s="141"/>
      <c r="N41" s="141"/>
      <c r="O41" s="141"/>
      <c r="P41" s="141"/>
      <c r="Q41" s="96"/>
    </row>
    <row customHeight="1" ht="14.25">
      <c r="A42" s="116" t="s">
        <v>80</v>
      </c>
      <c r="B42" s="141"/>
      <c r="C42" s="141"/>
      <c r="D42" s="141">
        <v>0</v>
      </c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96"/>
    </row>
    <row customHeight="1" ht="14.25">
      <c r="A43" s="116" t="s">
        <v>81</v>
      </c>
      <c r="B43" s="141"/>
      <c r="C43" s="141"/>
      <c r="D43" s="141">
        <v>36001</v>
      </c>
      <c r="E43" s="141"/>
      <c r="F43" s="141">
        <v>36001</v>
      </c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96"/>
    </row>
    <row customHeight="1" ht="14.25">
      <c r="A44" s="124" t="s">
        <v>82</v>
      </c>
      <c r="B44" s="141"/>
      <c r="C44" s="141"/>
      <c r="D44" s="141">
        <v>105443</v>
      </c>
      <c r="E44" s="141"/>
      <c r="F44" s="141"/>
      <c r="G44" s="141"/>
      <c r="H44" s="141"/>
      <c r="I44" s="141"/>
      <c r="J44" s="141"/>
      <c r="K44" s="141">
        <v>105443</v>
      </c>
      <c r="L44" s="141"/>
      <c r="M44" s="141"/>
      <c r="N44" s="141"/>
      <c r="O44" s="141"/>
      <c r="P44" s="141"/>
      <c r="Q44" s="96"/>
    </row>
    <row customHeight="1" ht="14.25">
      <c r="A45" s="116" t="s">
        <v>83</v>
      </c>
      <c r="B45" s="141">
        <v>371</v>
      </c>
      <c r="C45" s="141"/>
      <c r="D45" s="141">
        <v>59342</v>
      </c>
      <c r="E45" s="141"/>
      <c r="F45" s="141"/>
      <c r="G45" s="141"/>
      <c r="H45" s="141"/>
      <c r="I45" s="141"/>
      <c r="J45" s="141"/>
      <c r="K45" s="141">
        <v>59327</v>
      </c>
      <c r="L45" s="141"/>
      <c r="M45" s="141"/>
      <c r="N45" s="141"/>
      <c r="O45" s="141">
        <v>386</v>
      </c>
      <c r="P45" s="141"/>
      <c r="Q45" s="96"/>
    </row>
    <row customHeight="1" ht="14.25">
      <c r="A46" s="116" t="s">
        <v>84</v>
      </c>
      <c r="B46" s="141">
        <v>1067</v>
      </c>
      <c r="C46" s="141"/>
      <c r="D46" s="141">
        <v>217169</v>
      </c>
      <c r="E46" s="141"/>
      <c r="F46" s="141"/>
      <c r="G46" s="141">
        <v>217124</v>
      </c>
      <c r="H46" s="141"/>
      <c r="I46" s="141"/>
      <c r="J46" s="141"/>
      <c r="K46" s="141"/>
      <c r="L46" s="141"/>
      <c r="M46" s="141"/>
      <c r="N46" s="141"/>
      <c r="O46" s="141">
        <v>1112</v>
      </c>
      <c r="P46" s="141"/>
      <c r="Q46" s="96"/>
    </row>
    <row customHeight="1" ht="14.25">
      <c r="A47" s="152" t="s">
        <v>85</v>
      </c>
      <c r="B47" s="141">
        <v>55</v>
      </c>
      <c r="C47" s="141"/>
      <c r="D47" s="141">
        <v>2231</v>
      </c>
      <c r="E47" s="141"/>
      <c r="F47" s="141"/>
      <c r="G47" s="141">
        <v>2234</v>
      </c>
      <c r="H47" s="141"/>
      <c r="I47" s="141"/>
      <c r="J47" s="141">
        <v>0</v>
      </c>
      <c r="K47" s="141"/>
      <c r="L47" s="141"/>
      <c r="M47" s="141"/>
      <c r="N47" s="141"/>
      <c r="O47" s="141">
        <v>52</v>
      </c>
      <c r="P47" s="141"/>
      <c r="Q47" s="96"/>
    </row>
    <row customHeight="1" ht="14.25">
      <c r="A48" s="96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96"/>
    </row>
    <row customHeight="1" ht="14.25">
      <c r="A49" s="153" t="s">
        <v>86</v>
      </c>
      <c r="B49" s="153" t="s">
        <v>87</v>
      </c>
      <c r="C49" s="153" t="s">
        <v>88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</row>
    <row customHeight="1" ht="14.25">
      <c r="A50" s="96"/>
      <c r="B50" s="141"/>
      <c r="C50" s="141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</row>
    <row customHeight="1" ht="14.25">
      <c r="A51" s="96"/>
      <c r="B51" s="96"/>
      <c r="C51" s="141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</row>
  </sheetData>
  <mergeCells count="10">
    <mergeCell ref="H1:H2"/>
    <mergeCell ref="I1:I2"/>
    <mergeCell ref="J1:K1"/>
    <mergeCell ref="L1:M1"/>
    <mergeCell ref="B1:B2"/>
    <mergeCell ref="C1:C2"/>
    <mergeCell ref="D1:D2"/>
    <mergeCell ref="E1:E2"/>
    <mergeCell ref="F1:F2"/>
    <mergeCell ref="G1:G2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原料产品收拨平衡表</vt:lpstr>
      <vt:lpstr>原料产品取值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2022-03-03T09:30:57Z</dcterms:modified>
</cp:coreProperties>
</file>