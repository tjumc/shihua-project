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半成品收拨平衡表（本年累计）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R6" authorId="0">
      <text>
        <r>
          <rPr>
            <b/>
            <sz val="9"/>
            <color indexed="81"/>
            <rFont val="宋体"/>
            <family val="2"/>
          </rPr>
          <t>#Input("榆炼_半成品收拨平衡表_备注",":key{{dw}}")</t>
        </r>
      </text>
    </comment>
    <comment ref="H28" authorId="0">
      <text>
        <r>
          <rPr>
            <sz val="9"/>
            <color indexed="81"/>
            <rFont val="Arial"/>
            <family val="2"/>
          </rPr>
          <t>#Input("榆炼_半成品收拨平衡表_常压柴油_装置加工量_本年累计",":key{{dw}}")</t>
        </r>
      </text>
    </comment>
  </commentList>
</comments>
</file>

<file path=xl/sharedStrings.xml><?xml version="1.0" encoding="utf-8"?>
<sst xmlns="http://schemas.openxmlformats.org/spreadsheetml/2006/main" count="209" uniqueCount="100">
  <si>
    <t>半成品收拨平衡表（本年累计）</t>
  </si>
  <si>
    <t>填报单位：榆林炼油厂</t>
  </si>
  <si>
    <t>日期：</t>
  </si>
  <si>
    <t>2025-12</t>
  </si>
  <si>
    <t>陕油炼计统B206表</t>
  </si>
  <si>
    <t>指标名称</t>
  </si>
  <si>
    <t>单位</t>
  </si>
  <si>
    <t>期初
库存</t>
  </si>
  <si>
    <t>外购量</t>
  </si>
  <si>
    <t>生产量</t>
  </si>
  <si>
    <t>成品
交库</t>
  </si>
  <si>
    <t>装置
加工量</t>
  </si>
  <si>
    <t>销售</t>
  </si>
  <si>
    <t>油品
调合</t>
  </si>
  <si>
    <t>生产
自用</t>
  </si>
  <si>
    <t>内部调拨量</t>
  </si>
  <si>
    <t>内移量</t>
  </si>
  <si>
    <r>
      <t>盈</t>
    </r>
    <r>
      <rPr>
        <family val="1"/>
        <rFont val="Times New Roman"/>
        <sz val="10"/>
      </rPr>
      <t>(+)</t>
    </r>
    <r>
      <rPr>
        <charset val="134"/>
        <family val="3"/>
        <rFont val="宋体"/>
        <sz val="10"/>
      </rPr>
      <t xml:space="preserve">
亏</t>
    </r>
    <r>
      <rPr>
        <family val="1"/>
        <rFont val="Times New Roman"/>
        <sz val="10"/>
      </rPr>
      <t>(-)</t>
    </r>
  </si>
  <si>
    <t>期末
库存</t>
  </si>
  <si>
    <r>
      <t>备</t>
    </r>
    <r>
      <rPr>
        <family val="1"/>
        <rFont val="Times New Roman"/>
        <sz val="10"/>
      </rPr>
      <t xml:space="preserve">  </t>
    </r>
    <r>
      <rPr>
        <charset val="134"/>
        <family val="3"/>
        <rFont val="宋体"/>
        <sz val="10"/>
      </rPr>
      <t>注</t>
    </r>
  </si>
  <si>
    <t>调入</t>
  </si>
  <si>
    <t>调出</t>
  </si>
  <si>
    <t>移进</t>
  </si>
  <si>
    <t>移出</t>
  </si>
  <si>
    <t>一、汽油</t>
  </si>
  <si>
    <t>石脑油Ⅰ（常压石脑油）</t>
  </si>
  <si>
    <t>吨</t>
  </si>
  <si>
    <t>精制石脑油</t>
  </si>
  <si>
    <t xml:space="preserve">  MTBE</t>
  </si>
  <si>
    <t xml:space="preserve">  二甲苯</t>
  </si>
  <si>
    <t xml:space="preserve">  催化汽油</t>
  </si>
  <si>
    <t xml:space="preserve">  重整汽油</t>
  </si>
  <si>
    <t>加氢粗汽油</t>
  </si>
  <si>
    <t>航煤粗汽油</t>
  </si>
  <si>
    <t xml:space="preserve">  抽提汽油（非芳烃）</t>
  </si>
  <si>
    <r>
      <t>C</t>
    </r>
    <r>
      <rPr>
        <charset val="134"/>
        <family val="3"/>
        <rFont val="宋体"/>
        <sz val="10"/>
      </rPr>
      <t>6馏分油</t>
    </r>
  </si>
  <si>
    <t>二甲苯塔底油</t>
  </si>
  <si>
    <r>
      <t xml:space="preserve">  石脑油号Ⅱ</t>
    </r>
    <r>
      <rPr>
        <charset val="134"/>
        <family val="3"/>
        <rFont val="宋体"/>
        <sz val="8"/>
      </rPr>
      <t>（拔头油）</t>
    </r>
  </si>
  <si>
    <t xml:space="preserve">  戊烷</t>
  </si>
  <si>
    <t xml:space="preserve">  甲苯</t>
  </si>
  <si>
    <t xml:space="preserve">  丙苯</t>
  </si>
  <si>
    <t xml:space="preserve">  高沸物</t>
  </si>
  <si>
    <t xml:space="preserve">  精制汽油</t>
  </si>
  <si>
    <t>裂解汽油</t>
  </si>
  <si>
    <t xml:space="preserve">  油煤石脑油</t>
  </si>
  <si>
    <t xml:space="preserve">  异辛烷组分</t>
  </si>
  <si>
    <t>二、柴油</t>
  </si>
  <si>
    <t xml:space="preserve">  常压柴油</t>
  </si>
  <si>
    <t xml:space="preserve">  催化柴油</t>
  </si>
  <si>
    <t xml:space="preserve">  加氢柴油 </t>
  </si>
  <si>
    <t xml:space="preserve">  精制柴油 </t>
  </si>
  <si>
    <t xml:space="preserve">  油煤柴油</t>
  </si>
  <si>
    <t xml:space="preserve">  航煤原料</t>
  </si>
  <si>
    <t xml:space="preserve">  军柴原料</t>
  </si>
  <si>
    <t>常三线油</t>
  </si>
  <si>
    <t xml:space="preserve">  半成品航煤</t>
  </si>
  <si>
    <t>三、液化气</t>
  </si>
  <si>
    <t>常压液化气</t>
  </si>
  <si>
    <t>催化原料液化气</t>
  </si>
  <si>
    <t xml:space="preserve">  苯乙烯液化气</t>
  </si>
  <si>
    <t>重整液化气</t>
  </si>
  <si>
    <t xml:space="preserve">  精制液化气</t>
  </si>
  <si>
    <t xml:space="preserve">  加氢原料液化气</t>
  </si>
  <si>
    <t xml:space="preserve">  丙烷</t>
  </si>
  <si>
    <t xml:space="preserve">  气分碳四</t>
  </si>
  <si>
    <t xml:space="preserve">  醚后碳四</t>
  </si>
  <si>
    <t xml:space="preserve">  丙烯</t>
  </si>
  <si>
    <t xml:space="preserve">  酯后碳四</t>
  </si>
  <si>
    <t xml:space="preserve">  DCC液化气</t>
  </si>
  <si>
    <t xml:space="preserve">  烷基化碳四</t>
  </si>
  <si>
    <t xml:space="preserve">  正丁烷</t>
  </si>
  <si>
    <t xml:space="preserve">  异丁烷</t>
  </si>
  <si>
    <t xml:space="preserve">  民用液化气</t>
  </si>
  <si>
    <t xml:space="preserve">  饱和液化气</t>
  </si>
  <si>
    <t xml:space="preserve">  富异丁烯碳四</t>
  </si>
  <si>
    <t xml:space="preserve">  再生碳四</t>
  </si>
  <si>
    <t>四、苯</t>
  </si>
  <si>
    <t>五、烃化液</t>
  </si>
  <si>
    <t>六、乙苯</t>
  </si>
  <si>
    <t>七、脱氢液</t>
  </si>
  <si>
    <t>八、C8（粗脂）</t>
  </si>
  <si>
    <t>九、C12</t>
  </si>
  <si>
    <t xml:space="preserve">十、污油 </t>
  </si>
  <si>
    <t>报表生成时间：</t>
  </si>
  <si>
    <t>2026-01-01</t>
  </si>
  <si>
    <t xml:space="preserve"> 8:00:00</t>
  </si>
  <si>
    <t>烷基化油</t>
  </si>
  <si>
    <t xml:space="preserve">  DCC脱戊烷油</t>
  </si>
  <si>
    <t xml:space="preserve">  非芳烃</t>
  </si>
  <si>
    <t>C6馏分油</t>
  </si>
  <si>
    <t>轻烃液（近似石脑油）</t>
  </si>
  <si>
    <t xml:space="preserve"> DCC石脑油C5</t>
  </si>
  <si>
    <t>石脑油Ⅰ（加氢石脑油）</t>
  </si>
  <si>
    <t>油煤柴油</t>
  </si>
  <si>
    <t>军用柴油（原常二线）</t>
  </si>
  <si>
    <t>四、液化气</t>
  </si>
  <si>
    <t>五、精制石脑油</t>
  </si>
  <si>
    <t>液氨</t>
  </si>
  <si>
    <t>常一线油</t>
  </si>
  <si>
    <t>常三线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</si>
</sst>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</numFmts>
  <fonts count="22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宋体"/>
    </font>
    <font>
      <sz val="10"/>
      <color rgb="FF000000"/>
      <name val="宋体"/>
    </font>
    <font>
      <b/>
      <sz val="18"/>
      <color theme="1"/>
      <name val="Calibri"/>
      <scheme val="minor"/>
    </font>
    <font>
      <sz val="9"/>
      <color auto="1"/>
      <name val="宋体"/>
    </font>
  </fonts>
  <fills count="3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22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209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6" fillId="0" borderId="0" xfId="0" applyFont="1"/>
    <xf numFmtId="0" fontId="0" fillId="0" borderId="0" xfId="0" applyFont="1">
      <alignment horizontal="right"/>
    </xf>
    <xf numFmtId="0" fontId="0" fillId="33" borderId="0" xfId="0" applyFont="1" applyFill="1"/>
    <xf numFmtId="0" fontId="0" fillId="0" borderId="0" xfId="0" applyFont="1">
      <alignment vertical="center"/>
    </xf>
    <xf numFmtId="0" fontId="0" fillId="0" borderId="10" xfId="0" applyFont="1" applyBorder="1">
      <alignment vertical="center"/>
    </xf>
    <xf numFmtId="0" fontId="0" fillId="0" borderId="10" xfId="0" applyFont="1" applyBorder="1">
      <alignment horizontal="left" vertical="center"/>
    </xf>
    <xf numFmtId="0" fontId="0" fillId="0" borderId="10" xfId="0" applyFont="1" applyBorder="1">
      <alignment horizontal="right" vertical="center"/>
    </xf>
    <xf numFmtId="0" fontId="18" fillId="0" borderId="10" xfId="0" applyFont="1" applyBorder="1">
      <alignment horizontal="center" vertical="center" wrapText="1"/>
    </xf>
    <xf numFmtId="171" fontId="18" fillId="0" borderId="10" xfId="0" applyFont="1" applyBorder="1" applyNumberFormat="1">
      <alignment horizontal="right"/>
    </xf>
    <xf numFmtId="171" fontId="18" fillId="34" borderId="10" xfId="0" applyFont="1" applyFill="1" applyBorder="1" applyNumberFormat="1">
      <alignment horizontal="right"/>
    </xf>
    <xf numFmtId="171" fontId="18" fillId="34" borderId="10" xfId="0" applyFont="1" applyFill="1" applyBorder="1" applyNumberFormat="1">
      <alignment horizontal="right" vertical="center"/>
    </xf>
    <xf numFmtId="171" fontId="18" fillId="0" borderId="10" xfId="0" applyFont="1" applyBorder="1" applyNumberFormat="1">
      <alignment horizontal="right" vertical="center"/>
    </xf>
    <xf numFmtId="0" fontId="18" fillId="0" borderId="10" xfId="0" applyFont="1" applyBorder="1">
      <alignment horizontal="center" vertical="center"/>
    </xf>
    <xf numFmtId="0" fontId="0" fillId="0" borderId="10" xfId="0" applyFont="1" applyBorder="1"/>
    <xf numFmtId="2" fontId="19" fillId="0" borderId="10" xfId="0" applyFont="1" applyBorder="1" applyNumberFormat="1">
      <alignment horizontal="center" vertical="center"/>
    </xf>
    <xf numFmtId="171" fontId="18" fillId="0" borderId="10" xfId="0" applyFont="1" applyBorder="1" applyNumberFormat="1">
      <alignment horizontal="center" vertical="center"/>
    </xf>
    <xf numFmtId="0" fontId="0" fillId="0" borderId="10" xfId="0" applyFont="1" applyBorder="1">
      <alignment horizontal="right" vertical="center"/>
    </xf>
    <xf numFmtId="0" fontId="18" fillId="0" borderId="10" xfId="0" applyFont="1" applyBorder="1">
      <alignment horizontal="center" vertical="center" wrapText="1"/>
    </xf>
    <xf numFmtId="0" fontId="18" fillId="0" borderId="11" xfId="0" applyFont="1" applyBorder="1">
      <alignment horizontal="center" vertical="center" wrapText="1"/>
    </xf>
    <xf numFmtId="0" fontId="18" fillId="0" borderId="12" xfId="0" applyFont="1" applyBorder="1">
      <alignment horizontal="center" vertical="center" wrapText="1"/>
    </xf>
    <xf numFmtId="0" fontId="0" fillId="0" borderId="11" xfId="0" applyFont="1" applyBorder="1">
      <alignment horizontal="center" vertical="center"/>
    </xf>
    <xf numFmtId="0" fontId="0" fillId="0" borderId="13" xfId="0" applyFont="1" applyBorder="1">
      <alignment horizontal="center" vertical="center"/>
    </xf>
    <xf numFmtId="0" fontId="0" fillId="0" borderId="12" xfId="0" applyFont="1" applyBorder="1">
      <alignment horizontal="center" vertical="center"/>
    </xf>
    <xf numFmtId="0" fontId="20" fillId="0" borderId="14" xfId="0" applyFont="1" applyBorder="1">
      <alignment horizontal="center" vertical="center"/>
    </xf>
    <xf numFmtId="0" fontId="20" fillId="0" borderId="15" xfId="0" applyFont="1" applyBorder="1">
      <alignment horizontal="center" vertical="center"/>
    </xf>
    <xf numFmtId="0" fontId="20" fillId="0" borderId="16" xfId="0" applyFont="1" applyBorder="1">
      <alignment horizontal="center" vertical="center"/>
    </xf>
    <xf numFmtId="0" fontId="0" fillId="0" borderId="17" xfId="0" applyFont="1" applyBorder="1">
      <alignment vertical="center"/>
    </xf>
    <xf numFmtId="0" fontId="0" fillId="0" borderId="18" xfId="0" applyFont="1" applyBorder="1">
      <alignment horizontal="right" vertical="center"/>
    </xf>
    <xf numFmtId="0" fontId="18" fillId="0" borderId="17" xfId="0" applyFont="1" applyBorder="1">
      <alignment horizontal="center" vertical="center" wrapText="1"/>
    </xf>
    <xf numFmtId="0" fontId="18" fillId="0" borderId="18" xfId="0" applyFont="1" applyBorder="1">
      <alignment horizontal="center" vertical="center" wrapText="1"/>
    </xf>
    <xf numFmtId="0" fontId="18" fillId="0" borderId="17" xfId="0" applyFont="1" applyBorder="1">
      <alignment horizontal="left" vertical="center"/>
    </xf>
    <xf numFmtId="0" fontId="21" fillId="7" borderId="18" xfId="0" applyFont="1" applyFill="1" applyBorder="1">
      <alignment horizontal="center"/>
    </xf>
    <xf numFmtId="0" fontId="18" fillId="0" borderId="17" xfId="0" applyFont="1" applyBorder="1">
      <alignment horizontal="center" vertical="center"/>
    </xf>
    <xf numFmtId="0" fontId="21" fillId="0" borderId="17" xfId="0" applyFont="1" applyBorder="1">
      <alignment horizontal="center" vertical="center"/>
    </xf>
    <xf numFmtId="0" fontId="21" fillId="0" borderId="17" xfId="0" applyFont="1" applyBorder="1">
      <alignment vertical="center"/>
    </xf>
    <xf numFmtId="171" fontId="18" fillId="0" borderId="17" xfId="0" applyFont="1" applyBorder="1" applyNumberFormat="1">
      <alignment vertical="center"/>
    </xf>
    <xf numFmtId="0" fontId="21" fillId="0" borderId="17" xfId="0" applyFont="1" applyBorder="1">
      <alignment horizontal="left"/>
    </xf>
    <xf numFmtId="0" fontId="21" fillId="0" borderId="19" xfId="0" applyFont="1" applyBorder="1">
      <alignment vertical="center"/>
    </xf>
    <xf numFmtId="0" fontId="18" fillId="0" borderId="20" xfId="0" applyFont="1" applyBorder="1">
      <alignment horizontal="center" vertical="center"/>
    </xf>
    <xf numFmtId="0" fontId="0" fillId="0" borderId="20" xfId="0" applyFont="1" applyBorder="1"/>
    <xf numFmtId="171" fontId="18" fillId="0" borderId="20" xfId="0" applyFont="1" applyBorder="1" applyNumberFormat="1">
      <alignment horizontal="right" vertical="center"/>
    </xf>
    <xf numFmtId="0" fontId="21" fillId="7" borderId="21" xfId="0" applyFont="1" applyFill="1" applyBorder="1">
      <alignment horizontal="center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20" fillId="0" borderId="14" xfId="0" applyFont="1" applyBorder="1">
      <alignment horizontal="center" vertical="center" wrapText="1"/>
    </xf>
    <xf numFmtId="0" fontId="20" fillId="0" borderId="15" xfId="0" applyFont="1" applyBorder="1">
      <alignment horizontal="center" vertical="center" wrapText="1"/>
    </xf>
    <xf numFmtId="0" fontId="20" fillId="0" borderId="16" xfId="0" applyFont="1" applyBorder="1">
      <alignment horizontal="center" vertical="center" wrapText="1"/>
    </xf>
    <xf numFmtId="0" fontId="0" fillId="0" borderId="0" xfId="0" applyFont="1">
      <alignment vertical="center" wrapText="1"/>
    </xf>
    <xf numFmtId="0" fontId="0" fillId="0" borderId="17" xfId="0" applyFont="1" applyBorder="1">
      <alignment vertical="center" wrapText="1"/>
    </xf>
    <xf numFmtId="0" fontId="0" fillId="0" borderId="10" xfId="0" applyFont="1" applyBorder="1">
      <alignment vertical="center" wrapText="1"/>
    </xf>
    <xf numFmtId="0" fontId="0" fillId="0" borderId="10" xfId="0" applyFont="1" applyBorder="1">
      <alignment horizontal="right" vertical="center" wrapText="1"/>
    </xf>
    <xf numFmtId="0" fontId="0" fillId="0" borderId="10" xfId="0" applyFont="1" applyBorder="1">
      <alignment horizontal="left" vertical="center" wrapText="1"/>
    </xf>
    <xf numFmtId="0" fontId="0" fillId="0" borderId="11" xfId="0" applyFont="1" applyBorder="1">
      <alignment horizontal="center" vertical="center" wrapText="1"/>
    </xf>
    <xf numFmtId="0" fontId="0" fillId="0" borderId="13" xfId="0" applyFont="1" applyBorder="1">
      <alignment horizontal="center" vertical="center" wrapText="1"/>
    </xf>
    <xf numFmtId="0" fontId="0" fillId="0" borderId="12" xfId="0" applyFont="1" applyBorder="1">
      <alignment horizontal="center" vertical="center" wrapText="1"/>
    </xf>
    <xf numFmtId="0" fontId="0" fillId="0" borderId="10" xfId="0" applyFont="1" applyBorder="1">
      <alignment horizontal="right" vertical="center" wrapText="1"/>
    </xf>
    <xf numFmtId="0" fontId="0" fillId="0" borderId="18" xfId="0" applyFont="1" applyBorder="1">
      <alignment horizontal="right" vertical="center" wrapText="1"/>
    </xf>
    <xf numFmtId="0" fontId="18" fillId="0" borderId="17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1" xfId="0" applyFont="1" applyBorder="1">
      <alignment horizontal="center" vertical="center" wrapText="1"/>
    </xf>
    <xf numFmtId="0" fontId="18" fillId="0" borderId="12" xfId="0" applyFont="1" applyBorder="1">
      <alignment horizontal="center" vertical="center" wrapText="1"/>
    </xf>
    <xf numFmtId="0" fontId="18" fillId="0" borderId="18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7" xfId="0" applyFont="1" applyBorder="1">
      <alignment horizontal="left" vertical="center" wrapText="1"/>
    </xf>
    <xf numFmtId="0" fontId="18" fillId="0" borderId="10" xfId="0" applyFont="1" applyBorder="1">
      <alignment horizontal="center" vertical="center" wrapText="1"/>
    </xf>
    <xf numFmtId="171" fontId="18" fillId="0" borderId="10" xfId="0" applyFont="1" applyBorder="1" applyNumberFormat="1">
      <alignment horizontal="right" wrapText="1"/>
    </xf>
    <xf numFmtId="171" fontId="18" fillId="34" borderId="10" xfId="0" applyFont="1" applyFill="1" applyBorder="1" applyNumberFormat="1">
      <alignment horizontal="right" wrapText="1"/>
    </xf>
    <xf numFmtId="0" fontId="21" fillId="7" borderId="18" xfId="0" applyFont="1" applyFill="1" applyBorder="1">
      <alignment horizontal="center" wrapText="1"/>
      <protection locked="0"/>
    </xf>
    <xf numFmtId="0" fontId="18" fillId="0" borderId="17" xfId="0" applyFont="1" applyBorder="1">
      <alignment horizontal="center" vertical="center" wrapText="1"/>
    </xf>
    <xf numFmtId="171" fontId="18" fillId="0" borderId="10" xfId="0" applyFont="1" applyBorder="1" applyNumberFormat="1">
      <alignment horizontal="right" vertical="center" wrapText="1"/>
    </xf>
    <xf numFmtId="171" fontId="18" fillId="34" borderId="10" xfId="0" applyFont="1" applyFill="1" applyBorder="1" applyNumberFormat="1">
      <alignment horizontal="right" vertical="center" wrapText="1"/>
    </xf>
    <xf numFmtId="0" fontId="21" fillId="7" borderId="18" xfId="0" applyFont="1" applyFill="1" applyBorder="1">
      <alignment horizontal="center" wrapText="1"/>
    </xf>
    <xf numFmtId="0" fontId="0" fillId="0" borderId="0" xfId="0" applyFont="1"/>
    <xf numFmtId="0" fontId="21" fillId="0" borderId="17" xfId="0" applyFont="1" applyBorder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171" fontId="18" fillId="0" borderId="10" xfId="0" applyFont="1" applyBorder="1" applyNumberFormat="1">
      <alignment horizontal="right" vertical="center" wrapText="1"/>
      <protection locked="0"/>
    </xf>
    <xf numFmtId="0" fontId="0" fillId="0" borderId="0" xfId="0" applyFont="1"/>
    <xf numFmtId="0" fontId="0" fillId="0" borderId="0" xfId="0" applyFont="1"/>
    <xf numFmtId="0" fontId="21" fillId="0" borderId="17" xfId="0" applyFont="1" applyBorder="1">
      <alignment vertical="center" wrapText="1"/>
    </xf>
    <xf numFmtId="0" fontId="0" fillId="0" borderId="0" xfId="0" applyFont="1"/>
    <xf numFmtId="0" fontId="0" fillId="0" borderId="0" xfId="0" applyFont="1"/>
    <xf numFmtId="171" fontId="18" fillId="0" borderId="17" xfId="0" applyFont="1" applyBorder="1" applyNumberFormat="1">
      <alignment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21" fillId="0" borderId="17" xfId="0" applyFont="1" applyBorder="1">
      <alignment horizontal="left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10" xfId="0" applyFont="1" applyBorder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2" fontId="19" fillId="0" borderId="10" xfId="0" applyFont="1" applyBorder="1" applyNumberFormat="1">
      <alignment horizontal="center" vertical="center" wrapText="1"/>
    </xf>
    <xf numFmtId="0" fontId="0" fillId="0" borderId="0" xfId="0" applyFont="1"/>
    <xf numFmtId="171" fontId="18" fillId="0" borderId="10" xfId="0" applyFont="1" applyBorder="1" applyNumberFormat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21" fillId="0" borderId="19" xfId="0" applyFont="1" applyBorder="1">
      <alignment vertical="center" wrapText="1"/>
    </xf>
    <xf numFmtId="0" fontId="18" fillId="0" borderId="20" xfId="0" applyFont="1" applyBorder="1">
      <alignment horizontal="center" vertical="center" wrapText="1"/>
    </xf>
    <xf numFmtId="0" fontId="0" fillId="0" borderId="20" xfId="0" applyFont="1" applyBorder="1">
      <alignment wrapText="1"/>
    </xf>
    <xf numFmtId="171" fontId="18" fillId="0" borderId="20" xfId="0" applyFont="1" applyBorder="1" applyNumberFormat="1">
      <alignment horizontal="right" vertical="center" wrapText="1"/>
    </xf>
    <xf numFmtId="0" fontId="21" fillId="7" borderId="21" xfId="0" applyFont="1" applyFill="1" applyBorder="1">
      <alignment horizont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0" fontId="16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horizontal="right"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33" borderId="0" xfId="0" applyFont="1" applyFill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C49B838-0DC8-E968-1EB8-2F95BF8AD869}" mc:Ignorable="x14ac xr xr2 xr3">
  <dimension ref="A1:R63"/>
  <sheetViews>
    <sheetView topLeftCell="A1" showGridLines="0" workbookViewId="0" tabSelected="1">
      <selection activeCell="A1" sqref="A1"/>
    </sheetView>
  </sheetViews>
  <sheetFormatPr customHeight="1" defaultRowHeight="14.25"/>
  <cols>
    <col min="1" max="1" style="179" width="2.57421875" customWidth="1"/>
    <col min="2" max="2" style="180" width="25.57421875" customWidth="1"/>
    <col min="4" max="4" style="181" width="15.57421875" customWidth="1"/>
    <col min="5" max="5" style="182" width="15.57421875" customWidth="1"/>
    <col min="6" max="6" style="183" width="15.57421875" customWidth="1"/>
    <col min="7" max="7" style="184" width="15.57421875" customWidth="1"/>
    <col min="8" max="8" style="185" width="15.57421875" customWidth="1"/>
    <col min="9" max="9" style="186" width="15.57421875" customWidth="1"/>
    <col min="10" max="10" style="187" width="15.57421875" customWidth="1"/>
    <col min="11" max="11" style="188" width="15.57421875" customWidth="1"/>
    <col min="12" max="12" style="189" width="15.57421875" customWidth="1"/>
    <col min="13" max="13" style="190" width="15.57421875" customWidth="1"/>
    <col min="14" max="14" style="191" width="15.57421875" customWidth="1"/>
    <col min="15" max="15" style="192" width="15.57421875" customWidth="1"/>
    <col min="16" max="16" style="193" width="15.57421875" customWidth="1"/>
    <col min="17" max="17" style="194" width="15.57421875" customWidth="1"/>
    <col min="18" max="18" style="195" width="15.57421875" customWidth="1"/>
  </cols>
  <sheetData>
    <row customHeight="1" ht="2.25">
      <c r="A1" s="89"/>
      <c r="B1" s="89"/>
      <c r="C1" s="90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</row>
    <row customHeight="1" ht="27">
      <c r="A2" s="89"/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3"/>
    </row>
    <row s="50" customFormat="1" customHeight="1" ht="20.25">
      <c r="A3" s="94"/>
      <c r="B3" s="95" t="s">
        <v>1</v>
      </c>
      <c r="C3" s="96"/>
      <c r="D3" s="96"/>
      <c r="E3" s="96"/>
      <c r="F3" s="96"/>
      <c r="G3" s="96"/>
      <c r="H3" s="96"/>
      <c r="I3" s="97" t="s">
        <v>2</v>
      </c>
      <c r="J3" s="98" t="s">
        <v>3</v>
      </c>
      <c r="K3" s="96"/>
      <c r="L3" s="99" t="str">
        <f>取值!A1&amp;取值!B1&amp;取值!C1</f>
        <v>报表生成时间：2026-01-01 8:00:00</v>
      </c>
      <c r="M3" s="100"/>
      <c r="N3" s="100"/>
      <c r="O3" s="101"/>
      <c r="P3" s="96"/>
      <c r="Q3" s="102" t="s">
        <v>4</v>
      </c>
      <c r="R3" s="103"/>
    </row>
    <row customHeight="1" ht="20.25">
      <c r="A4" s="89"/>
      <c r="B4" s="75" t="s">
        <v>5</v>
      </c>
      <c r="C4" s="64" t="s">
        <v>6</v>
      </c>
      <c r="D4" s="64" t="s">
        <v>7</v>
      </c>
      <c r="E4" s="64" t="s">
        <v>8</v>
      </c>
      <c r="F4" s="64" t="s">
        <v>9</v>
      </c>
      <c r="G4" s="64" t="s">
        <v>10</v>
      </c>
      <c r="H4" s="64" t="s">
        <v>11</v>
      </c>
      <c r="I4" s="64" t="s">
        <v>12</v>
      </c>
      <c r="J4" s="64" t="s">
        <v>13</v>
      </c>
      <c r="K4" s="64" t="s">
        <v>14</v>
      </c>
      <c r="L4" s="65" t="s">
        <v>15</v>
      </c>
      <c r="M4" s="66"/>
      <c r="N4" s="64" t="s">
        <v>16</v>
      </c>
      <c r="O4" s="64"/>
      <c r="P4" s="64" t="s">
        <v>17</v>
      </c>
      <c r="Q4" s="64" t="s">
        <v>18</v>
      </c>
      <c r="R4" s="76" t="s">
        <v>19</v>
      </c>
    </row>
    <row customHeight="1" ht="20.25">
      <c r="A5" s="89"/>
      <c r="B5" s="75"/>
      <c r="C5" s="64"/>
      <c r="D5" s="64"/>
      <c r="E5" s="64"/>
      <c r="F5" s="64"/>
      <c r="G5" s="64"/>
      <c r="H5" s="64"/>
      <c r="I5" s="64"/>
      <c r="J5" s="64"/>
      <c r="K5" s="64"/>
      <c r="L5" s="54" t="s">
        <v>20</v>
      </c>
      <c r="M5" s="54" t="s">
        <v>21</v>
      </c>
      <c r="N5" s="54" t="s">
        <v>22</v>
      </c>
      <c r="O5" s="54" t="s">
        <v>23</v>
      </c>
      <c r="P5" s="64"/>
      <c r="Q5" s="64"/>
      <c r="R5" s="76"/>
    </row>
    <row customHeight="1" ht="20.25">
      <c r="A6" s="89"/>
      <c r="B6" s="110" t="s">
        <v>24</v>
      </c>
      <c r="C6" s="111"/>
      <c r="D6" s="112"/>
      <c r="E6" s="113"/>
      <c r="F6" s="113"/>
      <c r="G6" s="113"/>
      <c r="H6" s="113"/>
      <c r="I6" s="113"/>
      <c r="J6" s="113"/>
      <c r="K6" s="113"/>
      <c r="L6" s="113"/>
      <c r="M6" s="113"/>
      <c r="N6" s="112"/>
      <c r="O6" s="112"/>
      <c r="P6" s="113"/>
      <c r="Q6" s="113"/>
      <c r="R6" s="114"/>
    </row>
    <row customHeight="1" ht="20.25">
      <c r="A7" s="89"/>
      <c r="B7" s="115" t="s">
        <v>25</v>
      </c>
      <c r="C7" s="111" t="s">
        <v>26</v>
      </c>
      <c r="D7" s="116">
        <f>取值!D7</f>
        <v>6249</v>
      </c>
      <c r="E7" s="116">
        <f>取值!E7</f>
        <v>0</v>
      </c>
      <c r="F7" s="116">
        <f>取值!F7</f>
        <v>842970</v>
      </c>
      <c r="G7" s="116">
        <f>取值!G7</f>
        <v>0</v>
      </c>
      <c r="H7" s="116">
        <f>取值!H7</f>
        <v>1002315</v>
      </c>
      <c r="I7" s="116">
        <f>取值!I7</f>
        <v>0</v>
      </c>
      <c r="J7" s="116">
        <f>取值!J7</f>
        <v>0</v>
      </c>
      <c r="K7" s="116">
        <f>取值!K7</f>
        <v>0</v>
      </c>
      <c r="L7" s="116">
        <f>取值!M7</f>
        <v>0</v>
      </c>
      <c r="M7" s="116">
        <f>取值!L7</f>
        <v>49520</v>
      </c>
      <c r="N7" s="116">
        <f>取值!N7</f>
        <v>226554</v>
      </c>
      <c r="O7" s="116">
        <f>取值!O7</f>
        <v>1366</v>
      </c>
      <c r="P7" s="116">
        <f>取值!AB7</f>
        <v>0</v>
      </c>
      <c r="Q7" s="117">
        <f>取值!Q7</f>
        <v>22572</v>
      </c>
      <c r="R7" s="118"/>
    </row>
    <row s="119" customFormat="1" customHeight="1" ht="20.25">
      <c r="A8" s="89"/>
      <c r="B8" s="115" t="s">
        <v>27</v>
      </c>
      <c r="C8" s="111" t="s">
        <v>26</v>
      </c>
      <c r="D8" s="116">
        <f>取值!D33</f>
        <v>5189</v>
      </c>
      <c r="E8" s="116">
        <f>取值!E33</f>
        <v>0</v>
      </c>
      <c r="F8" s="116">
        <f>取值!F33</f>
        <v>0</v>
      </c>
      <c r="G8" s="116">
        <f>取值!G33</f>
        <v>0</v>
      </c>
      <c r="H8" s="116">
        <f>取值!H33</f>
        <v>0</v>
      </c>
      <c r="I8" s="116">
        <f>取值!I33</f>
        <v>0</v>
      </c>
      <c r="J8" s="116">
        <f>取值!J33</f>
        <v>0</v>
      </c>
      <c r="K8" s="116">
        <f>取值!K33</f>
        <v>0</v>
      </c>
      <c r="L8" s="116">
        <f>取值!M33</f>
        <v>0</v>
      </c>
      <c r="M8" s="116">
        <f>取值!L33</f>
        <v>0</v>
      </c>
      <c r="N8" s="116">
        <f>取值!N33</f>
        <v>1366</v>
      </c>
      <c r="O8" s="116">
        <f>取值!O33</f>
        <v>774</v>
      </c>
      <c r="P8" s="116">
        <f>取值!AB33</f>
        <v>0</v>
      </c>
      <c r="Q8" s="117">
        <f>取值!Q33</f>
        <v>5781</v>
      </c>
      <c r="R8" s="118"/>
    </row>
    <row customHeight="1" ht="20.25">
      <c r="A9" s="89"/>
      <c r="B9" s="115" t="s">
        <v>28</v>
      </c>
      <c r="C9" s="111" t="s">
        <v>26</v>
      </c>
      <c r="D9" s="116">
        <f>取值!D8</f>
        <v>1924</v>
      </c>
      <c r="E9" s="116">
        <f>取值!E8</f>
        <v>79331</v>
      </c>
      <c r="F9" s="116">
        <f>取值!F8</f>
        <v>0</v>
      </c>
      <c r="G9" s="116">
        <f>取值!G8</f>
        <v>0</v>
      </c>
      <c r="H9" s="116">
        <f>取值!H8</f>
        <v>0</v>
      </c>
      <c r="I9" s="116">
        <f>取值!I8</f>
        <v>0</v>
      </c>
      <c r="J9" s="116">
        <f>取值!J8</f>
        <v>90377</v>
      </c>
      <c r="K9" s="116">
        <f>取值!K8</f>
        <v>0</v>
      </c>
      <c r="L9" s="116">
        <f>取值!M8</f>
        <v>12184</v>
      </c>
      <c r="M9" s="116">
        <f>取值!L8</f>
        <v>0</v>
      </c>
      <c r="N9" s="116">
        <f>取值!N8</f>
        <v>0</v>
      </c>
      <c r="O9" s="116">
        <f>取值!O8</f>
        <v>0</v>
      </c>
      <c r="P9" s="116">
        <f>取值!AB8</f>
        <v>0</v>
      </c>
      <c r="Q9" s="117">
        <f>取值!Q8</f>
        <v>3062</v>
      </c>
      <c r="R9" s="118"/>
    </row>
    <row customHeight="1" ht="20.25">
      <c r="A10" s="89"/>
      <c r="B10" s="115" t="s">
        <v>29</v>
      </c>
      <c r="C10" s="111" t="s">
        <v>26</v>
      </c>
      <c r="D10" s="116">
        <f>取值!D10</f>
        <v>3871</v>
      </c>
      <c r="E10" s="116">
        <f>取值!E10</f>
        <v>0</v>
      </c>
      <c r="F10" s="116">
        <f>取值!F10</f>
        <v>95326</v>
      </c>
      <c r="G10" s="116">
        <f>取值!G10</f>
        <v>0</v>
      </c>
      <c r="H10" s="116">
        <f>取值!H10</f>
        <v>0</v>
      </c>
      <c r="I10" s="116">
        <f>取值!I10</f>
        <v>15295</v>
      </c>
      <c r="J10" s="116">
        <f>取值!J10</f>
        <v>34744</v>
      </c>
      <c r="K10" s="116">
        <f>取值!K10</f>
        <v>0</v>
      </c>
      <c r="L10" s="116">
        <f>取值!M10</f>
        <v>0</v>
      </c>
      <c r="M10" s="116">
        <f>取值!L10</f>
        <v>44840</v>
      </c>
      <c r="N10" s="116">
        <f>取值!N10</f>
        <v>0</v>
      </c>
      <c r="O10" s="116">
        <f>取值!O10</f>
        <v>0</v>
      </c>
      <c r="P10" s="116">
        <f>取值!AB10</f>
        <v>1</v>
      </c>
      <c r="Q10" s="117">
        <f>取值!Q10</f>
        <v>4318</v>
      </c>
      <c r="R10" s="118"/>
    </row>
    <row customHeight="1" ht="20.25">
      <c r="A11" s="89"/>
      <c r="B11" s="115" t="s">
        <v>30</v>
      </c>
      <c r="C11" s="111" t="s">
        <v>26</v>
      </c>
      <c r="D11" s="116">
        <f>取值!D12</f>
        <v>3839</v>
      </c>
      <c r="E11" s="116">
        <f>取值!E12</f>
        <v>0</v>
      </c>
      <c r="F11" s="116">
        <f>取值!F12</f>
        <v>841354</v>
      </c>
      <c r="G11" s="116">
        <f>取值!G12</f>
        <v>0</v>
      </c>
      <c r="H11" s="116">
        <f>取值!H12</f>
        <v>840052</v>
      </c>
      <c r="I11" s="116">
        <f>取值!I12</f>
        <v>0</v>
      </c>
      <c r="J11" s="116">
        <f>取值!J12</f>
        <v>0</v>
      </c>
      <c r="K11" s="116">
        <f>取值!K12</f>
        <v>0</v>
      </c>
      <c r="L11" s="116">
        <f>取值!M12</f>
        <v>0</v>
      </c>
      <c r="M11" s="116">
        <f>取值!L12</f>
        <v>0</v>
      </c>
      <c r="N11" s="116">
        <f>取值!N12</f>
        <v>0</v>
      </c>
      <c r="O11" s="116">
        <f>取值!O12</f>
        <v>0</v>
      </c>
      <c r="P11" s="116">
        <f>取值!AB12</f>
        <v>0</v>
      </c>
      <c r="Q11" s="117">
        <f>取值!Q12</f>
        <v>5141</v>
      </c>
      <c r="R11" s="118"/>
    </row>
    <row customHeight="1" ht="20.25">
      <c r="A12" s="89"/>
      <c r="B12" s="115" t="s">
        <v>31</v>
      </c>
      <c r="C12" s="111" t="s">
        <v>26</v>
      </c>
      <c r="D12" s="116">
        <f>取值!D13</f>
        <v>0</v>
      </c>
      <c r="E12" s="116">
        <f>取值!E13</f>
        <v>0</v>
      </c>
      <c r="F12" s="116">
        <f>取值!F13</f>
        <v>634833</v>
      </c>
      <c r="G12" s="116">
        <f>取值!G13</f>
        <v>0</v>
      </c>
      <c r="H12" s="116">
        <f>取值!H13</f>
        <v>0</v>
      </c>
      <c r="I12" s="116">
        <f>取值!I13</f>
        <v>0</v>
      </c>
      <c r="J12" s="116">
        <f>_xlfn.IFERROR(F12-H12,"")</f>
        <v>634833</v>
      </c>
      <c r="K12" s="116">
        <f>取值!K13</f>
        <v>0</v>
      </c>
      <c r="L12" s="116">
        <f>取值!M13</f>
        <v>0</v>
      </c>
      <c r="M12" s="116">
        <f>取值!L13</f>
        <v>0</v>
      </c>
      <c r="N12" s="116">
        <f>取值!N13</f>
        <v>0</v>
      </c>
      <c r="O12" s="116">
        <f>取值!O13</f>
        <v>0</v>
      </c>
      <c r="P12" s="116">
        <f>取值!AB13</f>
        <v>0</v>
      </c>
      <c r="Q12" s="117">
        <f>取值!Q13</f>
        <v>0</v>
      </c>
      <c r="R12" s="118"/>
    </row>
    <row customHeight="1" ht="20.25">
      <c r="A13" s="89"/>
      <c r="B13" s="115" t="s">
        <v>32</v>
      </c>
      <c r="C13" s="111" t="s">
        <v>26</v>
      </c>
      <c r="D13" s="116">
        <f>取值!D14</f>
        <v>0</v>
      </c>
      <c r="E13" s="116">
        <f>取值!E14</f>
        <v>0</v>
      </c>
      <c r="F13" s="116">
        <f>取值!F14</f>
        <v>221398</v>
      </c>
      <c r="G13" s="116">
        <f>取值!G14</f>
        <v>0</v>
      </c>
      <c r="H13" s="116">
        <f>取值!H14</f>
        <v>0</v>
      </c>
      <c r="I13" s="116">
        <f>取值!I14</f>
        <v>0</v>
      </c>
      <c r="J13" s="116">
        <f>取值!J14</f>
        <v>0</v>
      </c>
      <c r="K13" s="116">
        <f>取值!K14</f>
        <v>0</v>
      </c>
      <c r="L13" s="116">
        <f>取值!M14</f>
        <v>0</v>
      </c>
      <c r="M13" s="116">
        <f>取值!L14</f>
        <v>0</v>
      </c>
      <c r="N13" s="116">
        <f>取值!N14</f>
        <v>0</v>
      </c>
      <c r="O13" s="116">
        <f>取值!O14</f>
        <v>221398</v>
      </c>
      <c r="P13" s="116">
        <f>取值!P14</f>
        <v>0</v>
      </c>
      <c r="Q13" s="116">
        <f>取值!Q14</f>
        <v>0</v>
      </c>
      <c r="R13" s="118"/>
    </row>
    <row customHeight="1" ht="20.25">
      <c r="A14" s="89"/>
      <c r="B14" s="115" t="s">
        <v>33</v>
      </c>
      <c r="C14" s="111" t="s">
        <v>26</v>
      </c>
      <c r="D14" s="116">
        <f>取值!D35</f>
        <v>0</v>
      </c>
      <c r="E14" s="116">
        <f>取值!E35</f>
        <v>0</v>
      </c>
      <c r="F14" s="116">
        <f>取值!F35</f>
        <v>4382</v>
      </c>
      <c r="G14" s="116">
        <f>取值!G35</f>
        <v>0</v>
      </c>
      <c r="H14" s="116">
        <f>取值!H35</f>
        <v>0</v>
      </c>
      <c r="I14" s="116">
        <f>取值!I35</f>
        <v>0</v>
      </c>
      <c r="J14" s="116">
        <f>取值!J35</f>
        <v>0</v>
      </c>
      <c r="K14" s="116">
        <f>取值!K35</f>
        <v>0</v>
      </c>
      <c r="L14" s="116">
        <f>取值!M35</f>
        <v>0</v>
      </c>
      <c r="M14" s="116">
        <f>取值!L35</f>
        <v>0</v>
      </c>
      <c r="N14" s="116">
        <f>取值!N35</f>
        <v>0</v>
      </c>
      <c r="O14" s="116">
        <f>取值!O35</f>
        <v>4382</v>
      </c>
      <c r="P14" s="116">
        <f>取值!AB35</f>
        <v>0</v>
      </c>
      <c r="Q14" s="117">
        <f>取值!Q35</f>
        <v>0</v>
      </c>
      <c r="R14" s="118"/>
    </row>
    <row customHeight="1" ht="20.25">
      <c r="A15" s="89"/>
      <c r="B15" s="120" t="s">
        <v>34</v>
      </c>
      <c r="C15" s="111" t="s">
        <v>26</v>
      </c>
      <c r="D15" s="116">
        <f>取值!D15</f>
        <v>0</v>
      </c>
      <c r="E15" s="116">
        <f>取值!E15</f>
        <v>0</v>
      </c>
      <c r="F15" s="116">
        <f>取值!F15</f>
        <v>80598</v>
      </c>
      <c r="G15" s="116">
        <f>取值!G15</f>
        <v>0</v>
      </c>
      <c r="H15" s="116">
        <f>取值!H15</f>
        <v>0</v>
      </c>
      <c r="I15" s="116">
        <f>取值!I15</f>
        <v>0</v>
      </c>
      <c r="J15" s="116">
        <f>F15</f>
        <v>80598</v>
      </c>
      <c r="K15" s="116">
        <f>取值!K15</f>
        <v>0</v>
      </c>
      <c r="L15" s="116">
        <f>取值!M15</f>
        <v>0</v>
      </c>
      <c r="M15" s="116">
        <f>取值!L15</f>
        <v>0</v>
      </c>
      <c r="N15" s="116">
        <f>取值!N15</f>
        <v>0</v>
      </c>
      <c r="O15" s="116">
        <f>取值!O15</f>
        <v>0</v>
      </c>
      <c r="P15" s="116">
        <f>取值!AB15</f>
        <v>0</v>
      </c>
      <c r="Q15" s="117">
        <f>取值!Q15</f>
        <v>0</v>
      </c>
      <c r="R15" s="118"/>
    </row>
    <row customHeight="1" ht="20.25">
      <c r="A16" s="89"/>
      <c r="B16" s="115" t="s">
        <v>35</v>
      </c>
      <c r="C16" s="111" t="s">
        <v>26</v>
      </c>
      <c r="D16" s="116">
        <f>取值!D16</f>
        <v>0</v>
      </c>
      <c r="E16" s="116">
        <f>取值!E16</f>
        <v>0</v>
      </c>
      <c r="F16" s="116">
        <f>取值!F16</f>
        <v>136054</v>
      </c>
      <c r="G16" s="116">
        <f>取值!G16</f>
        <v>0</v>
      </c>
      <c r="H16" s="116">
        <f>取值!H16</f>
        <v>132304</v>
      </c>
      <c r="I16" s="116">
        <f>取值!I16</f>
        <v>0</v>
      </c>
      <c r="J16" s="116">
        <f>取值!J16</f>
        <v>3750</v>
      </c>
      <c r="K16" s="116">
        <f>取值!K16</f>
        <v>0</v>
      </c>
      <c r="L16" s="116">
        <f>取值!M16</f>
        <v>0</v>
      </c>
      <c r="M16" s="116">
        <f>取值!L16</f>
        <v>0</v>
      </c>
      <c r="N16" s="116">
        <f>取值!N16</f>
        <v>0</v>
      </c>
      <c r="O16" s="116">
        <f>取值!O16</f>
        <v>0</v>
      </c>
      <c r="P16" s="116">
        <f>取值!AB16</f>
        <v>0</v>
      </c>
      <c r="Q16" s="117">
        <f>取值!Q16</f>
        <v>0</v>
      </c>
      <c r="R16" s="118"/>
    </row>
    <row s="121" customFormat="1" customHeight="1" ht="20.25">
      <c r="A17" s="89"/>
      <c r="B17" s="115" t="s">
        <v>36</v>
      </c>
      <c r="C17" s="111" t="s">
        <v>26</v>
      </c>
      <c r="D17" s="116">
        <f>取值!D32</f>
        <v>0</v>
      </c>
      <c r="E17" s="116">
        <f>取值!E32</f>
        <v>0</v>
      </c>
      <c r="F17" s="116">
        <f>取值!F32</f>
        <v>21166</v>
      </c>
      <c r="G17" s="116">
        <f>取值!G32</f>
        <v>0</v>
      </c>
      <c r="H17" s="116">
        <f>F17</f>
        <v>21166</v>
      </c>
      <c r="I17" s="116">
        <f>取值!I32</f>
        <v>0</v>
      </c>
      <c r="J17" s="116">
        <f>取值!J32</f>
        <v>0</v>
      </c>
      <c r="K17" s="116">
        <f>取值!K32</f>
        <v>0</v>
      </c>
      <c r="L17" s="116">
        <f>取值!M32</f>
        <v>0</v>
      </c>
      <c r="M17" s="116">
        <f>取值!L32</f>
        <v>0</v>
      </c>
      <c r="N17" s="116">
        <f>取值!N32</f>
        <v>0</v>
      </c>
      <c r="O17" s="116">
        <f>取值!O32</f>
        <v>0</v>
      </c>
      <c r="P17" s="116">
        <f>取值!AB32</f>
        <v>0</v>
      </c>
      <c r="Q17" s="117">
        <f>取值!Q32</f>
        <v>0</v>
      </c>
      <c r="R17" s="118"/>
    </row>
    <row s="122" customFormat="1" customHeight="1" ht="20.25">
      <c r="A18" s="89"/>
      <c r="B18" s="120" t="s">
        <v>37</v>
      </c>
      <c r="C18" s="111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118"/>
    </row>
    <row s="123" customFormat="1" customHeight="1" ht="20.25">
      <c r="A19" s="89"/>
      <c r="B19" s="120" t="s">
        <v>38</v>
      </c>
      <c r="C19" s="111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7"/>
      <c r="R19" s="118"/>
    </row>
    <row s="124" customFormat="1" customHeight="1" ht="20.25">
      <c r="A20" s="89"/>
      <c r="B20" s="120" t="s">
        <v>39</v>
      </c>
      <c r="C20" s="111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18"/>
    </row>
    <row s="125" customFormat="1" customHeight="1" ht="20.25">
      <c r="A21" s="89"/>
      <c r="B21" s="120" t="s">
        <v>40</v>
      </c>
      <c r="C21" s="111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7"/>
      <c r="R21" s="118"/>
    </row>
    <row s="126" customFormat="1" customHeight="1" ht="20.25">
      <c r="A22" s="89"/>
      <c r="B22" s="120" t="s">
        <v>41</v>
      </c>
      <c r="C22" s="111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  <c r="R22" s="118"/>
    </row>
    <row customHeight="1" ht="20.25">
      <c r="A23" s="89"/>
      <c r="B23" s="115" t="s">
        <v>42</v>
      </c>
      <c r="C23" s="111" t="s">
        <v>26</v>
      </c>
      <c r="D23" s="116">
        <f>取值!D17</f>
        <v>0</v>
      </c>
      <c r="E23" s="116">
        <f>取值!E17</f>
        <v>0</v>
      </c>
      <c r="F23" s="116">
        <f>取值!F17</f>
        <v>756695</v>
      </c>
      <c r="G23" s="116">
        <f>取值!G17</f>
        <v>0</v>
      </c>
      <c r="H23" s="116">
        <f>取值!H17</f>
        <v>0</v>
      </c>
      <c r="I23" s="116">
        <f>取值!I17</f>
        <v>0</v>
      </c>
      <c r="J23" s="116">
        <f>F23</f>
        <v>756695</v>
      </c>
      <c r="K23" s="116">
        <f>取值!K17</f>
        <v>0</v>
      </c>
      <c r="L23" s="116">
        <f>取值!M17</f>
        <v>0</v>
      </c>
      <c r="M23" s="116">
        <f>取值!L17</f>
        <v>0</v>
      </c>
      <c r="N23" s="116">
        <f>取值!N17</f>
        <v>0</v>
      </c>
      <c r="O23" s="116">
        <f>取值!O17</f>
        <v>0</v>
      </c>
      <c r="P23" s="116">
        <f>取值!AB17</f>
        <v>0</v>
      </c>
      <c r="Q23" s="117">
        <f>取值!Q17</f>
        <v>0</v>
      </c>
      <c r="R23" s="118"/>
    </row>
    <row s="127" customFormat="1" customHeight="1" ht="20.25">
      <c r="A24" s="89"/>
      <c r="B24" s="115" t="s">
        <v>43</v>
      </c>
      <c r="C24" s="111" t="s">
        <v>26</v>
      </c>
      <c r="D24" s="116">
        <f>取值!D11</f>
        <v>0</v>
      </c>
      <c r="E24" s="116">
        <f>取值!E11</f>
        <v>2472</v>
      </c>
      <c r="F24" s="116">
        <f>取值!F11</f>
        <v>0</v>
      </c>
      <c r="G24" s="116">
        <f>取值!G11</f>
        <v>0</v>
      </c>
      <c r="H24" s="116">
        <f>取值!H11</f>
        <v>0</v>
      </c>
      <c r="I24" s="116">
        <f>取值!I11</f>
        <v>0</v>
      </c>
      <c r="J24" s="116">
        <f>_xlfn.IFERROR(F24-H24+E24,"")</f>
        <v>2472</v>
      </c>
      <c r="K24" s="116">
        <f>取值!K11</f>
        <v>0</v>
      </c>
      <c r="L24" s="116">
        <f>取值!M11</f>
        <v>0</v>
      </c>
      <c r="M24" s="116">
        <f>取值!L11</f>
        <v>0</v>
      </c>
      <c r="N24" s="116">
        <f>取值!N11</f>
        <v>0</v>
      </c>
      <c r="O24" s="116">
        <f>取值!O11</f>
        <v>0</v>
      </c>
      <c r="P24" s="116">
        <f>取值!AB11</f>
        <v>0</v>
      </c>
      <c r="Q24" s="117">
        <f>取值!Q11</f>
        <v>0</v>
      </c>
      <c r="R24" s="118"/>
    </row>
    <row s="128" customFormat="1" customHeight="1" ht="20.25">
      <c r="A25" s="89"/>
      <c r="B25" s="120" t="s">
        <v>44</v>
      </c>
      <c r="C25" s="111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7"/>
      <c r="R25" s="118"/>
    </row>
    <row s="129" customFormat="1" customHeight="1" ht="20.25">
      <c r="A26" s="89"/>
      <c r="B26" s="120" t="s">
        <v>45</v>
      </c>
      <c r="C26" s="111"/>
      <c r="D26" s="116">
        <f>取值!D9</f>
        <v>2670</v>
      </c>
      <c r="E26" s="116">
        <f>取值!E9</f>
        <v>0</v>
      </c>
      <c r="F26" s="116">
        <f>取值!F9</f>
        <v>0</v>
      </c>
      <c r="G26" s="116">
        <f>取值!G9</f>
        <v>0</v>
      </c>
      <c r="H26" s="116">
        <f>取值!H9</f>
        <v>0</v>
      </c>
      <c r="I26" s="116">
        <f>取值!I9</f>
        <v>0</v>
      </c>
      <c r="J26" s="116">
        <f>取值!J9</f>
        <v>55587</v>
      </c>
      <c r="K26" s="116">
        <f>取值!K9</f>
        <v>0</v>
      </c>
      <c r="L26" s="116">
        <f>取值!M9</f>
        <v>55620</v>
      </c>
      <c r="M26" s="116">
        <f>取值!L9</f>
        <v>0</v>
      </c>
      <c r="N26" s="116">
        <f>取值!N9</f>
        <v>0</v>
      </c>
      <c r="O26" s="116">
        <f>取值!O9</f>
        <v>0</v>
      </c>
      <c r="P26" s="116">
        <f>取值!AB9</f>
        <v>0</v>
      </c>
      <c r="Q26" s="117">
        <f>取值!Q9</f>
        <v>2703</v>
      </c>
      <c r="R26" s="118"/>
    </row>
    <row s="130" customFormat="1" customHeight="1" ht="20.25">
      <c r="A27" s="89"/>
      <c r="B27" s="110" t="s">
        <v>46</v>
      </c>
      <c r="C27" s="111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7"/>
      <c r="R27" s="118"/>
    </row>
    <row s="131" customFormat="1" customHeight="1" ht="20.25">
      <c r="A28" s="89"/>
      <c r="B28" s="110" t="s">
        <v>47</v>
      </c>
      <c r="C28" s="111" t="s">
        <v>26</v>
      </c>
      <c r="D28" s="116">
        <f>取值!D22</f>
        <v>0</v>
      </c>
      <c r="E28" s="116">
        <f>取值!E22</f>
        <v>0</v>
      </c>
      <c r="F28" s="116">
        <f>取值!F22</f>
        <v>1526606</v>
      </c>
      <c r="G28" s="116">
        <f>取值!G22</f>
        <v>0</v>
      </c>
      <c r="H28" s="132">
        <v>1526606</v>
      </c>
      <c r="I28" s="116">
        <f>取值!I22</f>
        <v>0</v>
      </c>
      <c r="J28" s="116">
        <f>取值!J22</f>
        <v>0</v>
      </c>
      <c r="K28" s="116">
        <f>取值!K22</f>
        <v>0</v>
      </c>
      <c r="L28" s="116">
        <f>取值!M22</f>
        <v>0</v>
      </c>
      <c r="M28" s="116">
        <f>取值!L22</f>
        <v>0</v>
      </c>
      <c r="N28" s="116">
        <f>取值!N22</f>
        <v>0</v>
      </c>
      <c r="O28" s="116">
        <f>取值!O22</f>
        <v>2074</v>
      </c>
      <c r="P28" s="116">
        <f>取值!AB22</f>
        <v>0</v>
      </c>
      <c r="Q28" s="117">
        <f>取值!Q22</f>
        <v>0</v>
      </c>
      <c r="R28" s="118"/>
    </row>
    <row s="133" customFormat="1" customHeight="1" ht="20.25">
      <c r="A29" s="89"/>
      <c r="B29" s="110" t="s">
        <v>48</v>
      </c>
      <c r="C29" s="111" t="s">
        <v>26</v>
      </c>
      <c r="D29" s="116">
        <f>取值!D23</f>
        <v>3502</v>
      </c>
      <c r="E29" s="116">
        <f>取值!E23</f>
        <v>0</v>
      </c>
      <c r="F29" s="116">
        <f>取值!F23</f>
        <v>389517</v>
      </c>
      <c r="G29" s="116">
        <f>取值!G23</f>
        <v>0</v>
      </c>
      <c r="H29" s="116">
        <f>取值!H23</f>
        <v>375285</v>
      </c>
      <c r="I29" s="116">
        <f>取值!I23</f>
        <v>0</v>
      </c>
      <c r="J29" s="116">
        <f>取值!J23</f>
        <v>0</v>
      </c>
      <c r="K29" s="116">
        <f>取值!K23</f>
        <v>0</v>
      </c>
      <c r="L29" s="116">
        <f>取值!M23</f>
        <v>0</v>
      </c>
      <c r="M29" s="116">
        <f>取值!L23</f>
        <v>20988</v>
      </c>
      <c r="N29" s="116">
        <f>取值!N23</f>
        <v>21051</v>
      </c>
      <c r="O29" s="116">
        <f>取值!O23</f>
        <v>74</v>
      </c>
      <c r="P29" s="116">
        <f>取值!AB23</f>
        <v>0</v>
      </c>
      <c r="Q29" s="117">
        <f>取值!Q23</f>
        <v>17723</v>
      </c>
      <c r="R29" s="118"/>
    </row>
    <row s="134" customFormat="1" customHeight="1" ht="20.25">
      <c r="A30" s="89"/>
      <c r="B30" s="135" t="s">
        <v>49</v>
      </c>
      <c r="C30" s="111" t="s">
        <v>26</v>
      </c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7"/>
      <c r="R30" s="118"/>
    </row>
    <row s="136" customFormat="1" customHeight="1" ht="20.25">
      <c r="A31" s="89"/>
      <c r="B31" s="110" t="s">
        <v>50</v>
      </c>
      <c r="C31" s="111" t="s">
        <v>26</v>
      </c>
      <c r="D31" s="116">
        <f>取值!D24</f>
        <v>0</v>
      </c>
      <c r="E31" s="116">
        <f>取值!E24</f>
        <v>0</v>
      </c>
      <c r="F31" s="116">
        <f>取值!F24</f>
        <v>1674381</v>
      </c>
      <c r="G31" s="116">
        <f>取值!G24</f>
        <v>0</v>
      </c>
      <c r="H31" s="116">
        <f>取值!H24</f>
        <v>0</v>
      </c>
      <c r="I31" s="116">
        <f>取值!I24</f>
        <v>0</v>
      </c>
      <c r="J31" s="116">
        <f>F31</f>
        <v>1674381</v>
      </c>
      <c r="K31" s="116">
        <f>取值!K24</f>
        <v>0</v>
      </c>
      <c r="L31" s="116">
        <f>取值!M24</f>
        <v>0</v>
      </c>
      <c r="M31" s="116">
        <f>取值!L24</f>
        <v>0</v>
      </c>
      <c r="N31" s="116">
        <f>取值!N24</f>
        <v>0</v>
      </c>
      <c r="O31" s="116">
        <f>取值!O24</f>
        <v>0</v>
      </c>
      <c r="P31" s="116">
        <f>取值!AB24</f>
        <v>0</v>
      </c>
      <c r="Q31" s="117">
        <f>取值!Q24</f>
        <v>0</v>
      </c>
      <c r="R31" s="118"/>
    </row>
    <row s="137" customFormat="1" customHeight="1" ht="20.25">
      <c r="A32" s="89"/>
      <c r="B32" s="138" t="s">
        <v>51</v>
      </c>
      <c r="C32" s="111" t="s">
        <v>26</v>
      </c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7"/>
      <c r="R32" s="118"/>
    </row>
    <row s="139" customFormat="1" customHeight="1" ht="20.25">
      <c r="A33" s="89"/>
      <c r="B33" s="138" t="s">
        <v>52</v>
      </c>
      <c r="C33" s="111" t="s">
        <v>26</v>
      </c>
      <c r="D33" s="116">
        <f>取值!D36</f>
        <v>0</v>
      </c>
      <c r="E33" s="116">
        <f>取值!E36</f>
        <v>0</v>
      </c>
      <c r="F33" s="116">
        <f>取值!F36</f>
        <v>281248</v>
      </c>
      <c r="G33" s="116">
        <f>取值!G36</f>
        <v>0</v>
      </c>
      <c r="H33" s="116">
        <f>取值!H36</f>
        <v>281248</v>
      </c>
      <c r="I33" s="116">
        <f>取值!I36</f>
        <v>0</v>
      </c>
      <c r="J33" s="116">
        <f>取值!J36</f>
        <v>0</v>
      </c>
      <c r="K33" s="116">
        <f>取值!K36</f>
        <v>0</v>
      </c>
      <c r="L33" s="116">
        <f>取值!M36</f>
        <v>0</v>
      </c>
      <c r="M33" s="116">
        <f>取值!L36</f>
        <v>0</v>
      </c>
      <c r="N33" s="116">
        <f>取值!N36</f>
        <v>0</v>
      </c>
      <c r="O33" s="116">
        <f>取值!O36</f>
        <v>0</v>
      </c>
      <c r="P33" s="116">
        <f>取值!AB36</f>
        <v>0</v>
      </c>
      <c r="Q33" s="117">
        <f>取值!Q36</f>
        <v>0</v>
      </c>
      <c r="R33" s="118"/>
    </row>
    <row s="140" customFormat="1" customHeight="1" ht="20.25">
      <c r="A34" s="89"/>
      <c r="B34" s="138" t="s">
        <v>53</v>
      </c>
      <c r="C34" s="111" t="s">
        <v>26</v>
      </c>
      <c r="D34" s="116">
        <f>取值!D26</f>
        <v>5484</v>
      </c>
      <c r="E34" s="116">
        <f>取值!E26</f>
        <v>0</v>
      </c>
      <c r="F34" s="116">
        <f>取值!F26</f>
        <v>0</v>
      </c>
      <c r="G34" s="116">
        <f>取值!G26</f>
        <v>0</v>
      </c>
      <c r="H34" s="116">
        <f>取值!H26</f>
        <v>0</v>
      </c>
      <c r="I34" s="116">
        <f>取值!I26</f>
        <v>0</v>
      </c>
      <c r="J34" s="116">
        <f>取值!J26</f>
        <v>0</v>
      </c>
      <c r="K34" s="116">
        <f>取值!K26</f>
        <v>0</v>
      </c>
      <c r="L34" s="116">
        <f>取值!M26</f>
        <v>0</v>
      </c>
      <c r="M34" s="116">
        <f>取值!L26</f>
        <v>0</v>
      </c>
      <c r="N34" s="116">
        <f>取值!N26</f>
        <v>74</v>
      </c>
      <c r="O34" s="116">
        <f>取值!O26</f>
        <v>0</v>
      </c>
      <c r="P34" s="116">
        <f>取值!AB26</f>
        <v>0</v>
      </c>
      <c r="Q34" s="117">
        <f>取值!Q26</f>
        <v>5558</v>
      </c>
      <c r="R34" s="118"/>
    </row>
    <row s="141" customFormat="1" customHeight="1" ht="20.25">
      <c r="A35" s="89"/>
      <c r="B35" s="115" t="s">
        <v>54</v>
      </c>
      <c r="C35" s="111" t="s">
        <v>26</v>
      </c>
      <c r="D35" s="116">
        <f>取值!D37</f>
        <v>0</v>
      </c>
      <c r="E35" s="116">
        <f>取值!E37</f>
        <v>0</v>
      </c>
      <c r="F35" s="116">
        <f>取值!F37</f>
        <v>0</v>
      </c>
      <c r="G35" s="116">
        <f>取值!G37</f>
        <v>0</v>
      </c>
      <c r="H35" s="116">
        <f>取值!H37</f>
        <v>0</v>
      </c>
      <c r="I35" s="116">
        <f>取值!I37</f>
        <v>0</v>
      </c>
      <c r="J35" s="116">
        <f>取值!J37</f>
        <v>0</v>
      </c>
      <c r="K35" s="116">
        <f>取值!K37</f>
        <v>0</v>
      </c>
      <c r="L35" s="116">
        <f>取值!M37</f>
        <v>0</v>
      </c>
      <c r="M35" s="116">
        <f>取值!L37</f>
        <v>0</v>
      </c>
      <c r="N35" s="116">
        <f>取值!N37</f>
        <v>0</v>
      </c>
      <c r="O35" s="116">
        <f>取值!O37</f>
        <v>0</v>
      </c>
      <c r="P35" s="116">
        <f>取值!AB37</f>
        <v>0</v>
      </c>
      <c r="Q35" s="117">
        <f>取值!Q37</f>
        <v>0</v>
      </c>
      <c r="R35" s="118"/>
    </row>
    <row s="142" customFormat="1" customHeight="1" ht="20.25">
      <c r="A36" s="89"/>
      <c r="B36" s="138" t="s">
        <v>55</v>
      </c>
      <c r="C36" s="111" t="s">
        <v>26</v>
      </c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7"/>
      <c r="R36" s="118"/>
    </row>
    <row s="143" customFormat="1" customHeight="1" ht="20.25">
      <c r="A37" s="89"/>
      <c r="B37" s="110" t="s">
        <v>56</v>
      </c>
      <c r="C37" s="111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7"/>
      <c r="R37" s="118"/>
    </row>
    <row s="144" customFormat="1" customHeight="1" ht="20.25">
      <c r="A38" s="89"/>
      <c r="B38" s="110" t="s">
        <v>57</v>
      </c>
      <c r="C38" s="111" t="s">
        <v>26</v>
      </c>
      <c r="D38" s="116">
        <f>取值!D30</f>
        <v>0</v>
      </c>
      <c r="E38" s="116">
        <f>取值!E30</f>
        <v>0</v>
      </c>
      <c r="F38" s="116">
        <f>取值!F30</f>
        <v>44852</v>
      </c>
      <c r="G38" s="116">
        <f>取值!G30</f>
        <v>0</v>
      </c>
      <c r="H38" s="116">
        <f>取值!H30</f>
        <v>0</v>
      </c>
      <c r="I38" s="116">
        <f>取值!I30</f>
        <v>0</v>
      </c>
      <c r="J38" s="116">
        <f>取值!J30</f>
        <v>0</v>
      </c>
      <c r="K38" s="116">
        <f>取值!K30</f>
        <v>0</v>
      </c>
      <c r="L38" s="116">
        <f>取值!M30</f>
        <v>0</v>
      </c>
      <c r="M38" s="116">
        <f>取值!L30</f>
        <v>0</v>
      </c>
      <c r="N38" s="116">
        <f>取值!N27</f>
        <v>0</v>
      </c>
      <c r="O38" s="116">
        <f>取值!O30</f>
        <v>44852</v>
      </c>
      <c r="P38" s="116">
        <f>取值!AB30</f>
        <v>0</v>
      </c>
      <c r="Q38" s="117">
        <f>取值!Q30</f>
        <v>0</v>
      </c>
      <c r="R38" s="118"/>
    </row>
    <row s="145" customFormat="1" customHeight="1" ht="20.25">
      <c r="A39" s="89"/>
      <c r="B39" s="110" t="s">
        <v>58</v>
      </c>
      <c r="C39" s="111" t="s">
        <v>26</v>
      </c>
      <c r="D39" s="116">
        <f>取值!D28</f>
        <v>1086</v>
      </c>
      <c r="E39" s="116">
        <f>取值!E28</f>
        <v>0</v>
      </c>
      <c r="F39" s="116">
        <f>取值!F28</f>
        <v>226776</v>
      </c>
      <c r="G39" s="116">
        <f>取值!G28</f>
        <v>0</v>
      </c>
      <c r="H39" s="116">
        <f>取值!H28</f>
        <v>0</v>
      </c>
      <c r="I39" s="116">
        <f>取值!I28</f>
        <v>41361</v>
      </c>
      <c r="J39" s="116">
        <f>取值!J28</f>
        <v>0</v>
      </c>
      <c r="K39" s="116">
        <f>取值!K28</f>
        <v>0</v>
      </c>
      <c r="L39" s="116">
        <f>取值!M28</f>
        <v>0</v>
      </c>
      <c r="M39" s="116">
        <f>取值!L28</f>
        <v>184967</v>
      </c>
      <c r="N39" s="116">
        <f>取值!N28</f>
        <v>0</v>
      </c>
      <c r="O39" s="116">
        <f>取值!O28</f>
        <v>0</v>
      </c>
      <c r="P39" s="116">
        <f>取值!AB28</f>
        <v>-10</v>
      </c>
      <c r="Q39" s="117">
        <f>取值!Q28</f>
        <v>1524</v>
      </c>
      <c r="R39" s="118"/>
    </row>
    <row s="146" customFormat="1" customHeight="1" ht="20.25">
      <c r="A40" s="89"/>
      <c r="B40" s="135" t="s">
        <v>59</v>
      </c>
      <c r="C40" s="111" t="s">
        <v>26</v>
      </c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7"/>
      <c r="R40" s="118"/>
    </row>
    <row s="147" customFormat="1" customHeight="1" ht="20.25">
      <c r="A41" s="89"/>
      <c r="B41" s="110" t="s">
        <v>60</v>
      </c>
      <c r="C41" s="111" t="s">
        <v>26</v>
      </c>
      <c r="D41" s="116">
        <f>取值!D31</f>
        <v>0</v>
      </c>
      <c r="E41" s="116">
        <f>取值!E31</f>
        <v>0</v>
      </c>
      <c r="F41" s="116">
        <f>取值!F31</f>
        <v>47162</v>
      </c>
      <c r="G41" s="116">
        <f>取值!G31</f>
        <v>0</v>
      </c>
      <c r="H41" s="116">
        <f>取值!H31</f>
        <v>0</v>
      </c>
      <c r="I41" s="116">
        <f>取值!I31</f>
        <v>0</v>
      </c>
      <c r="J41" s="116">
        <f>取值!J31</f>
        <v>0</v>
      </c>
      <c r="K41" s="116">
        <f>取值!K31</f>
        <v>0</v>
      </c>
      <c r="L41" s="116">
        <f>取值!M31</f>
        <v>0</v>
      </c>
      <c r="M41" s="116">
        <f>取值!L31</f>
        <v>0</v>
      </c>
      <c r="N41" s="116">
        <f>取值!N31</f>
        <v>0</v>
      </c>
      <c r="O41" s="116">
        <f>F41</f>
        <v>47162</v>
      </c>
      <c r="P41" s="116">
        <f>取值!AB31</f>
        <v>0</v>
      </c>
      <c r="Q41" s="117">
        <f>取值!Q31</f>
        <v>0</v>
      </c>
      <c r="R41" s="118"/>
    </row>
    <row s="148" customFormat="1" customHeight="1" ht="20.25">
      <c r="A42" s="89"/>
      <c r="B42" s="135" t="s">
        <v>61</v>
      </c>
      <c r="C42" s="111" t="s">
        <v>26</v>
      </c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7"/>
      <c r="R42" s="118"/>
    </row>
    <row s="149" customFormat="1" customHeight="1" ht="20.25">
      <c r="A43" s="89"/>
      <c r="B43" s="110" t="s">
        <v>62</v>
      </c>
      <c r="C43" s="111" t="s">
        <v>26</v>
      </c>
      <c r="D43" s="116">
        <f>取值!D29</f>
        <v>0</v>
      </c>
      <c r="E43" s="116">
        <f>取值!E29</f>
        <v>0</v>
      </c>
      <c r="F43" s="116">
        <f>取值!F29</f>
        <v>0</v>
      </c>
      <c r="G43" s="116">
        <f>取值!G29</f>
        <v>0</v>
      </c>
      <c r="H43" s="116">
        <f>取值!H29</f>
        <v>0</v>
      </c>
      <c r="I43" s="116">
        <f>取值!I29</f>
        <v>0</v>
      </c>
      <c r="J43" s="116">
        <f>取值!J29</f>
        <v>0</v>
      </c>
      <c r="K43" s="116">
        <f>取值!K29</f>
        <v>0</v>
      </c>
      <c r="L43" s="116">
        <f>取值!M29</f>
        <v>0</v>
      </c>
      <c r="M43" s="116">
        <f>取值!L29</f>
        <v>0</v>
      </c>
      <c r="N43" s="116">
        <f>取值!N29</f>
        <v>0</v>
      </c>
      <c r="O43" s="116">
        <f>F43</f>
        <v>0</v>
      </c>
      <c r="P43" s="116">
        <f>取值!AB29</f>
        <v>0</v>
      </c>
      <c r="Q43" s="117">
        <f>取值!Q29</f>
        <v>0</v>
      </c>
      <c r="R43" s="118"/>
    </row>
    <row s="150" customFormat="1" customHeight="1" ht="20.25">
      <c r="A44" s="89"/>
      <c r="B44" s="135" t="s">
        <v>63</v>
      </c>
      <c r="C44" s="111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7"/>
      <c r="R44" s="118"/>
    </row>
    <row s="151" customFormat="1" customHeight="1" ht="20.25">
      <c r="A45" s="89"/>
      <c r="B45" s="135" t="s">
        <v>64</v>
      </c>
      <c r="C45" s="111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7"/>
      <c r="R45" s="118"/>
    </row>
    <row s="152" customFormat="1" customHeight="1" ht="20.25">
      <c r="A46" s="89"/>
      <c r="B46" s="153" t="s">
        <v>65</v>
      </c>
      <c r="C46" s="111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7"/>
      <c r="R46" s="118"/>
    </row>
    <row s="154" customFormat="1" customHeight="1" ht="20.25">
      <c r="A47" s="89"/>
      <c r="B47" s="153" t="s">
        <v>66</v>
      </c>
      <c r="C47" s="111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7"/>
      <c r="R47" s="118"/>
    </row>
    <row s="155" customFormat="1" customHeight="1" ht="20.25">
      <c r="A48" s="89"/>
      <c r="B48" s="153" t="s">
        <v>67</v>
      </c>
      <c r="C48" s="111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7"/>
      <c r="R48" s="118"/>
    </row>
    <row s="156" customFormat="1" customHeight="1" ht="20.25">
      <c r="A49" s="89"/>
      <c r="B49" s="153" t="s">
        <v>68</v>
      </c>
      <c r="C49" s="111" t="s">
        <v>26</v>
      </c>
      <c r="D49" s="116">
        <f>取值!D19</f>
        <v>0</v>
      </c>
      <c r="E49" s="116">
        <f>取值!E19</f>
        <v>0</v>
      </c>
      <c r="F49" s="116">
        <f>取值!F19</f>
        <v>0</v>
      </c>
      <c r="G49" s="116">
        <f>取值!G19</f>
        <v>0</v>
      </c>
      <c r="H49" s="116">
        <f>F49</f>
        <v>0</v>
      </c>
      <c r="I49" s="116">
        <f>取值!I19</f>
        <v>0</v>
      </c>
      <c r="J49" s="116">
        <f>取值!J19</f>
        <v>0</v>
      </c>
      <c r="K49" s="116">
        <f>取值!K19</f>
        <v>0</v>
      </c>
      <c r="L49" s="116">
        <f>取值!M19</f>
        <v>0</v>
      </c>
      <c r="M49" s="116">
        <f>取值!L19</f>
        <v>0</v>
      </c>
      <c r="N49" s="116">
        <f>取值!N19</f>
        <v>0</v>
      </c>
      <c r="O49" s="116">
        <f>取值!O19</f>
        <v>0</v>
      </c>
      <c r="P49" s="116">
        <f>取值!AB19</f>
        <v>0</v>
      </c>
      <c r="Q49" s="117">
        <f>取值!Q19</f>
        <v>0</v>
      </c>
      <c r="R49" s="118"/>
    </row>
    <row s="157" customFormat="1" customHeight="1" ht="20.25">
      <c r="A50" s="89"/>
      <c r="B50" s="153" t="s">
        <v>69</v>
      </c>
      <c r="C50" s="111" t="s">
        <v>26</v>
      </c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18"/>
    </row>
    <row s="159" customFormat="1" customHeight="1" ht="20.25">
      <c r="A51" s="89"/>
      <c r="B51" s="153" t="s">
        <v>70</v>
      </c>
      <c r="C51" s="111" t="s">
        <v>26</v>
      </c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18"/>
    </row>
    <row s="160" customFormat="1" customHeight="1" ht="20.25">
      <c r="A52" s="89"/>
      <c r="B52" s="153" t="s">
        <v>71</v>
      </c>
      <c r="C52" s="111" t="s">
        <v>26</v>
      </c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18"/>
    </row>
    <row s="161" customFormat="1" customHeight="1" ht="20.25">
      <c r="A53" s="89"/>
      <c r="B53" s="138" t="s">
        <v>72</v>
      </c>
      <c r="C53" s="111" t="s">
        <v>26</v>
      </c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18"/>
    </row>
    <row s="162" customFormat="1" customHeight="1" ht="20.25">
      <c r="A54" s="89"/>
      <c r="B54" s="138" t="s">
        <v>73</v>
      </c>
      <c r="C54" s="111" t="s">
        <v>26</v>
      </c>
      <c r="D54" s="116">
        <f>取值!D39</f>
        <v>891</v>
      </c>
      <c r="E54" s="116"/>
      <c r="F54" s="116"/>
      <c r="G54" s="116"/>
      <c r="H54" s="116"/>
      <c r="I54" s="116">
        <f>取值!I39</f>
        <v>39540</v>
      </c>
      <c r="J54" s="116"/>
      <c r="K54" s="116"/>
      <c r="L54" s="116">
        <f>取值!M39</f>
        <v>0</v>
      </c>
      <c r="M54" s="116">
        <f>取值!N39</f>
        <v>52639</v>
      </c>
      <c r="N54" s="116">
        <f>取值!O39</f>
        <v>92014</v>
      </c>
      <c r="O54" s="116">
        <f>取值!P39</f>
        <v>0</v>
      </c>
      <c r="P54" s="116"/>
      <c r="Q54" s="116">
        <f>取值!Q39</f>
        <v>726</v>
      </c>
      <c r="R54" s="118"/>
    </row>
    <row s="163" customFormat="1" customHeight="1" ht="20.25">
      <c r="A55" s="89"/>
      <c r="B55" s="138" t="s">
        <v>74</v>
      </c>
      <c r="C55" s="111" t="s">
        <v>26</v>
      </c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8"/>
    </row>
    <row s="164" customFormat="1" customHeight="1" ht="20.25">
      <c r="A56" s="89"/>
      <c r="B56" s="138" t="s">
        <v>75</v>
      </c>
      <c r="C56" s="165" t="s">
        <v>26</v>
      </c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8"/>
    </row>
    <row s="166" customFormat="1" customHeight="1" ht="20.25">
      <c r="A57" s="89"/>
      <c r="B57" s="138" t="s">
        <v>76</v>
      </c>
      <c r="C57" s="167" t="s">
        <v>26</v>
      </c>
      <c r="D57" s="116">
        <f>取值!D40</f>
        <v>951</v>
      </c>
      <c r="E57" s="116"/>
      <c r="F57" s="116">
        <f>取值!F40</f>
        <v>41528</v>
      </c>
      <c r="G57" s="116"/>
      <c r="H57" s="116"/>
      <c r="I57" s="116">
        <f>取值!I40</f>
        <v>41467</v>
      </c>
      <c r="J57" s="116"/>
      <c r="K57" s="116"/>
      <c r="L57" s="116"/>
      <c r="M57" s="116"/>
      <c r="N57" s="116"/>
      <c r="O57" s="116"/>
      <c r="P57" s="116"/>
      <c r="Q57" s="116">
        <f>取值!Q40</f>
        <v>1012</v>
      </c>
      <c r="R57" s="118"/>
    </row>
    <row s="168" customFormat="1" customHeight="1" ht="20.25">
      <c r="A58" s="89"/>
      <c r="B58" s="153" t="s">
        <v>77</v>
      </c>
      <c r="C58" s="111" t="s">
        <v>26</v>
      </c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8"/>
    </row>
    <row s="169" customFormat="1" customHeight="1" ht="20.25">
      <c r="A59" s="89"/>
      <c r="B59" s="153" t="s">
        <v>78</v>
      </c>
      <c r="C59" s="111" t="s">
        <v>26</v>
      </c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8"/>
    </row>
    <row s="170" customFormat="1" customHeight="1" ht="20.25">
      <c r="A60" s="89"/>
      <c r="B60" s="153" t="s">
        <v>79</v>
      </c>
      <c r="C60" s="111" t="s">
        <v>26</v>
      </c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8"/>
    </row>
    <row s="171" customFormat="1" customHeight="1" ht="20.25">
      <c r="A61" s="89"/>
      <c r="B61" s="153" t="s">
        <v>80</v>
      </c>
      <c r="C61" s="111" t="s">
        <v>26</v>
      </c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8"/>
    </row>
    <row s="172" customFormat="1" customHeight="1" ht="20.25">
      <c r="A62" s="89"/>
      <c r="B62" s="135" t="s">
        <v>81</v>
      </c>
      <c r="C62" s="111" t="s">
        <v>26</v>
      </c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8"/>
    </row>
    <row s="173" customFormat="1" customHeight="1" ht="20.25">
      <c r="A63" s="89"/>
      <c r="B63" s="174" t="s">
        <v>82</v>
      </c>
      <c r="C63" s="175" t="s">
        <v>26</v>
      </c>
      <c r="D63" s="176"/>
      <c r="E63" s="177">
        <f>取值!E41</f>
        <v>19131</v>
      </c>
      <c r="F63" s="177"/>
      <c r="G63" s="177"/>
      <c r="H63" s="177"/>
      <c r="I63" s="177"/>
      <c r="J63" s="177"/>
      <c r="K63" s="177"/>
      <c r="L63" s="177"/>
      <c r="M63" s="177"/>
      <c r="N63" s="177"/>
      <c r="O63" s="177">
        <f>取值!F41</f>
        <v>19131</v>
      </c>
      <c r="P63" s="177"/>
      <c r="Q63" s="177"/>
      <c r="R63" s="178"/>
    </row>
  </sheetData>
  <mergeCells count="19">
    <mergeCell ref="G4:G5"/>
    <mergeCell ref="P4:P5"/>
    <mergeCell ref="Q4:Q5"/>
    <mergeCell ref="R4:R5"/>
    <mergeCell ref="R6:R63"/>
    <mergeCell ref="B2:R2"/>
    <mergeCell ref="Q3:R3"/>
    <mergeCell ref="H4:H5"/>
    <mergeCell ref="I4:I5"/>
    <mergeCell ref="J4:J5"/>
    <mergeCell ref="K4:K5"/>
    <mergeCell ref="N4:O4"/>
    <mergeCell ref="B4:B5"/>
    <mergeCell ref="C4:C5"/>
    <mergeCell ref="D4:D5"/>
    <mergeCell ref="L4:M4"/>
    <mergeCell ref="L3:O3"/>
    <mergeCell ref="E4:E5"/>
    <mergeCell ref="F4:F5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4EF3098-9118-8FF8-AB68-913227A630BD}" mc:Ignorable="x14ac xr xr2 xr3">
  <dimension ref="A1:AB44"/>
  <sheetViews>
    <sheetView topLeftCell="E16" workbookViewId="0">
      <selection activeCell="S44" sqref="S44"/>
    </sheetView>
  </sheetViews>
  <sheetFormatPr customHeight="1" defaultRowHeight="14.25"/>
  <cols>
    <col min="2" max="2" style="206" width="23.421875" customWidth="1"/>
    <col min="16" max="16" style="207" width="8.8515625" customWidth="1"/>
    <col min="28" max="28" style="208" width="8.8515625" customWidth="1"/>
  </cols>
  <sheetData>
    <row customHeight="1" ht="14.25">
      <c r="A1" s="196" t="s">
        <v>83</v>
      </c>
      <c r="B1" s="196" t="s">
        <v>84</v>
      </c>
      <c r="C1" s="196" t="s">
        <v>85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89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89"/>
    </row>
    <row customHeight="1" ht="14.25">
      <c r="A2" s="90"/>
      <c r="B2" s="89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89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89"/>
    </row>
    <row customHeight="1" ht="14.25">
      <c r="A3" s="90"/>
      <c r="B3" s="89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89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89"/>
    </row>
    <row customHeight="1" ht="14.25">
      <c r="A4" s="90"/>
      <c r="B4" s="197" t="s">
        <v>5</v>
      </c>
      <c r="C4" s="90" t="s">
        <v>6</v>
      </c>
      <c r="D4" s="197" t="s">
        <v>7</v>
      </c>
      <c r="E4" s="90" t="s">
        <v>8</v>
      </c>
      <c r="F4" s="90" t="s">
        <v>9</v>
      </c>
      <c r="G4" s="90" t="s">
        <v>10</v>
      </c>
      <c r="H4" s="90" t="s">
        <v>11</v>
      </c>
      <c r="I4" s="90" t="s">
        <v>12</v>
      </c>
      <c r="J4" s="90" t="s">
        <v>13</v>
      </c>
      <c r="K4" s="90" t="s">
        <v>14</v>
      </c>
      <c r="L4" s="90" t="s">
        <v>15</v>
      </c>
      <c r="M4" s="90"/>
      <c r="N4" s="90" t="s">
        <v>16</v>
      </c>
      <c r="O4" s="90"/>
      <c r="P4" s="198" t="s">
        <v>11</v>
      </c>
      <c r="Q4" s="90" t="s">
        <v>18</v>
      </c>
      <c r="R4" s="90"/>
      <c r="S4" s="90"/>
      <c r="T4" s="90"/>
      <c r="U4" s="90"/>
      <c r="V4" s="90"/>
      <c r="W4" s="90"/>
      <c r="X4" s="90"/>
      <c r="Y4" s="90"/>
      <c r="Z4" s="90"/>
      <c r="AA4" s="90"/>
      <c r="AB4" s="198" t="s">
        <v>11</v>
      </c>
    </row>
    <row customHeight="1" ht="14.25">
      <c r="A5" s="90"/>
      <c r="B5" s="89"/>
      <c r="C5" s="199"/>
      <c r="D5" s="90"/>
      <c r="E5" s="90"/>
      <c r="F5" s="90"/>
      <c r="G5" s="90"/>
      <c r="H5" s="90"/>
      <c r="I5" s="90"/>
      <c r="J5" s="90"/>
      <c r="K5" s="90"/>
      <c r="L5" s="90" t="s">
        <v>21</v>
      </c>
      <c r="M5" s="90" t="s">
        <v>20</v>
      </c>
      <c r="N5" s="90" t="s">
        <v>22</v>
      </c>
      <c r="O5" s="90" t="s">
        <v>23</v>
      </c>
      <c r="P5" s="89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89"/>
    </row>
    <row customHeight="1" ht="14.25">
      <c r="A6" s="90"/>
      <c r="B6" s="199" t="s">
        <v>24</v>
      </c>
      <c r="C6" s="199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89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89"/>
    </row>
    <row customHeight="1" ht="14.25">
      <c r="A7" s="90"/>
      <c r="B7" s="199" t="s">
        <v>25</v>
      </c>
      <c r="C7" s="199" t="s">
        <v>26</v>
      </c>
      <c r="D7" s="200">
        <v>6249</v>
      </c>
      <c r="E7" s="90">
        <v>0</v>
      </c>
      <c r="F7" s="90">
        <v>842970</v>
      </c>
      <c r="G7" s="90"/>
      <c r="H7" s="90">
        <v>1002315</v>
      </c>
      <c r="I7" s="90">
        <v>0</v>
      </c>
      <c r="J7" s="90">
        <v>0</v>
      </c>
      <c r="K7" s="90">
        <v>0</v>
      </c>
      <c r="L7" s="90">
        <v>49520</v>
      </c>
      <c r="M7" s="90">
        <v>0</v>
      </c>
      <c r="N7" s="90">
        <v>226554</v>
      </c>
      <c r="O7" s="90">
        <v>1366</v>
      </c>
      <c r="P7" s="198">
        <v>0</v>
      </c>
      <c r="Q7" s="90">
        <v>22572</v>
      </c>
      <c r="R7" s="90"/>
      <c r="S7" s="90"/>
      <c r="T7" s="90"/>
      <c r="U7" s="90"/>
      <c r="V7" s="90"/>
      <c r="W7" s="90"/>
      <c r="X7" s="90"/>
      <c r="Y7" s="90"/>
      <c r="Z7" s="90"/>
      <c r="AA7" s="90"/>
      <c r="AB7" s="198">
        <v>0</v>
      </c>
    </row>
    <row customHeight="1" ht="14.25">
      <c r="A8" s="90"/>
      <c r="B8" s="199" t="s">
        <v>28</v>
      </c>
      <c r="C8" s="199" t="s">
        <v>26</v>
      </c>
      <c r="D8" s="201">
        <v>1924</v>
      </c>
      <c r="E8" s="90">
        <v>79331</v>
      </c>
      <c r="F8" s="90">
        <v>0</v>
      </c>
      <c r="G8" s="90"/>
      <c r="H8" s="90">
        <v>0</v>
      </c>
      <c r="I8" s="90">
        <v>0</v>
      </c>
      <c r="J8" s="90">
        <v>90377</v>
      </c>
      <c r="K8" s="90">
        <v>0</v>
      </c>
      <c r="L8" s="90">
        <v>0</v>
      </c>
      <c r="M8" s="90">
        <v>12184</v>
      </c>
      <c r="N8" s="90"/>
      <c r="O8" s="90"/>
      <c r="P8" s="198">
        <v>0</v>
      </c>
      <c r="Q8" s="90">
        <v>3062</v>
      </c>
      <c r="R8" s="90"/>
      <c r="S8" s="90"/>
      <c r="T8" s="90"/>
      <c r="U8" s="90"/>
      <c r="V8" s="90"/>
      <c r="W8" s="90"/>
      <c r="X8" s="90"/>
      <c r="Y8" s="90"/>
      <c r="Z8" s="90"/>
      <c r="AA8" s="90"/>
      <c r="AB8" s="198">
        <v>0</v>
      </c>
    </row>
    <row customHeight="1" ht="14.25">
      <c r="A9" s="90"/>
      <c r="B9" s="199" t="s">
        <v>86</v>
      </c>
      <c r="C9" s="199"/>
      <c r="D9" s="201">
        <v>2670</v>
      </c>
      <c r="E9" s="90"/>
      <c r="F9" s="90">
        <v>0</v>
      </c>
      <c r="G9" s="90"/>
      <c r="H9" s="90">
        <v>0</v>
      </c>
      <c r="I9" s="90">
        <v>0</v>
      </c>
      <c r="J9" s="90">
        <v>55587</v>
      </c>
      <c r="K9" s="90">
        <v>0</v>
      </c>
      <c r="L9" s="90">
        <v>0</v>
      </c>
      <c r="M9" s="90">
        <v>55620</v>
      </c>
      <c r="N9" s="90"/>
      <c r="O9" s="90"/>
      <c r="P9" s="198">
        <v>0</v>
      </c>
      <c r="Q9" s="90">
        <v>2703</v>
      </c>
      <c r="R9" s="90"/>
      <c r="S9" s="90"/>
      <c r="T9" s="90"/>
      <c r="U9" s="90"/>
      <c r="V9" s="90"/>
      <c r="W9" s="90"/>
      <c r="X9" s="90"/>
      <c r="Y9" s="90"/>
      <c r="Z9" s="90"/>
      <c r="AA9" s="90"/>
      <c r="AB9" s="198">
        <v>0</v>
      </c>
    </row>
    <row customHeight="1" ht="14.25">
      <c r="A10" s="90"/>
      <c r="B10" s="199" t="s">
        <v>29</v>
      </c>
      <c r="C10" s="199" t="s">
        <v>26</v>
      </c>
      <c r="D10" s="201">
        <v>3871</v>
      </c>
      <c r="E10" s="90">
        <v>0</v>
      </c>
      <c r="F10" s="90">
        <v>95326</v>
      </c>
      <c r="G10" s="90"/>
      <c r="H10" s="90">
        <v>0</v>
      </c>
      <c r="I10" s="90">
        <v>15295</v>
      </c>
      <c r="J10" s="90">
        <v>34744</v>
      </c>
      <c r="K10" s="90">
        <v>0</v>
      </c>
      <c r="L10" s="90">
        <v>44840</v>
      </c>
      <c r="M10" s="90">
        <v>0</v>
      </c>
      <c r="N10" s="90"/>
      <c r="O10" s="90"/>
      <c r="P10" s="198">
        <v>1</v>
      </c>
      <c r="Q10" s="90">
        <v>4318</v>
      </c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198">
        <v>1</v>
      </c>
    </row>
    <row customHeight="1" ht="14.25">
      <c r="A11" s="90"/>
      <c r="B11" s="199" t="s">
        <v>87</v>
      </c>
      <c r="C11" s="199" t="s">
        <v>26</v>
      </c>
      <c r="D11" s="201">
        <v>0</v>
      </c>
      <c r="E11" s="90">
        <v>2472</v>
      </c>
      <c r="F11" s="90">
        <v>0</v>
      </c>
      <c r="G11" s="90"/>
      <c r="H11" s="90">
        <v>0</v>
      </c>
      <c r="I11" s="90">
        <v>0</v>
      </c>
      <c r="J11" s="202">
        <v>2472</v>
      </c>
      <c r="K11" s="90"/>
      <c r="L11" s="90">
        <v>0</v>
      </c>
      <c r="M11" s="90">
        <v>0</v>
      </c>
      <c r="N11" s="90"/>
      <c r="O11" s="90"/>
      <c r="P11" s="198">
        <v>0</v>
      </c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198">
        <v>0</v>
      </c>
    </row>
    <row customHeight="1" ht="14.25">
      <c r="A12" s="90"/>
      <c r="B12" s="199" t="s">
        <v>30</v>
      </c>
      <c r="C12" s="199" t="s">
        <v>26</v>
      </c>
      <c r="D12" s="201">
        <v>3839</v>
      </c>
      <c r="E12" s="90">
        <v>0</v>
      </c>
      <c r="F12" s="90">
        <v>841354</v>
      </c>
      <c r="G12" s="90"/>
      <c r="H12" s="90">
        <v>840052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/>
      <c r="O12" s="90"/>
      <c r="P12" s="198">
        <v>0</v>
      </c>
      <c r="Q12" s="90">
        <v>5141</v>
      </c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198">
        <v>0</v>
      </c>
    </row>
    <row customHeight="1" ht="14.25">
      <c r="A13" s="90"/>
      <c r="B13" s="199" t="s">
        <v>31</v>
      </c>
      <c r="C13" s="199" t="s">
        <v>26</v>
      </c>
      <c r="D13" s="201">
        <v>0</v>
      </c>
      <c r="E13" s="90">
        <v>0</v>
      </c>
      <c r="F13" s="90">
        <v>634833</v>
      </c>
      <c r="G13" s="90"/>
      <c r="H13" s="90">
        <v>0</v>
      </c>
      <c r="I13" s="90">
        <v>0</v>
      </c>
      <c r="J13" s="90">
        <v>634833</v>
      </c>
      <c r="K13" s="90"/>
      <c r="L13" s="90">
        <v>0</v>
      </c>
      <c r="M13" s="90">
        <v>0</v>
      </c>
      <c r="N13" s="90"/>
      <c r="O13" s="90"/>
      <c r="P13" s="198">
        <v>0</v>
      </c>
      <c r="Q13" s="90">
        <v>0</v>
      </c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198">
        <v>0</v>
      </c>
    </row>
    <row customHeight="1" ht="14.25">
      <c r="A14" s="90"/>
      <c r="B14" s="199" t="s">
        <v>32</v>
      </c>
      <c r="C14" s="199" t="s">
        <v>26</v>
      </c>
      <c r="D14" s="201">
        <v>0</v>
      </c>
      <c r="E14" s="90">
        <v>0</v>
      </c>
      <c r="F14" s="203">
        <v>221398</v>
      </c>
      <c r="G14" s="90"/>
      <c r="H14" s="90">
        <v>0</v>
      </c>
      <c r="I14" s="90">
        <v>0</v>
      </c>
      <c r="J14" s="90">
        <v>0</v>
      </c>
      <c r="K14" s="90"/>
      <c r="L14" s="90">
        <v>0</v>
      </c>
      <c r="M14" s="90">
        <v>0</v>
      </c>
      <c r="N14" s="90"/>
      <c r="O14" s="203">
        <v>221398</v>
      </c>
      <c r="P14" s="198">
        <v>0</v>
      </c>
      <c r="Q14" s="90">
        <v>0</v>
      </c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198">
        <v>0</v>
      </c>
    </row>
    <row customHeight="1" ht="14.25">
      <c r="A15" s="90"/>
      <c r="B15" s="199" t="s">
        <v>88</v>
      </c>
      <c r="C15" s="199" t="s">
        <v>26</v>
      </c>
      <c r="D15" s="201">
        <v>0</v>
      </c>
      <c r="E15" s="90">
        <v>0</v>
      </c>
      <c r="F15" s="90">
        <v>80598</v>
      </c>
      <c r="G15" s="90"/>
      <c r="H15" s="90">
        <v>0</v>
      </c>
      <c r="I15" s="90">
        <v>0</v>
      </c>
      <c r="J15" s="90"/>
      <c r="K15" s="90"/>
      <c r="L15" s="90">
        <v>0</v>
      </c>
      <c r="M15" s="90">
        <v>0</v>
      </c>
      <c r="N15" s="90"/>
      <c r="O15" s="90"/>
      <c r="P15" s="198">
        <v>0</v>
      </c>
      <c r="Q15" s="90">
        <v>0</v>
      </c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198">
        <v>0</v>
      </c>
    </row>
    <row customHeight="1" ht="14.25">
      <c r="A16" s="90"/>
      <c r="B16" s="199" t="s">
        <v>89</v>
      </c>
      <c r="C16" s="199" t="s">
        <v>26</v>
      </c>
      <c r="D16" s="201">
        <v>0</v>
      </c>
      <c r="E16" s="204">
        <v>0</v>
      </c>
      <c r="F16" s="204">
        <v>136054</v>
      </c>
      <c r="G16" s="204"/>
      <c r="H16" s="203">
        <v>132304</v>
      </c>
      <c r="I16" s="204">
        <v>0</v>
      </c>
      <c r="J16" s="204">
        <v>3750</v>
      </c>
      <c r="K16" s="204">
        <v>0</v>
      </c>
      <c r="L16" s="204">
        <v>0</v>
      </c>
      <c r="M16" s="204">
        <v>0</v>
      </c>
      <c r="N16" s="204"/>
      <c r="O16" s="204"/>
      <c r="P16" s="198">
        <v>0</v>
      </c>
      <c r="Q16" s="204">
        <v>0</v>
      </c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198">
        <v>0</v>
      </c>
    </row>
    <row customHeight="1" ht="14.25">
      <c r="A17" s="90"/>
      <c r="B17" s="199" t="s">
        <v>42</v>
      </c>
      <c r="C17" s="199" t="s">
        <v>26</v>
      </c>
      <c r="D17" s="201">
        <v>0</v>
      </c>
      <c r="E17" s="90">
        <v>0</v>
      </c>
      <c r="F17" s="90">
        <v>756695</v>
      </c>
      <c r="G17" s="90"/>
      <c r="H17" s="90">
        <v>0</v>
      </c>
      <c r="I17" s="90">
        <v>0</v>
      </c>
      <c r="J17" s="90"/>
      <c r="K17" s="90"/>
      <c r="L17" s="90">
        <v>0</v>
      </c>
      <c r="M17" s="90">
        <v>0</v>
      </c>
      <c r="N17" s="90"/>
      <c r="O17" s="90"/>
      <c r="P17" s="198">
        <v>0</v>
      </c>
      <c r="Q17" s="90">
        <v>0</v>
      </c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198">
        <v>0</v>
      </c>
    </row>
    <row customHeight="1" ht="14.25">
      <c r="A18" s="90"/>
      <c r="B18" s="199" t="s">
        <v>90</v>
      </c>
      <c r="C18" s="199" t="s">
        <v>26</v>
      </c>
      <c r="D18" s="201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198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198"/>
    </row>
    <row customHeight="1" ht="14.25">
      <c r="A19" s="90"/>
      <c r="B19" s="199" t="s">
        <v>91</v>
      </c>
      <c r="C19" s="199" t="s">
        <v>26</v>
      </c>
      <c r="D19" s="201">
        <v>0</v>
      </c>
      <c r="E19" s="90">
        <v>0</v>
      </c>
      <c r="F19" s="203">
        <v>0</v>
      </c>
      <c r="G19" s="90"/>
      <c r="H19" s="90"/>
      <c r="I19" s="90">
        <v>0</v>
      </c>
      <c r="J19" s="90">
        <v>0</v>
      </c>
      <c r="K19" s="90"/>
      <c r="L19" s="90">
        <v>0</v>
      </c>
      <c r="M19" s="90">
        <v>0</v>
      </c>
      <c r="N19" s="90"/>
      <c r="O19" s="90"/>
      <c r="P19" s="198">
        <v>0</v>
      </c>
      <c r="Q19" s="90">
        <v>0</v>
      </c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198">
        <v>0</v>
      </c>
    </row>
    <row customHeight="1" ht="14.25">
      <c r="A20" s="90"/>
      <c r="B20" s="199" t="s">
        <v>92</v>
      </c>
      <c r="C20" s="199" t="s">
        <v>26</v>
      </c>
      <c r="D20" s="201"/>
      <c r="E20" s="90"/>
      <c r="F20" s="203"/>
      <c r="G20" s="90"/>
      <c r="H20" s="90"/>
      <c r="I20" s="90"/>
      <c r="J20" s="90"/>
      <c r="K20" s="90"/>
      <c r="L20" s="90"/>
      <c r="M20" s="90"/>
      <c r="N20" s="90"/>
      <c r="O20" s="90"/>
      <c r="P20" s="198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198"/>
    </row>
    <row customHeight="1" ht="14.25">
      <c r="A21" s="90"/>
      <c r="B21" s="199" t="s">
        <v>46</v>
      </c>
      <c r="C21" s="199" t="s">
        <v>26</v>
      </c>
      <c r="D21" s="201">
        <v>0</v>
      </c>
      <c r="E21" s="90">
        <v>0</v>
      </c>
      <c r="F21" s="90">
        <v>0</v>
      </c>
      <c r="G21" s="90"/>
      <c r="H21" s="90">
        <v>0</v>
      </c>
      <c r="I21" s="90">
        <v>0</v>
      </c>
      <c r="J21" s="90">
        <v>0</v>
      </c>
      <c r="K21" s="90"/>
      <c r="L21" s="90">
        <v>0</v>
      </c>
      <c r="M21" s="90">
        <v>0</v>
      </c>
      <c r="N21" s="90"/>
      <c r="O21" s="90"/>
      <c r="P21" s="198">
        <v>0</v>
      </c>
      <c r="Q21" s="90">
        <v>0</v>
      </c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198">
        <v>0</v>
      </c>
    </row>
    <row customHeight="1" ht="14.25">
      <c r="A22" s="90"/>
      <c r="B22" s="199" t="s">
        <v>47</v>
      </c>
      <c r="C22" s="199" t="s">
        <v>26</v>
      </c>
      <c r="D22" s="201">
        <v>0</v>
      </c>
      <c r="E22" s="90">
        <v>0</v>
      </c>
      <c r="F22" s="90">
        <v>1526606</v>
      </c>
      <c r="G22" s="90"/>
      <c r="H22" s="90"/>
      <c r="I22" s="90">
        <v>0</v>
      </c>
      <c r="J22" s="90">
        <v>0</v>
      </c>
      <c r="K22" s="90"/>
      <c r="L22" s="90">
        <v>0</v>
      </c>
      <c r="M22" s="90">
        <v>0</v>
      </c>
      <c r="N22" s="90"/>
      <c r="O22" s="90">
        <v>2074</v>
      </c>
      <c r="P22" s="198">
        <v>0</v>
      </c>
      <c r="Q22" s="90">
        <v>0</v>
      </c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198">
        <v>0</v>
      </c>
    </row>
    <row customHeight="1" ht="14.25">
      <c r="A23" s="90"/>
      <c r="B23" s="199" t="s">
        <v>48</v>
      </c>
      <c r="C23" s="199" t="s">
        <v>26</v>
      </c>
      <c r="D23" s="201">
        <v>3502</v>
      </c>
      <c r="E23" s="90">
        <v>0</v>
      </c>
      <c r="F23" s="90">
        <v>389517</v>
      </c>
      <c r="G23" s="90"/>
      <c r="H23" s="90">
        <v>375285</v>
      </c>
      <c r="I23" s="90">
        <v>0</v>
      </c>
      <c r="J23" s="90">
        <v>0</v>
      </c>
      <c r="K23" s="90">
        <v>0</v>
      </c>
      <c r="L23" s="90">
        <v>20988</v>
      </c>
      <c r="M23" s="90">
        <v>0</v>
      </c>
      <c r="N23" s="90">
        <v>21051</v>
      </c>
      <c r="O23" s="90">
        <v>74</v>
      </c>
      <c r="P23" s="198">
        <v>0</v>
      </c>
      <c r="Q23" s="90">
        <v>17723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198">
        <v>0</v>
      </c>
    </row>
    <row customHeight="1" ht="14.25">
      <c r="A24" s="90"/>
      <c r="B24" s="199" t="s">
        <v>50</v>
      </c>
      <c r="C24" s="199" t="s">
        <v>26</v>
      </c>
      <c r="D24" s="201">
        <v>0</v>
      </c>
      <c r="E24" s="90">
        <v>0</v>
      </c>
      <c r="F24" s="90">
        <v>1674381</v>
      </c>
      <c r="G24" s="90"/>
      <c r="H24" s="90">
        <v>0</v>
      </c>
      <c r="I24" s="90">
        <v>0</v>
      </c>
      <c r="J24" s="90"/>
      <c r="K24" s="90">
        <v>0</v>
      </c>
      <c r="L24" s="90">
        <v>0</v>
      </c>
      <c r="M24" s="90">
        <v>0</v>
      </c>
      <c r="N24" s="90"/>
      <c r="O24" s="90"/>
      <c r="P24" s="198">
        <v>0</v>
      </c>
      <c r="Q24" s="90">
        <v>0</v>
      </c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198">
        <v>0</v>
      </c>
    </row>
    <row customHeight="1" ht="14.25">
      <c r="A25" s="90"/>
      <c r="B25" s="199" t="s">
        <v>93</v>
      </c>
      <c r="C25" s="199" t="s">
        <v>26</v>
      </c>
      <c r="D25" s="201">
        <v>0</v>
      </c>
      <c r="E25" s="90">
        <v>0</v>
      </c>
      <c r="F25" s="90">
        <v>0</v>
      </c>
      <c r="G25" s="90"/>
      <c r="H25" s="90">
        <v>0</v>
      </c>
      <c r="I25" s="90">
        <v>0</v>
      </c>
      <c r="J25" s="90">
        <v>0</v>
      </c>
      <c r="K25" s="90"/>
      <c r="L25" s="90">
        <v>0</v>
      </c>
      <c r="M25" s="90">
        <v>0</v>
      </c>
      <c r="N25" s="90"/>
      <c r="O25" s="90"/>
      <c r="P25" s="198">
        <v>0</v>
      </c>
      <c r="Q25" s="90">
        <v>0</v>
      </c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198">
        <v>0</v>
      </c>
    </row>
    <row customHeight="1" ht="14.25">
      <c r="A26" s="90"/>
      <c r="B26" s="199" t="s">
        <v>94</v>
      </c>
      <c r="C26" s="199" t="s">
        <v>26</v>
      </c>
      <c r="D26" s="201">
        <v>5484</v>
      </c>
      <c r="E26" s="90">
        <v>0</v>
      </c>
      <c r="F26" s="90">
        <v>0</v>
      </c>
      <c r="G26" s="90"/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74</v>
      </c>
      <c r="O26" s="90"/>
      <c r="P26" s="198">
        <v>0</v>
      </c>
      <c r="Q26" s="90">
        <v>5558</v>
      </c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198">
        <v>0</v>
      </c>
    </row>
    <row customHeight="1" ht="14.25">
      <c r="A27" s="90"/>
      <c r="B27" s="199" t="s">
        <v>95</v>
      </c>
      <c r="C27" s="199" t="s">
        <v>26</v>
      </c>
      <c r="D27" s="201">
        <v>0</v>
      </c>
      <c r="E27" s="90">
        <v>0</v>
      </c>
      <c r="F27" s="90">
        <v>0</v>
      </c>
      <c r="G27" s="90"/>
      <c r="H27" s="90">
        <v>0</v>
      </c>
      <c r="I27" s="90">
        <v>0</v>
      </c>
      <c r="J27" s="90"/>
      <c r="K27" s="90"/>
      <c r="L27" s="90">
        <v>0</v>
      </c>
      <c r="M27" s="90"/>
      <c r="N27" s="90"/>
      <c r="O27" s="90"/>
      <c r="P27" s="198">
        <v>0</v>
      </c>
      <c r="Q27" s="90">
        <v>0</v>
      </c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198">
        <v>0</v>
      </c>
    </row>
    <row customHeight="1" ht="14.25">
      <c r="A28" s="90"/>
      <c r="B28" s="199" t="s">
        <v>58</v>
      </c>
      <c r="C28" s="199" t="s">
        <v>26</v>
      </c>
      <c r="D28" s="201">
        <v>1086</v>
      </c>
      <c r="E28" s="204">
        <v>0</v>
      </c>
      <c r="F28" s="204">
        <v>226776</v>
      </c>
      <c r="G28" s="204"/>
      <c r="H28" s="204">
        <v>0</v>
      </c>
      <c r="I28" s="204">
        <v>41361</v>
      </c>
      <c r="J28" s="204"/>
      <c r="K28" s="204">
        <v>0</v>
      </c>
      <c r="L28" s="204">
        <v>184967</v>
      </c>
      <c r="M28" s="204">
        <v>0</v>
      </c>
      <c r="N28" s="204"/>
      <c r="O28" s="204"/>
      <c r="P28" s="198">
        <v>-10</v>
      </c>
      <c r="Q28" s="204">
        <v>1524</v>
      </c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198">
        <v>-10</v>
      </c>
    </row>
    <row customHeight="1" ht="14.25">
      <c r="A29" s="90"/>
      <c r="B29" s="199" t="s">
        <v>62</v>
      </c>
      <c r="C29" s="199" t="s">
        <v>26</v>
      </c>
      <c r="D29" s="201">
        <v>0</v>
      </c>
      <c r="E29" s="90">
        <v>0</v>
      </c>
      <c r="F29" s="90">
        <v>0</v>
      </c>
      <c r="G29" s="90"/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/>
      <c r="O29" s="90"/>
      <c r="P29" s="198">
        <v>0</v>
      </c>
      <c r="Q29" s="90">
        <v>0</v>
      </c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198">
        <v>0</v>
      </c>
    </row>
    <row customHeight="1" ht="14.25">
      <c r="A30" s="90"/>
      <c r="B30" s="199" t="s">
        <v>57</v>
      </c>
      <c r="C30" s="199" t="s">
        <v>26</v>
      </c>
      <c r="D30" s="201"/>
      <c r="E30" s="90">
        <v>0</v>
      </c>
      <c r="F30" s="90">
        <v>44852</v>
      </c>
      <c r="G30" s="90"/>
      <c r="H30" s="90">
        <v>0</v>
      </c>
      <c r="I30" s="90"/>
      <c r="J30" s="90"/>
      <c r="K30" s="90">
        <v>0</v>
      </c>
      <c r="L30" s="90"/>
      <c r="M30" s="90"/>
      <c r="N30" s="90"/>
      <c r="O30" s="90">
        <v>44852</v>
      </c>
      <c r="P30" s="198">
        <v>0</v>
      </c>
      <c r="Q30" s="90">
        <v>0</v>
      </c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198">
        <v>0</v>
      </c>
    </row>
    <row customHeight="1" ht="14.25">
      <c r="A31" s="90"/>
      <c r="B31" s="199" t="s">
        <v>60</v>
      </c>
      <c r="C31" s="199" t="s">
        <v>26</v>
      </c>
      <c r="D31" s="201">
        <v>0</v>
      </c>
      <c r="E31" s="90">
        <v>0</v>
      </c>
      <c r="F31" s="90">
        <v>47162</v>
      </c>
      <c r="G31" s="90"/>
      <c r="H31" s="90">
        <v>0</v>
      </c>
      <c r="I31" s="90">
        <v>0</v>
      </c>
      <c r="J31" s="90"/>
      <c r="K31" s="90"/>
      <c r="L31" s="90">
        <v>0</v>
      </c>
      <c r="M31" s="90">
        <v>0</v>
      </c>
      <c r="N31" s="90"/>
      <c r="O31" s="90"/>
      <c r="P31" s="198">
        <v>0</v>
      </c>
      <c r="Q31" s="90">
        <v>0</v>
      </c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198">
        <v>0</v>
      </c>
    </row>
    <row customHeight="1" ht="14.25">
      <c r="A32" s="90"/>
      <c r="B32" s="199" t="s">
        <v>36</v>
      </c>
      <c r="C32" s="199" t="s">
        <v>26</v>
      </c>
      <c r="D32" s="201">
        <v>0</v>
      </c>
      <c r="E32" s="90">
        <v>0</v>
      </c>
      <c r="F32" s="90">
        <v>21166</v>
      </c>
      <c r="G32" s="90"/>
      <c r="H32" s="90"/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/>
      <c r="O32" s="90"/>
      <c r="P32" s="198">
        <v>0</v>
      </c>
      <c r="Q32" s="90">
        <v>0</v>
      </c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198">
        <v>0</v>
      </c>
    </row>
    <row customHeight="1" ht="14.25">
      <c r="A33" s="90"/>
      <c r="B33" s="199" t="s">
        <v>96</v>
      </c>
      <c r="C33" s="199" t="s">
        <v>26</v>
      </c>
      <c r="D33" s="201">
        <v>5189</v>
      </c>
      <c r="E33" s="90">
        <v>0</v>
      </c>
      <c r="F33" s="90">
        <v>0</v>
      </c>
      <c r="G33" s="90"/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1366</v>
      </c>
      <c r="O33" s="90">
        <v>774</v>
      </c>
      <c r="P33" s="198">
        <v>0</v>
      </c>
      <c r="Q33" s="90">
        <v>5781</v>
      </c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198">
        <v>0</v>
      </c>
    </row>
    <row customHeight="1" ht="14.25">
      <c r="A34" s="90"/>
      <c r="B34" s="199" t="s">
        <v>97</v>
      </c>
      <c r="C34" s="199" t="s">
        <v>26</v>
      </c>
      <c r="D34" s="201">
        <v>576</v>
      </c>
      <c r="E34" s="90">
        <v>0</v>
      </c>
      <c r="F34" s="90">
        <v>5024</v>
      </c>
      <c r="G34" s="90"/>
      <c r="H34" s="90"/>
      <c r="I34" s="90"/>
      <c r="J34" s="90"/>
      <c r="K34" s="90"/>
      <c r="L34" s="90">
        <v>1867</v>
      </c>
      <c r="M34" s="90"/>
      <c r="N34" s="90"/>
      <c r="O34" s="90"/>
      <c r="P34" s="198"/>
      <c r="Q34" s="90">
        <v>619</v>
      </c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198"/>
    </row>
    <row customHeight="1" ht="14.25">
      <c r="A35" s="90"/>
      <c r="B35" s="199" t="s">
        <v>33</v>
      </c>
      <c r="C35" s="199" t="s">
        <v>26</v>
      </c>
      <c r="D35" s="201">
        <v>0</v>
      </c>
      <c r="E35" s="90">
        <v>0</v>
      </c>
      <c r="F35" s="90">
        <v>4382</v>
      </c>
      <c r="G35" s="90"/>
      <c r="H35" s="90">
        <v>0</v>
      </c>
      <c r="I35" s="90">
        <v>0</v>
      </c>
      <c r="J35" s="90">
        <v>0</v>
      </c>
      <c r="K35" s="90"/>
      <c r="L35" s="90">
        <v>0</v>
      </c>
      <c r="M35" s="90">
        <v>0</v>
      </c>
      <c r="N35" s="90"/>
      <c r="O35" s="90">
        <v>4382</v>
      </c>
      <c r="P35" s="198">
        <v>0</v>
      </c>
      <c r="Q35" s="90">
        <v>0</v>
      </c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198">
        <v>0</v>
      </c>
    </row>
    <row customHeight="1" ht="14.25">
      <c r="A36" s="90"/>
      <c r="B36" s="199" t="s">
        <v>98</v>
      </c>
      <c r="C36" s="199" t="s">
        <v>26</v>
      </c>
      <c r="D36" s="201">
        <v>0</v>
      </c>
      <c r="E36" s="90">
        <v>0</v>
      </c>
      <c r="F36" s="90">
        <v>281248</v>
      </c>
      <c r="G36" s="90"/>
      <c r="H36" s="90">
        <v>281248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/>
      <c r="P36" s="198">
        <v>0</v>
      </c>
      <c r="Q36" s="90">
        <v>0</v>
      </c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198">
        <v>0</v>
      </c>
    </row>
    <row customHeight="1" ht="14.25">
      <c r="A37" s="90"/>
      <c r="B37" s="199" t="s">
        <v>99</v>
      </c>
      <c r="C37" s="199" t="s">
        <v>26</v>
      </c>
      <c r="D37" s="201">
        <v>0</v>
      </c>
      <c r="E37" s="90"/>
      <c r="F37" s="203">
        <v>0</v>
      </c>
      <c r="G37" s="90"/>
      <c r="H37" s="90"/>
      <c r="I37" s="90"/>
      <c r="J37" s="90"/>
      <c r="K37" s="90"/>
      <c r="L37" s="203">
        <v>0</v>
      </c>
      <c r="M37" s="90"/>
      <c r="N37" s="90"/>
      <c r="O37" s="90"/>
      <c r="P37" s="198"/>
      <c r="Q37" s="90">
        <v>0</v>
      </c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198"/>
    </row>
    <row customHeight="1" ht="14.25">
      <c r="A38" s="90"/>
      <c r="B38" s="89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89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89"/>
    </row>
    <row customHeight="1" ht="14.25">
      <c r="A39" s="90"/>
      <c r="B39" s="89"/>
      <c r="C39" s="90"/>
      <c r="D39" s="203">
        <v>891</v>
      </c>
      <c r="E39" s="90"/>
      <c r="F39" s="90"/>
      <c r="G39" s="90"/>
      <c r="H39" s="90"/>
      <c r="I39" s="203">
        <v>39540</v>
      </c>
      <c r="J39" s="90"/>
      <c r="K39" s="90"/>
      <c r="L39" s="90"/>
      <c r="M39" s="203">
        <v>0</v>
      </c>
      <c r="N39" s="203">
        <v>52639</v>
      </c>
      <c r="O39" s="203">
        <v>92014</v>
      </c>
      <c r="P39" s="203"/>
      <c r="Q39" s="205">
        <v>726</v>
      </c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89"/>
    </row>
    <row customHeight="1" ht="14.25">
      <c r="A40" s="90"/>
      <c r="B40" s="89"/>
      <c r="C40" s="90"/>
      <c r="D40" s="203">
        <v>951</v>
      </c>
      <c r="E40" s="90"/>
      <c r="F40" s="203">
        <v>41528</v>
      </c>
      <c r="G40" s="90"/>
      <c r="H40" s="90"/>
      <c r="I40" s="203">
        <v>41467</v>
      </c>
      <c r="J40" s="90"/>
      <c r="K40" s="90"/>
      <c r="L40" s="90"/>
      <c r="M40" s="90"/>
      <c r="N40" s="90"/>
      <c r="O40" s="90"/>
      <c r="P40" s="89"/>
      <c r="Q40" s="205">
        <v>1012</v>
      </c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89"/>
    </row>
    <row customHeight="1" ht="14.25">
      <c r="A41" s="90"/>
      <c r="B41" s="89"/>
      <c r="C41" s="90"/>
      <c r="D41" s="90"/>
      <c r="E41" s="203">
        <v>19131</v>
      </c>
      <c r="F41" s="203">
        <v>19131</v>
      </c>
      <c r="G41" s="90"/>
      <c r="H41" s="90"/>
      <c r="I41" s="90"/>
      <c r="J41" s="90"/>
      <c r="K41" s="90"/>
      <c r="L41" s="90"/>
      <c r="M41" s="90"/>
      <c r="N41" s="90"/>
      <c r="O41" s="90"/>
      <c r="P41" s="89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89"/>
    </row>
    <row customHeight="1" ht="14.25">
      <c r="A42" s="90"/>
      <c r="B42" s="89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89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89"/>
    </row>
    <row customHeight="1" ht="14.25">
      <c r="A43" s="90"/>
      <c r="B43" s="89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89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89"/>
    </row>
    <row customHeight="1" ht="14.25">
      <c r="A44" s="90"/>
      <c r="B44" s="89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89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89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半成品收拨平衡表（本年累计）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tong_zhigang</dc:creator>
  <cp:lastModifiedBy>Administrator</cp:lastModifiedBy>
  <dcterms:created xsi:type="dcterms:W3CDTF">2015-06-05T18:19:34Z</dcterms:created>
  <dcterms:modified xsi:type="dcterms:W3CDTF">2022-08-01T08:27:34Z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{A77A13E9-6586-4F31-8CB5-CE9F5D89B55C}</vt:lpwstr>
  </property>
</Properties>
</file>