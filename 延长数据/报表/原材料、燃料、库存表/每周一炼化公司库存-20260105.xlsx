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2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19" authorId="0">
      <text>
        <r>
          <rPr>
            <sz val="9"/>
            <color indexed="81"/>
            <rFont val="Arial"/>
            <family val="2"/>
          </rPr>
          <t>#Input("炼化公司_调度部门_每周一炼化库存_备注",":key{{dw}}")</t>
        </r>
      </text>
    </comment>
  </commentList>
</comments>
</file>

<file path=xl/sharedStrings.xml><?xml version="1.0" encoding="utf-8"?>
<sst xmlns="http://schemas.openxmlformats.org/spreadsheetml/2006/main" count="58" uniqueCount="33">
  <si>
    <t xml:space="preserve"> 炼化公司产品库存信息</t>
  </si>
  <si>
    <t>编制单位：炼化生产计划部</t>
  </si>
  <si>
    <t>日期：</t>
  </si>
  <si>
    <t>2026-01-05</t>
  </si>
  <si>
    <t>单位：吨</t>
  </si>
  <si>
    <t>产品名称</t>
  </si>
  <si>
    <t>生产企业</t>
  </si>
  <si>
    <t xml:space="preserve">　</t>
  </si>
  <si>
    <t>安全库容</t>
  </si>
  <si>
    <t>当日库存</t>
  </si>
  <si>
    <t>当日可销量</t>
  </si>
  <si>
    <t>生产动态</t>
  </si>
  <si>
    <t>合计</t>
  </si>
  <si>
    <t>聚丙烯</t>
  </si>
  <si>
    <t>民用气</t>
  </si>
  <si>
    <t>醚后碳四</t>
  </si>
  <si>
    <t>醋酸仲丁酯</t>
  </si>
  <si>
    <t>苯</t>
  </si>
  <si>
    <t>苯乙烯</t>
  </si>
  <si>
    <t>2#渣油</t>
  </si>
  <si>
    <t>延炼</t>
  </si>
  <si>
    <t>永炼</t>
  </si>
  <si>
    <t>工业硫磺</t>
  </si>
  <si>
    <t>石化厂</t>
  </si>
  <si>
    <t>备注</t>
  </si>
  <si>
    <t>审核人：</t>
  </si>
  <si>
    <t>马飞</t>
  </si>
  <si>
    <t>一审人:</t>
  </si>
  <si>
    <t>杨文东</t>
  </si>
  <si>
    <r>
      <rPr>
        <b/>
        <charset val="134"/>
        <rFont val="宋体"/>
        <sz val="16"/>
      </rPr>
      <t xml:space="preserve"> 炼化公司产品库存信息
</t>
    </r>
    <r>
      <rPr>
        <b/>
        <charset val="134"/>
        <rFont val="宋体"/>
        <sz val="10"/>
      </rPr>
      <t>2021年11月15日</t>
    </r>
  </si>
  <si>
    <t>醋酸仲丁酯粗脂</t>
  </si>
  <si>
    <t>硫磺滤饼</t>
  </si>
  <si>
    <t>2026-01-06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</si>
</sst>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1" formatCode="0_);\(0\)"/>
    <numFmt numFmtId="172" formatCode="0.000"/>
    <numFmt numFmtId="173" formatCode="0;\-0"/>
    <numFmt numFmtId="174" formatCode="_(* #,##0.00_);_(* \(#,##0.00\);_(* &quot;-&quot;??_);_(@_)"/>
    <numFmt numFmtId="175" formatCode="_(* #,##0_);_(* \(#,##0\);_(* &quot;-&quot;_);_(@_)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32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b/>
      <sz val="16"/>
      <color auto="1"/>
      <name val="宋体"/>
    </font>
    <font>
      <b/>
      <sz val="10"/>
      <color auto="1"/>
      <name val="宋体"/>
    </font>
    <font>
      <b/>
      <sz val="10"/>
      <color rgb="FF000000"/>
      <name val="宋体"/>
    </font>
    <font>
      <sz val="10"/>
      <color rgb="FF000000"/>
      <name val="宋体"/>
    </font>
    <font>
      <b/>
      <sz val="10"/>
      <color rgb="FFFF0000"/>
      <name val="宋体"/>
    </font>
    <font>
      <sz val="10"/>
      <color rgb="FFFF0000"/>
      <name val="宋体"/>
    </font>
    <font>
      <sz val="12"/>
      <color auto="1"/>
      <name val="宋体"/>
    </font>
    <font>
      <b/>
      <sz val="18"/>
      <color auto="1"/>
      <name val="Calibri"/>
    </font>
    <font>
      <sz val="11"/>
      <color auto="1"/>
      <name val="等线"/>
    </font>
    <font>
      <b/>
      <sz val="11"/>
      <color auto="1"/>
      <name val="等线"/>
    </font>
    <font>
      <sz val="11"/>
      <color rgb="FFFF0000"/>
      <name val="等线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24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49">
    <xf numFmtId="0" fontId="0" fillId="0" borderId="0" applyFont="1" applyFill="0" applyBorder="0">
      <alignment vertical="top"/>
    </xf>
    <xf numFmtId="0" fontId="1" fillId="2" borderId="0" applyFont="1" applyFill="1" applyBorder="0">
      <alignment vertical="top"/>
    </xf>
    <xf numFmtId="0" fontId="1" fillId="3" borderId="0" applyFont="1" applyFill="1" applyBorder="0">
      <alignment vertical="top"/>
    </xf>
    <xf numFmtId="0" fontId="1" fillId="4" borderId="0" applyFont="1" applyFill="1" applyBorder="0">
      <alignment vertical="top"/>
    </xf>
    <xf numFmtId="0" fontId="1" fillId="5" borderId="0" applyFont="1" applyFill="1" applyBorder="0">
      <alignment vertical="top"/>
    </xf>
    <xf numFmtId="0" fontId="1" fillId="6" borderId="0" applyFont="1" applyFill="1" applyBorder="0">
      <alignment vertical="top"/>
    </xf>
    <xf numFmtId="0" fontId="1" fillId="7" borderId="0" applyFont="1" applyFill="1" applyBorder="0">
      <alignment vertical="top"/>
    </xf>
    <xf numFmtId="0" fontId="1" fillId="8" borderId="0" applyFont="1" applyFill="1" applyBorder="0">
      <alignment vertical="top"/>
    </xf>
    <xf numFmtId="0" fontId="1" fillId="9" borderId="0" applyFont="1" applyFill="1" applyBorder="0">
      <alignment vertical="top"/>
    </xf>
    <xf numFmtId="0" fontId="1" fillId="10" borderId="0" applyFont="1" applyFill="1" applyBorder="0">
      <alignment vertical="top"/>
    </xf>
    <xf numFmtId="0" fontId="1" fillId="11" borderId="0" applyFont="1" applyFill="1" applyBorder="0">
      <alignment vertical="top"/>
    </xf>
    <xf numFmtId="0" fontId="1" fillId="12" borderId="0" applyFont="1" applyFill="1" applyBorder="0">
      <alignment vertical="top"/>
    </xf>
    <xf numFmtId="0" fontId="1" fillId="13" borderId="0" applyFont="1" applyFill="1" applyBorder="0">
      <alignment vertical="top"/>
    </xf>
    <xf numFmtId="0" fontId="2" fillId="14" borderId="0" applyFont="1" applyFill="1" applyBorder="0">
      <alignment vertical="top"/>
    </xf>
    <xf numFmtId="0" fontId="2" fillId="15" borderId="0" applyFont="1" applyFill="1" applyBorder="0">
      <alignment vertical="top"/>
    </xf>
    <xf numFmtId="0" fontId="2" fillId="16" borderId="0" applyFont="1" applyFill="1" applyBorder="0">
      <alignment vertical="top"/>
    </xf>
    <xf numFmtId="0" fontId="2" fillId="17" borderId="0" applyFont="1" applyFill="1" applyBorder="0">
      <alignment vertical="top"/>
    </xf>
    <xf numFmtId="0" fontId="2" fillId="18" borderId="0" applyFont="1" applyFill="1" applyBorder="0">
      <alignment vertical="top"/>
    </xf>
    <xf numFmtId="0" fontId="2" fillId="19" borderId="0" applyFont="1" applyFill="1" applyBorder="0">
      <alignment vertical="top"/>
    </xf>
    <xf numFmtId="0" fontId="2" fillId="20" borderId="0" applyFont="1" applyFill="1" applyBorder="0">
      <alignment vertical="top"/>
    </xf>
    <xf numFmtId="0" fontId="2" fillId="21" borderId="0" applyFont="1" applyFill="1" applyBorder="0">
      <alignment vertical="top"/>
    </xf>
    <xf numFmtId="0" fontId="2" fillId="22" borderId="0" applyFont="1" applyFill="1" applyBorder="0">
      <alignment vertical="top"/>
    </xf>
    <xf numFmtId="0" fontId="2" fillId="23" borderId="0" applyFont="1" applyFill="1" applyBorder="0">
      <alignment vertical="top"/>
    </xf>
    <xf numFmtId="0" fontId="2" fillId="24" borderId="0" applyFont="1" applyFill="1" applyBorder="0">
      <alignment vertical="top"/>
    </xf>
    <xf numFmtId="0" fontId="2" fillId="25" borderId="0" applyFont="1" applyFill="1" applyBorder="0">
      <alignment vertical="top"/>
    </xf>
    <xf numFmtId="0" fontId="3" fillId="26" borderId="0" applyFont="1" applyFill="1" applyBorder="0">
      <alignment vertical="top"/>
    </xf>
    <xf numFmtId="0" fontId="4" fillId="27" borderId="1" applyFont="1" applyFill="1" applyBorder="1">
      <alignment vertical="top"/>
    </xf>
    <xf numFmtId="0" fontId="5" fillId="28" borderId="2" applyFont="1" applyFill="1" applyBorder="1">
      <alignment vertical="top"/>
    </xf>
    <xf numFmtId="174" fontId="6" fillId="0" borderId="0" applyFont="0" applyFill="0" applyBorder="0" applyNumberFormat="1">
      <alignment vertical="top"/>
    </xf>
    <xf numFmtId="175" fontId="6" fillId="0" borderId="0" applyFont="0" applyFill="0" applyBorder="0" applyNumberFormat="1">
      <alignment vertical="top"/>
    </xf>
    <xf numFmtId="176" fontId="6" fillId="0" borderId="0" applyFont="0" applyFill="0" applyBorder="0" applyNumberFormat="1">
      <alignment vertical="top"/>
    </xf>
    <xf numFmtId="177" fontId="6" fillId="0" borderId="0" applyFont="0" applyFill="0" applyBorder="0" applyNumberFormat="1">
      <alignment vertical="top"/>
    </xf>
    <xf numFmtId="0" fontId="7" fillId="0" borderId="0" applyFont="1" applyFill="0" applyBorder="0">
      <alignment vertical="top"/>
    </xf>
    <xf numFmtId="0" fontId="8" fillId="29" borderId="0" applyFont="1" applyFill="1" applyBorder="0">
      <alignment vertical="top"/>
    </xf>
    <xf numFmtId="0" fontId="9" fillId="0" borderId="3" applyFont="1" applyFill="0" applyBorder="1">
      <alignment vertical="top"/>
    </xf>
    <xf numFmtId="0" fontId="10" fillId="0" borderId="4" applyFont="1" applyFill="0" applyBorder="1">
      <alignment vertical="top"/>
    </xf>
    <xf numFmtId="0" fontId="11" fillId="0" borderId="5" applyFont="1" applyFill="0" applyBorder="1">
      <alignment vertical="top"/>
    </xf>
    <xf numFmtId="0" fontId="11" fillId="0" borderId="0" applyFont="1" applyFill="0" applyBorder="0">
      <alignment vertical="top"/>
    </xf>
    <xf numFmtId="0" fontId="12" fillId="30" borderId="1" applyFont="1" applyFill="1" applyBorder="1">
      <alignment vertical="top"/>
    </xf>
    <xf numFmtId="0" fontId="13" fillId="0" borderId="6" applyFont="1" applyFill="0" applyBorder="1">
      <alignment vertical="top"/>
    </xf>
    <xf numFmtId="0" fontId="14" fillId="31" borderId="0" applyFont="1" applyFill="1" applyBorder="0">
      <alignment vertical="top"/>
    </xf>
    <xf numFmtId="0" fontId="6" fillId="32" borderId="7" applyFont="0" applyFill="1" applyBorder="1">
      <alignment vertical="top"/>
    </xf>
    <xf numFmtId="0" fontId="15" fillId="27" borderId="8" applyFont="1" applyFill="1" applyBorder="1">
      <alignment vertical="top"/>
    </xf>
    <xf numFmtId="9" fontId="6" fillId="0" borderId="0" applyFont="0" applyFill="0" applyBorder="0" applyNumberFormat="1">
      <alignment vertical="top"/>
    </xf>
    <xf numFmtId="0" fontId="16" fillId="0" borderId="0" applyFont="1" applyFill="0" applyBorder="0">
      <alignment vertical="top"/>
    </xf>
    <xf numFmtId="0" fontId="17" fillId="0" borderId="9" applyFont="1" applyFill="0" applyBorder="1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  <xf numFmtId="0" fontId="20" fillId="0" borderId="0" applyFont="1" applyFill="0" applyBorder="0">
      <alignment vertical="top"/>
    </xf>
  </cellStyleXfs>
  <cellXfs count="183">
    <xf numFmtId="0" fontId="0" fillId="0" borderId="0" xfId="0" applyFont="1">
      <alignment vertical="top"/>
    </xf>
    <xf numFmtId="0" fontId="1" fillId="2" borderId="0" xfId="1" applyFont="1" applyFill="1">
      <alignment vertical="top"/>
    </xf>
    <xf numFmtId="0" fontId="1" fillId="3" borderId="0" xfId="2" applyFont="1" applyFill="1">
      <alignment vertical="top"/>
    </xf>
    <xf numFmtId="0" fontId="1" fillId="4" borderId="0" xfId="3" applyFont="1" applyFill="1">
      <alignment vertical="top"/>
    </xf>
    <xf numFmtId="0" fontId="1" fillId="5" borderId="0" xfId="4" applyFont="1" applyFill="1">
      <alignment vertical="top"/>
    </xf>
    <xf numFmtId="0" fontId="1" fillId="6" borderId="0" xfId="5" applyFont="1" applyFill="1">
      <alignment vertical="top"/>
    </xf>
    <xf numFmtId="0" fontId="1" fillId="7" borderId="0" xfId="6" applyFont="1" applyFill="1">
      <alignment vertical="top"/>
    </xf>
    <xf numFmtId="0" fontId="1" fillId="8" borderId="0" xfId="7" applyFont="1" applyFill="1">
      <alignment vertical="top"/>
    </xf>
    <xf numFmtId="0" fontId="1" fillId="9" borderId="0" xfId="8" applyFont="1" applyFill="1">
      <alignment vertical="top"/>
    </xf>
    <xf numFmtId="0" fontId="1" fillId="10" borderId="0" xfId="9" applyFont="1" applyFill="1">
      <alignment vertical="top"/>
    </xf>
    <xf numFmtId="0" fontId="1" fillId="11" borderId="0" xfId="10" applyFont="1" applyFill="1">
      <alignment vertical="top"/>
    </xf>
    <xf numFmtId="0" fontId="1" fillId="12" borderId="0" xfId="11" applyFont="1" applyFill="1">
      <alignment vertical="top"/>
    </xf>
    <xf numFmtId="0" fontId="1" fillId="13" borderId="0" xfId="12" applyFont="1" applyFill="1">
      <alignment vertical="top"/>
    </xf>
    <xf numFmtId="0" fontId="2" fillId="14" borderId="0" xfId="13" applyFont="1" applyFill="1">
      <alignment vertical="top"/>
    </xf>
    <xf numFmtId="0" fontId="2" fillId="15" borderId="0" xfId="14" applyFont="1" applyFill="1">
      <alignment vertical="top"/>
    </xf>
    <xf numFmtId="0" fontId="2" fillId="16" borderId="0" xfId="15" applyFont="1" applyFill="1">
      <alignment vertical="top"/>
    </xf>
    <xf numFmtId="0" fontId="2" fillId="17" borderId="0" xfId="16" applyFont="1" applyFill="1">
      <alignment vertical="top"/>
    </xf>
    <xf numFmtId="0" fontId="2" fillId="18" borderId="0" xfId="17" applyFont="1" applyFill="1">
      <alignment vertical="top"/>
    </xf>
    <xf numFmtId="0" fontId="2" fillId="19" borderId="0" xfId="18" applyFont="1" applyFill="1">
      <alignment vertical="top"/>
    </xf>
    <xf numFmtId="0" fontId="2" fillId="20" borderId="0" xfId="19" applyFont="1" applyFill="1">
      <alignment vertical="top"/>
    </xf>
    <xf numFmtId="0" fontId="2" fillId="21" borderId="0" xfId="20" applyFont="1" applyFill="1">
      <alignment vertical="top"/>
    </xf>
    <xf numFmtId="0" fontId="2" fillId="22" borderId="0" xfId="21" applyFont="1" applyFill="1">
      <alignment vertical="top"/>
    </xf>
    <xf numFmtId="0" fontId="2" fillId="23" borderId="0" xfId="22" applyFont="1" applyFill="1">
      <alignment vertical="top"/>
    </xf>
    <xf numFmtId="0" fontId="2" fillId="24" borderId="0" xfId="23" applyFont="1" applyFill="1">
      <alignment vertical="top"/>
    </xf>
    <xf numFmtId="0" fontId="2" fillId="25" borderId="0" xfId="24" applyFont="1" applyFill="1">
      <alignment vertical="top"/>
    </xf>
    <xf numFmtId="0" fontId="3" fillId="26" borderId="0" xfId="25" applyFont="1" applyFill="1">
      <alignment vertical="top"/>
    </xf>
    <xf numFmtId="0" fontId="4" fillId="27" borderId="1" xfId="26" applyFont="1" applyFill="1" applyBorder="1">
      <alignment vertical="top"/>
    </xf>
    <xf numFmtId="0" fontId="5" fillId="28" borderId="2" xfId="27" applyFont="1" applyFill="1" applyBorder="1">
      <alignment vertical="top"/>
    </xf>
    <xf numFmtId="174" fontId="6" fillId="0" borderId="0" xfId="28" applyFont="0" applyNumberFormat="1">
      <alignment vertical="top"/>
    </xf>
    <xf numFmtId="175" fontId="6" fillId="0" borderId="0" xfId="29" applyFont="0" applyNumberFormat="1">
      <alignment vertical="top"/>
    </xf>
    <xf numFmtId="176" fontId="6" fillId="0" borderId="0" xfId="30" applyFont="0" applyNumberFormat="1">
      <alignment vertical="top"/>
    </xf>
    <xf numFmtId="177" fontId="6" fillId="0" borderId="0" xfId="31" applyFont="0" applyNumberFormat="1">
      <alignment vertical="top"/>
    </xf>
    <xf numFmtId="0" fontId="7" fillId="0" borderId="0" xfId="32" applyFont="1">
      <alignment vertical="top"/>
    </xf>
    <xf numFmtId="0" fontId="8" fillId="29" borderId="0" xfId="33" applyFont="1" applyFill="1">
      <alignment vertical="top"/>
    </xf>
    <xf numFmtId="0" fontId="9" fillId="0" borderId="3" xfId="34" applyFont="1" applyBorder="1">
      <alignment vertical="top"/>
    </xf>
    <xf numFmtId="0" fontId="10" fillId="0" borderId="4" xfId="35" applyFont="1" applyBorder="1">
      <alignment vertical="top"/>
    </xf>
    <xf numFmtId="0" fontId="11" fillId="0" borderId="5" xfId="36" applyFont="1" applyBorder="1">
      <alignment vertical="top"/>
    </xf>
    <xf numFmtId="0" fontId="11" fillId="0" borderId="0" xfId="37" applyFont="1">
      <alignment vertical="top"/>
    </xf>
    <xf numFmtId="0" fontId="12" fillId="30" borderId="1" xfId="38" applyFont="1" applyFill="1" applyBorder="1">
      <alignment vertical="top"/>
    </xf>
    <xf numFmtId="0" fontId="13" fillId="0" borderId="6" xfId="39" applyFont="1" applyBorder="1">
      <alignment vertical="top"/>
    </xf>
    <xf numFmtId="0" fontId="14" fillId="31" borderId="0" xfId="40" applyFont="1" applyFill="1">
      <alignment vertical="top"/>
    </xf>
    <xf numFmtId="0" fontId="6" fillId="32" borderId="7" xfId="41" applyFont="0" applyFill="1" applyBorder="1">
      <alignment vertical="top"/>
    </xf>
    <xf numFmtId="0" fontId="15" fillId="27" borderId="8" xfId="42" applyFont="1" applyFill="1" applyBorder="1">
      <alignment vertical="top"/>
    </xf>
    <xf numFmtId="9" fontId="6" fillId="0" borderId="0" xfId="43" applyFont="0" applyNumberFormat="1">
      <alignment vertical="top"/>
    </xf>
    <xf numFmtId="0" fontId="16" fillId="0" borderId="0" xfId="44" applyFont="1">
      <alignment vertical="top"/>
    </xf>
    <xf numFmtId="0" fontId="17" fillId="0" borderId="9" xfId="45" applyFont="1" applyBorder="1">
      <alignment vertical="top"/>
    </xf>
    <xf numFmtId="0" fontId="18" fillId="0" borderId="0" xfId="46" applyFont="1">
      <alignment vertical="top"/>
    </xf>
    <xf numFmtId="0" fontId="19" fillId="0" borderId="0" xfId="47" applyFont="1">
      <alignment vertical="top"/>
    </xf>
    <xf numFmtId="0" fontId="20" fillId="0" borderId="0" xfId="48" applyFont="1">
      <alignment vertical="top"/>
    </xf>
    <xf numFmtId="0" fontId="1" fillId="0" borderId="0" xfId="0" applyFont="1"/>
    <xf numFmtId="0" fontId="21" fillId="0" borderId="10" xfId="0" applyFont="1" applyBorder="1">
      <alignment horizontal="center" vertical="center" wrapText="1"/>
    </xf>
    <xf numFmtId="0" fontId="21" fillId="0" borderId="11" xfId="0" applyFont="1" applyBorder="1">
      <alignment horizontal="center" vertical="center" wrapText="1"/>
    </xf>
    <xf numFmtId="0" fontId="21" fillId="0" borderId="12" xfId="0" applyFont="1" applyBorder="1">
      <alignment horizontal="center" vertical="center" wrapText="1"/>
    </xf>
    <xf numFmtId="0" fontId="22" fillId="0" borderId="13" xfId="0" applyFont="1" applyBorder="1">
      <alignment horizontal="left" vertical="center" wrapText="1"/>
    </xf>
    <xf numFmtId="0" fontId="22" fillId="0" borderId="12" xfId="0" applyFont="1" applyBorder="1">
      <alignment horizontal="left" vertical="center" wrapText="1"/>
    </xf>
    <xf numFmtId="0" fontId="23" fillId="0" borderId="14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6" xfId="0" applyFont="1" applyBorder="1">
      <alignment horizontal="center" vertical="center"/>
    </xf>
    <xf numFmtId="0" fontId="23" fillId="0" borderId="17" xfId="0" applyFont="1" applyBorder="1">
      <alignment horizontal="center" vertical="center"/>
    </xf>
    <xf numFmtId="0" fontId="23" fillId="0" borderId="18" xfId="0" applyFont="1" applyBorder="1">
      <alignment horizontal="center" vertical="center"/>
    </xf>
    <xf numFmtId="0" fontId="23" fillId="0" borderId="13" xfId="0" applyFont="1" applyBorder="1">
      <alignment horizontal="center" vertical="center"/>
    </xf>
    <xf numFmtId="0" fontId="23" fillId="33" borderId="19" xfId="0" applyFont="1" applyFill="1" applyBorder="1">
      <alignment horizontal="center" vertical="center"/>
    </xf>
    <xf numFmtId="0" fontId="23" fillId="0" borderId="16" xfId="0" applyFont="1" applyBorder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0" fontId="23" fillId="33" borderId="20" xfId="0" applyFont="1" applyFill="1" applyBorder="1">
      <alignment horizontal="center" vertical="center"/>
    </xf>
    <xf numFmtId="0" fontId="23" fillId="33" borderId="21" xfId="0" applyFont="1" applyFill="1" applyBorder="1">
      <alignment horizontal="center" vertical="center" wrapText="1"/>
    </xf>
    <xf numFmtId="0" fontId="23" fillId="33" borderId="12" xfId="0" applyFont="1" applyFill="1" applyBorder="1">
      <alignment horizontal="center" vertical="center" wrapText="1"/>
    </xf>
    <xf numFmtId="171" fontId="24" fillId="33" borderId="13" xfId="0" applyFont="1" applyFill="1" applyBorder="1" applyNumberFormat="1">
      <alignment horizontal="center" vertical="center"/>
    </xf>
    <xf numFmtId="0" fontId="23" fillId="33" borderId="22" xfId="0" applyFont="1" applyFill="1" applyBorder="1">
      <alignment horizontal="center" vertical="center"/>
    </xf>
    <xf numFmtId="0" fontId="24" fillId="0" borderId="21" xfId="0" applyFont="1" applyBorder="1">
      <alignment horizontal="center" vertical="center"/>
    </xf>
    <xf numFmtId="0" fontId="24" fillId="0" borderId="12" xfId="0" applyFont="1" applyBorder="1">
      <alignment horizontal="center" vertical="center"/>
    </xf>
    <xf numFmtId="171" fontId="25" fillId="33" borderId="13" xfId="0" applyFont="1" applyFill="1" applyBorder="1" applyNumberFormat="1">
      <alignment horizontal="center" vertical="center"/>
    </xf>
    <xf numFmtId="172" fontId="24" fillId="0" borderId="13" xfId="0" applyFont="1" applyBorder="1" applyNumberFormat="1">
      <alignment vertical="center" wrapText="1"/>
    </xf>
    <xf numFmtId="171" fontId="26" fillId="0" borderId="13" xfId="0" applyFont="1" applyBorder="1" applyNumberFormat="1">
      <alignment horizontal="center" vertical="center"/>
    </xf>
    <xf numFmtId="0" fontId="24" fillId="0" borderId="19" xfId="0" applyFont="1" applyBorder="1">
      <alignment horizontal="center" vertical="center"/>
    </xf>
    <xf numFmtId="0" fontId="24" fillId="0" borderId="13" xfId="0" applyFont="1" applyBorder="1">
      <alignment horizontal="center" vertical="center"/>
    </xf>
    <xf numFmtId="0" fontId="24" fillId="0" borderId="22" xfId="0" applyFont="1" applyBorder="1">
      <alignment horizontal="center" vertical="center"/>
    </xf>
    <xf numFmtId="172" fontId="24" fillId="0" borderId="13" xfId="0" applyFont="1" applyBorder="1" applyNumberFormat="1">
      <alignment horizontal="center" vertical="center"/>
    </xf>
    <xf numFmtId="0" fontId="23" fillId="0" borderId="21" xfId="0" applyFont="1" applyBorder="1">
      <alignment horizontal="center" vertical="center"/>
    </xf>
    <xf numFmtId="0" fontId="23" fillId="0" borderId="12" xfId="0" applyFont="1" applyBorder="1">
      <alignment horizontal="center" vertical="center"/>
    </xf>
    <xf numFmtId="0" fontId="24" fillId="0" borderId="21" xfId="0" applyFont="1" applyBorder="1">
      <alignment horizontal="center" vertical="center" wrapText="1"/>
    </xf>
    <xf numFmtId="0" fontId="24" fillId="0" borderId="23" xfId="0" applyFont="1" applyBorder="1">
      <alignment horizontal="center" vertical="center" wrapText="1"/>
    </xf>
    <xf numFmtId="0" fontId="24" fillId="0" borderId="12" xfId="0" applyFont="1" applyBorder="1">
      <alignment horizontal="center" vertical="center" wrapText="1"/>
    </xf>
    <xf numFmtId="0" fontId="27" fillId="0" borderId="0" xfId="0" applyFont="1"/>
    <xf numFmtId="0" fontId="1" fillId="0" borderId="0" xfId="0" applyFont="1">
      <alignment wrapText="1"/>
    </xf>
    <xf numFmtId="0" fontId="0" fillId="0" borderId="0" xfId="0" applyFont="1">
      <alignment horizontal="right" vertical="top"/>
    </xf>
    <xf numFmtId="0" fontId="28" fillId="0" borderId="17" xfId="0" applyFont="1" applyBorder="1">
      <alignment horizontal="center" vertical="center"/>
    </xf>
    <xf numFmtId="0" fontId="29" fillId="0" borderId="13" xfId="0" applyFont="1" applyBorder="1">
      <alignment horizontal="left" vertical="center"/>
    </xf>
    <xf numFmtId="0" fontId="29" fillId="0" borderId="13" xfId="0" applyFont="1" applyBorder="1">
      <alignment horizontal="right" vertical="center"/>
    </xf>
    <xf numFmtId="0" fontId="29" fillId="0" borderId="13" xfId="0" applyFont="1" applyBorder="1">
      <alignment vertical="center"/>
    </xf>
    <xf numFmtId="0" fontId="29" fillId="0" borderId="18" xfId="0" applyFont="1" applyBorder="1">
      <alignment horizontal="right" vertical="center"/>
    </xf>
    <xf numFmtId="0" fontId="30" fillId="0" borderId="22" xfId="0" applyFont="1" applyBorder="1">
      <alignment horizontal="center" vertical="center"/>
    </xf>
    <xf numFmtId="0" fontId="30" fillId="0" borderId="18" xfId="0" applyFont="1" applyBorder="1">
      <alignment horizontal="center" vertical="center"/>
    </xf>
    <xf numFmtId="0" fontId="30" fillId="33" borderId="22" xfId="0" applyFont="1" applyFill="1" applyBorder="1">
      <alignment horizontal="center" vertical="center"/>
    </xf>
    <xf numFmtId="0" fontId="30" fillId="33" borderId="13" xfId="0" applyFont="1" applyFill="1" applyBorder="1">
      <alignment horizontal="center" vertical="center"/>
    </xf>
    <xf numFmtId="0" fontId="31" fillId="33" borderId="18" xfId="0" applyFont="1" applyFill="1" applyBorder="1">
      <alignment horizontal="center" vertical="center"/>
    </xf>
    <xf numFmtId="173" fontId="29" fillId="33" borderId="18" xfId="0" applyFont="1" applyFill="1" applyBorder="1" applyNumberFormat="1">
      <alignment horizontal="center" vertical="center"/>
    </xf>
    <xf numFmtId="0" fontId="29" fillId="33" borderId="15" xfId="0" applyFont="1" applyFill="1" applyBorder="1">
      <alignment horizontal="center" vertical="center"/>
    </xf>
    <xf numFmtId="0" fontId="29" fillId="0" borderId="13" xfId="0" applyFont="1" applyBorder="1">
      <alignment horizontal="center" vertical="center"/>
    </xf>
    <xf numFmtId="0" fontId="29" fillId="33" borderId="18" xfId="0" applyFont="1" applyFill="1" applyBorder="1">
      <alignment horizontal="center" vertical="center"/>
    </xf>
    <xf numFmtId="0" fontId="29" fillId="33" borderId="17" xfId="0" applyFont="1" applyFill="1" applyBorder="1">
      <alignment horizontal="center" vertical="center"/>
    </xf>
    <xf numFmtId="0" fontId="29" fillId="33" borderId="13" xfId="0" applyFont="1" applyFill="1" applyBorder="1">
      <alignment horizontal="center" vertical="center"/>
    </xf>
    <xf numFmtId="0" fontId="31" fillId="0" borderId="18" xfId="0" applyFont="1" applyBorder="1">
      <alignment horizontal="center" vertical="center"/>
    </xf>
    <xf numFmtId="0" fontId="29" fillId="0" borderId="22" xfId="0" applyFont="1" applyBorder="1">
      <alignment horizontal="center" vertical="center"/>
    </xf>
    <xf numFmtId="0" fontId="29" fillId="0" borderId="18" xfId="0" applyFont="1" applyBorder="1">
      <alignment horizontal="center" vertical="center"/>
    </xf>
    <xf numFmtId="0" fontId="29" fillId="33" borderId="18" xfId="0" applyFont="1" applyFill="1" applyBorder="1">
      <alignment horizontal="center" vertical="center" wrapText="1"/>
    </xf>
    <xf numFmtId="173" fontId="29" fillId="33" borderId="18" xfId="0" applyFont="1" applyFill="1" applyBorder="1" applyNumberFormat="1">
      <alignment horizontal="center" vertical="center" wrapText="1"/>
    </xf>
    <xf numFmtId="173" fontId="29" fillId="33" borderId="17" xfId="0" applyFont="1" applyFill="1" applyBorder="1" applyNumberFormat="1">
      <alignment horizontal="center" vertical="center" wrapText="1"/>
    </xf>
    <xf numFmtId="173" fontId="29" fillId="0" borderId="18" xfId="0" applyFont="1" applyBorder="1" applyNumberFormat="1">
      <alignment horizontal="center" vertical="center"/>
    </xf>
    <xf numFmtId="0" fontId="29" fillId="0" borderId="18" xfId="0" applyFont="1" applyBorder="1"/>
    <xf numFmtId="0" fontId="30" fillId="0" borderId="13" xfId="0" applyFont="1" applyBorder="1">
      <alignment horizontal="center" vertical="center"/>
    </xf>
    <xf numFmtId="0" fontId="29" fillId="0" borderId="12" xfId="0" applyFont="1" applyBorder="1">
      <alignment horizontal="center" vertical="center"/>
    </xf>
    <xf numFmtId="0" fontId="29" fillId="0" borderId="0" xfId="0" applyFont="1"/>
    <xf numFmtId="0" fontId="29" fillId="0" borderId="17" xfId="0" applyFont="1" applyBorder="1"/>
    <xf numFmtId="0" fontId="0" fillId="0" borderId="0" xfId="0" applyFont="1">
      <alignment horizontal="right" vertical="top" wrapText="1"/>
    </xf>
    <xf numFmtId="0" fontId="28" fillId="0" borderId="17" xfId="0" applyFont="1" applyBorder="1">
      <alignment horizontal="center" vertical="center" wrapText="1"/>
    </xf>
    <xf numFmtId="0" fontId="0" fillId="0" borderId="0" xfId="0" applyFont="1">
      <alignment vertical="top" wrapText="1"/>
    </xf>
    <xf numFmtId="0" fontId="29" fillId="0" borderId="13" xfId="0" applyFont="1" applyBorder="1">
      <alignment horizontal="left" vertical="center" wrapText="1"/>
    </xf>
    <xf numFmtId="0" fontId="29" fillId="0" borderId="13" xfId="0" applyFont="1" applyBorder="1">
      <alignment horizontal="right" vertical="center" wrapText="1"/>
    </xf>
    <xf numFmtId="0" fontId="29" fillId="0" borderId="13" xfId="0" applyFont="1" applyBorder="1">
      <alignment vertical="center" wrapText="1"/>
    </xf>
    <xf numFmtId="0" fontId="29" fillId="0" borderId="18" xfId="0" applyFont="1" applyBorder="1">
      <alignment horizontal="right" vertical="center" wrapText="1"/>
    </xf>
    <xf numFmtId="0" fontId="30" fillId="0" borderId="22" xfId="0" applyFont="1" applyBorder="1">
      <alignment horizontal="center" vertical="center" wrapText="1"/>
    </xf>
    <xf numFmtId="0" fontId="30" fillId="0" borderId="18" xfId="0" applyFont="1" applyBorder="1">
      <alignment horizontal="center" vertical="center" wrapText="1"/>
    </xf>
    <xf numFmtId="0" fontId="30" fillId="33" borderId="22" xfId="0" applyFont="1" applyFill="1" applyBorder="1">
      <alignment horizontal="center" vertical="center" wrapText="1"/>
    </xf>
    <xf numFmtId="0" fontId="30" fillId="33" borderId="13" xfId="0" applyFont="1" applyFill="1" applyBorder="1">
      <alignment horizontal="center" vertical="center" wrapText="1"/>
    </xf>
    <xf numFmtId="0" fontId="31" fillId="33" borderId="18" xfId="0" applyFont="1" applyFill="1" applyBorder="1">
      <alignment horizontal="center" vertical="center" wrapText="1"/>
    </xf>
    <xf numFmtId="173" fontId="29" fillId="33" borderId="18" xfId="0" applyFont="1" applyFill="1" applyBorder="1" applyNumberFormat="1">
      <alignment horizontal="center" vertical="center" wrapText="1"/>
    </xf>
    <xf numFmtId="0" fontId="29" fillId="33" borderId="15" xfId="0" applyFont="1" applyFill="1" applyBorder="1">
      <alignment horizontal="center" vertical="center" wrapText="1"/>
    </xf>
    <xf numFmtId="0" fontId="29" fillId="0" borderId="13" xfId="0" applyFont="1" applyBorder="1">
      <alignment horizontal="center" vertical="center" wrapText="1"/>
    </xf>
    <xf numFmtId="0" fontId="29" fillId="33" borderId="18" xfId="0" applyFont="1" applyFill="1" applyBorder="1">
      <alignment horizontal="center" vertical="center" wrapText="1"/>
    </xf>
    <xf numFmtId="0" fontId="29" fillId="33" borderId="17" xfId="0" applyFont="1" applyFill="1" applyBorder="1">
      <alignment horizontal="center" vertical="center" wrapText="1"/>
    </xf>
    <xf numFmtId="0" fontId="29" fillId="33" borderId="13" xfId="0" applyFont="1" applyFill="1" applyBorder="1">
      <alignment horizontal="center" vertical="center" wrapText="1"/>
    </xf>
    <xf numFmtId="0" fontId="31" fillId="0" borderId="18" xfId="0" applyFont="1" applyBorder="1">
      <alignment horizontal="center" vertical="center" wrapText="1"/>
    </xf>
    <xf numFmtId="0" fontId="29" fillId="0" borderId="22" xfId="0" applyFont="1" applyBorder="1">
      <alignment horizontal="center" vertical="center" wrapText="1"/>
    </xf>
    <xf numFmtId="0" fontId="29" fillId="0" borderId="18" xfId="0" applyFont="1" applyBorder="1">
      <alignment horizontal="center" vertical="center" wrapText="1"/>
    </xf>
    <xf numFmtId="0" fontId="29" fillId="33" borderId="18" xfId="0" applyFont="1" applyFill="1" applyBorder="1">
      <alignment horizontal="center" vertical="center" wrapText="1"/>
    </xf>
    <xf numFmtId="173" fontId="29" fillId="33" borderId="18" xfId="0" applyFont="1" applyFill="1" applyBorder="1" applyNumberFormat="1">
      <alignment horizontal="center" vertical="center" wrapText="1"/>
    </xf>
    <xf numFmtId="173" fontId="29" fillId="33" borderId="17" xfId="0" applyFont="1" applyFill="1" applyBorder="1" applyNumberFormat="1">
      <alignment horizontal="center" vertical="center" wrapText="1"/>
    </xf>
    <xf numFmtId="173" fontId="29" fillId="0" borderId="18" xfId="0" applyFont="1" applyBorder="1" applyNumberFormat="1">
      <alignment horizontal="center" vertical="center" wrapText="1"/>
    </xf>
    <xf numFmtId="0" fontId="29" fillId="0" borderId="18" xfId="0" applyFont="1" applyBorder="1">
      <alignment wrapText="1"/>
    </xf>
    <xf numFmtId="0" fontId="30" fillId="0" borderId="13" xfId="0" applyFont="1" applyBorder="1">
      <alignment horizontal="center" vertical="center" wrapText="1"/>
    </xf>
    <xf numFmtId="0" fontId="29" fillId="0" borderId="12" xfId="0" applyFont="1" applyBorder="1">
      <alignment horizontal="center" vertical="center" wrapText="1"/>
      <protection locked="0"/>
    </xf>
    <xf numFmtId="0" fontId="29" fillId="0" borderId="12" xfId="0" applyFont="1" applyBorder="1">
      <alignment horizontal="center" vertical="center" wrapText="1"/>
    </xf>
    <xf numFmtId="0" fontId="29" fillId="0" borderId="0" xfId="0" applyFont="1">
      <alignment wrapText="1"/>
    </xf>
    <xf numFmtId="0" fontId="29" fillId="0" borderId="17" xfId="0" applyFont="1" applyBorder="1">
      <alignment wrapText="1"/>
    </xf>
    <xf numFmtId="0" fontId="0" fillId="0" borderId="0" xfId="0" applyFont="1">
      <alignment vertical="top" wrapText="1"/>
    </xf>
    <xf numFmtId="0" fontId="0" fillId="0" borderId="0" xfId="0" applyFont="1">
      <alignment vertical="top"/>
    </xf>
    <xf numFmtId="0" fontId="21" fillId="0" borderId="10" xfId="0" applyFont="1" applyBorder="1">
      <alignment horizontal="center" vertical="center" wrapText="1"/>
    </xf>
    <xf numFmtId="0" fontId="21" fillId="0" borderId="11" xfId="0" applyFont="1" applyBorder="1">
      <alignment horizontal="center" vertical="center" wrapText="1"/>
    </xf>
    <xf numFmtId="0" fontId="21" fillId="0" borderId="12" xfId="0" applyFont="1" applyBorder="1">
      <alignment horizontal="center" vertical="center" wrapText="1"/>
    </xf>
    <xf numFmtId="0" fontId="22" fillId="0" borderId="13" xfId="0" applyFont="1" applyBorder="1">
      <alignment horizontal="left" vertical="center" wrapText="1"/>
    </xf>
    <xf numFmtId="0" fontId="22" fillId="0" borderId="12" xfId="0" applyFont="1" applyBorder="1">
      <alignment horizontal="left" vertical="center" wrapText="1"/>
    </xf>
    <xf numFmtId="0" fontId="23" fillId="0" borderId="14" xfId="0" applyFont="1" applyBorder="1">
      <alignment horizontal="center" vertical="center" wrapText="1"/>
    </xf>
    <xf numFmtId="0" fontId="23" fillId="0" borderId="15" xfId="0" applyFont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0" borderId="17" xfId="0" applyFont="1" applyBorder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0" fontId="23" fillId="0" borderId="13" xfId="0" applyFont="1" applyBorder="1">
      <alignment horizontal="center" vertical="center" wrapText="1"/>
    </xf>
    <xf numFmtId="0" fontId="23" fillId="33" borderId="19" xfId="0" applyFont="1" applyFill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0" borderId="18" xfId="0" applyFont="1" applyBorder="1">
      <alignment horizontal="center" vertical="center" wrapText="1"/>
    </xf>
    <xf numFmtId="0" fontId="23" fillId="33" borderId="20" xfId="0" applyFont="1" applyFill="1" applyBorder="1">
      <alignment horizontal="center" vertical="center" wrapText="1"/>
    </xf>
    <xf numFmtId="0" fontId="23" fillId="33" borderId="21" xfId="0" applyFont="1" applyFill="1" applyBorder="1">
      <alignment horizontal="center" vertical="center" wrapText="1"/>
    </xf>
    <xf numFmtId="0" fontId="23" fillId="33" borderId="12" xfId="0" applyFont="1" applyFill="1" applyBorder="1">
      <alignment horizontal="center" vertical="center" wrapText="1"/>
    </xf>
    <xf numFmtId="171" fontId="24" fillId="33" borderId="13" xfId="0" applyFont="1" applyFill="1" applyBorder="1" applyNumberFormat="1">
      <alignment horizontal="center" vertical="center" wrapText="1"/>
    </xf>
    <xf numFmtId="0" fontId="23" fillId="33" borderId="22" xfId="0" applyFont="1" applyFill="1" applyBorder="1">
      <alignment horizontal="center" vertical="center" wrapText="1"/>
    </xf>
    <xf numFmtId="0" fontId="24" fillId="0" borderId="21" xfId="0" applyFont="1" applyBorder="1">
      <alignment horizontal="center" vertical="center" wrapText="1"/>
    </xf>
    <xf numFmtId="0" fontId="24" fillId="0" borderId="12" xfId="0" applyFont="1" applyBorder="1">
      <alignment horizontal="center" vertical="center" wrapText="1"/>
    </xf>
    <xf numFmtId="171" fontId="25" fillId="33" borderId="13" xfId="0" applyFont="1" applyFill="1" applyBorder="1" applyNumberFormat="1">
      <alignment horizontal="center" vertical="center" wrapText="1"/>
    </xf>
    <xf numFmtId="172" fontId="24" fillId="0" borderId="13" xfId="0" applyFont="1" applyBorder="1" applyNumberFormat="1">
      <alignment vertical="center" wrapText="1"/>
    </xf>
    <xf numFmtId="171" fontId="26" fillId="0" borderId="13" xfId="0" applyFont="1" applyBorder="1" applyNumberFormat="1">
      <alignment horizontal="center" vertical="center" wrapText="1"/>
    </xf>
    <xf numFmtId="0" fontId="24" fillId="0" borderId="19" xfId="0" applyFont="1" applyBorder="1">
      <alignment horizontal="center" vertical="center" wrapText="1"/>
    </xf>
    <xf numFmtId="0" fontId="24" fillId="0" borderId="13" xfId="0" applyFont="1" applyBorder="1">
      <alignment horizontal="center" vertical="center" wrapText="1"/>
    </xf>
    <xf numFmtId="0" fontId="24" fillId="0" borderId="22" xfId="0" applyFont="1" applyBorder="1">
      <alignment horizontal="center" vertical="center" wrapText="1"/>
    </xf>
    <xf numFmtId="172" fontId="24" fillId="0" borderId="13" xfId="0" applyFont="1" applyBorder="1" applyNumberFormat="1">
      <alignment horizontal="center" vertical="center" wrapText="1"/>
    </xf>
    <xf numFmtId="0" fontId="23" fillId="0" borderId="21" xfId="0" applyFont="1" applyBorder="1">
      <alignment horizontal="center" vertical="center" wrapText="1"/>
    </xf>
    <xf numFmtId="0" fontId="23" fillId="0" borderId="12" xfId="0" applyFont="1" applyBorder="1">
      <alignment horizontal="center" vertical="center" wrapText="1"/>
    </xf>
    <xf numFmtId="0" fontId="24" fillId="0" borderId="21" xfId="0" applyFont="1" applyBorder="1">
      <alignment horizontal="center" vertical="center" wrapText="1"/>
    </xf>
    <xf numFmtId="0" fontId="24" fillId="0" borderId="23" xfId="0" applyFont="1" applyBorder="1">
      <alignment horizontal="center" vertical="center" wrapText="1"/>
    </xf>
    <xf numFmtId="0" fontId="24" fillId="0" borderId="12" xfId="0" applyFont="1" applyBorder="1">
      <alignment horizontal="center" vertical="center" wrapText="1"/>
    </xf>
    <xf numFmtId="0" fontId="1" fillId="0" borderId="0" xfId="0" applyFont="1">
      <alignment wrapText="1"/>
    </xf>
    <xf numFmtId="0" fontId="27" fillId="0" borderId="0" xfId="0" applyFont="1">
      <alignment wrapText="1"/>
    </xf>
    <xf numFmtId="0" fontId="1" fillId="0" borderId="0" xfId="0" applyFont="1">
      <alignment wrapText="1"/>
    </xf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9111ED3-51A8-B085-4301-40F05ABE7CF8}" mc:Ignorable="x14ac xr xr2 xr3">
  <dimension ref="A1:G21"/>
  <sheetViews>
    <sheetView topLeftCell="A1" showGridLines="0" workbookViewId="0" tabSelected="1">
      <selection activeCell="A1" sqref="A1"/>
    </sheetView>
  </sheetViews>
  <sheetFormatPr defaultColWidth="8.8515625" customHeight="1" defaultRowHeight="15"/>
  <cols>
    <col min="1" max="1" style="146" width="2.7109375" customWidth="1"/>
    <col min="3" max="3" style="146" width="10.00390625" customWidth="1"/>
    <col min="4" max="4" style="146" width="17.57421875" customWidth="1"/>
    <col min="5" max="5" style="146" width="16.7109375" customWidth="1"/>
    <col min="6" max="6" style="146" width="16.00390625" customWidth="1"/>
    <col min="7" max="7" style="146" width="23.28125" customWidth="1"/>
  </cols>
  <sheetData>
    <row customHeight="1" ht="30">
      <c r="A1" s="114"/>
      <c r="B1" s="115" t="s">
        <v>0</v>
      </c>
      <c r="C1" s="115"/>
      <c r="D1" s="115"/>
      <c r="E1" s="115"/>
      <c r="F1" s="115"/>
      <c r="G1" s="115"/>
    </row>
    <row customHeight="1" ht="15">
      <c r="A2" s="116"/>
      <c r="B2" s="117" t="s">
        <v>1</v>
      </c>
      <c r="C2" s="117"/>
      <c r="D2" s="117"/>
      <c r="E2" s="118" t="s">
        <v>2</v>
      </c>
      <c r="F2" s="119" t="s">
        <v>3</v>
      </c>
      <c r="G2" s="120" t="s">
        <v>4</v>
      </c>
    </row>
    <row customHeight="1" ht="15">
      <c r="A3" s="116"/>
      <c r="B3" s="121" t="s">
        <v>5</v>
      </c>
      <c r="C3" s="121"/>
      <c r="D3" s="122" t="s">
        <v>6</v>
      </c>
      <c r="E3" s="122"/>
      <c r="F3" s="122"/>
      <c r="G3" s="122" t="s">
        <v>7</v>
      </c>
    </row>
    <row customHeight="1" ht="15">
      <c r="A4" s="116"/>
      <c r="B4" s="121"/>
      <c r="C4" s="121"/>
      <c r="D4" s="121" t="s">
        <v>8</v>
      </c>
      <c r="E4" s="121" t="s">
        <v>9</v>
      </c>
      <c r="F4" s="121" t="s">
        <v>10</v>
      </c>
      <c r="G4" s="123" t="s">
        <v>11</v>
      </c>
    </row>
    <row customHeight="1" ht="36">
      <c r="A5" s="116"/>
      <c r="B5" s="121"/>
      <c r="C5" s="121"/>
      <c r="D5" s="121"/>
      <c r="E5" s="121"/>
      <c r="F5" s="121"/>
      <c r="G5" s="123"/>
    </row>
    <row customHeight="1" ht="21">
      <c r="A6" s="116"/>
      <c r="B6" s="124" t="s">
        <v>12</v>
      </c>
      <c r="C6" s="124"/>
      <c r="D6" s="125">
        <v>0</v>
      </c>
      <c r="E6" s="126">
        <f>取值!E6</f>
        <v>10810</v>
      </c>
      <c r="F6" s="126">
        <f>取值!F6</f>
        <v>3592</v>
      </c>
      <c r="G6" s="127"/>
    </row>
    <row customHeight="1" ht="21">
      <c r="A7" s="116"/>
      <c r="B7" s="128" t="s">
        <v>13</v>
      </c>
      <c r="C7" s="128"/>
      <c r="D7" s="125">
        <v>7200</v>
      </c>
      <c r="E7" s="129">
        <f>取值!E7</f>
        <v>1992</v>
      </c>
      <c r="F7" s="130">
        <f>取值!F7</f>
        <v>937</v>
      </c>
      <c r="G7" s="131" t="str">
        <f>取值!G7</f>
        <v/>
      </c>
    </row>
    <row customHeight="1" ht="21">
      <c r="A8" s="116"/>
      <c r="B8" s="128" t="s">
        <v>14</v>
      </c>
      <c r="C8" s="128"/>
      <c r="D8" s="132">
        <v>3400</v>
      </c>
      <c r="E8" s="129">
        <f>取值!E8</f>
        <v>1070</v>
      </c>
      <c r="F8" s="130">
        <f>取值!F8</f>
        <v>750</v>
      </c>
      <c r="G8" s="131" t="str">
        <f>取值!G8</f>
        <v/>
      </c>
    </row>
    <row customHeight="1" ht="21">
      <c r="A9" s="116"/>
      <c r="B9" s="128" t="s">
        <v>15</v>
      </c>
      <c r="C9" s="128"/>
      <c r="D9" s="132">
        <v>3769</v>
      </c>
      <c r="E9" s="129">
        <f>取值!E9</f>
        <v>615</v>
      </c>
      <c r="F9" s="130">
        <f>取值!F9</f>
        <v>400</v>
      </c>
      <c r="G9" s="131" t="str">
        <f>取值!G9</f>
        <v/>
      </c>
    </row>
    <row customHeight="1" ht="21">
      <c r="A10" s="116"/>
      <c r="B10" s="128" t="s">
        <v>16</v>
      </c>
      <c r="C10" s="128"/>
      <c r="D10" s="132">
        <v>1600</v>
      </c>
      <c r="E10" s="129">
        <f>取值!E10</f>
        <v>810</v>
      </c>
      <c r="F10" s="130">
        <f>取值!F10</f>
        <v>331</v>
      </c>
      <c r="G10" s="131" t="str">
        <f>取值!G10</f>
        <v/>
      </c>
    </row>
    <row customHeight="1" ht="21">
      <c r="A11" s="116"/>
      <c r="B11" s="128" t="s">
        <v>17</v>
      </c>
      <c r="C11" s="128"/>
      <c r="D11" s="132">
        <v>3000</v>
      </c>
      <c r="E11" s="129">
        <f>取值!E12</f>
        <v>1474</v>
      </c>
      <c r="F11" s="130">
        <f>取值!F12</f>
        <v>160</v>
      </c>
      <c r="G11" s="131" t="str">
        <f>取值!G12</f>
        <v/>
      </c>
    </row>
    <row customHeight="1" ht="21">
      <c r="A12" s="116"/>
      <c r="B12" s="128" t="s">
        <v>18</v>
      </c>
      <c r="C12" s="128"/>
      <c r="D12" s="132">
        <v>9066</v>
      </c>
      <c r="E12" s="129">
        <f>取值!E13</f>
        <v>2088</v>
      </c>
      <c r="F12" s="130">
        <f>取值!F13</f>
        <v>216</v>
      </c>
      <c r="G12" s="131" t="str">
        <f>取值!G13</f>
        <v/>
      </c>
    </row>
    <row customHeight="1" ht="26.25">
      <c r="A13" s="116"/>
      <c r="B13" s="133" t="s">
        <v>19</v>
      </c>
      <c r="C13" s="134" t="s">
        <v>20</v>
      </c>
      <c r="D13" s="132">
        <v>2000</v>
      </c>
      <c r="E13" s="105">
        <f>取值!E14</f>
        <v>1630</v>
      </c>
      <c r="F13" s="130">
        <f>取值!F14</f>
        <v>219</v>
      </c>
      <c r="G13" s="131">
        <f>取值!G14</f>
        <v>0</v>
      </c>
    </row>
    <row customHeight="1" ht="26.25">
      <c r="A14" s="116"/>
      <c r="B14" s="133"/>
      <c r="C14" s="134" t="s">
        <v>21</v>
      </c>
      <c r="D14" s="132">
        <v>1200</v>
      </c>
      <c r="E14" s="105">
        <f>取值!E15</f>
        <v>861</v>
      </c>
      <c r="F14" s="130">
        <f>取值!F15</f>
        <v>361</v>
      </c>
      <c r="G14" s="131">
        <f>取值!G15</f>
        <v>0</v>
      </c>
    </row>
    <row customHeight="1" ht="26.25">
      <c r="A15" s="116"/>
      <c r="B15" s="133" t="s">
        <v>22</v>
      </c>
      <c r="C15" s="134" t="s">
        <v>20</v>
      </c>
      <c r="D15" s="132">
        <v>0</v>
      </c>
      <c r="E15" s="105">
        <f>取值!E60</f>
        <v>111</v>
      </c>
      <c r="F15" s="130">
        <f>取值!F60</f>
        <v>111</v>
      </c>
      <c r="G15" s="131">
        <f>取值!G16</f>
        <v>0</v>
      </c>
    </row>
    <row customHeight="1" ht="26.25">
      <c r="A16" s="116"/>
      <c r="B16" s="133"/>
      <c r="C16" s="134" t="s">
        <v>21</v>
      </c>
      <c r="D16" s="132">
        <v>400</v>
      </c>
      <c r="E16" s="106">
        <f>取值!E62</f>
        <v>107</v>
      </c>
      <c r="F16" s="107">
        <f>取值!F62</f>
        <v>107</v>
      </c>
      <c r="G16" s="131">
        <f>取值!G17</f>
        <v>0</v>
      </c>
    </row>
    <row customHeight="1" ht="26.25">
      <c r="A17" s="116"/>
      <c r="B17" s="133"/>
      <c r="C17" s="134" t="s">
        <v>23</v>
      </c>
      <c r="D17" s="132">
        <v>300</v>
      </c>
      <c r="E17" s="105">
        <f>取值!E66</f>
        <v>52</v>
      </c>
      <c r="F17" s="129">
        <f>取值!F66</f>
        <v>0</v>
      </c>
      <c r="G17" s="129">
        <f>取值!G18</f>
        <v>0</v>
      </c>
    </row>
    <row customHeight="1" ht="21">
      <c r="A18" s="116"/>
      <c r="B18" s="133"/>
      <c r="C18" s="134" t="s">
        <v>12</v>
      </c>
      <c r="D18" s="134">
        <v>700</v>
      </c>
      <c r="E18" s="126">
        <f>SUM(E15:E17)</f>
        <v>270</v>
      </c>
      <c r="F18" s="138">
        <f>SUM(F15:F17)</f>
        <v>218</v>
      </c>
      <c r="G18" s="139"/>
    </row>
    <row customHeight="1" ht="74.25">
      <c r="A19" s="116"/>
      <c r="B19" s="140" t="s">
        <v>24</v>
      </c>
      <c r="C19" s="140"/>
      <c r="D19" s="141"/>
      <c r="E19" s="142"/>
      <c r="F19" s="142"/>
      <c r="G19" s="142"/>
    </row>
    <row customHeight="1" ht="15">
      <c r="A20" s="116"/>
      <c r="B20" s="143" t="s">
        <v>25</v>
      </c>
      <c r="C20" s="144" t="s">
        <v>26</v>
      </c>
      <c r="D20" s="143"/>
      <c r="E20" s="143"/>
      <c r="F20" s="143" t="s">
        <v>27</v>
      </c>
      <c r="G20" s="144" t="s">
        <v>28</v>
      </c>
    </row>
    <row customHeight="1" ht="15">
      <c r="A21" s="116"/>
      <c r="B21" s="145"/>
      <c r="C21" s="116"/>
      <c r="D21" s="116"/>
      <c r="E21" s="116"/>
      <c r="F21" s="116"/>
      <c r="G21" s="116"/>
    </row>
  </sheetData>
  <mergeCells count="19">
    <mergeCell ref="B1:G1"/>
    <mergeCell ref="B2:D2"/>
    <mergeCell ref="D3:F3"/>
    <mergeCell ref="B6:C6"/>
    <mergeCell ref="B7:C7"/>
    <mergeCell ref="B8:C8"/>
    <mergeCell ref="B9:C9"/>
    <mergeCell ref="B10:C10"/>
    <mergeCell ref="B11:C11"/>
    <mergeCell ref="B12:C12"/>
    <mergeCell ref="B19:C19"/>
    <mergeCell ref="D19:G19"/>
    <mergeCell ref="B13:B14"/>
    <mergeCell ref="B15:B18"/>
    <mergeCell ref="D4:D5"/>
    <mergeCell ref="E4:E5"/>
    <mergeCell ref="F4:F5"/>
    <mergeCell ref="G4:G5"/>
    <mergeCell ref="B3:C5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CD889F8-D662-F9C8-9267-7B48E9409D38}" mc:Ignorable="x14ac xr xr2 xr3">
  <dimension ref="A1:G72"/>
  <sheetViews>
    <sheetView defaultGridColor="0" colorId="31" topLeftCell="B11" workbookViewId="0">
      <selection activeCell="E30" sqref="E30"/>
    </sheetView>
  </sheetViews>
  <sheetFormatPr defaultColWidth="10.00390625" customHeight="1" defaultRowHeight="13.8975"/>
  <cols>
    <col min="1" max="1" style="49" width="3.00390625" customWidth="1"/>
    <col min="2" max="2" style="49" width="10.7109375" customWidth="1"/>
    <col min="4" max="4" style="49" width="16.7109375" customWidth="1"/>
    <col min="5" max="5" style="49" width="116.140625" customWidth="1"/>
    <col min="6" max="6" style="49" width="16.7109375" customWidth="1"/>
    <col min="7" max="7" style="49" width="16.28125" customWidth="1"/>
  </cols>
  <sheetData>
    <row customHeight="1" ht="51">
      <c r="A1" s="84"/>
      <c r="B1" s="50" t="s">
        <v>29</v>
      </c>
      <c r="C1" s="51"/>
      <c r="D1" s="51"/>
      <c r="E1" s="51"/>
      <c r="F1" s="51"/>
      <c r="G1" s="52"/>
    </row>
    <row customHeight="1" ht="39.75">
      <c r="A2" s="84"/>
      <c r="B2" s="53" t="s">
        <v>1</v>
      </c>
      <c r="C2" s="53"/>
      <c r="D2" s="53"/>
      <c r="E2" s="53"/>
      <c r="F2" s="53"/>
      <c r="G2" s="54" t="s">
        <v>4</v>
      </c>
    </row>
    <row customHeight="1" ht="28.5">
      <c r="A3" s="84"/>
      <c r="B3" s="55" t="s">
        <v>5</v>
      </c>
      <c r="C3" s="56"/>
      <c r="D3" s="154" t="s">
        <v>6</v>
      </c>
      <c r="E3" s="155"/>
      <c r="F3" s="156"/>
      <c r="G3" s="157"/>
    </row>
    <row customHeight="1" ht="28.5">
      <c r="A4" s="84"/>
      <c r="B4" s="55"/>
      <c r="C4" s="56"/>
      <c r="D4" s="157" t="s">
        <v>8</v>
      </c>
      <c r="E4" s="157" t="s">
        <v>9</v>
      </c>
      <c r="F4" s="157" t="s">
        <v>10</v>
      </c>
      <c r="G4" s="158" t="s">
        <v>11</v>
      </c>
    </row>
    <row customHeight="1" ht="28.5">
      <c r="A5" s="84"/>
      <c r="B5" s="62"/>
      <c r="C5" s="63"/>
      <c r="D5" s="157"/>
      <c r="E5" s="157"/>
      <c r="F5" s="157"/>
      <c r="G5" s="161"/>
    </row>
    <row customHeight="1" ht="28.5">
      <c r="A6" s="84"/>
      <c r="B6" s="65" t="s">
        <v>12</v>
      </c>
      <c r="C6" s="66"/>
      <c r="D6" s="164">
        <f>_xlfn.IFERROR(SUM(D7:D18),"")</f>
        <v>32195</v>
      </c>
      <c r="E6" s="164">
        <f>_xlfn.IFERROR(SUM(E7:E18),"")</f>
        <v>10810</v>
      </c>
      <c r="F6" s="164">
        <f>_xlfn.IFERROR(SUM(F7:F18),"")</f>
        <v>3592</v>
      </c>
      <c r="G6" s="165"/>
    </row>
    <row customHeight="1" ht="28.5">
      <c r="A7" s="84"/>
      <c r="B7" s="166" t="s">
        <v>13</v>
      </c>
      <c r="C7" s="167"/>
      <c r="D7" s="168">
        <v>7200</v>
      </c>
      <c r="E7" s="164">
        <f>_xlfn.IFERROR(SUM(E21:E24),"")</f>
        <v>1992</v>
      </c>
      <c r="F7" s="164">
        <f>_xlfn.IFERROR(SUM(F21:F24),"")</f>
        <v>937</v>
      </c>
      <c r="G7" s="72" t="str">
        <f>G21&amp;G22&amp;G23&amp;G24</f>
        <v/>
      </c>
    </row>
    <row customHeight="1" ht="28.5">
      <c r="A8" s="84"/>
      <c r="B8" s="166" t="s">
        <v>14</v>
      </c>
      <c r="C8" s="167"/>
      <c r="D8" s="170">
        <v>3400</v>
      </c>
      <c r="E8" s="164">
        <f>_xlfn.IFERROR(SUM(E26:E29),"")</f>
        <v>1070</v>
      </c>
      <c r="F8" s="164">
        <f>_xlfn.IFERROR(SUM(F26:F29),"")</f>
        <v>750</v>
      </c>
      <c r="G8" s="72" t="str">
        <f>G26&amp;G27&amp;G28&amp;G29</f>
        <v/>
      </c>
    </row>
    <row customHeight="1" ht="28.5">
      <c r="A9" s="84"/>
      <c r="B9" s="166" t="s">
        <v>15</v>
      </c>
      <c r="C9" s="167"/>
      <c r="D9" s="170">
        <v>3769</v>
      </c>
      <c r="E9" s="164">
        <f>_xlfn.IFERROR(SUM(E31:E34),"")</f>
        <v>615</v>
      </c>
      <c r="F9" s="164">
        <f>_xlfn.IFERROR(SUM(F31:F34),"")</f>
        <v>400</v>
      </c>
      <c r="G9" s="72" t="str">
        <f>G31&amp;G32&amp;G33&amp;G34</f>
        <v/>
      </c>
    </row>
    <row customHeight="1" ht="28.5">
      <c r="A10" s="84"/>
      <c r="B10" s="166" t="s">
        <v>16</v>
      </c>
      <c r="C10" s="167"/>
      <c r="D10" s="170">
        <v>1600</v>
      </c>
      <c r="E10" s="164">
        <f>_xlfn.IFERROR(SUM(E36:E39),"")</f>
        <v>810</v>
      </c>
      <c r="F10" s="164">
        <f>_xlfn.IFERROR(SUM(F36:F39),"")</f>
        <v>331</v>
      </c>
      <c r="G10" s="72" t="str">
        <f>G36&amp;G37&amp;G38&amp;G39</f>
        <v/>
      </c>
    </row>
    <row customHeight="1" ht="28.5">
      <c r="A11" s="84"/>
      <c r="B11" s="166" t="s">
        <v>30</v>
      </c>
      <c r="C11" s="167"/>
      <c r="D11" s="170">
        <v>260</v>
      </c>
      <c r="E11" s="164">
        <f>_xlfn.IFERROR(SUM(E41:E44),"")</f>
        <v>0</v>
      </c>
      <c r="F11" s="164">
        <f>_xlfn.IFERROR(SUM(F41:F44),"")</f>
        <v>0</v>
      </c>
      <c r="G11" s="72" t="str">
        <f>G41&amp;G42&amp;G43&amp;G44</f>
        <v/>
      </c>
    </row>
    <row customHeight="1" ht="28.5">
      <c r="A12" s="84"/>
      <c r="B12" s="166" t="s">
        <v>17</v>
      </c>
      <c r="C12" s="167"/>
      <c r="D12" s="170">
        <v>3000</v>
      </c>
      <c r="E12" s="164">
        <f>_xlfn.IFERROR(SUM(E46:E49),"")</f>
        <v>1474</v>
      </c>
      <c r="F12" s="164">
        <f>_xlfn.IFERROR(SUM(F46:F49),"")</f>
        <v>160</v>
      </c>
      <c r="G12" s="72" t="str">
        <f>G46&amp;G47&amp;G48&amp;G49</f>
        <v/>
      </c>
    </row>
    <row customHeight="1" ht="28.5">
      <c r="A13" s="84"/>
      <c r="B13" s="166" t="s">
        <v>18</v>
      </c>
      <c r="C13" s="167"/>
      <c r="D13" s="170">
        <v>9066</v>
      </c>
      <c r="E13" s="164">
        <f>_xlfn.IFERROR(SUM(E51:E54),"")</f>
        <v>2088</v>
      </c>
      <c r="F13" s="164">
        <f>_xlfn.IFERROR(SUM(F51:F54),"")</f>
        <v>216</v>
      </c>
      <c r="G13" s="72" t="str">
        <f>G27&amp;G28&amp;G29&amp;G30</f>
        <v/>
      </c>
    </row>
    <row customHeight="1" ht="28.5">
      <c r="A14" s="84"/>
      <c r="B14" s="171" t="s">
        <v>19</v>
      </c>
      <c r="C14" s="172" t="s">
        <v>20</v>
      </c>
      <c r="D14" s="170">
        <v>2000</v>
      </c>
      <c r="E14" s="164">
        <f>_xlfn.IFERROR(E56,"")</f>
        <v>1630</v>
      </c>
      <c r="F14" s="164">
        <f>_xlfn.IFERROR(F56,"")</f>
        <v>219</v>
      </c>
      <c r="G14" s="164">
        <f>_xlfn.IFERROR(G56,"")</f>
        <v>0</v>
      </c>
    </row>
    <row customHeight="1" ht="28.5">
      <c r="A15" s="84"/>
      <c r="B15" s="173"/>
      <c r="C15" s="172" t="s">
        <v>21</v>
      </c>
      <c r="D15" s="170">
        <v>1200</v>
      </c>
      <c r="E15" s="164">
        <f>_xlfn.IFERROR(E58,"")</f>
        <v>861</v>
      </c>
      <c r="F15" s="164">
        <f>_xlfn.IFERROR(F58,"")</f>
        <v>361</v>
      </c>
      <c r="G15" s="164">
        <f>_xlfn.IFERROR(G58,"")</f>
        <v>0</v>
      </c>
    </row>
    <row customHeight="1" ht="28.5">
      <c r="A16" s="84"/>
      <c r="B16" s="172" t="s">
        <v>31</v>
      </c>
      <c r="C16" s="172" t="s">
        <v>20</v>
      </c>
      <c r="D16" s="170">
        <v>0</v>
      </c>
      <c r="E16" s="164">
        <f>_xlfn.IFERROR(E60,"")</f>
        <v>111</v>
      </c>
      <c r="F16" s="164">
        <f>_xlfn.IFERROR(F60,"")</f>
        <v>111</v>
      </c>
      <c r="G16" s="164">
        <f>_xlfn.IFERROR(G60,"")</f>
        <v>0</v>
      </c>
    </row>
    <row customHeight="1" ht="28.5">
      <c r="A17" s="84"/>
      <c r="B17" s="172"/>
      <c r="C17" s="172" t="s">
        <v>21</v>
      </c>
      <c r="D17" s="170">
        <v>400</v>
      </c>
      <c r="E17" s="164">
        <f>_xlfn.IFERROR(E62,"")</f>
        <v>107</v>
      </c>
      <c r="F17" s="164">
        <f>_xlfn.IFERROR(F62,"")</f>
        <v>107</v>
      </c>
      <c r="G17" s="164">
        <f>_xlfn.IFERROR(G62,"")</f>
        <v>0</v>
      </c>
    </row>
    <row customHeight="1" ht="28.5">
      <c r="A18" s="84"/>
      <c r="B18" s="166" t="s">
        <v>22</v>
      </c>
      <c r="C18" s="167"/>
      <c r="D18" s="174">
        <v>300</v>
      </c>
      <c r="E18" s="164">
        <f>_xlfn.IFERROR(SUM(E64:E66),"")</f>
        <v>52</v>
      </c>
      <c r="F18" s="164">
        <f>_xlfn.IFERROR(SUM(F64:F66),"")</f>
        <v>0</v>
      </c>
      <c r="G18" s="72"/>
    </row>
    <row customHeight="1" ht="36">
      <c r="A19" s="84"/>
      <c r="B19" s="175" t="s">
        <v>24</v>
      </c>
      <c r="C19" s="176"/>
      <c r="D19" s="80" t="str">
        <f>D21&amp;D22&amp;D23&amp;D24</f>
        <v/>
      </c>
      <c r="E19" s="81"/>
      <c r="F19" s="81"/>
      <c r="G19" s="82"/>
    </row>
    <row customHeight="1" ht="13.8975">
      <c r="A20" s="84"/>
      <c r="B20" s="84"/>
      <c r="C20" s="145"/>
      <c r="D20" s="84"/>
      <c r="E20" s="84"/>
      <c r="F20" s="84"/>
      <c r="G20" s="84"/>
    </row>
    <row customHeight="1" ht="13.5">
      <c r="A21" s="84"/>
      <c r="B21" s="84"/>
      <c r="C21" s="145"/>
      <c r="D21" s="180"/>
      <c r="E21" s="180">
        <v>937</v>
      </c>
      <c r="F21" s="180">
        <v>937</v>
      </c>
      <c r="G21" s="180"/>
    </row>
    <row customHeight="1" ht="15.75">
      <c r="A22" s="84"/>
      <c r="B22" s="84"/>
      <c r="C22" s="145"/>
      <c r="D22" s="181"/>
      <c r="E22" s="180"/>
      <c r="F22" s="181"/>
      <c r="G22" s="181"/>
    </row>
    <row customHeight="1" ht="15.75">
      <c r="A23" s="84"/>
      <c r="B23" s="84"/>
      <c r="C23" s="145"/>
      <c r="D23" s="181"/>
      <c r="E23" s="180"/>
      <c r="F23" s="181"/>
      <c r="G23" s="181"/>
    </row>
    <row customHeight="1" ht="15.75">
      <c r="A24" s="84"/>
      <c r="B24" s="84"/>
      <c r="C24" s="145"/>
      <c r="D24" s="181"/>
      <c r="E24" s="180">
        <v>1055</v>
      </c>
      <c r="F24" s="181"/>
      <c r="G24" s="181"/>
    </row>
    <row customHeight="1" ht="14.25">
      <c r="A25" s="84"/>
      <c r="B25" s="84"/>
      <c r="C25" s="145"/>
      <c r="D25" s="84"/>
      <c r="E25" s="84"/>
      <c r="F25" s="84"/>
      <c r="G25" s="84"/>
    </row>
    <row customHeight="1" ht="15.75">
      <c r="A26" s="84"/>
      <c r="B26" s="84"/>
      <c r="C26" s="145" t="s">
        <v>32</v>
      </c>
      <c r="D26" s="84"/>
      <c r="E26" s="180">
        <v>1070</v>
      </c>
      <c r="F26" s="181">
        <v>750</v>
      </c>
      <c r="G26" s="181"/>
    </row>
    <row customHeight="1" ht="15.75">
      <c r="A27" s="84"/>
      <c r="B27" s="84"/>
      <c r="C27" s="145"/>
      <c r="D27" s="84"/>
      <c r="E27" s="180"/>
      <c r="F27" s="181"/>
      <c r="G27" s="181"/>
    </row>
    <row customHeight="1" ht="15.75">
      <c r="A28" s="84"/>
      <c r="B28" s="84"/>
      <c r="C28" s="145"/>
      <c r="D28" s="84"/>
      <c r="E28" s="180"/>
      <c r="F28" s="181"/>
      <c r="G28" s="181"/>
    </row>
    <row customHeight="1" ht="15.75">
      <c r="A29" s="84"/>
      <c r="B29" s="84"/>
      <c r="C29" s="145"/>
      <c r="D29" s="84"/>
      <c r="E29" s="180">
        <v>0</v>
      </c>
      <c r="F29" s="181"/>
      <c r="G29" s="181"/>
    </row>
    <row customHeight="1" ht="14.25">
      <c r="A30" s="84"/>
      <c r="B30" s="84"/>
      <c r="C30" s="145"/>
      <c r="D30" s="84"/>
      <c r="E30" s="84"/>
      <c r="F30" s="84"/>
      <c r="G30" s="84"/>
    </row>
    <row customHeight="1" ht="15.75">
      <c r="A31" s="84"/>
      <c r="B31" s="84"/>
      <c r="C31" s="145"/>
      <c r="D31" s="84"/>
      <c r="E31" s="180">
        <v>615</v>
      </c>
      <c r="F31" s="181">
        <v>400</v>
      </c>
      <c r="G31" s="181"/>
    </row>
    <row customHeight="1" ht="15.75">
      <c r="A32" s="84"/>
      <c r="B32" s="84"/>
      <c r="C32" s="145"/>
      <c r="D32" s="84"/>
      <c r="E32" s="180"/>
      <c r="F32" s="181"/>
      <c r="G32" s="181"/>
    </row>
    <row customHeight="1" ht="15.75">
      <c r="A33" s="84"/>
      <c r="B33" s="84"/>
      <c r="C33" s="145"/>
      <c r="D33" s="84"/>
      <c r="E33" s="180"/>
      <c r="F33" s="181"/>
      <c r="G33" s="181"/>
    </row>
    <row customHeight="1" ht="15.75">
      <c r="A34" s="84"/>
      <c r="B34" s="84"/>
      <c r="C34" s="145"/>
      <c r="D34" s="84"/>
      <c r="E34" s="180"/>
      <c r="F34" s="181"/>
      <c r="G34" s="181"/>
    </row>
    <row customHeight="1" ht="14.25">
      <c r="A35" s="84"/>
      <c r="B35" s="84"/>
      <c r="C35" s="145"/>
      <c r="D35" s="84"/>
      <c r="E35" s="84"/>
      <c r="F35" s="84"/>
      <c r="G35" s="84"/>
    </row>
    <row customHeight="1" ht="15.75">
      <c r="A36" s="84"/>
      <c r="B36" s="84"/>
      <c r="C36" s="145"/>
      <c r="D36" s="84"/>
      <c r="E36" s="180">
        <v>810</v>
      </c>
      <c r="F36" s="181">
        <v>331</v>
      </c>
      <c r="G36" s="181"/>
    </row>
    <row customHeight="1" ht="15.75">
      <c r="A37" s="84"/>
      <c r="B37" s="84"/>
      <c r="C37" s="145"/>
      <c r="D37" s="84"/>
      <c r="E37" s="180"/>
      <c r="F37" s="181"/>
      <c r="G37" s="181"/>
    </row>
    <row customHeight="1" ht="15.75">
      <c r="A38" s="84"/>
      <c r="B38" s="84"/>
      <c r="C38" s="145"/>
      <c r="D38" s="84"/>
      <c r="E38" s="180"/>
      <c r="F38" s="181"/>
      <c r="G38" s="181"/>
    </row>
    <row customHeight="1" ht="15.75">
      <c r="A39" s="84"/>
      <c r="B39" s="84"/>
      <c r="C39" s="145"/>
      <c r="D39" s="84"/>
      <c r="E39" s="180"/>
      <c r="F39" s="181"/>
      <c r="G39" s="181"/>
    </row>
    <row customHeight="1" ht="14.25">
      <c r="A40" s="84"/>
      <c r="B40" s="84"/>
      <c r="C40" s="145"/>
      <c r="D40" s="84"/>
      <c r="E40" s="84"/>
      <c r="F40" s="84"/>
      <c r="G40" s="84"/>
    </row>
    <row customHeight="1" ht="15.75">
      <c r="A41" s="84"/>
      <c r="B41" s="84"/>
      <c r="C41" s="145"/>
      <c r="D41" s="84"/>
      <c r="E41" s="180"/>
      <c r="F41" s="181"/>
      <c r="G41" s="181"/>
    </row>
    <row customHeight="1" ht="15.75">
      <c r="A42" s="84"/>
      <c r="B42" s="84"/>
      <c r="C42" s="145"/>
      <c r="D42" s="84"/>
      <c r="E42" s="180"/>
      <c r="F42" s="181"/>
      <c r="G42" s="181"/>
    </row>
    <row customHeight="1" ht="15.75">
      <c r="A43" s="84"/>
      <c r="B43" s="84"/>
      <c r="C43" s="145"/>
      <c r="D43" s="84"/>
      <c r="E43" s="180"/>
      <c r="F43" s="181"/>
      <c r="G43" s="181"/>
    </row>
    <row customHeight="1" ht="15.75">
      <c r="A44" s="84"/>
      <c r="B44" s="84"/>
      <c r="C44" s="145"/>
      <c r="D44" s="84"/>
      <c r="E44" s="180"/>
      <c r="F44" s="181"/>
      <c r="G44" s="181"/>
    </row>
    <row customHeight="1" ht="14.25">
      <c r="A45" s="84"/>
      <c r="B45" s="84"/>
      <c r="C45" s="145"/>
      <c r="D45" s="84"/>
      <c r="E45" s="84"/>
      <c r="F45" s="84"/>
      <c r="G45" s="84"/>
    </row>
    <row customHeight="1" ht="15.75">
      <c r="A46" s="84"/>
      <c r="B46" s="84"/>
      <c r="C46" s="145"/>
      <c r="D46" s="84"/>
      <c r="E46" s="180"/>
      <c r="F46" s="181"/>
      <c r="G46" s="181"/>
    </row>
    <row customHeight="1" ht="15.75">
      <c r="A47" s="84"/>
      <c r="B47" s="84"/>
      <c r="C47" s="145"/>
      <c r="D47" s="84"/>
      <c r="E47" s="180"/>
      <c r="F47" s="181"/>
      <c r="G47" s="181"/>
    </row>
    <row customHeight="1" ht="15.75">
      <c r="A48" s="84"/>
      <c r="B48" s="84"/>
      <c r="C48" s="145"/>
      <c r="D48" s="84"/>
      <c r="E48" s="180">
        <v>1114</v>
      </c>
      <c r="F48" s="181">
        <v>160</v>
      </c>
      <c r="G48" s="181"/>
    </row>
    <row customHeight="1" ht="15.75">
      <c r="A49" s="84"/>
      <c r="B49" s="84"/>
      <c r="C49" s="145"/>
      <c r="D49" s="84"/>
      <c r="E49" s="180">
        <v>360</v>
      </c>
      <c r="F49" s="181"/>
      <c r="G49" s="181"/>
    </row>
    <row customHeight="1" ht="13.8975">
      <c r="A50" s="84"/>
      <c r="B50" s="84"/>
      <c r="C50" s="145"/>
      <c r="D50" s="84"/>
      <c r="E50" s="84"/>
      <c r="F50" s="84"/>
      <c r="G50" s="84"/>
    </row>
    <row customHeight="1" ht="15.75">
      <c r="A51" s="84"/>
      <c r="B51" s="84"/>
      <c r="C51" s="145"/>
      <c r="D51" s="84"/>
      <c r="E51" s="180">
        <v>2088</v>
      </c>
      <c r="F51" s="181">
        <v>216</v>
      </c>
      <c r="G51" s="181"/>
    </row>
    <row customHeight="1" ht="15.75">
      <c r="A52" s="84"/>
      <c r="B52" s="84"/>
      <c r="C52" s="145"/>
      <c r="D52" s="84"/>
      <c r="E52" s="180"/>
      <c r="F52" s="181"/>
      <c r="G52" s="181"/>
    </row>
    <row customHeight="1" ht="15.75">
      <c r="A53" s="84"/>
      <c r="B53" s="84"/>
      <c r="C53" s="145"/>
      <c r="D53" s="84"/>
      <c r="E53" s="180"/>
      <c r="F53" s="181"/>
      <c r="G53" s="181"/>
    </row>
    <row customHeight="1" ht="15.75">
      <c r="A54" s="84"/>
      <c r="B54" s="84"/>
      <c r="C54" s="145"/>
      <c r="D54" s="84"/>
      <c r="E54" s="180"/>
      <c r="F54" s="181"/>
      <c r="G54" s="181"/>
    </row>
    <row customHeight="1" ht="14.25">
      <c r="A55" s="84"/>
      <c r="B55" s="84"/>
      <c r="C55" s="145"/>
      <c r="D55" s="84"/>
      <c r="E55" s="84"/>
      <c r="F55" s="84"/>
      <c r="G55" s="84"/>
    </row>
    <row customHeight="1" ht="15.75">
      <c r="A56" s="84"/>
      <c r="B56" s="84"/>
      <c r="C56" s="145"/>
      <c r="D56" s="84"/>
      <c r="E56" s="180">
        <v>1630</v>
      </c>
      <c r="F56" s="181">
        <v>219</v>
      </c>
      <c r="G56" s="181"/>
    </row>
    <row customHeight="1" ht="14.25">
      <c r="A57" s="84"/>
      <c r="B57" s="84"/>
      <c r="C57" s="145"/>
      <c r="D57" s="84"/>
      <c r="E57" s="84"/>
      <c r="F57" s="84"/>
      <c r="G57" s="84"/>
    </row>
    <row customHeight="1" ht="17.25">
      <c r="A58" s="84"/>
      <c r="B58" s="84"/>
      <c r="C58" s="145"/>
      <c r="D58" s="84"/>
      <c r="E58" s="180">
        <v>861</v>
      </c>
      <c r="F58" s="181">
        <v>361</v>
      </c>
      <c r="G58" s="181"/>
    </row>
    <row customHeight="1" ht="14.25">
      <c r="A59" s="84"/>
      <c r="B59" s="84"/>
      <c r="C59" s="145"/>
      <c r="D59" s="84"/>
      <c r="E59" s="84"/>
      <c r="F59" s="84"/>
      <c r="G59" s="84"/>
    </row>
    <row customHeight="1" ht="15.75">
      <c r="A60" s="84"/>
      <c r="B60" s="84"/>
      <c r="C60" s="145"/>
      <c r="D60" s="84"/>
      <c r="E60" s="180">
        <v>111</v>
      </c>
      <c r="F60" s="181">
        <v>111</v>
      </c>
      <c r="G60" s="181"/>
    </row>
    <row customHeight="1" ht="14.25">
      <c r="A61" s="84"/>
      <c r="B61" s="84"/>
      <c r="C61" s="145"/>
      <c r="D61" s="84"/>
      <c r="E61" s="84"/>
      <c r="F61" s="84"/>
      <c r="G61" s="84"/>
    </row>
    <row customHeight="1" ht="15.75">
      <c r="A62" s="84"/>
      <c r="B62" s="84"/>
      <c r="C62" s="145"/>
      <c r="D62" s="84"/>
      <c r="E62" s="180">
        <v>107</v>
      </c>
      <c r="F62" s="181">
        <v>107</v>
      </c>
      <c r="G62" s="181"/>
    </row>
    <row customHeight="1" ht="14.25">
      <c r="A63" s="84"/>
      <c r="B63" s="84"/>
      <c r="C63" s="145"/>
      <c r="D63" s="84"/>
      <c r="E63" s="84"/>
      <c r="F63" s="84"/>
      <c r="G63" s="84"/>
    </row>
    <row customHeight="1" ht="15.75">
      <c r="A64" s="84"/>
      <c r="B64" s="84"/>
      <c r="C64" s="145"/>
      <c r="D64" s="84"/>
      <c r="E64" s="180"/>
      <c r="F64" s="181"/>
      <c r="G64" s="181"/>
    </row>
    <row customHeight="1" ht="15.75">
      <c r="A65" s="84"/>
      <c r="B65" s="84"/>
      <c r="C65" s="145"/>
      <c r="D65" s="84"/>
      <c r="E65" s="180"/>
      <c r="F65" s="181"/>
      <c r="G65" s="181"/>
    </row>
    <row customHeight="1" ht="15.75">
      <c r="A66" s="84"/>
      <c r="B66" s="84"/>
      <c r="C66" s="145"/>
      <c r="D66" s="84"/>
      <c r="E66" s="180">
        <v>52</v>
      </c>
      <c r="F66" s="181"/>
      <c r="G66" s="181"/>
    </row>
    <row customHeight="1" ht="14.25">
      <c r="A67" s="84"/>
      <c r="B67" s="84"/>
      <c r="C67" s="145"/>
      <c r="D67" s="84"/>
      <c r="E67" s="84"/>
      <c r="F67" s="84"/>
      <c r="G67" s="84"/>
    </row>
    <row customHeight="1" ht="14.25">
      <c r="A68" s="84"/>
      <c r="B68" s="84"/>
      <c r="C68" s="145"/>
      <c r="D68" s="84"/>
      <c r="E68" s="84"/>
      <c r="F68" s="84"/>
      <c r="G68" s="84"/>
    </row>
    <row customHeight="1" ht="13.8975">
      <c r="A69" s="84"/>
      <c r="B69" s="84"/>
      <c r="C69" s="145"/>
      <c r="D69" s="84"/>
      <c r="E69" s="84"/>
      <c r="F69" s="84"/>
      <c r="G69" s="84"/>
    </row>
    <row customHeight="1" ht="14.25">
      <c r="A70" s="84"/>
      <c r="B70" s="84"/>
      <c r="C70" s="145"/>
      <c r="D70" s="84"/>
      <c r="E70" s="84"/>
      <c r="F70" s="84"/>
      <c r="G70" s="84"/>
    </row>
    <row customHeight="1" ht="13.8975">
      <c r="A71" s="84"/>
      <c r="B71" s="84"/>
      <c r="C71" s="145"/>
      <c r="D71" s="84"/>
      <c r="E71" s="84"/>
      <c r="F71" s="84"/>
      <c r="G71" s="84"/>
    </row>
    <row customHeight="1" ht="14.25">
      <c r="A72" s="84"/>
      <c r="B72" s="84"/>
      <c r="C72" s="145"/>
      <c r="D72" s="84"/>
      <c r="E72" s="84"/>
      <c r="F72" s="84"/>
      <c r="G72" s="84"/>
    </row>
  </sheetData>
  <mergeCells count="21">
    <mergeCell ref="B1:G1"/>
    <mergeCell ref="B2:F2"/>
    <mergeCell ref="D3:F3"/>
    <mergeCell ref="B6:C6"/>
    <mergeCell ref="B7:C7"/>
    <mergeCell ref="B8:C8"/>
    <mergeCell ref="B9:C9"/>
    <mergeCell ref="B10:C10"/>
    <mergeCell ref="B11:C11"/>
    <mergeCell ref="B12:C12"/>
    <mergeCell ref="B13:C13"/>
    <mergeCell ref="B18:C18"/>
    <mergeCell ref="B19:C19"/>
    <mergeCell ref="D19:G19"/>
    <mergeCell ref="B14:B15"/>
    <mergeCell ref="B16:B17"/>
    <mergeCell ref="D4:D5"/>
    <mergeCell ref="E4:E5"/>
    <mergeCell ref="F4:F5"/>
    <mergeCell ref="G4:G6"/>
    <mergeCell ref="B3:C5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取值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王超</dc:creator>
  <cp:lastModifiedBy>中国人</cp:lastModifiedBy>
  <dcterms:created xsi:type="dcterms:W3CDTF">2015-06-05T18:19:00Z</dcterms:created>
  <dcterms:modified xsi:type="dcterms:W3CDTF">2022-06-27T10:28:25Z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45E300B5AF494E94A05AAA7256919876</vt:lpwstr>
  </property>
  <property fmtid="{D5CDD505-2E9C-101B-9397-08002B2CF9AE}" pid="3" name="KSOProductBuildVer">
    <vt:lpwstr>2052-11.1.0.11744</vt:lpwstr>
  </property>
</Properties>
</file>