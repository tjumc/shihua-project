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7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#Input("石化厂_生产计划部_原材料、燃料、动力购进、库存及价格表_石化厂甲醇期初库存",":key{{dw}}")</t>
        </r>
      </text>
    </comment>
    <comment ref="D7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#Input("石化厂_生产计划部_原材料、燃料、动力购进、库存及价格表_石化厂甲醇购进量",":key{{dw}}")</t>
        </r>
      </text>
    </comment>
    <comment ref="F7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#Input("石化厂_生产计划部_原材料、燃料、动力购进、库存及价格表_石化厂甲醇消费量",":key{{dw}}")</t>
        </r>
      </text>
    </comment>
    <comment ref="H7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#Input("石化厂_生产计划部_原材料、燃料、动力购进、库存及价格表_石化厂甲醇期末库存",":key{{dw}}")</t>
        </r>
      </text>
    </comment>
    <comment ref="C8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#Input("石化厂_生产计划部_原材料、燃料、动力购进、库存及价格表_轻烃甲醇期初库存",":key{{dw}}")</t>
        </r>
      </text>
    </comment>
    <comment ref="D8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#Input("石化厂_生产计划部_原材料、燃料、动力购进、库存及价格表_轻烃甲醇购进量",":key{{dw}}")</t>
        </r>
      </text>
    </comment>
    <comment ref="F8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#Input("石化厂_生产计划部_原材料、燃料、动力购进、库存及价格表_轻烃甲醇消费量",":key{{dw}}")</t>
        </r>
      </text>
    </comment>
    <comment ref="H8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#Input("石化厂_生产计划部_原材料、燃料、动力购进、库存及价格表_轻烃甲醇期末库存",":key{{dw}}")</t>
        </r>
      </text>
    </comment>
    <comment ref="I10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#Input("石化厂_生产计划部_原材料、燃料、动力购进、库存及价格表_原煤价格",":key{{dw}}")</t>
        </r>
      </text>
    </comment>
    <comment ref="C11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#Input("石化厂_生产计划部_原材料、燃料、动力购进、库存及价格表_原煤石化厂期初库存",":key{{dw}}")</t>
        </r>
      </text>
    </comment>
    <comment ref="D11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#Input("石化厂_生产计划部_原材料、燃料、动力购进、库存及价格表_原煤石化厂购进量",":key{{dw}}")</t>
        </r>
      </text>
    </comment>
    <comment ref="F11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#Input("石化厂_生产计划部_原材料、燃料、动力购进、库存及价格表_原煤石化厂消费量",":key{{dw}}")</t>
        </r>
      </text>
    </comment>
    <comment ref="H11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#Input("石化厂_生产计划部_原材料、燃料、动力购进、库存及价格表_原煤石化厂期末库存",":key{{dw}}")</t>
        </r>
      </text>
    </comment>
    <comment ref="J11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#Input("石化厂_生产计划部_原材料、燃料、动力购进、库存及价格表_石化厂原煤金额",":key{{dw}}")</t>
        </r>
      </text>
    </comment>
    <comment ref="C12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#Input("石化厂_生产计划部_原材料、燃料、动力购进、库存及价格表_原煤轻烃期初库存",":key{{dw}}")</t>
        </r>
      </text>
    </comment>
    <comment ref="D12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#Input("石化厂_生产计划部_原材料、燃料、动力购进、库存及价格表_原煤轻烃购进量",":key{{dw}}")</t>
        </r>
      </text>
    </comment>
    <comment ref="F12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#Input("石化厂_生产计划部_原材料、燃料、动力购进、库存及价格表_原煤轻烃消费量",":key{{dw}}")</t>
        </r>
      </text>
    </comment>
    <comment ref="H12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#Input("石化厂_生产计划部_原材料、燃料、动力购进、库存及价格表_原煤轻烃期末库存",":key{{dw}}")</t>
        </r>
      </text>
    </comment>
    <comment ref="J12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#Input("石化厂_生产计划部_原材料、燃料、动力购进、库存及价格表_轻烃原煤金额",":key{{dw}}")</t>
        </r>
      </text>
    </comment>
    <comment ref="C13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#Input("石化厂_生产计划部_原材料、燃料、动力购进、库存及价格表_柴油0#期初库存",":key{{dw}}")</t>
        </r>
      </text>
    </comment>
    <comment ref="D13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#Input("石化厂_生产计划部_原材料、燃料、动力购进、库存及价格表_柴油0#购进量",":key{{dw}}")</t>
        </r>
      </text>
    </comment>
    <comment ref="F13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#Input("石化厂_生产计划部_原材料、燃料、动力购进、库存及价格表_柴油0#消费量",":key{{dw}}")</t>
        </r>
      </text>
    </comment>
    <comment ref="H13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#Input("石化厂_生产计划部_原材料、燃料、动力购进、库存及价格表_柴油0#期末库存",":key{{dw}}")</t>
        </r>
      </text>
    </comment>
    <comment ref="C14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#Input("石化厂_生产计划部_原材料、燃料、动力购进、库存及价格表_柴油-10#期初库存",":key{{dw}}")</t>
        </r>
      </text>
    </comment>
    <comment ref="D14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#Input("石化厂_生产计划部_原材料、燃料、动力购进、库存及价格表_柴油-10#购进量",":key{{dw}}")</t>
        </r>
      </text>
    </comment>
    <comment ref="F14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#Input("石化厂_生产计划部_原材料、燃料、动力购进、库存及价格表_柴油-10#消费量",":key{{dw}}")</t>
        </r>
      </text>
    </comment>
    <comment ref="H14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#Input("石化厂_生产计划部_原材料、燃料、动力购进、库存及价格表_柴油-10#期末库存",":key{{dw}}")</t>
        </r>
      </text>
    </comment>
    <comment ref="C15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#Input("石化厂_生产计划部_原材料、燃料、动力购进、库存及价格表_柴油-20#期初库存",":key{{dw}}")</t>
        </r>
      </text>
    </comment>
    <comment ref="D15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#Input("石化厂_生产计划部_原材料、燃料、动力购进、库存及价格表_柴油-20#购进量",":key{{dw}}")</t>
        </r>
      </text>
    </comment>
    <comment ref="F15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#Input("石化厂_生产计划部_原材料、燃料、动力购进、库存及价格表_柴油-20#消费量",":key{{dw}}")</t>
        </r>
      </text>
    </comment>
    <comment ref="H15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#Input("石化厂_生产计划部_原材料、燃料、动力购进、库存及价格表_柴油-20#期末库存",":key{{dw}}")</t>
        </r>
      </text>
    </comment>
    <comment ref="C17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#Input("石化厂_生产计划部_原材料、燃料、动力购进、库存及价格表_液化气期初库存",":key{{dw}}")</t>
        </r>
      </text>
    </comment>
    <comment ref="F17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#Input("石化厂_生产计划部_原材料、燃料、动力购进、库存及价格表_液化气期末库存",":key{{dw}}")</t>
        </r>
      </text>
    </comment>
    <comment ref="C18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#Input("石化厂_生产计划部_原材料、燃料、动力购进、库存及价格表_精制油期初库存",":key{{dw}}")</t>
        </r>
      </text>
    </comment>
    <comment ref="F18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#Input("石化厂_生产计划部_原材料、燃料、动力购进、库存及价格表_精制油期末库存",":key{{dw}}")</t>
        </r>
      </text>
    </comment>
    <comment ref="C19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#Input("石化厂_生产计划部_原材料、燃料、动力购进、库存及价格表_粗硫磺期初库存",":key{{dw}}")</t>
        </r>
      </text>
    </comment>
    <comment ref="F19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#Input("石化厂_生产计划部_原材料、燃料、动力购进、库存及价格表_粗硫磺期末库存",":key{{dw}}")</t>
        </r>
      </text>
    </comment>
    <comment ref="C21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#Input("石化厂_生产计划部_原材料、燃料、动力购进、库存及价格表_异辛烷期初库存",":key{{dw}}")</t>
        </r>
      </text>
    </comment>
    <comment ref="F21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#Input("石化厂_生产计划部_原材料、燃料、动力购进、库存及价格表_异辛烷期末库存",":key{{dw}}")</t>
        </r>
      </text>
    </comment>
    <comment ref="C22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#Input("石化厂_生产计划部_原材料、燃料、动力购进、库存及价格表_MTBE期初库存",":key{{dw}}")</t>
        </r>
      </text>
    </comment>
    <comment ref="F22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#Input("石化厂_生产计划部_原材料、燃料、动力购进、库存及价格表_MTBE期末库存",":key{{dw}}")</t>
        </r>
      </text>
    </comment>
    <comment ref="C23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#Input("石化厂_生产计划部_原材料、燃料、动力购进、库存及价格表_聚丙烯期初库存",":key{{dw}}")</t>
        </r>
      </text>
    </comment>
    <comment ref="F23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#Input("石化厂_生产计划部_原材料、燃料、动力购进、库存及价格表_聚丙烯期末库存",":key{{dw}}")</t>
        </r>
      </text>
    </comment>
    <comment ref="C24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#Input("石化厂_生产计划部_原材料、燃料、动力购进、库存及价格表_苯期初库存",":key{{dw}}")</t>
        </r>
      </text>
    </comment>
    <comment ref="F24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#Input("石化厂_生产计划部_原材料、燃料、动力购进、库存及价格表_苯期末库存",":key{{dw}}")</t>
        </r>
      </text>
    </comment>
    <comment ref="C25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#Input("石化厂_生产计划部_原材料、燃料、动力购进、库存及价格表_精制硫磺期初库存",":key{{dw}}")</t>
        </r>
      </text>
    </comment>
    <comment ref="F25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#Input("石化厂_生产计划部_原材料、燃料、动力购进、库存及价格表_精制硫磺期末库存",":key{{dw}}")</t>
        </r>
      </text>
    </comment>
    <comment ref="C28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#Input("石化厂_生产计划部_原材料、燃料、动力购进、库存及价格表_电月购进量",":key{{dw}}")</t>
        </r>
      </text>
    </comment>
    <comment ref="E28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#Input("石化厂_生产计划部_原材料、燃料、动力购进、库存及价格表_电月工业消费量",":key{{dw}}")</t>
        </r>
      </text>
    </comment>
    <comment ref="G28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#Input("石化厂_生产计划部_原材料、燃料、动力购进、库存及价格表_电月非工业消费量",":key{{dw}}")</t>
        </r>
      </text>
    </comment>
    <comment ref="I28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#Input("石化厂_生产计划部_原材料、燃料、动力购进、库存及价格表_电价格",":key{{dw}}")</t>
        </r>
      </text>
    </comment>
    <comment ref="J28" authorId="0">
      <text>
        <r>
          <rPr>
            <sz val="9"/>
            <color indexed="81"/>
            <rFont val="Arial"/>
            <family val="2"/>
          </rPr>
          <t>#Input("石化厂_生产计划部_原材料、燃料、动力购进、库存及价格表_电当月金额",":key{{dw}}")</t>
        </r>
      </text>
    </comment>
  </commentList>
</comments>
</file>

<file path=xl/sharedStrings.xml><?xml version="1.0" encoding="utf-8"?>
<sst xmlns="http://schemas.openxmlformats.org/spreadsheetml/2006/main" count="221" uniqueCount="53">
  <si>
    <t>原材料、燃料、动力购进、库存及价格表</t>
  </si>
  <si>
    <t>填报单位：延安石油化工厂生产计划部</t>
  </si>
  <si>
    <t>日期：</t>
  </si>
  <si>
    <t>2025-12</t>
  </si>
  <si>
    <t>指标名称</t>
  </si>
  <si>
    <t>期初库存
（吨）</t>
  </si>
  <si>
    <t>购进量
(吨)</t>
  </si>
  <si>
    <t>购进量(吨)</t>
  </si>
  <si>
    <t>消费量
(吨)</t>
  </si>
  <si>
    <t>消费量(吨)</t>
  </si>
  <si>
    <t>期末库存
（吨）</t>
  </si>
  <si>
    <t>价格
(元/吨)（元/Nm3）</t>
  </si>
  <si>
    <t>当月金额
（千元）</t>
  </si>
  <si>
    <t>累计金额
（千元）</t>
  </si>
  <si>
    <t>一、原材料</t>
  </si>
  <si>
    <t/>
  </si>
  <si>
    <t>本月</t>
  </si>
  <si>
    <t>累计</t>
  </si>
  <si>
    <t>甲  醇</t>
  </si>
  <si>
    <t>其中：石化厂</t>
  </si>
  <si>
    <t xml:space="preserve">       轻烃</t>
  </si>
  <si>
    <t>二、燃料</t>
  </si>
  <si>
    <t>1、原   煤</t>
  </si>
  <si>
    <t>2、 柴油0#</t>
  </si>
  <si>
    <t>3、柴油-10#</t>
  </si>
  <si>
    <t>4、 柴油-20#</t>
  </si>
  <si>
    <t>三、半成品</t>
  </si>
  <si>
    <t>期初库存（吨）</t>
  </si>
  <si>
    <t>期末库存（吨)</t>
  </si>
  <si>
    <t>1、液化气</t>
  </si>
  <si>
    <t>2、精制油</t>
  </si>
  <si>
    <t>3、粗硫磺</t>
  </si>
  <si>
    <t>四、成品</t>
  </si>
  <si>
    <t>1、异辛烷</t>
  </si>
  <si>
    <t>2、MTBE</t>
  </si>
  <si>
    <t>3、聚丙烯</t>
  </si>
  <si>
    <t>4、苯</t>
  </si>
  <si>
    <t>5、精制硫磺</t>
  </si>
  <si>
    <t>五、动力</t>
  </si>
  <si>
    <t>购进量(万千瓦时)</t>
  </si>
  <si>
    <t>购进量(度)</t>
  </si>
  <si>
    <t>工业消费(万千瓦时)</t>
  </si>
  <si>
    <t>工业消费(度)</t>
  </si>
  <si>
    <t>非工业消费(万千瓦时)</t>
  </si>
  <si>
    <t>非工业消费(度)</t>
  </si>
  <si>
    <t>价格(元/度)</t>
  </si>
  <si>
    <t>（千元）</t>
  </si>
  <si>
    <t>电</t>
  </si>
  <si>
    <t>单位领导：温铜川</t>
  </si>
  <si>
    <t>审核人：高景龙</t>
  </si>
  <si>
    <t>填报人：张艳妮</t>
  </si>
  <si>
    <t>报出日期：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</si>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</sst>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0.00_ "/>
    <numFmt numFmtId="173" formatCode="yyyy&quot;年&quot;m&quot;月&quot;d&quot;日&quot;;@"/>
  </numFmts>
  <fonts count="24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Arial"/>
    </font>
    <font>
      <sz val="10"/>
      <color rgb="FF000000"/>
      <name val="等线"/>
    </font>
    <font>
      <sz val="7"/>
      <color rgb="FF000000"/>
      <name val="Calibri"/>
    </font>
    <font>
      <sz val="11"/>
      <color theme="1"/>
      <name val="Calibri"/>
    </font>
    <font>
      <sz val="10"/>
      <color theme="1"/>
      <name val="等线"/>
    </font>
    <font>
      <b/>
      <sz val="18"/>
      <color rgb="FF000000"/>
      <name val="等线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CF1DE"/>
      </patternFill>
    </fill>
  </fills>
  <borders count="26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48">
    <xf numFmtId="0" fontId="0" fillId="0" borderId="0" applyFont="1" applyFill="0" applyBorder="0">
      <alignment vertical="center"/>
    </xf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/>
  </cellStyleXfs>
  <cellXfs count="192">
    <xf numFmtId="0" fontId="0" fillId="0" borderId="0" xfId="0" applyFont="1">
      <alignment vertical="center"/>
    </xf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/>
    <xf numFmtId="0" fontId="0" fillId="0" borderId="0" xfId="0" applyFont="1">
      <alignment vertical="center" wrapText="1"/>
    </xf>
    <xf numFmtId="2" fontId="19" fillId="0" borderId="10" xfId="0" applyFont="1" applyBorder="1" applyNumberFormat="1">
      <alignment horizontal="center" vertical="center" wrapText="1"/>
    </xf>
    <xf numFmtId="2" fontId="19" fillId="0" borderId="11" xfId="0" applyFont="1" applyBorder="1" applyNumberFormat="1">
      <alignment horizontal="center" vertical="center" wrapText="1"/>
    </xf>
    <xf numFmtId="2" fontId="19" fillId="0" borderId="12" xfId="0" applyFont="1" applyBorder="1" applyNumberFormat="1">
      <alignment horizontal="center" vertical="center" wrapText="1"/>
    </xf>
    <xf numFmtId="2" fontId="19" fillId="0" borderId="10" xfId="0" applyFont="1" applyBorder="1" applyNumberFormat="1">
      <alignment horizontal="left" vertical="center" wrapText="1"/>
    </xf>
    <xf numFmtId="1" fontId="19" fillId="0" borderId="11" xfId="0" applyFont="1" applyBorder="1" applyNumberFormat="1">
      <alignment horizontal="center" vertical="center" wrapText="1"/>
      <protection locked="0"/>
    </xf>
    <xf numFmtId="2" fontId="19" fillId="0" borderId="11" xfId="0" applyFont="1" applyBorder="1" applyNumberFormat="1">
      <alignment horizontal="right" vertical="center" wrapText="1"/>
      <protection locked="0"/>
    </xf>
    <xf numFmtId="2" fontId="19" fillId="0" borderId="12" xfId="0" applyFont="1" applyBorder="1" applyNumberFormat="1">
      <alignment horizontal="right" vertical="center" wrapText="1"/>
      <protection locked="0"/>
    </xf>
    <xf numFmtId="2" fontId="19" fillId="0" borderId="11" xfId="0" applyFont="1" applyBorder="1" applyNumberFormat="1">
      <alignment horizontal="right" vertical="center" wrapText="1"/>
    </xf>
    <xf numFmtId="2" fontId="19" fillId="0" borderId="12" xfId="0" applyFont="1" applyBorder="1" applyNumberFormat="1">
      <alignment horizontal="right" vertical="center" wrapText="1"/>
    </xf>
    <xf numFmtId="171" fontId="19" fillId="0" borderId="11" xfId="0" applyFont="1" applyBorder="1" applyNumberFormat="1">
      <alignment horizontal="center" vertical="center" wrapText="1"/>
    </xf>
    <xf numFmtId="172" fontId="19" fillId="0" borderId="11" xfId="0" applyFont="1" applyBorder="1" applyNumberFormat="1">
      <alignment horizontal="center" vertical="center" wrapText="1"/>
    </xf>
    <xf numFmtId="172" fontId="19" fillId="0" borderId="12" xfId="0" applyFont="1" applyBorder="1" applyNumberFormat="1">
      <alignment horizontal="center" vertical="center" wrapText="1"/>
    </xf>
    <xf numFmtId="2" fontId="19" fillId="0" borderId="11" xfId="0" applyFont="1" applyBorder="1" applyNumberFormat="1">
      <alignment horizontal="center" vertical="center" wrapText="1"/>
      <protection locked="0"/>
    </xf>
    <xf numFmtId="2" fontId="19" fillId="0" borderId="10" xfId="0" applyFont="1" applyBorder="1" applyNumberFormat="1">
      <alignment vertical="center" wrapText="1"/>
    </xf>
    <xf numFmtId="2" fontId="19" fillId="0" borderId="12" xfId="0" applyFont="1" applyBorder="1" applyNumberFormat="1">
      <alignment horizontal="center" vertical="center" wrapText="1"/>
      <protection locked="0"/>
    </xf>
    <xf numFmtId="172" fontId="19" fillId="0" borderId="11" xfId="0" applyFont="1" applyBorder="1" applyNumberFormat="1">
      <alignment horizontal="center" vertical="center" wrapText="1"/>
      <protection locked="0"/>
    </xf>
    <xf numFmtId="171" fontId="19" fillId="4" borderId="11" xfId="0" applyFont="1" applyFill="1" applyBorder="1" applyNumberFormat="1">
      <alignment horizontal="center" vertical="center" wrapText="1"/>
    </xf>
    <xf numFmtId="171" fontId="19" fillId="4" borderId="11" xfId="0" applyFont="1" applyFill="1" applyBorder="1" applyNumberFormat="1">
      <alignment horizontal="center" vertical="center" wrapText="1"/>
      <protection locked="0"/>
    </xf>
    <xf numFmtId="2" fontId="19" fillId="4" borderId="11" xfId="0" applyFont="1" applyFill="1" applyBorder="1" applyNumberFormat="1">
      <alignment horizontal="center" vertical="center" wrapText="1"/>
    </xf>
    <xf numFmtId="1" fontId="19" fillId="4" borderId="11" xfId="0" applyFont="1" applyFill="1" applyBorder="1" applyNumberFormat="1">
      <alignment horizontal="center" vertical="center"/>
      <protection locked="0"/>
    </xf>
    <xf numFmtId="0" fontId="20" fillId="0" borderId="0" xfId="0" applyFont="1"/>
    <xf numFmtId="0" fontId="20" fillId="0" borderId="0" xfId="0" applyFont="1">
      <alignment vertical="center"/>
    </xf>
    <xf numFmtId="2" fontId="19" fillId="4" borderId="11" xfId="0" applyFont="1" applyFill="1" applyBorder="1" applyNumberFormat="1">
      <alignment horizontal="center" vertical="center" wrapText="1"/>
      <protection locked="0"/>
    </xf>
    <xf numFmtId="0" fontId="0" fillId="0" borderId="0" xfId="0" applyFont="1"/>
    <xf numFmtId="0" fontId="20" fillId="0" borderId="0" xfId="0" applyFont="1"/>
    <xf numFmtId="0" fontId="21" fillId="0" borderId="0" xfId="0" applyFont="1"/>
    <xf numFmtId="2" fontId="19" fillId="0" borderId="11" xfId="0" applyFont="1" applyBorder="1" applyNumberFormat="1">
      <alignment horizontal="center" vertical="center"/>
    </xf>
    <xf numFmtId="2" fontId="19" fillId="4" borderId="11" xfId="0" applyFont="1" applyFill="1" applyBorder="1" applyNumberFormat="1">
      <alignment horizontal="center" vertical="center"/>
    </xf>
    <xf numFmtId="2" fontId="19" fillId="0" borderId="12" xfId="0" applyFont="1" applyBorder="1" applyNumberFormat="1">
      <alignment horizontal="center" vertical="center"/>
    </xf>
    <xf numFmtId="2" fontId="19" fillId="4" borderId="11" xfId="0" applyFont="1" applyFill="1" applyBorder="1" applyNumberFormat="1">
      <alignment horizontal="center" vertical="center"/>
      <protection locked="0"/>
    </xf>
    <xf numFmtId="171" fontId="19" fillId="0" borderId="11" xfId="0" applyFont="1" applyBorder="1" applyNumberFormat="1">
      <alignment horizontal="center" vertical="center"/>
    </xf>
    <xf numFmtId="1" fontId="19" fillId="0" borderId="11" xfId="0" applyFont="1" applyBorder="1" applyNumberFormat="1">
      <alignment horizontal="center" vertical="center"/>
      <protection locked="0"/>
    </xf>
    <xf numFmtId="171" fontId="19" fillId="0" borderId="11" xfId="0" applyFont="1" applyBorder="1" applyNumberFormat="1">
      <alignment horizontal="center" vertical="center"/>
      <protection locked="0"/>
    </xf>
    <xf numFmtId="0" fontId="0" fillId="0" borderId="0" xfId="0" applyFont="1"/>
    <xf numFmtId="173" fontId="19" fillId="0" borderId="13" xfId="0" applyFont="1" applyBorder="1" applyNumberFormat="1">
      <alignment horizontal="right" vertical="center" wrapText="1"/>
    </xf>
    <xf numFmtId="2" fontId="19" fillId="0" borderId="14" xfId="0" applyFont="1" applyBorder="1" applyNumberFormat="1">
      <alignment horizontal="right" vertical="center"/>
    </xf>
    <xf numFmtId="1" fontId="19" fillId="0" borderId="11" xfId="0" applyFont="1" applyBorder="1" applyNumberFormat="1">
      <alignment vertical="center"/>
      <protection locked="0"/>
    </xf>
    <xf numFmtId="2" fontId="19" fillId="0" borderId="10" xfId="0" applyFont="1" applyBorder="1" applyNumberFormat="1">
      <alignment vertical="center"/>
    </xf>
    <xf numFmtId="2" fontId="19" fillId="0" borderId="10" xfId="0" applyFont="1" applyBorder="1" applyNumberFormat="1">
      <alignment horizontal="left" vertical="center" wrapText="1"/>
    </xf>
    <xf numFmtId="2" fontId="19" fillId="0" borderId="10" xfId="0" applyFont="1" applyBorder="1" applyNumberFormat="1">
      <alignment vertical="center" wrapText="1"/>
    </xf>
    <xf numFmtId="2" fontId="19" fillId="4" borderId="11" xfId="0" applyFont="1" applyFill="1" applyBorder="1" applyNumberFormat="1">
      <alignment horizontal="center" vertical="center"/>
    </xf>
    <xf numFmtId="0" fontId="0" fillId="0" borderId="0" xfId="0" applyFont="1">
      <alignment horizontal="center"/>
    </xf>
    <xf numFmtId="0" fontId="22" fillId="33" borderId="11" xfId="0" applyFont="1" applyFill="1" applyBorder="1">
      <alignment horizontal="center" vertical="center"/>
    </xf>
    <xf numFmtId="0" fontId="20" fillId="0" borderId="0" xfId="0" applyFont="1"/>
    <xf numFmtId="2" fontId="19" fillId="0" borderId="10" xfId="0" applyFont="1" applyBorder="1" applyNumberFormat="1">
      <alignment vertical="center" wrapText="1"/>
    </xf>
    <xf numFmtId="2" fontId="19" fillId="0" borderId="11" xfId="0" applyFont="1" applyBorder="1" applyNumberFormat="1">
      <alignment horizontal="center" vertical="center" wrapText="1"/>
    </xf>
    <xf numFmtId="173" fontId="19" fillId="0" borderId="15" xfId="0" applyFont="1" applyBorder="1" applyNumberFormat="1">
      <alignment horizontal="left" vertical="center"/>
    </xf>
    <xf numFmtId="173" fontId="19" fillId="0" borderId="16" xfId="0" applyFont="1" applyBorder="1" applyNumberFormat="1">
      <alignment horizontal="left" vertical="center"/>
    </xf>
    <xf numFmtId="2" fontId="19" fillId="0" borderId="14" xfId="0" applyFont="1" applyBorder="1" applyNumberFormat="1">
      <alignment horizontal="left" vertical="center"/>
    </xf>
    <xf numFmtId="1" fontId="19" fillId="0" borderId="11" xfId="0" applyFont="1" applyBorder="1" applyNumberFormat="1">
      <alignment horizontal="center" vertical="center"/>
      <protection locked="0"/>
    </xf>
    <xf numFmtId="1" fontId="19" fillId="0" borderId="11" xfId="0" applyFont="1" applyBorder="1" applyNumberFormat="1">
      <alignment horizontal="center" vertical="center"/>
    </xf>
    <xf numFmtId="2" fontId="19" fillId="0" borderId="17" xfId="0" applyFont="1" applyBorder="1" applyNumberFormat="1">
      <alignment horizontal="left" vertical="center" wrapText="1"/>
    </xf>
    <xf numFmtId="2" fontId="19" fillId="0" borderId="18" xfId="0" applyFont="1" applyBorder="1" applyNumberFormat="1">
      <alignment horizontal="left" vertical="center" wrapText="1"/>
    </xf>
    <xf numFmtId="0" fontId="19" fillId="0" borderId="18" xfId="0" applyFont="1" applyBorder="1">
      <alignment horizontal="center" vertical="center" wrapText="1"/>
    </xf>
    <xf numFmtId="2" fontId="19" fillId="0" borderId="18" xfId="0" applyFont="1" applyBorder="1" applyNumberFormat="1">
      <alignment horizontal="center" vertical="center" wrapText="1"/>
    </xf>
    <xf numFmtId="1" fontId="19" fillId="0" borderId="19" xfId="0" applyFont="1" applyBorder="1" applyNumberFormat="1">
      <alignment horizontal="center" vertical="center"/>
      <protection locked="0"/>
    </xf>
    <xf numFmtId="1" fontId="19" fillId="0" borderId="14" xfId="0" applyFont="1" applyBorder="1" applyNumberFormat="1">
      <alignment horizontal="center" vertical="center"/>
      <protection locked="0"/>
    </xf>
    <xf numFmtId="1" fontId="19" fillId="0" borderId="20" xfId="0" applyFont="1" applyBorder="1" applyNumberFormat="1">
      <alignment horizontal="center" vertical="center"/>
      <protection locked="0"/>
    </xf>
    <xf numFmtId="2" fontId="19" fillId="0" borderId="11" xfId="0" applyFont="1" applyBorder="1" applyNumberFormat="1">
      <alignment horizontal="center" vertical="center"/>
    </xf>
    <xf numFmtId="2" fontId="23" fillId="0" borderId="21" xfId="0" applyFont="1" applyBorder="1" applyNumberFormat="1">
      <alignment horizontal="center" vertical="center" wrapText="1"/>
    </xf>
    <xf numFmtId="2" fontId="23" fillId="0" borderId="22" xfId="0" applyFont="1" applyBorder="1" applyNumberFormat="1">
      <alignment horizontal="center" vertical="center" wrapText="1"/>
    </xf>
    <xf numFmtId="2" fontId="23" fillId="0" borderId="23" xfId="0" applyFont="1" applyBorder="1" applyNumberFormat="1">
      <alignment horizontal="center" vertical="center" wrapText="1"/>
    </xf>
    <xf numFmtId="2" fontId="19" fillId="0" borderId="24" xfId="0" applyFont="1" applyBorder="1" applyNumberFormat="1">
      <alignment vertical="center" wrapText="1"/>
    </xf>
    <xf numFmtId="2" fontId="19" fillId="0" borderId="14" xfId="0" applyFont="1" applyBorder="1" applyNumberFormat="1">
      <alignment vertical="center" wrapText="1"/>
    </xf>
    <xf numFmtId="2" fontId="19" fillId="0" borderId="14" xfId="0" applyFont="1" applyBorder="1" applyNumberFormat="1">
      <alignment horizontal="right" vertical="center" wrapText="1"/>
    </xf>
    <xf numFmtId="2" fontId="19" fillId="0" borderId="25" xfId="0" applyFont="1" applyBorder="1" applyNumberFormat="1">
      <alignment horizontal="right" vertical="center" wrapText="1"/>
    </xf>
    <xf numFmtId="1" fontId="19" fillId="0" borderId="11" xfId="0" applyFont="1" applyBorder="1" applyNumberFormat="1">
      <alignment horizontal="center" vertical="center" wrapText="1"/>
      <protection locked="0"/>
    </xf>
    <xf numFmtId="1" fontId="19" fillId="0" borderId="11" xfId="0" applyFont="1" applyBorder="1" applyNumberFormat="1">
      <alignment horizontal="center" vertical="center" wrapText="1"/>
    </xf>
    <xf numFmtId="0" fontId="0" fillId="0" borderId="0" xfId="0" applyFont="1">
      <alignment horizontal="center" wrapText="1"/>
    </xf>
    <xf numFmtId="0" fontId="0" fillId="0" borderId="0" xfId="0" applyFont="1">
      <alignment vertical="center" wrapText="1"/>
    </xf>
    <xf numFmtId="0" fontId="0" fillId="0" borderId="0" xfId="0" applyFont="1">
      <alignment vertical="center" wrapText="1"/>
    </xf>
    <xf numFmtId="2" fontId="23" fillId="0" borderId="21" xfId="0" applyFont="1" applyBorder="1" applyNumberFormat="1">
      <alignment horizontal="center" vertical="center" wrapText="1"/>
    </xf>
    <xf numFmtId="2" fontId="23" fillId="0" borderId="22" xfId="0" applyFont="1" applyBorder="1" applyNumberFormat="1">
      <alignment horizontal="center" vertical="center" wrapText="1"/>
    </xf>
    <xf numFmtId="2" fontId="23" fillId="0" borderId="23" xfId="0" applyFont="1" applyBorder="1" applyNumberFormat="1">
      <alignment horizontal="center" vertical="center" wrapText="1"/>
    </xf>
    <xf numFmtId="2" fontId="19" fillId="0" borderId="24" xfId="0" applyFont="1" applyBorder="1" applyNumberFormat="1">
      <alignment vertical="center" wrapText="1"/>
    </xf>
    <xf numFmtId="2" fontId="19" fillId="0" borderId="14" xfId="0" applyFont="1" applyBorder="1" applyNumberFormat="1">
      <alignment vertical="center" wrapText="1"/>
    </xf>
    <xf numFmtId="2" fontId="19" fillId="0" borderId="14" xfId="0" applyFont="1" applyBorder="1" applyNumberFormat="1">
      <alignment horizontal="right" vertical="center" wrapText="1"/>
    </xf>
    <xf numFmtId="2" fontId="19" fillId="0" borderId="14" xfId="0" applyFont="1" applyBorder="1" applyNumberFormat="1">
      <alignment horizontal="left" vertical="center" wrapText="1"/>
    </xf>
    <xf numFmtId="2" fontId="19" fillId="0" borderId="14" xfId="0" applyFont="1" applyBorder="1" applyNumberFormat="1">
      <alignment horizontal="right" vertical="center" wrapText="1"/>
    </xf>
    <xf numFmtId="2" fontId="19" fillId="0" borderId="25" xfId="0" applyFont="1" applyBorder="1" applyNumberFormat="1">
      <alignment horizontal="right" vertical="center" wrapText="1"/>
    </xf>
    <xf numFmtId="2" fontId="19" fillId="0" borderId="10" xfId="0" applyFont="1" applyBorder="1" applyNumberFormat="1">
      <alignment horizontal="center" vertical="center" wrapText="1"/>
    </xf>
    <xf numFmtId="2" fontId="19" fillId="0" borderId="11" xfId="0" applyFont="1" applyBorder="1" applyNumberFormat="1">
      <alignment horizontal="center" vertical="center" wrapText="1"/>
    </xf>
    <xf numFmtId="2" fontId="19" fillId="0" borderId="11" xfId="0" applyFont="1" applyBorder="1" applyNumberFormat="1">
      <alignment horizontal="center" vertical="center" wrapText="1"/>
    </xf>
    <xf numFmtId="2" fontId="19" fillId="0" borderId="12" xfId="0" applyFont="1" applyBorder="1" applyNumberFormat="1">
      <alignment horizontal="center" vertical="center" wrapText="1"/>
    </xf>
    <xf numFmtId="2" fontId="19" fillId="0" borderId="10" xfId="0" applyFont="1" applyBorder="1" applyNumberFormat="1">
      <alignment horizontal="left" vertical="center" wrapText="1"/>
    </xf>
    <xf numFmtId="1" fontId="19" fillId="0" borderId="11" xfId="0" applyFont="1" applyBorder="1" applyNumberFormat="1">
      <alignment horizontal="center" vertical="center" wrapText="1"/>
      <protection locked="0"/>
    </xf>
    <xf numFmtId="2" fontId="19" fillId="0" borderId="11" xfId="0" applyFont="1" applyBorder="1" applyNumberFormat="1">
      <alignment horizontal="right" vertical="center" wrapText="1"/>
      <protection locked="0"/>
    </xf>
    <xf numFmtId="2" fontId="19" fillId="0" borderId="12" xfId="0" applyFont="1" applyBorder="1" applyNumberFormat="1">
      <alignment horizontal="right" vertical="center" wrapText="1"/>
      <protection locked="0"/>
    </xf>
    <xf numFmtId="1" fontId="19" fillId="4" borderId="11" xfId="0" applyFont="1" applyFill="1" applyBorder="1" applyNumberFormat="1">
      <alignment horizontal="center" vertical="center" wrapText="1"/>
      <protection locked="0"/>
    </xf>
    <xf numFmtId="2" fontId="19" fillId="0" borderId="11" xfId="0" applyFont="1" applyBorder="1" applyNumberFormat="1">
      <alignment horizontal="right" vertical="center" wrapText="1"/>
    </xf>
    <xf numFmtId="2" fontId="19" fillId="0" borderId="12" xfId="0" applyFont="1" applyBorder="1" applyNumberFormat="1">
      <alignment horizontal="right" vertical="center" wrapText="1"/>
    </xf>
    <xf numFmtId="171" fontId="19" fillId="0" borderId="11" xfId="0" applyFont="1" applyBorder="1" applyNumberFormat="1">
      <alignment horizontal="center" vertical="center" wrapText="1"/>
    </xf>
    <xf numFmtId="2" fontId="19" fillId="4" borderId="11" xfId="0" applyFont="1" applyFill="1" applyBorder="1" applyNumberFormat="1">
      <alignment horizontal="center" vertical="center" wrapText="1"/>
      <protection locked="0"/>
    </xf>
    <xf numFmtId="172" fontId="19" fillId="0" borderId="11" xfId="0" applyFont="1" applyBorder="1" applyNumberFormat="1">
      <alignment horizontal="center" vertical="center" wrapText="1"/>
    </xf>
    <xf numFmtId="172" fontId="19" fillId="0" borderId="12" xfId="0" applyFont="1" applyBorder="1" applyNumberFormat="1">
      <alignment horizontal="center" vertical="center" wrapText="1"/>
    </xf>
    <xf numFmtId="171" fontId="19" fillId="0" borderId="11" xfId="0" applyFont="1" applyBorder="1" applyNumberFormat="1">
      <alignment horizontal="center" vertical="center" wrapText="1"/>
      <protection locked="0"/>
    </xf>
    <xf numFmtId="1" fontId="19" fillId="0" borderId="11" xfId="0" applyFont="1" applyBorder="1" applyNumberFormat="1">
      <alignment horizontal="center" vertical="center" wrapText="1"/>
      <protection locked="0"/>
    </xf>
    <xf numFmtId="2" fontId="19" fillId="0" borderId="11" xfId="0" applyFont="1" applyBorder="1" applyNumberFormat="1">
      <alignment horizontal="center" vertical="center" wrapText="1"/>
    </xf>
    <xf numFmtId="2" fontId="19" fillId="4" borderId="11" xfId="0" applyFont="1" applyFill="1" applyBorder="1" applyNumberFormat="1">
      <alignment horizontal="center" vertical="center" wrapText="1"/>
      <protection locked="0"/>
    </xf>
    <xf numFmtId="2" fontId="19" fillId="0" borderId="12" xfId="0" applyFont="1" applyBorder="1" applyNumberFormat="1">
      <alignment horizontal="center" vertical="center" wrapText="1"/>
    </xf>
    <xf numFmtId="171" fontId="19" fillId="0" borderId="11" xfId="0" applyFont="1" applyBorder="1" applyNumberFormat="1">
      <alignment horizontal="center" vertical="center" wrapText="1"/>
      <protection locked="0"/>
    </xf>
    <xf numFmtId="2" fontId="19" fillId="4" borderId="11" xfId="0" applyFont="1" applyFill="1" applyBorder="1" applyNumberFormat="1">
      <alignment horizontal="center" vertical="center" wrapText="1"/>
      <protection locked="0"/>
    </xf>
    <xf numFmtId="2" fontId="19" fillId="0" borderId="10" xfId="0" applyFont="1" applyBorder="1" applyNumberFormat="1">
      <alignment horizontal="left" vertical="center" wrapText="1"/>
    </xf>
    <xf numFmtId="2" fontId="19" fillId="0" borderId="11" xfId="0" applyFont="1" applyBorder="1" applyNumberFormat="1">
      <alignment horizontal="center" vertical="center" wrapText="1"/>
      <protection locked="0"/>
    </xf>
    <xf numFmtId="2" fontId="19" fillId="0" borderId="10" xfId="0" applyFont="1" applyBorder="1" applyNumberFormat="1">
      <alignment vertical="center" wrapText="1"/>
    </xf>
    <xf numFmtId="2" fontId="19" fillId="0" borderId="12" xfId="0" applyFont="1" applyBorder="1" applyNumberFormat="1">
      <alignment horizontal="center" vertical="center" wrapText="1"/>
      <protection locked="0"/>
    </xf>
    <xf numFmtId="2" fontId="19" fillId="0" borderId="10" xfId="0" applyFont="1" applyBorder="1" applyNumberFormat="1">
      <alignment vertical="center" wrapText="1"/>
    </xf>
    <xf numFmtId="1" fontId="19" fillId="0" borderId="11" xfId="0" applyFont="1" applyBorder="1" applyNumberFormat="1">
      <alignment horizontal="center" vertical="center" wrapText="1"/>
      <protection locked="0"/>
    </xf>
    <xf numFmtId="1" fontId="19" fillId="0" borderId="11" xfId="0" applyFont="1" applyBorder="1" applyNumberFormat="1">
      <alignment horizontal="center" vertical="center" wrapText="1"/>
    </xf>
    <xf numFmtId="2" fontId="19" fillId="0" borderId="11" xfId="0" applyFont="1" applyBorder="1" applyNumberFormat="1">
      <alignment horizontal="center" vertical="center" wrapText="1"/>
    </xf>
    <xf numFmtId="1" fontId="19" fillId="0" borderId="19" xfId="0" applyFont="1" applyBorder="1" applyNumberFormat="1">
      <alignment horizontal="center" vertical="center" wrapText="1"/>
      <protection locked="0"/>
    </xf>
    <xf numFmtId="1" fontId="19" fillId="0" borderId="14" xfId="0" applyFont="1" applyBorder="1" applyNumberFormat="1">
      <alignment horizontal="center" vertical="center" wrapText="1"/>
      <protection locked="0"/>
    </xf>
    <xf numFmtId="1" fontId="19" fillId="0" borderId="20" xfId="0" applyFont="1" applyBorder="1" applyNumberFormat="1">
      <alignment horizontal="center" vertical="center" wrapText="1"/>
      <protection locked="0"/>
    </xf>
    <xf numFmtId="2" fontId="19" fillId="0" borderId="10" xfId="0" applyFont="1" applyBorder="1" applyNumberFormat="1">
      <alignment vertical="center" wrapText="1"/>
    </xf>
    <xf numFmtId="172" fontId="19" fillId="0" borderId="11" xfId="0" applyFont="1" applyBorder="1" applyNumberFormat="1">
      <alignment horizontal="center" vertical="center" wrapText="1"/>
      <protection locked="0"/>
    </xf>
    <xf numFmtId="172" fontId="19" fillId="0" borderId="11" xfId="0" applyFont="1" applyBorder="1" applyNumberFormat="1">
      <alignment horizontal="center" vertical="center" wrapText="1"/>
      <protection locked="0"/>
    </xf>
    <xf numFmtId="2" fontId="19" fillId="4" borderId="11" xfId="0" applyFont="1" applyFill="1" applyBorder="1" applyNumberFormat="1">
      <alignment horizontal="center" vertical="center" wrapText="1"/>
      <protection locked="0"/>
    </xf>
    <xf numFmtId="2" fontId="19" fillId="0" borderId="17" xfId="0" applyFont="1" applyBorder="1" applyNumberFormat="1">
      <alignment horizontal="left" vertical="center" wrapText="1"/>
    </xf>
    <xf numFmtId="2" fontId="19" fillId="0" borderId="18" xfId="0" applyFont="1" applyBorder="1" applyNumberFormat="1">
      <alignment horizontal="left" vertical="center" wrapText="1"/>
    </xf>
    <xf numFmtId="0" fontId="19" fillId="0" borderId="18" xfId="0" applyFont="1" applyBorder="1">
      <alignment horizontal="center" vertical="center" wrapText="1"/>
    </xf>
    <xf numFmtId="2" fontId="19" fillId="0" borderId="18" xfId="0" applyFont="1" applyBorder="1" applyNumberFormat="1">
      <alignment horizontal="center" vertical="center" wrapText="1"/>
    </xf>
    <xf numFmtId="173" fontId="19" fillId="0" borderId="13" xfId="0" applyFont="1" applyBorder="1" applyNumberFormat="1">
      <alignment horizontal="right" vertical="center" wrapText="1"/>
    </xf>
    <xf numFmtId="173" fontId="19" fillId="0" borderId="15" xfId="0" applyFont="1" applyBorder="1" applyNumberFormat="1">
      <alignment horizontal="left" vertical="center" wrapText="1"/>
    </xf>
    <xf numFmtId="173" fontId="19" fillId="0" borderId="16" xfId="0" applyFont="1" applyBorder="1" applyNumberFormat="1">
      <alignment horizontal="left" vertical="center" wrapText="1"/>
    </xf>
    <xf numFmtId="0" fontId="0" fillId="0" borderId="0" xfId="0" applyFont="1">
      <alignment vertical="center"/>
    </xf>
    <xf numFmtId="1" fontId="19" fillId="4" borderId="11" xfId="0" applyFont="1" applyFill="1" applyBorder="1" applyNumberFormat="1">
      <alignment horizontal="center" vertical="center" wrapText="1"/>
    </xf>
    <xf numFmtId="0" fontId="20" fillId="0" borderId="0" xfId="0" applyFont="1">
      <alignment vertical="center" wrapText="1"/>
    </xf>
    <xf numFmtId="0" fontId="20" fillId="0" borderId="0" xfId="0" applyFont="1">
      <alignment wrapText="1"/>
    </xf>
    <xf numFmtId="0" fontId="22" fillId="33" borderId="11" xfId="0" applyFont="1" applyFill="1" applyBorder="1">
      <alignment horizontal="center" vertical="center" wrapText="1"/>
    </xf>
    <xf numFmtId="2" fontId="19" fillId="4" borderId="11" xfId="0" applyFont="1" applyFill="1" applyBorder="1" applyNumberFormat="1">
      <alignment horizontal="center" vertical="center" wrapText="1"/>
    </xf>
    <xf numFmtId="0" fontId="0" fillId="0" borderId="0" xfId="0" applyFont="1">
      <alignment wrapText="1"/>
    </xf>
    <xf numFmtId="0" fontId="21" fillId="0" borderId="0" xfId="0" applyFont="1">
      <alignment wrapText="1"/>
    </xf>
    <xf numFmtId="171" fontId="19" fillId="4" borderId="11" xfId="0" applyFont="1" applyFill="1" applyBorder="1" applyNumberFormat="1">
      <alignment horizontal="center" vertical="center" wrapText="1"/>
    </xf>
    <xf numFmtId="171" fontId="19" fillId="4" borderId="11" xfId="0" applyFont="1" applyFill="1" applyBorder="1" applyNumberFormat="1">
      <alignment horizontal="center" vertical="center" wrapText="1"/>
      <protection locked="0"/>
    </xf>
    <xf numFmtId="0" fontId="0" fillId="0" borderId="0" xfId="0" applyFont="1">
      <alignment wrapText="1"/>
    </xf>
    <xf numFmtId="0" fontId="20" fillId="0" borderId="0" xfId="0" applyFont="1">
      <alignment wrapText="1"/>
    </xf>
    <xf numFmtId="1" fontId="19" fillId="0" borderId="11" xfId="0" applyFont="1" applyBorder="1" applyNumberFormat="1">
      <alignment horizontal="center" vertical="center" wrapText="1"/>
      <protection locked="0"/>
    </xf>
    <xf numFmtId="1" fontId="19" fillId="0" borderId="11" xfId="0" applyFont="1" applyBorder="1" applyNumberFormat="1">
      <alignment horizontal="center" vertical="center" wrapText="1"/>
    </xf>
    <xf numFmtId="1" fontId="19" fillId="0" borderId="11" xfId="0" applyFont="1" applyBorder="1" applyNumberFormat="1">
      <alignment horizontal="center" vertical="center" wrapText="1"/>
    </xf>
    <xf numFmtId="2" fontId="19" fillId="0" borderId="10" xfId="0" applyFont="1" applyBorder="1" applyNumberFormat="1">
      <alignment vertical="center" wrapText="1"/>
    </xf>
    <xf numFmtId="1" fontId="19" fillId="0" borderId="11" xfId="0" applyFont="1" applyBorder="1" applyNumberFormat="1">
      <alignment vertical="center" wrapText="1"/>
    </xf>
    <xf numFmtId="0" fontId="20" fillId="0" borderId="0" xfId="0" applyFont="1">
      <alignment wrapText="1"/>
    </xf>
    <xf numFmtId="0" fontId="0" fillId="0" borderId="0" xfId="0" applyFont="1">
      <alignment vertical="center"/>
    </xf>
  </cellXfs>
  <cellStyles count="48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 2 2" xfId="4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5193A34-7478-9228-73C1-33AA4ECE4988}" mc:Ignorable="x14ac xr xr2 xr3">
  <dimension ref="A1:P31"/>
  <sheetViews>
    <sheetView topLeftCell="A1" showGridLines="0" workbookViewId="0" tabSelected="1">
      <pane ySplit="4" topLeftCell="A5" activePane="bottomLeft" state="frozen"/>
      <selection pane="bottomLeft" activeCell="A1" sqref="A1"/>
    </sheetView>
  </sheetViews>
  <sheetFormatPr defaultColWidth="9.00390625" customHeight="1" defaultRowHeight="14.399999999999999"/>
  <cols>
    <col min="1" max="1" style="173" width="2.57421875" customWidth="1"/>
    <col min="2" max="2" style="90" width="14.00390625" customWidth="1"/>
    <col min="3" max="3" style="90" width="12.421875" customWidth="1"/>
    <col min="4" max="4" style="90" width="12.57421875" customWidth="1"/>
    <col min="5" max="5" style="90" width="11.28125" customWidth="1"/>
    <col min="6" max="6" style="90" width="10.57421875" customWidth="1"/>
    <col min="7" max="7" style="90" width="11.00390625" customWidth="1"/>
    <col min="8" max="8" style="90" width="11.57421875" customWidth="1"/>
    <col min="9" max="9" style="90" width="18.421875" customWidth="1"/>
    <col min="10" max="10" style="90" width="12.8515625" customWidth="1"/>
    <col min="11" max="11" style="90" width="13.00390625" customWidth="1"/>
  </cols>
  <sheetData>
    <row customHeight="1" ht="2.25">
      <c r="A1" s="48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8"/>
      <c r="M1" s="118"/>
      <c r="N1" s="118"/>
      <c r="O1" s="118"/>
      <c r="P1" s="118"/>
    </row>
    <row customHeight="1" ht="31.5">
      <c r="A2" s="48"/>
      <c r="B2" s="108" t="s">
        <v>0</v>
      </c>
      <c r="C2" s="109"/>
      <c r="D2" s="109"/>
      <c r="E2" s="109"/>
      <c r="F2" s="109"/>
      <c r="G2" s="109"/>
      <c r="H2" s="109"/>
      <c r="I2" s="109"/>
      <c r="J2" s="109"/>
      <c r="K2" s="110"/>
      <c r="L2" s="118"/>
      <c r="M2" s="118"/>
      <c r="N2" s="118"/>
      <c r="O2" s="118"/>
      <c r="P2" s="118"/>
    </row>
    <row customHeight="1" ht="20.25">
      <c r="A3" s="48"/>
      <c r="B3" s="111" t="s">
        <v>1</v>
      </c>
      <c r="C3" s="112"/>
      <c r="D3" s="112"/>
      <c r="E3" s="125" t="s">
        <v>2</v>
      </c>
      <c r="F3" s="126" t="s">
        <v>3</v>
      </c>
      <c r="G3" s="126"/>
      <c r="H3" s="113"/>
      <c r="I3" s="113"/>
      <c r="J3" s="113"/>
      <c r="K3" s="114"/>
      <c r="L3" s="118"/>
      <c r="M3" s="118"/>
      <c r="N3" s="118"/>
      <c r="O3" s="118"/>
      <c r="P3" s="118"/>
    </row>
    <row customHeight="1" ht="33.75">
      <c r="A4" s="48"/>
      <c r="B4" s="49" t="s">
        <v>4</v>
      </c>
      <c r="C4" s="50" t="s">
        <v>5</v>
      </c>
      <c r="D4" s="94" t="s">
        <v>6</v>
      </c>
      <c r="E4" s="94" t="s">
        <v>7</v>
      </c>
      <c r="F4" s="94" t="s">
        <v>8</v>
      </c>
      <c r="G4" s="94" t="s">
        <v>9</v>
      </c>
      <c r="H4" s="50" t="s">
        <v>10</v>
      </c>
      <c r="I4" s="50" t="s">
        <v>11</v>
      </c>
      <c r="J4" s="50" t="s">
        <v>12</v>
      </c>
      <c r="K4" s="51" t="s">
        <v>13</v>
      </c>
      <c r="L4" s="118"/>
      <c r="M4" s="118"/>
      <c r="N4" s="118"/>
      <c r="O4" s="118"/>
      <c r="P4" s="118"/>
    </row>
    <row customHeight="1" ht="15">
      <c r="A5" s="48"/>
      <c r="B5" s="52" t="s">
        <v>14</v>
      </c>
      <c r="C5" s="50" t="s">
        <v>15</v>
      </c>
      <c r="D5" s="50" t="s">
        <v>16</v>
      </c>
      <c r="E5" s="50" t="s">
        <v>17</v>
      </c>
      <c r="F5" s="50" t="s">
        <v>16</v>
      </c>
      <c r="G5" s="50" t="s">
        <v>17</v>
      </c>
      <c r="H5" s="50" t="s">
        <v>15</v>
      </c>
      <c r="I5" s="50" t="s">
        <v>15</v>
      </c>
      <c r="J5" s="50" t="s">
        <v>15</v>
      </c>
      <c r="K5" s="51" t="s">
        <v>15</v>
      </c>
      <c r="L5" s="118"/>
      <c r="M5" s="118"/>
      <c r="N5" s="118"/>
      <c r="O5" s="118"/>
      <c r="P5" s="118"/>
    </row>
    <row customHeight="1" ht="15">
      <c r="A6" s="48"/>
      <c r="B6" s="52" t="s">
        <v>18</v>
      </c>
      <c r="C6" s="53">
        <f>SUM(C7,C8)</f>
        <v>3983</v>
      </c>
      <c r="D6" s="53">
        <f>SUM(D7,D8)</f>
        <v>11272.76</v>
      </c>
      <c r="E6" s="53">
        <f>SUM(E7,E8)</f>
        <v>98470.22</v>
      </c>
      <c r="F6" s="53">
        <f>SUM(F7,F8)</f>
        <v>10195</v>
      </c>
      <c r="G6" s="53">
        <f>SUM(G7,G8)</f>
        <v>98558</v>
      </c>
      <c r="H6" s="53">
        <f>SUM(H7,H8)</f>
        <v>5017</v>
      </c>
      <c r="I6" s="54"/>
      <c r="J6" s="54"/>
      <c r="K6" s="55"/>
      <c r="L6" s="118"/>
      <c r="M6" s="118"/>
      <c r="N6" s="118"/>
      <c r="O6" s="118"/>
      <c r="P6" s="118"/>
    </row>
    <row customHeight="1" ht="15">
      <c r="A7" s="48"/>
      <c r="B7" s="49" t="s">
        <v>19</v>
      </c>
      <c r="C7" s="137">
        <v>2128</v>
      </c>
      <c r="D7" s="137">
        <v>2577.28</v>
      </c>
      <c r="E7" s="137">
        <f>SUM(D7,取值!E5)</f>
        <v>26666.96</v>
      </c>
      <c r="F7" s="137">
        <v>2102</v>
      </c>
      <c r="G7" s="137">
        <f>SUM(F7,取值!G5)</f>
        <v>26543</v>
      </c>
      <c r="H7" s="137">
        <v>2603</v>
      </c>
      <c r="I7" s="54"/>
      <c r="J7" s="54"/>
      <c r="K7" s="55"/>
      <c r="L7" s="118"/>
      <c r="M7" s="118"/>
      <c r="N7" s="118"/>
      <c r="O7" s="118"/>
      <c r="P7" s="118"/>
    </row>
    <row customHeight="1" ht="15">
      <c r="A8" s="48"/>
      <c r="B8" s="49" t="s">
        <v>20</v>
      </c>
      <c r="C8" s="137">
        <v>1855</v>
      </c>
      <c r="D8" s="137">
        <v>8695.48</v>
      </c>
      <c r="E8" s="137">
        <f>SUM(D8,取值!E6)</f>
        <v>71803.26</v>
      </c>
      <c r="F8" s="137">
        <v>8093</v>
      </c>
      <c r="G8" s="137">
        <f>SUM(F8,取值!G6)</f>
        <v>72015</v>
      </c>
      <c r="H8" s="137">
        <v>2414</v>
      </c>
      <c r="I8" s="54"/>
      <c r="J8" s="54"/>
      <c r="K8" s="55"/>
      <c r="L8" s="118"/>
      <c r="M8" s="118"/>
      <c r="N8" s="118"/>
      <c r="O8" s="118"/>
      <c r="P8" s="118"/>
    </row>
    <row customHeight="1" ht="15">
      <c r="A9" s="48"/>
      <c r="B9" s="52" t="s">
        <v>21</v>
      </c>
      <c r="C9" s="50"/>
      <c r="D9" s="50"/>
      <c r="E9" s="50"/>
      <c r="F9" s="50"/>
      <c r="G9" s="50"/>
      <c r="H9" s="50"/>
      <c r="I9" s="56"/>
      <c r="J9" s="56"/>
      <c r="K9" s="57" t="s">
        <v>15</v>
      </c>
      <c r="L9" s="118"/>
      <c r="M9" s="118"/>
      <c r="N9" s="118"/>
      <c r="O9" s="118"/>
      <c r="P9" s="118"/>
    </row>
    <row customHeight="1" ht="12.75">
      <c r="A10" s="48"/>
      <c r="B10" s="52" t="s">
        <v>22</v>
      </c>
      <c r="C10" s="58">
        <f>SUM(C11:C12)</f>
        <v>3115</v>
      </c>
      <c r="D10" s="58">
        <f>SUM(D11:D12)</f>
        <v>40561</v>
      </c>
      <c r="E10" s="58">
        <f>SUM(E11:E12)</f>
        <v>416119</v>
      </c>
      <c r="F10" s="58">
        <f>SUM(F11:F12)</f>
        <v>39896</v>
      </c>
      <c r="G10" s="58">
        <f>SUM(G11:G12)</f>
        <v>419265</v>
      </c>
      <c r="H10" s="58">
        <f>SUM(H11:H12)</f>
        <v>3780</v>
      </c>
      <c r="I10" s="141">
        <v>530.97</v>
      </c>
      <c r="J10" s="59">
        <f>SUM(J11:J12)</f>
        <v>26969.49</v>
      </c>
      <c r="K10" s="60">
        <f>SUM(K11:K12)</f>
        <v>252118.14701</v>
      </c>
      <c r="L10" s="118"/>
      <c r="M10" s="118"/>
      <c r="N10" s="118"/>
      <c r="O10" s="118"/>
      <c r="P10" s="118"/>
    </row>
    <row customHeight="1" ht="15">
      <c r="A11" s="48"/>
      <c r="B11" s="49" t="s">
        <v>19</v>
      </c>
      <c r="C11" s="144">
        <v>375</v>
      </c>
      <c r="D11" s="144">
        <v>19244</v>
      </c>
      <c r="E11" s="145">
        <f>SUM(D11,取值!E9)</f>
        <v>182058</v>
      </c>
      <c r="F11" s="144">
        <v>18900</v>
      </c>
      <c r="G11" s="145">
        <f>SUM(F11,取值!G9)</f>
        <v>185273</v>
      </c>
      <c r="H11" s="144">
        <v>719</v>
      </c>
      <c r="I11" s="146"/>
      <c r="J11" s="147">
        <v>12795.44</v>
      </c>
      <c r="K11" s="148">
        <f>SUM(J11,取值!K9)</f>
        <v>110859.2742</v>
      </c>
      <c r="L11" s="118"/>
      <c r="M11" s="118"/>
      <c r="N11" s="118"/>
      <c r="O11" s="118"/>
      <c r="P11" s="118"/>
    </row>
    <row customHeight="1" ht="15">
      <c r="A12" s="48"/>
      <c r="B12" s="49" t="s">
        <v>20</v>
      </c>
      <c r="C12" s="149">
        <v>2740</v>
      </c>
      <c r="D12" s="149">
        <v>21317</v>
      </c>
      <c r="E12" s="145">
        <f>SUM(D12,取值!E10)</f>
        <v>234061</v>
      </c>
      <c r="F12" s="149">
        <v>20996</v>
      </c>
      <c r="G12" s="145">
        <f>SUM(F12,取值!G10)</f>
        <v>233992</v>
      </c>
      <c r="H12" s="144">
        <v>3061</v>
      </c>
      <c r="I12" s="146"/>
      <c r="J12" s="150">
        <v>14174.05</v>
      </c>
      <c r="K12" s="148">
        <f>SUM(J12,取值!K10)</f>
        <v>141258.87281</v>
      </c>
      <c r="L12" s="118"/>
      <c r="M12" s="118"/>
      <c r="N12" s="118"/>
      <c r="O12" s="118"/>
      <c r="P12" s="118"/>
    </row>
    <row customHeight="1" ht="15">
      <c r="A13" s="48"/>
      <c r="B13" s="87" t="s">
        <v>23</v>
      </c>
      <c r="C13" s="149">
        <v>51</v>
      </c>
      <c r="D13" s="149">
        <v>95</v>
      </c>
      <c r="E13" s="145">
        <f>SUM(D13,取值!E11)</f>
        <v>832</v>
      </c>
      <c r="F13" s="149">
        <v>95</v>
      </c>
      <c r="G13" s="145">
        <f>SUM(F13,取值!G11)</f>
        <v>820</v>
      </c>
      <c r="H13" s="144">
        <v>51</v>
      </c>
      <c r="I13" s="50"/>
      <c r="J13" s="61"/>
      <c r="K13" s="51"/>
      <c r="L13" s="118"/>
      <c r="M13" s="118"/>
      <c r="N13" s="118"/>
      <c r="O13" s="118"/>
      <c r="P13" s="118"/>
    </row>
    <row customHeight="1" ht="15">
      <c r="A14" s="48"/>
      <c r="B14" s="88" t="s">
        <v>24</v>
      </c>
      <c r="C14" s="149">
        <v>0</v>
      </c>
      <c r="D14" s="149">
        <v>0</v>
      </c>
      <c r="E14" s="145">
        <f>SUM(D14,取值!E13)</f>
        <v>0</v>
      </c>
      <c r="F14" s="149">
        <v>0</v>
      </c>
      <c r="G14" s="145">
        <f>SUM(F14,取值!G13)</f>
        <v>0</v>
      </c>
      <c r="H14" s="144">
        <v>0</v>
      </c>
      <c r="I14" s="50"/>
      <c r="J14" s="61"/>
      <c r="K14" s="51"/>
      <c r="L14" s="118"/>
      <c r="M14" s="118"/>
      <c r="N14" s="118"/>
      <c r="O14" s="118"/>
      <c r="P14" s="118"/>
    </row>
    <row customHeight="1" ht="15">
      <c r="A15" s="48"/>
      <c r="B15" s="87" t="s">
        <v>25</v>
      </c>
      <c r="C15" s="149">
        <v>0</v>
      </c>
      <c r="D15" s="149">
        <v>20</v>
      </c>
      <c r="E15" s="145">
        <f>SUM(D15,取值!E14)</f>
        <v>50</v>
      </c>
      <c r="F15" s="149">
        <v>20</v>
      </c>
      <c r="G15" s="145">
        <f>SUM(F15,取值!G14)</f>
        <v>50</v>
      </c>
      <c r="H15" s="144">
        <v>0</v>
      </c>
      <c r="I15" s="61"/>
      <c r="J15" s="61"/>
      <c r="K15" s="63"/>
      <c r="L15" s="118"/>
      <c r="M15" s="118"/>
      <c r="N15" s="118"/>
      <c r="O15" s="118"/>
      <c r="P15" s="118"/>
    </row>
    <row customHeight="1" ht="15">
      <c r="A16" s="48"/>
      <c r="B16" s="62" t="s">
        <v>26</v>
      </c>
      <c r="C16" s="94" t="s">
        <v>27</v>
      </c>
      <c r="D16" s="94" t="s">
        <v>27</v>
      </c>
      <c r="E16" s="94" t="s">
        <v>27</v>
      </c>
      <c r="F16" s="94" t="s">
        <v>28</v>
      </c>
      <c r="G16" s="94" t="s">
        <v>28</v>
      </c>
      <c r="H16" s="94" t="s">
        <v>28</v>
      </c>
      <c r="I16" s="50" t="s">
        <v>15</v>
      </c>
      <c r="J16" s="50" t="s">
        <v>15</v>
      </c>
      <c r="K16" s="51" t="s">
        <v>15</v>
      </c>
      <c r="L16" s="118"/>
      <c r="M16" s="118"/>
      <c r="N16" s="118"/>
      <c r="O16" s="118"/>
      <c r="P16" s="118"/>
    </row>
    <row customHeight="1" ht="15">
      <c r="A17" s="48"/>
      <c r="B17" s="88" t="s">
        <v>29</v>
      </c>
      <c r="C17" s="156">
        <v>9509</v>
      </c>
      <c r="D17" s="157"/>
      <c r="E17" s="157"/>
      <c r="F17" s="156">
        <v>8980</v>
      </c>
      <c r="G17" s="157"/>
      <c r="H17" s="157"/>
      <c r="I17" s="56" t="s">
        <v>15</v>
      </c>
      <c r="J17" s="56" t="s">
        <v>15</v>
      </c>
      <c r="K17" s="57" t="s">
        <v>15</v>
      </c>
      <c r="L17" s="118"/>
      <c r="M17" s="118"/>
      <c r="N17" s="118"/>
      <c r="O17" s="118"/>
      <c r="P17" s="118"/>
    </row>
    <row customHeight="1" ht="15">
      <c r="A18" s="48"/>
      <c r="B18" s="88" t="s">
        <v>30</v>
      </c>
      <c r="C18" s="156">
        <v>6925</v>
      </c>
      <c r="D18" s="157"/>
      <c r="E18" s="157"/>
      <c r="F18" s="156">
        <v>7410</v>
      </c>
      <c r="G18" s="157"/>
      <c r="H18" s="157"/>
      <c r="I18" s="56" t="s">
        <v>15</v>
      </c>
      <c r="J18" s="56" t="s">
        <v>15</v>
      </c>
      <c r="K18" s="57" t="s">
        <v>15</v>
      </c>
      <c r="L18" s="118"/>
      <c r="M18" s="118"/>
      <c r="N18" s="118"/>
      <c r="O18" s="118"/>
      <c r="P18" s="118"/>
    </row>
    <row customHeight="1" ht="15">
      <c r="A19" s="48"/>
      <c r="B19" s="88" t="s">
        <v>31</v>
      </c>
      <c r="C19" s="156">
        <v>0</v>
      </c>
      <c r="D19" s="157"/>
      <c r="E19" s="157"/>
      <c r="F19" s="156">
        <v>0</v>
      </c>
      <c r="G19" s="157"/>
      <c r="H19" s="157"/>
      <c r="I19" s="56" t="s">
        <v>15</v>
      </c>
      <c r="J19" s="56" t="s">
        <v>15</v>
      </c>
      <c r="K19" s="57" t="s">
        <v>15</v>
      </c>
      <c r="L19" s="118"/>
      <c r="M19" s="118"/>
      <c r="N19" s="118"/>
      <c r="O19" s="118"/>
      <c r="P19" s="118"/>
    </row>
    <row customHeight="1" ht="15">
      <c r="A20" s="48"/>
      <c r="B20" s="62" t="s">
        <v>32</v>
      </c>
      <c r="C20" s="158" t="s">
        <v>27</v>
      </c>
      <c r="D20" s="158" t="s">
        <v>27</v>
      </c>
      <c r="E20" s="158" t="s">
        <v>27</v>
      </c>
      <c r="F20" s="158" t="s">
        <v>28</v>
      </c>
      <c r="G20" s="158" t="s">
        <v>28</v>
      </c>
      <c r="H20" s="158" t="s">
        <v>28</v>
      </c>
      <c r="I20" s="50" t="s">
        <v>15</v>
      </c>
      <c r="J20" s="50" t="s">
        <v>15</v>
      </c>
      <c r="K20" s="51" t="s">
        <v>15</v>
      </c>
      <c r="L20" s="118"/>
      <c r="M20" s="118"/>
      <c r="N20" s="118"/>
      <c r="O20" s="118"/>
      <c r="P20" s="118"/>
    </row>
    <row customHeight="1" ht="15">
      <c r="A21" s="48"/>
      <c r="B21" s="88" t="s">
        <v>33</v>
      </c>
      <c r="C21" s="156">
        <v>4957</v>
      </c>
      <c r="D21" s="157"/>
      <c r="E21" s="157"/>
      <c r="F21" s="156">
        <v>5226</v>
      </c>
      <c r="G21" s="157"/>
      <c r="H21" s="157"/>
      <c r="I21" s="56" t="s">
        <v>15</v>
      </c>
      <c r="J21" s="56" t="s">
        <v>15</v>
      </c>
      <c r="K21" s="57" t="s">
        <v>15</v>
      </c>
      <c r="L21" s="118"/>
      <c r="M21" s="118"/>
      <c r="N21" s="118"/>
      <c r="O21" s="118"/>
      <c r="P21" s="118"/>
    </row>
    <row customHeight="1" ht="15">
      <c r="A22" s="48"/>
      <c r="B22" s="88" t="s">
        <v>34</v>
      </c>
      <c r="C22" s="156">
        <v>6309</v>
      </c>
      <c r="D22" s="157"/>
      <c r="E22" s="157"/>
      <c r="F22" s="156">
        <v>4977</v>
      </c>
      <c r="G22" s="157"/>
      <c r="H22" s="157"/>
      <c r="I22" s="56" t="s">
        <v>15</v>
      </c>
      <c r="J22" s="56" t="s">
        <v>15</v>
      </c>
      <c r="K22" s="57" t="s">
        <v>15</v>
      </c>
      <c r="L22" s="118"/>
      <c r="M22" s="118"/>
      <c r="N22" s="118"/>
      <c r="O22" s="118"/>
      <c r="P22" s="118"/>
    </row>
    <row customHeight="1" ht="15">
      <c r="A23" s="48"/>
      <c r="B23" s="88" t="s">
        <v>35</v>
      </c>
      <c r="C23" s="156">
        <v>865</v>
      </c>
      <c r="D23" s="157"/>
      <c r="E23" s="157"/>
      <c r="F23" s="156">
        <v>1112</v>
      </c>
      <c r="G23" s="157"/>
      <c r="H23" s="157"/>
      <c r="I23" s="56" t="s">
        <v>15</v>
      </c>
      <c r="J23" s="56" t="s">
        <v>15</v>
      </c>
      <c r="K23" s="57" t="s">
        <v>15</v>
      </c>
      <c r="L23" s="118"/>
      <c r="M23" s="118"/>
      <c r="N23" s="118"/>
      <c r="O23" s="118"/>
      <c r="P23" s="118"/>
    </row>
    <row customHeight="1" ht="15">
      <c r="A24" s="48"/>
      <c r="B24" s="88" t="s">
        <v>36</v>
      </c>
      <c r="C24" s="159">
        <v>349</v>
      </c>
      <c r="D24" s="160"/>
      <c r="E24" s="161"/>
      <c r="F24" s="156">
        <v>386</v>
      </c>
      <c r="G24" s="157"/>
      <c r="H24" s="157"/>
      <c r="I24" s="56" t="s">
        <v>15</v>
      </c>
      <c r="J24" s="56" t="s">
        <v>15</v>
      </c>
      <c r="K24" s="57" t="s">
        <v>15</v>
      </c>
      <c r="L24" s="118"/>
      <c r="M24" s="118"/>
      <c r="N24" s="118"/>
      <c r="O24" s="118"/>
      <c r="P24" s="118"/>
    </row>
    <row customHeight="1" ht="15">
      <c r="A25" s="48"/>
      <c r="B25" s="88" t="s">
        <v>37</v>
      </c>
      <c r="C25" s="156">
        <v>26</v>
      </c>
      <c r="D25" s="157"/>
      <c r="E25" s="157"/>
      <c r="F25" s="156">
        <v>52</v>
      </c>
      <c r="G25" s="157"/>
      <c r="H25" s="157"/>
      <c r="I25" s="56" t="s">
        <v>15</v>
      </c>
      <c r="J25" s="56" t="s">
        <v>15</v>
      </c>
      <c r="K25" s="57" t="s">
        <v>15</v>
      </c>
      <c r="L25" s="118"/>
      <c r="M25" s="118"/>
      <c r="N25" s="118"/>
      <c r="O25" s="118"/>
      <c r="P25" s="118"/>
    </row>
    <row customHeight="1" ht="30">
      <c r="A26" s="48"/>
      <c r="B26" s="93" t="s">
        <v>38</v>
      </c>
      <c r="C26" s="94" t="s">
        <v>39</v>
      </c>
      <c r="D26" s="94" t="s">
        <v>40</v>
      </c>
      <c r="E26" s="94" t="s">
        <v>41</v>
      </c>
      <c r="F26" s="94" t="s">
        <v>42</v>
      </c>
      <c r="G26" s="94" t="s">
        <v>43</v>
      </c>
      <c r="H26" s="94" t="s">
        <v>44</v>
      </c>
      <c r="I26" s="94" t="s">
        <v>45</v>
      </c>
      <c r="J26" s="50" t="s">
        <v>12</v>
      </c>
      <c r="K26" s="51" t="s">
        <v>13</v>
      </c>
      <c r="L26" s="118"/>
      <c r="M26" s="118"/>
      <c r="N26" s="118"/>
      <c r="O26" s="118"/>
      <c r="P26" s="118"/>
    </row>
    <row customHeight="1" ht="18">
      <c r="A27" s="48"/>
      <c r="B27" s="93" t="s">
        <v>38</v>
      </c>
      <c r="C27" s="50" t="s">
        <v>16</v>
      </c>
      <c r="D27" s="50" t="s">
        <v>17</v>
      </c>
      <c r="E27" s="50" t="s">
        <v>16</v>
      </c>
      <c r="F27" s="50" t="s">
        <v>17</v>
      </c>
      <c r="G27" s="50" t="s">
        <v>16</v>
      </c>
      <c r="H27" s="50" t="s">
        <v>17</v>
      </c>
      <c r="I27" s="94" t="s">
        <v>45</v>
      </c>
      <c r="J27" s="50" t="s">
        <v>46</v>
      </c>
      <c r="K27" s="51" t="s">
        <v>46</v>
      </c>
      <c r="L27" s="118"/>
      <c r="M27" s="118"/>
      <c r="N27" s="118"/>
      <c r="O27" s="118"/>
      <c r="P27" s="118"/>
    </row>
    <row customHeight="1" ht="18">
      <c r="A28" s="48"/>
      <c r="B28" s="62" t="s">
        <v>47</v>
      </c>
      <c r="C28" s="64">
        <v>5435</v>
      </c>
      <c r="D28" s="64">
        <f>F28+H28</f>
        <v>62192.1</v>
      </c>
      <c r="E28" s="64">
        <v>5290.3</v>
      </c>
      <c r="F28" s="64">
        <f>SUM(取值!F29:F66)/10000+Sheet1!E28</f>
        <v>60473.35</v>
      </c>
      <c r="G28" s="164">
        <v>144.7</v>
      </c>
      <c r="H28" s="64">
        <f>_xlfn.IFERROR(SUM(取值!H28,Sheet1!G28),"")</f>
        <v>1718.75</v>
      </c>
      <c r="I28" s="71">
        <v>0.57</v>
      </c>
      <c r="J28" s="71">
        <v>30999.94</v>
      </c>
      <c r="K28" s="63">
        <f>SUM(J28,取值!K28)</f>
        <v>355928.442538</v>
      </c>
      <c r="L28" s="118"/>
      <c r="M28" s="118"/>
      <c r="N28" s="118"/>
      <c r="O28" s="118"/>
      <c r="P28" s="118"/>
    </row>
    <row customHeight="1" ht="18">
      <c r="A29" s="48"/>
      <c r="B29" s="100" t="s">
        <v>48</v>
      </c>
      <c r="C29" s="101"/>
      <c r="D29" s="102" t="s">
        <v>49</v>
      </c>
      <c r="E29" s="102"/>
      <c r="F29" s="103" t="s">
        <v>50</v>
      </c>
      <c r="G29" s="103"/>
      <c r="H29" s="103"/>
      <c r="I29" s="83" t="s">
        <v>51</v>
      </c>
      <c r="J29" s="171" t="s">
        <v>52</v>
      </c>
      <c r="K29" s="172"/>
      <c r="L29" s="118"/>
      <c r="M29" s="118"/>
      <c r="N29" s="118"/>
      <c r="O29" s="118"/>
      <c r="P29" s="118"/>
    </row>
    <row customHeight="1" ht="14.399999999999999">
      <c r="A30" s="48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8"/>
      <c r="M30" s="118"/>
      <c r="N30" s="118"/>
      <c r="O30" s="118"/>
      <c r="P30" s="118"/>
    </row>
    <row customHeight="1" ht="14.399999999999999">
      <c r="A31" s="48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8"/>
      <c r="M31" s="118"/>
      <c r="N31" s="118"/>
      <c r="O31" s="118"/>
      <c r="P31" s="118"/>
    </row>
  </sheetData>
  <mergeCells count="35">
    <mergeCell ref="B2:K2"/>
    <mergeCell ref="B3:D3"/>
    <mergeCell ref="H3:K3"/>
    <mergeCell ref="D4:E4"/>
    <mergeCell ref="F4:G4"/>
    <mergeCell ref="C16:E16"/>
    <mergeCell ref="F16:H16"/>
    <mergeCell ref="C17:E17"/>
    <mergeCell ref="F17:H17"/>
    <mergeCell ref="C18:E18"/>
    <mergeCell ref="F18:H18"/>
    <mergeCell ref="C24:E24"/>
    <mergeCell ref="F24:H24"/>
    <mergeCell ref="C19:E19"/>
    <mergeCell ref="F19:H19"/>
    <mergeCell ref="C20:E20"/>
    <mergeCell ref="F20:H20"/>
    <mergeCell ref="C21:E21"/>
    <mergeCell ref="F21:H21"/>
    <mergeCell ref="B26:B27"/>
    <mergeCell ref="I26:I27"/>
    <mergeCell ref="J29:K29"/>
    <mergeCell ref="F3:G3"/>
    <mergeCell ref="C25:E25"/>
    <mergeCell ref="F25:H25"/>
    <mergeCell ref="C26:D26"/>
    <mergeCell ref="E26:F26"/>
    <mergeCell ref="G26:H26"/>
    <mergeCell ref="B29:C29"/>
    <mergeCell ref="D29:E29"/>
    <mergeCell ref="F29:H29"/>
    <mergeCell ref="C22:E22"/>
    <mergeCell ref="F22:H22"/>
    <mergeCell ref="C23:E23"/>
    <mergeCell ref="F23:H23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28563C9-6452-F33F-5FA8-0F71C3C7972B}" mc:Ignorable="x14ac xr xr2 xr3">
  <dimension ref="A1:O66"/>
  <sheetViews>
    <sheetView topLeftCell="A10" workbookViewId="0">
      <selection activeCell="I29" sqref="I29"/>
    </sheetView>
  </sheetViews>
  <sheetFormatPr customHeight="1" defaultRowHeight="13.950000000000001"/>
  <cols>
    <col min="2" max="2" style="191" width="23.28125" customWidth="1"/>
  </cols>
  <sheetData>
    <row customHeight="1" ht="13.950000000000001">
      <c r="A1" s="118"/>
      <c r="B1" s="4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customHeight="1" ht="51.75">
      <c r="A2" s="118"/>
      <c r="B2" s="49" t="s">
        <v>4</v>
      </c>
      <c r="C2" s="50" t="s">
        <v>5</v>
      </c>
      <c r="D2" s="94" t="s">
        <v>6</v>
      </c>
      <c r="E2" s="94" t="s">
        <v>7</v>
      </c>
      <c r="F2" s="94" t="s">
        <v>8</v>
      </c>
      <c r="G2" s="94" t="s">
        <v>9</v>
      </c>
      <c r="H2" s="50" t="s">
        <v>10</v>
      </c>
      <c r="I2" s="50" t="s">
        <v>11</v>
      </c>
      <c r="J2" s="50" t="s">
        <v>12</v>
      </c>
      <c r="K2" s="51" t="s">
        <v>13</v>
      </c>
      <c r="L2" s="118"/>
      <c r="M2" s="118"/>
      <c r="N2" s="118"/>
      <c r="O2" s="118"/>
    </row>
    <row customHeight="1" ht="26.25">
      <c r="A3" s="118"/>
      <c r="B3" s="52" t="s">
        <v>14</v>
      </c>
      <c r="C3" s="50" t="s">
        <v>15</v>
      </c>
      <c r="D3" s="50" t="s">
        <v>16</v>
      </c>
      <c r="E3" s="50" t="s">
        <v>17</v>
      </c>
      <c r="F3" s="50" t="s">
        <v>16</v>
      </c>
      <c r="G3" s="50" t="s">
        <v>17</v>
      </c>
      <c r="H3" s="50" t="s">
        <v>15</v>
      </c>
      <c r="I3" s="50" t="s">
        <v>15</v>
      </c>
      <c r="J3" s="50" t="s">
        <v>15</v>
      </c>
      <c r="K3" s="51" t="s">
        <v>15</v>
      </c>
      <c r="L3" s="118"/>
      <c r="M3" s="118"/>
      <c r="N3" s="118"/>
      <c r="O3" s="118"/>
    </row>
    <row customHeight="1" ht="14.25">
      <c r="A4" s="118"/>
      <c r="B4" s="52" t="s">
        <v>18</v>
      </c>
      <c r="C4" s="53"/>
      <c r="D4" s="53"/>
      <c r="E4" s="53"/>
      <c r="F4" s="53"/>
      <c r="G4" s="53"/>
      <c r="H4" s="53"/>
      <c r="I4" s="54"/>
      <c r="J4" s="54"/>
      <c r="K4" s="55"/>
      <c r="L4" s="118"/>
      <c r="M4" s="118"/>
      <c r="N4" s="118"/>
      <c r="O4" s="118"/>
    </row>
    <row customHeight="1" ht="14.25">
      <c r="A5" s="118"/>
      <c r="B5" s="49" t="s">
        <v>19</v>
      </c>
      <c r="C5" s="174">
        <v>2128</v>
      </c>
      <c r="D5" s="174">
        <v>2577.28</v>
      </c>
      <c r="E5" s="175">
        <v>24089.68</v>
      </c>
      <c r="F5" s="174">
        <v>2102</v>
      </c>
      <c r="G5" s="176">
        <v>24441</v>
      </c>
      <c r="H5" s="174">
        <v>2603</v>
      </c>
      <c r="I5" s="54"/>
      <c r="J5" s="54"/>
      <c r="K5" s="55"/>
      <c r="L5" s="118"/>
      <c r="M5" s="118"/>
      <c r="N5" s="118"/>
      <c r="O5" s="118"/>
    </row>
    <row customHeight="1" ht="14.25">
      <c r="A6" s="118"/>
      <c r="B6" s="49" t="s">
        <v>20</v>
      </c>
      <c r="C6" s="174">
        <v>1855</v>
      </c>
      <c r="D6" s="174">
        <v>8695.48</v>
      </c>
      <c r="E6" s="175">
        <v>63107.78</v>
      </c>
      <c r="F6" s="174">
        <v>8093</v>
      </c>
      <c r="G6" s="176">
        <v>63922</v>
      </c>
      <c r="H6" s="174">
        <v>2414</v>
      </c>
      <c r="I6" s="54"/>
      <c r="J6" s="54"/>
      <c r="K6" s="55"/>
      <c r="L6" s="118"/>
      <c r="M6" s="118"/>
      <c r="N6" s="118"/>
      <c r="O6" s="118"/>
    </row>
    <row customHeight="1" ht="14.25">
      <c r="A7" s="118"/>
      <c r="B7" s="52" t="s">
        <v>21</v>
      </c>
      <c r="C7" s="50"/>
      <c r="D7" s="50"/>
      <c r="E7" s="50"/>
      <c r="F7" s="50"/>
      <c r="G7" s="50"/>
      <c r="H7" s="50"/>
      <c r="I7" s="177">
        <v>530.97</v>
      </c>
      <c r="J7" s="56"/>
      <c r="K7" s="57" t="s">
        <v>15</v>
      </c>
      <c r="L7" s="118"/>
      <c r="M7" s="118"/>
      <c r="N7" s="118"/>
      <c r="O7" s="118"/>
    </row>
    <row customHeight="1" ht="14.25">
      <c r="A8" s="118"/>
      <c r="B8" s="52" t="s">
        <v>22</v>
      </c>
      <c r="C8" s="58"/>
      <c r="D8" s="58"/>
      <c r="E8" s="58"/>
      <c r="F8" s="58"/>
      <c r="G8" s="58"/>
      <c r="H8" s="58"/>
      <c r="I8" s="67"/>
      <c r="J8" s="59"/>
      <c r="K8" s="60"/>
      <c r="L8" s="118"/>
      <c r="M8" s="118"/>
      <c r="N8" s="118"/>
      <c r="O8" s="118"/>
    </row>
    <row customHeight="1" ht="15">
      <c r="A9" s="118"/>
      <c r="B9" s="49" t="s">
        <v>19</v>
      </c>
      <c r="C9" s="179">
        <v>375</v>
      </c>
      <c r="D9" s="179">
        <v>19244</v>
      </c>
      <c r="E9" s="179">
        <v>162814</v>
      </c>
      <c r="F9" s="179">
        <v>18900</v>
      </c>
      <c r="G9" s="180">
        <v>166373</v>
      </c>
      <c r="H9" s="65"/>
      <c r="I9" s="50"/>
      <c r="J9" s="50"/>
      <c r="K9" s="180">
        <v>98063.8342</v>
      </c>
      <c r="L9" s="118"/>
      <c r="M9" s="118"/>
      <c r="N9" s="118"/>
      <c r="O9" s="118"/>
    </row>
    <row customHeight="1" ht="15">
      <c r="A10" s="118"/>
      <c r="B10" s="49" t="s">
        <v>20</v>
      </c>
      <c r="C10" s="179">
        <v>2740</v>
      </c>
      <c r="D10" s="179">
        <v>21317</v>
      </c>
      <c r="E10" s="179">
        <v>212744</v>
      </c>
      <c r="F10" s="179">
        <v>20996</v>
      </c>
      <c r="G10" s="180">
        <v>212996</v>
      </c>
      <c r="H10" s="66"/>
      <c r="I10" s="50"/>
      <c r="J10" s="61"/>
      <c r="K10" s="180">
        <v>127084.82281</v>
      </c>
      <c r="L10" s="118"/>
      <c r="M10" s="118"/>
      <c r="N10" s="118"/>
      <c r="O10" s="118"/>
    </row>
    <row customHeight="1" ht="15">
      <c r="A11" s="118"/>
      <c r="B11" s="52" t="s">
        <v>23</v>
      </c>
      <c r="C11" s="179">
        <v>51</v>
      </c>
      <c r="D11" s="183">
        <v>95</v>
      </c>
      <c r="E11" s="176">
        <v>737</v>
      </c>
      <c r="F11" s="183">
        <v>95</v>
      </c>
      <c r="G11" s="176">
        <v>725</v>
      </c>
      <c r="H11" s="66"/>
      <c r="I11" s="50"/>
      <c r="J11" s="61"/>
      <c r="K11" s="51"/>
      <c r="L11" s="118"/>
      <c r="M11" s="118"/>
      <c r="N11" s="118"/>
      <c r="O11" s="118"/>
    </row>
    <row customHeight="1" ht="14.25">
      <c r="A12" s="118"/>
      <c r="B12" s="52"/>
      <c r="C12" s="184"/>
      <c r="D12" s="118"/>
      <c r="E12" s="184"/>
      <c r="F12" s="66"/>
      <c r="G12" s="179"/>
      <c r="H12" s="66"/>
      <c r="I12" s="50"/>
      <c r="J12" s="61"/>
      <c r="K12" s="51"/>
      <c r="L12" s="118"/>
      <c r="M12" s="118"/>
      <c r="N12" s="118"/>
      <c r="O12" s="118"/>
    </row>
    <row customHeight="1" ht="15">
      <c r="A13" s="118"/>
      <c r="B13" s="62" t="s">
        <v>24</v>
      </c>
      <c r="C13" s="183">
        <v>0</v>
      </c>
      <c r="D13" s="179">
        <v>0</v>
      </c>
      <c r="E13" s="184">
        <v>0</v>
      </c>
      <c r="F13" s="183">
        <v>0</v>
      </c>
      <c r="G13" s="176">
        <v>0</v>
      </c>
      <c r="H13" s="66"/>
      <c r="I13" s="50"/>
      <c r="J13" s="61"/>
      <c r="K13" s="51"/>
      <c r="L13" s="118"/>
      <c r="M13" s="118"/>
      <c r="N13" s="118"/>
      <c r="O13" s="118"/>
    </row>
    <row customHeight="1" ht="15">
      <c r="A14" s="118"/>
      <c r="B14" s="52" t="s">
        <v>25</v>
      </c>
      <c r="C14" s="179">
        <v>0</v>
      </c>
      <c r="D14" s="179">
        <v>20</v>
      </c>
      <c r="E14" s="184">
        <v>30</v>
      </c>
      <c r="F14" s="183">
        <v>20</v>
      </c>
      <c r="G14" s="176">
        <v>30</v>
      </c>
      <c r="H14" s="66"/>
      <c r="I14" s="61"/>
      <c r="J14" s="61"/>
      <c r="K14" s="63"/>
      <c r="L14" s="118"/>
      <c r="M14" s="118"/>
      <c r="N14" s="118"/>
      <c r="O14" s="118"/>
    </row>
    <row customHeight="1" ht="14.25">
      <c r="A15" s="118"/>
      <c r="B15" s="62" t="s">
        <v>26</v>
      </c>
      <c r="C15" s="94" t="s">
        <v>27</v>
      </c>
      <c r="D15" s="94" t="s">
        <v>27</v>
      </c>
      <c r="E15" s="94" t="s">
        <v>27</v>
      </c>
      <c r="F15" s="94" t="s">
        <v>28</v>
      </c>
      <c r="G15" s="94" t="s">
        <v>28</v>
      </c>
      <c r="H15" s="94" t="s">
        <v>28</v>
      </c>
      <c r="I15" s="50" t="s">
        <v>15</v>
      </c>
      <c r="J15" s="50" t="s">
        <v>15</v>
      </c>
      <c r="K15" s="51" t="s">
        <v>15</v>
      </c>
      <c r="L15" s="118"/>
      <c r="M15" s="118"/>
      <c r="N15" s="118"/>
      <c r="O15" s="118"/>
    </row>
    <row customHeight="1" ht="14.25">
      <c r="A16" s="118"/>
      <c r="B16" s="62" t="s">
        <v>29</v>
      </c>
      <c r="C16" s="115">
        <v>10793</v>
      </c>
      <c r="D16" s="116"/>
      <c r="E16" s="116"/>
      <c r="F16" s="115">
        <v>8835</v>
      </c>
      <c r="G16" s="116"/>
      <c r="H16" s="116"/>
      <c r="I16" s="56" t="s">
        <v>15</v>
      </c>
      <c r="J16" s="56" t="s">
        <v>15</v>
      </c>
      <c r="K16" s="57" t="s">
        <v>15</v>
      </c>
      <c r="L16" s="118"/>
      <c r="M16" s="118"/>
      <c r="N16" s="118"/>
      <c r="O16" s="118"/>
    </row>
    <row customHeight="1" ht="14.25">
      <c r="A17" s="118"/>
      <c r="B17" s="62" t="s">
        <v>30</v>
      </c>
      <c r="C17" s="187">
        <v>6925</v>
      </c>
      <c r="D17" s="157"/>
      <c r="E17" s="157"/>
      <c r="F17" s="187">
        <v>7410</v>
      </c>
      <c r="G17" s="157"/>
      <c r="H17" s="157"/>
      <c r="I17" s="56" t="s">
        <v>15</v>
      </c>
      <c r="J17" s="56" t="s">
        <v>15</v>
      </c>
      <c r="K17" s="57" t="s">
        <v>15</v>
      </c>
      <c r="L17" s="188" t="s">
        <v>35</v>
      </c>
      <c r="M17" s="188" t="s">
        <v>35</v>
      </c>
      <c r="N17" s="188" t="s">
        <v>29</v>
      </c>
      <c r="O17" s="188" t="s">
        <v>29</v>
      </c>
    </row>
    <row customHeight="1" ht="14.25">
      <c r="A18" s="118"/>
      <c r="B18" s="62" t="s">
        <v>31</v>
      </c>
      <c r="C18" s="187">
        <v>0</v>
      </c>
      <c r="D18" s="157"/>
      <c r="E18" s="157"/>
      <c r="F18" s="187">
        <v>0</v>
      </c>
      <c r="G18" s="157"/>
      <c r="H18" s="157"/>
      <c r="I18" s="56" t="s">
        <v>15</v>
      </c>
      <c r="J18" s="56" t="s">
        <v>15</v>
      </c>
      <c r="K18" s="57" t="s">
        <v>15</v>
      </c>
      <c r="L18" s="189">
        <v>865</v>
      </c>
      <c r="M18" s="189">
        <v>1112</v>
      </c>
      <c r="N18" s="189">
        <v>2311</v>
      </c>
      <c r="O18" s="189">
        <v>721</v>
      </c>
    </row>
    <row customHeight="1" ht="14.25">
      <c r="A19" s="118"/>
      <c r="B19" s="62" t="s">
        <v>32</v>
      </c>
      <c r="C19" s="94" t="s">
        <v>27</v>
      </c>
      <c r="D19" s="94" t="s">
        <v>27</v>
      </c>
      <c r="E19" s="94" t="s">
        <v>27</v>
      </c>
      <c r="F19" s="94" t="s">
        <v>28</v>
      </c>
      <c r="G19" s="94" t="s">
        <v>28</v>
      </c>
      <c r="H19" s="94" t="s">
        <v>28</v>
      </c>
      <c r="I19" s="50" t="s">
        <v>15</v>
      </c>
      <c r="J19" s="50" t="s">
        <v>15</v>
      </c>
      <c r="K19" s="51" t="s">
        <v>15</v>
      </c>
      <c r="L19" s="189">
        <v>0</v>
      </c>
      <c r="M19" s="189">
        <v>0</v>
      </c>
      <c r="N19" s="189">
        <v>766</v>
      </c>
      <c r="O19" s="189">
        <v>2336</v>
      </c>
    </row>
    <row customHeight="1" ht="24.75">
      <c r="A20" s="118"/>
      <c r="B20" s="62" t="s">
        <v>33</v>
      </c>
      <c r="C20" s="187">
        <v>4957</v>
      </c>
      <c r="D20" s="157"/>
      <c r="E20" s="157"/>
      <c r="F20" s="187">
        <v>5226</v>
      </c>
      <c r="G20" s="157"/>
      <c r="H20" s="157"/>
      <c r="I20" s="56" t="s">
        <v>15</v>
      </c>
      <c r="J20" s="56" t="s">
        <v>15</v>
      </c>
      <c r="K20" s="57" t="s">
        <v>15</v>
      </c>
      <c r="L20" s="189">
        <v>0</v>
      </c>
      <c r="M20" s="189">
        <v>0</v>
      </c>
      <c r="N20" s="189">
        <v>864</v>
      </c>
      <c r="O20" s="189">
        <v>894</v>
      </c>
    </row>
    <row customHeight="1" ht="14.25">
      <c r="A21" s="118"/>
      <c r="B21" s="62" t="s">
        <v>34</v>
      </c>
      <c r="C21" s="187">
        <v>2689</v>
      </c>
      <c r="D21" s="157"/>
      <c r="E21" s="157"/>
      <c r="F21" s="187">
        <v>2514</v>
      </c>
      <c r="G21" s="157"/>
      <c r="H21" s="157"/>
      <c r="I21" s="56" t="s">
        <v>15</v>
      </c>
      <c r="J21" s="56" t="s">
        <v>15</v>
      </c>
      <c r="K21" s="57" t="s">
        <v>15</v>
      </c>
      <c r="L21" s="189">
        <v>0</v>
      </c>
      <c r="M21" s="189">
        <v>0</v>
      </c>
      <c r="N21" s="189">
        <v>506</v>
      </c>
      <c r="O21" s="189">
        <v>1034</v>
      </c>
    </row>
    <row customHeight="1" ht="14.25">
      <c r="A22" s="118"/>
      <c r="B22" s="62"/>
      <c r="C22" s="187">
        <v>3620</v>
      </c>
      <c r="D22" s="157"/>
      <c r="E22" s="157"/>
      <c r="F22" s="187">
        <v>2463</v>
      </c>
      <c r="G22" s="157"/>
      <c r="H22" s="157"/>
      <c r="I22" s="56"/>
      <c r="J22" s="56"/>
      <c r="K22" s="57"/>
      <c r="L22" s="189">
        <v>0</v>
      </c>
      <c r="M22" s="189">
        <v>0</v>
      </c>
      <c r="N22" s="189">
        <v>1048</v>
      </c>
      <c r="O22" s="189">
        <v>1130</v>
      </c>
    </row>
    <row customHeight="1" ht="14.25">
      <c r="A23" s="118"/>
      <c r="B23" s="62" t="s">
        <v>35</v>
      </c>
      <c r="C23" s="115"/>
      <c r="D23" s="116"/>
      <c r="E23" s="116"/>
      <c r="F23" s="115"/>
      <c r="G23" s="116"/>
      <c r="H23" s="116"/>
      <c r="I23" s="56" t="s">
        <v>15</v>
      </c>
      <c r="J23" s="56" t="s">
        <v>15</v>
      </c>
      <c r="K23" s="57" t="s">
        <v>15</v>
      </c>
      <c r="L23" s="189">
        <v>0</v>
      </c>
      <c r="M23" s="189">
        <v>0</v>
      </c>
      <c r="N23" s="189">
        <v>593</v>
      </c>
      <c r="O23" s="189">
        <v>556</v>
      </c>
    </row>
    <row customHeight="1" ht="14.25">
      <c r="A24" s="118"/>
      <c r="B24" s="62" t="s">
        <v>36</v>
      </c>
      <c r="C24" s="187">
        <v>349</v>
      </c>
      <c r="D24" s="157"/>
      <c r="E24" s="157"/>
      <c r="F24" s="187">
        <v>386</v>
      </c>
      <c r="G24" s="157"/>
      <c r="H24" s="157"/>
      <c r="I24" s="56" t="s">
        <v>15</v>
      </c>
      <c r="J24" s="56" t="s">
        <v>15</v>
      </c>
      <c r="K24" s="57" t="s">
        <v>15</v>
      </c>
      <c r="L24" s="189">
        <v>0</v>
      </c>
      <c r="M24" s="189">
        <v>0</v>
      </c>
      <c r="N24" s="189">
        <v>467</v>
      </c>
      <c r="O24" s="189">
        <v>332</v>
      </c>
    </row>
    <row customHeight="1" ht="14.25">
      <c r="A25" s="118"/>
      <c r="B25" s="62" t="s">
        <v>37</v>
      </c>
      <c r="C25" s="187">
        <v>26</v>
      </c>
      <c r="D25" s="157"/>
      <c r="E25" s="157"/>
      <c r="F25" s="187">
        <v>52</v>
      </c>
      <c r="G25" s="157"/>
      <c r="H25" s="157"/>
      <c r="I25" s="56" t="s">
        <v>15</v>
      </c>
      <c r="J25" s="56" t="s">
        <v>15</v>
      </c>
      <c r="K25" s="57" t="s">
        <v>15</v>
      </c>
      <c r="L25" s="189">
        <v>0</v>
      </c>
      <c r="M25" s="189">
        <v>0</v>
      </c>
      <c r="N25" s="189">
        <v>2954</v>
      </c>
      <c r="O25" s="189">
        <v>1977</v>
      </c>
    </row>
    <row customHeight="1" ht="26.25">
      <c r="A26" s="118"/>
      <c r="B26" s="93" t="s">
        <v>38</v>
      </c>
      <c r="C26" s="94" t="s">
        <v>39</v>
      </c>
      <c r="D26" s="94" t="s">
        <v>40</v>
      </c>
      <c r="E26" s="94" t="s">
        <v>41</v>
      </c>
      <c r="F26" s="94" t="s">
        <v>42</v>
      </c>
      <c r="G26" s="94" t="s">
        <v>43</v>
      </c>
      <c r="H26" s="94" t="s">
        <v>44</v>
      </c>
      <c r="I26" s="94" t="s">
        <v>45</v>
      </c>
      <c r="J26" s="50" t="s">
        <v>12</v>
      </c>
      <c r="K26" s="51" t="s">
        <v>13</v>
      </c>
      <c r="L26" s="118"/>
      <c r="M26" s="118"/>
      <c r="N26" s="118"/>
      <c r="O26" s="118"/>
    </row>
    <row customHeight="1" ht="14.25">
      <c r="A27" s="118"/>
      <c r="B27" s="93" t="s">
        <v>38</v>
      </c>
      <c r="C27" s="50" t="s">
        <v>16</v>
      </c>
      <c r="D27" s="50" t="s">
        <v>17</v>
      </c>
      <c r="E27" s="50" t="s">
        <v>16</v>
      </c>
      <c r="F27" s="50" t="s">
        <v>17</v>
      </c>
      <c r="G27" s="50" t="s">
        <v>16</v>
      </c>
      <c r="H27" s="50" t="s">
        <v>17</v>
      </c>
      <c r="I27" s="94" t="s">
        <v>45</v>
      </c>
      <c r="J27" s="50" t="s">
        <v>46</v>
      </c>
      <c r="K27" s="51" t="s">
        <v>46</v>
      </c>
      <c r="L27" s="118"/>
      <c r="M27" s="118"/>
      <c r="N27" s="118"/>
      <c r="O27" s="118"/>
    </row>
    <row customHeight="1" ht="15">
      <c r="A28" s="118"/>
      <c r="B28" s="62" t="s">
        <v>47</v>
      </c>
      <c r="C28" s="179">
        <v>54350000</v>
      </c>
      <c r="D28" s="190">
        <v>567571000</v>
      </c>
      <c r="E28" s="64"/>
      <c r="F28" s="64"/>
      <c r="G28" s="59"/>
      <c r="H28" s="190">
        <v>1574.049999999999</v>
      </c>
      <c r="I28" s="177">
        <v>0.57</v>
      </c>
      <c r="J28" s="61"/>
      <c r="K28" s="180">
        <v>324928.502538</v>
      </c>
      <c r="L28" s="118"/>
      <c r="M28" s="118"/>
      <c r="N28" s="118"/>
      <c r="O28" s="118"/>
    </row>
    <row customHeight="1" ht="14.25">
      <c r="A29" s="118"/>
      <c r="B29" s="48"/>
      <c r="C29" s="118"/>
      <c r="D29" s="118"/>
      <c r="E29" s="184">
        <v>2086100</v>
      </c>
      <c r="F29" s="179">
        <v>52896200</v>
      </c>
      <c r="G29" s="179"/>
      <c r="H29" s="179"/>
      <c r="I29" s="118"/>
      <c r="J29" s="118"/>
      <c r="K29" s="118"/>
      <c r="L29" s="118"/>
      <c r="M29" s="118"/>
      <c r="N29" s="118"/>
      <c r="O29" s="118"/>
    </row>
    <row customHeight="1" ht="14.25">
      <c r="A30" s="118"/>
      <c r="B30" s="48"/>
      <c r="C30" s="118"/>
      <c r="D30" s="118"/>
      <c r="E30" s="184">
        <v>3511200</v>
      </c>
      <c r="F30" s="179">
        <v>38537700</v>
      </c>
      <c r="G30" s="179"/>
      <c r="H30" s="179"/>
      <c r="I30" s="118"/>
      <c r="J30" s="118"/>
      <c r="K30" s="118"/>
      <c r="L30" s="118"/>
      <c r="M30" s="118"/>
      <c r="N30" s="118"/>
      <c r="O30" s="118"/>
    </row>
    <row customHeight="1" ht="14.25">
      <c r="A31" s="118"/>
      <c r="B31" s="48"/>
      <c r="C31" s="118"/>
      <c r="D31" s="118"/>
      <c r="E31" s="184">
        <v>185900</v>
      </c>
      <c r="F31" s="179">
        <v>2450400</v>
      </c>
      <c r="G31" s="179"/>
      <c r="H31" s="179"/>
      <c r="I31" s="118"/>
      <c r="J31" s="118"/>
      <c r="K31" s="118"/>
      <c r="L31" s="118"/>
      <c r="M31" s="118"/>
      <c r="N31" s="118"/>
      <c r="O31" s="118"/>
    </row>
    <row customHeight="1" ht="15">
      <c r="A32" s="118"/>
      <c r="B32" s="48"/>
      <c r="C32" s="118"/>
      <c r="D32" s="118"/>
      <c r="E32" s="184">
        <v>3108500</v>
      </c>
      <c r="F32" s="179">
        <v>13495700</v>
      </c>
      <c r="G32" s="184"/>
      <c r="H32" s="180"/>
      <c r="I32" s="118"/>
      <c r="J32" s="118"/>
      <c r="K32" s="118"/>
      <c r="L32" s="118"/>
      <c r="M32" s="118"/>
      <c r="N32" s="118"/>
      <c r="O32" s="118"/>
    </row>
    <row customHeight="1" ht="15">
      <c r="A33" s="118"/>
      <c r="B33" s="48"/>
      <c r="C33" s="118"/>
      <c r="D33" s="118"/>
      <c r="E33" s="184">
        <v>2431000</v>
      </c>
      <c r="F33" s="179">
        <v>67479900</v>
      </c>
      <c r="G33" s="184"/>
      <c r="H33" s="180"/>
      <c r="I33" s="118"/>
      <c r="J33" s="118"/>
      <c r="K33" s="118"/>
      <c r="L33" s="118"/>
      <c r="M33" s="118"/>
      <c r="N33" s="118"/>
      <c r="O33" s="118"/>
    </row>
    <row customHeight="1" ht="15">
      <c r="A34" s="118"/>
      <c r="B34" s="48"/>
      <c r="C34" s="118"/>
      <c r="D34" s="118"/>
      <c r="E34" s="184">
        <v>268500</v>
      </c>
      <c r="F34" s="179">
        <v>244100</v>
      </c>
      <c r="G34" s="184"/>
      <c r="H34" s="180"/>
      <c r="I34" s="118"/>
      <c r="J34" s="118"/>
      <c r="K34" s="118"/>
      <c r="L34" s="118"/>
      <c r="M34" s="118"/>
      <c r="N34" s="118"/>
      <c r="O34" s="118"/>
    </row>
    <row customHeight="1" ht="14.25">
      <c r="A35" s="118"/>
      <c r="B35" s="48"/>
      <c r="C35" s="118"/>
      <c r="D35" s="118"/>
      <c r="E35" s="184">
        <v>2685000</v>
      </c>
      <c r="F35" s="179">
        <v>10189200</v>
      </c>
      <c r="G35" s="118"/>
      <c r="H35" s="118"/>
      <c r="I35" s="118"/>
      <c r="J35" s="118"/>
      <c r="K35" s="118"/>
      <c r="L35" s="118"/>
      <c r="M35" s="118"/>
      <c r="N35" s="118"/>
      <c r="O35" s="118"/>
    </row>
    <row customHeight="1" ht="14.25">
      <c r="A36" s="118"/>
      <c r="B36" s="48"/>
      <c r="C36" s="118"/>
      <c r="D36" s="118"/>
      <c r="E36" s="184">
        <v>516400</v>
      </c>
      <c r="F36" s="179">
        <v>29883800</v>
      </c>
      <c r="G36" s="118"/>
      <c r="H36" s="118"/>
      <c r="I36" s="118"/>
      <c r="J36" s="118"/>
      <c r="K36" s="118"/>
      <c r="L36" s="118"/>
      <c r="M36" s="118"/>
      <c r="N36" s="118"/>
      <c r="O36" s="118"/>
    </row>
    <row customHeight="1" ht="14.25">
      <c r="A37" s="118"/>
      <c r="B37" s="48"/>
      <c r="C37" s="118"/>
      <c r="D37" s="118"/>
      <c r="E37" s="184">
        <v>0</v>
      </c>
      <c r="F37" s="179">
        <v>15053300</v>
      </c>
      <c r="G37" s="118"/>
      <c r="H37" s="118"/>
      <c r="I37" s="118"/>
      <c r="J37" s="118"/>
      <c r="K37" s="118"/>
      <c r="L37" s="118"/>
      <c r="M37" s="118"/>
      <c r="N37" s="118"/>
      <c r="O37" s="118"/>
    </row>
    <row customHeight="1" ht="14.25">
      <c r="A38" s="118"/>
      <c r="B38" s="48"/>
      <c r="C38" s="118"/>
      <c r="D38" s="118"/>
      <c r="E38" s="184">
        <v>492600</v>
      </c>
      <c r="F38" s="179">
        <v>1460100</v>
      </c>
      <c r="G38" s="118"/>
      <c r="H38" s="118"/>
      <c r="I38" s="118"/>
      <c r="J38" s="118"/>
      <c r="K38" s="118"/>
      <c r="L38" s="118"/>
      <c r="M38" s="118"/>
      <c r="N38" s="118"/>
      <c r="O38" s="118"/>
    </row>
    <row customHeight="1" ht="14.25">
      <c r="A39" s="118"/>
      <c r="B39" s="48"/>
      <c r="C39" s="118"/>
      <c r="D39" s="118"/>
      <c r="E39" s="184">
        <v>20000</v>
      </c>
      <c r="F39" s="179"/>
      <c r="G39" s="118"/>
      <c r="H39" s="118"/>
      <c r="I39" s="118"/>
      <c r="J39" s="118"/>
      <c r="K39" s="118"/>
      <c r="L39" s="118"/>
      <c r="M39" s="118"/>
      <c r="N39" s="118"/>
      <c r="O39" s="118"/>
    </row>
    <row customHeight="1" ht="14.25">
      <c r="A40" s="118"/>
      <c r="B40" s="48"/>
      <c r="C40" s="118"/>
      <c r="D40" s="118"/>
      <c r="E40" s="184">
        <v>20000</v>
      </c>
      <c r="F40" s="179">
        <v>540200</v>
      </c>
      <c r="G40" s="118"/>
      <c r="H40" s="118"/>
      <c r="I40" s="118"/>
      <c r="J40" s="118"/>
      <c r="K40" s="118"/>
      <c r="L40" s="118"/>
      <c r="M40" s="118"/>
      <c r="N40" s="118"/>
      <c r="O40" s="118"/>
    </row>
    <row customHeight="1" ht="14.25">
      <c r="A41" s="118"/>
      <c r="B41" s="48"/>
      <c r="C41" s="118"/>
      <c r="D41" s="118"/>
      <c r="E41" s="179">
        <v>5060300</v>
      </c>
      <c r="F41" s="179">
        <v>706400</v>
      </c>
      <c r="G41" s="118"/>
      <c r="H41" s="118"/>
      <c r="I41" s="118"/>
      <c r="J41" s="118"/>
      <c r="K41" s="118"/>
      <c r="L41" s="118"/>
      <c r="M41" s="118"/>
      <c r="N41" s="118"/>
      <c r="O41" s="118"/>
    </row>
    <row customHeight="1" ht="14.25">
      <c r="A42" s="118"/>
      <c r="B42" s="48"/>
      <c r="C42" s="118"/>
      <c r="D42" s="118"/>
      <c r="E42" s="179">
        <v>3614500</v>
      </c>
      <c r="F42" s="179">
        <v>3435500</v>
      </c>
      <c r="G42" s="118"/>
      <c r="H42" s="118"/>
      <c r="I42" s="118"/>
      <c r="J42" s="118"/>
      <c r="K42" s="118"/>
      <c r="L42" s="118"/>
      <c r="M42" s="118"/>
      <c r="N42" s="118"/>
      <c r="O42" s="118"/>
    </row>
    <row customHeight="1" ht="14.25">
      <c r="A43" s="118"/>
      <c r="B43" s="48"/>
      <c r="C43" s="118"/>
      <c r="D43" s="118"/>
      <c r="E43" s="179">
        <v>258200</v>
      </c>
      <c r="F43" s="179">
        <v>330900</v>
      </c>
      <c r="G43" s="118"/>
      <c r="H43" s="118"/>
      <c r="I43" s="118"/>
      <c r="J43" s="118"/>
      <c r="K43" s="118"/>
      <c r="L43" s="118"/>
      <c r="M43" s="118"/>
      <c r="N43" s="118"/>
      <c r="O43" s="118"/>
    </row>
    <row customHeight="1" ht="14.25">
      <c r="A44" s="118"/>
      <c r="B44" s="48"/>
      <c r="C44" s="118"/>
      <c r="D44" s="118"/>
      <c r="E44" s="179">
        <v>1332200</v>
      </c>
      <c r="F44" s="179">
        <v>234600</v>
      </c>
      <c r="G44" s="118"/>
      <c r="H44" s="118"/>
      <c r="I44" s="118"/>
      <c r="J44" s="118"/>
      <c r="K44" s="118"/>
      <c r="L44" s="118"/>
      <c r="M44" s="118"/>
      <c r="N44" s="118"/>
      <c r="O44" s="118"/>
    </row>
    <row customHeight="1" ht="14.25">
      <c r="A45" s="118"/>
      <c r="B45" s="48"/>
      <c r="C45" s="118"/>
      <c r="D45" s="118"/>
      <c r="E45" s="179">
        <v>6609300</v>
      </c>
      <c r="F45" s="179">
        <v>43900</v>
      </c>
      <c r="G45" s="118"/>
      <c r="H45" s="118"/>
      <c r="I45" s="118"/>
      <c r="J45" s="118"/>
      <c r="K45" s="118"/>
      <c r="L45" s="118"/>
      <c r="M45" s="118"/>
      <c r="N45" s="118"/>
      <c r="O45" s="118"/>
    </row>
    <row customHeight="1" ht="14.25">
      <c r="A46" s="118"/>
      <c r="B46" s="48"/>
      <c r="C46" s="118"/>
      <c r="D46" s="118"/>
      <c r="E46" s="179">
        <v>25800</v>
      </c>
      <c r="F46" s="179">
        <v>41620500</v>
      </c>
      <c r="G46" s="118"/>
      <c r="H46" s="118"/>
      <c r="I46" s="118"/>
      <c r="J46" s="118"/>
      <c r="K46" s="118"/>
      <c r="L46" s="118"/>
      <c r="M46" s="118"/>
      <c r="N46" s="118"/>
      <c r="O46" s="118"/>
    </row>
    <row customHeight="1" ht="14.25">
      <c r="A47" s="118"/>
      <c r="B47" s="48"/>
      <c r="C47" s="118"/>
      <c r="D47" s="118"/>
      <c r="E47" s="179">
        <v>1032700</v>
      </c>
      <c r="F47" s="179">
        <v>52745400</v>
      </c>
      <c r="G47" s="118"/>
      <c r="H47" s="118"/>
      <c r="I47" s="118"/>
      <c r="J47" s="118"/>
      <c r="K47" s="118"/>
      <c r="L47" s="118"/>
      <c r="M47" s="118"/>
      <c r="N47" s="118"/>
      <c r="O47" s="118"/>
    </row>
    <row customHeight="1" ht="14.25">
      <c r="A48" s="118"/>
      <c r="B48" s="48"/>
      <c r="C48" s="118"/>
      <c r="D48" s="118"/>
      <c r="E48" s="179">
        <v>2860600</v>
      </c>
      <c r="F48" s="179">
        <v>5125600</v>
      </c>
      <c r="G48" s="118"/>
      <c r="H48" s="118"/>
      <c r="I48" s="118"/>
      <c r="J48" s="118"/>
      <c r="K48" s="118"/>
      <c r="L48" s="118"/>
      <c r="M48" s="118"/>
      <c r="N48" s="118"/>
      <c r="O48" s="118"/>
    </row>
    <row customHeight="1" ht="14.25">
      <c r="A49" s="118"/>
      <c r="B49" s="48"/>
      <c r="C49" s="118"/>
      <c r="D49" s="118"/>
      <c r="E49" s="179">
        <v>1487100</v>
      </c>
      <c r="F49" s="179">
        <v>7201700</v>
      </c>
      <c r="G49" s="118"/>
      <c r="H49" s="118"/>
      <c r="I49" s="118"/>
      <c r="J49" s="118"/>
      <c r="K49" s="118"/>
      <c r="L49" s="118"/>
      <c r="M49" s="118"/>
      <c r="N49" s="118"/>
      <c r="O49" s="118"/>
    </row>
    <row customHeight="1" ht="14.25">
      <c r="A50" s="118"/>
      <c r="B50" s="48"/>
      <c r="C50" s="118"/>
      <c r="D50" s="118"/>
      <c r="E50" s="179">
        <v>144600</v>
      </c>
      <c r="F50" s="179">
        <v>40362800</v>
      </c>
      <c r="G50" s="118"/>
      <c r="H50" s="118"/>
      <c r="I50" s="118"/>
      <c r="J50" s="118"/>
      <c r="K50" s="118"/>
      <c r="L50" s="118"/>
      <c r="M50" s="118"/>
      <c r="N50" s="118"/>
      <c r="O50" s="118"/>
    </row>
    <row customHeight="1" ht="14.25">
      <c r="A51" s="118"/>
      <c r="B51" s="48"/>
      <c r="C51" s="118"/>
      <c r="D51" s="118"/>
      <c r="E51" s="179"/>
      <c r="F51" s="179">
        <v>2583200</v>
      </c>
      <c r="G51" s="118"/>
      <c r="H51" s="118"/>
      <c r="I51" s="118"/>
      <c r="J51" s="118"/>
      <c r="K51" s="118"/>
      <c r="L51" s="118"/>
      <c r="M51" s="118"/>
      <c r="N51" s="118"/>
      <c r="O51" s="118"/>
    </row>
    <row customHeight="1" ht="14.25">
      <c r="A52" s="118"/>
      <c r="B52" s="48"/>
      <c r="C52" s="118"/>
      <c r="D52" s="118"/>
      <c r="E52" s="179">
        <v>51600</v>
      </c>
      <c r="F52" s="179">
        <v>7242200</v>
      </c>
      <c r="G52" s="118"/>
      <c r="H52" s="118"/>
      <c r="I52" s="118"/>
      <c r="J52" s="118"/>
      <c r="K52" s="118"/>
      <c r="L52" s="118"/>
      <c r="M52" s="118"/>
      <c r="N52" s="118"/>
      <c r="O52" s="118"/>
    </row>
    <row customHeight="1" ht="14.25">
      <c r="A53" s="118"/>
      <c r="B53" s="48"/>
      <c r="C53" s="118"/>
      <c r="D53" s="118"/>
      <c r="E53" s="179">
        <v>67100</v>
      </c>
      <c r="F53" s="179">
        <v>220000</v>
      </c>
      <c r="G53" s="118"/>
      <c r="H53" s="118"/>
      <c r="I53" s="118"/>
      <c r="J53" s="118"/>
      <c r="K53" s="118"/>
      <c r="L53" s="118"/>
      <c r="M53" s="118"/>
      <c r="N53" s="118"/>
      <c r="O53" s="118"/>
    </row>
    <row customHeight="1" ht="14.25">
      <c r="A54" s="118"/>
      <c r="B54" s="48"/>
      <c r="C54" s="118"/>
      <c r="D54" s="118"/>
      <c r="E54" s="179">
        <v>326300</v>
      </c>
      <c r="F54" s="179">
        <v>220000</v>
      </c>
      <c r="G54" s="118"/>
      <c r="H54" s="118"/>
      <c r="I54" s="118"/>
      <c r="J54" s="118"/>
      <c r="K54" s="118"/>
      <c r="L54" s="118"/>
      <c r="M54" s="118"/>
      <c r="N54" s="118"/>
      <c r="O54" s="118"/>
    </row>
    <row customHeight="1" ht="15">
      <c r="A55" s="118"/>
      <c r="B55" s="48"/>
      <c r="C55" s="118"/>
      <c r="D55" s="118"/>
      <c r="E55" s="179">
        <v>31000</v>
      </c>
      <c r="F55" s="180">
        <v>22278400</v>
      </c>
      <c r="G55" s="118"/>
      <c r="H55" s="118"/>
      <c r="I55" s="118"/>
      <c r="J55" s="118"/>
      <c r="K55" s="118"/>
      <c r="L55" s="118"/>
      <c r="M55" s="118"/>
      <c r="N55" s="118"/>
      <c r="O55" s="118"/>
    </row>
    <row customHeight="1" ht="15">
      <c r="A56" s="118"/>
      <c r="B56" s="48"/>
      <c r="C56" s="118"/>
      <c r="D56" s="118"/>
      <c r="E56" s="179">
        <v>20700</v>
      </c>
      <c r="F56" s="180">
        <v>34828900</v>
      </c>
      <c r="G56" s="118"/>
      <c r="H56" s="118"/>
      <c r="I56" s="118"/>
      <c r="J56" s="118"/>
      <c r="K56" s="118"/>
      <c r="L56" s="118"/>
      <c r="M56" s="118"/>
      <c r="N56" s="118"/>
      <c r="O56" s="118"/>
    </row>
    <row customHeight="1" ht="15">
      <c r="A57" s="118"/>
      <c r="B57" s="48"/>
      <c r="C57" s="118"/>
      <c r="D57" s="118"/>
      <c r="E57" s="179">
        <v>4100</v>
      </c>
      <c r="F57" s="180">
        <v>2241400</v>
      </c>
      <c r="G57" s="118"/>
      <c r="H57" s="118"/>
      <c r="I57" s="118"/>
      <c r="J57" s="118"/>
      <c r="K57" s="118"/>
      <c r="L57" s="118"/>
      <c r="M57" s="118"/>
      <c r="N57" s="118"/>
      <c r="O57" s="118"/>
    </row>
    <row customHeight="1" ht="15">
      <c r="A58" s="118"/>
      <c r="B58" s="48"/>
      <c r="C58" s="118"/>
      <c r="D58" s="118"/>
      <c r="E58" s="179">
        <v>3903600</v>
      </c>
      <c r="F58" s="180">
        <v>31952500</v>
      </c>
      <c r="G58" s="118"/>
      <c r="H58" s="118"/>
      <c r="I58" s="118"/>
      <c r="J58" s="118"/>
      <c r="K58" s="118"/>
      <c r="L58" s="118"/>
      <c r="M58" s="118"/>
      <c r="N58" s="118"/>
      <c r="O58" s="118"/>
    </row>
    <row customHeight="1" ht="15">
      <c r="A59" s="118"/>
      <c r="B59" s="48"/>
      <c r="C59" s="118"/>
      <c r="D59" s="118"/>
      <c r="E59" s="179">
        <v>4907400</v>
      </c>
      <c r="F59" s="180">
        <v>25475400</v>
      </c>
      <c r="G59" s="118"/>
      <c r="H59" s="118"/>
      <c r="I59" s="118"/>
      <c r="J59" s="118"/>
      <c r="K59" s="118"/>
      <c r="L59" s="118"/>
      <c r="M59" s="118"/>
      <c r="N59" s="118"/>
      <c r="O59" s="118"/>
    </row>
    <row customHeight="1" ht="15">
      <c r="A60" s="118"/>
      <c r="B60" s="48"/>
      <c r="C60" s="118"/>
      <c r="D60" s="118"/>
      <c r="E60" s="179">
        <v>444100</v>
      </c>
      <c r="F60" s="180">
        <v>2803600</v>
      </c>
      <c r="G60" s="118"/>
      <c r="H60" s="118"/>
      <c r="I60" s="118"/>
      <c r="J60" s="118"/>
      <c r="K60" s="118"/>
      <c r="L60" s="118"/>
      <c r="M60" s="118"/>
      <c r="N60" s="118"/>
      <c r="O60" s="118"/>
    </row>
    <row customHeight="1" ht="15">
      <c r="A61" s="118"/>
      <c r="B61" s="48"/>
      <c r="C61" s="118"/>
      <c r="D61" s="118"/>
      <c r="E61" s="179">
        <v>361400</v>
      </c>
      <c r="F61" s="180">
        <v>27660100</v>
      </c>
      <c r="G61" s="118"/>
      <c r="H61" s="118"/>
      <c r="I61" s="118"/>
      <c r="J61" s="118"/>
      <c r="K61" s="118"/>
      <c r="L61" s="118"/>
      <c r="M61" s="118"/>
      <c r="N61" s="118"/>
      <c r="O61" s="118"/>
    </row>
    <row customHeight="1" ht="15">
      <c r="A62" s="118"/>
      <c r="B62" s="48"/>
      <c r="C62" s="118"/>
      <c r="D62" s="118"/>
      <c r="E62" s="179">
        <v>4234100</v>
      </c>
      <c r="F62" s="180">
        <v>4985400</v>
      </c>
      <c r="G62" s="118"/>
      <c r="H62" s="118"/>
      <c r="I62" s="118"/>
      <c r="J62" s="118"/>
      <c r="K62" s="118"/>
      <c r="L62" s="118"/>
      <c r="M62" s="118"/>
      <c r="N62" s="118"/>
      <c r="O62" s="118"/>
    </row>
    <row customHeight="1" ht="15">
      <c r="A63" s="118"/>
      <c r="B63" s="48"/>
      <c r="C63" s="118"/>
      <c r="D63" s="118"/>
      <c r="E63" s="179">
        <v>51600</v>
      </c>
      <c r="F63" s="180">
        <v>-8.73114913702011e-11</v>
      </c>
      <c r="G63" s="118"/>
      <c r="H63" s="118"/>
      <c r="I63" s="118"/>
      <c r="J63" s="118"/>
      <c r="K63" s="118"/>
      <c r="L63" s="118"/>
      <c r="M63" s="118"/>
      <c r="N63" s="118"/>
      <c r="O63" s="118"/>
    </row>
    <row customHeight="1" ht="15">
      <c r="A64" s="118"/>
      <c r="B64" s="48"/>
      <c r="C64" s="118"/>
      <c r="D64" s="118"/>
      <c r="E64" s="179">
        <v>709500</v>
      </c>
      <c r="F64" s="180">
        <v>4861500</v>
      </c>
      <c r="G64" s="118"/>
      <c r="H64" s="118"/>
      <c r="I64" s="118"/>
      <c r="J64" s="118"/>
      <c r="K64" s="118"/>
      <c r="L64" s="118"/>
      <c r="M64" s="118"/>
      <c r="N64" s="118"/>
      <c r="O64" s="118"/>
    </row>
    <row customHeight="1" ht="15">
      <c r="A65" s="118"/>
      <c r="B65" s="48"/>
      <c r="C65" s="118"/>
      <c r="D65" s="118"/>
      <c r="E65" s="179">
        <v>20000</v>
      </c>
      <c r="F65" s="180">
        <v>220000</v>
      </c>
      <c r="G65" s="118"/>
      <c r="H65" s="118"/>
      <c r="I65" s="118"/>
      <c r="J65" s="118"/>
      <c r="K65" s="118"/>
      <c r="L65" s="118"/>
      <c r="M65" s="118"/>
      <c r="N65" s="118"/>
      <c r="O65" s="118"/>
    </row>
    <row customHeight="1" ht="15">
      <c r="A66" s="118"/>
      <c r="B66" s="48"/>
      <c r="C66" s="118"/>
      <c r="D66" s="118"/>
      <c r="E66" s="179">
        <v>20000</v>
      </c>
      <c r="F66" s="180">
        <v>220000</v>
      </c>
      <c r="G66" s="118"/>
      <c r="H66" s="118"/>
      <c r="I66" s="118"/>
      <c r="J66" s="118"/>
      <c r="K66" s="118"/>
      <c r="L66" s="118"/>
      <c r="M66" s="118"/>
      <c r="N66" s="118"/>
      <c r="O66" s="118"/>
    </row>
  </sheetData>
  <mergeCells count="29">
    <mergeCell ref="D2:E2"/>
    <mergeCell ref="F2:G2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B26:B27"/>
    <mergeCell ref="C26:D26"/>
    <mergeCell ref="E26:F26"/>
    <mergeCell ref="G26:H26"/>
    <mergeCell ref="C20:E20"/>
    <mergeCell ref="F20:H20"/>
    <mergeCell ref="C21:E21"/>
    <mergeCell ref="F21:H21"/>
    <mergeCell ref="C23:E23"/>
    <mergeCell ref="F23:H23"/>
    <mergeCell ref="I26:I27"/>
    <mergeCell ref="C22:E22"/>
    <mergeCell ref="F22:H22"/>
    <mergeCell ref="C24:E24"/>
    <mergeCell ref="F24:H24"/>
    <mergeCell ref="C25:E25"/>
    <mergeCell ref="F25:H25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取值</vt:lpstr>
    </vt:vector>
  </TitlesOfParts>
  <Company>Lenovo (Beijing)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dhc</cp:lastModifiedBy>
  <cp:lastPrinted>2020-03-05T06:24:00Z</cp:lastPrinted>
  <dcterms:created xsi:type="dcterms:W3CDTF">2020-02-01T02:12:00Z</dcterms:created>
  <dcterms:modified xsi:type="dcterms:W3CDTF">2024-09-03T02:38:53Z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DA5D33149C764590B0547413193A2786</vt:lpwstr>
  </property>
  <property fmtid="{D5CDD505-2E9C-101B-9397-08002B2CF9AE}" pid="3" name="KSOProductBuildVer">
    <vt:lpwstr>2052-11.1.0.11365</vt:lpwstr>
  </property>
</Properties>
</file>