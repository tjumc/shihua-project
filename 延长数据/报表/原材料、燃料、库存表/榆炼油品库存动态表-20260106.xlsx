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榆林炼油厂油品动态明细表" sheetId="1" r:id="rId2"/>
    <sheet name="Sheet2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D5" authorId="0">
      <text>
        <r>
          <rPr>
            <b/>
            <sz val="9"/>
            <color indexed="81"/>
            <rFont val="宋体"/>
            <family val="2"/>
          </rPr>
          <t xml:space="preserve">#Input("榆炼_榆林炼油厂油品动态明细表_油尺_G115",":key{{dw}}")
</t>
        </r>
      </text>
    </comment>
    <comment ref="E5" authorId="0">
      <text>
        <r>
          <rPr>
            <b/>
            <sz val="9"/>
            <color indexed="81"/>
            <rFont val="宋体"/>
            <family val="2"/>
          </rPr>
          <t xml:space="preserve">#Input("榆炼_榆林炼油厂油品动态明细表_油量_G115",":key{{dw}}")
</t>
        </r>
      </text>
    </comment>
    <comment ref="K5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#Input("榆炼_榆林炼油厂油品动态明细表_油尺_G301",":key{{dw}}")</t>
        </r>
      </text>
    </comment>
    <comment ref="L5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#Input("榆炼_榆林炼油厂油品动态明细表_油量_G301",":key{{dw}}")</t>
        </r>
      </text>
    </comment>
    <comment ref="R5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#Input("榆炼_榆林炼油厂油品动态明细表_油尺_G403",":key{{dw}}")</t>
        </r>
      </text>
    </comment>
    <comment ref="S5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#Input("榆炼_榆林炼油厂油品动态明细表_油量_G403",":key{{dw}}")</t>
        </r>
      </text>
    </comment>
    <comment ref="D6" authorId="0">
      <text>
        <r>
          <rPr>
            <b/>
            <sz val="9"/>
            <color indexed="81"/>
            <rFont val="宋体"/>
            <family val="2"/>
          </rPr>
          <t xml:space="preserve">#Input("榆炼_榆林炼油厂油品动态明细表_油尺_G116",":key{{dw}}")
</t>
        </r>
      </text>
    </comment>
    <comment ref="E6" authorId="0">
      <text>
        <r>
          <rPr>
            <b/>
            <sz val="9"/>
            <color indexed="81"/>
            <rFont val="宋体"/>
            <family val="2"/>
          </rPr>
          <t xml:space="preserve">#Input("榆炼_榆林炼油厂油品动态明细表_油量_G116",":key{{dw}}")
</t>
        </r>
      </text>
    </comment>
    <comment ref="K6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#Input("榆炼_榆林炼油厂油品动态明细表_油尺_G303",":key{{dw}}")</t>
        </r>
      </text>
    </comment>
    <comment ref="L6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#Input("榆炼_榆林炼油厂油品动态明细表_油量_G303",":key{{dw}}")</t>
        </r>
      </text>
    </comment>
    <comment ref="R6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#Input("榆炼_榆林炼油厂油品动态明细表_油尺_G404",":key{{dw}}")</t>
        </r>
      </text>
    </comment>
    <comment ref="S6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#Input("榆炼_榆林炼油厂油品动态明细表_油量_G404",":key{{dw}}")</t>
        </r>
      </text>
    </comment>
    <comment ref="K7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#Input("榆炼_榆林炼油厂油品动态明细表_油尺_G307",":key{{dw}}")</t>
        </r>
      </text>
    </comment>
    <comment ref="L7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#Input("榆炼_榆林炼油厂油品动态明细表_油量_G307",":key{{dw}}")</t>
        </r>
      </text>
    </comment>
    <comment ref="R7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#Input("榆炼_榆林炼油厂油品动态明细表_油尺_G405",":key{{dw}}")</t>
        </r>
      </text>
    </comment>
    <comment ref="S7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#Input("榆炼_榆林炼油厂油品动态明细表_油量_G405",":key{{dw}}")</t>
        </r>
      </text>
    </comment>
    <comment ref="D8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#Input("榆炼_榆林炼油厂油品动态明细表_油尺_G104",":key{{dw}}")</t>
        </r>
      </text>
    </comment>
    <comment ref="E8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#Input("榆炼_榆林炼油厂油品动态明细表_油量_G104",":key{{dw}}")</t>
        </r>
      </text>
    </comment>
    <comment ref="K8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#Input("榆炼_榆林炼油厂油品动态明细表_油尺_G308",":key{{dw}}")</t>
        </r>
      </text>
    </comment>
    <comment ref="L8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#Input("榆炼_榆林炼油厂油品动态明细表_油量_G308",":key{{dw}}")</t>
        </r>
      </text>
    </comment>
    <comment ref="R8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#Input("榆炼_榆林炼油厂油品动态明细表_油尺_G406",":key{{dw}}")</t>
        </r>
      </text>
    </comment>
    <comment ref="S8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#Input("榆炼_榆林炼油厂油品动态明细表_油量_G406",":key{{dw}}")</t>
        </r>
      </text>
    </comment>
    <comment ref="D9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#Input("榆炼_榆林炼油厂油品动态明细表_油尺_G105",":key{{dw}}")</t>
        </r>
      </text>
    </comment>
    <comment ref="E9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#Input("榆炼_榆林炼油厂油品动态明细表_油量_G105",":key{{dw}}")</t>
        </r>
      </text>
    </comment>
    <comment ref="K9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#Input("榆炼_榆林炼油厂油品动态明细表_油尺_G309",":key{{dw}}")</t>
        </r>
      </text>
    </comment>
    <comment ref="L9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#Input("榆炼_榆林炼油厂油品动态明细表_油量_G309",":key{{dw}}")</t>
        </r>
      </text>
    </comment>
    <comment ref="R9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#Input("榆炼_榆林炼油厂油品动态明细表_油尺_G407",":key{{dw}}")</t>
        </r>
      </text>
    </comment>
    <comment ref="S9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#Input("榆炼_榆林炼油厂油品动态明细表_油量_G407",":key{{dw}}")</t>
        </r>
      </text>
    </comment>
    <comment ref="D10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#Input("榆炼_榆林炼油厂油品动态明细表_油尺_G106",":key{{dw}}")</t>
        </r>
      </text>
    </comment>
    <comment ref="E10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#Input("榆炼_榆林炼油厂油品动态明细表_油量_G106",":key{{dw}}")</t>
        </r>
      </text>
    </comment>
    <comment ref="K10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#Input("榆炼_榆林炼油厂油品动态明细表_油尺_G310",":key{{dw}}")</t>
        </r>
      </text>
    </comment>
    <comment ref="L10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#Input("榆炼_榆林炼油厂油品动态明细表_油量_G310",":key{{dw}}")</t>
        </r>
      </text>
    </comment>
    <comment ref="R10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#Input("榆炼_榆林炼油厂油品动态明细表_油尺_G408",":key{{dw}}")</t>
        </r>
      </text>
    </comment>
    <comment ref="S10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#Input("榆炼_榆林炼油厂油品动态明细表_油量_G408",":key{{dw}}")</t>
        </r>
      </text>
    </comment>
    <comment ref="D11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#Input("榆炼_榆林炼油厂油品动态明细表_油尺_G110",":key{{dw}}")</t>
        </r>
      </text>
    </comment>
    <comment ref="E11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#Input("榆炼_榆林炼油厂油品动态明细表_油量_G110",":key{{dw}}")</t>
        </r>
      </text>
    </comment>
    <comment ref="K12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#Input("榆炼_榆林炼油厂油品动态明细表_油尺_G3011",":key{{dw}}")</t>
        </r>
      </text>
    </comment>
    <comment ref="L12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#Input("榆炼_榆林炼油厂油品动态明细表_油量_G3011",":key{{dw}}")</t>
        </r>
      </text>
    </comment>
    <comment ref="R12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#Input("榆炼_榆林炼油厂油品动态明细表_油尺_G401",":key{{dw}}")</t>
        </r>
      </text>
    </comment>
    <comment ref="S12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#Input("榆炼_榆林炼油厂油品动态明细表_油量_G401",":key{{dw}}")</t>
        </r>
      </text>
    </comment>
    <comment ref="D13" authorId="0">
      <text>
        <r>
          <rPr>
            <b/>
            <sz val="9"/>
            <color indexed="81"/>
            <rFont val="宋体"/>
            <family val="2"/>
          </rPr>
          <t xml:space="preserve">#Input("榆炼_榆林炼油厂油品动态明细表_油尺_G103",":key{{dw}}")
</t>
        </r>
      </text>
    </comment>
    <comment ref="E13" authorId="0">
      <text>
        <r>
          <rPr>
            <b/>
            <sz val="9"/>
            <color indexed="81"/>
            <rFont val="宋体"/>
            <family val="2"/>
          </rPr>
          <t xml:space="preserve">#Input("榆炼_榆林炼油厂油品动态明细表_油量_G103",":key{{dw}}")
</t>
        </r>
      </text>
    </comment>
    <comment ref="K13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#Input("榆炼_榆林炼油厂油品动态明细表_油尺_G3022",":key{{dw}}")</t>
        </r>
      </text>
    </comment>
    <comment ref="L13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#Input("榆炼_榆林炼油厂油品动态明细表_油量_G3022",":key{{dw}}")</t>
        </r>
      </text>
    </comment>
    <comment ref="R13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#Input("榆炼_榆林炼油厂油品动态明细表_油尺_G402",":key{{dw}}")</t>
        </r>
      </text>
    </comment>
    <comment ref="S13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#Input("榆炼_榆林炼油厂油品动态明细表_油量_G402",":key{{dw}}")</t>
        </r>
      </text>
    </comment>
    <comment ref="D14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#Input("榆炼_榆林炼油厂油品动态明细表_油尺_G109",":key{{dw}}")</t>
        </r>
      </text>
    </comment>
    <comment ref="E14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#Input("榆炼_榆林炼油厂油品动态明细表_油量_G109",":key{{dw}}")</t>
        </r>
      </text>
    </comment>
    <comment ref="K14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#Input("榆炼_榆林炼油厂油品动态明细表_油尺_G3033",":key{{dw}}")</t>
        </r>
      </text>
    </comment>
    <comment ref="L14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#Input("榆炼_榆林炼油厂油品动态明细表_油量_G3033",":key{{dw}}")</t>
        </r>
      </text>
    </comment>
    <comment ref="R14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#Input("榆炼_榆林炼油厂油品动态明细表_油尺_G411",":key{{dw}}")</t>
        </r>
      </text>
    </comment>
    <comment ref="S14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#Input("榆炼_榆林炼油厂油品动态明细表_油量_G411",":key{{dw}}")</t>
        </r>
      </text>
    </comment>
    <comment ref="D15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#Input("榆炼_榆林炼油厂油品动态明细表_油尺_G111",":key{{dw}}")</t>
        </r>
      </text>
    </comment>
    <comment ref="E15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#Input("榆炼_榆林炼油厂油品动态明细表_油量_G111",":key{{dw}}")</t>
        </r>
      </text>
    </comment>
    <comment ref="R15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#Input("榆炼_榆林炼油厂油品动态明细表_油尺_G412",":key{{dw}}")</t>
        </r>
      </text>
    </comment>
    <comment ref="S15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#Input("榆炼_榆林炼油厂油品动态明细表_油量_G412",":key{{dw}}")</t>
        </r>
      </text>
    </comment>
    <comment ref="D16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#Input("榆炼_榆林炼油厂油品动态明细表_油尺_G112",":key{{dw}}")</t>
        </r>
      </text>
    </comment>
    <comment ref="E16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#Input("榆炼_榆林炼油厂油品动态明细表_油量_G112",":key{{dw}}")</t>
        </r>
      </text>
    </comment>
    <comment ref="K16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#Input("榆炼_榆林炼油厂油品动态明细表_油尺_G302",":key{{dw}}")</t>
        </r>
      </text>
    </comment>
    <comment ref="L16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#Input("榆炼_榆林炼油厂油品动态明细表_油量_G302",":key{{dw}}")</t>
        </r>
      </text>
    </comment>
    <comment ref="R16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#Input("榆炼_榆林炼油厂油品动态明细表_油尺_G413",":key{{dw}}")</t>
        </r>
      </text>
    </comment>
    <comment ref="S16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#Input("榆炼_榆林炼油厂油品动态明细表_油量_G413",":key{{dw}}")</t>
        </r>
      </text>
    </comment>
    <comment ref="D17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#Input("榆炼_榆林炼油厂油品动态明细表_油尺_G113",":key{{dw}}")</t>
        </r>
      </text>
    </comment>
    <comment ref="E17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#Input("榆炼_榆林炼油厂油品动态明细表_油量_G113",":key{{dw}}")</t>
        </r>
      </text>
    </comment>
    <comment ref="K17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#Input("榆炼_榆林炼油厂油品动态明细表_油尺_G304",":key{{dw}}")</t>
        </r>
      </text>
    </comment>
    <comment ref="L17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#Input("榆炼_榆林炼油厂油品动态明细表_油量_G304",":key{{dw}}")</t>
        </r>
      </text>
    </comment>
    <comment ref="D18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#Input("榆炼_榆林炼油厂油品动态明细表_油尺_G114",":key{{dw}}")</t>
        </r>
      </text>
    </comment>
    <comment ref="E18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#Input("榆炼_榆林炼油厂油品动态明细表_油量_G114",":key{{dw}}")</t>
        </r>
      </text>
    </comment>
    <comment ref="K18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#Input("榆炼_榆林炼油厂油品动态明细表_油尺_G311",":key{{dw}}")</t>
        </r>
      </text>
    </comment>
    <comment ref="L18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#Input("榆炼_榆林炼油厂油品动态明细表_油量_G311",":key{{dw}}")</t>
        </r>
      </text>
    </comment>
    <comment ref="R18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#Input("榆炼_榆林炼油厂油品动态明细表_油尺_G501",":key{{dw}}")</t>
        </r>
      </text>
    </comment>
    <comment ref="S18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#Input("榆炼_榆林炼油厂油品动态明细表_油量_G501",":key{{dw}}")</t>
        </r>
      </text>
    </comment>
    <comment ref="K19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#Input("榆炼_榆林炼油厂油品动态明细表_油尺_G312",":key{{dw}}")</t>
        </r>
      </text>
    </comment>
    <comment ref="L19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#Input("榆炼_榆林炼油厂油品动态明细表_油量_G312",":key{{dw}}")</t>
        </r>
      </text>
    </comment>
    <comment ref="R19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#Input("榆炼_榆林炼油厂油品动态明细表_油尺_G502",":key{{dw}}")</t>
        </r>
      </text>
    </comment>
    <comment ref="S19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#Input("榆炼_榆林炼油厂油品动态明细表_油量_G502",":key{{dw}}")</t>
        </r>
      </text>
    </comment>
    <comment ref="D20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#Input("榆炼_榆林炼油厂油品动态明细表_油尺_G201",":key{{dw}}")</t>
        </r>
      </text>
    </comment>
    <comment ref="E20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#Input("榆炼_榆林炼油厂油品动态明细表_油量_G201",":key{{dw}}")</t>
        </r>
      </text>
    </comment>
    <comment ref="R20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#Input("榆炼_榆林炼油厂油品动态明细表_油尺_G503",":key{{dw}}")</t>
        </r>
      </text>
    </comment>
    <comment ref="S20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#Input("榆炼_榆林炼油厂油品动态明细表_油量_G503",":key{{dw}}")</t>
        </r>
      </text>
    </comment>
    <comment ref="D21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#Input("榆炼_榆林炼油厂油品动态明细表_油尺_G202",":key{{dw}}")</t>
        </r>
      </text>
    </comment>
    <comment ref="E21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#Input("榆炼_榆林炼油厂油品动态明细表_油量_G202",":key{{dw}}")</t>
        </r>
      </text>
    </comment>
    <comment ref="K21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#Input("榆炼_榆林炼油厂油品动态明细表_油尺_G313",":key{{dw}}")</t>
        </r>
      </text>
    </comment>
    <comment ref="L21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#Input("榆炼_榆林炼油厂油品动态明细表_油量_G313",":key{{dw}}")</t>
        </r>
      </text>
    </comment>
    <comment ref="R21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#Input("榆炼_榆林炼油厂油品动态明细表_油尺_G504",":key{{dw}}")</t>
        </r>
      </text>
    </comment>
    <comment ref="S21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#Input("榆炼_榆林炼油厂油品动态明细表_油量_G504",":key{{dw}}")</t>
        </r>
      </text>
    </comment>
    <comment ref="K22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#Input("榆炼_榆林炼油厂油品动态明细表_油尺_G314",":key{{dw}}")</t>
        </r>
      </text>
    </comment>
    <comment ref="L22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#Input("榆炼_榆林炼油厂油品动态明细表_油量_G314",":key{{dw}}")</t>
        </r>
      </text>
    </comment>
    <comment ref="R22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#Input("榆炼_榆林炼油厂油品动态明细表_油尺_G511",":key{{dw}}")</t>
        </r>
      </text>
    </comment>
    <comment ref="S22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#Input("榆炼_榆林炼油厂油品动态明细表_油量_G511",":key{{dw}}")</t>
        </r>
      </text>
    </comment>
    <comment ref="D23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#Input("榆炼_榆林炼油厂油品动态明细表_油尺_G203",":key{{dw}}")</t>
        </r>
      </text>
    </comment>
    <comment ref="E23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#Input("榆炼_榆林炼油厂油品动态明细表_油量_G203",":key{{dw}}")</t>
        </r>
      </text>
    </comment>
    <comment ref="R23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#Input("榆炼_榆林炼油厂油品动态明细表_油尺_G512",":key{{dw}}")</t>
        </r>
      </text>
    </comment>
    <comment ref="S23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#Input("榆炼_榆林炼油厂油品动态明细表_油量_G512",":key{{dw}}")</t>
        </r>
      </text>
    </comment>
    <comment ref="D24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#Input("榆炼_榆林炼油厂油品动态明细表_油尺_G204",":key{{dw}}")</t>
        </r>
      </text>
    </comment>
    <comment ref="E24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#Input("榆炼_榆林炼油厂油品动态明细表_油量_G204",":key{{dw}}")</t>
        </r>
      </text>
    </comment>
    <comment ref="K24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#Input("榆炼_榆林炼油厂油品动态明细表_油尺_G315",":key{{dw}}")</t>
        </r>
      </text>
    </comment>
    <comment ref="L24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#Input("榆炼_榆林炼油厂油品动态明细表_油量_G315",":key{{dw}}")</t>
        </r>
      </text>
    </comment>
    <comment ref="D25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#Input("榆炼_榆林炼油厂油品动态明细表_油尺_G205",":key{{dw}}")</t>
        </r>
      </text>
    </comment>
    <comment ref="E25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#Input("榆炼_榆林炼油厂油品动态明细表_油量_G205",":key{{dw}}")</t>
        </r>
      </text>
    </comment>
    <comment ref="K25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#Input("榆炼_榆林炼油厂油品动态明细表_油尺_G316",":key{{dw}}")</t>
        </r>
      </text>
    </comment>
    <comment ref="L25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#Input("榆炼_榆林炼油厂油品动态明细表_油量_G316",":key{{dw}}")</t>
        </r>
      </text>
    </comment>
    <comment ref="R25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#Input("榆炼_榆林炼油厂油品动态明细表_油尺_G513",":key{{dw}}")</t>
        </r>
      </text>
    </comment>
    <comment ref="S25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#Input("榆炼_榆林炼油厂油品动态明细表_油量_G513",":key{{dw}}")</t>
        </r>
      </text>
    </comment>
    <comment ref="D26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#Input("榆炼_榆林炼油厂油品动态明细表_油尺_G206",":key{{dw}}")</t>
        </r>
      </text>
    </comment>
    <comment ref="E26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#Input("榆炼_榆林炼油厂油品动态明细表_油量_G206",":key{{dw}}")</t>
        </r>
      </text>
    </comment>
    <comment ref="R26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#Input("榆炼_榆林炼油厂油品动态明细表_油尺_G514",":key{{dw}}")</t>
        </r>
      </text>
    </comment>
    <comment ref="S26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#Input("榆炼_榆林炼油厂油品动态明细表_油量_G514",":key{{dw}}")</t>
        </r>
      </text>
    </comment>
    <comment ref="D27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#Input("榆炼_榆林炼油厂油品动态明细表_油尺_G207",":key{{dw}}")</t>
        </r>
      </text>
    </comment>
    <comment ref="E27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#Input("榆炼_榆林炼油厂油品动态明细表_油量_G207",":key{{dw}}")</t>
        </r>
      </text>
    </comment>
    <comment ref="K27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#Input("榆炼_榆林炼油厂油品动态明细表_油尺_G317",":key{{dw}}")</t>
        </r>
      </text>
    </comment>
    <comment ref="L27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#Input("榆炼_榆林炼油厂油品动态明细表_油量_G317",":key{{dw}}")</t>
        </r>
      </text>
    </comment>
    <comment ref="R27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#Input("榆炼_榆林炼油厂油品动态明细表_油尺_G515",":key{{dw}}")</t>
        </r>
      </text>
    </comment>
    <comment ref="S27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#Input("榆炼_榆林炼油厂油品动态明细表_油量_G515",":key{{dw}}")</t>
        </r>
      </text>
    </comment>
    <comment ref="K28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#Input("榆炼_榆林炼油厂油品动态明细表_油尺_G318",":key{{dw}}")</t>
        </r>
      </text>
    </comment>
    <comment ref="L28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#Input("榆炼_榆林炼油厂油品动态明细表_油量_G318",":key{{dw}}")</t>
        </r>
      </text>
    </comment>
    <comment ref="D29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#Input("榆炼_榆林炼油厂油品动态明细表_油尺_G2011",":key{{dw}}")</t>
        </r>
      </text>
    </comment>
    <comment ref="E29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#Input("榆炼_榆林炼油厂油品动态明细表_油量_G2011",":key{{dw}}")</t>
        </r>
      </text>
    </comment>
    <comment ref="R29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#Input("榆炼_榆林炼油厂油品动态明细表_油尺_G505",":key{{dw}}")</t>
        </r>
      </text>
    </comment>
    <comment ref="S29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#Input("榆炼_榆林炼油厂油品动态明细表_油量_G505",":key{{dw}}")</t>
        </r>
      </text>
    </comment>
    <comment ref="D30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#Input("榆炼_榆林炼油厂油品动态明细表_油尺_G2022",":key{{dw}}")</t>
        </r>
      </text>
    </comment>
    <comment ref="E30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#Input("榆炼_榆林炼油厂油品动态明细表_油量_G2022",":key{{dw}}")</t>
        </r>
      </text>
    </comment>
    <comment ref="K30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#Input("榆炼_榆林炼油厂油品动态明细表_油尺_G319",":key{{dw}}")</t>
        </r>
      </text>
    </comment>
    <comment ref="L30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#Input("榆炼_榆林炼油厂油品动态明细表_油量_G319",":key{{dw}}")</t>
        </r>
      </text>
    </comment>
    <comment ref="R30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#Input("榆炼_榆林炼油厂油品动态明细表_油尺_G506",":key{{dw}}")</t>
        </r>
      </text>
    </comment>
    <comment ref="S30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#Input("榆炼_榆林炼油厂油品动态明细表_油量_G506",":key{{dw}}")</t>
        </r>
      </text>
    </comment>
    <comment ref="D31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#Input("榆炼_榆林炼油厂油品动态明细表_油尺_G2033",":key{{dw}}")</t>
        </r>
      </text>
    </comment>
    <comment ref="E31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#Input("榆炼_榆林炼油厂油品动态明细表_油量_G2033",":key{{dw}}")</t>
        </r>
      </text>
    </comment>
    <comment ref="K31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#Input("榆炼_榆林炼油厂油品动态明细表_油尺_G320",":key{{dw}}")</t>
        </r>
      </text>
    </comment>
    <comment ref="L31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#Input("榆炼_榆林炼油厂油品动态明细表_油量_G320",":key{{dw}}")</t>
        </r>
      </text>
    </comment>
    <comment ref="R31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#Input("榆炼_榆林炼油厂油品动态明细表_油尺_G507",":key{{dw}}")</t>
        </r>
      </text>
    </comment>
    <comment ref="S31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#Input("榆炼_榆林炼油厂油品动态明细表_油量_G507",":key{{dw}}")</t>
        </r>
      </text>
    </comment>
    <comment ref="D32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#Input("榆炼_榆林炼油厂油品动态明细表_油尺_G2044",":key{{dw}}")</t>
        </r>
      </text>
    </comment>
    <comment ref="E32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#Input("榆炼_榆林炼油厂油品动态明细表_油量_G2044",":key{{dw}}")</t>
        </r>
      </text>
    </comment>
    <comment ref="R32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#Input("榆炼_榆林炼油厂油品动态明细表_油尺_G508",":key{{dw}}")</t>
        </r>
      </text>
    </comment>
    <comment ref="S32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#Input("榆炼_榆林炼油厂油品动态明细表_油量_G508",":key{{dw}}")</t>
        </r>
      </text>
    </comment>
    <comment ref="K33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#Input("榆炼_榆林炼油厂油品动态明细表_油尺_G321",":key{{dw}}")</t>
        </r>
      </text>
    </comment>
    <comment ref="L33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#Input("榆炼_榆林炼油厂油品动态明细表_油量_G321",":key{{dw}}")</t>
        </r>
      </text>
    </comment>
    <comment ref="R33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#Input("榆炼_榆林炼油厂油品动态明细表_油尺_G509",":key{{dw}}")</t>
        </r>
      </text>
    </comment>
    <comment ref="S33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#Input("榆炼_榆林炼油厂油品动态明细表_油量_G509",":key{{dw}}")</t>
        </r>
      </text>
    </comment>
    <comment ref="D34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#Input("榆炼_榆林炼油厂油品动态明细表_油尺_G221",":key{{dw}}")</t>
        </r>
      </text>
    </comment>
    <comment ref="E34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#Input("榆炼_榆林炼油厂油品动态明细表_油量_G221",":key{{dw}}")</t>
        </r>
      </text>
    </comment>
    <comment ref="K34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#Input("榆炼_榆林炼油厂油品动态明细表_油尺_G322",":key{{dw}}")</t>
        </r>
      </text>
    </comment>
    <comment ref="L34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#Input("榆炼_榆林炼油厂油品动态明细表_油量_G322",":key{{dw}}")</t>
        </r>
      </text>
    </comment>
    <comment ref="R34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#Input("榆炼_榆林炼油厂油品动态明细表_油尺_G510",":key{{dw}}")</t>
        </r>
      </text>
    </comment>
    <comment ref="S34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#Input("榆炼_榆林炼油厂油品动态明细表_油量_G510",":key{{dw}}")</t>
        </r>
      </text>
    </comment>
    <comment ref="D35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#Input("榆炼_榆林炼油厂油品动态明细表_油尺_G222",":key{{dw}}")</t>
        </r>
      </text>
    </comment>
    <comment ref="E35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#Input("榆炼_榆林炼油厂油品动态明细表_油量_G222",":key{{dw}}")</t>
        </r>
      </text>
    </comment>
    <comment ref="K35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#Input("榆炼_榆林炼油厂油品动态明细表_油尺_G323",":key{{dw}}")</t>
        </r>
      </text>
    </comment>
    <comment ref="L35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#Input("榆炼_榆林炼油厂油品动态明细表_油量_G323",":key{{dw}}")</t>
        </r>
      </text>
    </comment>
    <comment ref="D36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#Input("榆炼_榆林炼油厂油品动态明细表_油尺_G223",":key{{dw}}")</t>
        </r>
      </text>
    </comment>
    <comment ref="E36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#Input("榆炼_榆林炼油厂油品动态明细表_油量_G223",":key{{dw}}")</t>
        </r>
      </text>
    </comment>
    <comment ref="R36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#Input("榆炼_榆林炼油厂油品动态明细表_油尺_G516",":key{{dw}}")</t>
        </r>
      </text>
    </comment>
    <comment ref="S36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#Input("榆炼_榆林炼油厂油品动态明细表_油量_G516",":key{{dw}}")</t>
        </r>
      </text>
    </comment>
    <comment ref="K37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#Input("榆炼_榆林炼油厂油品动态明细表_油尺_G324",":key{{dw}}")</t>
        </r>
      </text>
    </comment>
    <comment ref="L37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#Input("榆炼_榆林炼油厂油品动态明细表_油量_G324",":key{{dw}}")</t>
        </r>
      </text>
    </comment>
    <comment ref="R37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#Input("榆炼_榆林炼油厂油品动态明细表_油尺_G517",":key{{dw}}")</t>
        </r>
      </text>
    </comment>
    <comment ref="S37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#Input("榆炼_榆林炼油厂油品动态明细表_油量_G517",":key{{dw}}")</t>
        </r>
      </text>
    </comment>
    <comment ref="D38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#Input("榆炼_榆林炼油厂油品动态明细表_油尺_G224",":key{{dw}}")</t>
        </r>
      </text>
    </comment>
    <comment ref="E38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#Input("榆炼_榆林炼油厂油品动态明细表_油量_G224",":key{{dw}}")</t>
        </r>
      </text>
    </comment>
    <comment ref="K38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#Input("榆炼_榆林炼油厂油品动态明细表_油尺_G325",":key{{dw}}")</t>
        </r>
      </text>
    </comment>
    <comment ref="L38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#Input("榆炼_榆林炼油厂油品动态明细表_油量_G325",":key{{dw}}")</t>
        </r>
      </text>
    </comment>
    <comment ref="R38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#Input("榆炼_榆林炼油厂油品动态明细表_油尺_G518",":key{{dw}}")</t>
        </r>
      </text>
    </comment>
    <comment ref="S38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#Input("榆炼_榆林炼油厂油品动态明细表_油量_G518",":key{{dw}}")</t>
        </r>
      </text>
    </comment>
    <comment ref="D39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#Input("榆炼_榆林炼油厂油品动态明细表_油尺_G225",":key{{dw}}")</t>
        </r>
      </text>
    </comment>
    <comment ref="E39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#Input("榆炼_榆林炼油厂油品动态明细表_油量_G225",":key{{dw}}")</t>
        </r>
      </text>
    </comment>
    <comment ref="K39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#Input("榆炼_榆林炼油厂油品动态明细表_油尺_G327",":key{{dw}}")</t>
        </r>
      </text>
    </comment>
    <comment ref="L39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#Input("榆炼_榆林炼油厂油品动态明细表_油量_G327",":key{{dw}}")</t>
        </r>
      </text>
    </comment>
    <comment ref="D40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#Input("榆炼_榆林炼油厂油品动态明细表_油尺_G226",":key{{dw}}")</t>
        </r>
      </text>
    </comment>
    <comment ref="E40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#Input("榆炼_榆林炼油厂油品动态明细表_油量_G226",":key{{dw}}")</t>
        </r>
      </text>
    </comment>
    <comment ref="R40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#Input("榆炼_榆林炼油厂油品动态明细表_油尺_G701",":key{{dw}}")</t>
        </r>
      </text>
    </comment>
    <comment ref="S40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#Input("榆炼_榆林炼油厂油品动态明细表_油量_G701",":key{{dw}}")</t>
        </r>
      </text>
    </comment>
    <comment ref="D41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#Input("榆炼_榆林炼油厂油品动态明细表_油尺_G227",":key{{dw}}")</t>
        </r>
      </text>
    </comment>
    <comment ref="E41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#Input("榆炼_榆林炼油厂油品动态明细表_油量_G227",":key{{dw}}")</t>
        </r>
      </text>
    </comment>
    <comment ref="K41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#Input("榆炼_榆林炼油厂油品动态明细表_油尺_G326",":key{{dw}}")</t>
        </r>
      </text>
    </comment>
    <comment ref="L41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#Input("榆炼_榆林炼油厂油品动态明细表_油量_G326",":key{{dw}}")</t>
        </r>
      </text>
    </comment>
    <comment ref="D42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#Input("榆炼_榆林炼油厂油品动态明细表_油尺_G228",":key{{dw}}")</t>
        </r>
      </text>
    </comment>
    <comment ref="E42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#Input("榆炼_榆林炼油厂油品动态明细表_油量_G228",":key{{dw}}")</t>
        </r>
      </text>
    </comment>
    <comment ref="K42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#Input("榆炼_榆林炼油厂油品动态明细表_油尺_G601",":key{{dw}}")</t>
        </r>
      </text>
    </comment>
    <comment ref="L42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#Input("榆炼_榆林炼油厂油品动态明细表_油量_G601",":key{{dw}}")</t>
        </r>
      </text>
    </comment>
    <comment ref="K43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#Input("榆炼_榆林炼油厂油品动态明细表_油尺_G602",":key{{dw}}")</t>
        </r>
      </text>
    </comment>
    <comment ref="L43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#Input("榆炼_榆林炼油厂油品动态明细表_油量_G602",":key{{dw}}")</t>
        </r>
      </text>
    </comment>
    <comment ref="E53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#Input("榆炼_榆林炼油厂油品动态明细表_单位负责人",":key{{dw}}")</t>
        </r>
      </text>
    </comment>
    <comment ref="I53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#Input("榆炼_榆林炼油厂油品动态明细表_统计负责人",":key{{dw}}")</t>
        </r>
      </text>
    </comment>
    <comment ref="N53" authorId="0">
      <text>
        <r>
          <rPr>
            <b/>
            <sz val="9"/>
            <color indexed="81"/>
            <rFont val="宋体"/>
            <family val="2"/>
          </rPr>
          <t>#Input("榆炼_榆林炼油厂油品动态明细表_填报人",":key{{dw}}")</t>
        </r>
      </text>
    </comment>
  </commentList>
</comments>
</file>

<file path=xl/sharedStrings.xml><?xml version="1.0" encoding="utf-8"?>
<sst xmlns="http://schemas.openxmlformats.org/spreadsheetml/2006/main" count="263" uniqueCount="82">
  <si>
    <t>榆林炼油厂油品动态明细表</t>
  </si>
  <si>
    <t>填报部门：生产计划部</t>
  </si>
  <si>
    <t>油品</t>
  </si>
  <si>
    <t>位号</t>
  </si>
  <si>
    <t>油尺</t>
  </si>
  <si>
    <t>油量</t>
  </si>
  <si>
    <t>空量</t>
  </si>
  <si>
    <t>容积,m3</t>
  </si>
  <si>
    <t>安高,m</t>
  </si>
  <si>
    <t>原油</t>
  </si>
  <si>
    <t>厂区汽油</t>
  </si>
  <si>
    <t>1#渣油</t>
  </si>
  <si>
    <t>合计</t>
  </si>
  <si>
    <t>含水   污油</t>
  </si>
  <si>
    <t>集运汽油</t>
  </si>
  <si>
    <t>2#渣油</t>
  </si>
  <si>
    <t>进口原油</t>
  </si>
  <si>
    <t>MTBE</t>
  </si>
  <si>
    <t>烷基化油</t>
  </si>
  <si>
    <t>裂解石脑油</t>
  </si>
  <si>
    <t>饱 和                                                                                                                                               液化气</t>
  </si>
  <si>
    <t>二线油</t>
  </si>
  <si>
    <t>催化汽油</t>
  </si>
  <si>
    <t>厂区柴油</t>
  </si>
  <si>
    <t>重整汽油</t>
  </si>
  <si>
    <t xml:space="preserve">                                                                                                                                               液化气
（饱和）</t>
  </si>
  <si>
    <t>二甲苯</t>
  </si>
  <si>
    <t>集运军柴</t>
  </si>
  <si>
    <t>.087</t>
  </si>
  <si>
    <t>原料
液化气</t>
  </si>
  <si>
    <t>集运柴油</t>
  </si>
  <si>
    <t>次品</t>
  </si>
  <si>
    <t>C6馏分油</t>
  </si>
  <si>
    <t>航煤</t>
  </si>
  <si>
    <t>石脑油
（航煤罐区）</t>
  </si>
  <si>
    <t>液化气
（饱和）</t>
  </si>
  <si>
    <t>石脑油
（油品罐区）</t>
  </si>
  <si>
    <t>加氢原料</t>
  </si>
  <si>
    <t>液氨</t>
  </si>
  <si>
    <t>精制油</t>
  </si>
  <si>
    <t>石油苯</t>
  </si>
  <si>
    <t>油品名称</t>
  </si>
  <si>
    <t>安全库容</t>
  </si>
  <si>
    <t>库容</t>
  </si>
  <si>
    <t>最大空量</t>
  </si>
  <si>
    <t>汽油</t>
  </si>
  <si>
    <t>厂区92#</t>
  </si>
  <si>
    <t>饱和液化气</t>
  </si>
  <si>
    <t>厂区95#</t>
  </si>
  <si>
    <t>原油罐</t>
  </si>
  <si>
    <t>集运92#</t>
  </si>
  <si>
    <t>苯</t>
  </si>
  <si>
    <t>渣油罐</t>
  </si>
  <si>
    <t>液体无水氨</t>
  </si>
  <si>
    <t>柴油</t>
  </si>
  <si>
    <t>厂区0#</t>
  </si>
  <si>
    <t>混合二甲苯</t>
  </si>
  <si>
    <t>厂区-10#</t>
  </si>
  <si>
    <t>重整原料</t>
  </si>
  <si>
    <t>精制航煤</t>
  </si>
  <si>
    <t>集运0#</t>
  </si>
  <si>
    <t>柴油加氢原料</t>
  </si>
  <si>
    <t>汽油精制原料</t>
  </si>
  <si>
    <t>原料液化气</t>
  </si>
  <si>
    <t>单位负责人：</t>
  </si>
  <si>
    <t>高庆军</t>
  </si>
  <si>
    <t>统计负责人：</t>
  </si>
  <si>
    <t>张林</t>
  </si>
  <si>
    <t>填报人：</t>
  </si>
  <si>
    <t>罗建新</t>
  </si>
  <si>
    <t>备注：1、空量不能为负值；2、汽油、石脑油储罐液位显示不能低于2.2米；3、原料气、饱和气、液氨库存需手填。</t>
  </si>
  <si>
    <t>总管廊</t>
  </si>
  <si>
    <t>总管量</t>
  </si>
  <si>
    <t>含水     污油</t>
  </si>
  <si>
    <t xml:space="preserve">                                                                                                                                               液化气（饱和）</t>
  </si>
  <si>
    <t>原料      液化气</t>
  </si>
  <si>
    <t>石脑油     （航煤罐区）</t>
  </si>
  <si>
    <t>液化气（饱和）</t>
  </si>
  <si>
    <t>石脑油     （油品罐区）</t>
  </si>
  <si>
    <t>报表生成时间：</t>
  </si>
  <si>
    <t>2026-01-06</t>
  </si>
  <si>
    <t>赵曙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</si>
</sst>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_ "/>
    <numFmt numFmtId="172" formatCode="0.00_ "/>
    <numFmt numFmtId="173" formatCode="0.000_ "/>
  </numFmts>
  <fonts count="28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2"/>
      <color auto="1"/>
      <name val="宋体"/>
    </font>
    <font>
      <b/>
      <sz val="11"/>
      <color auto="1"/>
      <name val="等线"/>
    </font>
    <font>
      <sz val="12"/>
      <color auto="1"/>
      <name val="Times New Roman"/>
    </font>
    <font>
      <sz val="12"/>
      <color theme="1"/>
      <name val="宋体"/>
    </font>
    <font>
      <sz val="11"/>
      <color auto="1"/>
      <name val="等线"/>
    </font>
    <font>
      <sz val="11"/>
      <color theme="1"/>
      <name val="等线"/>
    </font>
    <font>
      <sz val="12"/>
      <color theme="1"/>
      <name val="Times New Roman"/>
    </font>
    <font>
      <b/>
      <sz val="18"/>
      <color auto="1"/>
      <name val="等线"/>
    </font>
    <font>
      <b/>
      <sz val="11"/>
      <color rgb="FFFF0000"/>
      <name val="等线"/>
    </font>
    <font>
      <sz val="11"/>
      <color rgb="FFFF0000"/>
      <name val="等线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</patternFill>
    </fill>
    <fill>
      <patternFill patternType="solid">
        <fgColor rgb="FF00B0F0"/>
      </patternFill>
    </fill>
    <fill>
      <patternFill patternType="solid">
        <fgColor rgb="FFFFFF00"/>
      </patternFill>
    </fill>
  </fills>
  <borders count="20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</border>
  </borders>
  <cellStyleXfs count="48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>
      <alignment vertical="center"/>
    </xf>
  </cellStyleXfs>
  <cellXfs count="243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>
      <alignment vertical="center"/>
    </xf>
    <xf numFmtId="0" fontId="19" fillId="0" borderId="0" xfId="0" applyFont="1">
      <alignment horizontal="center" vertical="center"/>
    </xf>
    <xf numFmtId="0" fontId="20" fillId="0" borderId="0" xfId="0" applyFont="1">
      <alignment vertical="center"/>
    </xf>
    <xf numFmtId="171" fontId="21" fillId="0" borderId="0" xfId="47" applyFont="1" applyNumberFormat="1">
      <alignment horizontal="center" vertical="center"/>
    </xf>
    <xf numFmtId="0" fontId="0" fillId="0" borderId="0" xfId="0" applyFont="1">
      <alignment vertical="center"/>
    </xf>
    <xf numFmtId="20" fontId="0" fillId="0" borderId="0" xfId="0" applyFont="1" applyNumberFormat="1"/>
    <xf numFmtId="0" fontId="18" fillId="0" borderId="0" xfId="0" applyFont="1">
      <alignment vertical="center"/>
    </xf>
    <xf numFmtId="0" fontId="20" fillId="0" borderId="0" xfId="0" applyFont="1">
      <alignment vertical="center"/>
    </xf>
    <xf numFmtId="172" fontId="0" fillId="0" borderId="0" xfId="0" applyFont="1" applyNumberFormat="1">
      <alignment vertical="center"/>
    </xf>
    <xf numFmtId="171" fontId="22" fillId="0" borderId="0" xfId="0" applyFont="1" applyNumberFormat="1">
      <alignment horizontal="center" vertical="center"/>
    </xf>
    <xf numFmtId="0" fontId="23" fillId="0" borderId="0" xfId="47" applyFont="1">
      <alignment horizontal="center" vertical="center" wrapText="1"/>
    </xf>
    <xf numFmtId="171" fontId="24" fillId="33" borderId="0" xfId="0" applyFont="1" applyFill="1" applyNumberFormat="1">
      <alignment horizontal="center" vertical="center" wrapText="1"/>
    </xf>
    <xf numFmtId="171" fontId="20" fillId="0" borderId="0" xfId="0" applyFont="1" applyNumberFormat="1">
      <alignment horizontal="center" vertical="center"/>
    </xf>
    <xf numFmtId="171" fontId="20" fillId="33" borderId="0" xfId="0" applyFont="1" applyFill="1" applyNumberFormat="1">
      <alignment horizontal="center" vertical="center" wrapText="1"/>
    </xf>
    <xf numFmtId="0" fontId="23" fillId="0" borderId="0" xfId="47" applyFont="1">
      <alignment horizontal="center" vertical="center" wrapText="1"/>
    </xf>
    <xf numFmtId="0" fontId="20" fillId="0" borderId="0" xfId="0" applyFont="1">
      <alignment vertical="center"/>
    </xf>
    <xf numFmtId="172" fontId="23" fillId="7" borderId="0" xfId="47" applyFont="1" applyFill="1" applyNumberFormat="1">
      <alignment horizontal="center" vertical="center"/>
    </xf>
    <xf numFmtId="0" fontId="0" fillId="0" borderId="0" xfId="0" applyFont="1">
      <alignment vertical="center"/>
    </xf>
    <xf numFmtId="0" fontId="23" fillId="0" borderId="0" xfId="47" applyFont="1">
      <alignment horizontal="right" vertical="center" wrapText="1"/>
    </xf>
    <xf numFmtId="0" fontId="22" fillId="0" borderId="0" xfId="0" applyFont="1">
      <alignment horizontal="center" vertical="center"/>
    </xf>
    <xf numFmtId="0" fontId="23" fillId="0" borderId="0" xfId="0" applyFont="1">
      <alignment horizontal="right" vertical="center" wrapText="1"/>
    </xf>
    <xf numFmtId="0" fontId="25" fillId="0" borderId="0" xfId="0" applyFont="1">
      <alignment horizontal="center" vertical="center"/>
    </xf>
    <xf numFmtId="172" fontId="25" fillId="0" borderId="0" xfId="0" applyFont="1" applyNumberFormat="1">
      <alignment horizontal="center" vertical="center"/>
    </xf>
    <xf numFmtId="0" fontId="26" fillId="0" borderId="0" xfId="0" applyFont="1">
      <alignment horizontal="center" vertical="center"/>
    </xf>
    <xf numFmtId="0" fontId="19" fillId="0" borderId="0" xfId="0" applyFont="1">
      <alignment horizontal="center" vertical="center"/>
    </xf>
    <xf numFmtId="172" fontId="23" fillId="0" borderId="10" xfId="47" applyFont="1" applyBorder="1" applyNumberFormat="1">
      <alignment horizontal="center" vertical="center"/>
    </xf>
    <xf numFmtId="171" fontId="23" fillId="0" borderId="11" xfId="47" applyFont="1" applyBorder="1" applyNumberFormat="1">
      <alignment horizontal="center" vertical="center"/>
    </xf>
    <xf numFmtId="172" fontId="23" fillId="0" borderId="11" xfId="47" applyFont="1" applyBorder="1" applyNumberFormat="1">
      <alignment horizontal="center" vertical="center"/>
    </xf>
    <xf numFmtId="171" fontId="23" fillId="0" borderId="11" xfId="47" applyFont="1" applyBorder="1" applyNumberFormat="1">
      <alignment horizontal="center" vertical="center"/>
    </xf>
    <xf numFmtId="0" fontId="23" fillId="0" borderId="11" xfId="47" applyFont="1" applyBorder="1">
      <alignment horizontal="center" vertical="center"/>
    </xf>
    <xf numFmtId="171" fontId="23" fillId="0" borderId="11" xfId="47" applyFont="1" applyBorder="1" applyNumberFormat="1">
      <alignment horizontal="center" vertical="center" wrapText="1"/>
    </xf>
    <xf numFmtId="0" fontId="23" fillId="0" borderId="11" xfId="47" applyFont="1" applyBorder="1">
      <alignment horizontal="center" vertical="center"/>
    </xf>
    <xf numFmtId="171" fontId="22" fillId="0" borderId="11" xfId="0" applyFont="1" applyBorder="1" applyNumberFormat="1">
      <alignment horizontal="center" vertical="center"/>
    </xf>
    <xf numFmtId="0" fontId="23" fillId="0" borderId="11" xfId="0" applyFont="1" applyBorder="1">
      <alignment horizontal="center" vertical="center" wrapText="1"/>
    </xf>
    <xf numFmtId="0" fontId="22" fillId="0" borderId="11" xfId="0" applyFont="1" applyBorder="1">
      <alignment horizontal="center" vertical="center"/>
    </xf>
    <xf numFmtId="172" fontId="23" fillId="0" borderId="11" xfId="47" applyFont="1" applyBorder="1" applyNumberFormat="1">
      <alignment horizontal="center" vertical="center"/>
    </xf>
    <xf numFmtId="172" fontId="23" fillId="34" borderId="11" xfId="47" applyFont="1" applyFill="1" applyBorder="1" applyNumberFormat="1">
      <alignment horizontal="center" vertical="center"/>
    </xf>
    <xf numFmtId="172" fontId="23" fillId="35" borderId="11" xfId="47" applyFont="1" applyFill="1" applyBorder="1" applyNumberFormat="1">
      <alignment horizontal="center" vertical="center"/>
    </xf>
    <xf numFmtId="0" fontId="23" fillId="0" borderId="11" xfId="0" applyFont="1" applyBorder="1">
      <alignment vertical="center" wrapText="1"/>
    </xf>
    <xf numFmtId="0" fontId="23" fillId="0" borderId="11" xfId="0" applyFont="1" applyBorder="1">
      <alignment horizontal="center" vertical="center"/>
    </xf>
    <xf numFmtId="0" fontId="20" fillId="0" borderId="11" xfId="0" applyFont="1" applyBorder="1">
      <alignment vertical="center"/>
    </xf>
    <xf numFmtId="0" fontId="22" fillId="0" borderId="11" xfId="0" applyFont="1" applyBorder="1">
      <alignment horizontal="center" vertical="center"/>
    </xf>
    <xf numFmtId="0" fontId="23" fillId="0" borderId="11" xfId="0" applyFont="1" applyBorder="1">
      <alignment horizontal="center" vertical="center" wrapText="1"/>
    </xf>
    <xf numFmtId="171" fontId="23" fillId="0" borderId="11" xfId="0" applyFont="1" applyBorder="1" applyNumberFormat="1">
      <alignment horizontal="center" vertical="center" wrapText="1"/>
    </xf>
    <xf numFmtId="0" fontId="27" fillId="0" borderId="11" xfId="0" applyFont="1" applyBorder="1">
      <alignment horizontal="center" vertical="center" wrapText="1"/>
    </xf>
    <xf numFmtId="171" fontId="27" fillId="0" borderId="11" xfId="0" applyFont="1" applyBorder="1" applyNumberFormat="1">
      <alignment horizontal="center" vertical="center" wrapText="1"/>
    </xf>
    <xf numFmtId="0" fontId="23" fillId="0" borderId="11" xfId="47" applyFont="1" applyBorder="1">
      <alignment vertical="center" wrapText="1"/>
    </xf>
    <xf numFmtId="171" fontId="23" fillId="35" borderId="11" xfId="0" applyFont="1" applyFill="1" applyBorder="1" applyNumberFormat="1">
      <alignment horizontal="center" vertical="center" wrapText="1"/>
    </xf>
    <xf numFmtId="171" fontId="22" fillId="0" borderId="11" xfId="0" applyFont="1" applyBorder="1" applyNumberFormat="1">
      <alignment horizontal="center" vertical="center"/>
    </xf>
    <xf numFmtId="0" fontId="23" fillId="0" borderId="11" xfId="47" applyFont="1" applyBorder="1">
      <alignment horizontal="center" vertical="center" wrapText="1"/>
    </xf>
    <xf numFmtId="171" fontId="23" fillId="0" borderId="12" xfId="47" applyFont="1" applyBorder="1" applyNumberFormat="1">
      <alignment horizontal="center" vertical="center"/>
    </xf>
    <xf numFmtId="171" fontId="23" fillId="0" borderId="13" xfId="47" applyFont="1" applyBorder="1" applyNumberFormat="1">
      <alignment horizontal="center" vertical="center"/>
    </xf>
    <xf numFmtId="172" fontId="23" fillId="0" borderId="13" xfId="47" applyFont="1" applyBorder="1" applyNumberFormat="1">
      <alignment horizontal="center" vertical="center"/>
    </xf>
    <xf numFmtId="171" fontId="23" fillId="0" borderId="14" xfId="47" applyFont="1" applyBorder="1" applyNumberFormat="1">
      <alignment horizontal="center" vertical="center"/>
    </xf>
    <xf numFmtId="171" fontId="23" fillId="0" borderId="15" xfId="47" applyFont="1" applyBorder="1" applyNumberFormat="1">
      <alignment horizontal="center" vertical="center"/>
    </xf>
    <xf numFmtId="0" fontId="23" fillId="0" borderId="16" xfId="47" applyFont="1" applyBorder="1">
      <alignment horizontal="center" vertical="center"/>
    </xf>
    <xf numFmtId="171" fontId="23" fillId="0" borderId="15" xfId="47" applyFont="1" applyBorder="1" applyNumberFormat="1">
      <alignment horizontal="center" vertical="center" wrapText="1"/>
    </xf>
    <xf numFmtId="171" fontId="23" fillId="0" borderId="16" xfId="47" applyFont="1" applyBorder="1" applyNumberFormat="1">
      <alignment horizontal="center" vertical="center"/>
    </xf>
    <xf numFmtId="0" fontId="22" fillId="0" borderId="15" xfId="0" applyFont="1" applyBorder="1">
      <alignment vertical="center"/>
    </xf>
    <xf numFmtId="0" fontId="20" fillId="0" borderId="16" xfId="0" applyFont="1" applyBorder="1">
      <alignment vertical="center"/>
    </xf>
    <xf numFmtId="0" fontId="23" fillId="0" borderId="15" xfId="0" applyFont="1" applyBorder="1">
      <alignment horizontal="center" vertical="center" wrapText="1"/>
    </xf>
    <xf numFmtId="0" fontId="22" fillId="0" borderId="16" xfId="0" applyFont="1" applyBorder="1">
      <alignment horizontal="center" vertical="center"/>
    </xf>
    <xf numFmtId="171" fontId="22" fillId="0" borderId="16" xfId="0" applyFont="1" applyBorder="1" applyNumberFormat="1">
      <alignment horizontal="center" vertical="center"/>
    </xf>
    <xf numFmtId="171" fontId="23" fillId="35" borderId="16" xfId="0" applyFont="1" applyFill="1" applyBorder="1" applyNumberFormat="1">
      <alignment horizontal="center" vertical="center" wrapText="1"/>
    </xf>
    <xf numFmtId="0" fontId="23" fillId="0" borderId="17" xfId="0" applyFont="1" applyBorder="1">
      <alignment horizontal="center" vertical="center" wrapText="1"/>
    </xf>
    <xf numFmtId="0" fontId="23" fillId="0" borderId="18" xfId="0" applyFont="1" applyBorder="1">
      <alignment horizontal="center" vertical="center" wrapText="1"/>
    </xf>
    <xf numFmtId="0" fontId="27" fillId="0" borderId="18" xfId="0" applyFont="1" applyBorder="1">
      <alignment horizontal="center" vertical="center" wrapText="1"/>
    </xf>
    <xf numFmtId="171" fontId="23" fillId="0" borderId="18" xfId="0" applyFont="1" applyBorder="1" applyNumberFormat="1">
      <alignment horizontal="center" vertical="center" wrapText="1"/>
    </xf>
    <xf numFmtId="171" fontId="27" fillId="0" borderId="18" xfId="0" applyFont="1" applyBorder="1" applyNumberFormat="1">
      <alignment horizontal="center" vertical="center" wrapText="1"/>
    </xf>
    <xf numFmtId="0" fontId="23" fillId="0" borderId="18" xfId="47" applyFont="1" applyBorder="1">
      <alignment horizontal="center" vertical="center" wrapText="1"/>
    </xf>
    <xf numFmtId="0" fontId="23" fillId="0" borderId="18" xfId="0" applyFont="1" applyBorder="1">
      <alignment horizontal="center" vertical="center" wrapText="1"/>
    </xf>
    <xf numFmtId="171" fontId="22" fillId="0" borderId="18" xfId="0" applyFont="1" applyBorder="1" applyNumberFormat="1">
      <alignment horizontal="center" vertical="center"/>
    </xf>
    <xf numFmtId="0" fontId="20" fillId="0" borderId="18" xfId="0" applyFont="1" applyBorder="1">
      <alignment vertical="center"/>
    </xf>
    <xf numFmtId="0" fontId="20" fillId="0" borderId="19" xfId="0" applyFont="1" applyBorder="1">
      <alignment vertical="center"/>
    </xf>
    <xf numFmtId="172" fontId="23" fillId="7" borderId="11" xfId="47" applyFont="1" applyFill="1" applyBorder="1" applyNumberFormat="1">
      <alignment horizontal="center" vertical="center"/>
    </xf>
    <xf numFmtId="173" fontId="23" fillId="7" borderId="11" xfId="47" applyFont="1" applyFill="1" applyBorder="1" applyNumberFormat="1">
      <alignment horizontal="center" vertical="center"/>
    </xf>
    <xf numFmtId="0" fontId="22" fillId="7" borderId="11" xfId="0" applyFont="1" applyFill="1" applyBorder="1">
      <alignment horizontal="center" vertical="center"/>
    </xf>
    <xf numFmtId="0" fontId="23" fillId="7" borderId="11" xfId="47" applyFont="1" applyFill="1" applyBorder="1">
      <alignment horizontal="center" vertical="center"/>
    </xf>
    <xf numFmtId="171" fontId="23" fillId="7" borderId="11" xfId="47" applyFont="1" applyFill="1" applyBorder="1" applyNumberFormat="1">
      <alignment horizontal="center" vertical="center"/>
    </xf>
    <xf numFmtId="171" fontId="24" fillId="0" borderId="11" xfId="0" applyFont="1" applyBorder="1" applyNumberFormat="1">
      <alignment horizontal="center" vertical="center" wrapText="1"/>
    </xf>
    <xf numFmtId="171" fontId="24" fillId="33" borderId="11" xfId="0" applyFont="1" applyFill="1" applyBorder="1" applyNumberFormat="1">
      <alignment horizontal="center" vertical="center" wrapText="1"/>
    </xf>
    <xf numFmtId="171" fontId="20" fillId="0" borderId="11" xfId="0" applyFont="1" applyBorder="1" applyNumberFormat="1">
      <alignment horizontal="center" vertical="center"/>
    </xf>
    <xf numFmtId="171" fontId="24" fillId="0" borderId="11" xfId="0" applyFont="1" applyBorder="1" applyNumberFormat="1">
      <alignment horizontal="center" vertical="center"/>
    </xf>
    <xf numFmtId="171" fontId="20" fillId="33" borderId="11" xfId="0" applyFont="1" applyFill="1" applyBorder="1" applyNumberFormat="1">
      <alignment horizontal="center" vertical="center" wrapText="1"/>
    </xf>
    <xf numFmtId="172" fontId="23" fillId="0" borderId="16" xfId="47" applyFont="1" applyBorder="1" applyNumberFormat="1">
      <alignment horizontal="center" vertical="center"/>
    </xf>
    <xf numFmtId="171" fontId="24" fillId="0" borderId="18" xfId="0" applyFont="1" applyBorder="1" applyNumberFormat="1">
      <alignment horizontal="center" vertical="center" wrapText="1"/>
    </xf>
    <xf numFmtId="171" fontId="24" fillId="33" borderId="18" xfId="0" applyFont="1" applyFill="1" applyBorder="1" applyNumberFormat="1">
      <alignment horizontal="center" vertical="center" wrapText="1"/>
    </xf>
    <xf numFmtId="171" fontId="20" fillId="0" borderId="18" xfId="0" applyFont="1" applyBorder="1" applyNumberFormat="1">
      <alignment horizontal="center" vertical="center"/>
    </xf>
    <xf numFmtId="0" fontId="22" fillId="0" borderId="15" xfId="0" applyFont="1" applyBorder="1">
      <alignment horizontal="center" vertical="center"/>
    </xf>
    <xf numFmtId="171" fontId="23" fillId="0" borderId="15" xfId="47" applyFont="1" applyBorder="1" applyNumberFormat="1">
      <alignment horizontal="center" vertical="center" wrapText="1"/>
    </xf>
    <xf numFmtId="171" fontId="23" fillId="0" borderId="11" xfId="47" applyFont="1" applyBorder="1" applyNumberFormat="1">
      <alignment horizontal="center" vertical="center" wrapText="1"/>
    </xf>
    <xf numFmtId="0" fontId="23" fillId="0" borderId="11" xfId="0" applyFont="1" applyBorder="1">
      <alignment horizontal="center" vertical="center" wrapText="1"/>
    </xf>
    <xf numFmtId="171" fontId="23" fillId="0" borderId="13" xfId="47" applyFont="1" applyBorder="1" applyNumberFormat="1">
      <alignment horizontal="center" vertical="center"/>
    </xf>
    <xf numFmtId="171" fontId="23" fillId="0" borderId="14" xfId="47" applyFont="1" applyBorder="1" applyNumberFormat="1">
      <alignment horizontal="center" vertical="center"/>
    </xf>
    <xf numFmtId="0" fontId="23" fillId="0" borderId="11" xfId="0" applyFont="1" applyBorder="1">
      <alignment horizontal="center" vertical="center" wrapText="1"/>
    </xf>
    <xf numFmtId="0" fontId="0" fillId="0" borderId="0" xfId="0" applyFont="1">
      <alignment vertical="center" wrapText="1"/>
    </xf>
    <xf numFmtId="172" fontId="0" fillId="0" borderId="0" xfId="0" applyFont="1" applyNumberFormat="1">
      <alignment vertical="center"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25" fillId="0" borderId="0" xfId="0" applyFont="1">
      <alignment horizontal="center" vertical="center" wrapText="1"/>
    </xf>
    <xf numFmtId="0" fontId="22" fillId="0" borderId="0" xfId="0" applyFont="1">
      <alignment horizontal="center" vertical="center" wrapText="1"/>
    </xf>
    <xf numFmtId="0" fontId="19" fillId="0" borderId="0" xfId="0" applyFont="1">
      <alignment horizontal="center" vertical="center" wrapText="1"/>
    </xf>
    <xf numFmtId="0" fontId="26" fillId="0" borderId="0" xfId="0" applyFont="1">
      <alignment horizontal="center" vertical="center" wrapText="1"/>
    </xf>
    <xf numFmtId="171" fontId="23" fillId="0" borderId="12" xfId="0" applyFont="1" applyBorder="1" applyNumberFormat="1">
      <alignment horizontal="center" vertical="center" wrapText="1"/>
    </xf>
    <xf numFmtId="171" fontId="23" fillId="0" borderId="13" xfId="0" applyFont="1" applyBorder="1" applyNumberFormat="1">
      <alignment horizontal="center" vertical="center" wrapText="1"/>
    </xf>
    <xf numFmtId="172" fontId="23" fillId="0" borderId="13" xfId="0" applyFont="1" applyBorder="1" applyNumberFormat="1">
      <alignment horizontal="center" vertical="center" wrapText="1"/>
    </xf>
    <xf numFmtId="171" fontId="23" fillId="0" borderId="13" xfId="0" applyFont="1" applyBorder="1" applyNumberFormat="1">
      <alignment horizontal="center" vertical="center" wrapText="1"/>
    </xf>
    <xf numFmtId="171" fontId="23" fillId="0" borderId="14" xfId="0" applyFont="1" applyBorder="1" applyNumberFormat="1">
      <alignment horizontal="center" vertical="center" wrapText="1"/>
    </xf>
    <xf numFmtId="0" fontId="20" fillId="0" borderId="0" xfId="0" applyFont="1">
      <alignment vertical="center" wrapText="1"/>
    </xf>
    <xf numFmtId="171" fontId="23" fillId="0" borderId="15" xfId="0" applyFont="1" applyBorder="1" applyNumberFormat="1">
      <alignment horizontal="center" vertical="center" wrapText="1"/>
    </xf>
    <xf numFmtId="171" fontId="23" fillId="0" borderId="11" xfId="0" applyFont="1" applyBorder="1" applyNumberFormat="1">
      <alignment horizontal="center" vertical="center" wrapText="1"/>
    </xf>
    <xf numFmtId="172" fontId="23" fillId="7" borderId="11" xfId="0" applyFont="1" applyFill="1" applyBorder="1" applyNumberFormat="1">
      <alignment horizontal="center" vertical="center" wrapText="1"/>
      <protection locked="0"/>
    </xf>
    <xf numFmtId="172" fontId="23" fillId="0" borderId="11" xfId="0" applyFont="1" applyBorder="1" applyNumberFormat="1">
      <alignment horizontal="center" vertical="center" wrapText="1"/>
    </xf>
    <xf numFmtId="171" fontId="23" fillId="0" borderId="11" xfId="0" applyFont="1" applyBorder="1" applyNumberFormat="1">
      <alignment horizontal="center" vertical="center" wrapText="1"/>
    </xf>
    <xf numFmtId="172" fontId="23" fillId="0" borderId="16" xfId="0" applyFont="1" applyBorder="1" applyNumberFormat="1">
      <alignment horizontal="center" vertical="center" wrapText="1"/>
    </xf>
    <xf numFmtId="171" fontId="23" fillId="0" borderId="15" xfId="0" applyFont="1" applyBorder="1" applyNumberFormat="1">
      <alignment horizontal="center" vertical="center" wrapText="1"/>
    </xf>
    <xf numFmtId="171" fontId="23" fillId="0" borderId="15" xfId="0" applyFont="1" applyBorder="1" applyNumberFormat="1">
      <alignment horizontal="center" vertical="center" wrapText="1"/>
    </xf>
    <xf numFmtId="0" fontId="23" fillId="0" borderId="11" xfId="0" applyFont="1" applyBorder="1">
      <alignment horizontal="center" vertical="center" wrapText="1"/>
    </xf>
    <xf numFmtId="173" fontId="23" fillId="7" borderId="11" xfId="0" applyFont="1" applyFill="1" applyBorder="1" applyNumberFormat="1">
      <alignment horizontal="center" vertical="center" wrapText="1"/>
      <protection locked="0"/>
    </xf>
    <xf numFmtId="0" fontId="22" fillId="7" borderId="11" xfId="0" applyFont="1" applyFill="1" applyBorder="1">
      <alignment horizontal="center" vertical="center" wrapText="1"/>
      <protection locked="0"/>
    </xf>
    <xf numFmtId="171" fontId="22" fillId="0" borderId="11" xfId="0" applyFont="1" applyBorder="1" applyNumberFormat="1">
      <alignment horizontal="center" vertical="center" wrapText="1"/>
    </xf>
    <xf numFmtId="0" fontId="23" fillId="0" borderId="11" xfId="0" applyFont="1" applyBorder="1">
      <alignment horizontal="center" vertical="center" wrapText="1"/>
    </xf>
    <xf numFmtId="0" fontId="23" fillId="0" borderId="11" xfId="0" applyFont="1" applyBorder="1">
      <alignment horizontal="center" vertical="center" wrapText="1"/>
    </xf>
    <xf numFmtId="0" fontId="23" fillId="7" borderId="11" xfId="0" applyFont="1" applyFill="1" applyBorder="1">
      <alignment horizontal="center" vertical="center" wrapText="1"/>
      <protection locked="0"/>
    </xf>
    <xf numFmtId="0" fontId="22" fillId="0" borderId="11" xfId="0" applyFont="1" applyBorder="1">
      <alignment horizontal="center" vertical="center" wrapText="1"/>
    </xf>
    <xf numFmtId="172" fontId="23" fillId="0" borderId="11" xfId="0" applyFont="1" applyBorder="1" applyNumberFormat="1">
      <alignment horizontal="center" vertical="center" wrapText="1"/>
    </xf>
    <xf numFmtId="0" fontId="22" fillId="0" borderId="15" xfId="0" applyFont="1" applyBorder="1">
      <alignment horizontal="center" vertical="center" wrapText="1"/>
    </xf>
    <xf numFmtId="171" fontId="23" fillId="7" borderId="11" xfId="0" applyFont="1" applyFill="1" applyBorder="1" applyNumberFormat="1">
      <alignment horizontal="center" vertical="center" wrapText="1"/>
      <protection locked="0"/>
    </xf>
    <xf numFmtId="0" fontId="23" fillId="0" borderId="11" xfId="0" applyFont="1" applyBorder="1">
      <alignment horizontal="center" vertical="center" wrapText="1"/>
    </xf>
    <xf numFmtId="171" fontId="23" fillId="0" borderId="11" xfId="0" applyFont="1" applyBorder="1" applyNumberFormat="1">
      <alignment horizontal="center" vertical="center" wrapText="1"/>
    </xf>
    <xf numFmtId="171" fontId="23" fillId="0" borderId="11" xfId="0" applyFont="1" applyBorder="1" applyNumberFormat="1">
      <alignment horizontal="center" vertical="center" wrapText="1"/>
    </xf>
    <xf numFmtId="0" fontId="23" fillId="0" borderId="11" xfId="0" applyFont="1" applyBorder="1">
      <alignment horizontal="center" vertical="center" wrapText="1"/>
    </xf>
    <xf numFmtId="0" fontId="23" fillId="0" borderId="11" xfId="0" applyFont="1" applyBorder="1">
      <alignment horizontal="center" vertical="center" wrapText="1"/>
    </xf>
    <xf numFmtId="0" fontId="20" fillId="0" borderId="11" xfId="0" applyFont="1" applyBorder="1">
      <alignment vertical="center" wrapText="1"/>
    </xf>
    <xf numFmtId="0" fontId="23" fillId="0" borderId="15" xfId="0" applyFont="1" applyBorder="1">
      <alignment horizontal="center" vertical="center" wrapText="1"/>
    </xf>
    <xf numFmtId="0" fontId="22" fillId="0" borderId="11" xfId="0" applyFont="1" applyBorder="1">
      <alignment horizontal="center" vertical="center" wrapText="1"/>
    </xf>
    <xf numFmtId="0" fontId="23" fillId="0" borderId="11" xfId="0" applyFont="1" applyBorder="1">
      <alignment vertical="center" wrapText="1"/>
    </xf>
    <xf numFmtId="0" fontId="20" fillId="0" borderId="16" xfId="0" applyFont="1" applyBorder="1">
      <alignment vertical="center" wrapText="1"/>
    </xf>
    <xf numFmtId="0" fontId="23" fillId="0" borderId="11" xfId="0" applyFont="1" applyBorder="1">
      <alignment horizontal="center" vertical="center" wrapText="1"/>
    </xf>
    <xf numFmtId="171" fontId="24" fillId="0" borderId="11" xfId="0" applyFont="1" applyBorder="1" applyNumberFormat="1">
      <alignment horizontal="center" vertical="center" wrapText="1"/>
    </xf>
    <xf numFmtId="171" fontId="24" fillId="33" borderId="11" xfId="0" applyFont="1" applyFill="1" applyBorder="1" applyNumberFormat="1">
      <alignment horizontal="center" vertical="center" wrapText="1"/>
    </xf>
    <xf numFmtId="0" fontId="23" fillId="0" borderId="11" xfId="0" applyFont="1" applyBorder="1">
      <alignment vertical="center" wrapText="1"/>
    </xf>
    <xf numFmtId="171" fontId="20" fillId="0" borderId="11" xfId="0" applyFont="1" applyBorder="1" applyNumberFormat="1">
      <alignment horizontal="center" vertical="center" wrapText="1"/>
    </xf>
    <xf numFmtId="171" fontId="24" fillId="0" borderId="11" xfId="0" applyFont="1" applyBorder="1" applyNumberFormat="1">
      <alignment horizontal="center" vertical="center" wrapText="1"/>
    </xf>
    <xf numFmtId="171" fontId="20" fillId="33" borderId="11" xfId="0" applyFont="1" applyFill="1" applyBorder="1" applyNumberFormat="1">
      <alignment horizontal="center" vertical="center" wrapText="1"/>
    </xf>
    <xf numFmtId="171" fontId="22" fillId="0" borderId="11" xfId="0" applyFont="1" applyBorder="1" applyNumberFormat="1">
      <alignment horizontal="center" vertical="center" wrapText="1"/>
    </xf>
    <xf numFmtId="0" fontId="23" fillId="0" borderId="11" xfId="0" applyFont="1" applyBorder="1">
      <alignment horizontal="center" vertical="center" wrapText="1"/>
    </xf>
    <xf numFmtId="0" fontId="23" fillId="0" borderId="17" xfId="0" applyFont="1" applyBorder="1">
      <alignment horizontal="center" vertical="center" wrapText="1"/>
    </xf>
    <xf numFmtId="0" fontId="23" fillId="0" borderId="18" xfId="0" applyFont="1" applyBorder="1">
      <alignment horizontal="center" vertical="center" wrapText="1"/>
    </xf>
    <xf numFmtId="0" fontId="23" fillId="0" borderId="18" xfId="0" applyFont="1" applyBorder="1">
      <alignment horizontal="center" vertical="center" wrapText="1"/>
    </xf>
    <xf numFmtId="171" fontId="24" fillId="0" borderId="18" xfId="0" applyFont="1" applyBorder="1" applyNumberFormat="1">
      <alignment horizontal="center" vertical="center" wrapText="1"/>
    </xf>
    <xf numFmtId="171" fontId="22" fillId="0" borderId="18" xfId="0" applyFont="1" applyBorder="1" applyNumberFormat="1">
      <alignment horizontal="center" vertical="center" wrapText="1"/>
    </xf>
    <xf numFmtId="0" fontId="23" fillId="0" borderId="18" xfId="0" applyFont="1" applyBorder="1">
      <alignment horizontal="center" vertical="center" wrapText="1"/>
    </xf>
    <xf numFmtId="171" fontId="24" fillId="33" borderId="18" xfId="0" applyFont="1" applyFill="1" applyBorder="1" applyNumberFormat="1">
      <alignment horizontal="center" vertical="center" wrapText="1"/>
    </xf>
    <xf numFmtId="171" fontId="20" fillId="0" borderId="18" xfId="0" applyFont="1" applyBorder="1" applyNumberFormat="1">
      <alignment horizontal="center" vertical="center" wrapText="1"/>
    </xf>
    <xf numFmtId="0" fontId="20" fillId="0" borderId="18" xfId="0" applyFont="1" applyBorder="1">
      <alignment vertical="center" wrapText="1"/>
    </xf>
    <xf numFmtId="0" fontId="20" fillId="0" borderId="19" xfId="0" applyFont="1" applyBorder="1">
      <alignment vertical="center" wrapText="1"/>
    </xf>
    <xf numFmtId="0" fontId="23" fillId="0" borderId="0" xfId="0" applyFont="1">
      <alignment horizontal="right" vertical="center" wrapText="1"/>
    </xf>
    <xf numFmtId="172" fontId="23" fillId="7" borderId="0" xfId="0" applyFont="1" applyFill="1" applyNumberFormat="1">
      <alignment horizontal="center" vertical="center" wrapText="1"/>
      <protection locked="0"/>
    </xf>
    <xf numFmtId="171" fontId="22" fillId="0" borderId="0" xfId="0" applyFont="1" applyNumberFormat="1">
      <alignment horizontal="center" vertical="center" wrapText="1"/>
    </xf>
    <xf numFmtId="0" fontId="23" fillId="0" borderId="0" xfId="0" applyFont="1">
      <alignment horizontal="right" vertical="center" wrapText="1"/>
    </xf>
    <xf numFmtId="171" fontId="24" fillId="33" borderId="0" xfId="0" applyFont="1" applyFill="1" applyNumberFormat="1">
      <alignment horizontal="center" vertical="center" wrapText="1"/>
    </xf>
    <xf numFmtId="171" fontId="20" fillId="0" borderId="0" xfId="0" applyFont="1" applyNumberFormat="1">
      <alignment horizontal="center" vertical="center" wrapText="1"/>
    </xf>
    <xf numFmtId="0" fontId="23" fillId="0" borderId="0" xfId="0" applyFont="1">
      <alignment horizontal="center" vertical="center" wrapText="1"/>
    </xf>
    <xf numFmtId="0" fontId="23" fillId="0" borderId="0" xfId="0" applyFont="1">
      <alignment horizontal="center" vertical="center" wrapText="1"/>
    </xf>
    <xf numFmtId="171" fontId="20" fillId="33" borderId="0" xfId="0" applyFont="1" applyFill="1" applyNumberFormat="1">
      <alignment horizontal="center" vertical="center" wrapText="1"/>
    </xf>
    <xf numFmtId="0" fontId="20" fillId="0" borderId="0" xfId="0" applyFont="1">
      <alignment vertical="center" wrapText="1"/>
    </xf>
    <xf numFmtId="0" fontId="0" fillId="0" borderId="0" xfId="0" applyFont="1"/>
    <xf numFmtId="172" fontId="25" fillId="0" borderId="0" xfId="0" applyFont="1" applyNumberFormat="1">
      <alignment horizontal="center" vertical="center" wrapText="1"/>
    </xf>
    <xf numFmtId="0" fontId="19" fillId="0" borderId="0" xfId="0" applyFont="1">
      <alignment horizontal="center" vertical="center" wrapText="1"/>
    </xf>
    <xf numFmtId="172" fontId="23" fillId="0" borderId="10" xfId="0" applyFont="1" applyBorder="1" applyNumberFormat="1">
      <alignment horizontal="center" vertical="center" wrapText="1"/>
    </xf>
    <xf numFmtId="171" fontId="23" fillId="0" borderId="14" xfId="0" applyFont="1" applyBorder="1" applyNumberFormat="1">
      <alignment horizontal="center" vertical="center" wrapText="1"/>
    </xf>
    <xf numFmtId="0" fontId="0" fillId="0" borderId="0" xfId="0" applyFont="1">
      <alignment vertical="center" wrapText="1"/>
    </xf>
    <xf numFmtId="0" fontId="23" fillId="0" borderId="16" xfId="0" applyFont="1" applyBorder="1">
      <alignment horizontal="center" vertical="center" wrapText="1"/>
    </xf>
    <xf numFmtId="0" fontId="18" fillId="0" borderId="0" xfId="0" applyFont="1">
      <alignment vertical="center" wrapText="1"/>
    </xf>
    <xf numFmtId="0" fontId="18" fillId="0" borderId="0" xfId="0" applyFont="1">
      <alignment vertical="center" wrapText="1"/>
    </xf>
    <xf numFmtId="0" fontId="20" fillId="0" borderId="0" xfId="0" applyFont="1">
      <alignment vertical="center" wrapText="1"/>
    </xf>
    <xf numFmtId="0" fontId="20" fillId="0" borderId="0" xfId="0" applyFont="1">
      <alignment vertical="center" wrapText="1"/>
    </xf>
    <xf numFmtId="0" fontId="0" fillId="0" borderId="0" xfId="0" applyFont="1">
      <alignment wrapText="1"/>
    </xf>
    <xf numFmtId="171" fontId="23" fillId="0" borderId="16" xfId="0" applyFont="1" applyBorder="1" applyNumberFormat="1">
      <alignment horizontal="center" vertical="center" wrapText="1"/>
    </xf>
    <xf numFmtId="0" fontId="22" fillId="0" borderId="15" xfId="0" applyFont="1" applyBorder="1">
      <alignment vertical="center" wrapText="1"/>
    </xf>
    <xf numFmtId="172" fontId="23" fillId="34" borderId="11" xfId="0" applyFont="1" applyFill="1" applyBorder="1" applyNumberFormat="1">
      <alignment horizontal="center" vertical="center" wrapText="1"/>
    </xf>
    <xf numFmtId="172" fontId="23" fillId="35" borderId="11" xfId="0" applyFont="1" applyFill="1" applyBorder="1" applyNumberFormat="1">
      <alignment horizontal="center" vertical="center" wrapText="1"/>
    </xf>
    <xf numFmtId="0" fontId="22" fillId="0" borderId="16" xfId="0" applyFont="1" applyBorder="1">
      <alignment horizontal="center" vertical="center" wrapText="1"/>
    </xf>
    <xf numFmtId="171" fontId="23" fillId="0" borderId="11" xfId="0" applyFont="1" applyBorder="1" applyNumberFormat="1">
      <alignment horizontal="center" vertical="center" wrapText="1"/>
    </xf>
    <xf numFmtId="0" fontId="27" fillId="0" borderId="11" xfId="0" applyFont="1" applyBorder="1">
      <alignment horizontal="center" vertical="center" wrapText="1"/>
    </xf>
    <xf numFmtId="171" fontId="27" fillId="0" borderId="11" xfId="0" applyFont="1" applyBorder="1" applyNumberFormat="1">
      <alignment horizontal="center" vertical="center" wrapText="1"/>
    </xf>
    <xf numFmtId="171" fontId="22" fillId="0" borderId="16" xfId="0" applyFont="1" applyBorder="1" applyNumberFormat="1">
      <alignment horizontal="center" vertical="center" wrapText="1"/>
    </xf>
    <xf numFmtId="171" fontId="23" fillId="35" borderId="11" xfId="0" applyFont="1" applyFill="1" applyBorder="1" applyNumberFormat="1">
      <alignment horizontal="center" vertical="center" wrapText="1"/>
    </xf>
    <xf numFmtId="171" fontId="23" fillId="35" borderId="16" xfId="0" applyFont="1" applyFill="1" applyBorder="1" applyNumberFormat="1">
      <alignment horizontal="center" vertical="center" wrapText="1"/>
    </xf>
    <xf numFmtId="0" fontId="27" fillId="0" borderId="18" xfId="0" applyFont="1" applyBorder="1">
      <alignment horizontal="center" vertical="center" wrapText="1"/>
    </xf>
    <xf numFmtId="171" fontId="23" fillId="0" borderId="18" xfId="0" applyFont="1" applyBorder="1" applyNumberFormat="1">
      <alignment horizontal="center" vertical="center" wrapText="1"/>
    </xf>
    <xf numFmtId="171" fontId="27" fillId="0" borderId="18" xfId="0" applyFont="1" applyBorder="1" applyNumberFormat="1">
      <alignment horizontal="center" vertical="center" wrapText="1"/>
    </xf>
    <xf numFmtId="20" fontId="0" fillId="0" borderId="0" xfId="0" applyFont="1" applyNumberFormat="1">
      <alignment wrapText="1"/>
    </xf>
    <xf numFmtId="171" fontId="21" fillId="0" borderId="0" xfId="0" applyFont="1" applyNumberFormat="1">
      <alignment horizontal="center" vertical="center" wrapText="1"/>
    </xf>
    <xf numFmtId="0" fontId="0" fillId="0" borderId="0" xfId="0" applyFont="1">
      <alignment vertical="center" wrapText="1"/>
    </xf>
  </cellXfs>
  <cellStyles count="48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常规_Sheet1_1" xfId="47"/>
  </cellStyles>
  <dxfs count="7">
    <dxf>
      <font>
        <color rgb="FFFF0000"/>
      </font>
      <border/>
    </dxf>
    <dxf>
      <font>
        <color rgb="FFFF0000"/>
      </font>
      <border/>
    </dxf>
    <dxf>
      <font>
        <color rgb="FFFF0000"/>
      </font>
      <border/>
    </dxf>
    <dxf>
      <font>
        <color rgb="FFFF0000"/>
      </font>
      <border/>
    </dxf>
    <dxf>
      <font>
        <color rgb="FFFF0000"/>
      </font>
      <border/>
    </dxf>
    <dxf>
      <font>
        <color rgb="FFFF0000"/>
      </font>
      <border/>
    </dxf>
    <dxf>
      <font>
        <color rgb="FFFF0000"/>
      </font>
      <border/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3EDB457-6192-0EE9-9C98-DFBBAFE7A5C8}" mc:Ignorable="x14ac xr xr2 xr3">
  <dimension ref="A1:V57"/>
  <sheetViews>
    <sheetView topLeftCell="A1" showGridLines="0" zoomScale="85" workbookViewId="0" tabSelected="1">
      <selection activeCell="A1" sqref="A1"/>
    </sheetView>
  </sheetViews>
  <sheetFormatPr defaultColWidth="10.00390625" customHeight="1" defaultRowHeight="13.799999999999999"/>
  <cols>
    <col min="1" max="1" style="64" width="0.28125" customWidth="1"/>
    <col min="2" max="2" style="64" width="11.7109375" customWidth="1"/>
    <col min="3" max="3" style="64" width="10.00390625"/>
    <col min="4" max="4" style="55" width="12.7109375" customWidth="1"/>
    <col min="5" max="5" style="64" width="12.7109375" customWidth="1"/>
    <col min="6" max="6" style="64" width="13.8515625" customWidth="1"/>
    <col min="7" max="7" style="64" width="10.7109375" customWidth="1"/>
    <col min="8" max="8" style="64" width="8.00390625" customWidth="1"/>
    <col min="9" max="9" style="64" width="13.8515625" customWidth="1"/>
    <col min="10" max="10" style="64" width="15.7109375" customWidth="1"/>
    <col min="11" max="12" style="64" width="12.7109375" customWidth="1"/>
    <col min="13" max="13" style="64" width="10.00390625"/>
    <col min="14" max="15" style="64" width="10.7109375" customWidth="1"/>
    <col min="16" max="16" style="64" width="15.7109375" customWidth="1"/>
    <col min="17" max="17" style="214" width="12.140625" customWidth="1"/>
    <col min="18" max="19" style="214" width="12.7109375" customWidth="1"/>
    <col min="21" max="21" style="214" width="8.7109375" customWidth="1"/>
    <col min="22" max="22" style="214" width="8.00390625" customWidth="1"/>
  </cols>
  <sheetData>
    <row customHeight="1" ht="1.5">
      <c r="A1" s="142"/>
      <c r="B1" s="142"/>
      <c r="C1" s="142"/>
      <c r="D1" s="143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4"/>
      <c r="R1" s="144"/>
      <c r="S1" s="144"/>
      <c r="T1" s="145"/>
      <c r="U1" s="144"/>
      <c r="V1" s="144"/>
    </row>
    <row customHeight="1" ht="25.5">
      <c r="A2" s="142"/>
      <c r="B2" s="146" t="s">
        <v>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</row>
    <row customHeight="1" ht="15">
      <c r="A3" s="142"/>
      <c r="B3" s="147" t="s">
        <v>1</v>
      </c>
      <c r="C3" s="147"/>
      <c r="D3" s="147"/>
      <c r="E3" s="147"/>
      <c r="F3" s="148"/>
      <c r="G3" s="148"/>
      <c r="H3" s="147" t="str">
        <f>Sheet2!B54&amp;Sheet2!C54&amp;Sheet2!D54</f>
        <v>报表生成时间：2026-01-06</v>
      </c>
      <c r="I3" s="147"/>
      <c r="J3" s="147"/>
      <c r="K3" s="147"/>
      <c r="L3" s="148"/>
      <c r="M3" s="149"/>
      <c r="N3" s="149"/>
      <c r="O3" s="149"/>
      <c r="P3" s="149"/>
      <c r="Q3" s="144"/>
      <c r="R3" s="144"/>
      <c r="S3" s="144"/>
      <c r="T3" s="145"/>
      <c r="U3" s="144"/>
      <c r="V3" s="144"/>
    </row>
    <row customHeight="1" ht="15">
      <c r="A4" s="142"/>
      <c r="B4" s="150" t="s">
        <v>2</v>
      </c>
      <c r="C4" s="151" t="s">
        <v>3</v>
      </c>
      <c r="D4" s="152" t="s">
        <v>4</v>
      </c>
      <c r="E4" s="151" t="s">
        <v>5</v>
      </c>
      <c r="F4" s="151" t="s">
        <v>6</v>
      </c>
      <c r="G4" s="153" t="s">
        <v>7</v>
      </c>
      <c r="H4" s="153" t="s">
        <v>8</v>
      </c>
      <c r="I4" s="151" t="s">
        <v>2</v>
      </c>
      <c r="J4" s="151" t="s">
        <v>3</v>
      </c>
      <c r="K4" s="151" t="s">
        <v>4</v>
      </c>
      <c r="L4" s="151" t="s">
        <v>5</v>
      </c>
      <c r="M4" s="151" t="s">
        <v>6</v>
      </c>
      <c r="N4" s="153" t="s">
        <v>7</v>
      </c>
      <c r="O4" s="153" t="s">
        <v>8</v>
      </c>
      <c r="P4" s="151" t="s">
        <v>2</v>
      </c>
      <c r="Q4" s="151" t="s">
        <v>3</v>
      </c>
      <c r="R4" s="151" t="s">
        <v>4</v>
      </c>
      <c r="S4" s="151" t="s">
        <v>5</v>
      </c>
      <c r="T4" s="151" t="s">
        <v>6</v>
      </c>
      <c r="U4" s="153" t="s">
        <v>7</v>
      </c>
      <c r="V4" s="154" t="s">
        <v>8</v>
      </c>
    </row>
    <row s="62" customFormat="1" customHeight="1" ht="15">
      <c r="A5" s="155"/>
      <c r="B5" s="156" t="s">
        <v>9</v>
      </c>
      <c r="C5" s="157">
        <v>115</v>
      </c>
      <c r="D5" s="158">
        <v>7.026</v>
      </c>
      <c r="E5" s="158">
        <v>7306.629</v>
      </c>
      <c r="F5" s="159">
        <f>_xlfn.IFERROR(Sheet2!G5-E5,"")</f>
        <v>6733.371</v>
      </c>
      <c r="G5" s="157">
        <v>20000</v>
      </c>
      <c r="H5" s="159">
        <v>13.7</v>
      </c>
      <c r="I5" s="160" t="s">
        <v>10</v>
      </c>
      <c r="J5" s="157">
        <v>301</v>
      </c>
      <c r="K5" s="158">
        <v>8.526</v>
      </c>
      <c r="L5" s="158">
        <v>2216.854</v>
      </c>
      <c r="M5" s="159">
        <f>_xlfn.IFERROR(Sheet2!O4-L5,"")</f>
        <v>1163.146</v>
      </c>
      <c r="N5" s="157">
        <v>5000</v>
      </c>
      <c r="O5" s="159">
        <v>12.9</v>
      </c>
      <c r="P5" s="160" t="s">
        <v>11</v>
      </c>
      <c r="Q5" s="157">
        <v>403</v>
      </c>
      <c r="R5" s="158">
        <v>8.826</v>
      </c>
      <c r="S5" s="158">
        <v>4765.805</v>
      </c>
      <c r="T5" s="159">
        <f>_xlfn.IFERROR(Sheet2!W4-S5,"")</f>
        <v>2254.195</v>
      </c>
      <c r="U5" s="157">
        <v>10000</v>
      </c>
      <c r="V5" s="161">
        <v>13.7</v>
      </c>
    </row>
    <row s="62" customFormat="1" customHeight="1" ht="15">
      <c r="A6" s="155"/>
      <c r="B6" s="156"/>
      <c r="C6" s="157">
        <v>116</v>
      </c>
      <c r="D6" s="158">
        <v>6.174</v>
      </c>
      <c r="E6" s="158">
        <v>6421.297</v>
      </c>
      <c r="F6" s="159">
        <f>_xlfn.IFERROR(Sheet2!G6-E6,"")</f>
        <v>7618.703</v>
      </c>
      <c r="G6" s="157">
        <v>20000</v>
      </c>
      <c r="H6" s="159">
        <v>13.7</v>
      </c>
      <c r="I6" s="160"/>
      <c r="J6" s="157">
        <v>303</v>
      </c>
      <c r="K6" s="158">
        <v>11.977</v>
      </c>
      <c r="L6" s="158">
        <v>3113.968</v>
      </c>
      <c r="M6" s="159">
        <f>_xlfn.IFERROR(Sheet2!O5-L6,"")</f>
        <v>266.032</v>
      </c>
      <c r="N6" s="157">
        <v>5000</v>
      </c>
      <c r="O6" s="159">
        <v>12.9</v>
      </c>
      <c r="P6" s="160"/>
      <c r="Q6" s="157">
        <v>404</v>
      </c>
      <c r="R6" s="158">
        <v>9.195</v>
      </c>
      <c r="S6" s="158">
        <v>4965.524</v>
      </c>
      <c r="T6" s="159">
        <f>_xlfn.IFERROR(Sheet2!W5-S6,"")</f>
        <v>2054.476</v>
      </c>
      <c r="U6" s="157">
        <v>10000</v>
      </c>
      <c r="V6" s="161">
        <v>13.7</v>
      </c>
    </row>
    <row s="62" customFormat="1" customHeight="1" ht="15">
      <c r="A7" s="155"/>
      <c r="B7" s="156"/>
      <c r="C7" s="160" t="s">
        <v>12</v>
      </c>
      <c r="D7" s="160"/>
      <c r="E7" s="159">
        <f>SUM(E5:E6)</f>
        <v>13727.926</v>
      </c>
      <c r="F7" s="159">
        <f>SUM(F5:F6)</f>
        <v>14352.074</v>
      </c>
      <c r="G7" s="157"/>
      <c r="H7" s="159"/>
      <c r="I7" s="160"/>
      <c r="J7" s="157">
        <v>307</v>
      </c>
      <c r="K7" s="158">
        <v>12.897</v>
      </c>
      <c r="L7" s="158">
        <v>6706.669</v>
      </c>
      <c r="M7" s="159">
        <f>_xlfn.IFERROR(Sheet2!O6-L7,"")</f>
        <v>105.331</v>
      </c>
      <c r="N7" s="157">
        <v>10000</v>
      </c>
      <c r="O7" s="159">
        <v>13.6</v>
      </c>
      <c r="P7" s="160"/>
      <c r="Q7" s="157">
        <v>405</v>
      </c>
      <c r="R7" s="158">
        <v>11.65</v>
      </c>
      <c r="S7" s="158">
        <v>7164.925</v>
      </c>
      <c r="T7" s="159">
        <f>_xlfn.IFERROR(Sheet2!W6-S7,"")</f>
        <v>1322.075</v>
      </c>
      <c r="U7" s="157">
        <v>10000</v>
      </c>
      <c r="V7" s="161">
        <v>15.2</v>
      </c>
    </row>
    <row s="62" customFormat="1" customHeight="1" ht="15">
      <c r="A8" s="155"/>
      <c r="B8" s="136" t="s">
        <v>13</v>
      </c>
      <c r="C8" s="157">
        <v>104</v>
      </c>
      <c r="D8" s="158">
        <v>13.29</v>
      </c>
      <c r="E8" s="158">
        <v>0</v>
      </c>
      <c r="F8" s="159">
        <f>_xlfn.IFERROR(Sheet2!G8-E8,"")</f>
        <v>7155</v>
      </c>
      <c r="G8" s="157">
        <v>10000</v>
      </c>
      <c r="H8" s="159">
        <v>13.7</v>
      </c>
      <c r="I8" s="160"/>
      <c r="J8" s="157">
        <v>308</v>
      </c>
      <c r="K8" s="158">
        <v>6.616</v>
      </c>
      <c r="L8" s="158">
        <v>3440.198</v>
      </c>
      <c r="M8" s="159">
        <f>_xlfn.IFERROR(Sheet2!O7-L8,"")</f>
        <v>3371.802</v>
      </c>
      <c r="N8" s="157">
        <v>10000</v>
      </c>
      <c r="O8" s="159">
        <v>13.6</v>
      </c>
      <c r="P8" s="160"/>
      <c r="Q8" s="157">
        <v>406</v>
      </c>
      <c r="R8" s="158">
        <v>8.574</v>
      </c>
      <c r="S8" s="158">
        <v>5272.861</v>
      </c>
      <c r="T8" s="159">
        <f>_xlfn.IFERROR(Sheet2!W7-S8,"")</f>
        <v>3214.139</v>
      </c>
      <c r="U8" s="157">
        <v>10000</v>
      </c>
      <c r="V8" s="161">
        <v>15.2</v>
      </c>
    </row>
    <row s="62" customFormat="1" customHeight="1" ht="15">
      <c r="A9" s="155"/>
      <c r="B9" s="103"/>
      <c r="C9" s="157">
        <v>105</v>
      </c>
      <c r="D9" s="158">
        <v>11.17</v>
      </c>
      <c r="E9" s="158">
        <v>0</v>
      </c>
      <c r="F9" s="159">
        <f>_xlfn.IFERROR(Sheet2!G9-E9,"")</f>
        <v>3776</v>
      </c>
      <c r="G9" s="157">
        <v>5000</v>
      </c>
      <c r="H9" s="159">
        <v>12.2</v>
      </c>
      <c r="I9" s="160"/>
      <c r="J9" s="157">
        <v>309</v>
      </c>
      <c r="K9" s="158">
        <v>12.69</v>
      </c>
      <c r="L9" s="158">
        <v>6598.884</v>
      </c>
      <c r="M9" s="159">
        <f>_xlfn.IFERROR(Sheet2!O8-L9,"")</f>
        <v>213.116</v>
      </c>
      <c r="N9" s="157">
        <v>10000</v>
      </c>
      <c r="O9" s="159">
        <v>13.6</v>
      </c>
      <c r="P9" s="160"/>
      <c r="Q9" s="157">
        <v>407</v>
      </c>
      <c r="R9" s="158">
        <v>7.403</v>
      </c>
      <c r="S9" s="158">
        <v>4552.724</v>
      </c>
      <c r="T9" s="159">
        <f>_xlfn.IFERROR(Sheet2!W8-S9,"")</f>
        <v>3934.276</v>
      </c>
      <c r="U9" s="157">
        <v>10000</v>
      </c>
      <c r="V9" s="161">
        <v>15.2</v>
      </c>
    </row>
    <row s="62" customFormat="1" customHeight="1" ht="15">
      <c r="A10" s="155"/>
      <c r="B10" s="103"/>
      <c r="C10" s="157">
        <v>106</v>
      </c>
      <c r="D10" s="158">
        <v>7.33</v>
      </c>
      <c r="E10" s="158">
        <v>0</v>
      </c>
      <c r="F10" s="159">
        <f>_xlfn.IFERROR(Sheet2!G10-E10,"")</f>
        <v>3776</v>
      </c>
      <c r="G10" s="157">
        <v>5000</v>
      </c>
      <c r="H10" s="159">
        <v>12.2</v>
      </c>
      <c r="I10" s="160"/>
      <c r="J10" s="157">
        <v>310</v>
      </c>
      <c r="K10" s="158">
        <v>2.49</v>
      </c>
      <c r="L10" s="158">
        <v>1294.644</v>
      </c>
      <c r="M10" s="159">
        <f>_xlfn.IFERROR(Sheet2!O9-L10,"")</f>
        <v>5517.356</v>
      </c>
      <c r="N10" s="157">
        <v>10000</v>
      </c>
      <c r="O10" s="159">
        <v>13.6</v>
      </c>
      <c r="P10" s="160"/>
      <c r="Q10" s="157">
        <v>408</v>
      </c>
      <c r="R10" s="158">
        <v>7.785</v>
      </c>
      <c r="S10" s="158">
        <v>4125.908</v>
      </c>
      <c r="T10" s="159">
        <f>_xlfn.IFERROR(Sheet2!W9-S10,"")</f>
        <v>3188.092</v>
      </c>
      <c r="U10" s="157">
        <v>10000</v>
      </c>
      <c r="V10" s="161">
        <v>15.2</v>
      </c>
    </row>
    <row s="62" customFormat="1" customHeight="1" ht="15">
      <c r="A11" s="155"/>
      <c r="B11" s="103"/>
      <c r="C11" s="157">
        <v>110</v>
      </c>
      <c r="D11" s="158">
        <v>9.157</v>
      </c>
      <c r="E11" s="158">
        <v>9523.488</v>
      </c>
      <c r="F11" s="159">
        <f>_xlfn.IFERROR(Sheet2!G11-E11,"")</f>
        <v>4516.512</v>
      </c>
      <c r="G11" s="157">
        <v>20000</v>
      </c>
      <c r="H11" s="159">
        <v>14.3</v>
      </c>
      <c r="I11" s="160"/>
      <c r="J11" s="160" t="s">
        <v>12</v>
      </c>
      <c r="K11" s="160"/>
      <c r="L11" s="159">
        <f>SUM(L5:L10)</f>
        <v>23371.217</v>
      </c>
      <c r="M11" s="159">
        <f>SUM(M5:M10)</f>
        <v>10636.783</v>
      </c>
      <c r="N11" s="157"/>
      <c r="O11" s="159"/>
      <c r="P11" s="160"/>
      <c r="Q11" s="160" t="s">
        <v>12</v>
      </c>
      <c r="R11" s="160"/>
      <c r="S11" s="159">
        <f>SUM(S5:S9)</f>
        <v>26721.839</v>
      </c>
      <c r="T11" s="159">
        <f>SUM(T5:T9)</f>
        <v>12779.161</v>
      </c>
      <c r="U11" s="157"/>
      <c r="V11" s="161"/>
    </row>
    <row s="62" customFormat="1" customHeight="1" ht="15">
      <c r="A12" s="155"/>
      <c r="B12" s="103"/>
      <c r="C12" s="164" t="s">
        <v>12</v>
      </c>
      <c r="D12" s="164"/>
      <c r="E12" s="159">
        <f>SUM(E8:E11)</f>
        <v>9523.488</v>
      </c>
      <c r="F12" s="159">
        <f>SUM(F8:F11)</f>
        <v>19223.512</v>
      </c>
      <c r="G12" s="157"/>
      <c r="H12" s="159"/>
      <c r="I12" s="160" t="s">
        <v>14</v>
      </c>
      <c r="J12" s="157">
        <v>301</v>
      </c>
      <c r="K12" s="165">
        <v>13.675</v>
      </c>
      <c r="L12" s="158">
        <v>16683.05</v>
      </c>
      <c r="M12" s="159">
        <f>_xlfn.IFERROR(Sheet2!O11-L12,"")</f>
        <v>3080.95</v>
      </c>
      <c r="N12" s="157">
        <v>30000</v>
      </c>
      <c r="O12" s="159">
        <v>16.4</v>
      </c>
      <c r="P12" s="160" t="s">
        <v>15</v>
      </c>
      <c r="Q12" s="157">
        <v>401</v>
      </c>
      <c r="R12" s="166">
        <v>8.548</v>
      </c>
      <c r="S12" s="166">
        <v>2735.246</v>
      </c>
      <c r="T12" s="159">
        <f>_xlfn.IFERROR(Sheet2!W11-S12,"")</f>
        <v>2192.754</v>
      </c>
      <c r="U12" s="157">
        <v>5000</v>
      </c>
      <c r="V12" s="161">
        <v>15.4</v>
      </c>
    </row>
    <row s="62" customFormat="1" customHeight="1" ht="15">
      <c r="A13" s="155"/>
      <c r="B13" s="156" t="s">
        <v>16</v>
      </c>
      <c r="C13" s="167">
        <v>103</v>
      </c>
      <c r="D13" s="158">
        <v>12.16</v>
      </c>
      <c r="E13" s="158">
        <v>0</v>
      </c>
      <c r="F13" s="159">
        <f>_xlfn.IFERROR(Sheet2!G4-E13,"")</f>
        <v>7155</v>
      </c>
      <c r="G13" s="157">
        <v>10000</v>
      </c>
      <c r="H13" s="159">
        <v>13.7</v>
      </c>
      <c r="I13" s="160"/>
      <c r="J13" s="157">
        <v>302</v>
      </c>
      <c r="K13" s="165">
        <v>16.098</v>
      </c>
      <c r="L13" s="158">
        <v>19639.639</v>
      </c>
      <c r="M13" s="159">
        <f>_xlfn.IFERROR(Sheet2!O12-L13,"")</f>
        <v>124.361000000001</v>
      </c>
      <c r="N13" s="157">
        <v>30000</v>
      </c>
      <c r="O13" s="159">
        <v>16.4</v>
      </c>
      <c r="P13" s="160"/>
      <c r="Q13" s="157">
        <v>402</v>
      </c>
      <c r="R13" s="166">
        <v>1.957</v>
      </c>
      <c r="S13" s="166">
        <v>626.285</v>
      </c>
      <c r="T13" s="159">
        <f>_xlfn.IFERROR(Sheet2!W12-S13,"")</f>
        <v>4301.715</v>
      </c>
      <c r="U13" s="157">
        <v>5000</v>
      </c>
      <c r="V13" s="161">
        <v>15.4</v>
      </c>
    </row>
    <row s="62" customFormat="1" customHeight="1" ht="15">
      <c r="A14" s="155"/>
      <c r="B14" s="156"/>
      <c r="C14" s="167">
        <v>109</v>
      </c>
      <c r="D14" s="158">
        <v>8.977</v>
      </c>
      <c r="E14" s="158">
        <v>9694.709</v>
      </c>
      <c r="F14" s="159">
        <f>_xlfn.IFERROR(Sheet2!G13-E14,"")</f>
        <v>4345.291</v>
      </c>
      <c r="G14" s="157">
        <v>20000</v>
      </c>
      <c r="H14" s="159">
        <v>14.3</v>
      </c>
      <c r="I14" s="160"/>
      <c r="J14" s="157">
        <v>303</v>
      </c>
      <c r="K14" s="165">
        <v>16.08</v>
      </c>
      <c r="L14" s="158">
        <v>19617.579</v>
      </c>
      <c r="M14" s="159">
        <f>_xlfn.IFERROR(Sheet2!O13-L14,"")</f>
        <v>146.420999999998</v>
      </c>
      <c r="N14" s="157">
        <v>30000</v>
      </c>
      <c r="O14" s="159">
        <v>16.4</v>
      </c>
      <c r="P14" s="160"/>
      <c r="Q14" s="157">
        <v>411</v>
      </c>
      <c r="R14" s="166">
        <v>3.648</v>
      </c>
      <c r="S14" s="166">
        <v>1167.266</v>
      </c>
      <c r="T14" s="159">
        <f>_xlfn.IFERROR(Sheet2!W13-S14,"")</f>
        <v>3760.734</v>
      </c>
      <c r="U14" s="157">
        <v>5000</v>
      </c>
      <c r="V14" s="161">
        <v>15.4</v>
      </c>
    </row>
    <row s="62" customFormat="1" customHeight="1" ht="15">
      <c r="A15" s="155"/>
      <c r="B15" s="156"/>
      <c r="C15" s="157">
        <v>111</v>
      </c>
      <c r="D15" s="158">
        <v>9.814</v>
      </c>
      <c r="E15" s="158">
        <v>10598.972</v>
      </c>
      <c r="F15" s="159">
        <f>_xlfn.IFERROR(Sheet2!G14-E15,"")</f>
        <v>3441.028</v>
      </c>
      <c r="G15" s="157">
        <v>20000</v>
      </c>
      <c r="H15" s="159">
        <v>14.3</v>
      </c>
      <c r="I15" s="160"/>
      <c r="J15" s="160" t="s">
        <v>12</v>
      </c>
      <c r="K15" s="160"/>
      <c r="L15" s="159">
        <f>SUM(L12:L14)</f>
        <v>55940.268</v>
      </c>
      <c r="M15" s="159">
        <f>SUM(M12:M14)</f>
        <v>3351.732</v>
      </c>
      <c r="N15" s="157"/>
      <c r="O15" s="159"/>
      <c r="P15" s="160"/>
      <c r="Q15" s="157">
        <v>412</v>
      </c>
      <c r="R15" s="166">
        <v>7.603</v>
      </c>
      <c r="S15" s="166">
        <v>380.129</v>
      </c>
      <c r="T15" s="159">
        <f>_xlfn.IFERROR(Sheet2!W14-S15,"")</f>
        <v>29.8709999999999</v>
      </c>
      <c r="U15" s="157">
        <v>500</v>
      </c>
      <c r="V15" s="161">
        <v>9.7</v>
      </c>
    </row>
    <row s="62" customFormat="1" customHeight="1" ht="15">
      <c r="A16" s="155"/>
      <c r="B16" s="156"/>
      <c r="C16" s="157">
        <v>112</v>
      </c>
      <c r="D16" s="158">
        <v>11.069</v>
      </c>
      <c r="E16" s="158">
        <v>11954.182</v>
      </c>
      <c r="F16" s="159">
        <f>_xlfn.IFERROR(Sheet2!G15-E16,"")</f>
        <v>2085.818</v>
      </c>
      <c r="G16" s="157">
        <v>20000</v>
      </c>
      <c r="H16" s="159">
        <v>14.3</v>
      </c>
      <c r="I16" s="157" t="s">
        <v>17</v>
      </c>
      <c r="J16" s="157">
        <v>302</v>
      </c>
      <c r="K16" s="158">
        <v>7.932</v>
      </c>
      <c r="L16" s="158">
        <v>2022.545</v>
      </c>
      <c r="M16" s="159">
        <f>_xlfn.IFERROR(Sheet2!O15-L16,"")</f>
        <v>1190.455</v>
      </c>
      <c r="N16" s="157">
        <v>5000</v>
      </c>
      <c r="O16" s="159">
        <v>12.9</v>
      </c>
      <c r="P16" s="160"/>
      <c r="Q16" s="157">
        <v>413</v>
      </c>
      <c r="R16" s="166">
        <v>1.343</v>
      </c>
      <c r="S16" s="166">
        <v>67.152</v>
      </c>
      <c r="T16" s="159">
        <f>_xlfn.IFERROR(Sheet2!W15-S16,"")</f>
        <v>342.848</v>
      </c>
      <c r="U16" s="157">
        <v>500</v>
      </c>
      <c r="V16" s="161">
        <v>9.7</v>
      </c>
    </row>
    <row s="62" customFormat="1" customHeight="1" ht="15">
      <c r="A17" s="155"/>
      <c r="B17" s="156"/>
      <c r="C17" s="157">
        <v>113</v>
      </c>
      <c r="D17" s="158">
        <v>11.068</v>
      </c>
      <c r="E17" s="158">
        <v>11953.391</v>
      </c>
      <c r="F17" s="159">
        <f>_xlfn.IFERROR(Sheet2!G16-E17,"")</f>
        <v>2086.609</v>
      </c>
      <c r="G17" s="157">
        <v>20000</v>
      </c>
      <c r="H17" s="159">
        <v>13.7</v>
      </c>
      <c r="I17" s="157" t="s">
        <v>18</v>
      </c>
      <c r="J17" s="157">
        <v>304</v>
      </c>
      <c r="K17" s="158">
        <v>10.157</v>
      </c>
      <c r="L17" s="158">
        <v>2488.392</v>
      </c>
      <c r="M17" s="159">
        <f>_xlfn.IFERROR(Sheet2!O16-L17,"")</f>
        <v>598.608</v>
      </c>
      <c r="N17" s="157">
        <v>5000</v>
      </c>
      <c r="O17" s="159">
        <v>12.9</v>
      </c>
      <c r="P17" s="160"/>
      <c r="Q17" s="160" t="s">
        <v>12</v>
      </c>
      <c r="R17" s="160"/>
      <c r="S17" s="159">
        <f>SUM(S12:S16)</f>
        <v>4976.078</v>
      </c>
      <c r="T17" s="159">
        <f>SUM(T12:T16)</f>
        <v>10627.922</v>
      </c>
      <c r="U17" s="157"/>
      <c r="V17" s="161"/>
    </row>
    <row s="62" customFormat="1" customHeight="1" ht="15">
      <c r="A18" s="155"/>
      <c r="B18" s="156"/>
      <c r="C18" s="157">
        <v>114</v>
      </c>
      <c r="D18" s="158">
        <v>7.148</v>
      </c>
      <c r="E18" s="158">
        <v>7433.927</v>
      </c>
      <c r="F18" s="159">
        <f>_xlfn.IFERROR(Sheet2!G17-E18,"")</f>
        <v>6606.073</v>
      </c>
      <c r="G18" s="157">
        <v>20000</v>
      </c>
      <c r="H18" s="159">
        <v>13.7</v>
      </c>
      <c r="I18" s="160" t="s">
        <v>19</v>
      </c>
      <c r="J18" s="157">
        <v>311</v>
      </c>
      <c r="K18" s="158">
        <v>4.428</v>
      </c>
      <c r="L18" s="158">
        <v>2258.221</v>
      </c>
      <c r="M18" s="159">
        <f>_xlfn.IFERROR(Sheet2!O17-L18,"")</f>
        <v>4473.779</v>
      </c>
      <c r="N18" s="157">
        <v>10000</v>
      </c>
      <c r="O18" s="159">
        <v>13.9</v>
      </c>
      <c r="P18" s="80" t="s">
        <v>20</v>
      </c>
      <c r="Q18" s="169">
        <v>501</v>
      </c>
      <c r="R18" s="170">
        <v>0</v>
      </c>
      <c r="S18" s="170">
        <v>0</v>
      </c>
      <c r="T18" s="159">
        <f>_xlfn.IFERROR(Sheet2!W17-S18,"")</f>
        <v>440</v>
      </c>
      <c r="U18" s="157">
        <v>1000</v>
      </c>
      <c r="V18" s="161">
        <v>9.2</v>
      </c>
    </row>
    <row s="62" customFormat="1" customHeight="1" ht="15">
      <c r="A19" s="155"/>
      <c r="B19" s="156"/>
      <c r="C19" s="171" t="s">
        <v>12</v>
      </c>
      <c r="D19" s="171"/>
      <c r="E19" s="159">
        <f>SUM(E13:E18)</f>
        <v>51635.181</v>
      </c>
      <c r="F19" s="159">
        <f>SUM(F13:F18)</f>
        <v>25719.819</v>
      </c>
      <c r="G19" s="157"/>
      <c r="H19" s="159"/>
      <c r="I19" s="160"/>
      <c r="J19" s="157">
        <v>312</v>
      </c>
      <c r="K19" s="158">
        <v>4.438</v>
      </c>
      <c r="L19" s="158">
        <v>2263.346</v>
      </c>
      <c r="M19" s="159">
        <f>_xlfn.IFERROR(Sheet2!O18-L19,"")</f>
        <v>4468.654</v>
      </c>
      <c r="N19" s="157">
        <v>10000</v>
      </c>
      <c r="O19" s="159">
        <v>13.9</v>
      </c>
      <c r="P19" s="80"/>
      <c r="Q19" s="169">
        <v>502</v>
      </c>
      <c r="R19" s="170">
        <v>0</v>
      </c>
      <c r="S19" s="170">
        <v>0</v>
      </c>
      <c r="T19" s="159">
        <f>_xlfn.IFERROR(Sheet2!W18-S19,"")</f>
        <v>440</v>
      </c>
      <c r="U19" s="157">
        <v>1000</v>
      </c>
      <c r="V19" s="161">
        <v>9.2</v>
      </c>
    </row>
    <row s="62" customFormat="1" customHeight="1" ht="15">
      <c r="A20" s="155"/>
      <c r="B20" s="156" t="s">
        <v>21</v>
      </c>
      <c r="C20" s="157">
        <v>201</v>
      </c>
      <c r="D20" s="158">
        <v>7.568</v>
      </c>
      <c r="E20" s="158">
        <v>2724.375</v>
      </c>
      <c r="F20" s="159">
        <f>_xlfn.IFERROR(Sheet2!G19-E20,"")</f>
        <v>83.625</v>
      </c>
      <c r="G20" s="157">
        <v>5000</v>
      </c>
      <c r="H20" s="159">
        <v>8.2</v>
      </c>
      <c r="I20" s="160"/>
      <c r="J20" s="160" t="s">
        <v>12</v>
      </c>
      <c r="K20" s="160"/>
      <c r="L20" s="159">
        <f>SUM(L18:L19)</f>
        <v>4521.567</v>
      </c>
      <c r="M20" s="159">
        <f>SUM(M18:M19)</f>
        <v>8942.433</v>
      </c>
      <c r="N20" s="157"/>
      <c r="O20" s="159"/>
      <c r="P20" s="80"/>
      <c r="Q20" s="169">
        <v>503</v>
      </c>
      <c r="R20" s="170">
        <v>0</v>
      </c>
      <c r="S20" s="170">
        <v>0</v>
      </c>
      <c r="T20" s="159">
        <f>_xlfn.IFERROR(Sheet2!W19-S20,"")</f>
        <v>440</v>
      </c>
      <c r="U20" s="157">
        <v>1000</v>
      </c>
      <c r="V20" s="161">
        <v>9.2</v>
      </c>
    </row>
    <row s="62" customFormat="1" customHeight="1" ht="15">
      <c r="A21" s="155"/>
      <c r="B21" s="156"/>
      <c r="C21" s="157">
        <v>202</v>
      </c>
      <c r="D21" s="158">
        <v>7.82</v>
      </c>
      <c r="E21" s="158">
        <v>2815.218</v>
      </c>
      <c r="F21" s="159">
        <f>_xlfn.IFERROR(Sheet2!G20-E21,"")</f>
        <v>-7.21799999999985</v>
      </c>
      <c r="G21" s="157">
        <v>5000</v>
      </c>
      <c r="H21" s="159">
        <v>8.2</v>
      </c>
      <c r="I21" s="160" t="s">
        <v>22</v>
      </c>
      <c r="J21" s="157">
        <v>313</v>
      </c>
      <c r="K21" s="158">
        <v>7.489</v>
      </c>
      <c r="L21" s="158">
        <v>3145.425</v>
      </c>
      <c r="M21" s="159">
        <f>_xlfn.IFERROR(Sheet2!O20-L21,"")</f>
        <v>2398.575</v>
      </c>
      <c r="N21" s="157">
        <v>10000</v>
      </c>
      <c r="O21" s="159">
        <v>13.9</v>
      </c>
      <c r="P21" s="80"/>
      <c r="Q21" s="169">
        <v>504</v>
      </c>
      <c r="R21" s="170">
        <v>0</v>
      </c>
      <c r="S21" s="170">
        <v>0</v>
      </c>
      <c r="T21" s="159">
        <f>_xlfn.IFERROR(Sheet2!W20-S21,"")</f>
        <v>440</v>
      </c>
      <c r="U21" s="157">
        <v>1000</v>
      </c>
      <c r="V21" s="161">
        <v>9.2</v>
      </c>
    </row>
    <row s="62" customFormat="1" customHeight="1" ht="15">
      <c r="A22" s="155"/>
      <c r="B22" s="156"/>
      <c r="C22" s="160" t="s">
        <v>12</v>
      </c>
      <c r="D22" s="172"/>
      <c r="E22" s="159">
        <f>SUM(E20:E21)</f>
        <v>5539.593</v>
      </c>
      <c r="F22" s="159">
        <f>SUM(F20:F21)</f>
        <v>76.4070000000002</v>
      </c>
      <c r="G22" s="157"/>
      <c r="H22" s="159"/>
      <c r="I22" s="160"/>
      <c r="J22" s="157">
        <v>314</v>
      </c>
      <c r="K22" s="158">
        <v>5.819</v>
      </c>
      <c r="L22" s="158">
        <v>2443.878</v>
      </c>
      <c r="M22" s="159">
        <f>_xlfn.IFERROR(Sheet2!O21-L22,"")</f>
        <v>3100.122</v>
      </c>
      <c r="N22" s="157">
        <v>10000</v>
      </c>
      <c r="O22" s="159">
        <v>13.9</v>
      </c>
      <c r="P22" s="80"/>
      <c r="Q22" s="169">
        <v>511</v>
      </c>
      <c r="R22" s="170">
        <v>2.579</v>
      </c>
      <c r="S22" s="170">
        <v>63.717</v>
      </c>
      <c r="T22" s="159">
        <f>_xlfn.IFERROR(Sheet2!W21-S22,"")</f>
        <v>376.283</v>
      </c>
      <c r="U22" s="157">
        <v>1000</v>
      </c>
      <c r="V22" s="161">
        <v>9.2</v>
      </c>
    </row>
    <row s="62" customFormat="1" customHeight="1" ht="15">
      <c r="A23" s="155"/>
      <c r="B23" s="156" t="s">
        <v>23</v>
      </c>
      <c r="C23" s="157">
        <v>203</v>
      </c>
      <c r="D23" s="158">
        <v>12.259</v>
      </c>
      <c r="E23" s="158">
        <v>7110.038</v>
      </c>
      <c r="F23" s="159">
        <f>_xlfn.IFERROR(Sheet2!G22-E23,"")</f>
        <v>719.962</v>
      </c>
      <c r="G23" s="157">
        <v>10000</v>
      </c>
      <c r="H23" s="159">
        <v>13.5</v>
      </c>
      <c r="I23" s="160"/>
      <c r="J23" s="160" t="s">
        <v>12</v>
      </c>
      <c r="K23" s="160"/>
      <c r="L23" s="159">
        <f>SUM(L21:L22)</f>
        <v>5589.303</v>
      </c>
      <c r="M23" s="159">
        <f>SUM(M21:M22)</f>
        <v>5498.697</v>
      </c>
      <c r="N23" s="157"/>
      <c r="O23" s="159"/>
      <c r="P23" s="80"/>
      <c r="Q23" s="169">
        <v>512</v>
      </c>
      <c r="R23" s="170">
        <v>5.533</v>
      </c>
      <c r="S23" s="170">
        <v>212.91</v>
      </c>
      <c r="T23" s="159">
        <f>_xlfn.IFERROR(Sheet2!W22-S23,"")</f>
        <v>227.09</v>
      </c>
      <c r="U23" s="157">
        <v>1000</v>
      </c>
      <c r="V23" s="161">
        <v>9.2</v>
      </c>
    </row>
    <row s="62" customFormat="1" customHeight="1" ht="15">
      <c r="A24" s="155"/>
      <c r="B24" s="156"/>
      <c r="C24" s="157">
        <v>204</v>
      </c>
      <c r="D24" s="158">
        <v>6.141</v>
      </c>
      <c r="E24" s="158">
        <v>3561.892</v>
      </c>
      <c r="F24" s="159">
        <f>_xlfn.IFERROR(Sheet2!G23-E24,"")</f>
        <v>4268.108</v>
      </c>
      <c r="G24" s="157">
        <v>10000</v>
      </c>
      <c r="H24" s="159">
        <v>13.5</v>
      </c>
      <c r="I24" s="160" t="s">
        <v>24</v>
      </c>
      <c r="J24" s="157">
        <v>315</v>
      </c>
      <c r="K24" s="158">
        <v>5.739</v>
      </c>
      <c r="L24" s="158">
        <v>1377.403</v>
      </c>
      <c r="M24" s="159">
        <f>_xlfn.IFERROR(Sheet2!O23-L24,"")</f>
        <v>1742.597</v>
      </c>
      <c r="N24" s="157">
        <v>5000</v>
      </c>
      <c r="O24" s="159">
        <v>13.9</v>
      </c>
      <c r="P24" s="80"/>
      <c r="Q24" s="160" t="s">
        <v>12</v>
      </c>
      <c r="R24" s="160"/>
      <c r="S24" s="159">
        <f>SUM(S18:S23)</f>
        <v>276.627</v>
      </c>
      <c r="T24" s="159">
        <f>SUM(T18:T23)</f>
        <v>2363.373</v>
      </c>
      <c r="U24" s="157"/>
      <c r="V24" s="161"/>
    </row>
    <row s="62" customFormat="1" customHeight="1" ht="15">
      <c r="A25" s="155"/>
      <c r="B25" s="156"/>
      <c r="C25" s="157">
        <v>205</v>
      </c>
      <c r="D25" s="158">
        <v>0</v>
      </c>
      <c r="E25" s="158">
        <v>0</v>
      </c>
      <c r="F25" s="159">
        <f>_xlfn.IFERROR(Sheet2!G24-E25,"")</f>
        <v>7830</v>
      </c>
      <c r="G25" s="157">
        <v>10000</v>
      </c>
      <c r="H25" s="159">
        <v>13.5</v>
      </c>
      <c r="I25" s="160"/>
      <c r="J25" s="157">
        <v>316</v>
      </c>
      <c r="K25" s="158">
        <v>4.73</v>
      </c>
      <c r="L25" s="158">
        <v>1135.095</v>
      </c>
      <c r="M25" s="159">
        <f>_xlfn.IFERROR(Sheet2!O24-L25,"")</f>
        <v>1984.905</v>
      </c>
      <c r="N25" s="157">
        <v>5000</v>
      </c>
      <c r="O25" s="159">
        <v>13.9</v>
      </c>
      <c r="P25" s="80" t="s">
        <v>25</v>
      </c>
      <c r="Q25" s="169">
        <v>513</v>
      </c>
      <c r="R25" s="158">
        <v>6.586</v>
      </c>
      <c r="S25" s="158">
        <v>303.707</v>
      </c>
      <c r="T25" s="159">
        <f>_xlfn.IFERROR(Sheet2!W24-S25,"")</f>
        <v>136.293</v>
      </c>
      <c r="U25" s="157">
        <v>1000</v>
      </c>
      <c r="V25" s="161">
        <v>9.2</v>
      </c>
    </row>
    <row s="62" customFormat="1" customHeight="1" ht="15">
      <c r="A26" s="155"/>
      <c r="B26" s="156"/>
      <c r="C26" s="157">
        <v>206</v>
      </c>
      <c r="D26" s="158">
        <v>5.153</v>
      </c>
      <c r="E26" s="158">
        <v>2988.616</v>
      </c>
      <c r="F26" s="159">
        <f>_xlfn.IFERROR(Sheet2!G25-E26,"")</f>
        <v>4841.384</v>
      </c>
      <c r="G26" s="157">
        <v>10000</v>
      </c>
      <c r="H26" s="159">
        <v>13.5</v>
      </c>
      <c r="I26" s="160"/>
      <c r="J26" s="160" t="s">
        <v>12</v>
      </c>
      <c r="K26" s="160"/>
      <c r="L26" s="159">
        <f>SUM(L24:L25)</f>
        <v>2512.498</v>
      </c>
      <c r="M26" s="159">
        <f>SUM(M24:M25)</f>
        <v>3727.502</v>
      </c>
      <c r="N26" s="157"/>
      <c r="O26" s="159"/>
      <c r="P26" s="80"/>
      <c r="Q26" s="169">
        <v>514</v>
      </c>
      <c r="R26" s="158">
        <v>6.812</v>
      </c>
      <c r="S26" s="158">
        <v>319.222</v>
      </c>
      <c r="T26" s="159">
        <f>_xlfn.IFERROR(Sheet2!W25-S26,"")</f>
        <v>120.778</v>
      </c>
      <c r="U26" s="157">
        <v>1000</v>
      </c>
      <c r="V26" s="161">
        <v>9.2</v>
      </c>
    </row>
    <row s="62" customFormat="1" customHeight="1" ht="15">
      <c r="A27" s="155"/>
      <c r="B27" s="156"/>
      <c r="C27" s="157">
        <v>207</v>
      </c>
      <c r="D27" s="158">
        <v>2.447</v>
      </c>
      <c r="E27" s="158">
        <v>1223.5</v>
      </c>
      <c r="F27" s="159">
        <f>_xlfn.IFERROR(Sheet2!G26-E27,"")</f>
        <v>5526.5</v>
      </c>
      <c r="G27" s="157">
        <v>10000</v>
      </c>
      <c r="H27" s="159">
        <v>13.9</v>
      </c>
      <c r="I27" s="160" t="s">
        <v>26</v>
      </c>
      <c r="J27" s="157">
        <v>317</v>
      </c>
      <c r="K27" s="158">
        <v>7.406</v>
      </c>
      <c r="L27" s="158">
        <v>2014.565</v>
      </c>
      <c r="M27" s="159">
        <f>_xlfn.IFERROR(Sheet2!O26-L27,"")</f>
        <v>1657.435</v>
      </c>
      <c r="N27" s="157">
        <v>5000</v>
      </c>
      <c r="O27" s="159">
        <v>13.9</v>
      </c>
      <c r="P27" s="80"/>
      <c r="Q27" s="169">
        <v>515</v>
      </c>
      <c r="R27" s="158">
        <v>2.434</v>
      </c>
      <c r="S27" s="158">
        <v>58.477</v>
      </c>
      <c r="T27" s="159">
        <f>_xlfn.IFERROR(Sheet2!W26-S27,"")</f>
        <v>381.523</v>
      </c>
      <c r="U27" s="157">
        <v>1000</v>
      </c>
      <c r="V27" s="161">
        <v>9.2</v>
      </c>
    </row>
    <row s="62" customFormat="1" customHeight="1" ht="15">
      <c r="A28" s="155"/>
      <c r="B28" s="156"/>
      <c r="C28" s="160" t="s">
        <v>12</v>
      </c>
      <c r="D28" s="172"/>
      <c r="E28" s="159">
        <f>SUM(E23:E27)</f>
        <v>14884.046</v>
      </c>
      <c r="F28" s="159">
        <f>SUM(F23:F27)</f>
        <v>23185.954</v>
      </c>
      <c r="G28" s="157"/>
      <c r="H28" s="159"/>
      <c r="I28" s="160"/>
      <c r="J28" s="157">
        <v>318</v>
      </c>
      <c r="K28" s="158">
        <v>6.754</v>
      </c>
      <c r="L28" s="158">
        <v>1837.064</v>
      </c>
      <c r="M28" s="159">
        <f>_xlfn.IFERROR(Sheet2!O27-L28,"")</f>
        <v>1834.936</v>
      </c>
      <c r="N28" s="157">
        <v>5000</v>
      </c>
      <c r="O28" s="159">
        <v>13.9</v>
      </c>
      <c r="P28" s="80"/>
      <c r="Q28" s="160" t="s">
        <v>12</v>
      </c>
      <c r="R28" s="160"/>
      <c r="S28" s="159">
        <f>SUM(S25:S27)+S36</f>
        <v>739.097</v>
      </c>
      <c r="T28" s="159">
        <f>SUM(T25:T27)+T36</f>
        <v>1020.903</v>
      </c>
      <c r="U28" s="157"/>
      <c r="V28" s="161"/>
    </row>
    <row s="62" customFormat="1" customHeight="1" ht="15">
      <c r="A29" s="155"/>
      <c r="B29" s="173" t="s">
        <v>27</v>
      </c>
      <c r="C29" s="157">
        <v>201</v>
      </c>
      <c r="D29" s="165" t="s">
        <v>28</v>
      </c>
      <c r="E29" s="174">
        <v>116.997</v>
      </c>
      <c r="F29" s="159">
        <f>_xlfn.IFERROR(Sheet2!G28-E29,"")</f>
        <v>21753.003</v>
      </c>
      <c r="G29" s="157">
        <v>30000</v>
      </c>
      <c r="H29" s="159">
        <v>16.4</v>
      </c>
      <c r="I29" s="160"/>
      <c r="J29" s="160" t="s">
        <v>12</v>
      </c>
      <c r="K29" s="160"/>
      <c r="L29" s="159">
        <f>SUM(L27:L28)</f>
        <v>3851.629</v>
      </c>
      <c r="M29" s="159">
        <f>SUM(M27:M28)</f>
        <v>3492.371</v>
      </c>
      <c r="N29" s="157"/>
      <c r="O29" s="159"/>
      <c r="P29" s="141" t="s">
        <v>29</v>
      </c>
      <c r="Q29" s="169">
        <v>505</v>
      </c>
      <c r="R29" s="158">
        <v>4.131</v>
      </c>
      <c r="S29" s="158">
        <v>215.001</v>
      </c>
      <c r="T29" s="159">
        <f>_xlfn.IFERROR(Sheet2!W28-S29,"")</f>
        <v>680.999</v>
      </c>
      <c r="U29" s="157">
        <v>2000</v>
      </c>
      <c r="V29" s="161">
        <v>11.1</v>
      </c>
    </row>
    <row s="62" customFormat="1" customHeight="1" ht="15">
      <c r="A30" s="155"/>
      <c r="B30" s="156" t="s">
        <v>30</v>
      </c>
      <c r="C30" s="157">
        <v>202</v>
      </c>
      <c r="D30" s="165">
        <v>16.153</v>
      </c>
      <c r="E30" s="174">
        <v>21805.958</v>
      </c>
      <c r="F30" s="159">
        <f>_xlfn.IFERROR(Sheet2!G29-E30,"")</f>
        <v>64.0420000000013</v>
      </c>
      <c r="G30" s="157">
        <v>30000</v>
      </c>
      <c r="H30" s="159">
        <v>16.4</v>
      </c>
      <c r="I30" s="160" t="s">
        <v>31</v>
      </c>
      <c r="J30" s="157">
        <v>319</v>
      </c>
      <c r="K30" s="158">
        <v>3.121</v>
      </c>
      <c r="L30" s="158">
        <v>1092.189</v>
      </c>
      <c r="M30" s="159">
        <f>_xlfn.IFERROR(Sheet2!O29-L30,"")</f>
        <v>1637.811</v>
      </c>
      <c r="N30" s="157">
        <v>5000</v>
      </c>
      <c r="O30" s="159">
        <v>8.2</v>
      </c>
      <c r="P30" s="80"/>
      <c r="Q30" s="169">
        <v>506</v>
      </c>
      <c r="R30" s="158">
        <v>3.15</v>
      </c>
      <c r="S30" s="158">
        <v>136.216</v>
      </c>
      <c r="T30" s="159">
        <f>_xlfn.IFERROR(Sheet2!W29-S30,"")</f>
        <v>759.784</v>
      </c>
      <c r="U30" s="157">
        <v>2000</v>
      </c>
      <c r="V30" s="161">
        <v>11.1</v>
      </c>
    </row>
    <row s="62" customFormat="1" customHeight="1" ht="15">
      <c r="A31" s="155"/>
      <c r="B31" s="156"/>
      <c r="C31" s="157">
        <v>203</v>
      </c>
      <c r="D31" s="165">
        <v>10.819</v>
      </c>
      <c r="E31" s="174">
        <v>14605.383</v>
      </c>
      <c r="F31" s="159">
        <f>_xlfn.IFERROR(Sheet2!G30-E31,"")</f>
        <v>7264.617</v>
      </c>
      <c r="G31" s="157">
        <v>30000</v>
      </c>
      <c r="H31" s="159">
        <v>16.4</v>
      </c>
      <c r="I31" s="160"/>
      <c r="J31" s="157">
        <v>320</v>
      </c>
      <c r="K31" s="158">
        <v>2.877</v>
      </c>
      <c r="L31" s="158">
        <v>1006.807</v>
      </c>
      <c r="M31" s="159">
        <f>_xlfn.IFERROR(Sheet2!O30-L31,"")</f>
        <v>1723.193</v>
      </c>
      <c r="N31" s="157">
        <v>5000</v>
      </c>
      <c r="O31" s="159">
        <v>8.2</v>
      </c>
      <c r="P31" s="80"/>
      <c r="Q31" s="169">
        <v>507</v>
      </c>
      <c r="R31" s="158">
        <v>10.398</v>
      </c>
      <c r="S31" s="158">
        <v>852.378</v>
      </c>
      <c r="T31" s="159">
        <f>_xlfn.IFERROR(Sheet2!W30-S31,"")</f>
        <v>43.622</v>
      </c>
      <c r="U31" s="157">
        <v>2000</v>
      </c>
      <c r="V31" s="161">
        <v>11.1</v>
      </c>
    </row>
    <row s="62" customFormat="1" customHeight="1" ht="15">
      <c r="A32" s="155"/>
      <c r="B32" s="156"/>
      <c r="C32" s="157">
        <v>204</v>
      </c>
      <c r="D32" s="165">
        <v>16.122</v>
      </c>
      <c r="E32" s="174">
        <v>21764.349</v>
      </c>
      <c r="F32" s="159">
        <f>_xlfn.IFERROR(Sheet2!G31-E32,"")</f>
        <v>105.651000000002</v>
      </c>
      <c r="G32" s="157">
        <v>30000</v>
      </c>
      <c r="H32" s="159">
        <v>16.4</v>
      </c>
      <c r="I32" s="160"/>
      <c r="J32" s="160" t="s">
        <v>12</v>
      </c>
      <c r="K32" s="160"/>
      <c r="L32" s="159">
        <f>SUM(L30:L31)</f>
        <v>2098.996</v>
      </c>
      <c r="M32" s="159">
        <f>SUM(M30:M31)</f>
        <v>3361.004</v>
      </c>
      <c r="N32" s="157"/>
      <c r="O32" s="159"/>
      <c r="P32" s="80"/>
      <c r="Q32" s="169">
        <v>508</v>
      </c>
      <c r="R32" s="158">
        <v>0</v>
      </c>
      <c r="S32" s="158">
        <v>7.722</v>
      </c>
      <c r="T32" s="159">
        <f>_xlfn.IFERROR(Sheet2!W31-S32,"")</f>
        <v>888.278</v>
      </c>
      <c r="U32" s="157">
        <v>2000</v>
      </c>
      <c r="V32" s="161">
        <v>11.1</v>
      </c>
    </row>
    <row s="62" customFormat="1" customHeight="1" ht="15">
      <c r="A33" s="155"/>
      <c r="B33" s="156"/>
      <c r="C33" s="160" t="s">
        <v>12</v>
      </c>
      <c r="D33" s="172"/>
      <c r="E33" s="159">
        <f>SUM(E29:E32)</f>
        <v>58292.687</v>
      </c>
      <c r="F33" s="159">
        <f>SUM(F29:F32)</f>
        <v>29187.313</v>
      </c>
      <c r="G33" s="157"/>
      <c r="H33" s="159"/>
      <c r="I33" s="157" t="s">
        <v>32</v>
      </c>
      <c r="J33" s="157">
        <v>321</v>
      </c>
      <c r="K33" s="158">
        <v>12.929</v>
      </c>
      <c r="L33" s="158">
        <v>3232.199</v>
      </c>
      <c r="M33" s="159">
        <f>_xlfn.IFERROR(Sheet2!O32-L33,"")</f>
        <v>-32.1990000000001</v>
      </c>
      <c r="N33" s="157">
        <v>5000</v>
      </c>
      <c r="O33" s="159">
        <v>13.9</v>
      </c>
      <c r="P33" s="80"/>
      <c r="Q33" s="169">
        <v>509</v>
      </c>
      <c r="R33" s="158">
        <v>0</v>
      </c>
      <c r="S33" s="158">
        <v>0.646</v>
      </c>
      <c r="T33" s="159">
        <f>_xlfn.IFERROR(Sheet2!W32-S33,"")</f>
        <v>895.354</v>
      </c>
      <c r="U33" s="157">
        <v>2000</v>
      </c>
      <c r="V33" s="161">
        <v>11.1</v>
      </c>
    </row>
    <row s="62" customFormat="1" customHeight="1" ht="15">
      <c r="A34" s="155"/>
      <c r="B34" s="156" t="s">
        <v>33</v>
      </c>
      <c r="C34" s="157">
        <v>221</v>
      </c>
      <c r="D34" s="158">
        <v>8.827</v>
      </c>
      <c r="E34" s="158">
        <v>2427.362</v>
      </c>
      <c r="F34" s="159">
        <f>_xlfn.IFERROR(Sheet2!G33-E34,"")</f>
        <v>1147.638</v>
      </c>
      <c r="G34" s="157">
        <v>5000</v>
      </c>
      <c r="H34" s="159">
        <v>13.5</v>
      </c>
      <c r="I34" s="137" t="s">
        <v>34</v>
      </c>
      <c r="J34" s="157">
        <v>322</v>
      </c>
      <c r="K34" s="158">
        <v>2.509</v>
      </c>
      <c r="L34" s="158">
        <v>627.342</v>
      </c>
      <c r="M34" s="159">
        <f>_xlfn.IFERROR(Sheet2!O33-L34,"")</f>
        <v>2572.658</v>
      </c>
      <c r="N34" s="157">
        <v>5000</v>
      </c>
      <c r="O34" s="159">
        <v>13.9</v>
      </c>
      <c r="P34" s="80"/>
      <c r="Q34" s="169">
        <v>510</v>
      </c>
      <c r="R34" s="158">
        <v>0</v>
      </c>
      <c r="S34" s="158">
        <v>0.586</v>
      </c>
      <c r="T34" s="159">
        <f>_xlfn.IFERROR(Sheet2!W33-S34,"")</f>
        <v>895.414</v>
      </c>
      <c r="U34" s="157">
        <v>2000</v>
      </c>
      <c r="V34" s="161">
        <v>11.1</v>
      </c>
    </row>
    <row s="62" customFormat="1" customHeight="1" ht="15">
      <c r="A35" s="155"/>
      <c r="B35" s="156"/>
      <c r="C35" s="157">
        <v>222</v>
      </c>
      <c r="D35" s="158">
        <v>6.004</v>
      </c>
      <c r="E35" s="158">
        <v>1651.014</v>
      </c>
      <c r="F35" s="159">
        <f>_xlfn.IFERROR(Sheet2!G34-E35,"")</f>
        <v>1923.986</v>
      </c>
      <c r="G35" s="157">
        <v>5000</v>
      </c>
      <c r="H35" s="159">
        <v>13.5</v>
      </c>
      <c r="I35" s="77"/>
      <c r="J35" s="157">
        <v>323</v>
      </c>
      <c r="K35" s="158">
        <v>9.04</v>
      </c>
      <c r="L35" s="158">
        <v>2260.028</v>
      </c>
      <c r="M35" s="159">
        <f>_xlfn.IFERROR(Sheet2!O34-L35,"")</f>
        <v>939.972</v>
      </c>
      <c r="N35" s="157">
        <v>5000</v>
      </c>
      <c r="O35" s="159">
        <v>13.9</v>
      </c>
      <c r="P35" s="80"/>
      <c r="Q35" s="160" t="s">
        <v>12</v>
      </c>
      <c r="R35" s="160"/>
      <c r="S35" s="159">
        <f>SUM(S29:S34)</f>
        <v>1212.549</v>
      </c>
      <c r="T35" s="159">
        <f>SUM(T29:T34)</f>
        <v>4163.451</v>
      </c>
      <c r="U35" s="157"/>
      <c r="V35" s="161"/>
    </row>
    <row s="62" customFormat="1" customHeight="1" ht="32.25">
      <c r="A36" s="155"/>
      <c r="B36" s="156"/>
      <c r="C36" s="157">
        <v>223</v>
      </c>
      <c r="D36" s="158">
        <v>12.911</v>
      </c>
      <c r="E36" s="158">
        <v>3550.447</v>
      </c>
      <c r="F36" s="159">
        <f>_xlfn.IFERROR(Sheet2!G35-E36,"")</f>
        <v>24.5529999999999</v>
      </c>
      <c r="G36" s="157">
        <v>5000</v>
      </c>
      <c r="H36" s="159">
        <v>13.5</v>
      </c>
      <c r="I36" s="77"/>
      <c r="J36" s="160" t="s">
        <v>12</v>
      </c>
      <c r="K36" s="160"/>
      <c r="L36" s="159">
        <f>SUM(L34:L35)</f>
        <v>2887.37</v>
      </c>
      <c r="M36" s="159">
        <f>SUM(M34:M35)</f>
        <v>3512.63</v>
      </c>
      <c r="N36" s="157"/>
      <c r="O36" s="159"/>
      <c r="P36" s="138" t="s">
        <v>35</v>
      </c>
      <c r="Q36" s="169">
        <v>516</v>
      </c>
      <c r="R36" s="158">
        <v>2.414</v>
      </c>
      <c r="S36" s="158">
        <v>57.691</v>
      </c>
      <c r="T36" s="159">
        <f>_xlfn.IFERROR(Sheet2!W35-S36,"")</f>
        <v>382.309</v>
      </c>
      <c r="U36" s="157">
        <v>1000</v>
      </c>
      <c r="V36" s="161">
        <v>9.2</v>
      </c>
    </row>
    <row s="62" customFormat="1" customHeight="1" ht="15">
      <c r="A37" s="155"/>
      <c r="B37" s="156"/>
      <c r="C37" s="160" t="s">
        <v>12</v>
      </c>
      <c r="D37" s="172"/>
      <c r="E37" s="159">
        <f>SUM(E34:E36)</f>
        <v>7628.823</v>
      </c>
      <c r="F37" s="159">
        <f>SUM(F34:F36)</f>
        <v>3096.177</v>
      </c>
      <c r="G37" s="157"/>
      <c r="H37" s="159"/>
      <c r="I37" s="137" t="s">
        <v>36</v>
      </c>
      <c r="J37" s="157">
        <v>324</v>
      </c>
      <c r="K37" s="158">
        <v>12.593</v>
      </c>
      <c r="L37" s="158">
        <v>5289.06</v>
      </c>
      <c r="M37" s="159">
        <f>_xlfn.IFERROR(Sheet2!O36-L37,"")</f>
        <v>380.94</v>
      </c>
      <c r="N37" s="157">
        <v>5000</v>
      </c>
      <c r="O37" s="159">
        <v>13.9</v>
      </c>
      <c r="P37" s="141" t="s">
        <v>29</v>
      </c>
      <c r="Q37" s="179">
        <v>517</v>
      </c>
      <c r="R37" s="158">
        <v>2.877</v>
      </c>
      <c r="S37" s="158">
        <v>78.531</v>
      </c>
      <c r="T37" s="159">
        <f>_xlfn.IFERROR(Sheet2!W36-S37,"")</f>
        <v>361.469</v>
      </c>
      <c r="U37" s="157">
        <v>1000</v>
      </c>
      <c r="V37" s="161">
        <v>9.2</v>
      </c>
    </row>
    <row s="62" customFormat="1" customHeight="1" ht="15">
      <c r="A38" s="155"/>
      <c r="B38" s="156" t="s">
        <v>37</v>
      </c>
      <c r="C38" s="157">
        <v>224</v>
      </c>
      <c r="D38" s="158">
        <v>13.399</v>
      </c>
      <c r="E38" s="158">
        <v>3617.825</v>
      </c>
      <c r="F38" s="159">
        <f>_xlfn.IFERROR(Sheet2!G37-E38,"")</f>
        <v>-53.8249999999998</v>
      </c>
      <c r="G38" s="157">
        <v>5000</v>
      </c>
      <c r="H38" s="159">
        <v>13.9</v>
      </c>
      <c r="I38" s="77"/>
      <c r="J38" s="157">
        <v>325</v>
      </c>
      <c r="K38" s="158">
        <v>13.178</v>
      </c>
      <c r="L38" s="158">
        <v>5534.76</v>
      </c>
      <c r="M38" s="159">
        <f>_xlfn.IFERROR(Sheet2!O37-L38,"")</f>
        <v>135.24</v>
      </c>
      <c r="N38" s="157">
        <v>10000</v>
      </c>
      <c r="O38" s="159">
        <v>13.9</v>
      </c>
      <c r="P38" s="80"/>
      <c r="Q38" s="179">
        <v>518</v>
      </c>
      <c r="R38" s="158">
        <v>2.535</v>
      </c>
      <c r="S38" s="158">
        <v>62.88</v>
      </c>
      <c r="T38" s="159">
        <f>_xlfn.IFERROR(Sheet2!W37-S38,"")</f>
        <v>377.12</v>
      </c>
      <c r="U38" s="157">
        <v>1000</v>
      </c>
      <c r="V38" s="161">
        <v>9.2</v>
      </c>
    </row>
    <row s="62" customFormat="1" customHeight="1" ht="15">
      <c r="A39" s="155"/>
      <c r="B39" s="156"/>
      <c r="C39" s="157">
        <v>225</v>
      </c>
      <c r="D39" s="158">
        <v>11.711</v>
      </c>
      <c r="E39" s="158">
        <v>3162.047</v>
      </c>
      <c r="F39" s="159">
        <f>_xlfn.IFERROR(Sheet2!G38-E39,"")</f>
        <v>401.953</v>
      </c>
      <c r="G39" s="157">
        <v>5000</v>
      </c>
      <c r="H39" s="159">
        <v>13.9</v>
      </c>
      <c r="I39" s="77"/>
      <c r="J39" s="157">
        <v>327</v>
      </c>
      <c r="K39" s="158">
        <v>11.522</v>
      </c>
      <c r="L39" s="158">
        <v>4839.24</v>
      </c>
      <c r="M39" s="159">
        <f>_xlfn.IFERROR(Sheet2!O38-L39,"")</f>
        <v>830.76</v>
      </c>
      <c r="N39" s="157">
        <v>10000</v>
      </c>
      <c r="O39" s="159">
        <v>13.9</v>
      </c>
      <c r="P39" s="80"/>
      <c r="Q39" s="160" t="s">
        <v>12</v>
      </c>
      <c r="R39" s="160"/>
      <c r="S39" s="159">
        <f>SUM(S37:S38)</f>
        <v>141.411</v>
      </c>
      <c r="T39" s="159">
        <f>SUM(T37:T38)</f>
        <v>738.589</v>
      </c>
      <c r="U39" s="157"/>
      <c r="V39" s="161"/>
    </row>
    <row s="62" customFormat="1" customHeight="1" ht="15">
      <c r="A40" s="155"/>
      <c r="B40" s="156"/>
      <c r="C40" s="157">
        <v>226</v>
      </c>
      <c r="D40" s="158">
        <v>4.766</v>
      </c>
      <c r="E40" s="158">
        <v>1286.746</v>
      </c>
      <c r="F40" s="159">
        <f>_xlfn.IFERROR(Sheet2!G39-E40,"")</f>
        <v>2277.254</v>
      </c>
      <c r="G40" s="157">
        <v>5000</v>
      </c>
      <c r="H40" s="159">
        <v>13.9</v>
      </c>
      <c r="I40" s="77"/>
      <c r="J40" s="160" t="s">
        <v>12</v>
      </c>
      <c r="K40" s="160"/>
      <c r="L40" s="159">
        <f>SUM(L37:L39)</f>
        <v>15663.06</v>
      </c>
      <c r="M40" s="159">
        <f>SUM(M37:M39)</f>
        <v>1346.94</v>
      </c>
      <c r="N40" s="157"/>
      <c r="O40" s="159"/>
      <c r="P40" s="157" t="s">
        <v>38</v>
      </c>
      <c r="Q40" s="157">
        <v>701</v>
      </c>
      <c r="R40" s="158">
        <v>0</v>
      </c>
      <c r="S40" s="158"/>
      <c r="T40" s="159">
        <f>500-S40</f>
        <v>500</v>
      </c>
      <c r="U40" s="157">
        <v>10000</v>
      </c>
      <c r="V40" s="161">
        <v>3.9</v>
      </c>
    </row>
    <row s="62" customFormat="1" customHeight="1" ht="15">
      <c r="A41" s="155"/>
      <c r="B41" s="156"/>
      <c r="C41" s="157">
        <v>227</v>
      </c>
      <c r="D41" s="158">
        <v>13.417</v>
      </c>
      <c r="E41" s="158">
        <v>3622.477</v>
      </c>
      <c r="F41" s="159">
        <f>_xlfn.IFERROR(Sheet2!G40-E41,"")</f>
        <v>-58.4769999999999</v>
      </c>
      <c r="G41" s="157">
        <v>5000</v>
      </c>
      <c r="H41" s="159">
        <v>13.9</v>
      </c>
      <c r="I41" s="157" t="s">
        <v>39</v>
      </c>
      <c r="J41" s="157">
        <v>326</v>
      </c>
      <c r="K41" s="158">
        <v>13.191</v>
      </c>
      <c r="L41" s="158">
        <v>5804.04</v>
      </c>
      <c r="M41" s="159">
        <f>_xlfn.IFERROR(Sheet2!O40-L41,"")</f>
        <v>135.96</v>
      </c>
      <c r="N41" s="157">
        <v>10000</v>
      </c>
      <c r="O41" s="159">
        <v>13.9</v>
      </c>
      <c r="P41" s="180"/>
      <c r="Q41" s="180"/>
      <c r="R41" s="180"/>
      <c r="S41" s="180"/>
      <c r="T41" s="180"/>
      <c r="U41" s="157"/>
      <c r="V41" s="161"/>
    </row>
    <row s="62" customFormat="1" customHeight="1" ht="15">
      <c r="A42" s="155"/>
      <c r="B42" s="156"/>
      <c r="C42" s="157">
        <v>228</v>
      </c>
      <c r="D42" s="158">
        <v>13.414</v>
      </c>
      <c r="E42" s="158">
        <v>3621.704</v>
      </c>
      <c r="F42" s="159">
        <f>_xlfn.IFERROR(Sheet2!G41-E42,"")</f>
        <v>-57.7040000000002</v>
      </c>
      <c r="G42" s="157">
        <v>5000</v>
      </c>
      <c r="H42" s="159">
        <v>13.9</v>
      </c>
      <c r="I42" s="171" t="s">
        <v>40</v>
      </c>
      <c r="J42" s="157">
        <v>601</v>
      </c>
      <c r="K42" s="158">
        <v>5.241</v>
      </c>
      <c r="L42" s="158">
        <v>445.5</v>
      </c>
      <c r="M42" s="159">
        <f>_xlfn.IFERROR(Sheet2!O41-L42,"")</f>
        <v>251.5</v>
      </c>
      <c r="N42" s="157">
        <v>10000</v>
      </c>
      <c r="O42" s="159">
        <v>8.5</v>
      </c>
      <c r="P42" s="180"/>
      <c r="Q42" s="180"/>
      <c r="R42" s="180"/>
      <c r="S42" s="180"/>
      <c r="T42" s="180"/>
      <c r="U42" s="157"/>
      <c r="V42" s="161"/>
    </row>
    <row s="62" customFormat="1" customHeight="1" ht="15">
      <c r="A43" s="155"/>
      <c r="B43" s="156"/>
      <c r="C43" s="160" t="s">
        <v>12</v>
      </c>
      <c r="D43" s="172"/>
      <c r="E43" s="159">
        <f>SUM(E38:E42)</f>
        <v>15310.799</v>
      </c>
      <c r="F43" s="159">
        <f>SUM(F38:F42)</f>
        <v>2509.201</v>
      </c>
      <c r="G43" s="157"/>
      <c r="H43" s="159"/>
      <c r="I43" s="171"/>
      <c r="J43" s="157">
        <v>602</v>
      </c>
      <c r="K43" s="158">
        <v>7.573</v>
      </c>
      <c r="L43" s="158">
        <v>643.682</v>
      </c>
      <c r="M43" s="159">
        <f>_xlfn.IFERROR(Sheet2!O42-L43,"")</f>
        <v>53.318</v>
      </c>
      <c r="N43" s="157">
        <v>10000</v>
      </c>
      <c r="O43" s="159">
        <v>8.5</v>
      </c>
      <c r="P43" s="180"/>
      <c r="Q43" s="180"/>
      <c r="R43" s="180"/>
      <c r="S43" s="180"/>
      <c r="T43" s="180"/>
      <c r="U43" s="157"/>
      <c r="V43" s="161"/>
    </row>
    <row s="62" customFormat="1" customHeight="1" ht="15">
      <c r="A44" s="155"/>
      <c r="B44" s="107" t="s">
        <v>41</v>
      </c>
      <c r="C44" s="80"/>
      <c r="D44" s="169" t="s">
        <v>42</v>
      </c>
      <c r="E44" s="169" t="s">
        <v>43</v>
      </c>
      <c r="F44" s="182" t="s">
        <v>44</v>
      </c>
      <c r="G44" s="80" t="s">
        <v>41</v>
      </c>
      <c r="H44" s="80"/>
      <c r="I44" s="169" t="s">
        <v>42</v>
      </c>
      <c r="J44" s="169" t="s">
        <v>43</v>
      </c>
      <c r="K44" s="182" t="s">
        <v>44</v>
      </c>
      <c r="L44" s="80" t="s">
        <v>41</v>
      </c>
      <c r="M44" s="80"/>
      <c r="N44" s="169" t="s">
        <v>42</v>
      </c>
      <c r="O44" s="169" t="s">
        <v>43</v>
      </c>
      <c r="P44" s="182" t="s">
        <v>44</v>
      </c>
      <c r="Q44" s="85" t="s">
        <v>41</v>
      </c>
      <c r="R44" s="169" t="s">
        <v>42</v>
      </c>
      <c r="S44" s="169" t="s">
        <v>43</v>
      </c>
      <c r="T44" s="182" t="s">
        <v>44</v>
      </c>
      <c r="U44" s="180"/>
      <c r="V44" s="184"/>
    </row>
    <row s="62" customFormat="1" customHeight="1" ht="15">
      <c r="A45" s="155"/>
      <c r="B45" s="107" t="s">
        <v>45</v>
      </c>
      <c r="C45" s="179" t="s">
        <v>46</v>
      </c>
      <c r="D45" s="89">
        <v>24000</v>
      </c>
      <c r="E45" s="126">
        <f>L7+L8+L9+L10</f>
        <v>18040.395</v>
      </c>
      <c r="F45" s="167">
        <f>_xlfn.IFERROR(D45-E45,"")</f>
        <v>5959.605</v>
      </c>
      <c r="G45" s="80" t="s">
        <v>47</v>
      </c>
      <c r="H45" s="80"/>
      <c r="I45" s="89">
        <v>1750</v>
      </c>
      <c r="J45" s="127">
        <f>S28+S24</f>
        <v>1015.724</v>
      </c>
      <c r="K45" s="126">
        <f>I45-J45</f>
        <v>734.276</v>
      </c>
      <c r="L45" s="171" t="s">
        <v>9</v>
      </c>
      <c r="M45" s="171"/>
      <c r="N45" s="89">
        <v>100000</v>
      </c>
      <c r="O45" s="126">
        <f>E19+E7</f>
        <v>65363.107</v>
      </c>
      <c r="P45" s="126">
        <f>F7+F19</f>
        <v>40071.893</v>
      </c>
      <c r="Q45" s="93" t="s">
        <v>24</v>
      </c>
      <c r="R45" s="89">
        <v>6300</v>
      </c>
      <c r="S45" s="126">
        <f>L26</f>
        <v>2512.498</v>
      </c>
      <c r="T45" s="189">
        <f>_xlfn.IFERROR(R45-S45,"")</f>
        <v>3787.502</v>
      </c>
      <c r="U45" s="180"/>
      <c r="V45" s="184"/>
    </row>
    <row s="62" customFormat="1" customHeight="1" ht="15">
      <c r="A46" s="155"/>
      <c r="B46" s="107"/>
      <c r="C46" s="179" t="s">
        <v>48</v>
      </c>
      <c r="D46" s="89">
        <v>6250</v>
      </c>
      <c r="E46" s="126">
        <f>L5+L6</f>
        <v>5330.822</v>
      </c>
      <c r="F46" s="167">
        <f>_xlfn.IFERROR(D46-E46,"")</f>
        <v>919.178</v>
      </c>
      <c r="G46" s="80" t="s">
        <v>15</v>
      </c>
      <c r="H46" s="80"/>
      <c r="I46" s="89">
        <v>4500</v>
      </c>
      <c r="J46" s="127">
        <f>S15+S16</f>
        <v>447.281</v>
      </c>
      <c r="K46" s="190">
        <f>_xlfn.IFERROR(I46-J46,"")</f>
        <v>4052.719</v>
      </c>
      <c r="L46" s="80" t="s">
        <v>11</v>
      </c>
      <c r="M46" s="89" t="s">
        <v>49</v>
      </c>
      <c r="N46" s="89">
        <v>0</v>
      </c>
      <c r="O46" s="126">
        <v>0</v>
      </c>
      <c r="P46" s="126">
        <v>0</v>
      </c>
      <c r="Q46" s="93" t="s">
        <v>39</v>
      </c>
      <c r="R46" s="89">
        <v>6000</v>
      </c>
      <c r="S46" s="126">
        <f>L41</f>
        <v>5804.04</v>
      </c>
      <c r="T46" s="189">
        <f>_xlfn.IFERROR(R46-S46,"")</f>
        <v>195.96</v>
      </c>
      <c r="U46" s="180"/>
      <c r="V46" s="184"/>
    </row>
    <row s="62" customFormat="1" customHeight="1" ht="15">
      <c r="A47" s="155"/>
      <c r="B47" s="107"/>
      <c r="C47" s="179" t="s">
        <v>50</v>
      </c>
      <c r="D47" s="89">
        <v>55000</v>
      </c>
      <c r="E47" s="126">
        <f>L15</f>
        <v>55940.268</v>
      </c>
      <c r="F47" s="167">
        <f>_xlfn.IFERROR(D47-E47,"")</f>
        <v>-940.267999999996</v>
      </c>
      <c r="G47" s="80" t="s">
        <v>51</v>
      </c>
      <c r="H47" s="80"/>
      <c r="I47" s="89">
        <v>1500</v>
      </c>
      <c r="J47" s="127">
        <f>L42+L43</f>
        <v>1089.182</v>
      </c>
      <c r="K47" s="189">
        <f>_xlfn.IFERROR(I47-J47,"")</f>
        <v>410.818</v>
      </c>
      <c r="L47" s="80"/>
      <c r="M47" s="182" t="s">
        <v>52</v>
      </c>
      <c r="N47" s="89">
        <v>50000</v>
      </c>
      <c r="O47" s="126">
        <f>S11</f>
        <v>26721.839</v>
      </c>
      <c r="P47" s="126">
        <f>N47-O47</f>
        <v>23278.161</v>
      </c>
      <c r="Q47" s="93" t="s">
        <v>53</v>
      </c>
      <c r="R47" s="89">
        <v>500</v>
      </c>
      <c r="S47" s="130">
        <f>S40</f>
        <v>0</v>
      </c>
      <c r="T47" s="189">
        <f>_xlfn.IFERROR(R47-S47,"")</f>
        <v>500</v>
      </c>
      <c r="U47" s="180"/>
      <c r="V47" s="184"/>
    </row>
    <row s="62" customFormat="1" customHeight="1" ht="15">
      <c r="A48" s="155"/>
      <c r="B48" s="107" t="s">
        <v>54</v>
      </c>
      <c r="C48" s="179" t="s">
        <v>55</v>
      </c>
      <c r="D48" s="80">
        <v>32500</v>
      </c>
      <c r="E48" s="126">
        <f>E23+E24+E25+E26</f>
        <v>13660.546</v>
      </c>
      <c r="F48" s="192">
        <f>_xlfn.IFERROR(D48-E48-E49,"")</f>
        <v>17615.954</v>
      </c>
      <c r="G48" s="80" t="s">
        <v>56</v>
      </c>
      <c r="H48" s="80"/>
      <c r="I48" s="89">
        <v>7500</v>
      </c>
      <c r="J48" s="127">
        <f>L29</f>
        <v>3851.629</v>
      </c>
      <c r="K48" s="189">
        <f>I48-J48</f>
        <v>3648.371</v>
      </c>
      <c r="L48" s="80"/>
      <c r="M48" s="182" t="s">
        <v>12</v>
      </c>
      <c r="N48" s="89">
        <v>50000</v>
      </c>
      <c r="O48" s="126">
        <f>O47+O46</f>
        <v>26721.839</v>
      </c>
      <c r="P48" s="126">
        <f>N48-O48</f>
        <v>23278.161</v>
      </c>
      <c r="Q48" s="180"/>
      <c r="R48" s="180"/>
      <c r="S48" s="180"/>
      <c r="T48" s="180"/>
      <c r="U48" s="180"/>
      <c r="V48" s="184"/>
    </row>
    <row s="62" customFormat="1" customHeight="1" ht="15">
      <c r="A49" s="155"/>
      <c r="B49" s="107"/>
      <c r="C49" s="179" t="s">
        <v>57</v>
      </c>
      <c r="D49" s="80"/>
      <c r="E49" s="126">
        <f>E27</f>
        <v>1223.5</v>
      </c>
      <c r="F49" s="192"/>
      <c r="G49" s="80" t="s">
        <v>58</v>
      </c>
      <c r="H49" s="80"/>
      <c r="I49" s="89">
        <v>24000</v>
      </c>
      <c r="J49" s="127">
        <f>L36+L40</f>
        <v>18550.43</v>
      </c>
      <c r="K49" s="189">
        <f>I49-J49</f>
        <v>5449.57</v>
      </c>
      <c r="L49" s="96" t="s">
        <v>59</v>
      </c>
      <c r="M49" s="96"/>
      <c r="N49" s="89">
        <v>11000</v>
      </c>
      <c r="O49" s="126">
        <f>E37</f>
        <v>7628.823</v>
      </c>
      <c r="P49" s="189">
        <f>N49-O49</f>
        <v>3371.177</v>
      </c>
      <c r="Q49" s="180"/>
      <c r="R49" s="180"/>
      <c r="S49" s="180"/>
      <c r="T49" s="180"/>
      <c r="U49" s="180"/>
      <c r="V49" s="184"/>
    </row>
    <row s="62" customFormat="1" customHeight="1" ht="15">
      <c r="A50" s="155"/>
      <c r="B50" s="107"/>
      <c r="C50" s="179" t="s">
        <v>60</v>
      </c>
      <c r="D50" s="182">
        <v>67500</v>
      </c>
      <c r="E50" s="126">
        <f>E33</f>
        <v>58292.687</v>
      </c>
      <c r="F50" s="167">
        <f>_xlfn.IFERROR(D50-E50,"")</f>
        <v>9207.313</v>
      </c>
      <c r="G50" s="80" t="s">
        <v>61</v>
      </c>
      <c r="H50" s="80"/>
      <c r="I50" s="89">
        <v>18000</v>
      </c>
      <c r="J50" s="127">
        <f>E43</f>
        <v>15310.799</v>
      </c>
      <c r="K50" s="189">
        <f>I50-J50</f>
        <v>2689.201</v>
      </c>
      <c r="L50" s="96" t="s">
        <v>32</v>
      </c>
      <c r="M50" s="96"/>
      <c r="N50" s="89">
        <v>3300</v>
      </c>
      <c r="O50" s="126">
        <f>L33</f>
        <v>3232.199</v>
      </c>
      <c r="P50" s="189">
        <f>_xlfn.IFERROR(N50-O50,"")</f>
        <v>67.8009999999999</v>
      </c>
      <c r="Q50" s="180"/>
      <c r="R50" s="180"/>
      <c r="S50" s="180"/>
      <c r="T50" s="180"/>
      <c r="U50" s="180"/>
      <c r="V50" s="184"/>
    </row>
    <row s="62" customFormat="1" customHeight="1" ht="15">
      <c r="A51" s="155"/>
      <c r="B51" s="107"/>
      <c r="C51" s="179" t="s">
        <v>21</v>
      </c>
      <c r="D51" s="89">
        <v>27500</v>
      </c>
      <c r="E51" s="126">
        <f>E29+E22</f>
        <v>5656.59</v>
      </c>
      <c r="F51" s="167">
        <f>_xlfn.IFERROR(D51-E51,"")</f>
        <v>21843.41</v>
      </c>
      <c r="G51" s="96" t="s">
        <v>62</v>
      </c>
      <c r="H51" s="96"/>
      <c r="I51" s="89">
        <v>12000</v>
      </c>
      <c r="J51" s="127">
        <f>L23</f>
        <v>5589.303</v>
      </c>
      <c r="K51" s="189">
        <f>I51-J51</f>
        <v>6410.697</v>
      </c>
      <c r="L51" s="96" t="s">
        <v>17</v>
      </c>
      <c r="M51" s="96"/>
      <c r="N51" s="89">
        <v>3300</v>
      </c>
      <c r="O51" s="126">
        <f>L16</f>
        <v>2022.545</v>
      </c>
      <c r="P51" s="189">
        <f>_xlfn.IFERROR(N51-O51,"")</f>
        <v>1277.455</v>
      </c>
      <c r="Q51" s="180"/>
      <c r="R51" s="180"/>
      <c r="S51" s="180"/>
      <c r="T51" s="180"/>
      <c r="U51" s="180"/>
      <c r="V51" s="184"/>
    </row>
    <row s="62" customFormat="1" customHeight="1" ht="15">
      <c r="A52" s="155"/>
      <c r="B52" s="111" t="s">
        <v>63</v>
      </c>
      <c r="C52" s="112"/>
      <c r="D52" s="117">
        <v>4460</v>
      </c>
      <c r="E52" s="132">
        <f>S35+S39</f>
        <v>1353.96</v>
      </c>
      <c r="F52" s="198">
        <f>_xlfn.IFERROR(D52-E52,"")</f>
        <v>3106.04</v>
      </c>
      <c r="G52" s="116" t="s">
        <v>19</v>
      </c>
      <c r="H52" s="116"/>
      <c r="I52" s="117">
        <v>12000</v>
      </c>
      <c r="J52" s="133">
        <f>L20</f>
        <v>4521.567</v>
      </c>
      <c r="K52" s="201">
        <f>I52-J52</f>
        <v>7478.433</v>
      </c>
      <c r="L52" s="116" t="s">
        <v>18</v>
      </c>
      <c r="M52" s="116"/>
      <c r="N52" s="117">
        <v>3100</v>
      </c>
      <c r="O52" s="132">
        <f>L17</f>
        <v>2488.392</v>
      </c>
      <c r="P52" s="201">
        <f>_xlfn.IFERROR(N52-O52,"")</f>
        <v>611.608</v>
      </c>
      <c r="Q52" s="202"/>
      <c r="R52" s="202"/>
      <c r="S52" s="202"/>
      <c r="T52" s="202"/>
      <c r="U52" s="202"/>
      <c r="V52" s="203"/>
    </row>
    <row s="62" customFormat="1" customHeight="1" ht="15">
      <c r="A53" s="155"/>
      <c r="B53" s="67" t="s">
        <v>64</v>
      </c>
      <c r="C53" s="67"/>
      <c r="D53" s="67"/>
      <c r="E53" s="205" t="s">
        <v>65</v>
      </c>
      <c r="F53" s="206"/>
      <c r="G53" s="65" t="s">
        <v>66</v>
      </c>
      <c r="H53" s="65"/>
      <c r="I53" s="205" t="s">
        <v>67</v>
      </c>
      <c r="J53" s="58"/>
      <c r="K53" s="209"/>
      <c r="L53" s="57"/>
      <c r="M53" s="61" t="s">
        <v>68</v>
      </c>
      <c r="N53" s="205" t="s">
        <v>69</v>
      </c>
      <c r="O53" s="60"/>
      <c r="P53" s="209"/>
      <c r="Q53" s="213"/>
      <c r="R53" s="213"/>
      <c r="S53" s="213"/>
      <c r="T53" s="155"/>
      <c r="U53" s="213"/>
      <c r="V53" s="213"/>
    </row>
    <row customHeight="1" ht="15">
      <c r="A54" s="142"/>
      <c r="B54" s="147" t="s">
        <v>70</v>
      </c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4"/>
      <c r="R54" s="144"/>
      <c r="S54" s="144"/>
      <c r="T54" s="145"/>
      <c r="U54" s="144"/>
      <c r="V54" s="144"/>
    </row>
    <row customHeight="1" ht="13.799999999999999">
      <c r="A55" s="142"/>
      <c r="B55" s="142"/>
      <c r="C55" s="142"/>
      <c r="D55" s="143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4"/>
      <c r="R55" s="144"/>
      <c r="S55" s="144"/>
      <c r="T55" s="145"/>
      <c r="U55" s="144"/>
      <c r="V55" s="144"/>
    </row>
    <row customHeight="1" ht="13.799999999999999">
      <c r="A56" s="142"/>
      <c r="B56" s="142"/>
      <c r="C56" s="142"/>
      <c r="D56" s="143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4"/>
      <c r="R56" s="144"/>
      <c r="S56" s="144"/>
      <c r="T56" s="145"/>
      <c r="U56" s="144"/>
      <c r="V56" s="144"/>
    </row>
    <row customHeight="1" ht="13.799999999999999">
      <c r="A57" s="142"/>
      <c r="B57" s="142"/>
      <c r="C57" s="142"/>
      <c r="D57" s="143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4"/>
      <c r="R57" s="144"/>
      <c r="S57" s="144"/>
      <c r="T57" s="145"/>
      <c r="U57" s="144"/>
      <c r="V57" s="144"/>
    </row>
  </sheetData>
  <mergeCells count="76">
    <mergeCell ref="B2:V2"/>
    <mergeCell ref="Q17:R17"/>
    <mergeCell ref="I18:I20"/>
    <mergeCell ref="P18:P24"/>
    <mergeCell ref="B3:E3"/>
    <mergeCell ref="M3:P3"/>
    <mergeCell ref="I5:I11"/>
    <mergeCell ref="P5:P11"/>
    <mergeCell ref="J11:K11"/>
    <mergeCell ref="Q11:R11"/>
    <mergeCell ref="I12:I15"/>
    <mergeCell ref="H3:K3"/>
    <mergeCell ref="C19:D19"/>
    <mergeCell ref="B20:B22"/>
    <mergeCell ref="P12:P17"/>
    <mergeCell ref="J15:K15"/>
    <mergeCell ref="J20:K20"/>
    <mergeCell ref="I21:I23"/>
    <mergeCell ref="C22:D22"/>
    <mergeCell ref="B23:B28"/>
    <mergeCell ref="J23:K23"/>
    <mergeCell ref="I24:I26"/>
    <mergeCell ref="Q24:R24"/>
    <mergeCell ref="P25:P28"/>
    <mergeCell ref="J26:K26"/>
    <mergeCell ref="I27:I29"/>
    <mergeCell ref="C28:D28"/>
    <mergeCell ref="Q28:R28"/>
    <mergeCell ref="J29:K29"/>
    <mergeCell ref="P29:P35"/>
    <mergeCell ref="Q35:R35"/>
    <mergeCell ref="L49:M49"/>
    <mergeCell ref="G47:H47"/>
    <mergeCell ref="L50:M50"/>
    <mergeCell ref="Q39:R39"/>
    <mergeCell ref="J40:K40"/>
    <mergeCell ref="L44:M44"/>
    <mergeCell ref="I42:I43"/>
    <mergeCell ref="L45:M45"/>
    <mergeCell ref="L46:L48"/>
    <mergeCell ref="P37:P39"/>
    <mergeCell ref="G44:H44"/>
    <mergeCell ref="B38:B43"/>
    <mergeCell ref="C43:D43"/>
    <mergeCell ref="B45:B47"/>
    <mergeCell ref="G45:H45"/>
    <mergeCell ref="G46:H46"/>
    <mergeCell ref="B52:C52"/>
    <mergeCell ref="G52:H52"/>
    <mergeCell ref="B54:P54"/>
    <mergeCell ref="B48:B51"/>
    <mergeCell ref="D48:D49"/>
    <mergeCell ref="F48:F49"/>
    <mergeCell ref="G48:H48"/>
    <mergeCell ref="G51:H51"/>
    <mergeCell ref="L51:M51"/>
    <mergeCell ref="G49:H49"/>
    <mergeCell ref="L52:M52"/>
    <mergeCell ref="G50:H50"/>
    <mergeCell ref="B53:D53"/>
    <mergeCell ref="G53:H53"/>
    <mergeCell ref="C7:D7"/>
    <mergeCell ref="B5:B7"/>
    <mergeCell ref="B8:B12"/>
    <mergeCell ref="C12:D12"/>
    <mergeCell ref="B13:B19"/>
    <mergeCell ref="B44:C44"/>
    <mergeCell ref="B30:B33"/>
    <mergeCell ref="I30:I32"/>
    <mergeCell ref="J32:K32"/>
    <mergeCell ref="C33:D33"/>
    <mergeCell ref="C37:D37"/>
    <mergeCell ref="I37:I40"/>
    <mergeCell ref="B34:B37"/>
    <mergeCell ref="I34:I36"/>
    <mergeCell ref="J36:K36"/>
  </mergeCells>
  <conditionalFormatting sqref="D5:E6">
    <cfRule type="cellIs" priority="7" dxfId="0" operator="equal">
      <formula>0</formula>
    </cfRule>
  </conditionalFormatting>
  <conditionalFormatting sqref="D14:D18 D20:D21 D23:D27 D29:D32 D34:D36 D38:D42 D5:E6">
    <cfRule type="cellIs" priority="6" dxfId="1" operator="equal">
      <formula>0</formula>
    </cfRule>
  </conditionalFormatting>
  <conditionalFormatting sqref="K5:K10 K12:K14 K16:K19 K21:K22 K24:K25 K27:K28 K30:K31 K33:K35 K37:K39 K41:K43 R5:R10 R12:R16 R18:R23 R25:R27 R29:R34 R36:R38 R40">
    <cfRule type="cellIs" priority="5" dxfId="2" operator="equal">
      <formula>0</formula>
    </cfRule>
  </conditionalFormatting>
  <conditionalFormatting sqref="D8:E11">
    <cfRule type="cellIs" priority="4" dxfId="3" operator="equal">
      <formula>0</formula>
    </cfRule>
  </conditionalFormatting>
  <conditionalFormatting sqref="D8:E11">
    <cfRule type="cellIs" priority="3" dxfId="4" operator="equal">
      <formula>0</formula>
    </cfRule>
  </conditionalFormatting>
  <conditionalFormatting sqref="D13:E13">
    <cfRule type="cellIs" priority="2" dxfId="5" operator="equal">
      <formula>0</formula>
    </cfRule>
  </conditionalFormatting>
  <conditionalFormatting sqref="D13:E13">
    <cfRule type="cellIs" priority="1" dxfId="6" operator="equal">
      <formula>0</formula>
    </cfRule>
  </conditionalFormatting>
  <pageMargins left="0.70" right="0.70" top="0.75" bottom="0.75" header="0.30" footer="0.30"/>
  <pageSetup paperSize="9"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116F1F8-49E8-51A8-9258-22A3EC70A8EA}" mc:Ignorable="x14ac xr xr2 xr3">
  <dimension ref="A1:Y80"/>
  <sheetViews>
    <sheetView topLeftCell="A1" zoomScale="70" workbookViewId="0">
      <selection activeCell="H12" sqref="H12"/>
    </sheetView>
  </sheetViews>
  <sheetFormatPr defaultColWidth="10.00390625" customHeight="1" defaultRowHeight="13.799999999999999"/>
  <cols>
    <col min="1" max="1" style="64" width="2.421875" customWidth="1"/>
    <col min="2" max="2" style="64" width="9.28125" customWidth="1"/>
    <col min="3" max="3" style="64" width="10.00390625"/>
    <col min="4" max="4" style="55" width="10.00390625"/>
    <col min="5" max="7" style="64" width="14.00390625" customWidth="1"/>
    <col min="8" max="8" style="64" width="15.7109375" customWidth="1"/>
    <col min="9" max="16" style="64" width="10.00390625"/>
    <col min="17" max="17" style="64" width="10.421875" customWidth="1"/>
    <col min="18" max="19" style="64" width="10.00390625"/>
  </cols>
  <sheetData>
    <row customHeight="1" ht="21">
      <c r="A1" s="142"/>
      <c r="B1" s="146" t="s">
        <v>0</v>
      </c>
      <c r="C1" s="146"/>
      <c r="D1" s="215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2"/>
      <c r="T1" s="145"/>
      <c r="U1" s="145"/>
      <c r="V1" s="145"/>
      <c r="W1" s="145"/>
      <c r="X1" s="145"/>
      <c r="Y1" s="145"/>
    </row>
    <row customHeight="1" ht="15">
      <c r="A2" s="142"/>
      <c r="B2" s="216" t="s">
        <v>1</v>
      </c>
      <c r="C2" s="216"/>
      <c r="D2" s="216"/>
      <c r="E2" s="216"/>
      <c r="F2" s="217"/>
      <c r="G2" s="148"/>
      <c r="H2" s="148"/>
      <c r="I2" s="148"/>
      <c r="J2" s="148"/>
      <c r="K2" s="148"/>
      <c r="L2" s="148"/>
      <c r="M2" s="148"/>
      <c r="N2" s="148"/>
      <c r="O2" s="149"/>
      <c r="P2" s="149"/>
      <c r="Q2" s="149"/>
      <c r="R2" s="149"/>
      <c r="S2" s="142"/>
      <c r="T2" s="145"/>
      <c r="U2" s="145"/>
      <c r="V2" s="145"/>
      <c r="W2" s="145"/>
      <c r="X2" s="145"/>
      <c r="Y2" s="145"/>
    </row>
    <row customHeight="1" ht="15">
      <c r="A3" s="142"/>
      <c r="B3" s="150" t="s">
        <v>2</v>
      </c>
      <c r="C3" s="151" t="s">
        <v>3</v>
      </c>
      <c r="D3" s="152" t="s">
        <v>4</v>
      </c>
      <c r="E3" s="151" t="s">
        <v>5</v>
      </c>
      <c r="F3" s="151" t="s">
        <v>6</v>
      </c>
      <c r="G3" s="151" t="s">
        <v>71</v>
      </c>
      <c r="H3" s="153" t="s">
        <v>7</v>
      </c>
      <c r="I3" s="153" t="s">
        <v>8</v>
      </c>
      <c r="J3" s="151" t="s">
        <v>2</v>
      </c>
      <c r="K3" s="151" t="s">
        <v>3</v>
      </c>
      <c r="L3" s="151" t="s">
        <v>4</v>
      </c>
      <c r="M3" s="151" t="s">
        <v>5</v>
      </c>
      <c r="N3" s="151" t="s">
        <v>6</v>
      </c>
      <c r="O3" s="151" t="s">
        <v>72</v>
      </c>
      <c r="P3" s="153" t="s">
        <v>7</v>
      </c>
      <c r="Q3" s="153" t="s">
        <v>8</v>
      </c>
      <c r="R3" s="151" t="s">
        <v>2</v>
      </c>
      <c r="S3" s="151" t="s">
        <v>3</v>
      </c>
      <c r="T3" s="151" t="s">
        <v>4</v>
      </c>
      <c r="U3" s="151" t="s">
        <v>5</v>
      </c>
      <c r="V3" s="218" t="s">
        <v>6</v>
      </c>
      <c r="W3" s="219"/>
      <c r="X3" s="153" t="s">
        <v>7</v>
      </c>
      <c r="Y3" s="153" t="s">
        <v>8</v>
      </c>
    </row>
    <row s="62" customFormat="1" customHeight="1" ht="15">
      <c r="A4" s="155"/>
      <c r="B4" s="156" t="s">
        <v>9</v>
      </c>
      <c r="C4" s="157">
        <v>103</v>
      </c>
      <c r="D4" s="159">
        <v>12.16</v>
      </c>
      <c r="E4" s="159">
        <v>0</v>
      </c>
      <c r="F4" s="169">
        <f>IF(_xlfn.IFERROR(G4-E4,"")&gt;0,_xlfn.IFERROR(G4-E4,""),0)</f>
        <v>7155</v>
      </c>
      <c r="G4" s="157">
        <v>7155</v>
      </c>
      <c r="H4" s="157"/>
      <c r="I4" s="157"/>
      <c r="J4" s="160" t="s">
        <v>10</v>
      </c>
      <c r="K4" s="157">
        <v>301</v>
      </c>
      <c r="L4" s="159">
        <v>8.526</v>
      </c>
      <c r="M4" s="159">
        <v>2216.854</v>
      </c>
      <c r="N4" s="169">
        <f>IF(_xlfn.IFERROR(O4-M4,"")&gt;0,_xlfn.IFERROR(O4-M4,""),0)</f>
        <v>1163.146</v>
      </c>
      <c r="O4" s="157">
        <v>3380</v>
      </c>
      <c r="P4" s="157"/>
      <c r="Q4" s="157"/>
      <c r="R4" s="160" t="s">
        <v>11</v>
      </c>
      <c r="S4" s="157">
        <v>403</v>
      </c>
      <c r="T4" s="159">
        <v>8.826</v>
      </c>
      <c r="U4" s="159">
        <v>4765.805</v>
      </c>
      <c r="V4" s="220">
        <f>IF(_xlfn.IFERROR(W4-U4,"")&gt;0,_xlfn.IFERROR(W4-U4,""),0)</f>
        <v>2254.195</v>
      </c>
      <c r="W4" s="221">
        <v>7020</v>
      </c>
      <c r="X4" s="155"/>
      <c r="Y4" s="155"/>
    </row>
    <row s="62" customFormat="1" customHeight="1" ht="15">
      <c r="A5" s="155"/>
      <c r="B5" s="156"/>
      <c r="C5" s="157">
        <v>115</v>
      </c>
      <c r="D5" s="159">
        <v>7.026</v>
      </c>
      <c r="E5" s="159">
        <v>7306.629</v>
      </c>
      <c r="F5" s="169">
        <f>IF(_xlfn.IFERROR(G5-E5,"")&gt;0,_xlfn.IFERROR(G5-E5,""),0)</f>
        <v>6733.371</v>
      </c>
      <c r="G5" s="157">
        <v>14040</v>
      </c>
      <c r="H5" s="157"/>
      <c r="I5" s="157"/>
      <c r="J5" s="160"/>
      <c r="K5" s="157">
        <v>303</v>
      </c>
      <c r="L5" s="159">
        <v>11.977</v>
      </c>
      <c r="M5" s="159">
        <v>3113.968</v>
      </c>
      <c r="N5" s="169">
        <f>IF(_xlfn.IFERROR(O5-M5,"")&gt;0,_xlfn.IFERROR(O5-M5,""),0)</f>
        <v>266.032</v>
      </c>
      <c r="O5" s="157">
        <v>3380</v>
      </c>
      <c r="P5" s="157"/>
      <c r="Q5" s="157"/>
      <c r="R5" s="160"/>
      <c r="S5" s="157">
        <v>404</v>
      </c>
      <c r="T5" s="159">
        <v>9.195</v>
      </c>
      <c r="U5" s="159">
        <v>4965.524</v>
      </c>
      <c r="V5" s="220">
        <f>IF(_xlfn.IFERROR(W5-U5,"")&gt;0,_xlfn.IFERROR(W5-U5,""),0)</f>
        <v>2054.476</v>
      </c>
      <c r="W5" s="222">
        <v>7020</v>
      </c>
      <c r="X5" s="155"/>
      <c r="Y5" s="155"/>
    </row>
    <row s="62" customFormat="1" customHeight="1" ht="15">
      <c r="A6" s="155"/>
      <c r="B6" s="156"/>
      <c r="C6" s="157">
        <v>116</v>
      </c>
      <c r="D6" s="159">
        <v>6.174</v>
      </c>
      <c r="E6" s="159">
        <v>6421.297</v>
      </c>
      <c r="F6" s="169">
        <f>IF(_xlfn.IFERROR(G6-E6,"")&gt;0,_xlfn.IFERROR(G6-E6,""),0)</f>
        <v>7618.703</v>
      </c>
      <c r="G6" s="157">
        <v>14040</v>
      </c>
      <c r="H6" s="157"/>
      <c r="I6" s="157"/>
      <c r="J6" s="160"/>
      <c r="K6" s="157">
        <v>307</v>
      </c>
      <c r="L6" s="159">
        <v>12.897</v>
      </c>
      <c r="M6" s="159">
        <v>6706.669</v>
      </c>
      <c r="N6" s="169">
        <f>IF(_xlfn.IFERROR(O6-M6,"")&gt;0,_xlfn.IFERROR(O6-M6,""),0)</f>
        <v>105.331</v>
      </c>
      <c r="O6" s="157">
        <v>6812</v>
      </c>
      <c r="P6" s="157"/>
      <c r="Q6" s="157"/>
      <c r="R6" s="160"/>
      <c r="S6" s="157">
        <v>405</v>
      </c>
      <c r="T6" s="159">
        <v>11.65</v>
      </c>
      <c r="U6" s="159">
        <v>7164.925</v>
      </c>
      <c r="V6" s="220">
        <f>IF(_xlfn.IFERROR(W6-U6,"")&gt;0,_xlfn.IFERROR(W6-U6,""),0)</f>
        <v>1322.075</v>
      </c>
      <c r="W6" s="223">
        <v>8487</v>
      </c>
      <c r="X6" s="155"/>
      <c r="Y6" s="155"/>
    </row>
    <row s="62" customFormat="1" customHeight="1" ht="15">
      <c r="A7" s="155"/>
      <c r="B7" s="156"/>
      <c r="C7" s="160" t="s">
        <v>12</v>
      </c>
      <c r="D7" s="160"/>
      <c r="E7" s="157">
        <f>SUM(E4:E6)</f>
        <v>13727.926</v>
      </c>
      <c r="F7" s="157">
        <f>SUM(F4:F6)</f>
        <v>21507.074</v>
      </c>
      <c r="G7" s="157"/>
      <c r="H7" s="157"/>
      <c r="I7" s="157"/>
      <c r="J7" s="160"/>
      <c r="K7" s="157">
        <v>308</v>
      </c>
      <c r="L7" s="159">
        <v>6.616</v>
      </c>
      <c r="M7" s="159">
        <v>3440.198</v>
      </c>
      <c r="N7" s="169">
        <f>IF(_xlfn.IFERROR(O7-M7,"")&gt;0,_xlfn.IFERROR(O7-M7,""),0)</f>
        <v>3371.802</v>
      </c>
      <c r="O7" s="157">
        <v>6812</v>
      </c>
      <c r="P7" s="157"/>
      <c r="Q7" s="157"/>
      <c r="R7" s="160"/>
      <c r="S7" s="157">
        <v>406</v>
      </c>
      <c r="T7" s="159">
        <v>8.574</v>
      </c>
      <c r="U7" s="159">
        <v>5272.861</v>
      </c>
      <c r="V7" s="220">
        <f>IF(_xlfn.IFERROR(W7-U7,"")&gt;0,_xlfn.IFERROR(W7-U7,""),0)</f>
        <v>3214.139</v>
      </c>
      <c r="W7" s="224">
        <v>8487</v>
      </c>
      <c r="X7" s="155"/>
      <c r="Y7" s="155"/>
    </row>
    <row s="62" customFormat="1" customHeight="1" ht="15">
      <c r="A8" s="155"/>
      <c r="B8" s="103" t="s">
        <v>73</v>
      </c>
      <c r="C8" s="157">
        <v>104</v>
      </c>
      <c r="D8" s="159">
        <v>13.29</v>
      </c>
      <c r="E8" s="159">
        <v>0</v>
      </c>
      <c r="F8" s="169">
        <f>IF(_xlfn.IFERROR(G8-E8,"")&gt;0,_xlfn.IFERROR(G8-E8,""),0)</f>
        <v>7155</v>
      </c>
      <c r="G8" s="157">
        <v>7155</v>
      </c>
      <c r="H8" s="157"/>
      <c r="I8" s="157"/>
      <c r="J8" s="160"/>
      <c r="K8" s="157">
        <v>309</v>
      </c>
      <c r="L8" s="159">
        <v>12.69</v>
      </c>
      <c r="M8" s="159">
        <v>6598.884</v>
      </c>
      <c r="N8" s="169">
        <f>IF(_xlfn.IFERROR(O8-M8,"")&gt;0,_xlfn.IFERROR(O8-M8,""),0)</f>
        <v>213.116</v>
      </c>
      <c r="O8" s="157">
        <v>6812</v>
      </c>
      <c r="P8" s="157"/>
      <c r="Q8" s="157"/>
      <c r="R8" s="160"/>
      <c r="S8" s="157">
        <v>407</v>
      </c>
      <c r="T8" s="159">
        <v>7.403</v>
      </c>
      <c r="U8" s="159">
        <v>4552.724</v>
      </c>
      <c r="V8" s="220">
        <f>IF(_xlfn.IFERROR(W8-U8,"")&gt;0,_xlfn.IFERROR(W8-U8,""),0)</f>
        <v>3934.276</v>
      </c>
      <c r="W8" s="224">
        <v>8487</v>
      </c>
      <c r="X8" s="155"/>
      <c r="Y8" s="155"/>
    </row>
    <row s="62" customFormat="1" customHeight="1" ht="15">
      <c r="A9" s="155"/>
      <c r="B9" s="103"/>
      <c r="C9" s="157">
        <v>105</v>
      </c>
      <c r="D9" s="159">
        <v>11.17</v>
      </c>
      <c r="E9" s="159">
        <v>0</v>
      </c>
      <c r="F9" s="169">
        <f>IF(_xlfn.IFERROR(G9-E9,"")&gt;0,_xlfn.IFERROR(G9-E9,""),0)</f>
        <v>3776</v>
      </c>
      <c r="G9" s="157">
        <v>3776</v>
      </c>
      <c r="H9" s="157"/>
      <c r="I9" s="157"/>
      <c r="J9" s="160"/>
      <c r="K9" s="157">
        <v>310</v>
      </c>
      <c r="L9" s="159">
        <v>2.49</v>
      </c>
      <c r="M9" s="159">
        <v>1294.644</v>
      </c>
      <c r="N9" s="169">
        <f>IF(_xlfn.IFERROR(O9-M9,"")&gt;0,_xlfn.IFERROR(O9-M9,""),0)</f>
        <v>5517.356</v>
      </c>
      <c r="O9" s="157">
        <v>6812</v>
      </c>
      <c r="P9" s="157"/>
      <c r="Q9" s="157"/>
      <c r="R9" s="160"/>
      <c r="S9" s="157">
        <v>408</v>
      </c>
      <c r="T9" s="159">
        <v>7.785</v>
      </c>
      <c r="U9" s="159">
        <v>4125.908</v>
      </c>
      <c r="V9" s="220">
        <f>IF(_xlfn.IFERROR(W9-U9,"")&gt;0,_xlfn.IFERROR(W9-U9,""),0)</f>
        <v>3188.092</v>
      </c>
      <c r="W9" s="225">
        <v>7314</v>
      </c>
      <c r="X9" s="155"/>
      <c r="Y9" s="155"/>
    </row>
    <row s="62" customFormat="1" customHeight="1" ht="15">
      <c r="A10" s="155"/>
      <c r="B10" s="103"/>
      <c r="C10" s="157">
        <v>106</v>
      </c>
      <c r="D10" s="159">
        <v>7.33</v>
      </c>
      <c r="E10" s="159">
        <v>0</v>
      </c>
      <c r="F10" s="169">
        <f>IF(_xlfn.IFERROR(G10-E10,"")&gt;0,_xlfn.IFERROR(G10-E10,""),0)</f>
        <v>3776</v>
      </c>
      <c r="G10" s="157">
        <v>3776</v>
      </c>
      <c r="H10" s="157"/>
      <c r="I10" s="157"/>
      <c r="J10" s="160"/>
      <c r="K10" s="160" t="s">
        <v>12</v>
      </c>
      <c r="L10" s="160"/>
      <c r="M10" s="157">
        <f>SUM(M4:M9)</f>
        <v>23371.217</v>
      </c>
      <c r="N10" s="157">
        <f>SUM(N4:N9)</f>
        <v>10636.783</v>
      </c>
      <c r="O10" s="157"/>
      <c r="P10" s="157"/>
      <c r="Q10" s="157"/>
      <c r="R10" s="160"/>
      <c r="S10" s="160" t="s">
        <v>12</v>
      </c>
      <c r="T10" s="160"/>
      <c r="U10" s="157">
        <f>SUM(U4:U9)</f>
        <v>30847.747</v>
      </c>
      <c r="V10" s="226">
        <f>SUM(V4:V9)</f>
        <v>15967.253</v>
      </c>
      <c r="W10" s="155"/>
      <c r="X10" s="155"/>
      <c r="Y10" s="155"/>
    </row>
    <row s="62" customFormat="1" customHeight="1" ht="15">
      <c r="A11" s="155"/>
      <c r="B11" s="103"/>
      <c r="C11" s="157">
        <v>110</v>
      </c>
      <c r="D11" s="159">
        <v>9.157</v>
      </c>
      <c r="E11" s="159">
        <v>9523.488</v>
      </c>
      <c r="F11" s="169">
        <f>IF(_xlfn.IFERROR(G11-E11,"")&gt;0,_xlfn.IFERROR(G11-E11,""),0)</f>
        <v>4516.512</v>
      </c>
      <c r="G11" s="157">
        <v>14040</v>
      </c>
      <c r="H11" s="157"/>
      <c r="I11" s="157"/>
      <c r="J11" s="160" t="s">
        <v>14</v>
      </c>
      <c r="K11" s="157">
        <v>301</v>
      </c>
      <c r="L11" s="159">
        <v>13.675</v>
      </c>
      <c r="M11" s="159">
        <v>16683.05</v>
      </c>
      <c r="N11" s="169">
        <f>IF(_xlfn.IFERROR(O11-M11,"")&gt;0,_xlfn.IFERROR(O11-M11,""),0)</f>
        <v>3080.95</v>
      </c>
      <c r="O11" s="157">
        <v>19764</v>
      </c>
      <c r="P11" s="157"/>
      <c r="Q11" s="157"/>
      <c r="R11" s="160" t="s">
        <v>15</v>
      </c>
      <c r="S11" s="157">
        <v>401</v>
      </c>
      <c r="T11" s="159">
        <v>8.548</v>
      </c>
      <c r="U11" s="159">
        <v>2735.246</v>
      </c>
      <c r="V11" s="220">
        <f>IF(_xlfn.IFERROR(W11-U11,"")&gt;0,_xlfn.IFERROR(W11-U11,""),0)</f>
        <v>2192.754</v>
      </c>
      <c r="W11" s="223">
        <v>4928</v>
      </c>
      <c r="X11" s="155"/>
      <c r="Y11" s="155"/>
    </row>
    <row s="62" customFormat="1" customHeight="1" ht="15">
      <c r="A12" s="155"/>
      <c r="B12" s="103"/>
      <c r="C12" s="164" t="s">
        <v>12</v>
      </c>
      <c r="D12" s="164"/>
      <c r="E12" s="157">
        <f>SUM(E8:E11)</f>
        <v>9523.488</v>
      </c>
      <c r="F12" s="157">
        <f>SUM(F8:F11)</f>
        <v>19223.512</v>
      </c>
      <c r="G12" s="157"/>
      <c r="H12" s="157"/>
      <c r="I12" s="157"/>
      <c r="J12" s="160"/>
      <c r="K12" s="157">
        <v>302</v>
      </c>
      <c r="L12" s="159">
        <v>16.098</v>
      </c>
      <c r="M12" s="159">
        <v>19639.639</v>
      </c>
      <c r="N12" s="169">
        <f>IF(_xlfn.IFERROR(O12-M12,"")&gt;0,_xlfn.IFERROR(O12-M12,""),0)</f>
        <v>124.361000000001</v>
      </c>
      <c r="O12" s="157">
        <v>19764</v>
      </c>
      <c r="P12" s="157"/>
      <c r="Q12" s="157"/>
      <c r="R12" s="160"/>
      <c r="S12" s="157">
        <v>402</v>
      </c>
      <c r="T12" s="159">
        <v>1.957</v>
      </c>
      <c r="U12" s="159">
        <v>626.285</v>
      </c>
      <c r="V12" s="220">
        <f>IF(_xlfn.IFERROR(W12-U12,"")&gt;0,_xlfn.IFERROR(W12-U12,""),0)</f>
        <v>4301.715</v>
      </c>
      <c r="W12" s="224">
        <v>4928</v>
      </c>
      <c r="X12" s="155"/>
      <c r="Y12" s="155"/>
    </row>
    <row s="62" customFormat="1" customHeight="1" ht="15">
      <c r="A13" s="155"/>
      <c r="B13" s="156" t="s">
        <v>16</v>
      </c>
      <c r="C13" s="167">
        <v>109</v>
      </c>
      <c r="D13" s="159">
        <v>8.977</v>
      </c>
      <c r="E13" s="159">
        <v>9694.709</v>
      </c>
      <c r="F13" s="169">
        <f>IF(_xlfn.IFERROR(G13-E13,"")&gt;0,_xlfn.IFERROR(G13-E13,""),0)</f>
        <v>4345.291</v>
      </c>
      <c r="G13" s="157">
        <v>14040</v>
      </c>
      <c r="H13" s="157"/>
      <c r="I13" s="157"/>
      <c r="J13" s="160"/>
      <c r="K13" s="157">
        <v>303</v>
      </c>
      <c r="L13" s="159">
        <v>16.08</v>
      </c>
      <c r="M13" s="159">
        <v>19617.579</v>
      </c>
      <c r="N13" s="169">
        <f>IF(_xlfn.IFERROR(O13-M13,"")&gt;0,_xlfn.IFERROR(O13-M13,""),0)</f>
        <v>146.420999999998</v>
      </c>
      <c r="O13" s="157">
        <v>19764</v>
      </c>
      <c r="P13" s="157"/>
      <c r="Q13" s="157"/>
      <c r="R13" s="160"/>
      <c r="S13" s="157">
        <v>411</v>
      </c>
      <c r="T13" s="159">
        <v>3.648</v>
      </c>
      <c r="U13" s="159">
        <v>1167.266</v>
      </c>
      <c r="V13" s="220">
        <f>IF(_xlfn.IFERROR(W13-U13,"")&gt;0,_xlfn.IFERROR(W13-U13,""),0)</f>
        <v>3760.734</v>
      </c>
      <c r="W13" s="224">
        <v>4928</v>
      </c>
      <c r="X13" s="155"/>
      <c r="Y13" s="155"/>
    </row>
    <row s="62" customFormat="1" customHeight="1" ht="15">
      <c r="A14" s="155"/>
      <c r="B14" s="156"/>
      <c r="C14" s="157">
        <v>111</v>
      </c>
      <c r="D14" s="159">
        <v>9.814</v>
      </c>
      <c r="E14" s="159">
        <v>10598.972</v>
      </c>
      <c r="F14" s="169">
        <f>IF(_xlfn.IFERROR(G14-E14,"")&gt;0,_xlfn.IFERROR(G14-E14,""),0)</f>
        <v>3441.028</v>
      </c>
      <c r="G14" s="157">
        <v>14040</v>
      </c>
      <c r="H14" s="157"/>
      <c r="I14" s="157"/>
      <c r="J14" s="160"/>
      <c r="K14" s="160" t="s">
        <v>12</v>
      </c>
      <c r="L14" s="160"/>
      <c r="M14" s="157">
        <f>SUM(M11:M13)</f>
        <v>55940.268</v>
      </c>
      <c r="N14" s="157">
        <f>SUM(N11:N13)</f>
        <v>3351.732</v>
      </c>
      <c r="O14" s="157"/>
      <c r="P14" s="157"/>
      <c r="Q14" s="157"/>
      <c r="R14" s="160"/>
      <c r="S14" s="157">
        <v>412</v>
      </c>
      <c r="T14" s="159">
        <v>7.603</v>
      </c>
      <c r="U14" s="159">
        <v>380.129</v>
      </c>
      <c r="V14" s="220">
        <f>IF(_xlfn.IFERROR(W14-U14,"")&gt;0,_xlfn.IFERROR(W14-U14,""),0)</f>
        <v>29.8709999999999</v>
      </c>
      <c r="W14" s="223">
        <v>409.99999999999994</v>
      </c>
      <c r="X14" s="155"/>
      <c r="Y14" s="155"/>
    </row>
    <row s="62" customFormat="1" customHeight="1" ht="15">
      <c r="A15" s="155"/>
      <c r="B15" s="156"/>
      <c r="C15" s="157">
        <v>112</v>
      </c>
      <c r="D15" s="159">
        <v>11.069</v>
      </c>
      <c r="E15" s="159">
        <v>11954.182</v>
      </c>
      <c r="F15" s="169">
        <f>IF(_xlfn.IFERROR(G15-E15,"")&gt;0,_xlfn.IFERROR(G15-E15,""),0)</f>
        <v>2085.818</v>
      </c>
      <c r="G15" s="157">
        <v>14040</v>
      </c>
      <c r="H15" s="157"/>
      <c r="I15" s="157"/>
      <c r="J15" s="157" t="s">
        <v>17</v>
      </c>
      <c r="K15" s="157">
        <v>302</v>
      </c>
      <c r="L15" s="159">
        <v>7.932</v>
      </c>
      <c r="M15" s="159">
        <v>2022.545</v>
      </c>
      <c r="N15" s="169">
        <f>IF(_xlfn.IFERROR(O15-M15,"")&gt;0,_xlfn.IFERROR(O15-M15,""),0)</f>
        <v>1190.455</v>
      </c>
      <c r="O15" s="157">
        <v>3213</v>
      </c>
      <c r="P15" s="157"/>
      <c r="Q15" s="157"/>
      <c r="R15" s="160"/>
      <c r="S15" s="157">
        <v>413</v>
      </c>
      <c r="T15" s="159">
        <v>1.343</v>
      </c>
      <c r="U15" s="159">
        <v>67.152</v>
      </c>
      <c r="V15" s="220">
        <f>IF(_xlfn.IFERROR(W15-U15,"")&gt;0,_xlfn.IFERROR(W15-U15,""),0)</f>
        <v>342.848</v>
      </c>
      <c r="W15" s="223">
        <v>409.99999999999994</v>
      </c>
      <c r="X15" s="155"/>
      <c r="Y15" s="155"/>
    </row>
    <row s="62" customFormat="1" customHeight="1" ht="15">
      <c r="A16" s="155"/>
      <c r="B16" s="156"/>
      <c r="C16" s="157">
        <v>113</v>
      </c>
      <c r="D16" s="159">
        <v>11.068</v>
      </c>
      <c r="E16" s="159">
        <v>11953.391</v>
      </c>
      <c r="F16" s="169">
        <f>IF(_xlfn.IFERROR(G16-E16,"")&gt;0,_xlfn.IFERROR(G16-E16,""),0)</f>
        <v>2086.609</v>
      </c>
      <c r="G16" s="157">
        <v>14040</v>
      </c>
      <c r="H16" s="157"/>
      <c r="I16" s="157"/>
      <c r="J16" s="157" t="s">
        <v>18</v>
      </c>
      <c r="K16" s="157">
        <v>304</v>
      </c>
      <c r="L16" s="159">
        <v>10.157</v>
      </c>
      <c r="M16" s="159">
        <v>2488.392</v>
      </c>
      <c r="N16" s="169">
        <f>IF(_xlfn.IFERROR(O16-M16,"")&gt;0,_xlfn.IFERROR(O16-M16,""),0)</f>
        <v>598.608</v>
      </c>
      <c r="O16" s="157">
        <v>3087</v>
      </c>
      <c r="P16" s="157"/>
      <c r="Q16" s="157"/>
      <c r="R16" s="160"/>
      <c r="S16" s="160" t="s">
        <v>12</v>
      </c>
      <c r="T16" s="160"/>
      <c r="U16" s="157">
        <f>SUM(U11:U15)</f>
        <v>4976.078</v>
      </c>
      <c r="V16" s="226">
        <f>SUM(V11:V15)</f>
        <v>10627.922</v>
      </c>
      <c r="W16" s="155"/>
      <c r="X16" s="155"/>
      <c r="Y16" s="155"/>
    </row>
    <row s="62" customFormat="1" customHeight="1" ht="15">
      <c r="A17" s="155"/>
      <c r="B17" s="156"/>
      <c r="C17" s="157">
        <v>114</v>
      </c>
      <c r="D17" s="159">
        <v>7.148</v>
      </c>
      <c r="E17" s="159">
        <v>7433.927</v>
      </c>
      <c r="F17" s="169">
        <f>IF(_xlfn.IFERROR(G17-E17,"")&gt;0,_xlfn.IFERROR(G17-E17,""),0)</f>
        <v>6606.073</v>
      </c>
      <c r="G17" s="157">
        <v>14040</v>
      </c>
      <c r="H17" s="157"/>
      <c r="I17" s="157"/>
      <c r="J17" s="160" t="s">
        <v>19</v>
      </c>
      <c r="K17" s="157">
        <v>311</v>
      </c>
      <c r="L17" s="159">
        <v>4.428</v>
      </c>
      <c r="M17" s="159">
        <v>2258.221</v>
      </c>
      <c r="N17" s="169">
        <f>IF(_xlfn.IFERROR(O17-M17,"")&gt;0,_xlfn.IFERROR(O17-M17,""),0)</f>
        <v>4473.779</v>
      </c>
      <c r="O17" s="157">
        <v>6732</v>
      </c>
      <c r="P17" s="157"/>
      <c r="Q17" s="157"/>
      <c r="R17" s="80" t="s">
        <v>20</v>
      </c>
      <c r="S17" s="169">
        <v>501</v>
      </c>
      <c r="T17" s="159">
        <v>0</v>
      </c>
      <c r="U17" s="159">
        <v>0</v>
      </c>
      <c r="V17" s="220">
        <f>IF(_xlfn.IFERROR(W17-U17,"")&gt;0,_xlfn.IFERROR(W17-U17,""),0)</f>
        <v>440</v>
      </c>
      <c r="W17" s="223">
        <v>440</v>
      </c>
      <c r="X17" s="155"/>
      <c r="Y17" s="155"/>
    </row>
    <row s="62" customFormat="1" customHeight="1" ht="15">
      <c r="A18" s="155"/>
      <c r="B18" s="156"/>
      <c r="C18" s="171" t="s">
        <v>12</v>
      </c>
      <c r="D18" s="171"/>
      <c r="E18" s="157">
        <f>SUM(E13:E17)</f>
        <v>51635.181</v>
      </c>
      <c r="F18" s="157">
        <f>SUM(F13:F17)</f>
        <v>18564.819</v>
      </c>
      <c r="G18" s="157"/>
      <c r="H18" s="157"/>
      <c r="I18" s="157"/>
      <c r="J18" s="160"/>
      <c r="K18" s="157">
        <v>312</v>
      </c>
      <c r="L18" s="159">
        <v>4.438</v>
      </c>
      <c r="M18" s="159">
        <v>2263.346</v>
      </c>
      <c r="N18" s="169">
        <f>IF(_xlfn.IFERROR(O18-M18,"")&gt;0,_xlfn.IFERROR(O18-M18,""),0)</f>
        <v>4468.654</v>
      </c>
      <c r="O18" s="157">
        <v>6732</v>
      </c>
      <c r="P18" s="157"/>
      <c r="Q18" s="157"/>
      <c r="R18" s="80"/>
      <c r="S18" s="169">
        <v>502</v>
      </c>
      <c r="T18" s="159">
        <v>0</v>
      </c>
      <c r="U18" s="159">
        <v>0</v>
      </c>
      <c r="V18" s="220">
        <f>IF(_xlfn.IFERROR(W18-U18,"")&gt;0,_xlfn.IFERROR(W18-U18,""),0)</f>
        <v>440</v>
      </c>
      <c r="W18" s="223">
        <v>440</v>
      </c>
      <c r="X18" s="155"/>
      <c r="Y18" s="155"/>
    </row>
    <row s="62" customFormat="1" customHeight="1" ht="15">
      <c r="A19" s="155"/>
      <c r="B19" s="156" t="s">
        <v>21</v>
      </c>
      <c r="C19" s="157">
        <v>201</v>
      </c>
      <c r="D19" s="159">
        <v>7.568</v>
      </c>
      <c r="E19" s="159">
        <v>2724.375</v>
      </c>
      <c r="F19" s="169">
        <f>IF(_xlfn.IFERROR(G19-E19,"")&gt;0,_xlfn.IFERROR(G19-E19,""),0)</f>
        <v>83.625</v>
      </c>
      <c r="G19" s="157">
        <v>2808</v>
      </c>
      <c r="H19" s="157"/>
      <c r="I19" s="157"/>
      <c r="J19" s="160"/>
      <c r="K19" s="160" t="s">
        <v>12</v>
      </c>
      <c r="L19" s="160"/>
      <c r="M19" s="157">
        <f>SUM(M17:M18)</f>
        <v>4521.567</v>
      </c>
      <c r="N19" s="157">
        <f>SUM(N17:N18)</f>
        <v>8942.433</v>
      </c>
      <c r="O19" s="157"/>
      <c r="P19" s="157"/>
      <c r="Q19" s="157"/>
      <c r="R19" s="80"/>
      <c r="S19" s="169">
        <v>503</v>
      </c>
      <c r="T19" s="159">
        <v>0</v>
      </c>
      <c r="U19" s="159">
        <v>0</v>
      </c>
      <c r="V19" s="220">
        <f>IF(_xlfn.IFERROR(W19-U19,"")&gt;0,_xlfn.IFERROR(W19-U19,""),0)</f>
        <v>440</v>
      </c>
      <c r="W19" s="223">
        <v>440</v>
      </c>
      <c r="X19" s="155"/>
      <c r="Y19" s="155"/>
    </row>
    <row s="62" customFormat="1" customHeight="1" ht="15">
      <c r="A20" s="155"/>
      <c r="B20" s="156"/>
      <c r="C20" s="157">
        <v>202</v>
      </c>
      <c r="D20" s="159">
        <v>7.82</v>
      </c>
      <c r="E20" s="159">
        <v>2815.218</v>
      </c>
      <c r="F20" s="169">
        <f>IF(_xlfn.IFERROR(G20-E20,"")&gt;0,_xlfn.IFERROR(G20-E20,""),0)</f>
        <v>0</v>
      </c>
      <c r="G20" s="157">
        <v>2808</v>
      </c>
      <c r="H20" s="157"/>
      <c r="I20" s="157"/>
      <c r="J20" s="160" t="s">
        <v>22</v>
      </c>
      <c r="K20" s="157">
        <v>313</v>
      </c>
      <c r="L20" s="159">
        <v>7.489</v>
      </c>
      <c r="M20" s="159">
        <v>3145.425</v>
      </c>
      <c r="N20" s="169">
        <f>IF(_xlfn.IFERROR(O20-M20,"")&gt;0,_xlfn.IFERROR(O20-M20,""),0)</f>
        <v>2398.575</v>
      </c>
      <c r="O20" s="157">
        <v>5544</v>
      </c>
      <c r="P20" s="157"/>
      <c r="Q20" s="157"/>
      <c r="R20" s="80"/>
      <c r="S20" s="169">
        <v>504</v>
      </c>
      <c r="T20" s="159">
        <v>0</v>
      </c>
      <c r="U20" s="159">
        <v>0</v>
      </c>
      <c r="V20" s="220">
        <f>IF(_xlfn.IFERROR(W20-U20,"")&gt;0,_xlfn.IFERROR(W20-U20,""),0)</f>
        <v>440</v>
      </c>
      <c r="W20" s="223">
        <v>440</v>
      </c>
      <c r="X20" s="155"/>
      <c r="Y20" s="155"/>
    </row>
    <row s="62" customFormat="1" customHeight="1" ht="15">
      <c r="A21" s="155"/>
      <c r="B21" s="156"/>
      <c r="C21" s="160" t="s">
        <v>12</v>
      </c>
      <c r="D21" s="172"/>
      <c r="E21" s="157">
        <f>SUM(E19:E20)</f>
        <v>5539.593</v>
      </c>
      <c r="F21" s="157">
        <f>SUM(F19:F20)</f>
        <v>83.625</v>
      </c>
      <c r="G21" s="157"/>
      <c r="H21" s="157"/>
      <c r="I21" s="157"/>
      <c r="J21" s="160"/>
      <c r="K21" s="157">
        <v>314</v>
      </c>
      <c r="L21" s="159">
        <v>5.819</v>
      </c>
      <c r="M21" s="159">
        <v>2443.878</v>
      </c>
      <c r="N21" s="169">
        <f>IF(_xlfn.IFERROR(O21-M21,"")&gt;0,_xlfn.IFERROR(O21-M21,""),0)</f>
        <v>3100.122</v>
      </c>
      <c r="O21" s="157">
        <v>5544</v>
      </c>
      <c r="P21" s="157"/>
      <c r="Q21" s="157"/>
      <c r="R21" s="80"/>
      <c r="S21" s="169">
        <v>511</v>
      </c>
      <c r="T21" s="159">
        <v>2.579</v>
      </c>
      <c r="U21" s="159">
        <v>63.717</v>
      </c>
      <c r="V21" s="220">
        <f>IF(_xlfn.IFERROR(W21-U21,"")&gt;0,_xlfn.IFERROR(W21-U21,""),0)</f>
        <v>376.283</v>
      </c>
      <c r="W21" s="223">
        <v>440</v>
      </c>
      <c r="X21" s="155"/>
      <c r="Y21" s="155"/>
    </row>
    <row s="62" customFormat="1" customHeight="1" ht="15">
      <c r="A22" s="155"/>
      <c r="B22" s="156" t="s">
        <v>23</v>
      </c>
      <c r="C22" s="157">
        <v>203</v>
      </c>
      <c r="D22" s="159">
        <v>12.259</v>
      </c>
      <c r="E22" s="159">
        <v>7110.038</v>
      </c>
      <c r="F22" s="169">
        <f>IF(_xlfn.IFERROR(G22-E22,"")&gt;0,_xlfn.IFERROR(G22-E22,""),0)</f>
        <v>719.962</v>
      </c>
      <c r="G22" s="157">
        <v>7830</v>
      </c>
      <c r="H22" s="157"/>
      <c r="I22" s="157"/>
      <c r="J22" s="160"/>
      <c r="K22" s="160" t="s">
        <v>12</v>
      </c>
      <c r="L22" s="160"/>
      <c r="M22" s="157">
        <f>SUM(M20:M21)</f>
        <v>5589.303</v>
      </c>
      <c r="N22" s="157">
        <f>SUM(N20:N21)</f>
        <v>5498.697</v>
      </c>
      <c r="O22" s="157"/>
      <c r="P22" s="157"/>
      <c r="Q22" s="157"/>
      <c r="R22" s="80"/>
      <c r="S22" s="169">
        <v>512</v>
      </c>
      <c r="T22" s="159">
        <v>5.533</v>
      </c>
      <c r="U22" s="159">
        <v>212.91</v>
      </c>
      <c r="V22" s="220">
        <f>IF(_xlfn.IFERROR(W22-U22,"")&gt;0,_xlfn.IFERROR(W22-U22,""),0)</f>
        <v>227.09</v>
      </c>
      <c r="W22" s="223">
        <v>440</v>
      </c>
      <c r="X22" s="155"/>
      <c r="Y22" s="155"/>
    </row>
    <row s="62" customFormat="1" customHeight="1" ht="15">
      <c r="A23" s="155"/>
      <c r="B23" s="156"/>
      <c r="C23" s="157">
        <v>204</v>
      </c>
      <c r="D23" s="159">
        <v>6.141</v>
      </c>
      <c r="E23" s="159">
        <v>3561.892</v>
      </c>
      <c r="F23" s="169">
        <f>IF(_xlfn.IFERROR(G23-E23,"")&gt;0,_xlfn.IFERROR(G23-E23,""),0)</f>
        <v>4268.108</v>
      </c>
      <c r="G23" s="157">
        <v>7830</v>
      </c>
      <c r="H23" s="157"/>
      <c r="I23" s="157"/>
      <c r="J23" s="160" t="s">
        <v>24</v>
      </c>
      <c r="K23" s="157">
        <v>315</v>
      </c>
      <c r="L23" s="159">
        <v>5.739</v>
      </c>
      <c r="M23" s="159">
        <v>1377.403</v>
      </c>
      <c r="N23" s="169">
        <f>IF(_xlfn.IFERROR(O23-M23,"")&gt;0,_xlfn.IFERROR(O23-M23,""),0)</f>
        <v>1742.597</v>
      </c>
      <c r="O23" s="157">
        <v>3120</v>
      </c>
      <c r="P23" s="157"/>
      <c r="Q23" s="157"/>
      <c r="R23" s="80"/>
      <c r="S23" s="160" t="s">
        <v>12</v>
      </c>
      <c r="T23" s="160"/>
      <c r="U23" s="157">
        <f>SUM(U17:U22)</f>
        <v>276.627</v>
      </c>
      <c r="V23" s="226">
        <f>SUM(V17:V22)</f>
        <v>2363.373</v>
      </c>
      <c r="W23" s="155"/>
      <c r="X23" s="155"/>
      <c r="Y23" s="155"/>
    </row>
    <row s="62" customFormat="1" customHeight="1" ht="15">
      <c r="A24" s="155"/>
      <c r="B24" s="156"/>
      <c r="C24" s="157">
        <v>205</v>
      </c>
      <c r="D24" s="159">
        <v>0</v>
      </c>
      <c r="E24" s="159">
        <v>0</v>
      </c>
      <c r="F24" s="169">
        <f>IF(_xlfn.IFERROR(G24-E24,"")&gt;0,_xlfn.IFERROR(G24-E24,""),0)</f>
        <v>7830</v>
      </c>
      <c r="G24" s="157">
        <v>7830</v>
      </c>
      <c r="H24" s="157"/>
      <c r="I24" s="157"/>
      <c r="J24" s="160"/>
      <c r="K24" s="157">
        <v>316</v>
      </c>
      <c r="L24" s="159">
        <v>4.73</v>
      </c>
      <c r="M24" s="159">
        <v>1135.095</v>
      </c>
      <c r="N24" s="169">
        <f>IF(_xlfn.IFERROR(O24-M24,"")&gt;0,_xlfn.IFERROR(O24-M24,""),0)</f>
        <v>1984.905</v>
      </c>
      <c r="O24" s="157">
        <v>3120</v>
      </c>
      <c r="P24" s="157"/>
      <c r="Q24" s="157"/>
      <c r="R24" s="80" t="s">
        <v>74</v>
      </c>
      <c r="S24" s="169">
        <v>513</v>
      </c>
      <c r="T24" s="159">
        <v>6.586</v>
      </c>
      <c r="U24" s="159">
        <v>303.707</v>
      </c>
      <c r="V24" s="220">
        <f>IF(_xlfn.IFERROR(W24-U24,"")&gt;0,_xlfn.IFERROR(W24-U24,""),0)</f>
        <v>136.293</v>
      </c>
      <c r="W24" s="223">
        <v>440</v>
      </c>
      <c r="X24" s="155"/>
      <c r="Y24" s="155"/>
    </row>
    <row s="62" customFormat="1" customHeight="1" ht="15">
      <c r="A25" s="155"/>
      <c r="B25" s="156"/>
      <c r="C25" s="157">
        <v>206</v>
      </c>
      <c r="D25" s="159">
        <v>5.153</v>
      </c>
      <c r="E25" s="159">
        <v>2988.616</v>
      </c>
      <c r="F25" s="169">
        <f>IF(_xlfn.IFERROR(G25-E25,"")&gt;0,_xlfn.IFERROR(G25-E25,""),0)</f>
        <v>4841.384</v>
      </c>
      <c r="G25" s="157">
        <v>7830</v>
      </c>
      <c r="H25" s="157"/>
      <c r="I25" s="157"/>
      <c r="J25" s="160"/>
      <c r="K25" s="160" t="s">
        <v>12</v>
      </c>
      <c r="L25" s="160"/>
      <c r="M25" s="157">
        <f>SUM(M23:M24)</f>
        <v>2512.498</v>
      </c>
      <c r="N25" s="157">
        <f>SUM(N23:N24)</f>
        <v>3727.502</v>
      </c>
      <c r="O25" s="157"/>
      <c r="P25" s="157"/>
      <c r="Q25" s="157"/>
      <c r="R25" s="80"/>
      <c r="S25" s="169">
        <v>514</v>
      </c>
      <c r="T25" s="159">
        <v>6.812</v>
      </c>
      <c r="U25" s="159">
        <v>319.222</v>
      </c>
      <c r="V25" s="220">
        <f>IF(_xlfn.IFERROR(W25-U25,"")&gt;0,_xlfn.IFERROR(W25-U25,""),0)</f>
        <v>120.778</v>
      </c>
      <c r="W25" s="223">
        <v>440</v>
      </c>
      <c r="X25" s="155"/>
      <c r="Y25" s="155"/>
    </row>
    <row s="62" customFormat="1" customHeight="1" ht="15">
      <c r="A26" s="155"/>
      <c r="B26" s="156"/>
      <c r="C26" s="157">
        <v>207</v>
      </c>
      <c r="D26" s="159">
        <v>2.447</v>
      </c>
      <c r="E26" s="159">
        <v>1223.5</v>
      </c>
      <c r="F26" s="169">
        <f>IF(_xlfn.IFERROR(G26-E26,"")&gt;0,_xlfn.IFERROR(G26-E26,""),0)</f>
        <v>5526.5</v>
      </c>
      <c r="G26" s="157">
        <v>6750</v>
      </c>
      <c r="H26" s="157"/>
      <c r="I26" s="157"/>
      <c r="J26" s="160" t="s">
        <v>26</v>
      </c>
      <c r="K26" s="157">
        <v>317</v>
      </c>
      <c r="L26" s="159">
        <v>7.406</v>
      </c>
      <c r="M26" s="159">
        <v>2014.565</v>
      </c>
      <c r="N26" s="169">
        <f>IF(_xlfn.IFERROR(O26-M26,"")&gt;0,_xlfn.IFERROR(O26-M26,""),0)</f>
        <v>1657.435</v>
      </c>
      <c r="O26" s="157">
        <v>3672</v>
      </c>
      <c r="P26" s="157"/>
      <c r="Q26" s="157"/>
      <c r="R26" s="80"/>
      <c r="S26" s="169">
        <v>515</v>
      </c>
      <c r="T26" s="159">
        <v>2.434</v>
      </c>
      <c r="U26" s="159">
        <v>58.477</v>
      </c>
      <c r="V26" s="220">
        <f>IF(_xlfn.IFERROR(W26-U26,"")&gt;0,_xlfn.IFERROR(W26-U26,""),0)</f>
        <v>381.523</v>
      </c>
      <c r="W26" s="223">
        <v>440</v>
      </c>
      <c r="X26" s="155"/>
      <c r="Y26" s="155"/>
    </row>
    <row s="62" customFormat="1" customHeight="1" ht="15">
      <c r="A27" s="155"/>
      <c r="B27" s="156"/>
      <c r="C27" s="160" t="s">
        <v>12</v>
      </c>
      <c r="D27" s="172"/>
      <c r="E27" s="157">
        <f>SUM(E22:E26)</f>
        <v>14884.046</v>
      </c>
      <c r="F27" s="157">
        <f>SUM(F22:F26)</f>
        <v>23185.954</v>
      </c>
      <c r="G27" s="157"/>
      <c r="H27" s="157"/>
      <c r="I27" s="157"/>
      <c r="J27" s="160"/>
      <c r="K27" s="157">
        <v>318</v>
      </c>
      <c r="L27" s="159">
        <v>6.754</v>
      </c>
      <c r="M27" s="159">
        <v>1837.064</v>
      </c>
      <c r="N27" s="169">
        <f>IF(_xlfn.IFERROR(O27-M27,"")&gt;0,_xlfn.IFERROR(O27-M27,""),0)</f>
        <v>1834.936</v>
      </c>
      <c r="O27" s="157">
        <v>3672</v>
      </c>
      <c r="P27" s="157"/>
      <c r="Q27" s="157"/>
      <c r="R27" s="80"/>
      <c r="S27" s="160" t="s">
        <v>12</v>
      </c>
      <c r="T27" s="160"/>
      <c r="U27" s="157">
        <f>SUM(U24:U26)+U35</f>
        <v>739.097</v>
      </c>
      <c r="V27" s="226">
        <f>SUM(V24:V26)+V35</f>
        <v>1020.903</v>
      </c>
      <c r="W27" s="155"/>
      <c r="X27" s="155"/>
      <c r="Y27" s="155"/>
    </row>
    <row s="62" customFormat="1" customHeight="1" ht="15">
      <c r="A28" s="155"/>
      <c r="B28" s="227" t="s">
        <v>27</v>
      </c>
      <c r="C28" s="157">
        <v>201</v>
      </c>
      <c r="D28" s="159" t="s">
        <v>28</v>
      </c>
      <c r="E28" s="159">
        <v>116.997</v>
      </c>
      <c r="F28" s="169">
        <f>IF(_xlfn.IFERROR(G28-E28,"")&gt;0,_xlfn.IFERROR(G28-E28,""),0)</f>
        <v>21753.003</v>
      </c>
      <c r="G28" s="157">
        <v>21870</v>
      </c>
      <c r="H28" s="157"/>
      <c r="I28" s="157"/>
      <c r="J28" s="160"/>
      <c r="K28" s="160" t="s">
        <v>12</v>
      </c>
      <c r="L28" s="160"/>
      <c r="M28" s="157">
        <f>SUM(M26:M27)</f>
        <v>3851.629</v>
      </c>
      <c r="N28" s="157">
        <f>SUM(N26:N27)</f>
        <v>3492.371</v>
      </c>
      <c r="O28" s="157"/>
      <c r="P28" s="157"/>
      <c r="Q28" s="157"/>
      <c r="R28" s="80" t="s">
        <v>75</v>
      </c>
      <c r="S28" s="169">
        <v>505</v>
      </c>
      <c r="T28" s="159">
        <v>4.131</v>
      </c>
      <c r="U28" s="159">
        <v>215.001</v>
      </c>
      <c r="V28" s="220">
        <f>IF(_xlfn.IFERROR(W28-U28,"")&gt;0,_xlfn.IFERROR(W28-U28,""),0)</f>
        <v>680.999</v>
      </c>
      <c r="W28" s="223">
        <v>896</v>
      </c>
      <c r="X28" s="155"/>
      <c r="Y28" s="155"/>
    </row>
    <row s="62" customFormat="1" customHeight="1" ht="15">
      <c r="A29" s="155"/>
      <c r="B29" s="156" t="s">
        <v>30</v>
      </c>
      <c r="C29" s="157">
        <v>202</v>
      </c>
      <c r="D29" s="159">
        <v>16.153</v>
      </c>
      <c r="E29" s="159">
        <v>21805.958</v>
      </c>
      <c r="F29" s="169">
        <f>IF(_xlfn.IFERROR(G29-E29,"")&gt;0,_xlfn.IFERROR(G29-E29,""),0)</f>
        <v>64.0420000000013</v>
      </c>
      <c r="G29" s="157">
        <v>21870</v>
      </c>
      <c r="H29" s="157"/>
      <c r="I29" s="157"/>
      <c r="J29" s="160" t="s">
        <v>31</v>
      </c>
      <c r="K29" s="157">
        <v>319</v>
      </c>
      <c r="L29" s="159">
        <v>3.121</v>
      </c>
      <c r="M29" s="159">
        <v>1092.189</v>
      </c>
      <c r="N29" s="169">
        <f>IF(_xlfn.IFERROR(O29-M29,"")&gt;0,_xlfn.IFERROR(O29-M29,""),0)</f>
        <v>1637.811</v>
      </c>
      <c r="O29" s="157">
        <v>2730</v>
      </c>
      <c r="P29" s="157"/>
      <c r="Q29" s="157"/>
      <c r="R29" s="80"/>
      <c r="S29" s="169">
        <v>506</v>
      </c>
      <c r="T29" s="159">
        <v>3.15</v>
      </c>
      <c r="U29" s="159">
        <v>136.216</v>
      </c>
      <c r="V29" s="220">
        <f>IF(_xlfn.IFERROR(W29-U29,"")&gt;0,_xlfn.IFERROR(W29-U29,""),0)</f>
        <v>759.784</v>
      </c>
      <c r="W29" s="223">
        <v>896</v>
      </c>
      <c r="X29" s="155"/>
      <c r="Y29" s="155"/>
    </row>
    <row s="62" customFormat="1" customHeight="1" ht="15">
      <c r="A30" s="155"/>
      <c r="B30" s="156"/>
      <c r="C30" s="157">
        <v>203</v>
      </c>
      <c r="D30" s="159">
        <v>10.819</v>
      </c>
      <c r="E30" s="159">
        <v>14605.383</v>
      </c>
      <c r="F30" s="169">
        <f>IF(_xlfn.IFERROR(G30-E30,"")&gt;0,_xlfn.IFERROR(G30-E30,""),0)</f>
        <v>7264.617</v>
      </c>
      <c r="G30" s="157">
        <v>21870</v>
      </c>
      <c r="H30" s="157"/>
      <c r="I30" s="157"/>
      <c r="J30" s="160"/>
      <c r="K30" s="157">
        <v>320</v>
      </c>
      <c r="L30" s="159">
        <v>2.877</v>
      </c>
      <c r="M30" s="159">
        <v>1006.807</v>
      </c>
      <c r="N30" s="169">
        <f>IF(_xlfn.IFERROR(O30-M30,"")&gt;0,_xlfn.IFERROR(O30-M30,""),0)</f>
        <v>1723.193</v>
      </c>
      <c r="O30" s="157">
        <v>2730</v>
      </c>
      <c r="P30" s="157"/>
      <c r="Q30" s="157"/>
      <c r="R30" s="80"/>
      <c r="S30" s="169">
        <v>507</v>
      </c>
      <c r="T30" s="159">
        <v>10.398</v>
      </c>
      <c r="U30" s="159">
        <v>852.378</v>
      </c>
      <c r="V30" s="220">
        <f>IF(_xlfn.IFERROR(W30-U30,"")&gt;0,_xlfn.IFERROR(W30-U30,""),0)</f>
        <v>43.622</v>
      </c>
      <c r="W30" s="223">
        <v>896</v>
      </c>
      <c r="X30" s="155"/>
      <c r="Y30" s="155"/>
    </row>
    <row s="62" customFormat="1" customHeight="1" ht="15">
      <c r="A31" s="155"/>
      <c r="B31" s="156"/>
      <c r="C31" s="157">
        <v>204</v>
      </c>
      <c r="D31" s="159">
        <v>16.122</v>
      </c>
      <c r="E31" s="159">
        <v>21764.349</v>
      </c>
      <c r="F31" s="169">
        <f>IF(_xlfn.IFERROR(G31-E31,"")&gt;0,_xlfn.IFERROR(G31-E31,""),0)</f>
        <v>105.651000000002</v>
      </c>
      <c r="G31" s="157">
        <v>21870</v>
      </c>
      <c r="H31" s="157"/>
      <c r="I31" s="157"/>
      <c r="J31" s="160"/>
      <c r="K31" s="160" t="s">
        <v>12</v>
      </c>
      <c r="L31" s="160"/>
      <c r="M31" s="157">
        <f>SUM(M29:M30)</f>
        <v>2098.996</v>
      </c>
      <c r="N31" s="157">
        <f>SUM(N29:N30)</f>
        <v>3361.004</v>
      </c>
      <c r="O31" s="157"/>
      <c r="P31" s="157"/>
      <c r="Q31" s="157"/>
      <c r="R31" s="80"/>
      <c r="S31" s="169">
        <v>508</v>
      </c>
      <c r="T31" s="159">
        <v>0</v>
      </c>
      <c r="U31" s="159">
        <v>7.722</v>
      </c>
      <c r="V31" s="220">
        <f>IF(_xlfn.IFERROR(W31-U31,"")&gt;0,_xlfn.IFERROR(W31-U31,""),0)</f>
        <v>888.278</v>
      </c>
      <c r="W31" s="223">
        <v>896</v>
      </c>
      <c r="X31" s="155"/>
      <c r="Y31" s="155"/>
    </row>
    <row s="62" customFormat="1" customHeight="1" ht="15">
      <c r="A32" s="155"/>
      <c r="B32" s="156"/>
      <c r="C32" s="160" t="s">
        <v>12</v>
      </c>
      <c r="D32" s="172"/>
      <c r="E32" s="157">
        <f>SUM(E28:E31)</f>
        <v>58292.687</v>
      </c>
      <c r="F32" s="157">
        <f>SUM(F28:F31)</f>
        <v>29187.313</v>
      </c>
      <c r="G32" s="157"/>
      <c r="H32" s="157"/>
      <c r="I32" s="157"/>
      <c r="J32" s="157" t="s">
        <v>32</v>
      </c>
      <c r="K32" s="157">
        <v>321</v>
      </c>
      <c r="L32" s="159">
        <v>12.929</v>
      </c>
      <c r="M32" s="159">
        <v>3232.199</v>
      </c>
      <c r="N32" s="169">
        <f>IF(_xlfn.IFERROR(O32-M32,"")&gt;0,_xlfn.IFERROR(O32-M32,""),0)</f>
        <v>0</v>
      </c>
      <c r="O32" s="157">
        <v>3200</v>
      </c>
      <c r="P32" s="157"/>
      <c r="Q32" s="157"/>
      <c r="R32" s="80"/>
      <c r="S32" s="169">
        <v>509</v>
      </c>
      <c r="T32" s="159">
        <v>0</v>
      </c>
      <c r="U32" s="159">
        <v>0.646</v>
      </c>
      <c r="V32" s="220">
        <f>IF(_xlfn.IFERROR(W32-U32,"")&gt;0,_xlfn.IFERROR(W32-U32,""),0)</f>
        <v>895.354</v>
      </c>
      <c r="W32" s="223">
        <v>896</v>
      </c>
      <c r="X32" s="155"/>
      <c r="Y32" s="155"/>
    </row>
    <row s="62" customFormat="1" customHeight="1" ht="15">
      <c r="A33" s="155"/>
      <c r="B33" s="156" t="s">
        <v>33</v>
      </c>
      <c r="C33" s="157">
        <v>221</v>
      </c>
      <c r="D33" s="228">
        <v>8.827</v>
      </c>
      <c r="E33" s="159">
        <v>2427.362</v>
      </c>
      <c r="F33" s="169">
        <f>IF(_xlfn.IFERROR(G33-E33,"")&gt;0,_xlfn.IFERROR(G33-E33,""),0)</f>
        <v>1147.638</v>
      </c>
      <c r="G33" s="157">
        <v>3575</v>
      </c>
      <c r="H33" s="157"/>
      <c r="I33" s="157"/>
      <c r="J33" s="77" t="s">
        <v>76</v>
      </c>
      <c r="K33" s="157">
        <v>322</v>
      </c>
      <c r="L33" s="159">
        <v>2.509</v>
      </c>
      <c r="M33" s="159">
        <v>627.342</v>
      </c>
      <c r="N33" s="169">
        <f>IF(_xlfn.IFERROR(O33-M33,"")&gt;0,_xlfn.IFERROR(O33-M33,""),0)</f>
        <v>2572.658</v>
      </c>
      <c r="O33" s="157">
        <v>3200</v>
      </c>
      <c r="P33" s="157"/>
      <c r="Q33" s="157"/>
      <c r="R33" s="80"/>
      <c r="S33" s="169">
        <v>510</v>
      </c>
      <c r="T33" s="159">
        <v>0</v>
      </c>
      <c r="U33" s="159">
        <v>0.586</v>
      </c>
      <c r="V33" s="220">
        <f>IF(_xlfn.IFERROR(W33-U33,"")&gt;0,_xlfn.IFERROR(W33-U33,""),0)</f>
        <v>895.414</v>
      </c>
      <c r="W33" s="223">
        <v>896</v>
      </c>
      <c r="X33" s="155"/>
      <c r="Y33" s="155"/>
    </row>
    <row s="62" customFormat="1" customHeight="1" ht="15">
      <c r="A34" s="155"/>
      <c r="B34" s="156"/>
      <c r="C34" s="157">
        <v>222</v>
      </c>
      <c r="D34" s="229">
        <v>6.004</v>
      </c>
      <c r="E34" s="159">
        <v>1651.014</v>
      </c>
      <c r="F34" s="169">
        <f>IF(_xlfn.IFERROR(G34-E34,"")&gt;0,_xlfn.IFERROR(G34-E34,""),0)</f>
        <v>1923.986</v>
      </c>
      <c r="G34" s="157">
        <v>3575</v>
      </c>
      <c r="H34" s="157"/>
      <c r="I34" s="157"/>
      <c r="J34" s="77"/>
      <c r="K34" s="157">
        <v>323</v>
      </c>
      <c r="L34" s="159">
        <v>9.04</v>
      </c>
      <c r="M34" s="159">
        <v>2260.028</v>
      </c>
      <c r="N34" s="169">
        <f>IF(_xlfn.IFERROR(O34-M34,"")&gt;0,_xlfn.IFERROR(O34-M34,""),0)</f>
        <v>939.972</v>
      </c>
      <c r="O34" s="157">
        <v>3200</v>
      </c>
      <c r="P34" s="157"/>
      <c r="Q34" s="157"/>
      <c r="R34" s="80"/>
      <c r="S34" s="160" t="s">
        <v>12</v>
      </c>
      <c r="T34" s="160"/>
      <c r="U34" s="157">
        <f>SUM(U28:U33)</f>
        <v>1212.549</v>
      </c>
      <c r="V34" s="226">
        <f>SUM(V28:V33)</f>
        <v>4163.451</v>
      </c>
      <c r="W34" s="155"/>
      <c r="X34" s="155"/>
      <c r="Y34" s="155"/>
    </row>
    <row s="62" customFormat="1" customHeight="1" ht="15">
      <c r="A35" s="155"/>
      <c r="B35" s="156"/>
      <c r="C35" s="157">
        <v>223</v>
      </c>
      <c r="D35" s="229">
        <v>12.911</v>
      </c>
      <c r="E35" s="159">
        <v>3550.447</v>
      </c>
      <c r="F35" s="169">
        <f>IF(_xlfn.IFERROR(G35-E35,"")&gt;0,_xlfn.IFERROR(G35-E35,""),0)</f>
        <v>24.5529999999999</v>
      </c>
      <c r="G35" s="157">
        <v>3575</v>
      </c>
      <c r="H35" s="157"/>
      <c r="I35" s="157"/>
      <c r="J35" s="77"/>
      <c r="K35" s="160" t="s">
        <v>12</v>
      </c>
      <c r="L35" s="160"/>
      <c r="M35" s="157">
        <f>SUM(M33:M34)</f>
        <v>2887.37</v>
      </c>
      <c r="N35" s="157">
        <f>SUM(N33:N34)</f>
        <v>3512.63</v>
      </c>
      <c r="O35" s="157"/>
      <c r="P35" s="157"/>
      <c r="Q35" s="157"/>
      <c r="R35" s="85" t="s">
        <v>77</v>
      </c>
      <c r="S35" s="169">
        <v>516</v>
      </c>
      <c r="T35" s="159">
        <v>2.414</v>
      </c>
      <c r="U35" s="159">
        <v>57.691</v>
      </c>
      <c r="V35" s="220">
        <f>IF(_xlfn.IFERROR(W35-U35,"")&gt;0,_xlfn.IFERROR(W35-U35,""),0)</f>
        <v>382.309</v>
      </c>
      <c r="W35" s="223">
        <v>440</v>
      </c>
      <c r="X35" s="155"/>
      <c r="Y35" s="155"/>
    </row>
    <row s="62" customFormat="1" customHeight="1" ht="15">
      <c r="A36" s="155"/>
      <c r="B36" s="156"/>
      <c r="C36" s="160" t="s">
        <v>12</v>
      </c>
      <c r="D36" s="172"/>
      <c r="E36" s="157">
        <f>SUM(E33:E35)</f>
        <v>7628.823</v>
      </c>
      <c r="F36" s="157">
        <f>SUM(F33:F35)</f>
        <v>3096.177</v>
      </c>
      <c r="G36" s="157"/>
      <c r="H36" s="157"/>
      <c r="I36" s="157"/>
      <c r="J36" s="77" t="s">
        <v>78</v>
      </c>
      <c r="K36" s="157">
        <v>324</v>
      </c>
      <c r="L36" s="159">
        <v>12.593</v>
      </c>
      <c r="M36" s="159">
        <v>5289.06</v>
      </c>
      <c r="N36" s="169">
        <f>IF(_xlfn.IFERROR(O36-M36,"")&gt;0,_xlfn.IFERROR(O36-M36,""),0)</f>
        <v>380.94</v>
      </c>
      <c r="O36" s="157">
        <v>5670</v>
      </c>
      <c r="P36" s="157"/>
      <c r="Q36" s="157"/>
      <c r="R36" s="80" t="s">
        <v>63</v>
      </c>
      <c r="S36" s="179">
        <v>517</v>
      </c>
      <c r="T36" s="159">
        <v>2.877</v>
      </c>
      <c r="U36" s="159">
        <v>78.531</v>
      </c>
      <c r="V36" s="220">
        <f>IF(_xlfn.IFERROR(W36-U36,"")&gt;0,_xlfn.IFERROR(W36-U36,""),0)</f>
        <v>361.469</v>
      </c>
      <c r="W36" s="223">
        <v>440</v>
      </c>
      <c r="X36" s="155"/>
      <c r="Y36" s="155"/>
    </row>
    <row s="62" customFormat="1" customHeight="1" ht="15">
      <c r="A37" s="155"/>
      <c r="B37" s="156" t="s">
        <v>37</v>
      </c>
      <c r="C37" s="157">
        <v>224</v>
      </c>
      <c r="D37" s="159">
        <v>13.399</v>
      </c>
      <c r="E37" s="159">
        <v>3617.825</v>
      </c>
      <c r="F37" s="169">
        <f>IF(_xlfn.IFERROR(G37-E37,"")&gt;0,_xlfn.IFERROR(G37-E37,""),0)</f>
        <v>0</v>
      </c>
      <c r="G37" s="157">
        <v>3564</v>
      </c>
      <c r="H37" s="157"/>
      <c r="I37" s="157"/>
      <c r="J37" s="77"/>
      <c r="K37" s="157">
        <v>325</v>
      </c>
      <c r="L37" s="159">
        <v>13.178</v>
      </c>
      <c r="M37" s="159">
        <v>5534.76</v>
      </c>
      <c r="N37" s="169">
        <f>IF(_xlfn.IFERROR(O37-M37,"")&gt;0,_xlfn.IFERROR(O37-M37,""),0)</f>
        <v>135.24</v>
      </c>
      <c r="O37" s="157">
        <v>5670</v>
      </c>
      <c r="P37" s="157"/>
      <c r="Q37" s="157"/>
      <c r="R37" s="80"/>
      <c r="S37" s="179">
        <v>518</v>
      </c>
      <c r="T37" s="159">
        <v>2.535</v>
      </c>
      <c r="U37" s="159">
        <v>62.88</v>
      </c>
      <c r="V37" s="220">
        <f>IF(_xlfn.IFERROR(W37-U37,"")&gt;0,_xlfn.IFERROR(W37-U37,""),0)</f>
        <v>377.12</v>
      </c>
      <c r="W37" s="223">
        <v>440</v>
      </c>
      <c r="X37" s="155"/>
      <c r="Y37" s="155"/>
    </row>
    <row s="62" customFormat="1" customHeight="1" ht="15">
      <c r="A38" s="155"/>
      <c r="B38" s="156"/>
      <c r="C38" s="157">
        <v>225</v>
      </c>
      <c r="D38" s="159">
        <v>11.711</v>
      </c>
      <c r="E38" s="159">
        <v>3162.047</v>
      </c>
      <c r="F38" s="169">
        <f>IF(_xlfn.IFERROR(G38-E38,"")&gt;0,_xlfn.IFERROR(G38-E38,""),0)</f>
        <v>401.953</v>
      </c>
      <c r="G38" s="157">
        <v>3564</v>
      </c>
      <c r="H38" s="157"/>
      <c r="I38" s="157"/>
      <c r="J38" s="77"/>
      <c r="K38" s="157">
        <v>327</v>
      </c>
      <c r="L38" s="159">
        <v>11.522</v>
      </c>
      <c r="M38" s="159">
        <v>4839.24</v>
      </c>
      <c r="N38" s="169">
        <f>IF(_xlfn.IFERROR(O38-M38,"")&gt;0,_xlfn.IFERROR(O38-M38,""),0)</f>
        <v>830.76</v>
      </c>
      <c r="O38" s="157">
        <v>5670</v>
      </c>
      <c r="P38" s="157"/>
      <c r="Q38" s="157"/>
      <c r="R38" s="85"/>
      <c r="S38" s="160" t="s">
        <v>12</v>
      </c>
      <c r="T38" s="160"/>
      <c r="U38" s="157">
        <f>SUM(U36:U37)</f>
        <v>141.411</v>
      </c>
      <c r="V38" s="226">
        <f>SUM(V36:V37)</f>
        <v>738.589</v>
      </c>
      <c r="W38" s="155"/>
      <c r="X38" s="155"/>
      <c r="Y38" s="155"/>
    </row>
    <row s="62" customFormat="1" customHeight="1" ht="15">
      <c r="A39" s="155"/>
      <c r="B39" s="156"/>
      <c r="C39" s="157">
        <v>226</v>
      </c>
      <c r="D39" s="159">
        <v>4.766</v>
      </c>
      <c r="E39" s="159">
        <v>1286.746</v>
      </c>
      <c r="F39" s="169">
        <f>IF(_xlfn.IFERROR(G39-E39,"")&gt;0,_xlfn.IFERROR(G39-E39,""),0)</f>
        <v>2277.254</v>
      </c>
      <c r="G39" s="157">
        <v>3564</v>
      </c>
      <c r="H39" s="157"/>
      <c r="I39" s="157"/>
      <c r="J39" s="77"/>
      <c r="K39" s="160" t="s">
        <v>12</v>
      </c>
      <c r="L39" s="160"/>
      <c r="M39" s="157">
        <f>SUM(M36:M38)</f>
        <v>15663.06</v>
      </c>
      <c r="N39" s="157">
        <f>SUM(N36:N38)</f>
        <v>1346.94</v>
      </c>
      <c r="O39" s="157"/>
      <c r="P39" s="157"/>
      <c r="Q39" s="157"/>
      <c r="R39" s="157" t="s">
        <v>38</v>
      </c>
      <c r="S39" s="157">
        <v>701</v>
      </c>
      <c r="T39" s="159">
        <v>0</v>
      </c>
      <c r="U39" s="159"/>
      <c r="V39" s="220">
        <f>IF(_xlfn.IFERROR(W39-U39,"")&gt;0,_xlfn.IFERROR(W39-U39,""),0)</f>
        <v>500</v>
      </c>
      <c r="W39" s="223">
        <v>500</v>
      </c>
      <c r="X39" s="155"/>
      <c r="Y39" s="155"/>
    </row>
    <row s="62" customFormat="1" customHeight="1" ht="15">
      <c r="A40" s="155"/>
      <c r="B40" s="156"/>
      <c r="C40" s="157">
        <v>227</v>
      </c>
      <c r="D40" s="159">
        <v>13.417</v>
      </c>
      <c r="E40" s="159">
        <v>3622.477</v>
      </c>
      <c r="F40" s="169">
        <f>IF(_xlfn.IFERROR(G40-E40,"")&gt;0,_xlfn.IFERROR(G40-E40,""),0)</f>
        <v>0</v>
      </c>
      <c r="G40" s="157">
        <v>3564</v>
      </c>
      <c r="H40" s="157"/>
      <c r="I40" s="157"/>
      <c r="J40" s="157" t="s">
        <v>39</v>
      </c>
      <c r="K40" s="157">
        <v>326</v>
      </c>
      <c r="L40" s="159">
        <v>13.191</v>
      </c>
      <c r="M40" s="159">
        <v>5804.04</v>
      </c>
      <c r="N40" s="169">
        <f>IF(_xlfn.IFERROR(O40-M40,"")&gt;0,_xlfn.IFERROR(O40-M40,""),0)</f>
        <v>135.96</v>
      </c>
      <c r="O40" s="157">
        <v>5940</v>
      </c>
      <c r="P40" s="180"/>
      <c r="Q40" s="180"/>
      <c r="R40" s="180"/>
      <c r="S40" s="180"/>
      <c r="T40" s="180"/>
      <c r="U40" s="180"/>
      <c r="V40" s="184"/>
      <c r="W40" s="155"/>
      <c r="X40" s="155"/>
      <c r="Y40" s="155"/>
    </row>
    <row s="62" customFormat="1" customHeight="1" ht="15">
      <c r="A41" s="155"/>
      <c r="B41" s="156"/>
      <c r="C41" s="157">
        <v>228</v>
      </c>
      <c r="D41" s="159">
        <v>13.414</v>
      </c>
      <c r="E41" s="159">
        <v>3621.704</v>
      </c>
      <c r="F41" s="169">
        <f>IF(_xlfn.IFERROR(G41-E41,"")&gt;0,_xlfn.IFERROR(G41-E41,""),0)</f>
        <v>0</v>
      </c>
      <c r="G41" s="157">
        <v>3564</v>
      </c>
      <c r="H41" s="157"/>
      <c r="I41" s="157"/>
      <c r="J41" s="171" t="s">
        <v>40</v>
      </c>
      <c r="K41" s="157">
        <v>601</v>
      </c>
      <c r="L41" s="159">
        <v>5.241</v>
      </c>
      <c r="M41" s="159">
        <v>445.5</v>
      </c>
      <c r="N41" s="169">
        <f>IF(_xlfn.IFERROR(O41-M41,"")&gt;0,_xlfn.IFERROR(O41-M41,""),0)</f>
        <v>251.5</v>
      </c>
      <c r="O41" s="157">
        <v>697</v>
      </c>
      <c r="P41" s="180"/>
      <c r="Q41" s="180"/>
      <c r="R41" s="180"/>
      <c r="S41" s="180"/>
      <c r="T41" s="180"/>
      <c r="U41" s="180"/>
      <c r="V41" s="184"/>
      <c r="W41" s="155"/>
      <c r="X41" s="155"/>
      <c r="Y41" s="155"/>
    </row>
    <row s="62" customFormat="1" customHeight="1" ht="15">
      <c r="A42" s="155"/>
      <c r="B42" s="156"/>
      <c r="C42" s="160" t="s">
        <v>12</v>
      </c>
      <c r="D42" s="172"/>
      <c r="E42" s="157">
        <f>SUM(E37:E41)</f>
        <v>15310.799</v>
      </c>
      <c r="F42" s="157">
        <f>SUM(F37:F41)</f>
        <v>2679.207</v>
      </c>
      <c r="G42" s="157"/>
      <c r="H42" s="157"/>
      <c r="I42" s="157"/>
      <c r="J42" s="171"/>
      <c r="K42" s="157">
        <v>602</v>
      </c>
      <c r="L42" s="159">
        <v>7.573</v>
      </c>
      <c r="M42" s="159">
        <v>643.682</v>
      </c>
      <c r="N42" s="169">
        <f>IF(_xlfn.IFERROR(O42-M42,"")&gt;0,_xlfn.IFERROR(O42-M42,""),0)</f>
        <v>53.318</v>
      </c>
      <c r="O42" s="157">
        <v>697</v>
      </c>
      <c r="P42" s="180"/>
      <c r="Q42" s="180"/>
      <c r="R42" s="180"/>
      <c r="S42" s="180"/>
      <c r="T42" s="180"/>
      <c r="U42" s="180"/>
      <c r="V42" s="184"/>
      <c r="W42" s="155"/>
      <c r="X42" s="155"/>
      <c r="Y42" s="155"/>
    </row>
    <row s="62" customFormat="1" customHeight="1" ht="15">
      <c r="A43" s="155"/>
      <c r="B43" s="107" t="s">
        <v>41</v>
      </c>
      <c r="C43" s="80"/>
      <c r="D43" s="169" t="s">
        <v>42</v>
      </c>
      <c r="E43" s="169" t="s">
        <v>43</v>
      </c>
      <c r="F43" s="182" t="s">
        <v>44</v>
      </c>
      <c r="G43" s="182"/>
      <c r="H43" s="80" t="s">
        <v>41</v>
      </c>
      <c r="I43" s="80"/>
      <c r="J43" s="169" t="s">
        <v>42</v>
      </c>
      <c r="K43" s="169" t="s">
        <v>43</v>
      </c>
      <c r="L43" s="182" t="s">
        <v>44</v>
      </c>
      <c r="M43" s="182"/>
      <c r="N43" s="80" t="s">
        <v>41</v>
      </c>
      <c r="O43" s="80"/>
      <c r="P43" s="169" t="s">
        <v>42</v>
      </c>
      <c r="Q43" s="169" t="s">
        <v>43</v>
      </c>
      <c r="R43" s="182" t="s">
        <v>44</v>
      </c>
      <c r="S43" s="85" t="s">
        <v>41</v>
      </c>
      <c r="T43" s="169" t="s">
        <v>42</v>
      </c>
      <c r="U43" s="169" t="s">
        <v>43</v>
      </c>
      <c r="V43" s="230" t="s">
        <v>44</v>
      </c>
      <c r="W43" s="155"/>
      <c r="X43" s="155"/>
      <c r="Y43" s="155"/>
    </row>
    <row s="62" customFormat="1" customHeight="1" ht="15">
      <c r="A44" s="155"/>
      <c r="B44" s="107" t="s">
        <v>45</v>
      </c>
      <c r="C44" s="179" t="s">
        <v>46</v>
      </c>
      <c r="D44" s="89">
        <v>24000</v>
      </c>
      <c r="E44" s="90">
        <v>12438.9</v>
      </c>
      <c r="F44" s="167">
        <v>11561.1</v>
      </c>
      <c r="G44" s="167"/>
      <c r="H44" s="80" t="s">
        <v>47</v>
      </c>
      <c r="I44" s="80"/>
      <c r="J44" s="91">
        <v>1750</v>
      </c>
      <c r="K44" s="90">
        <v>1136.45896</v>
      </c>
      <c r="L44" s="92">
        <v>613.5410400000001</v>
      </c>
      <c r="M44" s="92"/>
      <c r="N44" s="171" t="s">
        <v>9</v>
      </c>
      <c r="O44" s="171"/>
      <c r="P44" s="89">
        <v>100000</v>
      </c>
      <c r="Q44" s="90">
        <v>85235.79999999999</v>
      </c>
      <c r="R44" s="90">
        <v>8197.599999999999</v>
      </c>
      <c r="S44" s="93" t="s">
        <v>24</v>
      </c>
      <c r="T44" s="89">
        <v>6300</v>
      </c>
      <c r="U44" s="90">
        <v>1058</v>
      </c>
      <c r="V44" s="234">
        <v>5242</v>
      </c>
      <c r="W44" s="155"/>
      <c r="X44" s="155"/>
      <c r="Y44" s="155"/>
    </row>
    <row s="62" customFormat="1" customHeight="1" ht="15">
      <c r="A45" s="155"/>
      <c r="B45" s="107"/>
      <c r="C45" s="179" t="s">
        <v>48</v>
      </c>
      <c r="D45" s="89">
        <v>6250</v>
      </c>
      <c r="E45" s="90">
        <v>4322.25</v>
      </c>
      <c r="F45" s="167">
        <v>1927.75</v>
      </c>
      <c r="G45" s="167"/>
      <c r="H45" s="80" t="s">
        <v>15</v>
      </c>
      <c r="I45" s="80"/>
      <c r="J45" s="89">
        <v>4500</v>
      </c>
      <c r="K45" s="90">
        <v>82.5</v>
      </c>
      <c r="L45" s="167">
        <v>4417.5</v>
      </c>
      <c r="M45" s="167"/>
      <c r="N45" s="80" t="s">
        <v>11</v>
      </c>
      <c r="O45" s="89" t="s">
        <v>49</v>
      </c>
      <c r="P45" s="89">
        <v>0</v>
      </c>
      <c r="Q45" s="90">
        <v>0</v>
      </c>
      <c r="R45" s="90">
        <v>0</v>
      </c>
      <c r="S45" s="93" t="s">
        <v>39</v>
      </c>
      <c r="T45" s="89">
        <v>6000</v>
      </c>
      <c r="U45" s="90">
        <v>5667.200000000001</v>
      </c>
      <c r="V45" s="234">
        <v>332.7999999999993</v>
      </c>
      <c r="W45" s="155"/>
      <c r="X45" s="155"/>
      <c r="Y45" s="155"/>
    </row>
    <row s="62" customFormat="1" customHeight="1" ht="15">
      <c r="A46" s="155"/>
      <c r="B46" s="107"/>
      <c r="C46" s="179" t="s">
        <v>50</v>
      </c>
      <c r="D46" s="89">
        <v>55000</v>
      </c>
      <c r="E46" s="90">
        <v>16679.24</v>
      </c>
      <c r="F46" s="167">
        <v>38320.759999999995</v>
      </c>
      <c r="G46" s="167"/>
      <c r="H46" s="80" t="s">
        <v>51</v>
      </c>
      <c r="I46" s="80"/>
      <c r="J46" s="89">
        <v>1500</v>
      </c>
      <c r="K46" s="90">
        <v>857.39</v>
      </c>
      <c r="L46" s="167">
        <v>642.61</v>
      </c>
      <c r="M46" s="167"/>
      <c r="N46" s="80"/>
      <c r="O46" s="182" t="s">
        <v>52</v>
      </c>
      <c r="P46" s="89">
        <v>50000</v>
      </c>
      <c r="Q46" s="90">
        <v>26499.3</v>
      </c>
      <c r="R46" s="90">
        <v>23500.7</v>
      </c>
      <c r="S46" s="93" t="s">
        <v>53</v>
      </c>
      <c r="T46" s="89">
        <v>500</v>
      </c>
      <c r="U46" s="94">
        <v>111</v>
      </c>
      <c r="V46" s="110">
        <v>389</v>
      </c>
      <c r="W46" s="155"/>
      <c r="X46" s="155"/>
      <c r="Y46" s="155"/>
    </row>
    <row s="62" customFormat="1" customHeight="1" ht="15">
      <c r="A47" s="155"/>
      <c r="B47" s="107" t="s">
        <v>54</v>
      </c>
      <c r="C47" s="179" t="s">
        <v>55</v>
      </c>
      <c r="D47" s="80">
        <v>32500</v>
      </c>
      <c r="E47" s="90">
        <v>18890.6</v>
      </c>
      <c r="F47" s="192">
        <v>12444.400000000001</v>
      </c>
      <c r="G47" s="167"/>
      <c r="H47" s="80" t="s">
        <v>56</v>
      </c>
      <c r="I47" s="80"/>
      <c r="J47" s="89">
        <v>7500</v>
      </c>
      <c r="K47" s="90">
        <v>4893.280000000001</v>
      </c>
      <c r="L47" s="167">
        <v>2606.7199999999993</v>
      </c>
      <c r="M47" s="167"/>
      <c r="N47" s="80"/>
      <c r="O47" s="182" t="s">
        <v>12</v>
      </c>
      <c r="P47" s="89">
        <v>50000</v>
      </c>
      <c r="Q47" s="90">
        <v>26499.3</v>
      </c>
      <c r="R47" s="90">
        <v>23500.7</v>
      </c>
      <c r="S47" s="180"/>
      <c r="T47" s="180"/>
      <c r="U47" s="180"/>
      <c r="V47" s="184"/>
      <c r="W47" s="155"/>
      <c r="X47" s="155"/>
      <c r="Y47" s="155"/>
    </row>
    <row s="62" customFormat="1" customHeight="1" ht="15">
      <c r="A48" s="155"/>
      <c r="B48" s="107"/>
      <c r="C48" s="179" t="s">
        <v>57</v>
      </c>
      <c r="D48" s="80"/>
      <c r="E48" s="90">
        <v>1165</v>
      </c>
      <c r="F48" s="192"/>
      <c r="G48" s="167"/>
      <c r="H48" s="80" t="s">
        <v>58</v>
      </c>
      <c r="I48" s="80"/>
      <c r="J48" s="89">
        <v>24000</v>
      </c>
      <c r="K48" s="90">
        <v>10498.1</v>
      </c>
      <c r="L48" s="167">
        <v>13501.9</v>
      </c>
      <c r="M48" s="167"/>
      <c r="N48" s="96" t="s">
        <v>59</v>
      </c>
      <c r="O48" s="96"/>
      <c r="P48" s="89">
        <v>11000</v>
      </c>
      <c r="Q48" s="90">
        <v>7644</v>
      </c>
      <c r="R48" s="167">
        <v>3356</v>
      </c>
      <c r="S48" s="180"/>
      <c r="T48" s="180"/>
      <c r="U48" s="180"/>
      <c r="V48" s="184"/>
      <c r="W48" s="155"/>
      <c r="X48" s="155"/>
      <c r="Y48" s="155"/>
    </row>
    <row s="62" customFormat="1" customHeight="1" ht="15">
      <c r="A49" s="155"/>
      <c r="B49" s="107"/>
      <c r="C49" s="179" t="s">
        <v>60</v>
      </c>
      <c r="D49" s="182">
        <v>67500</v>
      </c>
      <c r="E49" s="90">
        <v>10457.64</v>
      </c>
      <c r="F49" s="167">
        <v>57042.36</v>
      </c>
      <c r="G49" s="167"/>
      <c r="H49" s="80" t="s">
        <v>61</v>
      </c>
      <c r="I49" s="80"/>
      <c r="J49" s="89">
        <v>18000</v>
      </c>
      <c r="K49" s="90">
        <v>5007.6</v>
      </c>
      <c r="L49" s="167">
        <v>12992.4</v>
      </c>
      <c r="M49" s="167"/>
      <c r="N49" s="96" t="s">
        <v>32</v>
      </c>
      <c r="O49" s="96"/>
      <c r="P49" s="89">
        <v>3300</v>
      </c>
      <c r="Q49" s="90">
        <v>1302.5</v>
      </c>
      <c r="R49" s="167">
        <v>1997.5</v>
      </c>
      <c r="S49" s="180"/>
      <c r="T49" s="180"/>
      <c r="U49" s="180"/>
      <c r="V49" s="184"/>
      <c r="W49" s="155"/>
      <c r="X49" s="155"/>
      <c r="Y49" s="155"/>
    </row>
    <row s="62" customFormat="1" customHeight="1" ht="15">
      <c r="A50" s="155"/>
      <c r="B50" s="107"/>
      <c r="C50" s="179" t="s">
        <v>21</v>
      </c>
      <c r="D50" s="89">
        <v>27500</v>
      </c>
      <c r="E50" s="90">
        <v>5564.79</v>
      </c>
      <c r="F50" s="167">
        <v>21935.21</v>
      </c>
      <c r="G50" s="167"/>
      <c r="H50" s="96" t="s">
        <v>62</v>
      </c>
      <c r="I50" s="96"/>
      <c r="J50" s="89">
        <v>12000</v>
      </c>
      <c r="K50" s="90">
        <v>4853.2</v>
      </c>
      <c r="L50" s="167">
        <v>7146.8</v>
      </c>
      <c r="M50" s="167"/>
      <c r="N50" s="96" t="s">
        <v>17</v>
      </c>
      <c r="O50" s="96"/>
      <c r="P50" s="89">
        <v>3300</v>
      </c>
      <c r="Q50" s="90">
        <v>1874.25</v>
      </c>
      <c r="R50" s="167">
        <v>1425.75</v>
      </c>
      <c r="S50" s="180"/>
      <c r="T50" s="180"/>
      <c r="U50" s="180"/>
      <c r="V50" s="184"/>
      <c r="W50" s="155"/>
      <c r="X50" s="155"/>
      <c r="Y50" s="155"/>
    </row>
    <row s="62" customFormat="1" customHeight="1" ht="15">
      <c r="A51" s="155"/>
      <c r="B51" s="111" t="s">
        <v>63</v>
      </c>
      <c r="C51" s="112"/>
      <c r="D51" s="113">
        <v>4460</v>
      </c>
      <c r="E51" s="114">
        <v>1229.1944000000003</v>
      </c>
      <c r="F51" s="115">
        <v>3230.8055999999997</v>
      </c>
      <c r="G51" s="115"/>
      <c r="H51" s="116" t="s">
        <v>19</v>
      </c>
      <c r="I51" s="116"/>
      <c r="J51" s="117">
        <v>12000</v>
      </c>
      <c r="K51" s="114">
        <v>1580</v>
      </c>
      <c r="L51" s="198">
        <v>10420</v>
      </c>
      <c r="M51" s="198"/>
      <c r="N51" s="116" t="s">
        <v>18</v>
      </c>
      <c r="O51" s="116"/>
      <c r="P51" s="117">
        <v>3100</v>
      </c>
      <c r="Q51" s="114">
        <v>2251.2000000000003</v>
      </c>
      <c r="R51" s="198">
        <v>848.7999999999997</v>
      </c>
      <c r="S51" s="202"/>
      <c r="T51" s="202"/>
      <c r="U51" s="202"/>
      <c r="V51" s="203"/>
      <c r="W51" s="155"/>
      <c r="X51" s="155"/>
      <c r="Y51" s="155"/>
    </row>
    <row customHeight="1" ht="15">
      <c r="A52" s="142"/>
      <c r="B52" s="147" t="s">
        <v>70</v>
      </c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2"/>
      <c r="T52" s="145"/>
      <c r="U52" s="145"/>
      <c r="V52" s="145"/>
      <c r="W52" s="145"/>
      <c r="X52" s="145"/>
      <c r="Y52" s="145"/>
    </row>
    <row customHeight="1" ht="13.799999999999999">
      <c r="A53" s="142"/>
      <c r="B53" s="142"/>
      <c r="C53" s="142"/>
      <c r="D53" s="143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5"/>
      <c r="U53" s="145"/>
      <c r="V53" s="145"/>
      <c r="W53" s="145"/>
      <c r="X53" s="145"/>
      <c r="Y53" s="145"/>
    </row>
    <row customHeight="1" ht="13.5">
      <c r="A54" s="142"/>
      <c r="B54" s="142" t="s">
        <v>79</v>
      </c>
      <c r="C54" s="142" t="s">
        <v>80</v>
      </c>
      <c r="D54" s="240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5"/>
      <c r="U54" s="145"/>
      <c r="V54" s="145"/>
      <c r="W54" s="145"/>
      <c r="X54" s="145"/>
      <c r="Y54" s="145"/>
    </row>
    <row customHeight="1" ht="13.799999999999999">
      <c r="A55" s="142"/>
      <c r="B55" s="142"/>
      <c r="C55" s="142"/>
      <c r="D55" s="143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5"/>
      <c r="U55" s="145"/>
      <c r="V55" s="145"/>
      <c r="W55" s="145"/>
      <c r="X55" s="145"/>
      <c r="Y55" s="145"/>
    </row>
    <row customHeight="1" ht="13.5">
      <c r="A56" s="142"/>
      <c r="B56" s="219" t="s">
        <v>65</v>
      </c>
      <c r="C56" s="142"/>
      <c r="D56" s="143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5"/>
      <c r="U56" s="145"/>
      <c r="V56" s="145"/>
      <c r="W56" s="145"/>
      <c r="X56" s="145"/>
      <c r="Y56" s="145"/>
    </row>
    <row customHeight="1" ht="13.5">
      <c r="A57" s="142"/>
      <c r="B57" s="219" t="s">
        <v>67</v>
      </c>
      <c r="C57" s="142"/>
      <c r="D57" s="143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5"/>
      <c r="U57" s="145"/>
      <c r="V57" s="145"/>
      <c r="W57" s="145"/>
      <c r="X57" s="145"/>
      <c r="Y57" s="145"/>
    </row>
    <row customHeight="1" ht="13.5">
      <c r="A58" s="142"/>
      <c r="B58" s="219" t="s">
        <v>81</v>
      </c>
      <c r="C58" s="142"/>
      <c r="D58" s="143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5"/>
      <c r="U58" s="145"/>
      <c r="V58" s="145"/>
      <c r="W58" s="145"/>
      <c r="X58" s="145"/>
      <c r="Y58" s="145"/>
    </row>
    <row customHeight="1" ht="13.799999999999999">
      <c r="A59" s="142"/>
      <c r="B59" s="142"/>
      <c r="C59" s="142"/>
      <c r="D59" s="143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5"/>
      <c r="U59" s="145"/>
      <c r="V59" s="145"/>
      <c r="W59" s="145"/>
      <c r="X59" s="145"/>
      <c r="Y59" s="145"/>
    </row>
    <row customHeight="1" ht="13.799999999999999">
      <c r="A60" s="142"/>
      <c r="B60" s="142"/>
      <c r="C60" s="142"/>
      <c r="D60" s="143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5"/>
      <c r="U60" s="145"/>
      <c r="V60" s="145"/>
      <c r="W60" s="145"/>
      <c r="X60" s="145"/>
      <c r="Y60" s="145"/>
    </row>
    <row customHeight="1" ht="13.799999999999999">
      <c r="A61" s="142"/>
      <c r="B61" s="142"/>
      <c r="C61" s="142"/>
      <c r="D61" s="143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5"/>
      <c r="U61" s="145"/>
      <c r="V61" s="145"/>
      <c r="W61" s="145"/>
      <c r="X61" s="145"/>
      <c r="Y61" s="145"/>
    </row>
    <row customHeight="1" ht="13.799999999999999">
      <c r="A62" s="142"/>
      <c r="B62" s="142"/>
      <c r="C62" s="142"/>
      <c r="D62" s="143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5"/>
      <c r="U62" s="145"/>
      <c r="V62" s="145"/>
      <c r="W62" s="145"/>
      <c r="X62" s="145"/>
      <c r="Y62" s="145"/>
    </row>
    <row customHeight="1" ht="13.799999999999999">
      <c r="A63" s="142"/>
      <c r="B63" s="142"/>
      <c r="C63" s="142"/>
      <c r="D63" s="143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5"/>
      <c r="U63" s="145"/>
      <c r="V63" s="145"/>
      <c r="W63" s="145"/>
      <c r="X63" s="145"/>
      <c r="Y63" s="145"/>
    </row>
    <row customHeight="1" ht="13.799999999999999">
      <c r="A64" s="142"/>
      <c r="B64" s="142"/>
      <c r="C64" s="142"/>
      <c r="D64" s="143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5"/>
      <c r="U64" s="145"/>
      <c r="V64" s="145"/>
      <c r="W64" s="145"/>
      <c r="X64" s="145"/>
      <c r="Y64" s="145"/>
    </row>
    <row customHeight="1" ht="13.799999999999999">
      <c r="A65" s="142"/>
      <c r="B65" s="142"/>
      <c r="C65" s="142"/>
      <c r="D65" s="143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5"/>
      <c r="U65" s="145"/>
      <c r="V65" s="145"/>
      <c r="W65" s="145"/>
      <c r="X65" s="145"/>
      <c r="Y65" s="145"/>
    </row>
    <row customHeight="1" ht="13.799999999999999">
      <c r="A66" s="142"/>
      <c r="B66" s="142"/>
      <c r="C66" s="142"/>
      <c r="D66" s="143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5"/>
      <c r="U66" s="145"/>
      <c r="V66" s="145"/>
      <c r="W66" s="145"/>
      <c r="X66" s="145"/>
      <c r="Y66" s="145"/>
    </row>
    <row customHeight="1" ht="13.799999999999999">
      <c r="A67" s="142"/>
      <c r="B67" s="142"/>
      <c r="C67" s="142"/>
      <c r="D67" s="143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5"/>
      <c r="U67" s="145"/>
      <c r="V67" s="145"/>
      <c r="W67" s="145"/>
      <c r="X67" s="145"/>
      <c r="Y67" s="145"/>
    </row>
    <row customHeight="1" ht="13.799999999999999">
      <c r="A68" s="142"/>
      <c r="B68" s="142"/>
      <c r="C68" s="142"/>
      <c r="D68" s="143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5"/>
      <c r="U68" s="145"/>
      <c r="V68" s="145"/>
      <c r="W68" s="145"/>
      <c r="X68" s="145"/>
      <c r="Y68" s="145"/>
    </row>
    <row customHeight="1" ht="13.799999999999999">
      <c r="A69" s="142"/>
      <c r="B69" s="142"/>
      <c r="C69" s="142"/>
      <c r="D69" s="143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5"/>
      <c r="U69" s="145"/>
      <c r="V69" s="145"/>
      <c r="W69" s="145"/>
      <c r="X69" s="145"/>
      <c r="Y69" s="145"/>
    </row>
    <row customHeight="1" ht="13.799999999999999">
      <c r="A70" s="142"/>
      <c r="B70" s="142"/>
      <c r="C70" s="142"/>
      <c r="D70" s="143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5"/>
      <c r="U70" s="145"/>
      <c r="V70" s="145"/>
      <c r="W70" s="145"/>
      <c r="X70" s="145"/>
      <c r="Y70" s="145"/>
    </row>
    <row customHeight="1" ht="13.799999999999999">
      <c r="A71" s="142"/>
      <c r="B71" s="142"/>
      <c r="C71" s="142"/>
      <c r="D71" s="143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5"/>
      <c r="U71" s="145"/>
      <c r="V71" s="145"/>
      <c r="W71" s="145"/>
      <c r="X71" s="145"/>
      <c r="Y71" s="145"/>
    </row>
    <row customHeight="1" ht="13.799999999999999">
      <c r="A72" s="142"/>
      <c r="B72" s="142"/>
      <c r="C72" s="142"/>
      <c r="D72" s="143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5"/>
      <c r="U72" s="145"/>
      <c r="V72" s="145"/>
      <c r="W72" s="145"/>
      <c r="X72" s="145"/>
      <c r="Y72" s="145"/>
    </row>
    <row customHeight="1" ht="13.799999999999999">
      <c r="A73" s="142"/>
      <c r="B73" s="142"/>
      <c r="C73" s="142"/>
      <c r="D73" s="143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5"/>
      <c r="U73" s="145"/>
      <c r="V73" s="145"/>
      <c r="W73" s="145"/>
      <c r="X73" s="145"/>
      <c r="Y73" s="145"/>
    </row>
    <row customHeight="1" ht="13.799999999999999">
      <c r="A74" s="142"/>
      <c r="B74" s="142"/>
      <c r="C74" s="142"/>
      <c r="D74" s="143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5"/>
      <c r="U74" s="145"/>
      <c r="V74" s="145"/>
      <c r="W74" s="145"/>
      <c r="X74" s="145"/>
      <c r="Y74" s="145"/>
    </row>
    <row customHeight="1" ht="13.799999999999999">
      <c r="A75" s="142"/>
      <c r="B75" s="142"/>
      <c r="C75" s="142"/>
      <c r="D75" s="143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5"/>
      <c r="U75" s="145"/>
      <c r="V75" s="145"/>
      <c r="W75" s="145"/>
      <c r="X75" s="145"/>
      <c r="Y75" s="145"/>
    </row>
    <row customHeight="1" ht="13.799999999999999">
      <c r="A76" s="142"/>
      <c r="B76" s="142"/>
      <c r="C76" s="142"/>
      <c r="D76" s="143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5"/>
      <c r="U76" s="145"/>
      <c r="V76" s="145"/>
      <c r="W76" s="145"/>
      <c r="X76" s="145"/>
      <c r="Y76" s="145"/>
    </row>
    <row customHeight="1" ht="13.799999999999999">
      <c r="A77" s="142"/>
      <c r="B77" s="142"/>
      <c r="C77" s="142"/>
      <c r="D77" s="143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5"/>
      <c r="U77" s="145"/>
      <c r="V77" s="145"/>
      <c r="W77" s="145"/>
      <c r="X77" s="145"/>
      <c r="Y77" s="145"/>
    </row>
    <row customHeight="1" ht="13.799999999999999">
      <c r="A78" s="142"/>
      <c r="B78" s="142"/>
      <c r="C78" s="142"/>
      <c r="D78" s="143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5"/>
      <c r="U78" s="145"/>
      <c r="V78" s="145"/>
      <c r="W78" s="145"/>
      <c r="X78" s="145"/>
      <c r="Y78" s="145"/>
    </row>
    <row customHeight="1" ht="15.75">
      <c r="A79" s="142"/>
      <c r="B79" s="142"/>
      <c r="C79" s="142"/>
      <c r="D79" s="143"/>
      <c r="E79" s="142"/>
      <c r="F79" s="142"/>
      <c r="G79" s="142"/>
      <c r="H79" s="241"/>
      <c r="I79" s="241"/>
      <c r="J79" s="241"/>
      <c r="K79" s="241"/>
      <c r="L79" s="241"/>
      <c r="M79" s="241"/>
      <c r="N79" s="142"/>
      <c r="O79" s="142"/>
      <c r="P79" s="142"/>
      <c r="Q79" s="142"/>
      <c r="R79" s="142"/>
      <c r="S79" s="142"/>
      <c r="T79" s="145"/>
      <c r="U79" s="145"/>
      <c r="V79" s="145"/>
      <c r="W79" s="145"/>
      <c r="X79" s="145"/>
      <c r="Y79" s="145"/>
    </row>
    <row customHeight="1" ht="13.5">
      <c r="A80" s="142"/>
      <c r="B80" s="142"/>
      <c r="C80" s="142"/>
      <c r="D80" s="143"/>
      <c r="E80" s="142"/>
      <c r="F80" s="142"/>
      <c r="G80" s="142"/>
      <c r="H80" s="242"/>
      <c r="I80" s="242"/>
      <c r="J80" s="242"/>
      <c r="K80" s="242"/>
      <c r="L80" s="242"/>
      <c r="M80" s="242"/>
      <c r="N80" s="142"/>
      <c r="O80" s="142"/>
      <c r="P80" s="142"/>
      <c r="Q80" s="142"/>
      <c r="R80" s="142"/>
      <c r="S80" s="142"/>
      <c r="T80" s="145"/>
      <c r="U80" s="145"/>
      <c r="V80" s="145"/>
      <c r="W80" s="145"/>
      <c r="X80" s="145"/>
      <c r="Y80" s="145"/>
    </row>
  </sheetData>
  <mergeCells count="73">
    <mergeCell ref="B1:R1"/>
    <mergeCell ref="B2:E2"/>
    <mergeCell ref="O2:R2"/>
    <mergeCell ref="B4:B7"/>
    <mergeCell ref="J4:J10"/>
    <mergeCell ref="R4:R10"/>
    <mergeCell ref="C7:D7"/>
    <mergeCell ref="B8:B12"/>
    <mergeCell ref="K10:L10"/>
    <mergeCell ref="S10:T10"/>
    <mergeCell ref="J11:J14"/>
    <mergeCell ref="S16:T16"/>
    <mergeCell ref="J17:J19"/>
    <mergeCell ref="R17:R23"/>
    <mergeCell ref="C18:D18"/>
    <mergeCell ref="B19:B21"/>
    <mergeCell ref="R11:R16"/>
    <mergeCell ref="C12:D12"/>
    <mergeCell ref="B13:B18"/>
    <mergeCell ref="K14:L14"/>
    <mergeCell ref="K19:L19"/>
    <mergeCell ref="J20:J22"/>
    <mergeCell ref="C21:D21"/>
    <mergeCell ref="B22:B27"/>
    <mergeCell ref="K22:L22"/>
    <mergeCell ref="J23:J25"/>
    <mergeCell ref="S23:T23"/>
    <mergeCell ref="R24:R27"/>
    <mergeCell ref="K25:L25"/>
    <mergeCell ref="J26:J28"/>
    <mergeCell ref="C27:D27"/>
    <mergeCell ref="S27:T27"/>
    <mergeCell ref="K28:L28"/>
    <mergeCell ref="R28:R34"/>
    <mergeCell ref="S34:T34"/>
    <mergeCell ref="B29:B32"/>
    <mergeCell ref="J29:J31"/>
    <mergeCell ref="K31:L31"/>
    <mergeCell ref="C32:D32"/>
    <mergeCell ref="B33:B36"/>
    <mergeCell ref="J33:J35"/>
    <mergeCell ref="K35:L35"/>
    <mergeCell ref="C36:D36"/>
    <mergeCell ref="J36:J39"/>
    <mergeCell ref="R36:R37"/>
    <mergeCell ref="B37:B42"/>
    <mergeCell ref="S38:T38"/>
    <mergeCell ref="K39:L39"/>
    <mergeCell ref="N43:O43"/>
    <mergeCell ref="J41:J42"/>
    <mergeCell ref="N44:O44"/>
    <mergeCell ref="C42:D42"/>
    <mergeCell ref="N45:N47"/>
    <mergeCell ref="B43:C43"/>
    <mergeCell ref="H43:I43"/>
    <mergeCell ref="B44:B46"/>
    <mergeCell ref="H44:I44"/>
    <mergeCell ref="H45:I45"/>
    <mergeCell ref="N48:O48"/>
    <mergeCell ref="H46:I46"/>
    <mergeCell ref="N49:O49"/>
    <mergeCell ref="B51:C51"/>
    <mergeCell ref="H51:I51"/>
    <mergeCell ref="B52:R52"/>
    <mergeCell ref="B47:B50"/>
    <mergeCell ref="D47:D48"/>
    <mergeCell ref="F47:F48"/>
    <mergeCell ref="H47:I47"/>
    <mergeCell ref="N50:O50"/>
    <mergeCell ref="H48:I48"/>
    <mergeCell ref="N51:O51"/>
    <mergeCell ref="H49:I49"/>
    <mergeCell ref="H50:I50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榆林炼油厂油品动态明细表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dhc</cp:lastModifiedBy>
  <dcterms:created xsi:type="dcterms:W3CDTF">2015-06-05T18:19:34Z</dcterms:created>
  <dcterms:modified xsi:type="dcterms:W3CDTF">2023-02-22T06:08:17Z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{E09A2CB4-9280-4E3A-8DD1-63B92E266142}</vt:lpwstr>
  </property>
</Properties>
</file>