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原材料、燃料、动力购进、库存及价格表" sheetId="1" r:id="rId2"/>
    <sheet name="Sheet2" sheetId="2" state="hidden" r:id="rId3"/>
    <sheet name="公式" sheetId="3" state="hidden" r:id="rId4"/>
    <sheet name="取值" sheetId="4" state="hidden" r:id="rId5"/>
    <sheet name="Sheet3" sheetId="5" state="hidden" r:id="rId6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6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#input("榆炼_生产计划部_原材料燃料动力购进库存及价格表_期初库存_原油",":key{{dw}}")
</t>
        </r>
      </text>
    </comment>
    <comment ref="D6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#input("榆炼_生产计划部_原材料燃料动力购进库存及价格表_购进量_原油",":key{{dw}}")
</t>
        </r>
      </text>
    </comment>
    <comment ref="F6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#input("榆炼_生产计划部_原材料燃料动力购进库存及价格表_消费量_原油",":key{{dw}}")
</t>
        </r>
      </text>
    </comment>
    <comment ref="H6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#input("榆炼_生产计划部_原材料燃料动力购进库存及价格表_期末库存_原油",":key{{dw}}")
</t>
        </r>
      </text>
    </comment>
    <comment ref="I6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#input("榆炼_生产计划部_原材料燃料动力购进库存及价格表_期末库存_原油_价格",":key{{dw}}")</t>
        </r>
      </text>
    </comment>
    <comment ref="J6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#input("榆炼_生产计划部_原材料燃料动力购进库存及价格表_总价格_原油",":key{{dw}}")
</t>
        </r>
      </text>
    </comment>
    <comment ref="D7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#input("榆炼_生产计划部_原材料燃料动力购进库存及价格表_购进量_原油_油田",":key{{dw}}")
</t>
        </r>
      </text>
    </comment>
    <comment ref="F7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#input("榆炼_生产计划部_原材料燃料动力购进库存及价格表_消费量_原油_油田",":key{{dw}}")
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#input("榆炼_生产计划部_原材料燃料动力购进库存及价格表_期末库存_原油_油田",":key{{dw}}")</t>
        </r>
      </text>
    </comment>
    <comment ref="I7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#input("榆炼_生产计划部_原材料燃料动力购进库存及价格表_期末库存_原油_油田_价格",":key{{dw}}")</t>
        </r>
      </text>
    </comment>
    <comment ref="J7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#input("榆炼_生产计划部_原材料燃料动力购进库存及价格表_总价格_原油_油田",":key{{dw}}")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#input("榆炼_生产计划部_原材料燃料动力购进库存及价格表_购进量_原油_长庆",":key{{dw}}")</t>
        </r>
      </text>
    </comment>
    <comment ref="F8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#input("榆炼_生产计划部_原材料燃料动力购进库存及价格表_消费量_原油_长庆",":key{{dw}}")</t>
        </r>
      </text>
    </comment>
    <comment ref="H8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#input("榆炼_生产计划部_原材料燃料动力购进库存及价格表_期末库存_原油_长庆",":key{{dw}}")</t>
        </r>
      </text>
    </comment>
    <comment ref="I8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#input("榆炼_生产计划部_原材料燃料动力购进库存及价格表_期末库存_原油_长庆_价格",":key{{dw}}")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#input("榆炼_生产计划部_原材料燃料动力购进库存及价格表_总价格_原油_长庆",":key{{dw}}")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#input("榆炼_生产计划部_原材料燃料动力购进库存及价格表_购进量_原油_进口",":key{{dw}}")</t>
        </r>
      </text>
    </comment>
    <comment ref="F9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#input("榆炼_生产计划部_原材料燃料动力购进库存及价格表_消费量_原油_进口",":key{{dw}}")</t>
        </r>
      </text>
    </comment>
    <comment ref="H9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#input("榆炼_生产计划部_原材料燃料动力购进库存及价格表_期末库存_原油_进口",":key{{dw}}")</t>
        </r>
      </text>
    </comment>
    <comment ref="I9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#input("榆炼_生产计划部_原材料燃料动力购进库存及价格表_期末库存_原油_进口_价格",":key{{dw}}")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#input("榆炼_生产计划部_原材料燃料动力购进库存及价格表_总价格_原油_进口",":key{{dw}}")</t>
        </r>
      </text>
    </comment>
    <comment ref="C1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#input("榆炼_生产计划部_原材料燃料动力购进库存及价格表_期初库存_MTBE",":key{{dw}}")
</t>
        </r>
      </text>
    </comment>
    <comment ref="D1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#input("榆炼_生产计划部_原材料燃料动力购进库存及价格表_购进量_MTBE",":key{{dw}}")
</t>
        </r>
      </text>
    </comment>
    <comment ref="F1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#input("榆炼_生产计划部_原材料燃料动力购进库存及价格表_消费量_MTBE",":key{{dw}}")
</t>
        </r>
      </text>
    </comment>
    <comment ref="H1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#input("榆炼_生产计划部_原材料燃料动力购进库存及价格表_期末库存_MTBE",":key{{dw}}")
</t>
        </r>
      </text>
    </comment>
    <comment ref="I10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#input("榆炼_生产计划部_原材料燃料动力购进库存及价格表_期末库存_MTBE_价格",":key{{dw}}")</t>
        </r>
      </text>
    </comment>
    <comment ref="J1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#input("榆炼_生产计划部_原材料燃料动力购进库存及价格表_总价格_MTBE",":key{{dw}}")
</t>
        </r>
      </text>
    </comment>
    <comment ref="C11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#input("榆炼_生产计划部_原材料燃料动力购进库存及价格表_期初库存_MMT",":key{{dw}}")</t>
        </r>
      </text>
    </comment>
    <comment ref="D11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#input("榆炼_生产计划部_原材料燃料动力购进库存及价格表_购进量_MMT",":key{{dw}}")
</t>
        </r>
      </text>
    </comment>
    <comment ref="F11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#input("榆炼_生产计划部_原材料燃料动力购进库存及价格表_消费量_MMT",":key{{dw}}")</t>
        </r>
      </text>
    </comment>
    <comment ref="H11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#input("榆炼_生产计划部_原材料燃料动力购进库存及价格表_期末库存_MMT",":key{{dw}}")
</t>
        </r>
      </text>
    </comment>
    <comment ref="I11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#input("榆炼_生产计划部_原材料燃料动力购进库存及价格表_期末库存_MMT_价格",":key{{dw}}")</t>
        </r>
      </text>
    </comment>
    <comment ref="J11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#input("榆炼_生产计划部_原材料燃料动力购进库存及价格表_总价格_MMT",":key{{dw}}")
</t>
        </r>
      </text>
    </comment>
    <comment ref="C12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#input("榆炼_生产计划部_原材料燃料动力购进库存及价格表_期初库存_裂解石脑油",":key{{dw}}")
</t>
        </r>
      </text>
    </comment>
    <comment ref="D12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#input("榆炼_生产计划部_原材料燃料动力购进库存及价格表_购进量_裂解石脑油",":key{{dw}}")
</t>
        </r>
      </text>
    </comment>
    <comment ref="F12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#input("榆炼_生产计划部_原材料燃料动力购进库存及价格表_消费量_裂解石脑油",":key{{dw}}")
</t>
        </r>
      </text>
    </comment>
    <comment ref="H12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#input("榆炼_生产计划部_原材料燃料动力购进库存及价格表_期末库存_裂解石脑油",":key{{dw}}")
</t>
        </r>
      </text>
    </comment>
    <comment ref="I12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#input("榆炼_生产计划部_原材料燃料动力购进库存及价格表_期末库存_裂解石脑油_价格",":key{{dw}}")</t>
        </r>
      </text>
    </comment>
    <comment ref="J12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#input("榆炼_生产计划部_原材料燃料动力购进库存及价格表_总价格_裂解石脑油",":key{{dw}}")
</t>
        </r>
      </text>
    </comment>
    <comment ref="C14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#input("榆炼_生产计划部_原材料燃料动力购进库存及价格表_期初库存_原煤",":key{{dw}}")</t>
        </r>
      </text>
    </comment>
    <comment ref="D14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#input("榆炼_生产计划部_原材料燃料动力购进库存及价格表_购进量_原煤",":key{{dw}}")
</t>
        </r>
      </text>
    </comment>
    <comment ref="F14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#input("榆炼_生产计划部_原材料燃料动力购进库存及价格表_消费量_原煤",":key{{dw}}")</t>
        </r>
      </text>
    </comment>
    <comment ref="H14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#input("榆炼_生产计划部_原材料燃料动力购进库存及价格表_期末库存_原煤",":key{{dw}}")
</t>
        </r>
      </text>
    </comment>
    <comment ref="I14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#input("榆炼_生产计划部_原材料燃料动力购进库存及价格表_期末库存_原煤_价格",":key{{dw}}")</t>
        </r>
      </text>
    </comment>
    <comment ref="J14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#input("榆炼_生产计划部_原材料燃料动力购进库存及价格表_总价格_原煤",":key{{dw}}")
</t>
        </r>
      </text>
    </comment>
    <comment ref="C15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#input("榆炼_生产计划部_原材料燃料动力购进库存及价格表_期初库存_天然气",":key{{dw}}")
</t>
        </r>
      </text>
    </comment>
    <comment ref="D15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#input("榆炼_生产计划部_原材料燃料动力购进库存及价格表_购进量_天然气",":key{{dw}}")
</t>
        </r>
      </text>
    </comment>
    <comment ref="F15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#input("榆炼_生产计划部_原材料燃料动力购进库存及价格表_消费量_天然气",":key{{dw}}")
</t>
        </r>
      </text>
    </comment>
    <comment ref="H15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#input("榆炼_生产计划部_原材料燃料动力购进库存及价格表_期末库存_天然气",":key{{dw}}")
</t>
        </r>
      </text>
    </comment>
    <comment ref="I15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#input("榆炼_生产计划部_原材料燃料动力购进库存及价格表_期末库存_天然气_价格",":key{{dw}}")</t>
        </r>
      </text>
    </comment>
    <comment ref="J15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#input("榆炼_生产计划部_原材料燃料动力购进库存及价格表_总价格_天然气",":key{{dw}}")
</t>
        </r>
      </text>
    </comment>
    <comment ref="C17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#input("榆炼_生产计划部_原材料燃料动力购进库存及价格表_期初库存_半成品_汽油",":key{{dw}}")
</t>
        </r>
      </text>
    </comment>
    <comment ref="F17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#input("榆炼_生产计划部_原材料燃料动力购进库存及价格表_期末库存_半成品_汽油",":key{{dw}}")
</t>
        </r>
      </text>
    </comment>
    <comment ref="C18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#input("榆炼_生产计划部_原材料燃料动力购进库存及价格表_期初库存_半成品_柴油",":key{{dw}}")
</t>
        </r>
      </text>
    </comment>
    <comment ref="F18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#input("榆炼_生产计划部_原材料燃料动力购进库存及价格表_期末库存_半成品_柴油",":key{{dw}}")
</t>
        </r>
      </text>
    </comment>
    <comment ref="C19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#input("榆炼_生产计划部_原材料燃料动力购进库存及价格表_期初库存_半成品_液化气",":key{{dw}}")
</t>
        </r>
      </text>
    </comment>
    <comment ref="F19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#input("榆炼_生产计划部_原材料燃料动力购进库存及价格表_期末库存_半成品_液化气",":key{{dw}}")
</t>
        </r>
      </text>
    </comment>
    <comment ref="C2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#input("榆炼_生产计划部_原材料燃料动力购进库存及价格表_期初库存_半成品_1#渣油",":key{{dw}}")
</t>
        </r>
      </text>
    </comment>
    <comment ref="F2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#input("榆炼_生产计划部_原材料燃料动力购进库存及价格表_期末库存_半成品_1#渣油",":key{{dw}}")
</t>
        </r>
      </text>
    </comment>
    <comment ref="C21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#input("榆炼_生产计划部_原材料燃料动力购进库存及价格表_期初库存_半成品_2#渣油",":key{{dw}}")
</t>
        </r>
      </text>
    </comment>
    <comment ref="F21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#input("榆炼_生产计划部_原材料燃料动力购进库存及价格表_期末库存_半成品_2#渣油",":key{{dw}}")
</t>
        </r>
      </text>
    </comment>
    <comment ref="C22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#input("榆炼_生产计划部_原材料燃料动力购进库存及价格表_期初库存_半成品_苯",":key{{dw}}")
</t>
        </r>
      </text>
    </comment>
    <comment ref="F22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#input("榆炼_生产计划部_原材料燃料动力购进库存及价格表_期末库存_半成品_苯",":key{{dw}}")
</t>
        </r>
      </text>
    </comment>
    <comment ref="C24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#input("榆炼_生产计划部_原材料燃料动力购进库存及价格表_期初库存_汽油",":key{{dw}}")
</t>
        </r>
      </text>
    </comment>
    <comment ref="F24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#input("榆炼_生产计划部_原材料燃料动力购进库存及价格表_期末库存_汽油",":key{{dw}}")
</t>
        </r>
      </text>
    </comment>
    <comment ref="C25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#input("榆炼_生产计划部_原材料燃料动力购进库存及价格表_期初库存_柴油",":key{{dw}}")
</t>
        </r>
      </text>
    </comment>
    <comment ref="F25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#input("榆炼_生产计划部_原材料燃料动力购进库存及价格表_期末库存_柴油",":key{{dw}}")
</t>
        </r>
      </text>
    </comment>
    <comment ref="C26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#input("榆炼_生产计划部_原材料燃料动力购进库存及价格表_期初库存_原料液化气",":key{{dw}}")
</t>
        </r>
      </text>
    </comment>
    <comment ref="F26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#input("榆炼_生产计划部_原材料燃料动力购进库存及价格表_期末库存_原料液化气",":key{{dw}}")
</t>
        </r>
      </text>
    </comment>
    <comment ref="C27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#input("榆炼_生产计划部_原材料燃料动力购进库存及价格表_期初库存_MTBE半成品",":key{{dw}}")
</t>
        </r>
      </text>
    </comment>
    <comment ref="F27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#input("榆炼_生产计划部_原材料燃料动力购进库存及价格表_期末库存_MTBE半成品",":key{{dw}}")
</t>
        </r>
      </text>
    </comment>
    <comment ref="C28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#input("榆炼_生产计划部_原材料燃料动力购进库存及价格表_期初库存_聚丙烯",":key{{dw}}")
</t>
        </r>
      </text>
    </comment>
    <comment ref="F28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#input("榆炼_生产计划部_原材料燃料动力购进库存及价格表_期末库存_聚丙烯",":key{{dw}}")
</t>
        </r>
      </text>
    </comment>
    <comment ref="C29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#input("榆炼_生产计划部_原材料燃料动力购进库存及价格表_期初库存_苯",":key{{dw}}")
</t>
        </r>
      </text>
    </comment>
    <comment ref="F29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#input("榆炼_生产计划部_原材料燃料动力购进库存及价格表_期末库存_苯",":key{{dw}}")
</t>
        </r>
      </text>
    </comment>
    <comment ref="C3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#input("榆炼_生产计划部_原材料燃料动力购进库存及价格表_期初库存_苯乙烯",":key{{dw}}")
</t>
        </r>
      </text>
    </comment>
    <comment ref="F30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#input("榆炼_生产计划部_原材料燃料动力购进库存及价格表_期末库存_苯乙烯",":key{{dw}}")
</t>
        </r>
      </text>
    </comment>
    <comment ref="C33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#input("榆炼_生产计划部_原材料燃料动力购进库存及价格表_购进量_电",":key{{dw}}")
</t>
        </r>
      </text>
    </comment>
    <comment ref="D33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#Input("榆炼_生产计划部_原材料燃料动力购进库存及价格表_购进量_电_累计",":key{{dw}}",":read") </t>
        </r>
      </text>
    </comment>
    <comment ref="E33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#input("榆炼_生产计划部_原材料燃料动力购进库存及价格表_工业消费_电",":key{{dw}}")
</t>
        </r>
      </text>
    </comment>
    <comment ref="F33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#Input("榆炼_生产计划部_原材料燃料动力购进库存及价格表_工业消费_电_累计",":key{{dw}}",":read") </t>
        </r>
      </text>
    </comment>
    <comment ref="G33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#input("榆炼_生产计划部_原材料燃料动力购进库存及价格表_非工业消费_电",":key{{dw}}")
</t>
        </r>
      </text>
    </comment>
    <comment ref="H33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#Input("榆炼_生产计划部_原材料燃料动力购进库存及价格表_非工业消费_电_累计",":key{{dw}}",":read") </t>
        </r>
      </text>
    </comment>
    <comment ref="I33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#input("榆炼_生产计划部_原材料燃料动力购进库存及价格表_期末库存_电_价格",":key{{dw}}")</t>
        </r>
      </text>
    </comment>
    <comment ref="J33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#input("榆炼_生产计划部_原材料燃料动力购进库存及价格表_总价格_电",":key{{dw}}")
</t>
        </r>
      </text>
    </comment>
    <comment ref="C34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#input("榆炼_生产计划部_原材料燃料动力购进库存及价格表_购进量_电自产",":key{{dw}}")
</t>
        </r>
      </text>
    </comment>
    <comment ref="D34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#Input("榆炼_生产计划部_原材料燃料动力购进库存及价格表_购进量_电自产_累计",":key{{dw}}",":read") </t>
        </r>
      </text>
    </comment>
    <comment ref="E34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#input("榆炼_生产计划部_原材料燃料动力购进库存及价格表_工业消费_电自产",":key{{dw}}")
</t>
        </r>
      </text>
    </comment>
    <comment ref="F34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#Input("榆炼_生产计划部_原材料燃料动力购进库存及价格表_工业消费_电自产_累计",":key{{dw}}",":read") </t>
        </r>
      </text>
    </comment>
    <comment ref="G34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#input("榆炼_生产计划部_原材料燃料动力购进库存及价格表_非工业消费_电自产",":key{{dw}}")
</t>
        </r>
      </text>
    </comment>
    <comment ref="H34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#Input("榆炼_生产计划部_原材料燃料动力购进库存及价格表_非工业消费_电自产_累计",":key{{dw}}",":read") </t>
        </r>
      </text>
    </comment>
    <comment ref="I34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#input("榆炼_生产计划部_原材料燃料动力购进库存及价格表_期末库存_电自产_价格",":key{{dw}}")</t>
        </r>
      </text>
    </comment>
    <comment ref="J34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#input("榆炼_生产计划部_原材料燃料动力购进库存及价格表_总价格_电自产",":key{{dw}}")
</t>
        </r>
      </text>
    </comment>
    <comment ref="C35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#input("榆炼_生产计划部_原材料燃料动力购进库存及价格表_购进量_电外购",":key{{dw}}")
</t>
        </r>
      </text>
    </comment>
    <comment ref="D35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#Input("榆炼_生产计划部_原材料燃料动力购进库存及价格表_购进量_电外购_累计",":key{{dw}}",":read") </t>
        </r>
      </text>
    </comment>
    <comment ref="C36" authorId="0">
      <text>
        <r>
          <rPr>
            <sz val="9"/>
            <color indexed="81"/>
            <rFont val="Arial"/>
            <family val="2"/>
          </rPr>
          <t xml:space="preserve">#input("榆炼_生产计划部_原材料燃料动力购进库存及价格表_购进量_电油煤",":key{{dw}}")
</t>
        </r>
      </text>
    </comment>
    <comment ref="D36" authorId="0">
      <text>
        <r>
          <rPr>
            <b/>
            <sz val="9"/>
            <color indexed="81"/>
            <rFont val="宋体"/>
            <family val="2"/>
          </rPr>
          <t xml:space="preserve">#Input("榆炼_生产计划部_原材料燃料动力购进库存及价格表_购进量_电油煤_累计",":key{{dw}}",":read") </t>
        </r>
      </text>
    </comment>
    <comment ref="C38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#input("榆炼_生产计划部_原材料燃料动力购进库存及价格表_购进量_热力外供",":key{{dw}}")</t>
        </r>
      </text>
    </comment>
    <comment ref="C39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#Input("榆炼_生产计划部_原材料燃料动力购进库存及价格表_单位负责人",":key{{dw}}")</t>
        </r>
      </text>
    </comment>
    <comment ref="G39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#Input("榆炼_生产计划部_原材料燃料动力购进库存及价格表_统计负责人",":key{{dw}}")</t>
        </r>
      </text>
    </comment>
    <comment ref="K39" authorId="0">
      <text>
        <r>
          <rPr>
            <b/>
            <sz val="9"/>
            <color indexed="81"/>
            <rFont val="宋体"/>
            <family val="2"/>
          </rPr>
          <t>#Input("榆炼_生产计划部_原材料燃料动力购进库存及价格表_填报人",":key{{dw}}")</t>
        </r>
      </text>
    </comment>
  </commentList>
</comments>
</file>

<file path=xl/sharedStrings.xml><?xml version="1.0" encoding="utf-8"?>
<sst xmlns="http://schemas.openxmlformats.org/spreadsheetml/2006/main" count="577" uniqueCount="135">
  <si>
    <t>原材料、燃料、动力购进、库存及价格表</t>
  </si>
  <si>
    <t>填报单位：生产计划部</t>
  </si>
  <si>
    <t>时间：</t>
  </si>
  <si>
    <t>2025-12</t>
  </si>
  <si>
    <t>指标名称</t>
  </si>
  <si>
    <t>期初库存（吨）</t>
  </si>
  <si>
    <t>购进量(吨)</t>
  </si>
  <si>
    <t>消费量(吨)</t>
  </si>
  <si>
    <t>期末库存（吨）</t>
  </si>
  <si>
    <t>价格（元/吨）
（元/Nm3）</t>
  </si>
  <si>
    <t>当月金额(千元)</t>
  </si>
  <si>
    <t>累计金额（千元）</t>
  </si>
  <si>
    <t>一、原材料</t>
  </si>
  <si>
    <t>本月</t>
  </si>
  <si>
    <t>累计</t>
  </si>
  <si>
    <t>原  油</t>
  </si>
  <si>
    <t>其中（油田）</t>
  </si>
  <si>
    <t>其中（长庆）</t>
  </si>
  <si>
    <t>其中（进口）</t>
  </si>
  <si>
    <t>MTBE</t>
  </si>
  <si>
    <t>MMT</t>
  </si>
  <si>
    <t>裂解石脑油</t>
  </si>
  <si>
    <t>二、燃料</t>
  </si>
  <si>
    <t>原煤</t>
  </si>
  <si>
    <t>天然气(万Nm3）</t>
  </si>
  <si>
    <t>三、半成品</t>
  </si>
  <si>
    <t>期末库存（吨)</t>
  </si>
  <si>
    <t>汽   油</t>
  </si>
  <si>
    <t>柴   油</t>
  </si>
  <si>
    <t>液化气</t>
  </si>
  <si>
    <t>1#渣   油</t>
  </si>
  <si>
    <t>2#渣   油</t>
  </si>
  <si>
    <t>苯</t>
  </si>
  <si>
    <t>四、成品</t>
  </si>
  <si>
    <t>原料液化气</t>
  </si>
  <si>
    <t>聚丙烯</t>
  </si>
  <si>
    <t>苯乙烯</t>
  </si>
  <si>
    <t>五、动力</t>
  </si>
  <si>
    <t>购进量(万千瓦时)</t>
  </si>
  <si>
    <t>购进量(度)</t>
  </si>
  <si>
    <t>工业消费(万千瓦时)</t>
  </si>
  <si>
    <t>工业消费(度)</t>
  </si>
  <si>
    <t>非工业消费(万千瓦时)</t>
  </si>
  <si>
    <t>非工业消费(度)</t>
  </si>
  <si>
    <t>价格(元/度)</t>
  </si>
  <si>
    <t>当月金额
（千元）</t>
  </si>
  <si>
    <t>累计金额
（千元）</t>
  </si>
  <si>
    <t>电</t>
  </si>
  <si>
    <t>电（自产）</t>
  </si>
  <si>
    <t>电（外购）</t>
  </si>
  <si>
    <t>油煤用电</t>
  </si>
  <si>
    <t>六、热力外供</t>
  </si>
  <si>
    <t>当月（kg标油）</t>
  </si>
  <si>
    <t>累计（kg标油）</t>
  </si>
  <si>
    <t>单位负责人：</t>
  </si>
  <si>
    <t>统计负责人：</t>
  </si>
  <si>
    <t>填报人：</t>
  </si>
  <si>
    <t>报表生成时间：</t>
  </si>
  <si>
    <t xml:space="preserve"> 8:00:00</t>
  </si>
  <si>
    <t>公式类型</t>
  </si>
  <si>
    <t>数据源</t>
  </si>
  <si>
    <t>取值</t>
  </si>
  <si>
    <t>计量点名称</t>
  </si>
  <si>
    <t>取值条件</t>
  </si>
  <si>
    <t>#SQL</t>
  </si>
  <si>
    <t>("</t>
  </si>
  <si>
    <t>Yul_Balance_Start</t>
  </si>
  <si>
    <t>","</t>
  </si>
  <si>
    <t>VALUE</t>
  </si>
  <si>
    <t>",":where{NAME=</t>
  </si>
  <si>
    <t>榆炼_榆炼油品产、销、存日报表_期初库存_原油</t>
  </si>
  <si>
    <t>}")</t>
  </si>
  <si>
    <t>榆炼_榆炼油品产、销、存日报表_期初库存_MTBE</t>
  </si>
  <si>
    <t>榆炼_榆炼油品产、销、存日报表_期初库存_裂解石脑油</t>
  </si>
  <si>
    <t>Yul_Device_ByMonth</t>
  </si>
  <si>
    <t>榆炼_榆炼油品产、销、存日报表_收购量_原油</t>
  </si>
  <si>
    <t>榆炼_榆炼油品产、销、存日报表_收购量_MTBE</t>
  </si>
  <si>
    <t>榆炼_榆炼油品产、销、存日报表_收购量_裂解石脑油</t>
  </si>
  <si>
    <t>榆炼_榆炼油品产、销、存日报表_500万吨/年常压装置_原油加工</t>
  </si>
  <si>
    <t>榆炼_榆炼油品产、销、存日报表_成品调和量_MTBE</t>
  </si>
  <si>
    <t>榆炼_榆炼油品产、销、存日报表_20万吨/年DCC裂解石脑油装置_原料处理量</t>
  </si>
  <si>
    <t>榆炼_榆炼油品产、销、存日报表_期末库存_原油</t>
  </si>
  <si>
    <t>榆炼_榆炼油品产、销、存日报表_期末库存_MTBE</t>
  </si>
  <si>
    <t>榆炼_榆炼油品产、销、存日报表_期末库存_裂解石脑油</t>
  </si>
  <si>
    <t>榆炼_榆炼油品产、销、存日报表_期初库存_混合柴油</t>
  </si>
  <si>
    <t>榆炼_榆炼油品产、销、存日报表_期初库存_1#渣油</t>
  </si>
  <si>
    <t>榆炼_榆炼油品产、销、存日报表_期初库存_2#渣油</t>
  </si>
  <si>
    <t>榆炼_榆炼油品产、销、存日报表_期初库存_半成品苯</t>
  </si>
  <si>
    <t>榆炼_榆炼油品产、销、存日报表_期末库存_混合柴油</t>
  </si>
  <si>
    <t>榆炼_榆炼油品产、销、存日报表_期末库存_1#渣油</t>
  </si>
  <si>
    <t>榆炼_榆炼油品产、销、存日报表_期末库存_2#渣油</t>
  </si>
  <si>
    <t>榆炼_榆炼油品产、销、存日报表_期末库存_半成品苯</t>
  </si>
  <si>
    <t>榆炼_榆炼油品产、销、存日报表_期初库存_92#汽油</t>
  </si>
  <si>
    <t>榆炼_榆炼油品产、销、存日报表_期初库存_95#汽油</t>
  </si>
  <si>
    <t>榆炼_榆炼油品产、销、存日报表_期初库存_0#柴油</t>
  </si>
  <si>
    <t>榆炼_榆炼油品产、销、存日报表_期初库存_-10#柴油</t>
  </si>
  <si>
    <t>榆炼_榆炼油品产、销、存日报表_期初库存_-20#柴油</t>
  </si>
  <si>
    <t>榆炼_榆炼油品产、销、存日报表_期初库存_原料液化气</t>
  </si>
  <si>
    <t>榆炼_榆炼油品产、销、存日报表_期末库存_92#汽油</t>
  </si>
  <si>
    <t>榆炼_榆炼油品产、销、存日报表_期末库存_95#汽油</t>
  </si>
  <si>
    <t>榆炼_榆炼油品产、销、存日报表_期末库存_0#柴油</t>
  </si>
  <si>
    <t>榆炼_榆炼油品产、销、存日报表_期末库存_-10#柴油</t>
  </si>
  <si>
    <t>榆炼_榆炼油品产、销、存日报表_期末库存_-20#柴油</t>
  </si>
  <si>
    <t>榆炼_榆炼油品产、销、存日报表_期末库存_原料液化气</t>
  </si>
  <si>
    <t>Yul_Device_ByMonth_SUM</t>
  </si>
  <si>
    <t>榆炼_生产计划部_原材料燃料动力购进库存及价格表_购进量_原油</t>
  </si>
  <si>
    <t>榆炼_生产计划部_原材料燃料动力购进库存及价格表_购进量_原油（长庆）</t>
  </si>
  <si>
    <t>榆炼_生产计划部_原材料燃料动力购进库存及价格表_购进量_二甲苯</t>
  </si>
  <si>
    <t>榆炼_生产计划部_原材料燃料动力购进库存及价格表_购进量_MTBE</t>
  </si>
  <si>
    <t>榆炼_生产计划部_原材料燃料动力购进库存及价格表_购进量_三甲苯</t>
  </si>
  <si>
    <t>榆炼_生产计划部_原材料燃料动力购进库存及价格表_购进量_降凝剂</t>
  </si>
  <si>
    <t>榆炼_生产计划部_原材料燃料动力购进库存及价格表_购进量_裂解石脑油</t>
  </si>
  <si>
    <t>榆炼_生产计划部_原材料燃料动力购进库存及价格表_购进量_天然气</t>
  </si>
  <si>
    <t>榆炼_生产计划部_原材料燃料动力购进库存及价格表_购进量_干气</t>
  </si>
  <si>
    <t>榆炼_生产计划部_原材料燃料动力购进库存及价格表_消费量_原油</t>
  </si>
  <si>
    <t>榆炼_生产计划部_原材料燃料动力购进库存及价格表_消费量_原油（长庆）</t>
  </si>
  <si>
    <t>榆炼_生产计划部_原材料燃料动力购进库存及价格表_消费量_二甲苯</t>
  </si>
  <si>
    <t>榆炼_生产计划部_原材料燃料动力购进库存及价格表_消费量_MTBE</t>
  </si>
  <si>
    <t>榆炼_生产计划部_原材料燃料动力购进库存及价格表_消费量_三甲苯</t>
  </si>
  <si>
    <t>榆炼_生产计划部_原材料燃料动力购进库存及价格表_消费量_降凝剂</t>
  </si>
  <si>
    <t>榆炼_生产计划部_原材料燃料动力购进库存及价格表_消费量_裂解石脑油</t>
  </si>
  <si>
    <t>榆炼_生产计划部_原材料燃料动力购进库存及价格表_消费量_天然气</t>
  </si>
  <si>
    <t>榆炼_生产计划部_原材料燃料动力购进库存及价格表_消费量_干气</t>
  </si>
  <si>
    <t>榆炼_生产计划部_原材料燃料动力购进库存及价格表_总价格_原油</t>
  </si>
  <si>
    <t>榆炼_生产计划部_原材料燃料动力购进库存及价格表_总价格_原油（长庆）</t>
  </si>
  <si>
    <t>榆炼_生产计划部_原材料燃料动力购进库存及价格表_总价格_二甲苯</t>
  </si>
  <si>
    <t>榆炼_生产计划部_原材料燃料动力购进库存及价格表_总价格_MTBE</t>
  </si>
  <si>
    <t>榆炼_生产计划部_原材料燃料动力购进库存及价格表_总价格_三甲苯</t>
  </si>
  <si>
    <t>榆炼_生产计划部_原材料燃料动力购进库存及价格表_总价格_降凝剂</t>
  </si>
  <si>
    <t>榆炼_生产计划部_原材料燃料动力购进库存及价格表_总价格_裂解石脑油</t>
  </si>
  <si>
    <t>榆炼_生产计划部_原材料燃料动力购进库存及价格表_总价格_天然气</t>
  </si>
  <si>
    <t>榆炼_生产计划部_原材料燃料动力购进库存及价格表_总价格_干气</t>
  </si>
  <si>
    <t>榆炼_生产计划部_原材料燃料动力购进库存及价格表_工业消费_电</t>
  </si>
  <si>
    <t>榆炼_生产计划部_原材料燃料动力购进库存及价格表_非工业消费_电</t>
  </si>
  <si>
    <t>榆炼_生产计划部_原材料燃料动力购进库存及价格表_总价格_电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</si>
</sst>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0;\-0"/>
    <numFmt numFmtId="173" formatCode="0.00_ "/>
    <numFmt numFmtId="174" formatCode="0.00;\-0.00"/>
  </numFmts>
  <fonts count="2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1"/>
      <color theme="1"/>
      <name val="等线"/>
    </font>
    <font>
      <sz val="11"/>
      <color auto="1"/>
      <name val="Calibri"/>
      <scheme val="minor"/>
    </font>
    <font>
      <sz val="10"/>
      <color rgb="FF000000"/>
      <name val="等线"/>
    </font>
    <font>
      <b/>
      <sz val="11"/>
      <color auto="1"/>
      <name val="Calibri"/>
      <scheme val="minor"/>
    </font>
    <font>
      <b/>
      <sz val="18"/>
      <color theme="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rgb="FFFFFF00"/>
      </patternFill>
    </fill>
  </fills>
  <borders count="3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244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0" applyFont="1"/>
    <xf numFmtId="0" fontId="17" fillId="0" borderId="0" xfId="0" applyFont="1"/>
    <xf numFmtId="0" fontId="0" fillId="0" borderId="10" xfId="0" applyFont="1" applyBorder="1"/>
    <xf numFmtId="0" fontId="0" fillId="0" borderId="11" xfId="0" applyFont="1" applyBorder="1">
      <alignment horizontal="right" vertical="center"/>
    </xf>
    <xf numFmtId="0" fontId="0" fillId="0" borderId="11" xfId="0" applyFont="1" applyBorder="1">
      <alignment horizontal="left" vertical="center"/>
    </xf>
    <xf numFmtId="0" fontId="0" fillId="0" borderId="12" xfId="0" applyFont="1" applyBorder="1"/>
    <xf numFmtId="0" fontId="19" fillId="0" borderId="13" xfId="0" applyFont="1" applyBorder="1">
      <alignment horizontal="center" vertical="center"/>
    </xf>
    <xf numFmtId="171" fontId="19" fillId="33" borderId="13" xfId="0" applyFont="1" applyFill="1" applyBorder="1" applyNumberFormat="1">
      <alignment horizontal="right" vertical="center"/>
    </xf>
    <xf numFmtId="171" fontId="19" fillId="34" borderId="13" xfId="0" applyFont="1" applyFill="1" applyBorder="1" applyNumberFormat="1">
      <alignment horizontal="center" vertical="center"/>
    </xf>
    <xf numFmtId="171" fontId="19" fillId="7" borderId="13" xfId="0" applyFont="1" applyFill="1" applyBorder="1" applyNumberFormat="1">
      <alignment horizontal="center" vertical="center"/>
    </xf>
    <xf numFmtId="171" fontId="19" fillId="7" borderId="13" xfId="0" applyFont="1" applyFill="1" applyBorder="1" applyNumberFormat="1">
      <alignment horizontal="right" vertical="center"/>
    </xf>
    <xf numFmtId="0" fontId="17" fillId="0" borderId="0" xfId="0" applyFont="1"/>
    <xf numFmtId="0" fontId="19" fillId="0" borderId="13" xfId="0" applyFont="1" applyBorder="1">
      <alignment horizontal="center" vertical="center" wrapText="1"/>
    </xf>
    <xf numFmtId="171" fontId="19" fillId="7" borderId="13" xfId="0" applyFont="1" applyFill="1" applyBorder="1" applyNumberFormat="1">
      <alignment horizontal="right" vertical="center"/>
    </xf>
    <xf numFmtId="171" fontId="19" fillId="34" borderId="13" xfId="0" applyFont="1" applyFill="1" applyBorder="1" applyNumberFormat="1">
      <alignment horizontal="right" vertical="center"/>
    </xf>
    <xf numFmtId="2" fontId="20" fillId="0" borderId="13" xfId="0" applyFont="1" applyBorder="1" applyNumberFormat="1">
      <alignment horizontal="center" vertical="center" wrapText="1"/>
    </xf>
    <xf numFmtId="171" fontId="19" fillId="34" borderId="13" xfId="0" applyFont="1" applyFill="1" applyBorder="1" applyNumberFormat="1">
      <alignment vertical="center"/>
    </xf>
    <xf numFmtId="171" fontId="19" fillId="7" borderId="13" xfId="0" applyFont="1" applyFill="1" applyBorder="1" applyNumberFormat="1">
      <alignment vertical="center"/>
    </xf>
    <xf numFmtId="171" fontId="19" fillId="7" borderId="13" xfId="0" applyFont="1" applyFill="1" applyBorder="1" applyNumberFormat="1">
      <alignment horizontal="center" vertical="center"/>
    </xf>
    <xf numFmtId="0" fontId="19" fillId="0" borderId="14" xfId="0" applyFont="1" applyBorder="1">
      <alignment horizontal="center" vertical="center"/>
    </xf>
    <xf numFmtId="0" fontId="19" fillId="0" borderId="15" xfId="0" applyFont="1" applyBorder="1">
      <alignment horizontal="center" vertical="center"/>
    </xf>
    <xf numFmtId="172" fontId="21" fillId="0" borderId="15" xfId="0" applyFont="1" applyBorder="1" applyNumberFormat="1"/>
    <xf numFmtId="172" fontId="21" fillId="0" borderId="15" xfId="0" applyFont="1" applyBorder="1" applyNumberFormat="1">
      <alignment horizontal="center"/>
    </xf>
    <xf numFmtId="173" fontId="19" fillId="7" borderId="13" xfId="0" applyFont="1" applyFill="1" applyBorder="1" applyNumberFormat="1">
      <alignment horizontal="right" vertical="center"/>
    </xf>
    <xf numFmtId="173" fontId="19" fillId="34" borderId="13" xfId="0" applyFont="1" applyFill="1" applyBorder="1" applyNumberFormat="1">
      <alignment horizontal="right" vertical="center"/>
    </xf>
    <xf numFmtId="173" fontId="19" fillId="7" borderId="13" xfId="0" applyFont="1" applyFill="1" applyBorder="1" applyNumberFormat="1">
      <alignment horizontal="center" vertical="center"/>
    </xf>
    <xf numFmtId="173" fontId="19" fillId="0" borderId="15" xfId="0" applyFont="1" applyBorder="1" applyNumberFormat="1">
      <alignment horizontal="right" vertical="center"/>
    </xf>
    <xf numFmtId="173" fontId="19" fillId="34" borderId="13" xfId="0" applyFont="1" applyFill="1" applyBorder="1" applyNumberFormat="1">
      <alignment horizontal="center" vertical="center"/>
    </xf>
    <xf numFmtId="173" fontId="19" fillId="7" borderId="13" xfId="0" applyFont="1" applyFill="1" applyBorder="1" applyNumberFormat="1">
      <alignment horizontal="center" vertical="center"/>
    </xf>
    <xf numFmtId="0" fontId="17" fillId="0" borderId="0" xfId="0" applyFont="1"/>
    <xf numFmtId="0" fontId="0" fillId="35" borderId="0" xfId="0" applyFont="1" applyFill="1"/>
    <xf numFmtId="0" fontId="0" fillId="34" borderId="0" xfId="0" applyFont="1" applyFill="1"/>
    <xf numFmtId="0" fontId="0" fillId="0" borderId="0" xfId="0" applyFont="1">
      <alignment horizontal="right"/>
    </xf>
    <xf numFmtId="0" fontId="0" fillId="7" borderId="0" xfId="0" applyFont="1" applyFill="1">
      <alignment horizontal="left"/>
    </xf>
    <xf numFmtId="172" fontId="19" fillId="7" borderId="13" xfId="0" applyFont="1" applyFill="1" applyBorder="1" applyNumberFormat="1">
      <alignment horizontal="right" vertical="center"/>
    </xf>
    <xf numFmtId="174" fontId="19" fillId="7" borderId="13" xfId="0" applyFont="1" applyFill="1" applyBorder="1" applyNumberFormat="1">
      <alignment horizontal="right" vertical="center"/>
    </xf>
    <xf numFmtId="174" fontId="19" fillId="7" borderId="13" xfId="0" applyFont="1" applyFill="1" applyBorder="1" applyNumberFormat="1">
      <alignment horizontal="center" vertical="center"/>
    </xf>
    <xf numFmtId="172" fontId="19" fillId="7" borderId="13" xfId="0" applyFont="1" applyFill="1" applyBorder="1" applyNumberFormat="1">
      <alignment horizontal="right" vertical="center"/>
    </xf>
    <xf numFmtId="174" fontId="19" fillId="7" borderId="13" xfId="0" applyFont="1" applyFill="1" applyBorder="1" applyNumberFormat="1">
      <alignment horizontal="center" vertical="center"/>
    </xf>
    <xf numFmtId="0" fontId="17" fillId="0" borderId="0" xfId="0" applyFont="1"/>
    <xf numFmtId="0" fontId="0" fillId="35" borderId="0" xfId="0" applyFont="1" applyFill="1"/>
    <xf numFmtId="171" fontId="19" fillId="0" borderId="15" xfId="0" applyFont="1" applyBorder="1" applyNumberFormat="1">
      <alignment horizontal="right"/>
    </xf>
    <xf numFmtId="171" fontId="19" fillId="34" borderId="15" xfId="0" applyFont="1" applyFill="1" applyBorder="1" applyNumberFormat="1">
      <alignment horizontal="right"/>
    </xf>
    <xf numFmtId="0" fontId="19" fillId="0" borderId="14" xfId="0" applyFont="1" applyBorder="1">
      <alignment horizontal="center" vertical="center"/>
    </xf>
    <xf numFmtId="0" fontId="0" fillId="0" borderId="14" xfId="0" applyFont="1" applyBorder="1">
      <alignment horizontal="center" vertical="center"/>
    </xf>
    <xf numFmtId="0" fontId="0" fillId="0" borderId="13" xfId="0" applyFont="1" applyBorder="1">
      <alignment horizontal="center" vertical="center"/>
    </xf>
    <xf numFmtId="2" fontId="20" fillId="0" borderId="13" xfId="0" applyFont="1" applyBorder="1" applyNumberFormat="1">
      <alignment horizontal="center" vertical="center" wrapText="1"/>
    </xf>
    <xf numFmtId="2" fontId="20" fillId="0" borderId="16" xfId="0" applyFont="1" applyBorder="1" applyNumberFormat="1">
      <alignment horizontal="center" vertical="center" wrapText="1"/>
    </xf>
    <xf numFmtId="2" fontId="20" fillId="0" borderId="17" xfId="0" applyFont="1" applyBorder="1" applyNumberFormat="1">
      <alignment horizontal="center" vertical="center" wrapText="1"/>
    </xf>
    <xf numFmtId="2" fontId="20" fillId="0" borderId="14" xfId="0" applyFont="1" applyBorder="1" applyNumberFormat="1">
      <alignment horizontal="center" vertical="center" wrapText="1"/>
    </xf>
    <xf numFmtId="2" fontId="20" fillId="0" borderId="18" xfId="0" applyFont="1" applyBorder="1" applyNumberFormat="1">
      <alignment horizontal="center" vertical="center" wrapText="1"/>
    </xf>
    <xf numFmtId="1" fontId="20" fillId="0" borderId="13" xfId="0" applyFont="1" applyBorder="1" applyNumberFormat="1">
      <alignment horizontal="center" vertical="center" wrapText="1"/>
    </xf>
    <xf numFmtId="2" fontId="20" fillId="7" borderId="19" xfId="0" applyFont="1" applyFill="1" applyBorder="1" applyNumberFormat="1">
      <alignment horizontal="center" vertical="center" wrapText="1"/>
    </xf>
    <xf numFmtId="2" fontId="20" fillId="7" borderId="20" xfId="0" applyFont="1" applyFill="1" applyBorder="1" applyNumberFormat="1">
      <alignment horizontal="center" vertical="center" wrapText="1"/>
    </xf>
    <xf numFmtId="2" fontId="20" fillId="0" borderId="19" xfId="0" applyFont="1" applyBorder="1" applyNumberFormat="1">
      <alignment horizontal="center" vertical="center" wrapText="1"/>
    </xf>
    <xf numFmtId="2" fontId="20" fillId="0" borderId="20" xfId="0" applyFont="1" applyBorder="1" applyNumberFormat="1">
      <alignment horizontal="center" vertical="center" wrapText="1"/>
    </xf>
    <xf numFmtId="2" fontId="20" fillId="0" borderId="21" xfId="0" applyFont="1" applyBorder="1" applyNumberFormat="1">
      <alignment horizontal="center" vertical="center" wrapText="1"/>
    </xf>
    <xf numFmtId="2" fontId="20" fillId="0" borderId="22" xfId="0" applyFont="1" applyBorder="1" applyNumberFormat="1">
      <alignment horizontal="center" vertical="center" wrapText="1"/>
    </xf>
    <xf numFmtId="2" fontId="20" fillId="0" borderId="23" xfId="0" applyFont="1" applyBorder="1" applyNumberFormat="1">
      <alignment horizontal="center" vertical="center" wrapText="1"/>
    </xf>
    <xf numFmtId="2" fontId="20" fillId="0" borderId="24" xfId="0" applyFont="1" applyBorder="1" applyNumberFormat="1">
      <alignment horizontal="center" vertical="center" wrapText="1"/>
    </xf>
    <xf numFmtId="0" fontId="19" fillId="0" borderId="13" xfId="0" applyFont="1" applyBorder="1">
      <alignment horizontal="center" vertical="center"/>
    </xf>
    <xf numFmtId="0" fontId="19" fillId="33" borderId="13" xfId="0" applyFont="1" applyFill="1" applyBorder="1">
      <alignment horizontal="center" vertical="center"/>
    </xf>
    <xf numFmtId="171" fontId="19" fillId="7" borderId="13" xfId="0" applyFont="1" applyFill="1" applyBorder="1" applyNumberFormat="1">
      <alignment horizontal="right" vertical="center"/>
    </xf>
    <xf numFmtId="171" fontId="19" fillId="7" borderId="10" xfId="0" applyFont="1" applyFill="1" applyBorder="1" applyNumberFormat="1">
      <alignment horizontal="right" vertical="center"/>
    </xf>
    <xf numFmtId="171" fontId="19" fillId="7" borderId="11" xfId="0" applyFont="1" applyFill="1" applyBorder="1" applyNumberFormat="1">
      <alignment horizontal="right" vertical="center"/>
    </xf>
    <xf numFmtId="171" fontId="19" fillId="7" borderId="12" xfId="0" applyFont="1" applyFill="1" applyBorder="1" applyNumberFormat="1">
      <alignment horizontal="right" vertical="center"/>
    </xf>
    <xf numFmtId="0" fontId="22" fillId="0" borderId="25" xfId="0" applyFont="1" applyBorder="1">
      <alignment horizontal="center" vertical="center"/>
    </xf>
    <xf numFmtId="0" fontId="22" fillId="0" borderId="26" xfId="0" applyFont="1" applyBorder="1">
      <alignment horizontal="center" vertical="center"/>
    </xf>
    <xf numFmtId="0" fontId="22" fillId="0" borderId="27" xfId="0" applyFont="1" applyBorder="1">
      <alignment horizontal="center" vertical="center"/>
    </xf>
    <xf numFmtId="0" fontId="0" fillId="0" borderId="13" xfId="0" applyFont="1" applyBorder="1">
      <alignment horizontal="right" vertical="center"/>
    </xf>
    <xf numFmtId="0" fontId="0" fillId="0" borderId="15" xfId="0" applyFont="1" applyBorder="1">
      <alignment horizontal="right" vertical="center"/>
    </xf>
    <xf numFmtId="0" fontId="19" fillId="0" borderId="14" xfId="0" applyFont="1" applyBorder="1">
      <alignment horizontal="center" vertical="center"/>
    </xf>
    <xf numFmtId="2" fontId="20" fillId="0" borderId="28" xfId="0" applyFont="1" applyBorder="1" applyNumberFormat="1">
      <alignment horizontal="center" vertical="center" wrapText="1"/>
    </xf>
    <xf numFmtId="2" fontId="20" fillId="0" borderId="29" xfId="0" applyFont="1" applyBorder="1" applyNumberFormat="1">
      <alignment horizontal="center" vertical="center" wrapText="1"/>
    </xf>
    <xf numFmtId="171" fontId="19" fillId="7" borderId="28" xfId="0" applyFont="1" applyFill="1" applyBorder="1" applyNumberFormat="1">
      <alignment horizontal="center" vertical="center"/>
    </xf>
    <xf numFmtId="171" fontId="19" fillId="7" borderId="30" xfId="0" applyFont="1" applyFill="1" applyBorder="1" applyNumberFormat="1">
      <alignment horizontal="center" vertical="center"/>
    </xf>
    <xf numFmtId="171" fontId="19" fillId="7" borderId="29" xfId="0" applyFont="1" applyFill="1" applyBorder="1" applyNumberFormat="1">
      <alignment horizontal="center" vertical="center"/>
    </xf>
    <xf numFmtId="171" fontId="19" fillId="33" borderId="28" xfId="0" applyFont="1" applyFill="1" applyBorder="1" applyNumberFormat="1">
      <alignment horizontal="center" vertical="center"/>
    </xf>
    <xf numFmtId="171" fontId="19" fillId="33" borderId="30" xfId="0" applyFont="1" applyFill="1" applyBorder="1" applyNumberFormat="1">
      <alignment horizontal="center" vertical="center"/>
    </xf>
    <xf numFmtId="171" fontId="19" fillId="33" borderId="29" xfId="0" applyFont="1" applyFill="1" applyBorder="1" applyNumberFormat="1">
      <alignment horizontal="center" vertical="center"/>
    </xf>
    <xf numFmtId="173" fontId="19" fillId="7" borderId="28" xfId="0" applyFont="1" applyFill="1" applyBorder="1" applyNumberFormat="1">
      <alignment horizontal="center" vertical="center"/>
    </xf>
    <xf numFmtId="173" fontId="19" fillId="7" borderId="30" xfId="0" applyFont="1" applyFill="1" applyBorder="1" applyNumberFormat="1">
      <alignment horizontal="center" vertical="center"/>
    </xf>
    <xf numFmtId="173" fontId="19" fillId="7" borderId="29" xfId="0" applyFont="1" applyFill="1" applyBorder="1" applyNumberFormat="1">
      <alignment horizontal="center" vertical="center"/>
    </xf>
    <xf numFmtId="173" fontId="19" fillId="0" borderId="16" xfId="0" applyFont="1" applyBorder="1" applyNumberFormat="1">
      <alignment horizontal="center" vertical="center"/>
    </xf>
    <xf numFmtId="173" fontId="19" fillId="0" borderId="31" xfId="0" applyFont="1" applyBorder="1" applyNumberFormat="1">
      <alignment horizontal="center" vertical="center"/>
    </xf>
    <xf numFmtId="173" fontId="19" fillId="0" borderId="17" xfId="0" applyFont="1" applyBorder="1" applyNumberFormat="1">
      <alignment horizontal="center" vertical="center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22" fillId="0" borderId="25" xfId="0" applyFont="1" applyBorder="1">
      <alignment horizontal="center" vertical="center" wrapText="1"/>
    </xf>
    <xf numFmtId="0" fontId="22" fillId="0" borderId="26" xfId="0" applyFont="1" applyBorder="1">
      <alignment horizontal="center" vertical="center" wrapText="1"/>
    </xf>
    <xf numFmtId="0" fontId="22" fillId="0" borderId="27" xfId="0" applyFont="1" applyBorder="1">
      <alignment horizontal="center" vertical="center" wrapText="1"/>
    </xf>
    <xf numFmtId="0" fontId="0" fillId="0" borderId="14" xfId="0" applyFont="1" applyBorder="1">
      <alignment horizontal="center" vertical="center" wrapText="1"/>
    </xf>
    <xf numFmtId="0" fontId="0" fillId="0" borderId="13" xfId="0" applyFont="1" applyBorder="1">
      <alignment horizontal="center" vertical="center" wrapText="1"/>
    </xf>
    <xf numFmtId="0" fontId="0" fillId="0" borderId="10" xfId="0" applyFont="1" applyBorder="1">
      <alignment wrapText="1"/>
    </xf>
    <xf numFmtId="0" fontId="0" fillId="0" borderId="11" xfId="0" applyFont="1" applyBorder="1">
      <alignment horizontal="right" vertical="center" wrapText="1"/>
    </xf>
    <xf numFmtId="0" fontId="0" fillId="0" borderId="11" xfId="0" applyFont="1" applyBorder="1">
      <alignment horizontal="left" vertical="center" wrapText="1"/>
    </xf>
    <xf numFmtId="0" fontId="0" fillId="0" borderId="12" xfId="0" applyFont="1" applyBorder="1">
      <alignment wrapText="1"/>
    </xf>
    <xf numFmtId="0" fontId="0" fillId="0" borderId="13" xfId="0" applyFont="1" applyBorder="1">
      <alignment horizontal="right" vertical="center" wrapText="1"/>
    </xf>
    <xf numFmtId="0" fontId="0" fillId="0" borderId="15" xfId="0" applyFont="1" applyBorder="1">
      <alignment horizontal="right" vertical="center" wrapText="1"/>
    </xf>
    <xf numFmtId="0" fontId="19" fillId="0" borderId="14" xfId="0" applyFont="1" applyBorder="1">
      <alignment horizontal="center" vertical="center" wrapText="1"/>
    </xf>
    <xf numFmtId="0" fontId="19" fillId="0" borderId="13" xfId="0" applyFont="1" applyBorder="1">
      <alignment horizontal="center" vertical="center" wrapText="1"/>
    </xf>
    <xf numFmtId="0" fontId="19" fillId="0" borderId="13" xfId="0" applyFont="1" applyBorder="1">
      <alignment horizontal="center" vertical="center" wrapText="1"/>
    </xf>
    <xf numFmtId="0" fontId="19" fillId="0" borderId="13" xfId="0" applyFont="1" applyBorder="1">
      <alignment horizontal="center" vertical="center" wrapText="1"/>
    </xf>
    <xf numFmtId="0" fontId="19" fillId="0" borderId="15" xfId="0" applyFont="1" applyBorder="1">
      <alignment horizontal="center" vertical="center" wrapText="1"/>
    </xf>
    <xf numFmtId="172" fontId="21" fillId="0" borderId="15" xfId="0" applyFont="1" applyBorder="1" applyNumberFormat="1">
      <alignment wrapText="1"/>
    </xf>
    <xf numFmtId="171" fontId="19" fillId="7" borderId="13" xfId="0" applyFont="1" applyFill="1" applyBorder="1" applyNumberFormat="1">
      <alignment horizontal="right" vertical="center" wrapText="1"/>
      <protection locked="0"/>
    </xf>
    <xf numFmtId="172" fontId="19" fillId="7" borderId="13" xfId="0" applyFont="1" applyFill="1" applyBorder="1" applyNumberFormat="1">
      <alignment horizontal="right" vertical="center" wrapText="1"/>
      <protection locked="0"/>
    </xf>
    <xf numFmtId="171" fontId="19" fillId="33" borderId="13" xfId="0" applyFont="1" applyFill="1" applyBorder="1" applyNumberFormat="1">
      <alignment horizontal="right" vertical="center" wrapText="1"/>
    </xf>
    <xf numFmtId="171" fontId="19" fillId="7" borderId="13" xfId="0" applyFont="1" applyFill="1" applyBorder="1" applyNumberFormat="1">
      <alignment horizontal="right" vertical="center" wrapText="1"/>
      <protection locked="0"/>
    </xf>
    <xf numFmtId="174" fontId="19" fillId="7" borderId="13" xfId="0" applyFont="1" applyFill="1" applyBorder="1" applyNumberFormat="1">
      <alignment horizontal="right" vertical="center" wrapText="1"/>
      <protection locked="0"/>
    </xf>
    <xf numFmtId="174" fontId="19" fillId="7" borderId="13" xfId="0" applyFont="1" applyFill="1" applyBorder="1" applyNumberFormat="1">
      <alignment horizontal="center" vertical="center" wrapText="1"/>
      <protection locked="0"/>
    </xf>
    <xf numFmtId="171" fontId="19" fillId="0" borderId="15" xfId="0" applyFont="1" applyBorder="1" applyNumberFormat="1">
      <alignment horizontal="right" wrapText="1"/>
    </xf>
    <xf numFmtId="171" fontId="19" fillId="34" borderId="13" xfId="0" applyFont="1" applyFill="1" applyBorder="1" applyNumberFormat="1">
      <alignment horizontal="center" vertical="center" wrapText="1"/>
    </xf>
    <xf numFmtId="172" fontId="19" fillId="7" borderId="13" xfId="0" applyFont="1" applyFill="1" applyBorder="1" applyNumberFormat="1">
      <alignment horizontal="right" vertical="center" wrapText="1"/>
      <protection locked="0"/>
    </xf>
    <xf numFmtId="174" fontId="19" fillId="7" borderId="13" xfId="0" applyFont="1" applyFill="1" applyBorder="1" applyNumberFormat="1">
      <alignment horizontal="center" vertical="center" wrapText="1"/>
      <protection locked="0"/>
    </xf>
    <xf numFmtId="0" fontId="0" fillId="0" borderId="0" xfId="0" applyFont="1"/>
    <xf numFmtId="0" fontId="0" fillId="0" borderId="0" xfId="0" applyFont="1"/>
    <xf numFmtId="173" fontId="19" fillId="7" borderId="13" xfId="0" applyFont="1" applyFill="1" applyBorder="1" applyNumberFormat="1">
      <alignment horizontal="right" vertical="center" wrapText="1"/>
      <protection locked="0"/>
    </xf>
    <xf numFmtId="173" fontId="19" fillId="7" borderId="13" xfId="0" applyFont="1" applyFill="1" applyBorder="1" applyNumberFormat="1">
      <alignment horizontal="center" vertical="center" wrapText="1"/>
      <protection locked="0"/>
    </xf>
    <xf numFmtId="0" fontId="0" fillId="0" borderId="0" xfId="0" applyFont="1"/>
    <xf numFmtId="0" fontId="0" fillId="34" borderId="0" xfId="0" applyFont="1" applyFill="1">
      <alignment wrapText="1"/>
    </xf>
    <xf numFmtId="171" fontId="19" fillId="34" borderId="13" xfId="0" applyFont="1" applyFill="1" applyBorder="1" applyNumberFormat="1">
      <alignment horizontal="right" vertical="center" wrapText="1"/>
    </xf>
    <xf numFmtId="173" fontId="19" fillId="34" borderId="13" xfId="0" applyFont="1" applyFill="1" applyBorder="1" applyNumberFormat="1">
      <alignment horizontal="right" vertical="center" wrapText="1"/>
    </xf>
    <xf numFmtId="173" fontId="19" fillId="34" borderId="13" xfId="0" applyFont="1" applyFill="1" applyBorder="1" applyNumberFormat="1">
      <alignment horizontal="center" vertical="center" wrapText="1"/>
    </xf>
    <xf numFmtId="171" fontId="19" fillId="34" borderId="15" xfId="0" applyFont="1" applyFill="1" applyBorder="1" applyNumberFormat="1">
      <alignment horizontal="right" wrapText="1"/>
    </xf>
    <xf numFmtId="173" fontId="19" fillId="7" borderId="13" xfId="0" applyFont="1" applyFill="1" applyBorder="1" applyNumberFormat="1">
      <alignment horizontal="center" vertical="center" wrapText="1"/>
      <protection locked="0"/>
    </xf>
    <xf numFmtId="171" fontId="19" fillId="7" borderId="13" xfId="0" applyFont="1" applyFill="1" applyBorder="1" applyNumberFormat="1">
      <alignment horizontal="center" vertical="center" wrapText="1"/>
      <protection locked="0"/>
    </xf>
    <xf numFmtId="0" fontId="19" fillId="33" borderId="13" xfId="0" applyFont="1" applyFill="1" applyBorder="1">
      <alignment horizontal="center" vertical="center" wrapText="1"/>
    </xf>
    <xf numFmtId="172" fontId="21" fillId="0" borderId="15" xfId="0" applyFont="1" applyBorder="1" applyNumberFormat="1">
      <alignment horizontal="center" wrapText="1"/>
    </xf>
    <xf numFmtId="171" fontId="19" fillId="7" borderId="13" xfId="0" applyFont="1" applyFill="1" applyBorder="1" applyNumberFormat="1">
      <alignment horizontal="right" vertical="center" wrapText="1"/>
      <protection locked="0"/>
    </xf>
    <xf numFmtId="171" fontId="19" fillId="7" borderId="13" xfId="0" applyFont="1" applyFill="1" applyBorder="1" applyNumberFormat="1">
      <alignment horizontal="right" vertical="center" wrapText="1"/>
    </xf>
    <xf numFmtId="171" fontId="19" fillId="7" borderId="10" xfId="0" applyFont="1" applyFill="1" applyBorder="1" applyNumberFormat="1">
      <alignment horizontal="right" vertical="center" wrapText="1"/>
      <protection locked="0"/>
    </xf>
    <xf numFmtId="171" fontId="19" fillId="7" borderId="11" xfId="0" applyFont="1" applyFill="1" applyBorder="1" applyNumberFormat="1">
      <alignment horizontal="right" vertical="center" wrapText="1"/>
    </xf>
    <xf numFmtId="171" fontId="19" fillId="7" borderId="12" xfId="0" applyFont="1" applyFill="1" applyBorder="1" applyNumberFormat="1">
      <alignment horizontal="right" vertical="center" wrapText="1"/>
    </xf>
    <xf numFmtId="0" fontId="19" fillId="0" borderId="14" xfId="0" applyFont="1" applyBorder="1">
      <alignment horizontal="center" vertical="center" wrapText="1"/>
    </xf>
    <xf numFmtId="2" fontId="20" fillId="0" borderId="13" xfId="0" applyFont="1" applyBorder="1" applyNumberFormat="1">
      <alignment horizontal="center" vertical="center" wrapText="1"/>
    </xf>
    <xf numFmtId="2" fontId="20" fillId="0" borderId="28" xfId="0" applyFont="1" applyBorder="1" applyNumberFormat="1">
      <alignment horizontal="center" vertical="center" wrapText="1"/>
    </xf>
    <xf numFmtId="2" fontId="20" fillId="0" borderId="16" xfId="0" applyFont="1" applyBorder="1" applyNumberFormat="1">
      <alignment horizontal="center" vertical="center" wrapText="1"/>
    </xf>
    <xf numFmtId="2" fontId="20" fillId="0" borderId="13" xfId="0" applyFont="1" applyBorder="1" applyNumberFormat="1">
      <alignment horizontal="center" vertical="center" wrapText="1"/>
    </xf>
    <xf numFmtId="2" fontId="20" fillId="0" borderId="29" xfId="0" applyFont="1" applyBorder="1" applyNumberFormat="1">
      <alignment horizontal="center" vertical="center" wrapText="1"/>
    </xf>
    <xf numFmtId="2" fontId="20" fillId="0" borderId="17" xfId="0" applyFont="1" applyBorder="1" applyNumberFormat="1">
      <alignment horizontal="center" vertical="center" wrapText="1"/>
    </xf>
    <xf numFmtId="171" fontId="19" fillId="7" borderId="13" xfId="0" applyFont="1" applyFill="1" applyBorder="1" applyNumberFormat="1">
      <alignment vertical="center" wrapText="1"/>
      <protection locked="0"/>
    </xf>
    <xf numFmtId="171" fontId="19" fillId="34" borderId="13" xfId="0" applyFont="1" applyFill="1" applyBorder="1" applyNumberFormat="1">
      <alignment vertical="center" wrapText="1"/>
    </xf>
    <xf numFmtId="171" fontId="19" fillId="7" borderId="13" xfId="0" applyFont="1" applyFill="1" applyBorder="1" applyNumberFormat="1">
      <alignment horizontal="center" vertical="center" wrapText="1"/>
      <protection locked="0"/>
    </xf>
    <xf numFmtId="173" fontId="19" fillId="0" borderId="15" xfId="0" applyFont="1" applyBorder="1" applyNumberFormat="1">
      <alignment horizontal="right" vertical="center" wrapText="1"/>
    </xf>
    <xf numFmtId="0" fontId="0" fillId="0" borderId="0" xfId="0" applyFont="1"/>
    <xf numFmtId="0" fontId="19" fillId="0" borderId="14" xfId="0" applyFont="1" applyBorder="1">
      <alignment horizontal="center" vertical="center" wrapText="1"/>
    </xf>
    <xf numFmtId="171" fontId="19" fillId="7" borderId="28" xfId="0" applyFont="1" applyFill="1" applyBorder="1" applyNumberFormat="1">
      <alignment horizontal="center" vertical="center" wrapText="1"/>
      <protection locked="0"/>
    </xf>
    <xf numFmtId="171" fontId="19" fillId="33" borderId="28" xfId="0" applyFont="1" applyFill="1" applyBorder="1" applyNumberFormat="1">
      <alignment horizontal="center" vertical="center" wrapText="1"/>
    </xf>
    <xf numFmtId="173" fontId="19" fillId="7" borderId="28" xfId="0" applyFont="1" applyFill="1" applyBorder="1" applyNumberFormat="1">
      <alignment horizontal="center" vertical="center" wrapText="1"/>
      <protection locked="0"/>
    </xf>
    <xf numFmtId="173" fontId="19" fillId="0" borderId="16" xfId="0" applyFont="1" applyBorder="1" applyNumberFormat="1">
      <alignment horizontal="center" vertical="center" wrapText="1"/>
    </xf>
    <xf numFmtId="0" fontId="0" fillId="0" borderId="0" xfId="0" applyFont="1"/>
    <xf numFmtId="171" fontId="19" fillId="7" borderId="30" xfId="0" applyFont="1" applyFill="1" applyBorder="1" applyNumberFormat="1">
      <alignment horizontal="center" vertical="center" wrapText="1"/>
    </xf>
    <xf numFmtId="171" fontId="19" fillId="33" borderId="30" xfId="0" applyFont="1" applyFill="1" applyBorder="1" applyNumberFormat="1">
      <alignment horizontal="center" vertical="center" wrapText="1"/>
    </xf>
    <xf numFmtId="173" fontId="19" fillId="7" borderId="30" xfId="0" applyFont="1" applyFill="1" applyBorder="1" applyNumberFormat="1">
      <alignment horizontal="center" vertical="center" wrapText="1"/>
    </xf>
    <xf numFmtId="173" fontId="19" fillId="0" borderId="31" xfId="0" applyFont="1" applyBorder="1" applyNumberFormat="1">
      <alignment horizontal="center" vertical="center" wrapText="1"/>
    </xf>
    <xf numFmtId="0" fontId="0" fillId="0" borderId="0" xfId="0" applyFont="1"/>
    <xf numFmtId="171" fontId="19" fillId="7" borderId="29" xfId="0" applyFont="1" applyFill="1" applyBorder="1" applyNumberFormat="1">
      <alignment horizontal="center" vertical="center" wrapText="1"/>
    </xf>
    <xf numFmtId="171" fontId="19" fillId="33" borderId="29" xfId="0" applyFont="1" applyFill="1" applyBorder="1" applyNumberFormat="1">
      <alignment horizontal="center" vertical="center" wrapText="1"/>
    </xf>
    <xf numFmtId="173" fontId="19" fillId="7" borderId="29" xfId="0" applyFont="1" applyFill="1" applyBorder="1" applyNumberFormat="1">
      <alignment horizontal="center" vertical="center" wrapText="1"/>
    </xf>
    <xf numFmtId="173" fontId="19" fillId="0" borderId="17" xfId="0" applyFont="1" applyBorder="1" applyNumberFormat="1">
      <alignment horizontal="center" vertical="center" wrapText="1"/>
    </xf>
    <xf numFmtId="2" fontId="20" fillId="0" borderId="14" xfId="0" applyFont="1" applyBorder="1" applyNumberFormat="1">
      <alignment horizontal="center" vertical="center" wrapText="1"/>
    </xf>
    <xf numFmtId="1" fontId="20" fillId="0" borderId="13" xfId="0" applyFont="1" applyBorder="1" applyNumberFormat="1">
      <alignment horizontal="center" vertical="center" wrapText="1"/>
    </xf>
    <xf numFmtId="2" fontId="20" fillId="0" borderId="21" xfId="0" applyFont="1" applyBorder="1" applyNumberFormat="1">
      <alignment horizontal="center" vertical="center" wrapText="1"/>
    </xf>
    <xf numFmtId="2" fontId="20" fillId="0" borderId="22" xfId="0" applyFont="1" applyBorder="1" applyNumberFormat="1">
      <alignment horizontal="center" vertical="center" wrapText="1"/>
    </xf>
    <xf numFmtId="2" fontId="20" fillId="0" borderId="18" xfId="0" applyFont="1" applyBorder="1" applyNumberFormat="1">
      <alignment horizontal="center" vertical="center" wrapText="1"/>
    </xf>
    <xf numFmtId="2" fontId="20" fillId="7" borderId="19" xfId="0" applyFont="1" applyFill="1" applyBorder="1" applyNumberFormat="1">
      <alignment horizontal="center" vertical="center" wrapText="1"/>
      <protection locked="0"/>
    </xf>
    <xf numFmtId="2" fontId="20" fillId="7" borderId="20" xfId="0" applyFont="1" applyFill="1" applyBorder="1" applyNumberFormat="1">
      <alignment horizontal="center" vertical="center" wrapText="1"/>
    </xf>
    <xf numFmtId="2" fontId="20" fillId="0" borderId="19" xfId="0" applyFont="1" applyBorder="1" applyNumberFormat="1">
      <alignment horizontal="center" vertical="center" wrapText="1"/>
    </xf>
    <xf numFmtId="2" fontId="20" fillId="0" borderId="20" xfId="0" applyFont="1" applyBorder="1" applyNumberFormat="1">
      <alignment horizontal="center" vertical="center" wrapText="1"/>
    </xf>
    <xf numFmtId="2" fontId="20" fillId="0" borderId="23" xfId="0" applyFont="1" applyBorder="1" applyNumberFormat="1">
      <alignment horizontal="center" vertical="center" wrapText="1"/>
    </xf>
    <xf numFmtId="2" fontId="20" fillId="0" borderId="24" xfId="0" applyFont="1" applyBorder="1" applyNumberFormat="1">
      <alignment horizontal="center" vertical="center" wrapText="1"/>
    </xf>
    <xf numFmtId="0" fontId="0" fillId="0" borderId="0" xfId="0" applyFont="1">
      <alignment horizontal="right" wrapText="1"/>
    </xf>
    <xf numFmtId="0" fontId="0" fillId="7" borderId="0" xfId="0" applyFont="1" applyFill="1">
      <alignment horizontal="left" wrapText="1"/>
      <protection locked="0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18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17" fillId="0" borderId="0" xfId="0" applyFont="1">
      <alignment wrapText="1"/>
    </xf>
    <xf numFmtId="0" fontId="17" fillId="0" borderId="0" xfId="0" applyFont="1">
      <alignment wrapText="1"/>
    </xf>
    <xf numFmtId="0" fontId="0" fillId="35" borderId="0" xfId="0" applyFont="1" applyFill="1">
      <alignment wrapText="1"/>
    </xf>
    <xf numFmtId="0" fontId="0" fillId="35" borderId="0" xfId="0" applyFont="1" applyFill="1">
      <alignment wrapText="1"/>
    </xf>
    <xf numFmtId="0" fontId="17" fillId="0" borderId="0" xfId="0" applyFont="1">
      <alignment wrapText="1"/>
    </xf>
    <xf numFmtId="0" fontId="17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6184768-F00D-2036-B198-912DDE05DC58}" mc:Ignorable="x14ac xr xr2 xr3">
  <dimension ref="A1:L46"/>
  <sheetViews>
    <sheetView showGridLines="0" workbookViewId="0" tabSelected="1">
      <pane xSplit="11" ySplit="4" topLeftCell="L5" activePane="bottomRight" state="frozen"/>
      <selection pane="bottomLeft" activeCell="A5" sqref="A5"/>
      <selection pane="topRight" activeCell="L1" sqref="L1"/>
      <selection pane="bottomRight" activeCell="A1" sqref="A1"/>
    </sheetView>
  </sheetViews>
  <sheetFormatPr customHeight="1" defaultRowHeight="13.7025"/>
  <cols>
    <col min="1" max="1" style="221" width="2.57421875" customWidth="1"/>
    <col min="2" max="2" style="222" width="19.8515625" customWidth="1"/>
    <col min="3" max="3" style="223" width="15.57421875" customWidth="1"/>
    <col min="4" max="4" style="224" width="15.57421875" customWidth="1"/>
    <col min="5" max="5" style="225" width="15.57421875" customWidth="1"/>
    <col min="6" max="6" style="226" width="15.57421875" customWidth="1"/>
    <col min="7" max="7" style="227" width="15.57421875" customWidth="1"/>
    <col min="8" max="8" style="228" width="15.57421875" customWidth="1"/>
    <col min="9" max="9" style="229" width="15.57421875" customWidth="1"/>
    <col min="10" max="10" style="230" width="15.57421875" customWidth="1"/>
    <col min="11" max="11" style="231" width="20.421875" customWidth="1"/>
  </cols>
  <sheetData>
    <row customHeight="1" ht="2.25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4"/>
    </row>
    <row customHeight="1" ht="27">
      <c r="A2" s="133"/>
      <c r="B2" s="135" t="s">
        <v>0</v>
      </c>
      <c r="C2" s="136"/>
      <c r="D2" s="136"/>
      <c r="E2" s="136"/>
      <c r="F2" s="136"/>
      <c r="G2" s="136"/>
      <c r="H2" s="136"/>
      <c r="I2" s="136"/>
      <c r="J2" s="136"/>
      <c r="K2" s="137"/>
      <c r="L2" s="134"/>
    </row>
    <row customHeight="1" ht="20.25">
      <c r="A3" s="133"/>
      <c r="B3" s="138" t="s">
        <v>1</v>
      </c>
      <c r="C3" s="139"/>
      <c r="D3" s="140"/>
      <c r="E3" s="141" t="s">
        <v>2</v>
      </c>
      <c r="F3" s="142" t="s">
        <v>3</v>
      </c>
      <c r="G3" s="143"/>
      <c r="H3" s="144" t="str">
        <f>Sheet2!A1&amp;Sheet2!B1&amp;Sheet2!C1</f>
        <v>报表生成时间：2025-12 8:00:00</v>
      </c>
      <c r="I3" s="144"/>
      <c r="J3" s="144"/>
      <c r="K3" s="145"/>
      <c r="L3" s="134"/>
    </row>
    <row customHeight="1" ht="25.5">
      <c r="A4" s="133"/>
      <c r="B4" s="146" t="s">
        <v>4</v>
      </c>
      <c r="C4" s="147" t="s">
        <v>5</v>
      </c>
      <c r="D4" s="148" t="s">
        <v>6</v>
      </c>
      <c r="E4" s="148"/>
      <c r="F4" s="148" t="s">
        <v>7</v>
      </c>
      <c r="G4" s="148"/>
      <c r="H4" s="147" t="s">
        <v>8</v>
      </c>
      <c r="I4" s="59" t="s">
        <v>9</v>
      </c>
      <c r="J4" s="147" t="s">
        <v>10</v>
      </c>
      <c r="K4" s="150" t="s">
        <v>11</v>
      </c>
      <c r="L4" s="134"/>
    </row>
    <row customHeight="1" ht="20.25">
      <c r="A5" s="133"/>
      <c r="B5" s="146" t="s">
        <v>12</v>
      </c>
      <c r="C5" s="147"/>
      <c r="D5" s="147" t="s">
        <v>13</v>
      </c>
      <c r="E5" s="147" t="s">
        <v>14</v>
      </c>
      <c r="F5" s="147" t="s">
        <v>13</v>
      </c>
      <c r="G5" s="147" t="s">
        <v>14</v>
      </c>
      <c r="H5" s="147"/>
      <c r="I5" s="147"/>
      <c r="J5" s="147"/>
      <c r="K5" s="151"/>
      <c r="L5" s="134"/>
    </row>
    <row customHeight="1" ht="20.25">
      <c r="A6" s="133"/>
      <c r="B6" s="146" t="s">
        <v>15</v>
      </c>
      <c r="C6" s="152">
        <v>182117</v>
      </c>
      <c r="D6" s="153">
        <v>620160</v>
      </c>
      <c r="E6" s="154">
        <f>_xlfn.IFERROR(取值!A34+D6,"")</f>
        <v>5387158.5</v>
      </c>
      <c r="F6" s="152">
        <v>556317</v>
      </c>
      <c r="G6" s="154">
        <f>_xlfn.IFERROR(取值!A43+F6,"")</f>
        <v>5261864</v>
      </c>
      <c r="H6" s="155">
        <v>246434</v>
      </c>
      <c r="I6" s="156"/>
      <c r="J6" s="157">
        <v>2264464.2628</v>
      </c>
      <c r="K6" s="158">
        <f>_xlfn.IFERROR(TRUNC(取值!A52+J6,0),"")</f>
        <v>21929843</v>
      </c>
      <c r="L6" s="134"/>
    </row>
    <row customHeight="1" ht="20.25">
      <c r="A7" s="133"/>
      <c r="B7" s="146" t="s">
        <v>16</v>
      </c>
      <c r="C7" s="159"/>
      <c r="D7" s="160">
        <v>324472</v>
      </c>
      <c r="E7" s="154">
        <f>_xlfn.IFERROR(取值!A207+D7,"")</f>
        <v>3017765</v>
      </c>
      <c r="F7" s="155"/>
      <c r="G7" s="154">
        <f>_xlfn.IFERROR(取值!A216+F7,"")</f>
        <v>0</v>
      </c>
      <c r="H7" s="155"/>
      <c r="I7" s="156">
        <v>3292</v>
      </c>
      <c r="J7" s="161">
        <v>1068161.824</v>
      </c>
      <c r="K7" s="158">
        <f>_xlfn.IFERROR(TRUNC(取值!A221+J7,0),"")</f>
        <v>10918994</v>
      </c>
      <c r="L7" s="134"/>
    </row>
    <row s="162" customFormat="1" customHeight="1" ht="20.25">
      <c r="A8" s="133"/>
      <c r="B8" s="146" t="s">
        <v>17</v>
      </c>
      <c r="C8" s="159"/>
      <c r="D8" s="160">
        <v>85025</v>
      </c>
      <c r="E8" s="154">
        <f>_xlfn.IFERROR(取值!A208+D8,"")</f>
        <v>700263</v>
      </c>
      <c r="F8" s="155"/>
      <c r="G8" s="154">
        <f>_xlfn.IFERROR(取值!A217+F8,"")</f>
        <v>0</v>
      </c>
      <c r="H8" s="155"/>
      <c r="I8" s="156">
        <v>3596</v>
      </c>
      <c r="J8" s="161">
        <v>305749.9</v>
      </c>
      <c r="K8" s="158">
        <f>_xlfn.IFERROR(TRUNC(取值!A222+J8,0),"")</f>
        <v>2835898</v>
      </c>
      <c r="L8" s="133"/>
    </row>
    <row s="163" customFormat="1" customHeight="1" ht="20.25">
      <c r="A9" s="133"/>
      <c r="B9" s="146" t="s">
        <v>18</v>
      </c>
      <c r="C9" s="159"/>
      <c r="D9" s="160">
        <v>210662</v>
      </c>
      <c r="E9" s="154">
        <f>_xlfn.IFERROR(取值!A209+D9,"")</f>
        <v>1669130</v>
      </c>
      <c r="F9" s="155"/>
      <c r="G9" s="154">
        <f>_xlfn.IFERROR(取值!A218+F9,"")</f>
        <v>0</v>
      </c>
      <c r="H9" s="155"/>
      <c r="I9" s="156">
        <v>4227.4</v>
      </c>
      <c r="J9" s="161">
        <v>890552.5388</v>
      </c>
      <c r="K9" s="158">
        <f>_xlfn.IFERROR(TRUNC(取值!A223+J9,0),"")</f>
        <v>8174954</v>
      </c>
      <c r="L9" s="133"/>
    </row>
    <row customHeight="1" ht="20.25">
      <c r="A10" s="133"/>
      <c r="B10" s="146" t="s">
        <v>19</v>
      </c>
      <c r="C10" s="152">
        <v>4020</v>
      </c>
      <c r="D10" s="152">
        <v>6594</v>
      </c>
      <c r="E10" s="154">
        <f>_xlfn.IFERROR(取值!A37+D10,"")</f>
        <v>91515</v>
      </c>
      <c r="F10" s="152">
        <v>7552</v>
      </c>
      <c r="G10" s="154">
        <f>_xlfn.IFERROR(取值!A46+F10,"")</f>
        <v>90377</v>
      </c>
      <c r="H10" s="152">
        <v>3062</v>
      </c>
      <c r="I10" s="164"/>
      <c r="J10" s="165">
        <v>0</v>
      </c>
      <c r="K10" s="158">
        <f>_xlfn.IFERROR(TRUNC(取值!A55+J10,0),"")</f>
        <v>0</v>
      </c>
      <c r="L10" s="134"/>
    </row>
    <row s="166" customFormat="1" customHeight="1" ht="20.25">
      <c r="A11" s="133"/>
      <c r="B11" s="146" t="s">
        <v>20</v>
      </c>
      <c r="C11" s="152"/>
      <c r="D11" s="152"/>
      <c r="E11" s="154">
        <f>_xlfn.IFERROR(取值!A226+D11,"")</f>
        <v>0</v>
      </c>
      <c r="F11" s="152"/>
      <c r="G11" s="154">
        <f>_xlfn.IFERROR(取值!A227+F11,"")</f>
        <v>0</v>
      </c>
      <c r="H11" s="152"/>
      <c r="I11" s="164"/>
      <c r="J11" s="165">
        <v>0</v>
      </c>
      <c r="K11" s="158"/>
      <c r="L11" s="133"/>
    </row>
    <row customHeight="1" ht="20.25">
      <c r="A12" s="133"/>
      <c r="B12" s="146" t="s">
        <v>21</v>
      </c>
      <c r="C12" s="152">
        <v>0</v>
      </c>
      <c r="D12" s="152">
        <v>0</v>
      </c>
      <c r="E12" s="154">
        <f>_xlfn.IFERROR(取值!A40+D12,"")</f>
        <v>0</v>
      </c>
      <c r="F12" s="152">
        <v>0</v>
      </c>
      <c r="G12" s="154">
        <f>_xlfn.IFERROR(取值!A49+F12,"")</f>
        <v>0</v>
      </c>
      <c r="H12" s="152">
        <v>0</v>
      </c>
      <c r="I12" s="164"/>
      <c r="J12" s="165">
        <v>0</v>
      </c>
      <c r="K12" s="158">
        <f>_xlfn.IFERROR(TRUNC(取值!A58+J12,0),"")</f>
        <v>0</v>
      </c>
      <c r="L12" s="134"/>
    </row>
    <row s="78" customFormat="1" customHeight="1" ht="20.25">
      <c r="A13" s="167"/>
      <c r="B13" s="146" t="s">
        <v>22</v>
      </c>
      <c r="C13" s="168"/>
      <c r="D13" s="168"/>
      <c r="E13" s="168"/>
      <c r="F13" s="168"/>
      <c r="G13" s="168"/>
      <c r="H13" s="168"/>
      <c r="I13" s="169"/>
      <c r="J13" s="170"/>
      <c r="K13" s="171"/>
      <c r="L13" s="167"/>
    </row>
    <row s="78" customFormat="1" customHeight="1" ht="20.25">
      <c r="A14" s="167"/>
      <c r="B14" s="146" t="s">
        <v>23</v>
      </c>
      <c r="C14" s="155"/>
      <c r="D14" s="155"/>
      <c r="E14" s="168">
        <f>_xlfn.IFERROR(取值!A230+D14,"")</f>
        <v>0</v>
      </c>
      <c r="F14" s="155"/>
      <c r="G14" s="168">
        <f>_xlfn.IFERROR(取值!A231+F14,"")</f>
        <v>0</v>
      </c>
      <c r="H14" s="155"/>
      <c r="I14" s="164"/>
      <c r="J14" s="172">
        <v>0</v>
      </c>
      <c r="K14" s="171">
        <f>_xlfn.IFERROR(TRUNC(取值!A232+J14,0),"")</f>
        <v>0</v>
      </c>
      <c r="L14" s="167"/>
    </row>
    <row customHeight="1" ht="20.25">
      <c r="A15" s="133"/>
      <c r="B15" s="146" t="s">
        <v>24</v>
      </c>
      <c r="C15" s="173"/>
      <c r="D15" s="152">
        <v>156.9</v>
      </c>
      <c r="E15" s="154">
        <f>_xlfn.IFERROR(取值!A41+D15,"")</f>
        <v>2301.3</v>
      </c>
      <c r="F15" s="152">
        <v>156.9</v>
      </c>
      <c r="G15" s="154">
        <f>_xlfn.IFERROR(取值!A50+F15,"")</f>
        <v>2301.4</v>
      </c>
      <c r="H15" s="152"/>
      <c r="I15" s="164">
        <v>1.15</v>
      </c>
      <c r="J15" s="165">
        <v>1804.35</v>
      </c>
      <c r="K15" s="158">
        <f>_xlfn.IFERROR(TRUNC(取值!A59+J15,0),"")</f>
        <v>22000</v>
      </c>
      <c r="L15" s="134"/>
    </row>
    <row customHeight="1" ht="20.25">
      <c r="A16" s="133"/>
      <c r="B16" s="146" t="s">
        <v>25</v>
      </c>
      <c r="C16" s="148" t="s">
        <v>5</v>
      </c>
      <c r="D16" s="148"/>
      <c r="E16" s="148"/>
      <c r="F16" s="174" t="s">
        <v>26</v>
      </c>
      <c r="G16" s="174"/>
      <c r="H16" s="174"/>
      <c r="I16" s="174"/>
      <c r="J16" s="174"/>
      <c r="K16" s="175"/>
      <c r="L16" s="134"/>
    </row>
    <row customHeight="1" ht="20.25">
      <c r="A17" s="133"/>
      <c r="B17" s="146" t="s">
        <v>27</v>
      </c>
      <c r="C17" s="176">
        <v>11663</v>
      </c>
      <c r="D17" s="177"/>
      <c r="E17" s="177"/>
      <c r="F17" s="176">
        <v>33494</v>
      </c>
      <c r="G17" s="177"/>
      <c r="H17" s="177"/>
      <c r="I17" s="177"/>
      <c r="J17" s="177"/>
      <c r="K17" s="175"/>
      <c r="L17" s="134"/>
    </row>
    <row customHeight="1" ht="20.25">
      <c r="A18" s="133"/>
      <c r="B18" s="146" t="s">
        <v>28</v>
      </c>
      <c r="C18" s="176">
        <v>20912</v>
      </c>
      <c r="D18" s="177"/>
      <c r="E18" s="177"/>
      <c r="F18" s="176">
        <v>17723</v>
      </c>
      <c r="G18" s="177"/>
      <c r="H18" s="177"/>
      <c r="I18" s="177"/>
      <c r="J18" s="177"/>
      <c r="K18" s="175"/>
      <c r="L18" s="134"/>
    </row>
    <row customHeight="1" ht="20.25">
      <c r="A19" s="133"/>
      <c r="B19" s="146" t="s">
        <v>29</v>
      </c>
      <c r="C19" s="176">
        <v>4074</v>
      </c>
      <c r="D19" s="177"/>
      <c r="E19" s="177"/>
      <c r="F19" s="176">
        <v>1524</v>
      </c>
      <c r="G19" s="177"/>
      <c r="H19" s="177"/>
      <c r="I19" s="177"/>
      <c r="J19" s="177"/>
      <c r="K19" s="175"/>
      <c r="L19" s="134"/>
    </row>
    <row customHeight="1" ht="20.25">
      <c r="A20" s="133"/>
      <c r="B20" s="146" t="s">
        <v>30</v>
      </c>
      <c r="C20" s="176">
        <v>17226</v>
      </c>
      <c r="D20" s="177"/>
      <c r="E20" s="177"/>
      <c r="F20" s="178">
        <v>31914</v>
      </c>
      <c r="G20" s="179"/>
      <c r="H20" s="179"/>
      <c r="I20" s="179"/>
      <c r="J20" s="180"/>
      <c r="K20" s="175"/>
      <c r="L20" s="134"/>
    </row>
    <row customHeight="1" ht="20.25">
      <c r="A21" s="133"/>
      <c r="B21" s="146" t="s">
        <v>31</v>
      </c>
      <c r="C21" s="176">
        <v>5357</v>
      </c>
      <c r="D21" s="177"/>
      <c r="E21" s="177"/>
      <c r="F21" s="176">
        <v>4359</v>
      </c>
      <c r="G21" s="177"/>
      <c r="H21" s="177"/>
      <c r="I21" s="177"/>
      <c r="J21" s="177"/>
      <c r="K21" s="175"/>
      <c r="L21" s="134"/>
    </row>
    <row customHeight="1" ht="20.25">
      <c r="A22" s="133"/>
      <c r="B22" s="146" t="s">
        <v>32</v>
      </c>
      <c r="C22" s="176">
        <v>767</v>
      </c>
      <c r="D22" s="177"/>
      <c r="E22" s="177"/>
      <c r="F22" s="176">
        <v>1012</v>
      </c>
      <c r="G22" s="177"/>
      <c r="H22" s="177"/>
      <c r="I22" s="177"/>
      <c r="J22" s="177"/>
      <c r="K22" s="175"/>
      <c r="L22" s="134"/>
    </row>
    <row customHeight="1" ht="20.25">
      <c r="A23" s="133"/>
      <c r="B23" s="146" t="s">
        <v>33</v>
      </c>
      <c r="C23" s="148" t="s">
        <v>5</v>
      </c>
      <c r="D23" s="148"/>
      <c r="E23" s="148"/>
      <c r="F23" s="174" t="s">
        <v>8</v>
      </c>
      <c r="G23" s="174"/>
      <c r="H23" s="174"/>
      <c r="I23" s="174"/>
      <c r="J23" s="174"/>
      <c r="K23" s="175"/>
      <c r="L23" s="134"/>
    </row>
    <row customHeight="1" ht="20.25">
      <c r="A24" s="133"/>
      <c r="B24" s="146" t="s">
        <v>27</v>
      </c>
      <c r="C24" s="176">
        <v>58753.306</v>
      </c>
      <c r="D24" s="177"/>
      <c r="E24" s="177"/>
      <c r="F24" s="176">
        <v>77340</v>
      </c>
      <c r="G24" s="177"/>
      <c r="H24" s="177"/>
      <c r="I24" s="177"/>
      <c r="J24" s="177"/>
      <c r="K24" s="175"/>
      <c r="L24" s="134"/>
    </row>
    <row customHeight="1" ht="20.25">
      <c r="A25" s="133"/>
      <c r="B25" s="146" t="s">
        <v>28</v>
      </c>
      <c r="C25" s="176">
        <v>84205.066</v>
      </c>
      <c r="D25" s="177"/>
      <c r="E25" s="177"/>
      <c r="F25" s="176">
        <v>90893</v>
      </c>
      <c r="G25" s="177"/>
      <c r="H25" s="177"/>
      <c r="I25" s="177"/>
      <c r="J25" s="177"/>
      <c r="K25" s="175"/>
      <c r="L25" s="134"/>
    </row>
    <row customHeight="1" ht="20.25">
      <c r="A26" s="133"/>
      <c r="B26" s="146" t="s">
        <v>34</v>
      </c>
      <c r="C26" s="176">
        <v>1121</v>
      </c>
      <c r="D26" s="177"/>
      <c r="E26" s="177"/>
      <c r="F26" s="176">
        <v>0</v>
      </c>
      <c r="G26" s="177"/>
      <c r="H26" s="177"/>
      <c r="I26" s="177"/>
      <c r="J26" s="177"/>
      <c r="K26" s="175"/>
      <c r="L26" s="134"/>
    </row>
    <row customHeight="1" ht="20.25">
      <c r="A27" s="133"/>
      <c r="B27" s="146" t="s">
        <v>19</v>
      </c>
      <c r="C27" s="176"/>
      <c r="D27" s="177"/>
      <c r="E27" s="177"/>
      <c r="F27" s="176"/>
      <c r="G27" s="177"/>
      <c r="H27" s="177"/>
      <c r="I27" s="177"/>
      <c r="J27" s="177"/>
      <c r="K27" s="175"/>
      <c r="L27" s="134"/>
    </row>
    <row customHeight="1" ht="20.25">
      <c r="A28" s="133"/>
      <c r="B28" s="146" t="s">
        <v>35</v>
      </c>
      <c r="C28" s="176"/>
      <c r="D28" s="177"/>
      <c r="E28" s="177"/>
      <c r="F28" s="176"/>
      <c r="G28" s="177"/>
      <c r="H28" s="177"/>
      <c r="I28" s="177"/>
      <c r="J28" s="177"/>
      <c r="K28" s="175"/>
      <c r="L28" s="134"/>
    </row>
    <row customHeight="1" ht="20.25">
      <c r="A29" s="133"/>
      <c r="B29" s="146" t="s">
        <v>32</v>
      </c>
      <c r="C29" s="176"/>
      <c r="D29" s="177"/>
      <c r="E29" s="177"/>
      <c r="F29" s="176"/>
      <c r="G29" s="177"/>
      <c r="H29" s="177"/>
      <c r="I29" s="177"/>
      <c r="J29" s="177"/>
      <c r="K29" s="175"/>
      <c r="L29" s="134"/>
    </row>
    <row customHeight="1" ht="20.25">
      <c r="A30" s="133"/>
      <c r="B30" s="146" t="s">
        <v>36</v>
      </c>
      <c r="C30" s="176"/>
      <c r="D30" s="177"/>
      <c r="E30" s="177"/>
      <c r="F30" s="176"/>
      <c r="G30" s="177"/>
      <c r="H30" s="177"/>
      <c r="I30" s="177"/>
      <c r="J30" s="177"/>
      <c r="K30" s="175"/>
      <c r="L30" s="134"/>
    </row>
    <row customHeight="1" ht="20.25">
      <c r="A31" s="133"/>
      <c r="B31" s="181" t="s">
        <v>37</v>
      </c>
      <c r="C31" s="93" t="s">
        <v>38</v>
      </c>
      <c r="D31" s="93" t="s">
        <v>39</v>
      </c>
      <c r="E31" s="93" t="s">
        <v>40</v>
      </c>
      <c r="F31" s="93" t="s">
        <v>41</v>
      </c>
      <c r="G31" s="93" t="s">
        <v>42</v>
      </c>
      <c r="H31" s="93" t="s">
        <v>43</v>
      </c>
      <c r="I31" s="93" t="s">
        <v>44</v>
      </c>
      <c r="J31" s="119" t="s">
        <v>45</v>
      </c>
      <c r="K31" s="94" t="s">
        <v>46</v>
      </c>
      <c r="L31" s="134"/>
    </row>
    <row customHeight="1" ht="20.25">
      <c r="A32" s="133"/>
      <c r="B32" s="181"/>
      <c r="C32" s="62" t="s">
        <v>13</v>
      </c>
      <c r="D32" s="62" t="s">
        <v>14</v>
      </c>
      <c r="E32" s="147" t="s">
        <v>13</v>
      </c>
      <c r="F32" s="147" t="s">
        <v>14</v>
      </c>
      <c r="G32" s="147" t="s">
        <v>13</v>
      </c>
      <c r="H32" s="147" t="s">
        <v>14</v>
      </c>
      <c r="I32" s="93" t="s">
        <v>44</v>
      </c>
      <c r="J32" s="120"/>
      <c r="K32" s="95"/>
      <c r="L32" s="134"/>
    </row>
    <row customHeight="1" ht="20.25" hidden="1">
      <c r="A33" s="133"/>
      <c r="B33" s="146" t="s">
        <v>47</v>
      </c>
      <c r="C33" s="188">
        <v>0</v>
      </c>
      <c r="D33" s="189">
        <f>_xlfn.IFERROR(取值!A234+C33,"")</f>
        <v>0</v>
      </c>
      <c r="E33" s="190"/>
      <c r="F33" s="154">
        <f>_xlfn.IFERROR(取值!A236+E33,"")</f>
        <v>0</v>
      </c>
      <c r="G33" s="190"/>
      <c r="H33" s="154">
        <f>_xlfn.IFERROR(取值!A238+G33,"")</f>
        <v>0</v>
      </c>
      <c r="I33" s="164"/>
      <c r="J33" s="172"/>
      <c r="K33" s="191">
        <f>_xlfn.IFERROR(取值!A240+J33,"")</f>
        <v>0</v>
      </c>
      <c r="L33" s="134"/>
    </row>
    <row s="192" customFormat="1" customHeight="1" ht="20.25">
      <c r="A34" s="133"/>
      <c r="B34" s="193" t="s">
        <v>48</v>
      </c>
      <c r="C34" s="188">
        <v>378</v>
      </c>
      <c r="D34" s="189">
        <f>_xlfn.IFERROR(取值!A245+C34,"")</f>
        <v>5832.2496</v>
      </c>
      <c r="E34" s="194">
        <v>2273</v>
      </c>
      <c r="F34" s="195">
        <f>_xlfn.IFERROR(取值!A250+E34,"")</f>
        <v>28510.8297</v>
      </c>
      <c r="G34" s="194">
        <v>98</v>
      </c>
      <c r="H34" s="195">
        <f>_xlfn.IFERROR(取值!A254+G34,"")</f>
        <v>1395.3351</v>
      </c>
      <c r="I34" s="196">
        <v>0.41</v>
      </c>
      <c r="J34" s="196">
        <v>9721.1</v>
      </c>
      <c r="K34" s="197">
        <f>_xlfn.IFERROR(取值!A259+J34,"")</f>
        <v>122615.27568</v>
      </c>
      <c r="L34" s="133"/>
    </row>
    <row s="198" customFormat="1" customHeight="1" ht="20.25">
      <c r="A35" s="133"/>
      <c r="B35" s="193" t="s">
        <v>49</v>
      </c>
      <c r="C35" s="188">
        <v>1994</v>
      </c>
      <c r="D35" s="189">
        <f>_xlfn.IFERROR(取值!A246+C35,"")</f>
        <v>24073.9152</v>
      </c>
      <c r="E35" s="199"/>
      <c r="F35" s="200"/>
      <c r="G35" s="199"/>
      <c r="H35" s="200"/>
      <c r="I35" s="201"/>
      <c r="J35" s="201"/>
      <c r="K35" s="202"/>
      <c r="L35" s="133"/>
    </row>
    <row s="203" customFormat="1" customHeight="1" ht="20.25">
      <c r="A36" s="133"/>
      <c r="B36" s="193" t="s">
        <v>50</v>
      </c>
      <c r="C36" s="188">
        <v>16</v>
      </c>
      <c r="D36" s="189">
        <f>_xlfn.IFERROR(取值!A247+C36,"")</f>
        <v>236.9776</v>
      </c>
      <c r="E36" s="204"/>
      <c r="F36" s="205"/>
      <c r="G36" s="204"/>
      <c r="H36" s="205"/>
      <c r="I36" s="206"/>
      <c r="J36" s="206"/>
      <c r="K36" s="207"/>
      <c r="L36" s="133"/>
    </row>
    <row customHeight="1" ht="20.25">
      <c r="A37" s="133"/>
      <c r="B37" s="96" t="s">
        <v>51</v>
      </c>
      <c r="C37" s="98" t="s">
        <v>52</v>
      </c>
      <c r="D37" s="98"/>
      <c r="E37" s="98" t="s">
        <v>53</v>
      </c>
      <c r="F37" s="98"/>
      <c r="G37" s="103"/>
      <c r="H37" s="103"/>
      <c r="I37" s="103"/>
      <c r="J37" s="103"/>
      <c r="K37" s="104"/>
      <c r="L37" s="134"/>
    </row>
    <row customHeight="1" ht="19.5">
      <c r="A38" s="133"/>
      <c r="B38" s="97"/>
      <c r="C38" s="213"/>
      <c r="D38" s="100"/>
      <c r="E38" s="101">
        <f>_xlfn.IFERROR(取值!A242+C38,"")</f>
        <v>0</v>
      </c>
      <c r="F38" s="102"/>
      <c r="G38" s="105"/>
      <c r="H38" s="105"/>
      <c r="I38" s="105"/>
      <c r="J38" s="105"/>
      <c r="K38" s="106"/>
      <c r="L38" s="134"/>
    </row>
    <row customHeight="1" ht="13.5">
      <c r="A39" s="133"/>
      <c r="B39" s="219" t="s">
        <v>54</v>
      </c>
      <c r="C39" s="220">
        <v>0</v>
      </c>
      <c r="D39" s="133"/>
      <c r="E39" s="133"/>
      <c r="F39" s="219" t="s">
        <v>55</v>
      </c>
      <c r="G39" s="220">
        <v>0</v>
      </c>
      <c r="H39" s="133"/>
      <c r="I39" s="133"/>
      <c r="J39" s="219" t="s">
        <v>56</v>
      </c>
      <c r="K39" s="220">
        <v>0</v>
      </c>
      <c r="L39" s="134"/>
    </row>
    <row customHeight="1" ht="13.7025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4"/>
    </row>
    <row customHeight="1" ht="13.7025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4"/>
    </row>
    <row customHeight="1" ht="13.7025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4"/>
    </row>
    <row customHeight="1" ht="13.7025">
      <c r="A43" s="133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4"/>
    </row>
    <row customHeight="1" ht="13.7025">
      <c r="A44" s="133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4"/>
    </row>
    <row customHeight="1" ht="13.7025">
      <c r="A45" s="133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4"/>
    </row>
    <row customHeight="1" ht="13.7025">
      <c r="A46" s="133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4"/>
    </row>
  </sheetData>
  <mergeCells count="55">
    <mergeCell ref="J34:J36"/>
    <mergeCell ref="K34:K36"/>
    <mergeCell ref="E34:E36"/>
    <mergeCell ref="F34:F36"/>
    <mergeCell ref="G34:G36"/>
    <mergeCell ref="H34:H36"/>
    <mergeCell ref="I34:I36"/>
    <mergeCell ref="B2:K2"/>
    <mergeCell ref="H3:K3"/>
    <mergeCell ref="C30:E30"/>
    <mergeCell ref="F30:J30"/>
    <mergeCell ref="B31:B32"/>
    <mergeCell ref="E31:F31"/>
    <mergeCell ref="G31:H31"/>
    <mergeCell ref="J31:J32"/>
    <mergeCell ref="C27:E27"/>
    <mergeCell ref="F27:J27"/>
    <mergeCell ref="C28:E28"/>
    <mergeCell ref="F28:J28"/>
    <mergeCell ref="C29:E29"/>
    <mergeCell ref="F29:J29"/>
    <mergeCell ref="C24:E24"/>
    <mergeCell ref="F24:J24"/>
    <mergeCell ref="C25:E25"/>
    <mergeCell ref="F25:J25"/>
    <mergeCell ref="C26:E26"/>
    <mergeCell ref="F26:J26"/>
    <mergeCell ref="C21:E21"/>
    <mergeCell ref="F21:J21"/>
    <mergeCell ref="C22:E22"/>
    <mergeCell ref="F22:J22"/>
    <mergeCell ref="C23:E23"/>
    <mergeCell ref="F23:J23"/>
    <mergeCell ref="C18:E18"/>
    <mergeCell ref="F18:J18"/>
    <mergeCell ref="C19:E19"/>
    <mergeCell ref="F19:J19"/>
    <mergeCell ref="C20:E20"/>
    <mergeCell ref="F20:J20"/>
    <mergeCell ref="B3:C3"/>
    <mergeCell ref="C31:D31"/>
    <mergeCell ref="I31:I32"/>
    <mergeCell ref="K31:K32"/>
    <mergeCell ref="B37:B38"/>
    <mergeCell ref="C37:D37"/>
    <mergeCell ref="E37:F37"/>
    <mergeCell ref="C38:D38"/>
    <mergeCell ref="E38:F38"/>
    <mergeCell ref="G37:K38"/>
    <mergeCell ref="D4:E4"/>
    <mergeCell ref="F4:G4"/>
    <mergeCell ref="C16:E16"/>
    <mergeCell ref="F16:J16"/>
    <mergeCell ref="C17:E17"/>
    <mergeCell ref="F17:J17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682F4558-62F8-F258-0518-757C6D98B137}" mc:Ignorable="x14ac xr xr2 xr3">
  <dimension ref="A1:C1"/>
  <sheetViews>
    <sheetView topLeftCell="A1" workbookViewId="0">
      <selection activeCell="A1" sqref="A1:C1"/>
    </sheetView>
  </sheetViews>
  <sheetFormatPr customHeight="1" defaultRowHeight="13.7025"/>
  <sheetData>
    <row customHeight="1" ht="14.25">
      <c r="A1" s="134" t="s">
        <v>57</v>
      </c>
      <c r="B1" s="134" t="s">
        <v>3</v>
      </c>
      <c r="C1" s="134" t="s">
        <v>58</v>
      </c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2AFECA8-8128-4BE2-A4B8-52D5B6554E76}" mc:Ignorable="x14ac xr xr2 xr3">
  <dimension ref="A1:I63"/>
  <sheetViews>
    <sheetView topLeftCell="A1" workbookViewId="0">
      <selection activeCell="I14" sqref="I14:I33"/>
    </sheetView>
  </sheetViews>
  <sheetFormatPr customHeight="1" defaultRowHeight="13.7025"/>
  <cols>
    <col min="3" max="3" style="235" width="23.8515625" customWidth="1"/>
    <col min="6" max="6" style="236" width="15.8515625" customWidth="1"/>
    <col min="7" max="7" style="237" width="69.28125" customWidth="1"/>
  </cols>
  <sheetData>
    <row customHeight="1" ht="14.25">
      <c r="A1" s="134" t="s">
        <v>59</v>
      </c>
      <c r="B1" s="232"/>
      <c r="C1" s="232" t="s">
        <v>60</v>
      </c>
      <c r="D1" s="232"/>
      <c r="E1" s="232" t="s">
        <v>61</v>
      </c>
      <c r="F1" s="232"/>
      <c r="G1" s="232" t="s">
        <v>62</v>
      </c>
      <c r="H1" s="232"/>
      <c r="I1" s="232" t="s">
        <v>63</v>
      </c>
    </row>
    <row customHeight="1" ht="14.25">
      <c r="A2" s="134" t="s">
        <v>64</v>
      </c>
      <c r="B2" s="232" t="s">
        <v>65</v>
      </c>
      <c r="C2" s="232" t="s">
        <v>66</v>
      </c>
      <c r="D2" s="232" t="s">
        <v>67</v>
      </c>
      <c r="E2" s="232" t="s">
        <v>68</v>
      </c>
      <c r="F2" s="232" t="s">
        <v>69</v>
      </c>
      <c r="G2" s="232" t="s">
        <v>70</v>
      </c>
      <c r="H2" s="232" t="s">
        <v>71</v>
      </c>
      <c r="I2" s="134" t="str">
        <f>A2&amp;B2&amp;C2&amp;D2&amp;E2&amp;F2&amp;G2&amp;H2</f>
        <v>#SQL("Yul_Balance_Start","VALUE",":where{NAME=榆炼_榆炼油品产、销、存日报表_期初库存_原油}")</v>
      </c>
    </row>
    <row customHeight="1" ht="14.25">
      <c r="A3" s="233" t="s">
        <v>64</v>
      </c>
      <c r="B3" s="232" t="s">
        <v>65</v>
      </c>
      <c r="C3" s="232" t="s">
        <v>66</v>
      </c>
      <c r="D3" s="232" t="s">
        <v>67</v>
      </c>
      <c r="E3" s="232" t="s">
        <v>68</v>
      </c>
      <c r="F3" s="232" t="s">
        <v>69</v>
      </c>
      <c r="G3" s="234" t="s">
        <v>72</v>
      </c>
      <c r="H3" s="232" t="s">
        <v>71</v>
      </c>
      <c r="I3" s="233" t="str">
        <f>A3&amp;B3&amp;C3&amp;D3&amp;E3&amp;F3&amp;G3&amp;H3</f>
        <v>#SQL("Yul_Balance_Start","VALUE",":where{NAME=榆炼_榆炼油品产、销、存日报表_期初库存_MTBE}")</v>
      </c>
    </row>
    <row customHeight="1" ht="14.25">
      <c r="A4" s="134" t="s">
        <v>64</v>
      </c>
      <c r="B4" s="232" t="s">
        <v>65</v>
      </c>
      <c r="C4" s="232" t="s">
        <v>66</v>
      </c>
      <c r="D4" s="232" t="s">
        <v>67</v>
      </c>
      <c r="E4" s="232" t="s">
        <v>68</v>
      </c>
      <c r="F4" s="232" t="s">
        <v>69</v>
      </c>
      <c r="G4" s="233" t="s">
        <v>73</v>
      </c>
      <c r="H4" s="232" t="s">
        <v>71</v>
      </c>
      <c r="I4" s="134" t="str">
        <f>A4&amp;B4&amp;C4&amp;D4&amp;E4&amp;F4&amp;G4&amp;H4</f>
        <v>#SQL("Yul_Balance_Start","VALUE",":where{NAME=榆炼_榆炼油品产、销、存日报表_期初库存_裂解石脑油}")</v>
      </c>
    </row>
    <row customHeight="1" ht="14.25">
      <c r="A5" s="134" t="s">
        <v>64</v>
      </c>
      <c r="B5" s="232" t="s">
        <v>65</v>
      </c>
      <c r="C5" s="232" t="s">
        <v>74</v>
      </c>
      <c r="D5" s="232" t="s">
        <v>67</v>
      </c>
      <c r="E5" s="232" t="s">
        <v>68</v>
      </c>
      <c r="F5" s="232" t="s">
        <v>69</v>
      </c>
      <c r="G5" s="233" t="s">
        <v>75</v>
      </c>
      <c r="H5" s="232" t="s">
        <v>71</v>
      </c>
      <c r="I5" s="134" t="str">
        <f>A5&amp;B5&amp;C5&amp;D5&amp;E5&amp;F5&amp;G5&amp;H5</f>
        <v>#SQL("Yul_Device_ByMonth","VALUE",":where{NAME=榆炼_榆炼油品产、销、存日报表_收购量_原油}")</v>
      </c>
    </row>
    <row customHeight="1" ht="14.25">
      <c r="A6" s="233" t="s">
        <v>64</v>
      </c>
      <c r="B6" s="232" t="s">
        <v>65</v>
      </c>
      <c r="C6" s="232" t="s">
        <v>74</v>
      </c>
      <c r="D6" s="232" t="s">
        <v>67</v>
      </c>
      <c r="E6" s="232" t="s">
        <v>68</v>
      </c>
      <c r="F6" s="232" t="s">
        <v>69</v>
      </c>
      <c r="G6" s="234" t="s">
        <v>76</v>
      </c>
      <c r="H6" s="232" t="s">
        <v>71</v>
      </c>
      <c r="I6" s="233" t="str">
        <f>A6&amp;B6&amp;C6&amp;D6&amp;E6&amp;F6&amp;G6&amp;H6</f>
        <v>#SQL("Yul_Device_ByMonth","VALUE",":where{NAME=榆炼_榆炼油品产、销、存日报表_收购量_MTBE}")</v>
      </c>
    </row>
    <row customHeight="1" ht="14.25">
      <c r="A7" s="233" t="s">
        <v>64</v>
      </c>
      <c r="B7" s="232" t="s">
        <v>65</v>
      </c>
      <c r="C7" s="232" t="s">
        <v>74</v>
      </c>
      <c r="D7" s="232" t="s">
        <v>67</v>
      </c>
      <c r="E7" s="232" t="s">
        <v>68</v>
      </c>
      <c r="F7" s="232" t="s">
        <v>69</v>
      </c>
      <c r="G7" s="234" t="s">
        <v>77</v>
      </c>
      <c r="H7" s="232" t="s">
        <v>71</v>
      </c>
      <c r="I7" s="233" t="str">
        <f>A7&amp;B7&amp;C7&amp;D7&amp;E7&amp;F7&amp;G7&amp;H7</f>
        <v>#SQL("Yul_Device_ByMonth","VALUE",":where{NAME=榆炼_榆炼油品产、销、存日报表_收购量_裂解石脑油}")</v>
      </c>
    </row>
    <row customHeight="1" ht="14.25">
      <c r="A8" s="134" t="s">
        <v>64</v>
      </c>
      <c r="B8" s="232" t="s">
        <v>65</v>
      </c>
      <c r="C8" s="232" t="s">
        <v>74</v>
      </c>
      <c r="D8" s="232" t="s">
        <v>67</v>
      </c>
      <c r="E8" s="232" t="s">
        <v>68</v>
      </c>
      <c r="F8" s="232" t="s">
        <v>69</v>
      </c>
      <c r="G8" s="233" t="s">
        <v>78</v>
      </c>
      <c r="H8" s="232" t="s">
        <v>71</v>
      </c>
      <c r="I8" s="134" t="str">
        <f>A8&amp;B8&amp;C8&amp;D8&amp;E8&amp;F8&amp;G8&amp;H8</f>
        <v>#SQL("Yul_Device_ByMonth","VALUE",":where{NAME=榆炼_榆炼油品产、销、存日报表_500万吨/年常压装置_原油加工}")</v>
      </c>
    </row>
    <row customHeight="1" ht="14.25">
      <c r="A9" s="134" t="s">
        <v>64</v>
      </c>
      <c r="B9" s="232" t="s">
        <v>65</v>
      </c>
      <c r="C9" s="232" t="s">
        <v>74</v>
      </c>
      <c r="D9" s="232" t="s">
        <v>67</v>
      </c>
      <c r="E9" s="232" t="s">
        <v>68</v>
      </c>
      <c r="F9" s="232" t="s">
        <v>69</v>
      </c>
      <c r="G9" s="233" t="s">
        <v>79</v>
      </c>
      <c r="H9" s="232" t="s">
        <v>71</v>
      </c>
      <c r="I9" s="134" t="str">
        <f>A9&amp;B9&amp;C9&amp;D9&amp;E9&amp;F9&amp;G9&amp;H9</f>
        <v>#SQL("Yul_Device_ByMonth","VALUE",":where{NAME=榆炼_榆炼油品产、销、存日报表_成品调和量_MTBE}")</v>
      </c>
    </row>
    <row customHeight="1" ht="14.25">
      <c r="A10" s="134" t="s">
        <v>64</v>
      </c>
      <c r="B10" s="232" t="s">
        <v>65</v>
      </c>
      <c r="C10" s="232" t="s">
        <v>74</v>
      </c>
      <c r="D10" s="232" t="s">
        <v>67</v>
      </c>
      <c r="E10" s="232" t="s">
        <v>68</v>
      </c>
      <c r="F10" s="232" t="s">
        <v>69</v>
      </c>
      <c r="G10" s="233" t="s">
        <v>80</v>
      </c>
      <c r="H10" s="232" t="s">
        <v>71</v>
      </c>
      <c r="I10" s="134" t="str">
        <f>A10&amp;B10&amp;C10&amp;D10&amp;E10&amp;F10&amp;G10&amp;H10</f>
        <v>#SQL("Yul_Device_ByMonth","VALUE",":where{NAME=榆炼_榆炼油品产、销、存日报表_20万吨/年DCC裂解石脑油装置_原料处理量}")</v>
      </c>
    </row>
    <row customHeight="1" ht="14.25">
      <c r="A11" s="134" t="s">
        <v>64</v>
      </c>
      <c r="B11" s="232" t="s">
        <v>65</v>
      </c>
      <c r="C11" s="232" t="s">
        <v>66</v>
      </c>
      <c r="D11" s="232" t="s">
        <v>67</v>
      </c>
      <c r="E11" s="232" t="s">
        <v>68</v>
      </c>
      <c r="F11" s="232" t="s">
        <v>69</v>
      </c>
      <c r="G11" s="233" t="s">
        <v>81</v>
      </c>
      <c r="H11" s="232" t="s">
        <v>71</v>
      </c>
      <c r="I11" s="134" t="str">
        <f>A11&amp;B11&amp;C11&amp;D11&amp;E11&amp;F11&amp;G11&amp;H11</f>
        <v>#SQL("Yul_Balance_Start","VALUE",":where{NAME=榆炼_榆炼油品产、销、存日报表_期末库存_原油}")</v>
      </c>
    </row>
    <row customHeight="1" ht="14.25">
      <c r="A12" s="134" t="s">
        <v>64</v>
      </c>
      <c r="B12" s="232" t="s">
        <v>65</v>
      </c>
      <c r="C12" s="232" t="s">
        <v>66</v>
      </c>
      <c r="D12" s="232" t="s">
        <v>67</v>
      </c>
      <c r="E12" s="232" t="s">
        <v>68</v>
      </c>
      <c r="F12" s="232" t="s">
        <v>69</v>
      </c>
      <c r="G12" s="233" t="s">
        <v>82</v>
      </c>
      <c r="H12" s="232" t="s">
        <v>71</v>
      </c>
      <c r="I12" s="134" t="str">
        <f>A12&amp;B12&amp;C12&amp;D12&amp;E12&amp;F12&amp;G12&amp;H12</f>
        <v>#SQL("Yul_Balance_Start","VALUE",":where{NAME=榆炼_榆炼油品产、销、存日报表_期末库存_MTBE}")</v>
      </c>
    </row>
    <row customHeight="1" ht="14.25">
      <c r="A13" s="134" t="s">
        <v>64</v>
      </c>
      <c r="B13" s="232" t="s">
        <v>65</v>
      </c>
      <c r="C13" s="232" t="s">
        <v>66</v>
      </c>
      <c r="D13" s="232" t="s">
        <v>67</v>
      </c>
      <c r="E13" s="232" t="s">
        <v>68</v>
      </c>
      <c r="F13" s="232" t="s">
        <v>69</v>
      </c>
      <c r="G13" s="233" t="s">
        <v>83</v>
      </c>
      <c r="H13" s="232" t="s">
        <v>71</v>
      </c>
      <c r="I13" s="134" t="str">
        <f>A13&amp;B13&amp;C13&amp;D13&amp;E13&amp;F13&amp;G13&amp;H13</f>
        <v>#SQL("Yul_Balance_Start","VALUE",":where{NAME=榆炼_榆炼油品产、销、存日报表_期末库存_裂解石脑油}")</v>
      </c>
    </row>
    <row customHeight="1" ht="14.25">
      <c r="A14" s="134" t="s">
        <v>64</v>
      </c>
      <c r="B14" s="232" t="s">
        <v>65</v>
      </c>
      <c r="C14" s="232" t="s">
        <v>66</v>
      </c>
      <c r="D14" s="232" t="s">
        <v>67</v>
      </c>
      <c r="E14" s="232" t="s">
        <v>68</v>
      </c>
      <c r="F14" s="232" t="s">
        <v>69</v>
      </c>
      <c r="G14" s="233" t="s">
        <v>84</v>
      </c>
      <c r="H14" s="232" t="s">
        <v>71</v>
      </c>
      <c r="I14" s="134" t="str">
        <f>A14&amp;B14&amp;C14&amp;D14&amp;E14&amp;F14&amp;G14&amp;H14</f>
        <v>#SQL("Yul_Balance_Start","VALUE",":where{NAME=榆炼_榆炼油品产、销、存日报表_期初库存_混合柴油}")</v>
      </c>
    </row>
    <row customHeight="1" ht="14.25">
      <c r="A15" s="134" t="s">
        <v>64</v>
      </c>
      <c r="B15" s="232" t="s">
        <v>65</v>
      </c>
      <c r="C15" s="232" t="s">
        <v>66</v>
      </c>
      <c r="D15" s="232" t="s">
        <v>67</v>
      </c>
      <c r="E15" s="232" t="s">
        <v>68</v>
      </c>
      <c r="F15" s="232" t="s">
        <v>69</v>
      </c>
      <c r="G15" s="233" t="s">
        <v>85</v>
      </c>
      <c r="H15" s="232" t="s">
        <v>71</v>
      </c>
      <c r="I15" s="134" t="str">
        <f>A15&amp;B15&amp;C15&amp;D15&amp;E15&amp;F15&amp;G15&amp;H15</f>
        <v>#SQL("Yul_Balance_Start","VALUE",":where{NAME=榆炼_榆炼油品产、销、存日报表_期初库存_1#渣油}")</v>
      </c>
    </row>
    <row customHeight="1" ht="14.25">
      <c r="A16" s="134" t="s">
        <v>64</v>
      </c>
      <c r="B16" s="232" t="s">
        <v>65</v>
      </c>
      <c r="C16" s="232" t="s">
        <v>66</v>
      </c>
      <c r="D16" s="232" t="s">
        <v>67</v>
      </c>
      <c r="E16" s="232" t="s">
        <v>68</v>
      </c>
      <c r="F16" s="232" t="s">
        <v>69</v>
      </c>
      <c r="G16" s="233" t="s">
        <v>86</v>
      </c>
      <c r="H16" s="232" t="s">
        <v>71</v>
      </c>
      <c r="I16" s="134" t="str">
        <f>A16&amp;B16&amp;C16&amp;D16&amp;E16&amp;F16&amp;G16&amp;H16</f>
        <v>#SQL("Yul_Balance_Start","VALUE",":where{NAME=榆炼_榆炼油品产、销、存日报表_期初库存_2#渣油}")</v>
      </c>
    </row>
    <row customHeight="1" ht="14.25">
      <c r="A17" s="134" t="s">
        <v>64</v>
      </c>
      <c r="B17" s="232" t="s">
        <v>65</v>
      </c>
      <c r="C17" s="232" t="s">
        <v>66</v>
      </c>
      <c r="D17" s="232" t="s">
        <v>67</v>
      </c>
      <c r="E17" s="232" t="s">
        <v>68</v>
      </c>
      <c r="F17" s="232" t="s">
        <v>69</v>
      </c>
      <c r="G17" s="233" t="s">
        <v>87</v>
      </c>
      <c r="H17" s="232" t="s">
        <v>71</v>
      </c>
      <c r="I17" s="134" t="str">
        <f>A17&amp;B17&amp;C17&amp;D17&amp;E17&amp;F17&amp;G17&amp;H17</f>
        <v>#SQL("Yul_Balance_Start","VALUE",":where{NAME=榆炼_榆炼油品产、销、存日报表_期初库存_半成品苯}")</v>
      </c>
    </row>
    <row customHeight="1" ht="14.25">
      <c r="A18" s="134" t="s">
        <v>64</v>
      </c>
      <c r="B18" s="232" t="s">
        <v>65</v>
      </c>
      <c r="C18" s="232" t="s">
        <v>66</v>
      </c>
      <c r="D18" s="232" t="s">
        <v>67</v>
      </c>
      <c r="E18" s="232" t="s">
        <v>68</v>
      </c>
      <c r="F18" s="232" t="s">
        <v>69</v>
      </c>
      <c r="G18" s="233" t="s">
        <v>88</v>
      </c>
      <c r="H18" s="232" t="s">
        <v>71</v>
      </c>
      <c r="I18" s="134" t="str">
        <f>A18&amp;B18&amp;C18&amp;D18&amp;E18&amp;F18&amp;G18&amp;H18</f>
        <v>#SQL("Yul_Balance_Start","VALUE",":where{NAME=榆炼_榆炼油品产、销、存日报表_期末库存_混合柴油}")</v>
      </c>
    </row>
    <row customHeight="1" ht="14.25">
      <c r="A19" s="134" t="s">
        <v>64</v>
      </c>
      <c r="B19" s="232" t="s">
        <v>65</v>
      </c>
      <c r="C19" s="232" t="s">
        <v>66</v>
      </c>
      <c r="D19" s="232" t="s">
        <v>67</v>
      </c>
      <c r="E19" s="232" t="s">
        <v>68</v>
      </c>
      <c r="F19" s="232" t="s">
        <v>69</v>
      </c>
      <c r="G19" s="233" t="s">
        <v>89</v>
      </c>
      <c r="H19" s="232" t="s">
        <v>71</v>
      </c>
      <c r="I19" s="134" t="str">
        <f>A19&amp;B19&amp;C19&amp;D19&amp;E19&amp;F19&amp;G19&amp;H19</f>
        <v>#SQL("Yul_Balance_Start","VALUE",":where{NAME=榆炼_榆炼油品产、销、存日报表_期末库存_1#渣油}")</v>
      </c>
    </row>
    <row customHeight="1" ht="14.25">
      <c r="A20" s="134" t="s">
        <v>64</v>
      </c>
      <c r="B20" s="232" t="s">
        <v>65</v>
      </c>
      <c r="C20" s="232" t="s">
        <v>66</v>
      </c>
      <c r="D20" s="232" t="s">
        <v>67</v>
      </c>
      <c r="E20" s="232" t="s">
        <v>68</v>
      </c>
      <c r="F20" s="232" t="s">
        <v>69</v>
      </c>
      <c r="G20" s="233" t="s">
        <v>90</v>
      </c>
      <c r="H20" s="232" t="s">
        <v>71</v>
      </c>
      <c r="I20" s="134" t="str">
        <f>A20&amp;B20&amp;C20&amp;D20&amp;E20&amp;F20&amp;G20&amp;H20</f>
        <v>#SQL("Yul_Balance_Start","VALUE",":where{NAME=榆炼_榆炼油品产、销、存日报表_期末库存_2#渣油}")</v>
      </c>
    </row>
    <row customHeight="1" ht="14.25">
      <c r="A21" s="134" t="s">
        <v>64</v>
      </c>
      <c r="B21" s="232" t="s">
        <v>65</v>
      </c>
      <c r="C21" s="232" t="s">
        <v>66</v>
      </c>
      <c r="D21" s="232" t="s">
        <v>67</v>
      </c>
      <c r="E21" s="232" t="s">
        <v>68</v>
      </c>
      <c r="F21" s="232" t="s">
        <v>69</v>
      </c>
      <c r="G21" s="233" t="s">
        <v>91</v>
      </c>
      <c r="H21" s="232" t="s">
        <v>71</v>
      </c>
      <c r="I21" s="134" t="str">
        <f>A21&amp;B21&amp;C21&amp;D21&amp;E21&amp;F21&amp;G21&amp;H21</f>
        <v>#SQL("Yul_Balance_Start","VALUE",":where{NAME=榆炼_榆炼油品产、销、存日报表_期末库存_半成品苯}")</v>
      </c>
    </row>
    <row customHeight="1" ht="14.25">
      <c r="A22" s="134" t="s">
        <v>64</v>
      </c>
      <c r="B22" s="232" t="s">
        <v>65</v>
      </c>
      <c r="C22" s="232" t="s">
        <v>66</v>
      </c>
      <c r="D22" s="232" t="s">
        <v>67</v>
      </c>
      <c r="E22" s="232" t="s">
        <v>68</v>
      </c>
      <c r="F22" s="232" t="s">
        <v>69</v>
      </c>
      <c r="G22" s="233" t="s">
        <v>92</v>
      </c>
      <c r="H22" s="232" t="s">
        <v>71</v>
      </c>
      <c r="I22" s="134" t="str">
        <f>A22&amp;B22&amp;C22&amp;D22&amp;E22&amp;F22&amp;G22&amp;H22</f>
        <v>#SQL("Yul_Balance_Start","VALUE",":where{NAME=榆炼_榆炼油品产、销、存日报表_期初库存_92#汽油}")</v>
      </c>
    </row>
    <row customHeight="1" ht="14.25">
      <c r="A23" s="134" t="s">
        <v>64</v>
      </c>
      <c r="B23" s="232" t="s">
        <v>65</v>
      </c>
      <c r="C23" s="232" t="s">
        <v>66</v>
      </c>
      <c r="D23" s="232" t="s">
        <v>67</v>
      </c>
      <c r="E23" s="232" t="s">
        <v>68</v>
      </c>
      <c r="F23" s="232" t="s">
        <v>69</v>
      </c>
      <c r="G23" s="233" t="s">
        <v>93</v>
      </c>
      <c r="H23" s="232" t="s">
        <v>71</v>
      </c>
      <c r="I23" s="134" t="str">
        <f>A23&amp;B23&amp;C23&amp;D23&amp;E23&amp;F23&amp;G23&amp;H23</f>
        <v>#SQL("Yul_Balance_Start","VALUE",":where{NAME=榆炼_榆炼油品产、销、存日报表_期初库存_95#汽油}")</v>
      </c>
    </row>
    <row customHeight="1" ht="14.25">
      <c r="A24" s="134" t="s">
        <v>64</v>
      </c>
      <c r="B24" s="232" t="s">
        <v>65</v>
      </c>
      <c r="C24" s="232" t="s">
        <v>66</v>
      </c>
      <c r="D24" s="232" t="s">
        <v>67</v>
      </c>
      <c r="E24" s="232" t="s">
        <v>68</v>
      </c>
      <c r="F24" s="232" t="s">
        <v>69</v>
      </c>
      <c r="G24" s="233" t="s">
        <v>94</v>
      </c>
      <c r="H24" s="232" t="s">
        <v>71</v>
      </c>
      <c r="I24" s="134" t="str">
        <f>A24&amp;B24&amp;C24&amp;D24&amp;E24&amp;F24&amp;G24&amp;H24</f>
        <v>#SQL("Yul_Balance_Start","VALUE",":where{NAME=榆炼_榆炼油品产、销、存日报表_期初库存_0#柴油}")</v>
      </c>
    </row>
    <row customHeight="1" ht="14.25">
      <c r="A25" s="134" t="s">
        <v>64</v>
      </c>
      <c r="B25" s="232" t="s">
        <v>65</v>
      </c>
      <c r="C25" s="232" t="s">
        <v>66</v>
      </c>
      <c r="D25" s="232" t="s">
        <v>67</v>
      </c>
      <c r="E25" s="232" t="s">
        <v>68</v>
      </c>
      <c r="F25" s="232" t="s">
        <v>69</v>
      </c>
      <c r="G25" s="233" t="s">
        <v>95</v>
      </c>
      <c r="H25" s="232" t="s">
        <v>71</v>
      </c>
      <c r="I25" s="134" t="str">
        <f>A25&amp;B25&amp;C25&amp;D25&amp;E25&amp;F25&amp;G25&amp;H25</f>
        <v>#SQL("Yul_Balance_Start","VALUE",":where{NAME=榆炼_榆炼油品产、销、存日报表_期初库存_-10#柴油}")</v>
      </c>
    </row>
    <row customHeight="1" ht="14.25">
      <c r="A26" s="134" t="s">
        <v>64</v>
      </c>
      <c r="B26" s="232" t="s">
        <v>65</v>
      </c>
      <c r="C26" s="232" t="s">
        <v>66</v>
      </c>
      <c r="D26" s="232" t="s">
        <v>67</v>
      </c>
      <c r="E26" s="232" t="s">
        <v>68</v>
      </c>
      <c r="F26" s="232" t="s">
        <v>69</v>
      </c>
      <c r="G26" s="233" t="s">
        <v>96</v>
      </c>
      <c r="H26" s="232" t="s">
        <v>71</v>
      </c>
      <c r="I26" s="134" t="str">
        <f>A26&amp;B26&amp;C26&amp;D26&amp;E26&amp;F26&amp;G26&amp;H26</f>
        <v>#SQL("Yul_Balance_Start","VALUE",":where{NAME=榆炼_榆炼油品产、销、存日报表_期初库存_-20#柴油}")</v>
      </c>
    </row>
    <row customHeight="1" ht="14.25">
      <c r="A27" s="134" t="s">
        <v>64</v>
      </c>
      <c r="B27" s="232" t="s">
        <v>65</v>
      </c>
      <c r="C27" s="232" t="s">
        <v>66</v>
      </c>
      <c r="D27" s="232" t="s">
        <v>67</v>
      </c>
      <c r="E27" s="232" t="s">
        <v>68</v>
      </c>
      <c r="F27" s="232" t="s">
        <v>69</v>
      </c>
      <c r="G27" s="233" t="s">
        <v>97</v>
      </c>
      <c r="H27" s="232" t="s">
        <v>71</v>
      </c>
      <c r="I27" s="134" t="str">
        <f>A27&amp;B27&amp;C27&amp;D27&amp;E27&amp;F27&amp;G27&amp;H27</f>
        <v>#SQL("Yul_Balance_Start","VALUE",":where{NAME=榆炼_榆炼油品产、销、存日报表_期初库存_原料液化气}")</v>
      </c>
    </row>
    <row customHeight="1" ht="14.25">
      <c r="A28" s="134" t="s">
        <v>64</v>
      </c>
      <c r="B28" s="232" t="s">
        <v>65</v>
      </c>
      <c r="C28" s="232" t="s">
        <v>66</v>
      </c>
      <c r="D28" s="232" t="s">
        <v>67</v>
      </c>
      <c r="E28" s="232" t="s">
        <v>68</v>
      </c>
      <c r="F28" s="232" t="s">
        <v>69</v>
      </c>
      <c r="G28" s="233" t="s">
        <v>98</v>
      </c>
      <c r="H28" s="232" t="s">
        <v>71</v>
      </c>
      <c r="I28" s="134" t="str">
        <f>A28&amp;B28&amp;C28&amp;D28&amp;E28&amp;F28&amp;G28&amp;H28</f>
        <v>#SQL("Yul_Balance_Start","VALUE",":where{NAME=榆炼_榆炼油品产、销、存日报表_期末库存_92#汽油}")</v>
      </c>
    </row>
    <row customHeight="1" ht="14.25">
      <c r="A29" s="134" t="s">
        <v>64</v>
      </c>
      <c r="B29" s="232" t="s">
        <v>65</v>
      </c>
      <c r="C29" s="232" t="s">
        <v>66</v>
      </c>
      <c r="D29" s="232" t="s">
        <v>67</v>
      </c>
      <c r="E29" s="232" t="s">
        <v>68</v>
      </c>
      <c r="F29" s="232" t="s">
        <v>69</v>
      </c>
      <c r="G29" s="233" t="s">
        <v>99</v>
      </c>
      <c r="H29" s="232" t="s">
        <v>71</v>
      </c>
      <c r="I29" s="134" t="str">
        <f>A29&amp;B29&amp;C29&amp;D29&amp;E29&amp;F29&amp;G29&amp;H29</f>
        <v>#SQL("Yul_Balance_Start","VALUE",":where{NAME=榆炼_榆炼油品产、销、存日报表_期末库存_95#汽油}")</v>
      </c>
    </row>
    <row customHeight="1" ht="14.25">
      <c r="A30" s="134" t="s">
        <v>64</v>
      </c>
      <c r="B30" s="232" t="s">
        <v>65</v>
      </c>
      <c r="C30" s="232" t="s">
        <v>66</v>
      </c>
      <c r="D30" s="232" t="s">
        <v>67</v>
      </c>
      <c r="E30" s="232" t="s">
        <v>68</v>
      </c>
      <c r="F30" s="232" t="s">
        <v>69</v>
      </c>
      <c r="G30" s="233" t="s">
        <v>100</v>
      </c>
      <c r="H30" s="232" t="s">
        <v>71</v>
      </c>
      <c r="I30" s="134" t="str">
        <f>A30&amp;B30&amp;C30&amp;D30&amp;E30&amp;F30&amp;G30&amp;H30</f>
        <v>#SQL("Yul_Balance_Start","VALUE",":where{NAME=榆炼_榆炼油品产、销、存日报表_期末库存_0#柴油}")</v>
      </c>
    </row>
    <row customHeight="1" ht="14.25">
      <c r="A31" s="134" t="s">
        <v>64</v>
      </c>
      <c r="B31" s="232" t="s">
        <v>65</v>
      </c>
      <c r="C31" s="232" t="s">
        <v>66</v>
      </c>
      <c r="D31" s="232" t="s">
        <v>67</v>
      </c>
      <c r="E31" s="232" t="s">
        <v>68</v>
      </c>
      <c r="F31" s="232" t="s">
        <v>69</v>
      </c>
      <c r="G31" s="233" t="s">
        <v>101</v>
      </c>
      <c r="H31" s="232" t="s">
        <v>71</v>
      </c>
      <c r="I31" s="134" t="str">
        <f>A31&amp;B31&amp;C31&amp;D31&amp;E31&amp;F31&amp;G31&amp;H31</f>
        <v>#SQL("Yul_Balance_Start","VALUE",":where{NAME=榆炼_榆炼油品产、销、存日报表_期末库存_-10#柴油}")</v>
      </c>
    </row>
    <row customHeight="1" ht="14.25">
      <c r="A32" s="134" t="s">
        <v>64</v>
      </c>
      <c r="B32" s="232" t="s">
        <v>65</v>
      </c>
      <c r="C32" s="232" t="s">
        <v>66</v>
      </c>
      <c r="D32" s="232" t="s">
        <v>67</v>
      </c>
      <c r="E32" s="232" t="s">
        <v>68</v>
      </c>
      <c r="F32" s="232" t="s">
        <v>69</v>
      </c>
      <c r="G32" s="233" t="s">
        <v>102</v>
      </c>
      <c r="H32" s="232" t="s">
        <v>71</v>
      </c>
      <c r="I32" s="134" t="str">
        <f>A32&amp;B32&amp;C32&amp;D32&amp;E32&amp;F32&amp;G32&amp;H32</f>
        <v>#SQL("Yul_Balance_Start","VALUE",":where{NAME=榆炼_榆炼油品产、销、存日报表_期末库存_-20#柴油}")</v>
      </c>
    </row>
    <row customHeight="1" ht="14.25">
      <c r="A33" s="134" t="s">
        <v>64</v>
      </c>
      <c r="B33" s="232" t="s">
        <v>65</v>
      </c>
      <c r="C33" s="232" t="s">
        <v>66</v>
      </c>
      <c r="D33" s="232" t="s">
        <v>67</v>
      </c>
      <c r="E33" s="232" t="s">
        <v>68</v>
      </c>
      <c r="F33" s="232" t="s">
        <v>69</v>
      </c>
      <c r="G33" s="233" t="s">
        <v>103</v>
      </c>
      <c r="H33" s="232" t="s">
        <v>71</v>
      </c>
      <c r="I33" s="134" t="str">
        <f>A33&amp;B33&amp;C33&amp;D33&amp;E33&amp;F33&amp;G33&amp;H33</f>
        <v>#SQL("Yul_Balance_Start","VALUE",":where{NAME=榆炼_榆炼油品产、销、存日报表_期末库存_原料液化气}")</v>
      </c>
    </row>
    <row customHeight="1" ht="14.25">
      <c r="A34" s="134" t="s">
        <v>64</v>
      </c>
      <c r="B34" s="232" t="s">
        <v>65</v>
      </c>
      <c r="C34" s="232" t="s">
        <v>104</v>
      </c>
      <c r="D34" s="232" t="s">
        <v>67</v>
      </c>
      <c r="E34" s="232" t="s">
        <v>68</v>
      </c>
      <c r="F34" s="232" t="s">
        <v>69</v>
      </c>
      <c r="G34" s="232" t="s">
        <v>105</v>
      </c>
      <c r="H34" s="232" t="s">
        <v>71</v>
      </c>
      <c r="I34" s="134" t="str">
        <f>A34&amp;B34&amp;C34&amp;D34&amp;E34&amp;F34&amp;G34&amp;H34</f>
        <v>#SQL("Yul_Device_ByMonth_SUM","VALUE",":where{NAME=榆炼_生产计划部_原材料燃料动力购进库存及价格表_购进量_原油}")</v>
      </c>
    </row>
    <row customHeight="1" ht="14.25">
      <c r="A35" s="134" t="s">
        <v>64</v>
      </c>
      <c r="B35" s="232" t="s">
        <v>65</v>
      </c>
      <c r="C35" s="232" t="s">
        <v>104</v>
      </c>
      <c r="D35" s="232" t="s">
        <v>67</v>
      </c>
      <c r="E35" s="232" t="s">
        <v>68</v>
      </c>
      <c r="F35" s="232" t="s">
        <v>69</v>
      </c>
      <c r="G35" s="232" t="s">
        <v>106</v>
      </c>
      <c r="H35" s="232" t="s">
        <v>71</v>
      </c>
      <c r="I35" s="134" t="str">
        <f>A35&amp;B35&amp;C35&amp;D35&amp;E35&amp;F35&amp;G35&amp;H35</f>
        <v>#SQL("Yul_Device_ByMonth_SUM","VALUE",":where{NAME=榆炼_生产计划部_原材料燃料动力购进库存及价格表_购进量_原油（长庆）}")</v>
      </c>
    </row>
    <row customHeight="1" ht="14.25">
      <c r="A36" s="134" t="s">
        <v>64</v>
      </c>
      <c r="B36" s="232" t="s">
        <v>65</v>
      </c>
      <c r="C36" s="232" t="s">
        <v>104</v>
      </c>
      <c r="D36" s="232" t="s">
        <v>67</v>
      </c>
      <c r="E36" s="232" t="s">
        <v>68</v>
      </c>
      <c r="F36" s="232" t="s">
        <v>69</v>
      </c>
      <c r="G36" s="232" t="s">
        <v>107</v>
      </c>
      <c r="H36" s="232" t="s">
        <v>71</v>
      </c>
      <c r="I36" s="134" t="str">
        <f>A36&amp;B36&amp;C36&amp;D36&amp;E36&amp;F36&amp;G36&amp;H36</f>
        <v>#SQL("Yul_Device_ByMonth_SUM","VALUE",":where{NAME=榆炼_生产计划部_原材料燃料动力购进库存及价格表_购进量_二甲苯}")</v>
      </c>
    </row>
    <row customHeight="1" ht="14.25">
      <c r="A37" s="134" t="s">
        <v>64</v>
      </c>
      <c r="B37" s="232" t="s">
        <v>65</v>
      </c>
      <c r="C37" s="232" t="s">
        <v>104</v>
      </c>
      <c r="D37" s="232" t="s">
        <v>67</v>
      </c>
      <c r="E37" s="232" t="s">
        <v>68</v>
      </c>
      <c r="F37" s="232" t="s">
        <v>69</v>
      </c>
      <c r="G37" s="232" t="s">
        <v>108</v>
      </c>
      <c r="H37" s="232" t="s">
        <v>71</v>
      </c>
      <c r="I37" s="134" t="str">
        <f>A37&amp;B37&amp;C37&amp;D37&amp;E37&amp;F37&amp;G37&amp;H37</f>
        <v>#SQL("Yul_Device_ByMonth_SUM","VALUE",":where{NAME=榆炼_生产计划部_原材料燃料动力购进库存及价格表_购进量_MTBE}")</v>
      </c>
    </row>
    <row customHeight="1" ht="14.25">
      <c r="A38" s="134" t="s">
        <v>64</v>
      </c>
      <c r="B38" s="232" t="s">
        <v>65</v>
      </c>
      <c r="C38" s="232" t="s">
        <v>104</v>
      </c>
      <c r="D38" s="232" t="s">
        <v>67</v>
      </c>
      <c r="E38" s="232" t="s">
        <v>68</v>
      </c>
      <c r="F38" s="232" t="s">
        <v>69</v>
      </c>
      <c r="G38" s="232" t="s">
        <v>109</v>
      </c>
      <c r="H38" s="232" t="s">
        <v>71</v>
      </c>
      <c r="I38" s="134" t="str">
        <f>A38&amp;B38&amp;C38&amp;D38&amp;E38&amp;F38&amp;G38&amp;H38</f>
        <v>#SQL("Yul_Device_ByMonth_SUM","VALUE",":where{NAME=榆炼_生产计划部_原材料燃料动力购进库存及价格表_购进量_三甲苯}")</v>
      </c>
    </row>
    <row customHeight="1" ht="14.25">
      <c r="A39" s="134" t="s">
        <v>64</v>
      </c>
      <c r="B39" s="232" t="s">
        <v>65</v>
      </c>
      <c r="C39" s="232" t="s">
        <v>104</v>
      </c>
      <c r="D39" s="232" t="s">
        <v>67</v>
      </c>
      <c r="E39" s="232" t="s">
        <v>68</v>
      </c>
      <c r="F39" s="232" t="s">
        <v>69</v>
      </c>
      <c r="G39" s="232" t="s">
        <v>110</v>
      </c>
      <c r="H39" s="232" t="s">
        <v>71</v>
      </c>
      <c r="I39" s="134" t="str">
        <f>A39&amp;B39&amp;C39&amp;D39&amp;E39&amp;F39&amp;G39&amp;H39</f>
        <v>#SQL("Yul_Device_ByMonth_SUM","VALUE",":where{NAME=榆炼_生产计划部_原材料燃料动力购进库存及价格表_购进量_降凝剂}")</v>
      </c>
    </row>
    <row customHeight="1" ht="14.25">
      <c r="A40" s="134" t="s">
        <v>64</v>
      </c>
      <c r="B40" s="232" t="s">
        <v>65</v>
      </c>
      <c r="C40" s="232" t="s">
        <v>104</v>
      </c>
      <c r="D40" s="232" t="s">
        <v>67</v>
      </c>
      <c r="E40" s="232" t="s">
        <v>68</v>
      </c>
      <c r="F40" s="232" t="s">
        <v>69</v>
      </c>
      <c r="G40" s="232" t="s">
        <v>111</v>
      </c>
      <c r="H40" s="232" t="s">
        <v>71</v>
      </c>
      <c r="I40" s="134" t="str">
        <f>A40&amp;B40&amp;C40&amp;D40&amp;E40&amp;F40&amp;G40&amp;H40</f>
        <v>#SQL("Yul_Device_ByMonth_SUM","VALUE",":where{NAME=榆炼_生产计划部_原材料燃料动力购进库存及价格表_购进量_裂解石脑油}")</v>
      </c>
    </row>
    <row customHeight="1" ht="14.25">
      <c r="A41" s="134" t="s">
        <v>64</v>
      </c>
      <c r="B41" s="232" t="s">
        <v>65</v>
      </c>
      <c r="C41" s="232" t="s">
        <v>104</v>
      </c>
      <c r="D41" s="232" t="s">
        <v>67</v>
      </c>
      <c r="E41" s="232" t="s">
        <v>68</v>
      </c>
      <c r="F41" s="232" t="s">
        <v>69</v>
      </c>
      <c r="G41" s="232" t="s">
        <v>112</v>
      </c>
      <c r="H41" s="232" t="s">
        <v>71</v>
      </c>
      <c r="I41" s="134" t="str">
        <f>A41&amp;B41&amp;C41&amp;D41&amp;E41&amp;F41&amp;G41&amp;H41</f>
        <v>#SQL("Yul_Device_ByMonth_SUM","VALUE",":where{NAME=榆炼_生产计划部_原材料燃料动力购进库存及价格表_购进量_天然气}")</v>
      </c>
    </row>
    <row customHeight="1" ht="14.25">
      <c r="A42" s="134" t="s">
        <v>64</v>
      </c>
      <c r="B42" s="232" t="s">
        <v>65</v>
      </c>
      <c r="C42" s="232" t="s">
        <v>104</v>
      </c>
      <c r="D42" s="232" t="s">
        <v>67</v>
      </c>
      <c r="E42" s="232" t="s">
        <v>68</v>
      </c>
      <c r="F42" s="232" t="s">
        <v>69</v>
      </c>
      <c r="G42" s="232" t="s">
        <v>113</v>
      </c>
      <c r="H42" s="232" t="s">
        <v>71</v>
      </c>
      <c r="I42" s="134" t="str">
        <f>A42&amp;B42&amp;C42&amp;D42&amp;E42&amp;F42&amp;G42&amp;H42</f>
        <v>#SQL("Yul_Device_ByMonth_SUM","VALUE",":where{NAME=榆炼_生产计划部_原材料燃料动力购进库存及价格表_购进量_干气}")</v>
      </c>
    </row>
    <row customHeight="1" ht="14.25">
      <c r="A43" s="134" t="s">
        <v>64</v>
      </c>
      <c r="B43" s="232" t="s">
        <v>65</v>
      </c>
      <c r="C43" s="232" t="s">
        <v>104</v>
      </c>
      <c r="D43" s="232" t="s">
        <v>67</v>
      </c>
      <c r="E43" s="232" t="s">
        <v>68</v>
      </c>
      <c r="F43" s="232" t="s">
        <v>69</v>
      </c>
      <c r="G43" s="232" t="s">
        <v>114</v>
      </c>
      <c r="H43" s="232" t="s">
        <v>71</v>
      </c>
      <c r="I43" s="134" t="str">
        <f>A43&amp;B43&amp;C43&amp;D43&amp;E43&amp;F43&amp;G43&amp;H43</f>
        <v>#SQL("Yul_Device_ByMonth_SUM","VALUE",":where{NAME=榆炼_生产计划部_原材料燃料动力购进库存及价格表_消费量_原油}")</v>
      </c>
    </row>
    <row customHeight="1" ht="14.25">
      <c r="A44" s="134" t="s">
        <v>64</v>
      </c>
      <c r="B44" s="232" t="s">
        <v>65</v>
      </c>
      <c r="C44" s="232" t="s">
        <v>104</v>
      </c>
      <c r="D44" s="232" t="s">
        <v>67</v>
      </c>
      <c r="E44" s="232" t="s">
        <v>68</v>
      </c>
      <c r="F44" s="232" t="s">
        <v>69</v>
      </c>
      <c r="G44" s="232" t="s">
        <v>115</v>
      </c>
      <c r="H44" s="232" t="s">
        <v>71</v>
      </c>
      <c r="I44" s="134" t="str">
        <f>A44&amp;B44&amp;C44&amp;D44&amp;E44&amp;F44&amp;G44&amp;H44</f>
        <v>#SQL("Yul_Device_ByMonth_SUM","VALUE",":where{NAME=榆炼_生产计划部_原材料燃料动力购进库存及价格表_消费量_原油（长庆）}")</v>
      </c>
    </row>
    <row customHeight="1" ht="14.25">
      <c r="A45" s="134" t="s">
        <v>64</v>
      </c>
      <c r="B45" s="232" t="s">
        <v>65</v>
      </c>
      <c r="C45" s="232" t="s">
        <v>104</v>
      </c>
      <c r="D45" s="232" t="s">
        <v>67</v>
      </c>
      <c r="E45" s="232" t="s">
        <v>68</v>
      </c>
      <c r="F45" s="232" t="s">
        <v>69</v>
      </c>
      <c r="G45" s="232" t="s">
        <v>116</v>
      </c>
      <c r="H45" s="232" t="s">
        <v>71</v>
      </c>
      <c r="I45" s="134" t="str">
        <f>A45&amp;B45&amp;C45&amp;D45&amp;E45&amp;F45&amp;G45&amp;H45</f>
        <v>#SQL("Yul_Device_ByMonth_SUM","VALUE",":where{NAME=榆炼_生产计划部_原材料燃料动力购进库存及价格表_消费量_二甲苯}")</v>
      </c>
    </row>
    <row customHeight="1" ht="14.25">
      <c r="A46" s="134" t="s">
        <v>64</v>
      </c>
      <c r="B46" s="232" t="s">
        <v>65</v>
      </c>
      <c r="C46" s="232" t="s">
        <v>104</v>
      </c>
      <c r="D46" s="232" t="s">
        <v>67</v>
      </c>
      <c r="E46" s="232" t="s">
        <v>68</v>
      </c>
      <c r="F46" s="232" t="s">
        <v>69</v>
      </c>
      <c r="G46" s="232" t="s">
        <v>117</v>
      </c>
      <c r="H46" s="232" t="s">
        <v>71</v>
      </c>
      <c r="I46" s="134" t="str">
        <f>A46&amp;B46&amp;C46&amp;D46&amp;E46&amp;F46&amp;G46&amp;H46</f>
        <v>#SQL("Yul_Device_ByMonth_SUM","VALUE",":where{NAME=榆炼_生产计划部_原材料燃料动力购进库存及价格表_消费量_MTBE}")</v>
      </c>
    </row>
    <row customHeight="1" ht="14.25">
      <c r="A47" s="134" t="s">
        <v>64</v>
      </c>
      <c r="B47" s="232" t="s">
        <v>65</v>
      </c>
      <c r="C47" s="232" t="s">
        <v>104</v>
      </c>
      <c r="D47" s="232" t="s">
        <v>67</v>
      </c>
      <c r="E47" s="232" t="s">
        <v>68</v>
      </c>
      <c r="F47" s="232" t="s">
        <v>69</v>
      </c>
      <c r="G47" s="232" t="s">
        <v>118</v>
      </c>
      <c r="H47" s="232" t="s">
        <v>71</v>
      </c>
      <c r="I47" s="134" t="str">
        <f>A47&amp;B47&amp;C47&amp;D47&amp;E47&amp;F47&amp;G47&amp;H47</f>
        <v>#SQL("Yul_Device_ByMonth_SUM","VALUE",":where{NAME=榆炼_生产计划部_原材料燃料动力购进库存及价格表_消费量_三甲苯}")</v>
      </c>
    </row>
    <row customHeight="1" ht="14.25">
      <c r="A48" s="134" t="s">
        <v>64</v>
      </c>
      <c r="B48" s="232" t="s">
        <v>65</v>
      </c>
      <c r="C48" s="232" t="s">
        <v>104</v>
      </c>
      <c r="D48" s="232" t="s">
        <v>67</v>
      </c>
      <c r="E48" s="232" t="s">
        <v>68</v>
      </c>
      <c r="F48" s="232" t="s">
        <v>69</v>
      </c>
      <c r="G48" s="232" t="s">
        <v>119</v>
      </c>
      <c r="H48" s="232" t="s">
        <v>71</v>
      </c>
      <c r="I48" s="134" t="str">
        <f>A48&amp;B48&amp;C48&amp;D48&amp;E48&amp;F48&amp;G48&amp;H48</f>
        <v>#SQL("Yul_Device_ByMonth_SUM","VALUE",":where{NAME=榆炼_生产计划部_原材料燃料动力购进库存及价格表_消费量_降凝剂}")</v>
      </c>
    </row>
    <row customHeight="1" ht="14.25">
      <c r="A49" s="134" t="s">
        <v>64</v>
      </c>
      <c r="B49" s="232" t="s">
        <v>65</v>
      </c>
      <c r="C49" s="232" t="s">
        <v>104</v>
      </c>
      <c r="D49" s="232" t="s">
        <v>67</v>
      </c>
      <c r="E49" s="232" t="s">
        <v>68</v>
      </c>
      <c r="F49" s="232" t="s">
        <v>69</v>
      </c>
      <c r="G49" s="232" t="s">
        <v>120</v>
      </c>
      <c r="H49" s="232" t="s">
        <v>71</v>
      </c>
      <c r="I49" s="134" t="str">
        <f>A49&amp;B49&amp;C49&amp;D49&amp;E49&amp;F49&amp;G49&amp;H49</f>
        <v>#SQL("Yul_Device_ByMonth_SUM","VALUE",":where{NAME=榆炼_生产计划部_原材料燃料动力购进库存及价格表_消费量_裂解石脑油}")</v>
      </c>
    </row>
    <row customHeight="1" ht="14.25">
      <c r="A50" s="134" t="s">
        <v>64</v>
      </c>
      <c r="B50" s="232" t="s">
        <v>65</v>
      </c>
      <c r="C50" s="232" t="s">
        <v>104</v>
      </c>
      <c r="D50" s="232" t="s">
        <v>67</v>
      </c>
      <c r="E50" s="232" t="s">
        <v>68</v>
      </c>
      <c r="F50" s="232" t="s">
        <v>69</v>
      </c>
      <c r="G50" s="232" t="s">
        <v>121</v>
      </c>
      <c r="H50" s="232" t="s">
        <v>71</v>
      </c>
      <c r="I50" s="134" t="str">
        <f>A50&amp;B50&amp;C50&amp;D50&amp;E50&amp;F50&amp;G50&amp;H50</f>
        <v>#SQL("Yul_Device_ByMonth_SUM","VALUE",":where{NAME=榆炼_生产计划部_原材料燃料动力购进库存及价格表_消费量_天然气}")</v>
      </c>
    </row>
    <row customHeight="1" ht="14.25">
      <c r="A51" s="134" t="s">
        <v>64</v>
      </c>
      <c r="B51" s="232" t="s">
        <v>65</v>
      </c>
      <c r="C51" s="232" t="s">
        <v>104</v>
      </c>
      <c r="D51" s="232" t="s">
        <v>67</v>
      </c>
      <c r="E51" s="232" t="s">
        <v>68</v>
      </c>
      <c r="F51" s="232" t="s">
        <v>69</v>
      </c>
      <c r="G51" s="232" t="s">
        <v>122</v>
      </c>
      <c r="H51" s="232" t="s">
        <v>71</v>
      </c>
      <c r="I51" s="134" t="str">
        <f>A51&amp;B51&amp;C51&amp;D51&amp;E51&amp;F51&amp;G51&amp;H51</f>
        <v>#SQL("Yul_Device_ByMonth_SUM","VALUE",":where{NAME=榆炼_生产计划部_原材料燃料动力购进库存及价格表_消费量_干气}")</v>
      </c>
    </row>
    <row customHeight="1" ht="14.25">
      <c r="A52" s="134" t="s">
        <v>64</v>
      </c>
      <c r="B52" s="232" t="s">
        <v>65</v>
      </c>
      <c r="C52" s="232" t="s">
        <v>104</v>
      </c>
      <c r="D52" s="232" t="s">
        <v>67</v>
      </c>
      <c r="E52" s="232" t="s">
        <v>68</v>
      </c>
      <c r="F52" s="232" t="s">
        <v>69</v>
      </c>
      <c r="G52" s="232" t="s">
        <v>123</v>
      </c>
      <c r="H52" s="232" t="s">
        <v>71</v>
      </c>
      <c r="I52" s="134" t="str">
        <f>A52&amp;B52&amp;C52&amp;D52&amp;E52&amp;F52&amp;G52&amp;H52</f>
        <v>#SQL("Yul_Device_ByMonth_SUM","VALUE",":where{NAME=榆炼_生产计划部_原材料燃料动力购进库存及价格表_总价格_原油}")</v>
      </c>
    </row>
    <row customHeight="1" ht="14.25">
      <c r="A53" s="134" t="s">
        <v>64</v>
      </c>
      <c r="B53" s="232" t="s">
        <v>65</v>
      </c>
      <c r="C53" s="232" t="s">
        <v>104</v>
      </c>
      <c r="D53" s="232" t="s">
        <v>67</v>
      </c>
      <c r="E53" s="232" t="s">
        <v>68</v>
      </c>
      <c r="F53" s="232" t="s">
        <v>69</v>
      </c>
      <c r="G53" s="232" t="s">
        <v>124</v>
      </c>
      <c r="H53" s="232" t="s">
        <v>71</v>
      </c>
      <c r="I53" s="134" t="str">
        <f>A53&amp;B53&amp;C53&amp;D53&amp;E53&amp;F53&amp;G53&amp;H53</f>
        <v>#SQL("Yul_Device_ByMonth_SUM","VALUE",":where{NAME=榆炼_生产计划部_原材料燃料动力购进库存及价格表_总价格_原油（长庆）}")</v>
      </c>
    </row>
    <row customHeight="1" ht="14.25">
      <c r="A54" s="134" t="s">
        <v>64</v>
      </c>
      <c r="B54" s="232" t="s">
        <v>65</v>
      </c>
      <c r="C54" s="232" t="s">
        <v>104</v>
      </c>
      <c r="D54" s="232" t="s">
        <v>67</v>
      </c>
      <c r="E54" s="232" t="s">
        <v>68</v>
      </c>
      <c r="F54" s="232" t="s">
        <v>69</v>
      </c>
      <c r="G54" s="232" t="s">
        <v>125</v>
      </c>
      <c r="H54" s="232" t="s">
        <v>71</v>
      </c>
      <c r="I54" s="134" t="str">
        <f>A54&amp;B54&amp;C54&amp;D54&amp;E54&amp;F54&amp;G54&amp;H54</f>
        <v>#SQL("Yul_Device_ByMonth_SUM","VALUE",":where{NAME=榆炼_生产计划部_原材料燃料动力购进库存及价格表_总价格_二甲苯}")</v>
      </c>
    </row>
    <row customHeight="1" ht="14.25">
      <c r="A55" s="134" t="s">
        <v>64</v>
      </c>
      <c r="B55" s="232" t="s">
        <v>65</v>
      </c>
      <c r="C55" s="232" t="s">
        <v>104</v>
      </c>
      <c r="D55" s="232" t="s">
        <v>67</v>
      </c>
      <c r="E55" s="232" t="s">
        <v>68</v>
      </c>
      <c r="F55" s="232" t="s">
        <v>69</v>
      </c>
      <c r="G55" s="232" t="s">
        <v>126</v>
      </c>
      <c r="H55" s="232" t="s">
        <v>71</v>
      </c>
      <c r="I55" s="134" t="str">
        <f>A55&amp;B55&amp;C55&amp;D55&amp;E55&amp;F55&amp;G55&amp;H55</f>
        <v>#SQL("Yul_Device_ByMonth_SUM","VALUE",":where{NAME=榆炼_生产计划部_原材料燃料动力购进库存及价格表_总价格_MTBE}")</v>
      </c>
    </row>
    <row customHeight="1" ht="14.25">
      <c r="A56" s="134" t="s">
        <v>64</v>
      </c>
      <c r="B56" s="232" t="s">
        <v>65</v>
      </c>
      <c r="C56" s="232" t="s">
        <v>104</v>
      </c>
      <c r="D56" s="232" t="s">
        <v>67</v>
      </c>
      <c r="E56" s="232" t="s">
        <v>68</v>
      </c>
      <c r="F56" s="232" t="s">
        <v>69</v>
      </c>
      <c r="G56" s="232" t="s">
        <v>127</v>
      </c>
      <c r="H56" s="232" t="s">
        <v>71</v>
      </c>
      <c r="I56" s="134" t="str">
        <f>A56&amp;B56&amp;C56&amp;D56&amp;E56&amp;F56&amp;G56&amp;H56</f>
        <v>#SQL("Yul_Device_ByMonth_SUM","VALUE",":where{NAME=榆炼_生产计划部_原材料燃料动力购进库存及价格表_总价格_三甲苯}")</v>
      </c>
    </row>
    <row customHeight="1" ht="14.25">
      <c r="A57" s="134" t="s">
        <v>64</v>
      </c>
      <c r="B57" s="232" t="s">
        <v>65</v>
      </c>
      <c r="C57" s="232" t="s">
        <v>104</v>
      </c>
      <c r="D57" s="232" t="s">
        <v>67</v>
      </c>
      <c r="E57" s="232" t="s">
        <v>68</v>
      </c>
      <c r="F57" s="232" t="s">
        <v>69</v>
      </c>
      <c r="G57" s="232" t="s">
        <v>128</v>
      </c>
      <c r="H57" s="232" t="s">
        <v>71</v>
      </c>
      <c r="I57" s="134" t="str">
        <f>A57&amp;B57&amp;C57&amp;D57&amp;E57&amp;F57&amp;G57&amp;H57</f>
        <v>#SQL("Yul_Device_ByMonth_SUM","VALUE",":where{NAME=榆炼_生产计划部_原材料燃料动力购进库存及价格表_总价格_降凝剂}")</v>
      </c>
    </row>
    <row customHeight="1" ht="14.25">
      <c r="A58" s="134" t="s">
        <v>64</v>
      </c>
      <c r="B58" s="232" t="s">
        <v>65</v>
      </c>
      <c r="C58" s="232" t="s">
        <v>104</v>
      </c>
      <c r="D58" s="232" t="s">
        <v>67</v>
      </c>
      <c r="E58" s="232" t="s">
        <v>68</v>
      </c>
      <c r="F58" s="232" t="s">
        <v>69</v>
      </c>
      <c r="G58" s="232" t="s">
        <v>129</v>
      </c>
      <c r="H58" s="232" t="s">
        <v>71</v>
      </c>
      <c r="I58" s="134" t="str">
        <f>A58&amp;B58&amp;C58&amp;D58&amp;E58&amp;F58&amp;G58&amp;H58</f>
        <v>#SQL("Yul_Device_ByMonth_SUM","VALUE",":where{NAME=榆炼_生产计划部_原材料燃料动力购进库存及价格表_总价格_裂解石脑油}")</v>
      </c>
    </row>
    <row customHeight="1" ht="14.25">
      <c r="A59" s="134" t="s">
        <v>64</v>
      </c>
      <c r="B59" s="232" t="s">
        <v>65</v>
      </c>
      <c r="C59" s="232" t="s">
        <v>104</v>
      </c>
      <c r="D59" s="232" t="s">
        <v>67</v>
      </c>
      <c r="E59" s="232" t="s">
        <v>68</v>
      </c>
      <c r="F59" s="232" t="s">
        <v>69</v>
      </c>
      <c r="G59" s="232" t="s">
        <v>130</v>
      </c>
      <c r="H59" s="232" t="s">
        <v>71</v>
      </c>
      <c r="I59" s="134" t="str">
        <f>A59&amp;B59&amp;C59&amp;D59&amp;E59&amp;F59&amp;G59&amp;H59</f>
        <v>#SQL("Yul_Device_ByMonth_SUM","VALUE",":where{NAME=榆炼_生产计划部_原材料燃料动力购进库存及价格表_总价格_天然气}")</v>
      </c>
    </row>
    <row customHeight="1" ht="14.25">
      <c r="A60" s="134" t="s">
        <v>64</v>
      </c>
      <c r="B60" s="232" t="s">
        <v>65</v>
      </c>
      <c r="C60" s="232" t="s">
        <v>104</v>
      </c>
      <c r="D60" s="232" t="s">
        <v>67</v>
      </c>
      <c r="E60" s="232" t="s">
        <v>68</v>
      </c>
      <c r="F60" s="232" t="s">
        <v>69</v>
      </c>
      <c r="G60" s="232" t="s">
        <v>131</v>
      </c>
      <c r="H60" s="232" t="s">
        <v>71</v>
      </c>
      <c r="I60" s="134" t="str">
        <f>A60&amp;B60&amp;C60&amp;D60&amp;E60&amp;F60&amp;G60&amp;H60</f>
        <v>#SQL("Yul_Device_ByMonth_SUM","VALUE",":where{NAME=榆炼_生产计划部_原材料燃料动力购进库存及价格表_总价格_干气}")</v>
      </c>
    </row>
    <row customHeight="1" ht="14.25">
      <c r="A61" s="134" t="s">
        <v>64</v>
      </c>
      <c r="B61" s="232" t="s">
        <v>65</v>
      </c>
      <c r="C61" s="232" t="s">
        <v>104</v>
      </c>
      <c r="D61" s="232" t="s">
        <v>67</v>
      </c>
      <c r="E61" s="232" t="s">
        <v>68</v>
      </c>
      <c r="F61" s="232" t="s">
        <v>69</v>
      </c>
      <c r="G61" s="232" t="s">
        <v>132</v>
      </c>
      <c r="H61" s="232" t="s">
        <v>71</v>
      </c>
      <c r="I61" s="134" t="str">
        <f>A61&amp;B61&amp;C61&amp;D61&amp;E61&amp;F61&amp;G61&amp;H61</f>
        <v>#SQL("Yul_Device_ByMonth_SUM","VALUE",":where{NAME=榆炼_生产计划部_原材料燃料动力购进库存及价格表_工业消费_电}")</v>
      </c>
    </row>
    <row customHeight="1" ht="14.25">
      <c r="A62" s="134" t="s">
        <v>64</v>
      </c>
      <c r="B62" s="232" t="s">
        <v>65</v>
      </c>
      <c r="C62" s="232" t="s">
        <v>104</v>
      </c>
      <c r="D62" s="232" t="s">
        <v>67</v>
      </c>
      <c r="E62" s="232" t="s">
        <v>68</v>
      </c>
      <c r="F62" s="232" t="s">
        <v>69</v>
      </c>
      <c r="G62" s="232" t="s">
        <v>133</v>
      </c>
      <c r="H62" s="232" t="s">
        <v>71</v>
      </c>
      <c r="I62" s="134" t="str">
        <f>A62&amp;B62&amp;C62&amp;D62&amp;E62&amp;F62&amp;G62&amp;H62</f>
        <v>#SQL("Yul_Device_ByMonth_SUM","VALUE",":where{NAME=榆炼_生产计划部_原材料燃料动力购进库存及价格表_非工业消费_电}")</v>
      </c>
    </row>
    <row customHeight="1" ht="14.25">
      <c r="A63" s="134" t="s">
        <v>64</v>
      </c>
      <c r="B63" s="232" t="s">
        <v>65</v>
      </c>
      <c r="C63" s="232" t="s">
        <v>104</v>
      </c>
      <c r="D63" s="232" t="s">
        <v>67</v>
      </c>
      <c r="E63" s="232" t="s">
        <v>68</v>
      </c>
      <c r="F63" s="232" t="s">
        <v>69</v>
      </c>
      <c r="G63" s="232" t="s">
        <v>134</v>
      </c>
      <c r="H63" s="232" t="s">
        <v>71</v>
      </c>
      <c r="I63" s="134" t="str">
        <f>A63&amp;B63&amp;C63&amp;D63&amp;E63&amp;F63&amp;G63&amp;H63</f>
        <v>#SQL("Yul_Device_ByMonth_SUM","VALUE",":where{NAME=榆炼_生产计划部_原材料燃料动力购进库存及价格表_总价格_电}")</v>
      </c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0D13F97-A334-286F-E668-9764D26F4628}" mc:Ignorable="x14ac xr xr2 xr3">
  <dimension ref="A1:M261"/>
  <sheetViews>
    <sheetView topLeftCell="A228" workbookViewId="0">
      <selection activeCell="F250" sqref="F250"/>
    </sheetView>
  </sheetViews>
  <sheetFormatPr customHeight="1" defaultRowHeight="13.7025"/>
  <cols>
    <col min="1" max="1" width="104.57421875" customWidth="1"/>
  </cols>
  <sheetData>
    <row customHeight="1" ht="13.5">
      <c r="A1" s="134"/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>
        <v>0</v>
      </c>
    </row>
    <row customHeight="1" ht="14.25">
      <c r="A2" s="238">
        <v>182117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>
        <v>0</v>
      </c>
    </row>
    <row customHeight="1" ht="14.25">
      <c r="A3" s="239">
        <v>4020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>
        <v>0</v>
      </c>
    </row>
    <row customHeight="1" ht="14.25">
      <c r="A4" s="239">
        <v>0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34"/>
      <c r="M4" s="134"/>
    </row>
    <row customHeight="1" ht="14.25">
      <c r="A5" s="239">
        <v>565161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</row>
    <row customHeight="1" ht="14.25">
      <c r="A6" s="134">
        <v>6594</v>
      </c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</row>
    <row customHeight="1" ht="14.25">
      <c r="A7" s="239"/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</row>
    <row customHeight="1" ht="14.25">
      <c r="A8" s="239">
        <v>501317</v>
      </c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</row>
    <row customHeight="1" ht="14.25">
      <c r="A9" s="239">
        <v>7552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</row>
    <row customHeight="1" ht="14.25">
      <c r="A10" s="239">
        <v>0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</row>
    <row customHeight="1" ht="14.25">
      <c r="A11" s="134">
        <v>234937.283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</row>
    <row customHeight="1" ht="14.25">
      <c r="A12" s="134">
        <v>4033.94</v>
      </c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</row>
    <row customHeight="1" ht="14.25">
      <c r="A13" s="134">
        <v>-0.206000000000131</v>
      </c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</row>
    <row customHeight="1" ht="14.25">
      <c r="A14" s="134">
        <v>20912</v>
      </c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</row>
    <row customHeight="1" ht="14.25">
      <c r="A15" s="134">
        <v>17226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  <c r="M15" s="134"/>
    </row>
    <row customHeight="1" ht="14.25">
      <c r="A16" s="134">
        <v>4598.7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</row>
    <row customHeight="1" ht="14.25">
      <c r="A17" s="134">
        <v>766.66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</row>
    <row customHeight="1" ht="14.25">
      <c r="A18" s="134">
        <v>20944.28</v>
      </c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</row>
    <row customHeight="1" ht="14.25">
      <c r="A19" s="134">
        <v>17702</v>
      </c>
      <c r="B19" s="134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</row>
    <row customHeight="1" ht="14.25">
      <c r="A20" s="134">
        <v>4593.98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</row>
    <row customHeight="1" ht="14.25">
      <c r="A21" s="134">
        <v>883.66</v>
      </c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</row>
    <row customHeight="1" ht="14.25">
      <c r="A22" s="134">
        <v>51802.366</v>
      </c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</row>
    <row customHeight="1" ht="14.25">
      <c r="A23" s="134">
        <v>6950.94</v>
      </c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</row>
    <row customHeight="1" ht="14.25">
      <c r="A24" s="134">
        <v>70267.906</v>
      </c>
      <c r="B24" s="134"/>
      <c r="C24" s="134"/>
      <c r="D24" s="134"/>
      <c r="E24" s="134"/>
      <c r="F24" s="134"/>
      <c r="G24" s="134"/>
      <c r="H24" s="134"/>
      <c r="I24" s="134"/>
      <c r="J24" s="134"/>
      <c r="K24" s="134"/>
      <c r="L24" s="134"/>
      <c r="M24" s="134"/>
    </row>
    <row customHeight="1" ht="14.25">
      <c r="A25" s="134">
        <v>6904</v>
      </c>
      <c r="B25" s="134"/>
      <c r="C25" s="134"/>
      <c r="D25" s="134"/>
      <c r="E25" s="134"/>
      <c r="F25" s="134"/>
      <c r="G25" s="134"/>
      <c r="H25" s="134"/>
      <c r="I25" s="134"/>
      <c r="J25" s="134"/>
      <c r="K25" s="134"/>
      <c r="L25" s="134"/>
      <c r="M25" s="134"/>
    </row>
    <row customHeight="1" ht="14.25">
      <c r="A26" s="134">
        <v>7033.16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</row>
    <row customHeight="1" ht="14.25">
      <c r="A27" s="134">
        <v>1121</v>
      </c>
      <c r="B27" s="134"/>
      <c r="C27" s="134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  <row customHeight="1" ht="14.25">
      <c r="A28" s="240">
        <v>77340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</row>
    <row customHeight="1" ht="14.25">
      <c r="A29" s="134">
        <v>6577.52</v>
      </c>
      <c r="B29" s="134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</row>
    <row customHeight="1" ht="14.25">
      <c r="A30" s="241">
        <v>90893</v>
      </c>
      <c r="B30" s="134"/>
      <c r="C30" s="134"/>
      <c r="D30" s="134"/>
      <c r="E30" s="134"/>
      <c r="F30" s="134"/>
      <c r="G30" s="134"/>
      <c r="H30" s="134"/>
      <c r="I30" s="134"/>
      <c r="J30" s="134"/>
      <c r="K30" s="134"/>
      <c r="L30" s="134"/>
      <c r="M30" s="134"/>
    </row>
    <row customHeight="1" ht="14.25">
      <c r="A31" s="134">
        <v>6526.5</v>
      </c>
      <c r="B31" s="134"/>
      <c r="C31" s="134"/>
      <c r="D31" s="134"/>
      <c r="E31" s="134"/>
      <c r="F31" s="134"/>
      <c r="G31" s="134"/>
      <c r="H31" s="134"/>
      <c r="I31" s="134"/>
      <c r="J31" s="134"/>
      <c r="K31" s="134"/>
      <c r="L31" s="134"/>
      <c r="M31" s="134"/>
    </row>
    <row customHeight="1" ht="14.25">
      <c r="A32" s="134">
        <v>7033.16</v>
      </c>
      <c r="B32" s="134"/>
      <c r="C32" s="134"/>
      <c r="D32" s="134"/>
      <c r="E32" s="134"/>
      <c r="F32" s="134"/>
      <c r="G32" s="134"/>
      <c r="H32" s="134"/>
      <c r="I32" s="134"/>
      <c r="J32" s="134"/>
      <c r="K32" s="134"/>
      <c r="L32" s="134"/>
      <c r="M32" s="134"/>
    </row>
    <row customHeight="1" ht="14.25">
      <c r="A33" s="134">
        <v>1099.86</v>
      </c>
      <c r="B33" s="134"/>
      <c r="C33" s="134"/>
      <c r="D33" s="134"/>
      <c r="E33" s="134"/>
      <c r="F33" s="134"/>
      <c r="G33" s="134"/>
      <c r="H33" s="134"/>
      <c r="I33" s="134"/>
      <c r="J33" s="134"/>
      <c r="K33" s="134"/>
      <c r="L33" s="134"/>
      <c r="M33" s="134"/>
    </row>
    <row customHeight="1" ht="14.25">
      <c r="A34" s="239">
        <v>4766998.5</v>
      </c>
      <c r="B34" s="134"/>
      <c r="C34" s="134"/>
      <c r="D34" s="134"/>
      <c r="E34" s="134"/>
      <c r="F34" s="134"/>
      <c r="G34" s="134"/>
      <c r="H34" s="134"/>
      <c r="I34" s="134"/>
      <c r="J34" s="134"/>
      <c r="K34" s="134"/>
      <c r="L34" s="134"/>
      <c r="M34" s="134"/>
    </row>
    <row customHeight="1" ht="14.25">
      <c r="A35" s="134"/>
      <c r="B35" s="134"/>
      <c r="C35" s="134"/>
      <c r="D35" s="134"/>
      <c r="E35" s="134"/>
      <c r="F35" s="134"/>
      <c r="G35" s="134"/>
      <c r="H35" s="134"/>
      <c r="I35" s="134"/>
      <c r="J35" s="134"/>
      <c r="K35" s="134"/>
      <c r="L35" s="134"/>
      <c r="M35" s="134"/>
    </row>
    <row customHeight="1" ht="14.25">
      <c r="A36" s="134"/>
      <c r="B36" s="134"/>
      <c r="C36" s="134"/>
      <c r="D36" s="134"/>
      <c r="E36" s="134"/>
      <c r="F36" s="134"/>
      <c r="G36" s="134"/>
      <c r="H36" s="134"/>
      <c r="I36" s="134"/>
      <c r="J36" s="134"/>
      <c r="K36" s="134"/>
      <c r="L36" s="134"/>
      <c r="M36" s="134"/>
    </row>
    <row customHeight="1" ht="14.25">
      <c r="A37" s="239">
        <v>84921</v>
      </c>
      <c r="B37" s="134"/>
      <c r="C37" s="134"/>
      <c r="D37" s="134"/>
      <c r="E37" s="134"/>
      <c r="F37" s="134"/>
      <c r="G37" s="134"/>
      <c r="H37" s="134"/>
      <c r="I37" s="134"/>
      <c r="J37" s="134"/>
      <c r="K37" s="134"/>
      <c r="L37" s="134"/>
      <c r="M37" s="134"/>
    </row>
    <row customHeight="1" ht="14.25">
      <c r="A38" s="134"/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</row>
    <row customHeight="1" ht="14.25">
      <c r="A39" s="134"/>
      <c r="B39" s="134"/>
      <c r="C39" s="134"/>
      <c r="D39" s="134"/>
      <c r="E39" s="134"/>
      <c r="F39" s="134"/>
      <c r="G39" s="134"/>
      <c r="H39" s="134"/>
      <c r="I39" s="134"/>
      <c r="J39" s="134"/>
      <c r="K39" s="134"/>
      <c r="L39" s="134"/>
      <c r="M39" s="134"/>
    </row>
    <row customHeight="1" ht="14.25">
      <c r="A40" s="239">
        <v>0</v>
      </c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</row>
    <row customHeight="1" ht="14.25">
      <c r="A41" s="239">
        <v>2144.4</v>
      </c>
      <c r="B41" s="134"/>
      <c r="C41" s="134"/>
      <c r="D41" s="134"/>
      <c r="E41" s="134"/>
      <c r="F41" s="134"/>
      <c r="G41" s="134"/>
      <c r="H41" s="134"/>
      <c r="I41" s="134"/>
      <c r="J41" s="134"/>
      <c r="K41" s="134"/>
      <c r="L41" s="134"/>
      <c r="M41" s="134"/>
    </row>
    <row customHeight="1" ht="14.25">
      <c r="A42" s="134"/>
      <c r="B42" s="134"/>
      <c r="C42" s="134"/>
      <c r="D42" s="134"/>
      <c r="E42" s="134"/>
      <c r="F42" s="134"/>
      <c r="G42" s="134"/>
      <c r="H42" s="134"/>
      <c r="I42" s="134"/>
      <c r="J42" s="134"/>
      <c r="K42" s="134"/>
      <c r="L42" s="134"/>
      <c r="M42" s="134"/>
    </row>
    <row customHeight="1" ht="14.25">
      <c r="A43" s="239">
        <v>4705547</v>
      </c>
      <c r="B43" s="134"/>
      <c r="C43" s="134"/>
      <c r="D43" s="134"/>
      <c r="E43" s="134"/>
      <c r="F43" s="134"/>
      <c r="G43" s="134"/>
      <c r="H43" s="134"/>
      <c r="I43" s="134"/>
      <c r="J43" s="134"/>
      <c r="K43" s="134"/>
      <c r="L43" s="134"/>
      <c r="M43" s="134"/>
    </row>
    <row customHeight="1" ht="14.25">
      <c r="A44" s="134"/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</row>
    <row customHeight="1" ht="14.25">
      <c r="A45" s="134"/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</row>
    <row customHeight="1" ht="14.25">
      <c r="A46" s="239">
        <v>82825</v>
      </c>
      <c r="B46" s="134"/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</row>
    <row customHeight="1" ht="14.25">
      <c r="A47" s="134"/>
      <c r="B47" s="134"/>
      <c r="C47" s="134"/>
      <c r="D47" s="134"/>
      <c r="E47" s="134"/>
      <c r="F47" s="134"/>
      <c r="G47" s="134"/>
      <c r="H47" s="134"/>
      <c r="I47" s="134"/>
      <c r="J47" s="134"/>
      <c r="K47" s="134"/>
      <c r="L47" s="134"/>
      <c r="M47" s="134"/>
    </row>
    <row customHeight="1" ht="14.25">
      <c r="A48" s="134"/>
      <c r="B48" s="134"/>
      <c r="C48" s="134"/>
      <c r="D48" s="134"/>
      <c r="E48" s="134"/>
      <c r="F48" s="134"/>
      <c r="G48" s="134"/>
      <c r="H48" s="134"/>
      <c r="I48" s="134"/>
      <c r="J48" s="134"/>
      <c r="K48" s="134"/>
      <c r="L48" s="134"/>
      <c r="M48" s="134"/>
    </row>
    <row customHeight="1" ht="14.25">
      <c r="A49" s="239">
        <v>0</v>
      </c>
      <c r="B49" s="134"/>
      <c r="C49" s="134"/>
      <c r="D49" s="134"/>
      <c r="E49" s="134"/>
      <c r="F49" s="134"/>
      <c r="G49" s="134"/>
      <c r="H49" s="134"/>
      <c r="I49" s="134"/>
      <c r="J49" s="134"/>
      <c r="K49" s="134"/>
      <c r="L49" s="134"/>
      <c r="M49" s="134"/>
    </row>
    <row customHeight="1" ht="14.25">
      <c r="A50" s="239">
        <v>2144.5</v>
      </c>
      <c r="B50" s="134"/>
      <c r="C50" s="134"/>
      <c r="D50" s="134"/>
      <c r="E50" s="134"/>
      <c r="F50" s="134"/>
      <c r="G50" s="134"/>
      <c r="H50" s="134"/>
      <c r="I50" s="134"/>
      <c r="J50" s="134"/>
      <c r="K50" s="134"/>
      <c r="L50" s="134"/>
      <c r="M50" s="134"/>
    </row>
    <row customHeight="1" ht="14.25">
      <c r="A51" s="239"/>
      <c r="B51" s="134"/>
      <c r="C51" s="134"/>
      <c r="D51" s="134"/>
      <c r="E51" s="134"/>
      <c r="F51" s="134"/>
      <c r="G51" s="134"/>
      <c r="H51" s="134"/>
      <c r="I51" s="134"/>
      <c r="J51" s="134"/>
      <c r="K51" s="134"/>
      <c r="L51" s="134"/>
      <c r="M51" s="134"/>
    </row>
    <row customHeight="1" ht="14.25">
      <c r="A52" s="239">
        <v>19665379.58393</v>
      </c>
      <c r="B52" s="134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</row>
    <row customHeight="1" ht="14.25">
      <c r="A53" s="134"/>
      <c r="B53" s="134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</row>
    <row customHeight="1" ht="14.25">
      <c r="A54" s="134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</row>
    <row customHeight="1" ht="14.25">
      <c r="A55" s="239">
        <v>0</v>
      </c>
      <c r="B55" s="134"/>
      <c r="C55" s="134"/>
      <c r="D55" s="134"/>
      <c r="E55" s="134"/>
      <c r="F55" s="134"/>
      <c r="G55" s="134"/>
      <c r="H55" s="134"/>
      <c r="I55" s="134"/>
      <c r="J55" s="134"/>
      <c r="K55" s="134"/>
      <c r="L55" s="134"/>
      <c r="M55" s="134"/>
    </row>
    <row customHeight="1" ht="14.25">
      <c r="A56" s="134"/>
      <c r="B56" s="134"/>
      <c r="C56" s="134"/>
      <c r="D56" s="134"/>
      <c r="E56" s="134"/>
      <c r="F56" s="134"/>
      <c r="G56" s="134"/>
      <c r="H56" s="134"/>
      <c r="I56" s="134"/>
      <c r="J56" s="134"/>
      <c r="K56" s="134"/>
      <c r="L56" s="134"/>
      <c r="M56" s="134"/>
    </row>
    <row customHeight="1" ht="14.25">
      <c r="A57" s="134"/>
      <c r="B57" s="134"/>
      <c r="C57" s="134"/>
      <c r="D57" s="134"/>
      <c r="E57" s="134"/>
      <c r="F57" s="134"/>
      <c r="G57" s="134"/>
      <c r="H57" s="134"/>
      <c r="I57" s="134"/>
      <c r="J57" s="134"/>
      <c r="K57" s="134"/>
      <c r="L57" s="134"/>
      <c r="M57" s="134"/>
    </row>
    <row customHeight="1" ht="14.25">
      <c r="A58" s="239">
        <v>0</v>
      </c>
      <c r="B58" s="134"/>
      <c r="C58" s="134"/>
      <c r="D58" s="134"/>
      <c r="E58" s="134"/>
      <c r="F58" s="134"/>
      <c r="G58" s="134"/>
      <c r="H58" s="134"/>
      <c r="I58" s="134"/>
      <c r="J58" s="134"/>
      <c r="K58" s="134"/>
      <c r="L58" s="134"/>
      <c r="M58" s="134"/>
    </row>
    <row customHeight="1" ht="14.25">
      <c r="A59" s="239">
        <v>20196.59</v>
      </c>
      <c r="B59" s="134"/>
      <c r="C59" s="134"/>
      <c r="D59" s="134"/>
      <c r="E59" s="134"/>
      <c r="F59" s="134"/>
      <c r="G59" s="134"/>
      <c r="H59" s="134"/>
      <c r="I59" s="134"/>
      <c r="J59" s="134"/>
      <c r="K59" s="134"/>
      <c r="L59" s="134"/>
      <c r="M59" s="134"/>
    </row>
    <row customHeight="1" ht="14.25">
      <c r="A60" s="134"/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</row>
    <row customHeight="1" ht="14.25">
      <c r="A61" s="239">
        <v>0</v>
      </c>
      <c r="B61" s="134"/>
      <c r="C61" s="134"/>
      <c r="D61" s="134"/>
      <c r="E61" s="134"/>
      <c r="F61" s="134"/>
      <c r="G61" s="134"/>
      <c r="H61" s="134"/>
      <c r="I61" s="134"/>
      <c r="J61" s="134"/>
      <c r="K61" s="134"/>
      <c r="L61" s="134"/>
      <c r="M61" s="134"/>
    </row>
    <row customHeight="1" ht="14.25">
      <c r="A62" s="239">
        <v>0</v>
      </c>
      <c r="B62" s="134"/>
      <c r="C62" s="134"/>
      <c r="D62" s="134"/>
      <c r="E62" s="134"/>
      <c r="F62" s="134"/>
      <c r="G62" s="134"/>
      <c r="H62" s="134"/>
      <c r="I62" s="134"/>
      <c r="J62" s="134"/>
      <c r="K62" s="134"/>
      <c r="L62" s="134"/>
      <c r="M62" s="134"/>
    </row>
    <row customHeight="1" ht="14.25">
      <c r="A63" s="239">
        <v>0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4"/>
      <c r="M63" s="134"/>
    </row>
    <row customHeight="1" ht="13.7025">
      <c r="A64" s="134"/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</row>
    <row customHeight="1" ht="13.7025">
      <c r="A65" s="134"/>
      <c r="B65" s="134"/>
      <c r="C65" s="134"/>
      <c r="D65" s="134"/>
      <c r="E65" s="134"/>
      <c r="F65" s="134"/>
      <c r="G65" s="134"/>
      <c r="H65" s="134"/>
      <c r="I65" s="134"/>
      <c r="J65" s="134"/>
      <c r="K65" s="134"/>
      <c r="L65" s="134"/>
      <c r="M65" s="134"/>
    </row>
    <row customHeight="1" ht="13.5">
      <c r="A66" s="239">
        <v>182117</v>
      </c>
      <c r="B66" s="134"/>
      <c r="C66" s="134"/>
      <c r="D66" s="134"/>
      <c r="E66" s="134"/>
      <c r="F66" s="134"/>
      <c r="G66" s="134"/>
      <c r="H66" s="134"/>
      <c r="I66" s="134"/>
      <c r="J66" s="134"/>
      <c r="K66" s="134"/>
      <c r="L66" s="134"/>
      <c r="M66" s="134"/>
    </row>
    <row customHeight="1" ht="13.5">
      <c r="A67" s="239">
        <v>565161</v>
      </c>
      <c r="B67" s="134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</row>
    <row customHeight="1" ht="13.5">
      <c r="A68" s="239">
        <v>473</v>
      </c>
      <c r="B68" s="134"/>
      <c r="C68" s="134"/>
      <c r="D68" s="134"/>
      <c r="E68" s="134"/>
      <c r="F68" s="134"/>
      <c r="G68" s="134"/>
      <c r="H68" s="134"/>
      <c r="I68" s="134"/>
      <c r="J68" s="134"/>
      <c r="K68" s="134"/>
      <c r="L68" s="134"/>
      <c r="M68" s="134"/>
    </row>
    <row customHeight="1" ht="13.5">
      <c r="A69" s="239">
        <v>0</v>
      </c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</row>
    <row customHeight="1" ht="13.5">
      <c r="A70" s="239">
        <v>501317</v>
      </c>
      <c r="B70" s="134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</row>
    <row customHeight="1" ht="13.5">
      <c r="A71" s="239"/>
      <c r="B71" s="134"/>
      <c r="C71" s="134"/>
      <c r="D71" s="134"/>
      <c r="E71" s="134"/>
      <c r="F71" s="134"/>
      <c r="G71" s="134"/>
      <c r="H71" s="134"/>
      <c r="I71" s="134"/>
      <c r="J71" s="134"/>
      <c r="K71" s="134"/>
      <c r="L71" s="134"/>
      <c r="M71" s="134"/>
    </row>
    <row customHeight="1" ht="13.7025">
      <c r="A72" s="134"/>
      <c r="B72" s="134"/>
      <c r="C72" s="134"/>
      <c r="D72" s="134"/>
      <c r="E72" s="134"/>
      <c r="F72" s="134"/>
      <c r="G72" s="134"/>
      <c r="H72" s="134"/>
      <c r="I72" s="134"/>
      <c r="J72" s="134"/>
      <c r="K72" s="134"/>
      <c r="L72" s="134"/>
      <c r="M72" s="134"/>
    </row>
    <row customHeight="1" ht="13.5">
      <c r="A73" s="241">
        <v>85025</v>
      </c>
      <c r="B73" s="134"/>
      <c r="C73" s="134"/>
      <c r="D73" s="134"/>
      <c r="E73" s="134"/>
      <c r="F73" s="134"/>
      <c r="G73" s="134"/>
      <c r="H73" s="134"/>
      <c r="I73" s="134"/>
      <c r="J73" s="134"/>
      <c r="K73" s="134"/>
      <c r="L73" s="134"/>
      <c r="M73" s="134"/>
    </row>
    <row customHeight="1" ht="13.5">
      <c r="A74" s="241">
        <v>223581.326</v>
      </c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</row>
    <row customHeight="1" ht="13.7025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</row>
    <row customHeight="1" ht="13.7025">
      <c r="A76" s="134"/>
      <c r="B76" s="134"/>
      <c r="C76" s="134"/>
      <c r="D76" s="134"/>
      <c r="E76" s="134"/>
      <c r="F76" s="134"/>
      <c r="G76" s="134"/>
      <c r="H76" s="134"/>
      <c r="I76" s="134"/>
      <c r="J76" s="134"/>
      <c r="K76" s="134"/>
      <c r="L76" s="134"/>
      <c r="M76" s="134"/>
    </row>
    <row customHeight="1" ht="13.5">
      <c r="A77" s="242"/>
      <c r="B77" s="134"/>
      <c r="C77" s="134"/>
      <c r="D77" s="134"/>
      <c r="E77" s="134"/>
      <c r="F77" s="134"/>
      <c r="G77" s="134"/>
      <c r="H77" s="134"/>
      <c r="I77" s="134"/>
      <c r="J77" s="134"/>
      <c r="K77" s="134"/>
      <c r="L77" s="134"/>
      <c r="M77" s="134"/>
    </row>
    <row customHeight="1" ht="13.5">
      <c r="A78" s="242"/>
      <c r="B78" s="134"/>
      <c r="C78" s="134"/>
      <c r="D78" s="134"/>
      <c r="E78" s="134"/>
      <c r="F78" s="134"/>
      <c r="G78" s="134"/>
      <c r="H78" s="134"/>
      <c r="I78" s="134"/>
      <c r="J78" s="134"/>
      <c r="K78" s="134"/>
      <c r="L78" s="134"/>
      <c r="M78" s="134"/>
    </row>
    <row customHeight="1" ht="13.7025">
      <c r="A79" s="134"/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</row>
    <row customHeight="1" ht="13.5">
      <c r="A80" s="239">
        <v>4020</v>
      </c>
      <c r="B80" s="134"/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4"/>
    </row>
    <row customHeight="1" ht="13.5">
      <c r="A81" s="239">
        <v>6594</v>
      </c>
      <c r="B81" s="134"/>
      <c r="C81" s="134"/>
      <c r="D81" s="134"/>
      <c r="E81" s="134"/>
      <c r="F81" s="134"/>
      <c r="G81" s="134"/>
      <c r="H81" s="134"/>
      <c r="I81" s="134"/>
      <c r="J81" s="134"/>
      <c r="K81" s="134"/>
      <c r="L81" s="134"/>
      <c r="M81" s="134"/>
    </row>
    <row customHeight="1" ht="13.5">
      <c r="A82" s="239">
        <v>0</v>
      </c>
      <c r="B82" s="134"/>
      <c r="C82" s="134"/>
      <c r="D82" s="134"/>
      <c r="E82" s="134"/>
      <c r="F82" s="134"/>
      <c r="G82" s="134"/>
      <c r="H82" s="134"/>
      <c r="I82" s="134"/>
      <c r="J82" s="134"/>
      <c r="K82" s="134"/>
      <c r="L82" s="134"/>
      <c r="M82" s="134"/>
    </row>
    <row customHeight="1" ht="13.5">
      <c r="A83" s="239">
        <v>0</v>
      </c>
      <c r="B83" s="134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</row>
    <row customHeight="1" ht="13.5">
      <c r="A84" s="239">
        <v>7552</v>
      </c>
      <c r="B84" s="134"/>
      <c r="C84" s="134"/>
      <c r="D84" s="134"/>
      <c r="E84" s="134"/>
      <c r="F84" s="134"/>
      <c r="G84" s="134"/>
      <c r="H84" s="134"/>
      <c r="I84" s="134"/>
      <c r="J84" s="134"/>
      <c r="K84" s="134"/>
      <c r="L84" s="134"/>
      <c r="M84" s="134"/>
    </row>
    <row customHeight="1" ht="13.5">
      <c r="A85" s="239">
        <v>0</v>
      </c>
      <c r="B85" s="134"/>
      <c r="C85" s="134"/>
      <c r="D85" s="134"/>
      <c r="E85" s="134"/>
      <c r="F85" s="134"/>
      <c r="G85" s="134"/>
      <c r="H85" s="134"/>
      <c r="I85" s="134"/>
      <c r="J85" s="134"/>
      <c r="K85" s="134"/>
      <c r="L85" s="134"/>
      <c r="M85" s="134"/>
    </row>
    <row customHeight="1" ht="13.5">
      <c r="A86" s="239">
        <v>0</v>
      </c>
      <c r="B86" s="134"/>
      <c r="C86" s="134"/>
      <c r="D86" s="134"/>
      <c r="E86" s="134"/>
      <c r="F86" s="134"/>
      <c r="G86" s="134"/>
      <c r="H86" s="134"/>
      <c r="I86" s="134"/>
      <c r="J86" s="134"/>
      <c r="K86" s="134"/>
      <c r="L86" s="134"/>
      <c r="M86" s="134"/>
    </row>
    <row customHeight="1" ht="13.5">
      <c r="A87" s="239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</row>
    <row customHeight="1" ht="13.5">
      <c r="A88" s="239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</row>
    <row customHeight="1" ht="13.5">
      <c r="A89" s="239">
        <v>0</v>
      </c>
      <c r="B89" s="134"/>
      <c r="C89" s="134"/>
      <c r="D89" s="134"/>
      <c r="E89" s="134"/>
      <c r="F89" s="134"/>
      <c r="G89" s="134"/>
      <c r="H89" s="134"/>
      <c r="I89" s="134"/>
      <c r="J89" s="134"/>
      <c r="K89" s="134"/>
      <c r="L89" s="134"/>
      <c r="M89" s="134"/>
    </row>
    <row customHeight="1" ht="13.7025">
      <c r="A90" s="134"/>
      <c r="B90" s="134"/>
      <c r="C90" s="134"/>
      <c r="D90" s="134"/>
      <c r="E90" s="134"/>
      <c r="F90" s="134"/>
      <c r="G90" s="134"/>
      <c r="H90" s="134"/>
      <c r="I90" s="134"/>
      <c r="J90" s="134"/>
      <c r="K90" s="134"/>
      <c r="L90" s="134"/>
      <c r="M90" s="134"/>
    </row>
    <row customHeight="1" ht="13.7025">
      <c r="A91" s="134"/>
      <c r="B91" s="134"/>
      <c r="C91" s="134"/>
      <c r="D91" s="134"/>
      <c r="E91" s="134"/>
      <c r="F91" s="134"/>
      <c r="G91" s="134"/>
      <c r="H91" s="134"/>
      <c r="I91" s="134"/>
      <c r="J91" s="134"/>
      <c r="K91" s="134"/>
      <c r="L91" s="134"/>
      <c r="M91" s="134"/>
    </row>
    <row customHeight="1" ht="13.5">
      <c r="A92" s="239">
        <v>0</v>
      </c>
      <c r="B92" s="134"/>
      <c r="C92" s="134"/>
      <c r="D92" s="134"/>
      <c r="E92" s="134"/>
      <c r="F92" s="134"/>
      <c r="G92" s="134"/>
      <c r="H92" s="134"/>
      <c r="I92" s="134"/>
      <c r="J92" s="134"/>
      <c r="K92" s="134"/>
      <c r="L92" s="134"/>
      <c r="M92" s="134"/>
    </row>
    <row customHeight="1" ht="13.5">
      <c r="A93" s="239"/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</row>
    <row customHeight="1" ht="13.5">
      <c r="A94" s="239"/>
      <c r="B94" s="134"/>
      <c r="C94" s="134"/>
      <c r="D94" s="134"/>
      <c r="E94" s="134"/>
      <c r="F94" s="134"/>
      <c r="G94" s="134"/>
      <c r="H94" s="134"/>
      <c r="I94" s="134"/>
      <c r="J94" s="134"/>
      <c r="K94" s="134"/>
      <c r="L94" s="134"/>
      <c r="M94" s="134"/>
    </row>
    <row customHeight="1" ht="13.5">
      <c r="A95" s="239">
        <v>0</v>
      </c>
      <c r="B95" s="134"/>
      <c r="C95" s="134"/>
      <c r="D95" s="134"/>
      <c r="E95" s="134"/>
      <c r="F95" s="134"/>
      <c r="G95" s="134"/>
      <c r="H95" s="134"/>
      <c r="I95" s="134"/>
      <c r="J95" s="134"/>
      <c r="K95" s="134"/>
      <c r="L95" s="134"/>
      <c r="M95" s="134"/>
    </row>
    <row customHeight="1" ht="13.5">
      <c r="A96" s="239"/>
      <c r="B96" s="134"/>
      <c r="C96" s="134"/>
      <c r="D96" s="134"/>
      <c r="E96" s="134"/>
      <c r="F96" s="134"/>
      <c r="G96" s="134"/>
      <c r="H96" s="134"/>
      <c r="I96" s="134"/>
      <c r="J96" s="134"/>
      <c r="K96" s="134"/>
      <c r="L96" s="134"/>
      <c r="M96" s="134"/>
    </row>
    <row customHeight="1" ht="13.5">
      <c r="A97" s="239"/>
      <c r="B97" s="134"/>
      <c r="C97" s="134"/>
      <c r="D97" s="134"/>
      <c r="E97" s="134"/>
      <c r="F97" s="134"/>
      <c r="G97" s="134"/>
      <c r="H97" s="134"/>
      <c r="I97" s="134"/>
      <c r="J97" s="134"/>
      <c r="K97" s="134"/>
      <c r="L97" s="134"/>
      <c r="M97" s="134"/>
    </row>
    <row customHeight="1" ht="13.5">
      <c r="A98" s="239"/>
      <c r="B98" s="134"/>
      <c r="C98" s="134"/>
      <c r="D98" s="134"/>
      <c r="E98" s="134"/>
      <c r="F98" s="134"/>
      <c r="G98" s="134"/>
      <c r="H98" s="134"/>
      <c r="I98" s="134"/>
      <c r="J98" s="134"/>
      <c r="K98" s="134"/>
      <c r="L98" s="134"/>
      <c r="M98" s="134"/>
    </row>
    <row customHeight="1" ht="13.5">
      <c r="A99" s="239"/>
      <c r="B99" s="134"/>
      <c r="C99" s="134"/>
      <c r="D99" s="134"/>
      <c r="E99" s="134"/>
      <c r="F99" s="134"/>
      <c r="G99" s="134"/>
      <c r="H99" s="134"/>
      <c r="I99" s="134"/>
      <c r="J99" s="134"/>
      <c r="K99" s="134"/>
      <c r="L99" s="134"/>
      <c r="M99" s="134"/>
    </row>
    <row customHeight="1" ht="13.5">
      <c r="A100" s="239"/>
      <c r="B100" s="134"/>
      <c r="C100" s="134"/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</row>
    <row customHeight="1" ht="13.5">
      <c r="A101" s="239"/>
      <c r="B101" s="134"/>
      <c r="C101" s="134"/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</row>
    <row customHeight="1" ht="13.5">
      <c r="A102" s="239">
        <v>0</v>
      </c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</row>
    <row customHeight="1" ht="13.7025">
      <c r="A103" s="134"/>
      <c r="B103" s="134"/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</row>
    <row customHeight="1" ht="13.7025">
      <c r="A104" s="134"/>
      <c r="B104" s="134"/>
      <c r="C104" s="134"/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</row>
    <row customHeight="1" ht="13.5">
      <c r="A105" s="239"/>
      <c r="B105" s="134"/>
      <c r="C105" s="134"/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</row>
    <row customHeight="1" ht="13.7025">
      <c r="A106" s="134"/>
      <c r="B106" s="134"/>
      <c r="C106" s="134"/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</row>
    <row customHeight="1" ht="13.7025">
      <c r="A107" s="134"/>
      <c r="B107" s="134"/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</row>
    <row customHeight="1" ht="13.5">
      <c r="A108" s="239">
        <v>0</v>
      </c>
      <c r="B108" s="134"/>
      <c r="C108" s="134"/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</row>
    <row customHeight="1" ht="13.5">
      <c r="A109" s="239">
        <v>5781</v>
      </c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</row>
    <row customHeight="1" ht="13.5">
      <c r="A110" s="239">
        <v>5882</v>
      </c>
      <c r="B110" s="134"/>
      <c r="C110" s="134"/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</row>
    <row customHeight="1" ht="13.7025">
      <c r="A111" s="134"/>
      <c r="B111" s="134"/>
      <c r="C111" s="134"/>
      <c r="D111" s="134"/>
      <c r="E111" s="134"/>
      <c r="F111" s="134"/>
      <c r="G111" s="134"/>
      <c r="H111" s="134"/>
      <c r="I111" s="134"/>
      <c r="J111" s="134"/>
      <c r="K111" s="134"/>
      <c r="L111" s="134"/>
      <c r="M111" s="134"/>
    </row>
    <row customHeight="1" ht="13.5">
      <c r="A112" s="239">
        <f>A115+A116+A117-A118-A119-A120+A121+A122-A123+A124</f>
        <v>0</v>
      </c>
      <c r="B112" s="134"/>
      <c r="C112" s="134"/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</row>
    <row customHeight="1" ht="13.5">
      <c r="A113" s="239">
        <f>A126+A127+A128-A129-A130-A131+A132+A133-A134+A135</f>
        <v>5141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</row>
    <row customHeight="1" ht="13.5">
      <c r="A114" s="239">
        <f>A138+A139+A140-A141-A142-A143+A144+A145-A146+A147</f>
        <v>5781</v>
      </c>
      <c r="B114" s="134"/>
      <c r="C114" s="134"/>
      <c r="D114" s="134"/>
      <c r="E114" s="134"/>
      <c r="F114" s="134"/>
      <c r="G114" s="134"/>
      <c r="H114" s="134"/>
      <c r="I114" s="134"/>
      <c r="J114" s="134"/>
      <c r="K114" s="134"/>
      <c r="L114" s="134"/>
      <c r="M114" s="134"/>
    </row>
    <row customHeight="1" ht="13.5">
      <c r="A115" s="239">
        <v>0</v>
      </c>
      <c r="B115" s="134"/>
      <c r="C115" s="134"/>
      <c r="D115" s="134"/>
      <c r="E115" s="134"/>
      <c r="F115" s="134"/>
      <c r="G115" s="134"/>
      <c r="H115" s="134"/>
      <c r="I115" s="134"/>
      <c r="J115" s="134"/>
      <c r="K115" s="134"/>
      <c r="L115" s="134"/>
      <c r="M115" s="134"/>
    </row>
    <row customHeight="1" ht="13.5">
      <c r="A116" s="239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</row>
    <row customHeight="1" ht="13.5">
      <c r="A117" s="239"/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</row>
    <row customHeight="1" ht="13.5">
      <c r="A118" s="239">
        <v>0</v>
      </c>
      <c r="B118" s="134"/>
      <c r="C118" s="134"/>
      <c r="D118" s="134"/>
      <c r="E118" s="134"/>
      <c r="F118" s="134"/>
      <c r="G118" s="134"/>
      <c r="H118" s="134"/>
      <c r="I118" s="134"/>
      <c r="J118" s="134"/>
      <c r="K118" s="134"/>
      <c r="L118" s="134"/>
      <c r="M118" s="134"/>
    </row>
    <row customHeight="1" ht="13.5">
      <c r="A119" s="239"/>
      <c r="B119" s="134"/>
      <c r="C119" s="134"/>
      <c r="D119" s="134"/>
      <c r="E119" s="134"/>
      <c r="F119" s="134"/>
      <c r="G119" s="134"/>
      <c r="H119" s="134"/>
      <c r="I119" s="134"/>
      <c r="J119" s="134"/>
      <c r="K119" s="134"/>
      <c r="L119" s="134"/>
      <c r="M119" s="134"/>
    </row>
    <row customHeight="1" ht="13.5">
      <c r="A120" s="239"/>
      <c r="B120" s="134"/>
      <c r="C120" s="134"/>
      <c r="D120" s="134"/>
      <c r="E120" s="134"/>
      <c r="F120" s="134"/>
      <c r="G120" s="134"/>
      <c r="H120" s="134"/>
      <c r="I120" s="134"/>
      <c r="J120" s="134"/>
      <c r="K120" s="134"/>
      <c r="L120" s="134"/>
      <c r="M120" s="134"/>
    </row>
    <row customHeight="1" ht="13.5">
      <c r="A121" s="239"/>
      <c r="B121" s="134"/>
      <c r="C121" s="134"/>
      <c r="D121" s="134"/>
      <c r="E121" s="134"/>
      <c r="F121" s="134"/>
      <c r="G121" s="134"/>
      <c r="H121" s="134"/>
      <c r="I121" s="134"/>
      <c r="J121" s="134"/>
      <c r="K121" s="134"/>
      <c r="L121" s="134"/>
      <c r="M121" s="134"/>
    </row>
    <row customHeight="1" ht="13.5">
      <c r="A122" s="239"/>
      <c r="B122" s="134"/>
      <c r="C122" s="134"/>
      <c r="D122" s="134"/>
      <c r="E122" s="134"/>
      <c r="F122" s="134"/>
      <c r="G122" s="134"/>
      <c r="H122" s="134"/>
      <c r="I122" s="134"/>
      <c r="J122" s="134"/>
      <c r="K122" s="134"/>
      <c r="L122" s="134"/>
      <c r="M122" s="134"/>
    </row>
    <row customHeight="1" ht="13.5">
      <c r="A123" s="239"/>
      <c r="B123" s="134"/>
      <c r="C123" s="134"/>
      <c r="D123" s="134"/>
      <c r="E123" s="134"/>
      <c r="F123" s="134"/>
      <c r="G123" s="134"/>
      <c r="H123" s="134"/>
      <c r="I123" s="134"/>
      <c r="J123" s="134"/>
      <c r="K123" s="134"/>
      <c r="L123" s="134"/>
      <c r="M123" s="134"/>
    </row>
    <row customHeight="1" ht="13.5">
      <c r="A124" s="239">
        <v>0</v>
      </c>
      <c r="B124" s="134"/>
      <c r="C124" s="134"/>
      <c r="D124" s="134"/>
      <c r="E124" s="134"/>
      <c r="F124" s="134"/>
      <c r="G124" s="134"/>
      <c r="H124" s="134"/>
      <c r="I124" s="134"/>
      <c r="J124" s="134"/>
      <c r="K124" s="134"/>
      <c r="L124" s="134"/>
      <c r="M124" s="134"/>
    </row>
    <row customHeight="1" ht="13.5">
      <c r="A125" s="239"/>
      <c r="B125" s="134"/>
      <c r="C125" s="134"/>
      <c r="D125" s="134"/>
      <c r="E125" s="134"/>
      <c r="F125" s="134"/>
      <c r="G125" s="134"/>
      <c r="H125" s="134"/>
      <c r="I125" s="134"/>
      <c r="J125" s="134"/>
      <c r="K125" s="134"/>
      <c r="L125" s="134"/>
      <c r="M125" s="134"/>
    </row>
    <row customHeight="1" ht="13.5">
      <c r="A126" s="239">
        <v>5882</v>
      </c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</row>
    <row customHeight="1" ht="13.5">
      <c r="A127" s="239">
        <v>0</v>
      </c>
      <c r="B127" s="134"/>
      <c r="C127" s="134"/>
      <c r="D127" s="134"/>
      <c r="E127" s="134"/>
      <c r="F127" s="134"/>
      <c r="G127" s="134"/>
      <c r="H127" s="134"/>
      <c r="I127" s="134"/>
      <c r="J127" s="134"/>
      <c r="K127" s="134"/>
      <c r="L127" s="134"/>
      <c r="M127" s="134"/>
    </row>
    <row customHeight="1" ht="13.5">
      <c r="A128" s="239">
        <v>69784</v>
      </c>
      <c r="B128" s="134"/>
      <c r="C128" s="134"/>
      <c r="D128" s="134"/>
      <c r="E128" s="134"/>
      <c r="F128" s="134"/>
      <c r="G128" s="134"/>
      <c r="H128" s="134"/>
      <c r="I128" s="134"/>
      <c r="J128" s="134"/>
      <c r="K128" s="134"/>
      <c r="L128" s="134"/>
      <c r="M128" s="134"/>
    </row>
    <row customHeight="1" ht="13.5">
      <c r="A129" s="239">
        <v>70525</v>
      </c>
      <c r="B129" s="134"/>
      <c r="C129" s="134"/>
      <c r="D129" s="134"/>
      <c r="E129" s="134"/>
      <c r="F129" s="134"/>
      <c r="G129" s="134"/>
      <c r="H129" s="134"/>
      <c r="I129" s="134"/>
      <c r="J129" s="134"/>
      <c r="K129" s="134"/>
      <c r="L129" s="134"/>
      <c r="M129" s="134"/>
    </row>
    <row customHeight="1" ht="13.5">
      <c r="A130" s="239">
        <v>0</v>
      </c>
      <c r="B130" s="134"/>
      <c r="C130" s="134"/>
      <c r="D130" s="134"/>
      <c r="E130" s="134"/>
      <c r="F130" s="134"/>
      <c r="G130" s="134"/>
      <c r="H130" s="134"/>
      <c r="I130" s="134"/>
      <c r="J130" s="134"/>
      <c r="K130" s="134"/>
      <c r="L130" s="134"/>
      <c r="M130" s="134"/>
    </row>
    <row customHeight="1" ht="13.5">
      <c r="A131" s="239">
        <v>0</v>
      </c>
      <c r="B131" s="134"/>
      <c r="C131" s="134"/>
      <c r="D131" s="134"/>
      <c r="E131" s="134"/>
      <c r="F131" s="134"/>
      <c r="G131" s="134"/>
      <c r="H131" s="134"/>
      <c r="I131" s="134"/>
      <c r="J131" s="134"/>
      <c r="K131" s="134"/>
      <c r="L131" s="134"/>
      <c r="M131" s="134"/>
    </row>
    <row customHeight="1" ht="13.5">
      <c r="A132" s="239">
        <v>0</v>
      </c>
      <c r="B132" s="134"/>
      <c r="C132" s="134"/>
      <c r="D132" s="134"/>
      <c r="E132" s="134"/>
      <c r="F132" s="134"/>
      <c r="G132" s="134"/>
      <c r="H132" s="134"/>
      <c r="I132" s="134"/>
      <c r="J132" s="134"/>
      <c r="K132" s="134"/>
      <c r="L132" s="134"/>
      <c r="M132" s="134"/>
    </row>
    <row customHeight="1" ht="13.5">
      <c r="A133" s="239"/>
      <c r="B133" s="134"/>
      <c r="C133" s="134"/>
      <c r="D133" s="134"/>
      <c r="E133" s="134"/>
      <c r="F133" s="134"/>
      <c r="G133" s="134"/>
      <c r="H133" s="134"/>
      <c r="I133" s="134"/>
      <c r="J133" s="134"/>
      <c r="K133" s="134"/>
      <c r="L133" s="134"/>
      <c r="M133" s="134"/>
    </row>
    <row customHeight="1" ht="13.5">
      <c r="A134" s="239"/>
      <c r="B134" s="134"/>
      <c r="C134" s="134"/>
      <c r="D134" s="134"/>
      <c r="E134" s="134"/>
      <c r="F134" s="134"/>
      <c r="G134" s="134"/>
      <c r="H134" s="134"/>
      <c r="I134" s="134"/>
      <c r="J134" s="134"/>
      <c r="K134" s="134"/>
      <c r="L134" s="134"/>
      <c r="M134" s="134"/>
    </row>
    <row customHeight="1" ht="13.5">
      <c r="A135" s="239">
        <v>0</v>
      </c>
      <c r="B135" s="134"/>
      <c r="C135" s="134"/>
      <c r="D135" s="134"/>
      <c r="E135" s="134"/>
      <c r="F135" s="134"/>
      <c r="G135" s="134"/>
      <c r="H135" s="134"/>
      <c r="I135" s="134"/>
      <c r="J135" s="134"/>
      <c r="K135" s="134"/>
      <c r="L135" s="134"/>
      <c r="M135" s="134"/>
    </row>
    <row customHeight="1" ht="13.5">
      <c r="A136" s="239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</row>
    <row customHeight="1" ht="13.7025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</row>
    <row customHeight="1" ht="13.5">
      <c r="A138" s="239">
        <v>5781</v>
      </c>
      <c r="B138" s="134"/>
      <c r="C138" s="134"/>
      <c r="D138" s="134"/>
      <c r="E138" s="134"/>
      <c r="F138" s="134"/>
      <c r="G138" s="134"/>
      <c r="H138" s="134"/>
      <c r="I138" s="134"/>
      <c r="J138" s="134"/>
      <c r="K138" s="134"/>
      <c r="L138" s="134"/>
      <c r="M138" s="134"/>
    </row>
    <row customHeight="1" ht="13.5">
      <c r="A139" s="239">
        <v>0</v>
      </c>
      <c r="B139" s="134"/>
      <c r="C139" s="134"/>
      <c r="D139" s="134"/>
      <c r="E139" s="134"/>
      <c r="F139" s="134"/>
      <c r="G139" s="134"/>
      <c r="H139" s="134"/>
      <c r="I139" s="134"/>
      <c r="J139" s="134"/>
      <c r="K139" s="134"/>
      <c r="L139" s="134"/>
      <c r="M139" s="134"/>
    </row>
    <row customHeight="1" ht="13.5">
      <c r="A140" s="239">
        <v>0</v>
      </c>
      <c r="B140" s="134"/>
      <c r="C140" s="134"/>
      <c r="D140" s="134"/>
      <c r="E140" s="134"/>
      <c r="F140" s="134"/>
      <c r="G140" s="134"/>
      <c r="H140" s="134"/>
      <c r="I140" s="134"/>
      <c r="J140" s="134"/>
      <c r="K140" s="134"/>
      <c r="L140" s="134"/>
      <c r="M140" s="134"/>
    </row>
    <row customHeight="1" ht="13.5">
      <c r="A141" s="239">
        <v>0</v>
      </c>
      <c r="B141" s="134"/>
      <c r="C141" s="134"/>
      <c r="D141" s="134"/>
      <c r="E141" s="134"/>
      <c r="F141" s="134"/>
      <c r="G141" s="134"/>
      <c r="H141" s="134"/>
      <c r="I141" s="134"/>
      <c r="J141" s="134"/>
      <c r="K141" s="134"/>
      <c r="L141" s="134"/>
      <c r="M141" s="134"/>
    </row>
    <row customHeight="1" ht="13.5">
      <c r="A142" s="239">
        <v>0</v>
      </c>
      <c r="B142" s="134"/>
      <c r="C142" s="134"/>
      <c r="D142" s="134"/>
      <c r="E142" s="134"/>
      <c r="F142" s="134"/>
      <c r="G142" s="134"/>
      <c r="H142" s="134"/>
      <c r="I142" s="134"/>
      <c r="J142" s="134"/>
      <c r="K142" s="134"/>
      <c r="L142" s="134"/>
      <c r="M142" s="134"/>
    </row>
    <row customHeight="1" ht="13.5">
      <c r="A143" s="239">
        <v>0</v>
      </c>
      <c r="B143" s="134"/>
      <c r="C143" s="134"/>
      <c r="D143" s="134"/>
      <c r="E143" s="134"/>
      <c r="F143" s="134"/>
      <c r="G143" s="134"/>
      <c r="H143" s="134"/>
      <c r="I143" s="134"/>
      <c r="J143" s="134"/>
      <c r="K143" s="134"/>
      <c r="L143" s="134"/>
      <c r="M143" s="134"/>
    </row>
    <row customHeight="1" ht="13.5">
      <c r="A144" s="239">
        <v>0</v>
      </c>
      <c r="B144" s="134"/>
      <c r="C144" s="134"/>
      <c r="D144" s="134"/>
      <c r="E144" s="134"/>
      <c r="F144" s="134"/>
      <c r="G144" s="134"/>
      <c r="H144" s="134"/>
      <c r="I144" s="134"/>
      <c r="J144" s="134"/>
      <c r="K144" s="134"/>
      <c r="L144" s="134"/>
      <c r="M144" s="134"/>
    </row>
    <row customHeight="1" ht="13.5">
      <c r="A145" s="239"/>
      <c r="B145" s="134"/>
      <c r="C145" s="134"/>
      <c r="D145" s="134"/>
      <c r="E145" s="134"/>
      <c r="F145" s="134"/>
      <c r="G145" s="134"/>
      <c r="H145" s="134"/>
      <c r="I145" s="134"/>
      <c r="J145" s="134"/>
      <c r="K145" s="134"/>
      <c r="L145" s="134"/>
      <c r="M145" s="134"/>
    </row>
    <row customHeight="1" ht="13.5">
      <c r="A146" s="239"/>
      <c r="B146" s="134"/>
      <c r="C146" s="134"/>
      <c r="D146" s="134"/>
      <c r="E146" s="134"/>
      <c r="F146" s="134"/>
      <c r="G146" s="134"/>
      <c r="H146" s="134"/>
      <c r="I146" s="134"/>
      <c r="J146" s="134"/>
      <c r="K146" s="134"/>
      <c r="L146" s="134"/>
      <c r="M146" s="134"/>
    </row>
    <row customHeight="1" ht="13.5">
      <c r="A147" s="239">
        <v>0</v>
      </c>
      <c r="B147" s="134"/>
      <c r="C147" s="134"/>
      <c r="D147" s="134"/>
      <c r="E147" s="134"/>
      <c r="F147" s="134"/>
      <c r="G147" s="134"/>
      <c r="H147" s="134"/>
      <c r="I147" s="134"/>
      <c r="J147" s="134"/>
      <c r="K147" s="134"/>
      <c r="L147" s="134"/>
      <c r="M147" s="134"/>
    </row>
    <row customHeight="1" ht="13.5">
      <c r="A148" s="239"/>
      <c r="B148" s="134"/>
      <c r="C148" s="134"/>
      <c r="D148" s="134"/>
      <c r="E148" s="134"/>
      <c r="F148" s="134"/>
      <c r="G148" s="134"/>
      <c r="H148" s="134"/>
      <c r="I148" s="134"/>
      <c r="J148" s="134"/>
      <c r="K148" s="134"/>
      <c r="L148" s="134"/>
      <c r="M148" s="134"/>
    </row>
    <row customHeight="1" ht="13.7025">
      <c r="A149" s="134"/>
      <c r="B149" s="134"/>
      <c r="C149" s="134"/>
      <c r="D149" s="134"/>
      <c r="E149" s="134"/>
      <c r="F149" s="134"/>
      <c r="G149" s="134"/>
      <c r="H149" s="134"/>
      <c r="I149" s="134"/>
      <c r="J149" s="134"/>
      <c r="K149" s="134"/>
      <c r="L149" s="134"/>
      <c r="M149" s="134"/>
    </row>
    <row customHeight="1" ht="13.5">
      <c r="A150" s="239">
        <v>20912</v>
      </c>
      <c r="B150" s="134"/>
      <c r="C150" s="134"/>
      <c r="D150" s="134"/>
      <c r="E150" s="134"/>
      <c r="F150" s="134"/>
      <c r="G150" s="134"/>
      <c r="H150" s="134"/>
      <c r="I150" s="134"/>
      <c r="J150" s="134"/>
      <c r="K150" s="134"/>
      <c r="L150" s="134"/>
      <c r="M150" s="134"/>
    </row>
    <row customHeight="1" ht="13.7025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</row>
    <row customHeight="1" ht="13.5">
      <c r="A152" s="239">
        <v>0</v>
      </c>
      <c r="B152" s="134"/>
      <c r="C152" s="134"/>
      <c r="D152" s="134"/>
      <c r="E152" s="134"/>
      <c r="F152" s="134"/>
      <c r="G152" s="134"/>
      <c r="H152" s="134"/>
      <c r="I152" s="134"/>
      <c r="J152" s="134"/>
      <c r="K152" s="134"/>
      <c r="L152" s="134"/>
      <c r="M152" s="134"/>
    </row>
    <row customHeight="1" ht="13.5">
      <c r="A153" s="239">
        <v>24870</v>
      </c>
      <c r="B153" s="134"/>
      <c r="C153" s="134"/>
      <c r="D153" s="134"/>
      <c r="E153" s="134"/>
      <c r="F153" s="134"/>
      <c r="G153" s="134"/>
      <c r="H153" s="134"/>
      <c r="I153" s="134"/>
      <c r="J153" s="134"/>
      <c r="K153" s="134"/>
      <c r="L153" s="134"/>
      <c r="M153" s="134"/>
    </row>
    <row customHeight="1" ht="13.5">
      <c r="A154" s="239">
        <v>19199</v>
      </c>
      <c r="B154" s="134"/>
      <c r="C154" s="134"/>
      <c r="D154" s="134"/>
      <c r="E154" s="134"/>
      <c r="F154" s="134"/>
      <c r="G154" s="134"/>
      <c r="H154" s="134"/>
      <c r="I154" s="134"/>
      <c r="J154" s="134"/>
      <c r="K154" s="134"/>
      <c r="L154" s="134"/>
      <c r="M154" s="134"/>
    </row>
    <row customHeight="1" ht="13.5">
      <c r="A155" s="239">
        <v>0</v>
      </c>
      <c r="B155" s="134"/>
      <c r="C155" s="134"/>
      <c r="D155" s="134"/>
      <c r="E155" s="134"/>
      <c r="F155" s="134"/>
      <c r="G155" s="134"/>
      <c r="H155" s="134"/>
      <c r="I155" s="134"/>
      <c r="J155" s="134"/>
      <c r="K155" s="134"/>
      <c r="L155" s="134"/>
      <c r="M155" s="134"/>
    </row>
    <row customHeight="1" ht="13.5">
      <c r="A156" s="239">
        <v>8860</v>
      </c>
      <c r="B156" s="134"/>
      <c r="C156" s="134"/>
      <c r="D156" s="134"/>
      <c r="E156" s="134"/>
      <c r="F156" s="134"/>
      <c r="G156" s="134"/>
      <c r="H156" s="134"/>
      <c r="I156" s="134"/>
      <c r="J156" s="134"/>
      <c r="K156" s="134"/>
      <c r="L156" s="134"/>
      <c r="M156" s="134"/>
    </row>
    <row customHeight="1" ht="13.5">
      <c r="A157" s="239">
        <v>0</v>
      </c>
      <c r="B157" s="134"/>
      <c r="C157" s="134"/>
      <c r="D157" s="134"/>
      <c r="E157" s="134"/>
      <c r="F157" s="134"/>
      <c r="G157" s="134"/>
      <c r="H157" s="134"/>
      <c r="I157" s="134"/>
      <c r="J157" s="134"/>
      <c r="K157" s="134"/>
      <c r="L157" s="134"/>
      <c r="M157" s="134"/>
    </row>
    <row customHeight="1" ht="13.5">
      <c r="A158" s="239">
        <v>0</v>
      </c>
      <c r="B158" s="134"/>
      <c r="C158" s="134"/>
      <c r="D158" s="134"/>
      <c r="E158" s="134"/>
      <c r="F158" s="134"/>
      <c r="G158" s="134"/>
      <c r="H158" s="134"/>
      <c r="I158" s="134"/>
      <c r="J158" s="134"/>
      <c r="K158" s="134"/>
      <c r="L158" s="134"/>
      <c r="M158" s="134"/>
    </row>
    <row customHeight="1" ht="13.5">
      <c r="A159" s="239"/>
      <c r="B159" s="134"/>
      <c r="C159" s="134"/>
      <c r="D159" s="134"/>
      <c r="E159" s="134"/>
      <c r="F159" s="134"/>
      <c r="G159" s="134"/>
      <c r="H159" s="134"/>
      <c r="I159" s="134"/>
      <c r="J159" s="134"/>
      <c r="K159" s="134"/>
      <c r="L159" s="134"/>
      <c r="M159" s="134"/>
    </row>
    <row customHeight="1" ht="13.5">
      <c r="A160" s="239">
        <v>0</v>
      </c>
      <c r="B160" s="134"/>
      <c r="C160" s="134"/>
      <c r="D160" s="134"/>
      <c r="E160" s="134"/>
      <c r="F160" s="134"/>
      <c r="G160" s="134"/>
      <c r="H160" s="134"/>
      <c r="I160" s="134"/>
      <c r="J160" s="134"/>
      <c r="K160" s="134"/>
      <c r="L160" s="134"/>
      <c r="M160" s="134"/>
    </row>
    <row customHeight="1" ht="13.5">
      <c r="A161" s="242"/>
      <c r="B161" s="134"/>
      <c r="C161" s="134"/>
      <c r="D161" s="134"/>
      <c r="E161" s="134"/>
      <c r="F161" s="134"/>
      <c r="G161" s="134"/>
      <c r="H161" s="134"/>
      <c r="I161" s="134"/>
      <c r="J161" s="134"/>
      <c r="K161" s="134"/>
      <c r="L161" s="134"/>
      <c r="M161" s="134"/>
    </row>
    <row customHeight="1" ht="13.5">
      <c r="A162" s="239">
        <v>4074</v>
      </c>
      <c r="B162" s="134"/>
      <c r="C162" s="134"/>
      <c r="D162" s="134"/>
      <c r="E162" s="134"/>
      <c r="F162" s="134"/>
      <c r="G162" s="134"/>
      <c r="H162" s="134"/>
      <c r="I162" s="134"/>
      <c r="J162" s="134"/>
      <c r="K162" s="134"/>
      <c r="L162" s="134"/>
      <c r="M162" s="134"/>
    </row>
    <row customHeight="1" ht="13.5">
      <c r="A163" s="239">
        <v>1524</v>
      </c>
      <c r="B163" s="134"/>
      <c r="C163" s="134"/>
      <c r="D163" s="134"/>
      <c r="E163" s="134"/>
      <c r="F163" s="134"/>
      <c r="G163" s="134"/>
      <c r="H163" s="134"/>
      <c r="I163" s="134"/>
      <c r="J163" s="134"/>
      <c r="K163" s="134"/>
      <c r="L163" s="134"/>
      <c r="M163" s="134"/>
    </row>
    <row customHeight="1" ht="13.5">
      <c r="A164" s="239">
        <v>2661</v>
      </c>
      <c r="B164" s="134"/>
      <c r="C164" s="134"/>
      <c r="D164" s="134"/>
      <c r="E164" s="134"/>
      <c r="F164" s="134"/>
      <c r="G164" s="134"/>
      <c r="H164" s="134"/>
      <c r="I164" s="134"/>
      <c r="J164" s="134"/>
      <c r="K164" s="134"/>
      <c r="L164" s="134"/>
      <c r="M164" s="134"/>
    </row>
    <row customHeight="1" ht="13.5">
      <c r="A165" s="239">
        <v>0</v>
      </c>
      <c r="B165" s="134"/>
      <c r="C165" s="134"/>
      <c r="D165" s="134"/>
      <c r="E165" s="134"/>
      <c r="F165" s="134"/>
      <c r="G165" s="134"/>
      <c r="H165" s="134"/>
      <c r="I165" s="134"/>
      <c r="J165" s="134"/>
      <c r="K165" s="134"/>
      <c r="L165" s="134"/>
      <c r="M165" s="134"/>
    </row>
    <row customHeight="1" ht="13.5">
      <c r="A166" s="239"/>
      <c r="B166" s="134"/>
      <c r="C166" s="134"/>
      <c r="D166" s="134"/>
      <c r="E166" s="134"/>
      <c r="F166" s="134"/>
      <c r="G166" s="134"/>
      <c r="H166" s="134"/>
      <c r="I166" s="134"/>
      <c r="J166" s="134"/>
      <c r="K166" s="134"/>
      <c r="L166" s="134"/>
      <c r="M166" s="134"/>
    </row>
    <row customHeight="1" ht="13.5">
      <c r="A167" s="239"/>
      <c r="B167" s="134"/>
      <c r="C167" s="134"/>
      <c r="D167" s="134"/>
      <c r="E167" s="134"/>
      <c r="F167" s="134"/>
      <c r="G167" s="134"/>
      <c r="H167" s="134"/>
      <c r="I167" s="134"/>
      <c r="J167" s="134"/>
      <c r="K167" s="134"/>
      <c r="L167" s="134"/>
      <c r="M167" s="134"/>
    </row>
    <row customHeight="1" ht="13.5">
      <c r="A168" s="239"/>
      <c r="B168" s="134"/>
      <c r="C168" s="134"/>
      <c r="D168" s="134"/>
      <c r="E168" s="134"/>
      <c r="F168" s="134"/>
      <c r="G168" s="134"/>
      <c r="H168" s="134"/>
      <c r="I168" s="134"/>
      <c r="J168" s="134"/>
      <c r="K168" s="134"/>
      <c r="L168" s="134"/>
      <c r="M168" s="134"/>
    </row>
    <row customHeight="1" ht="13.5">
      <c r="A169" s="239"/>
      <c r="B169" s="134"/>
      <c r="C169" s="134"/>
      <c r="D169" s="134"/>
      <c r="E169" s="134"/>
      <c r="F169" s="134"/>
      <c r="G169" s="134"/>
      <c r="H169" s="134"/>
      <c r="I169" s="134"/>
      <c r="J169" s="134"/>
      <c r="K169" s="134"/>
      <c r="L169" s="134"/>
      <c r="M169" s="134"/>
    </row>
    <row customHeight="1" ht="13.5">
      <c r="A170" s="239">
        <v>2661</v>
      </c>
      <c r="B170" s="134"/>
      <c r="C170" s="134"/>
      <c r="D170" s="134"/>
      <c r="E170" s="134"/>
      <c r="F170" s="134"/>
      <c r="G170" s="134"/>
      <c r="H170" s="134"/>
      <c r="I170" s="134"/>
      <c r="J170" s="134"/>
      <c r="K170" s="134"/>
      <c r="L170" s="134"/>
      <c r="M170" s="134"/>
    </row>
    <row customHeight="1" ht="13.5">
      <c r="A171" s="239">
        <v>0</v>
      </c>
      <c r="B171" s="134"/>
      <c r="C171" s="134"/>
      <c r="D171" s="134"/>
      <c r="E171" s="134"/>
      <c r="F171" s="134"/>
      <c r="G171" s="134"/>
      <c r="H171" s="134"/>
      <c r="I171" s="134"/>
      <c r="J171" s="134"/>
      <c r="K171" s="134"/>
      <c r="L171" s="134"/>
      <c r="M171" s="134"/>
    </row>
    <row customHeight="1" ht="13.5">
      <c r="A172" s="241">
        <v>17226</v>
      </c>
      <c r="B172" s="134"/>
      <c r="C172" s="134"/>
      <c r="D172" s="134"/>
      <c r="E172" s="134"/>
      <c r="F172" s="134"/>
      <c r="G172" s="134"/>
      <c r="H172" s="134"/>
      <c r="I172" s="134"/>
      <c r="J172" s="134"/>
      <c r="K172" s="134"/>
      <c r="L172" s="134"/>
      <c r="M172" s="134"/>
    </row>
    <row customHeight="1" ht="13.5">
      <c r="A173" s="241">
        <v>31914</v>
      </c>
      <c r="B173" s="134"/>
      <c r="C173" s="134"/>
      <c r="D173" s="134"/>
      <c r="E173" s="134"/>
      <c r="F173" s="134"/>
      <c r="G173" s="134"/>
      <c r="H173" s="134"/>
      <c r="I173" s="134"/>
      <c r="J173" s="134"/>
      <c r="K173" s="134"/>
      <c r="L173" s="134"/>
      <c r="M173" s="134"/>
    </row>
    <row customHeight="1" ht="13.5">
      <c r="A174" s="239"/>
      <c r="B174" s="134"/>
      <c r="C174" s="134"/>
      <c r="D174" s="134"/>
      <c r="E174" s="134"/>
      <c r="F174" s="134"/>
      <c r="G174" s="134"/>
      <c r="H174" s="134"/>
      <c r="I174" s="134"/>
      <c r="J174" s="134"/>
      <c r="K174" s="134"/>
      <c r="L174" s="134"/>
      <c r="M174" s="134"/>
    </row>
    <row customHeight="1" ht="13.5">
      <c r="A175" s="239">
        <v>233275</v>
      </c>
      <c r="B175" s="134"/>
      <c r="C175" s="134"/>
      <c r="D175" s="134"/>
      <c r="E175" s="134"/>
      <c r="F175" s="134"/>
      <c r="G175" s="134"/>
      <c r="H175" s="134"/>
      <c r="I175" s="134"/>
      <c r="J175" s="134"/>
      <c r="K175" s="134"/>
      <c r="L175" s="134"/>
      <c r="M175" s="134"/>
    </row>
    <row customHeight="1" ht="13.5">
      <c r="A176" s="239">
        <v>124939</v>
      </c>
      <c r="B176" s="134"/>
      <c r="C176" s="134"/>
      <c r="D176" s="134"/>
      <c r="E176" s="134"/>
      <c r="F176" s="134"/>
      <c r="G176" s="134"/>
      <c r="H176" s="134"/>
      <c r="I176" s="134"/>
      <c r="J176" s="134"/>
      <c r="K176" s="134"/>
      <c r="L176" s="134"/>
      <c r="M176" s="134"/>
    </row>
    <row customHeight="1" ht="13.5">
      <c r="A177" s="239"/>
      <c r="B177" s="134"/>
      <c r="C177" s="134"/>
      <c r="D177" s="134"/>
      <c r="E177" s="134"/>
      <c r="F177" s="134"/>
      <c r="G177" s="134"/>
      <c r="H177" s="134"/>
      <c r="I177" s="134"/>
      <c r="J177" s="134"/>
      <c r="K177" s="134"/>
      <c r="L177" s="134"/>
      <c r="M177" s="134"/>
    </row>
    <row customHeight="1" ht="13.5">
      <c r="A178" s="239"/>
      <c r="B178" s="134"/>
      <c r="C178" s="134"/>
      <c r="D178" s="134"/>
      <c r="E178" s="134"/>
      <c r="F178" s="134"/>
      <c r="G178" s="134"/>
      <c r="H178" s="134"/>
      <c r="I178" s="134"/>
      <c r="J178" s="134"/>
      <c r="K178" s="134"/>
      <c r="L178" s="134"/>
      <c r="M178" s="134"/>
    </row>
    <row customHeight="1" ht="13.5">
      <c r="A179" s="239">
        <v>0</v>
      </c>
      <c r="B179" s="134"/>
      <c r="C179" s="134"/>
      <c r="D179" s="134"/>
      <c r="E179" s="134"/>
      <c r="F179" s="134"/>
      <c r="G179" s="134"/>
      <c r="H179" s="134"/>
      <c r="I179" s="134"/>
      <c r="J179" s="134"/>
      <c r="K179" s="134"/>
      <c r="L179" s="134"/>
      <c r="M179" s="134"/>
    </row>
    <row customHeight="1" ht="13.5">
      <c r="A180" s="239"/>
      <c r="B180" s="134"/>
      <c r="C180" s="134"/>
      <c r="D180" s="134"/>
      <c r="E180" s="134"/>
      <c r="F180" s="134"/>
      <c r="G180" s="134"/>
      <c r="H180" s="134"/>
      <c r="I180" s="134"/>
      <c r="J180" s="134"/>
      <c r="K180" s="134"/>
      <c r="L180" s="134"/>
      <c r="M180" s="134"/>
    </row>
    <row customHeight="1" ht="13.5">
      <c r="A181" s="239"/>
      <c r="B181" s="134"/>
      <c r="C181" s="134"/>
      <c r="D181" s="134"/>
      <c r="E181" s="134"/>
      <c r="F181" s="134"/>
      <c r="G181" s="134"/>
      <c r="H181" s="134"/>
      <c r="I181" s="134"/>
      <c r="J181" s="134"/>
      <c r="K181" s="134"/>
      <c r="L181" s="134"/>
      <c r="M181" s="134"/>
    </row>
    <row customHeight="1" ht="13.5">
      <c r="A182" s="239">
        <v>0</v>
      </c>
      <c r="B182" s="134"/>
      <c r="C182" s="134"/>
      <c r="D182" s="134"/>
      <c r="E182" s="134"/>
      <c r="F182" s="134"/>
      <c r="G182" s="134"/>
      <c r="H182" s="134"/>
      <c r="I182" s="134"/>
      <c r="J182" s="134"/>
      <c r="K182" s="134"/>
      <c r="L182" s="134"/>
      <c r="M182" s="134"/>
    </row>
    <row customHeight="1" ht="13.7025">
      <c r="A183" s="134"/>
      <c r="B183" s="134"/>
      <c r="C183" s="134"/>
      <c r="D183" s="134"/>
      <c r="E183" s="134"/>
      <c r="F183" s="134"/>
      <c r="G183" s="134"/>
      <c r="H183" s="134"/>
      <c r="I183" s="134"/>
      <c r="J183" s="134"/>
      <c r="K183" s="134"/>
      <c r="L183" s="134"/>
      <c r="M183" s="134"/>
    </row>
    <row customHeight="1" ht="13.5">
      <c r="A184" s="239">
        <v>5357</v>
      </c>
      <c r="B184" s="134"/>
      <c r="C184" s="134"/>
      <c r="D184" s="134"/>
      <c r="E184" s="134"/>
      <c r="F184" s="134"/>
      <c r="G184" s="134"/>
      <c r="H184" s="134"/>
      <c r="I184" s="134"/>
      <c r="J184" s="134"/>
      <c r="K184" s="134"/>
      <c r="L184" s="134"/>
      <c r="M184" s="134"/>
    </row>
    <row customHeight="1" ht="13.5">
      <c r="A185" s="239"/>
      <c r="B185" s="134"/>
      <c r="C185" s="134"/>
      <c r="D185" s="134"/>
      <c r="E185" s="134"/>
      <c r="F185" s="134"/>
      <c r="G185" s="134"/>
      <c r="H185" s="134"/>
      <c r="I185" s="134"/>
      <c r="J185" s="134"/>
      <c r="K185" s="134"/>
      <c r="L185" s="134"/>
      <c r="M185" s="134"/>
    </row>
    <row customHeight="1" ht="13.5">
      <c r="A186" s="239">
        <v>3972</v>
      </c>
      <c r="B186" s="134"/>
      <c r="C186" s="134"/>
      <c r="D186" s="134"/>
      <c r="E186" s="134"/>
      <c r="F186" s="134"/>
      <c r="G186" s="134"/>
      <c r="H186" s="134"/>
      <c r="I186" s="134"/>
      <c r="J186" s="134"/>
      <c r="K186" s="134"/>
      <c r="L186" s="134"/>
      <c r="M186" s="134"/>
    </row>
    <row customHeight="1" ht="13.5">
      <c r="A187" s="239"/>
      <c r="B187" s="134"/>
      <c r="C187" s="134"/>
      <c r="D187" s="134"/>
      <c r="E187" s="134"/>
      <c r="F187" s="134"/>
      <c r="G187" s="134"/>
      <c r="H187" s="134"/>
      <c r="I187" s="134"/>
      <c r="J187" s="134"/>
      <c r="K187" s="134"/>
      <c r="L187" s="134"/>
      <c r="M187" s="134"/>
    </row>
    <row customHeight="1" ht="13.5">
      <c r="A188" s="239"/>
      <c r="B188" s="134"/>
      <c r="C188" s="134"/>
      <c r="D188" s="134"/>
      <c r="E188" s="134"/>
      <c r="F188" s="134"/>
      <c r="G188" s="134"/>
      <c r="H188" s="134"/>
      <c r="I188" s="134"/>
      <c r="J188" s="134"/>
      <c r="K188" s="134"/>
      <c r="L188" s="134"/>
      <c r="M188" s="134"/>
    </row>
    <row customHeight="1" ht="13.5">
      <c r="A189" s="239">
        <v>0</v>
      </c>
      <c r="B189" s="134"/>
      <c r="C189" s="134"/>
      <c r="D189" s="134"/>
      <c r="E189" s="134"/>
      <c r="F189" s="134"/>
      <c r="G189" s="134"/>
      <c r="H189" s="134"/>
      <c r="I189" s="134"/>
      <c r="J189" s="134"/>
      <c r="K189" s="134"/>
      <c r="L189" s="134"/>
      <c r="M189" s="134"/>
    </row>
    <row customHeight="1" ht="13.5">
      <c r="A190" s="239">
        <v>0</v>
      </c>
      <c r="B190" s="134"/>
      <c r="C190" s="134"/>
      <c r="D190" s="134"/>
      <c r="E190" s="134"/>
      <c r="F190" s="134"/>
      <c r="G190" s="134"/>
      <c r="H190" s="134"/>
      <c r="I190" s="134"/>
      <c r="J190" s="134"/>
      <c r="K190" s="134"/>
      <c r="L190" s="134"/>
      <c r="M190" s="134"/>
    </row>
    <row customHeight="1" ht="13.5">
      <c r="A191" s="239"/>
      <c r="B191" s="134"/>
      <c r="C191" s="134"/>
      <c r="D191" s="134"/>
      <c r="E191" s="134"/>
      <c r="F191" s="134"/>
      <c r="G191" s="134"/>
      <c r="H191" s="134"/>
      <c r="I191" s="134"/>
      <c r="J191" s="134"/>
      <c r="K191" s="134"/>
      <c r="L191" s="134"/>
      <c r="M191" s="134"/>
    </row>
    <row customHeight="1" ht="13.5">
      <c r="A192" s="239"/>
      <c r="B192" s="134"/>
      <c r="C192" s="134"/>
      <c r="D192" s="134"/>
      <c r="E192" s="134"/>
      <c r="F192" s="134"/>
      <c r="G192" s="134"/>
      <c r="H192" s="134"/>
      <c r="I192" s="134"/>
      <c r="J192" s="134"/>
      <c r="K192" s="134"/>
      <c r="L192" s="134"/>
      <c r="M192" s="134"/>
    </row>
    <row customHeight="1" ht="13.5">
      <c r="A193" s="239">
        <v>0.0200000000004366</v>
      </c>
      <c r="B193" s="134"/>
      <c r="C193" s="134"/>
      <c r="D193" s="134"/>
      <c r="E193" s="134"/>
      <c r="F193" s="134"/>
      <c r="G193" s="134"/>
      <c r="H193" s="134"/>
      <c r="I193" s="134"/>
      <c r="J193" s="134"/>
      <c r="K193" s="134"/>
      <c r="L193" s="134"/>
      <c r="M193" s="134"/>
    </row>
    <row customHeight="1" ht="13.5">
      <c r="A194" s="241">
        <v>767</v>
      </c>
      <c r="B194" s="134"/>
      <c r="C194" s="134"/>
      <c r="D194" s="134"/>
      <c r="E194" s="134"/>
      <c r="F194" s="134"/>
      <c r="G194" s="134"/>
      <c r="H194" s="134"/>
      <c r="I194" s="134"/>
      <c r="J194" s="134"/>
      <c r="K194" s="134"/>
      <c r="L194" s="134"/>
      <c r="M194" s="134"/>
    </row>
    <row customHeight="1" ht="13.5">
      <c r="A195" s="241">
        <v>1012</v>
      </c>
      <c r="B195" s="134"/>
      <c r="C195" s="134"/>
      <c r="D195" s="134"/>
      <c r="E195" s="134"/>
      <c r="F195" s="134"/>
      <c r="G195" s="134"/>
      <c r="H195" s="134"/>
      <c r="I195" s="134"/>
      <c r="J195" s="134"/>
      <c r="K195" s="134"/>
      <c r="L195" s="134"/>
      <c r="M195" s="134"/>
    </row>
    <row customHeight="1" ht="13.5">
      <c r="A196" s="239">
        <v>0</v>
      </c>
      <c r="B196" s="134"/>
      <c r="C196" s="134"/>
      <c r="D196" s="134"/>
      <c r="E196" s="134"/>
      <c r="F196" s="134"/>
      <c r="G196" s="134"/>
      <c r="H196" s="134"/>
      <c r="I196" s="134"/>
      <c r="J196" s="134"/>
      <c r="K196" s="134"/>
      <c r="L196" s="134"/>
      <c r="M196" s="134"/>
    </row>
    <row customHeight="1" ht="13.5">
      <c r="A197" s="239">
        <v>4064</v>
      </c>
      <c r="B197" s="134"/>
      <c r="C197" s="134"/>
      <c r="D197" s="134"/>
      <c r="E197" s="134"/>
      <c r="F197" s="134"/>
      <c r="G197" s="134"/>
      <c r="H197" s="134"/>
      <c r="I197" s="134"/>
      <c r="J197" s="134"/>
      <c r="K197" s="134"/>
      <c r="L197" s="134"/>
      <c r="M197" s="134"/>
    </row>
    <row customHeight="1" ht="13.5">
      <c r="A198" s="239"/>
      <c r="B198" s="134"/>
      <c r="C198" s="134"/>
      <c r="D198" s="134"/>
      <c r="E198" s="134"/>
      <c r="F198" s="134"/>
      <c r="G198" s="134"/>
      <c r="H198" s="134"/>
      <c r="I198" s="134"/>
      <c r="J198" s="134"/>
      <c r="K198" s="134"/>
      <c r="L198" s="134"/>
      <c r="M198" s="134"/>
    </row>
    <row customHeight="1" ht="13.5">
      <c r="A199" s="239"/>
      <c r="B199" s="134"/>
      <c r="C199" s="134"/>
      <c r="D199" s="134"/>
      <c r="E199" s="134"/>
      <c r="F199" s="134"/>
      <c r="G199" s="134"/>
      <c r="H199" s="134"/>
      <c r="I199" s="134"/>
      <c r="J199" s="134"/>
      <c r="K199" s="134"/>
      <c r="L199" s="134"/>
      <c r="M199" s="134"/>
    </row>
    <row customHeight="1" ht="13.5">
      <c r="A200" s="239"/>
      <c r="B200" s="134"/>
      <c r="C200" s="134"/>
      <c r="D200" s="134"/>
      <c r="E200" s="134"/>
      <c r="F200" s="134"/>
      <c r="G200" s="134"/>
      <c r="H200" s="134"/>
      <c r="I200" s="134"/>
      <c r="J200" s="134"/>
      <c r="K200" s="134"/>
      <c r="L200" s="134"/>
      <c r="M200" s="134"/>
    </row>
    <row customHeight="1" ht="13.5">
      <c r="A201" s="239"/>
      <c r="B201" s="134"/>
      <c r="C201" s="134"/>
      <c r="D201" s="134"/>
      <c r="E201" s="134"/>
      <c r="F201" s="134"/>
      <c r="G201" s="134"/>
      <c r="H201" s="134"/>
      <c r="I201" s="134"/>
      <c r="J201" s="134"/>
      <c r="K201" s="134"/>
      <c r="L201" s="134"/>
      <c r="M201" s="134"/>
    </row>
    <row customHeight="1" ht="13.5">
      <c r="A202" s="239"/>
      <c r="B202" s="134"/>
      <c r="C202" s="134"/>
      <c r="D202" s="134"/>
      <c r="E202" s="134"/>
      <c r="F202" s="134"/>
      <c r="G202" s="134"/>
      <c r="H202" s="134"/>
      <c r="I202" s="134"/>
      <c r="J202" s="134"/>
      <c r="K202" s="134"/>
      <c r="L202" s="134"/>
      <c r="M202" s="134"/>
    </row>
    <row customHeight="1" ht="13.5">
      <c r="A203" s="239"/>
      <c r="B203" s="134"/>
      <c r="C203" s="134"/>
      <c r="D203" s="134"/>
      <c r="E203" s="134"/>
      <c r="F203" s="134"/>
      <c r="G203" s="134"/>
      <c r="H203" s="134"/>
      <c r="I203" s="134"/>
      <c r="J203" s="134"/>
      <c r="K203" s="134"/>
      <c r="L203" s="134"/>
      <c r="M203" s="134"/>
    </row>
    <row customHeight="1" ht="13.5">
      <c r="A204" s="239">
        <v>0</v>
      </c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</row>
    <row customHeight="1" ht="13.7025">
      <c r="A205" s="134"/>
      <c r="B205" s="134"/>
      <c r="C205" s="134"/>
      <c r="D205" s="134"/>
      <c r="E205" s="134"/>
      <c r="F205" s="134"/>
      <c r="G205" s="134"/>
      <c r="H205" s="134"/>
      <c r="I205" s="134"/>
      <c r="J205" s="134"/>
      <c r="K205" s="134"/>
      <c r="L205" s="134"/>
      <c r="M205" s="134"/>
    </row>
    <row customHeight="1" ht="13.7025">
      <c r="A206" s="134"/>
      <c r="B206" s="134"/>
      <c r="C206" s="134"/>
      <c r="D206" s="134"/>
      <c r="E206" s="134"/>
      <c r="F206" s="134"/>
      <c r="G206" s="134"/>
      <c r="H206" s="134"/>
      <c r="I206" s="134"/>
      <c r="J206" s="134"/>
      <c r="K206" s="134"/>
      <c r="L206" s="134"/>
      <c r="M206" s="134"/>
    </row>
    <row customHeight="1" ht="13.5">
      <c r="A207" s="243">
        <v>2693293</v>
      </c>
      <c r="B207" s="134"/>
      <c r="C207" s="134"/>
      <c r="D207" s="134"/>
      <c r="E207" s="134"/>
      <c r="F207" s="134"/>
      <c r="G207" s="134"/>
      <c r="H207" s="134"/>
      <c r="I207" s="134"/>
      <c r="J207" s="134"/>
      <c r="K207" s="134"/>
      <c r="L207" s="134"/>
      <c r="M207" s="134"/>
    </row>
    <row customHeight="1" ht="13.5">
      <c r="A208" s="243">
        <v>615238</v>
      </c>
      <c r="B208" s="134"/>
      <c r="C208" s="134"/>
      <c r="D208" s="134"/>
      <c r="E208" s="134"/>
      <c r="F208" s="134"/>
      <c r="G208" s="134"/>
      <c r="H208" s="134"/>
      <c r="I208" s="134"/>
      <c r="J208" s="134"/>
      <c r="K208" s="134"/>
      <c r="L208" s="134"/>
      <c r="M208" s="134"/>
    </row>
    <row customHeight="1" ht="13.5">
      <c r="A209" s="243">
        <v>1458468</v>
      </c>
      <c r="B209" s="134"/>
      <c r="C209" s="134"/>
      <c r="D209" s="134"/>
      <c r="E209" s="134"/>
      <c r="F209" s="134"/>
      <c r="G209" s="134"/>
      <c r="H209" s="134"/>
      <c r="I209" s="134"/>
      <c r="J209" s="134"/>
      <c r="K209" s="134"/>
      <c r="L209" s="134"/>
      <c r="M209" s="134"/>
    </row>
    <row customHeight="1" ht="13.7025">
      <c r="A210" s="134"/>
      <c r="B210" s="134"/>
      <c r="C210" s="134"/>
      <c r="D210" s="134"/>
      <c r="E210" s="134"/>
      <c r="F210" s="134"/>
      <c r="G210" s="134"/>
      <c r="H210" s="134"/>
      <c r="I210" s="134"/>
      <c r="J210" s="134"/>
      <c r="K210" s="134"/>
      <c r="L210" s="134"/>
      <c r="M210" s="134"/>
    </row>
    <row customHeight="1" ht="13.7025">
      <c r="A211" s="134"/>
      <c r="B211" s="134"/>
      <c r="C211" s="134"/>
      <c r="D211" s="134"/>
      <c r="E211" s="134"/>
      <c r="F211" s="134"/>
      <c r="G211" s="134"/>
      <c r="H211" s="134"/>
      <c r="I211" s="134"/>
      <c r="J211" s="134"/>
      <c r="K211" s="134"/>
      <c r="L211" s="134"/>
      <c r="M211" s="134"/>
    </row>
    <row customHeight="1" ht="13.5">
      <c r="A212" s="243">
        <v>4705547</v>
      </c>
      <c r="B212" s="134"/>
      <c r="C212" s="134"/>
      <c r="D212" s="134"/>
      <c r="E212" s="134"/>
      <c r="F212" s="134"/>
      <c r="G212" s="134"/>
      <c r="H212" s="134"/>
      <c r="I212" s="134"/>
      <c r="J212" s="134"/>
      <c r="K212" s="134"/>
      <c r="L212" s="134"/>
      <c r="M212" s="134"/>
    </row>
    <row customHeight="1" ht="13.5">
      <c r="A213" s="243">
        <v>4705547</v>
      </c>
      <c r="B213" s="134"/>
      <c r="C213" s="134"/>
      <c r="D213" s="134"/>
      <c r="E213" s="134"/>
      <c r="F213" s="134"/>
      <c r="G213" s="134"/>
      <c r="H213" s="134"/>
      <c r="I213" s="134"/>
      <c r="J213" s="134"/>
      <c r="K213" s="134"/>
      <c r="L213" s="134"/>
      <c r="M213" s="134"/>
    </row>
    <row customHeight="1" ht="13.5">
      <c r="A214" s="243">
        <v>4705547</v>
      </c>
      <c r="B214" s="134"/>
      <c r="C214" s="134"/>
      <c r="D214" s="134"/>
      <c r="E214" s="134"/>
      <c r="F214" s="134"/>
      <c r="G214" s="134"/>
      <c r="H214" s="134"/>
      <c r="I214" s="134"/>
      <c r="J214" s="134"/>
      <c r="K214" s="134"/>
      <c r="L214" s="134"/>
      <c r="M214" s="134"/>
    </row>
    <row customHeight="1" ht="13.7025">
      <c r="A215" s="134"/>
      <c r="B215" s="134"/>
      <c r="C215" s="134"/>
      <c r="D215" s="134"/>
      <c r="E215" s="134"/>
      <c r="F215" s="134"/>
      <c r="G215" s="134"/>
      <c r="H215" s="134"/>
      <c r="I215" s="134"/>
      <c r="J215" s="134"/>
      <c r="K215" s="134"/>
      <c r="L215" s="134"/>
      <c r="M215" s="134"/>
    </row>
    <row customHeight="1" ht="13.5">
      <c r="A216" s="243">
        <v>0</v>
      </c>
      <c r="B216" s="134"/>
      <c r="C216" s="134"/>
      <c r="D216" s="134"/>
      <c r="E216" s="134"/>
      <c r="F216" s="134"/>
      <c r="G216" s="134"/>
      <c r="H216" s="134"/>
      <c r="I216" s="134"/>
      <c r="J216" s="134"/>
      <c r="K216" s="134"/>
      <c r="L216" s="134"/>
      <c r="M216" s="134"/>
    </row>
    <row customHeight="1" ht="13.5">
      <c r="A217" s="243">
        <v>0</v>
      </c>
      <c r="B217" s="134"/>
      <c r="C217" s="134"/>
      <c r="D217" s="134"/>
      <c r="E217" s="134"/>
      <c r="F217" s="134"/>
      <c r="G217" s="134"/>
      <c r="H217" s="134"/>
      <c r="I217" s="134"/>
      <c r="J217" s="134"/>
      <c r="K217" s="134"/>
      <c r="L217" s="134"/>
      <c r="M217" s="134"/>
    </row>
    <row customHeight="1" ht="13.5">
      <c r="A218" s="243">
        <v>0</v>
      </c>
      <c r="B218" s="134"/>
      <c r="C218" s="134"/>
      <c r="D218" s="134"/>
      <c r="E218" s="134"/>
      <c r="F218" s="134"/>
      <c r="G218" s="134"/>
      <c r="H218" s="134"/>
      <c r="I218" s="134"/>
      <c r="J218" s="134"/>
      <c r="K218" s="134"/>
      <c r="L218" s="134"/>
      <c r="M218" s="134"/>
    </row>
    <row customHeight="1" ht="13.7025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</row>
    <row customHeight="1" ht="13.5">
      <c r="A220" s="243">
        <v>19665379.58393</v>
      </c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</row>
    <row customHeight="1" ht="13.5">
      <c r="A221" s="243">
        <v>9850832.768</v>
      </c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</row>
    <row customHeight="1" ht="13.5">
      <c r="A222" s="243">
        <v>2530148.53211</v>
      </c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</row>
    <row customHeight="1" ht="13.5">
      <c r="A223" s="243">
        <v>7284401.84382</v>
      </c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</row>
    <row customHeight="1" ht="13.7025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</row>
    <row customHeight="1" ht="13.7025">
      <c r="A225" s="134"/>
      <c r="B225" s="134"/>
      <c r="C225" s="134"/>
      <c r="D225" s="134"/>
      <c r="E225" s="134"/>
      <c r="F225" s="134"/>
      <c r="G225" s="134"/>
      <c r="H225" s="134"/>
      <c r="I225" s="134"/>
      <c r="J225" s="134"/>
      <c r="K225" s="134"/>
      <c r="L225" s="134"/>
      <c r="M225" s="134"/>
    </row>
    <row customHeight="1" ht="13.5">
      <c r="A226" s="243">
        <v>0</v>
      </c>
      <c r="B226" s="134"/>
      <c r="C226" s="134"/>
      <c r="D226" s="134"/>
      <c r="E226" s="134"/>
      <c r="F226" s="134"/>
      <c r="G226" s="134"/>
      <c r="H226" s="134"/>
      <c r="I226" s="134"/>
      <c r="J226" s="134"/>
      <c r="K226" s="134"/>
      <c r="L226" s="134"/>
      <c r="M226" s="134"/>
    </row>
    <row customHeight="1" ht="13.5">
      <c r="A227" s="243">
        <v>0</v>
      </c>
      <c r="B227" s="134"/>
      <c r="C227" s="134"/>
      <c r="D227" s="134"/>
      <c r="E227" s="134"/>
      <c r="F227" s="134"/>
      <c r="G227" s="134"/>
      <c r="H227" s="134"/>
      <c r="I227" s="134"/>
      <c r="J227" s="134"/>
      <c r="K227" s="134"/>
      <c r="L227" s="134"/>
      <c r="M227" s="134"/>
    </row>
    <row customHeight="1" ht="13.5">
      <c r="A228" s="243">
        <v>0</v>
      </c>
      <c r="B228" s="134"/>
      <c r="C228" s="134"/>
      <c r="D228" s="134"/>
      <c r="E228" s="134"/>
      <c r="F228" s="134"/>
      <c r="G228" s="134"/>
      <c r="H228" s="134"/>
      <c r="I228" s="134"/>
      <c r="J228" s="134"/>
      <c r="K228" s="134"/>
      <c r="L228" s="134"/>
      <c r="M228" s="134"/>
    </row>
    <row customHeight="1" ht="13.7025">
      <c r="A229" s="134"/>
      <c r="B229" s="134"/>
      <c r="C229" s="134"/>
      <c r="D229" s="134"/>
      <c r="E229" s="134"/>
      <c r="F229" s="134"/>
      <c r="G229" s="134"/>
      <c r="H229" s="134"/>
      <c r="I229" s="134"/>
      <c r="J229" s="134"/>
      <c r="K229" s="134"/>
      <c r="L229" s="134"/>
      <c r="M229" s="134"/>
    </row>
    <row customHeight="1" ht="13.5">
      <c r="A230" s="243">
        <v>0</v>
      </c>
      <c r="B230" s="134"/>
      <c r="C230" s="134"/>
      <c r="D230" s="134"/>
      <c r="E230" s="134"/>
      <c r="F230" s="134"/>
      <c r="G230" s="134"/>
      <c r="H230" s="134"/>
      <c r="I230" s="134"/>
      <c r="J230" s="134"/>
      <c r="K230" s="134"/>
      <c r="L230" s="134"/>
      <c r="M230" s="134"/>
    </row>
    <row customHeight="1" ht="13.5">
      <c r="A231" s="243">
        <v>0</v>
      </c>
      <c r="B231" s="134"/>
      <c r="C231" s="134"/>
      <c r="D231" s="134"/>
      <c r="E231" s="134"/>
      <c r="F231" s="134"/>
      <c r="G231" s="134"/>
      <c r="H231" s="134"/>
      <c r="I231" s="134"/>
      <c r="J231" s="134"/>
      <c r="K231" s="134"/>
      <c r="L231" s="134"/>
      <c r="M231" s="134"/>
    </row>
    <row customHeight="1" ht="13.5">
      <c r="A232" s="243">
        <v>0</v>
      </c>
      <c r="B232" s="134"/>
      <c r="C232" s="134"/>
      <c r="D232" s="134"/>
      <c r="E232" s="134"/>
      <c r="F232" s="134"/>
      <c r="G232" s="134"/>
      <c r="H232" s="134"/>
      <c r="I232" s="134"/>
      <c r="J232" s="134"/>
      <c r="K232" s="134"/>
      <c r="L232" s="134"/>
      <c r="M232" s="134"/>
    </row>
    <row customHeight="1" ht="13.7025">
      <c r="A233" s="134"/>
      <c r="B233" s="134"/>
      <c r="C233" s="134"/>
      <c r="D233" s="134"/>
      <c r="E233" s="134"/>
      <c r="F233" s="134"/>
      <c r="G233" s="134"/>
      <c r="H233" s="134"/>
      <c r="I233" s="134"/>
      <c r="J233" s="134"/>
      <c r="K233" s="134"/>
      <c r="L233" s="134"/>
      <c r="M233" s="134"/>
    </row>
    <row customHeight="1" ht="13.5">
      <c r="A234" s="243">
        <v>0</v>
      </c>
      <c r="B234" s="134"/>
      <c r="C234" s="134"/>
      <c r="D234" s="134"/>
      <c r="E234" s="134"/>
      <c r="F234" s="134"/>
      <c r="G234" s="134"/>
      <c r="H234" s="134"/>
      <c r="I234" s="134"/>
      <c r="J234" s="134"/>
      <c r="K234" s="134"/>
      <c r="L234" s="134"/>
      <c r="M234" s="134"/>
    </row>
    <row customHeight="1" ht="13.5">
      <c r="A235" s="238"/>
      <c r="B235" s="134"/>
      <c r="C235" s="134"/>
      <c r="D235" s="134"/>
      <c r="E235" s="134"/>
      <c r="F235" s="134"/>
      <c r="G235" s="134"/>
      <c r="H235" s="134"/>
      <c r="I235" s="134"/>
      <c r="J235" s="134"/>
      <c r="K235" s="134"/>
      <c r="L235" s="134"/>
      <c r="M235" s="134"/>
    </row>
    <row customHeight="1" ht="13.5">
      <c r="A236" s="243">
        <v>0</v>
      </c>
      <c r="B236" s="134"/>
      <c r="C236" s="134"/>
      <c r="D236" s="134"/>
      <c r="E236" s="134"/>
      <c r="F236" s="134"/>
      <c r="G236" s="134"/>
      <c r="H236" s="134"/>
      <c r="I236" s="134"/>
      <c r="J236" s="134"/>
      <c r="K236" s="134"/>
      <c r="L236" s="134"/>
      <c r="M236" s="134"/>
    </row>
    <row customHeight="1" ht="13.7025">
      <c r="A237" s="134"/>
      <c r="B237" s="134"/>
      <c r="C237" s="134"/>
      <c r="D237" s="134"/>
      <c r="E237" s="134"/>
      <c r="F237" s="134"/>
      <c r="G237" s="134"/>
      <c r="H237" s="134"/>
      <c r="I237" s="134"/>
      <c r="J237" s="134"/>
      <c r="K237" s="134"/>
      <c r="L237" s="134"/>
      <c r="M237" s="134"/>
    </row>
    <row customHeight="1" ht="13.5">
      <c r="A238" s="243">
        <v>0</v>
      </c>
      <c r="B238" s="134"/>
      <c r="C238" s="134"/>
      <c r="D238" s="134"/>
      <c r="E238" s="134"/>
      <c r="F238" s="134"/>
      <c r="G238" s="134"/>
      <c r="H238" s="134"/>
      <c r="I238" s="134"/>
      <c r="J238" s="134"/>
      <c r="K238" s="134"/>
      <c r="L238" s="134"/>
      <c r="M238" s="134"/>
    </row>
    <row customHeight="1" ht="13.7025">
      <c r="A239" s="134"/>
      <c r="B239" s="134"/>
      <c r="C239" s="134"/>
      <c r="D239" s="134"/>
      <c r="E239" s="134"/>
      <c r="F239" s="134"/>
      <c r="G239" s="134"/>
      <c r="H239" s="134"/>
      <c r="I239" s="134"/>
      <c r="J239" s="134"/>
      <c r="K239" s="134"/>
      <c r="L239" s="134"/>
      <c r="M239" s="134"/>
    </row>
    <row customHeight="1" ht="13.5">
      <c r="A240" s="243">
        <v>0</v>
      </c>
      <c r="B240" s="134"/>
      <c r="C240" s="134"/>
      <c r="D240" s="134"/>
      <c r="E240" s="134"/>
      <c r="F240" s="134"/>
      <c r="G240" s="134"/>
      <c r="H240" s="134"/>
      <c r="I240" s="134"/>
      <c r="J240" s="134"/>
      <c r="K240" s="134"/>
      <c r="L240" s="134"/>
      <c r="M240" s="134"/>
    </row>
    <row customHeight="1" ht="13.7025">
      <c r="A241" s="134"/>
      <c r="B241" s="134"/>
      <c r="C241" s="134"/>
      <c r="D241" s="134"/>
      <c r="E241" s="134"/>
      <c r="F241" s="134"/>
      <c r="G241" s="134"/>
      <c r="H241" s="134"/>
      <c r="I241" s="134"/>
      <c r="J241" s="134"/>
      <c r="K241" s="134"/>
      <c r="L241" s="134"/>
      <c r="M241" s="134"/>
    </row>
    <row customHeight="1" ht="13.5">
      <c r="A242" s="243">
        <v>0</v>
      </c>
      <c r="B242" s="134"/>
      <c r="C242" s="134"/>
      <c r="D242" s="134"/>
      <c r="E242" s="134"/>
      <c r="F242" s="134"/>
      <c r="G242" s="134"/>
      <c r="H242" s="134"/>
      <c r="I242" s="134"/>
      <c r="J242" s="134"/>
      <c r="K242" s="134"/>
      <c r="L242" s="134"/>
      <c r="M242" s="134"/>
    </row>
    <row customHeight="1" ht="13.7025">
      <c r="A243" s="134"/>
      <c r="B243" s="134"/>
      <c r="C243" s="134"/>
      <c r="D243" s="134"/>
      <c r="E243" s="134"/>
      <c r="F243" s="134"/>
      <c r="G243" s="134"/>
      <c r="H243" s="134"/>
      <c r="I243" s="134"/>
      <c r="J243" s="134"/>
      <c r="K243" s="134"/>
      <c r="L243" s="134"/>
      <c r="M243" s="134"/>
    </row>
    <row customHeight="1" ht="13.7025">
      <c r="A244" s="134"/>
      <c r="B244" s="134"/>
      <c r="C244" s="134"/>
      <c r="D244" s="134"/>
      <c r="E244" s="134"/>
      <c r="F244" s="134"/>
      <c r="G244" s="134"/>
      <c r="H244" s="134"/>
      <c r="I244" s="134"/>
      <c r="J244" s="134"/>
      <c r="K244" s="134"/>
      <c r="L244" s="134"/>
      <c r="M244" s="134"/>
    </row>
    <row customHeight="1" ht="13.5">
      <c r="A245" s="238">
        <v>5454.2496</v>
      </c>
      <c r="B245" s="134"/>
      <c r="C245" s="134"/>
      <c r="D245" s="134"/>
      <c r="E245" s="134"/>
      <c r="F245" s="134"/>
      <c r="G245" s="134"/>
      <c r="H245" s="134"/>
      <c r="I245" s="134"/>
      <c r="J245" s="134"/>
      <c r="K245" s="134"/>
      <c r="L245" s="134"/>
      <c r="M245" s="134"/>
    </row>
    <row customHeight="1" ht="13.5">
      <c r="A246" s="238">
        <v>22079.9152</v>
      </c>
      <c r="B246" s="134"/>
      <c r="C246" s="134"/>
      <c r="D246" s="134"/>
      <c r="E246" s="134"/>
      <c r="F246" s="134"/>
      <c r="G246" s="134"/>
      <c r="H246" s="134"/>
      <c r="I246" s="134"/>
      <c r="J246" s="134"/>
      <c r="K246" s="134"/>
      <c r="L246" s="134"/>
      <c r="M246" s="134"/>
    </row>
    <row customHeight="1" ht="13.5">
      <c r="A247" s="238">
        <v>220.9776</v>
      </c>
      <c r="B247" s="134"/>
      <c r="C247" s="134"/>
      <c r="D247" s="134"/>
      <c r="E247" s="134"/>
      <c r="F247" s="134"/>
      <c r="G247" s="134"/>
      <c r="H247" s="134"/>
      <c r="I247" s="134"/>
      <c r="J247" s="134"/>
      <c r="K247" s="134"/>
      <c r="L247" s="134"/>
      <c r="M247" s="134"/>
    </row>
    <row customHeight="1" ht="13.7025">
      <c r="A248" s="134"/>
      <c r="B248" s="134"/>
      <c r="C248" s="134"/>
      <c r="D248" s="134"/>
      <c r="E248" s="134"/>
      <c r="F248" s="134"/>
      <c r="G248" s="134"/>
      <c r="H248" s="134"/>
      <c r="I248" s="134"/>
      <c r="J248" s="134"/>
      <c r="K248" s="134"/>
      <c r="L248" s="134"/>
      <c r="M248" s="134"/>
    </row>
    <row customHeight="1" ht="13.7025">
      <c r="A249" s="134"/>
      <c r="B249" s="134"/>
      <c r="C249" s="134"/>
      <c r="D249" s="134"/>
      <c r="E249" s="134"/>
      <c r="F249" s="134"/>
      <c r="G249" s="134"/>
      <c r="H249" s="134"/>
      <c r="I249" s="134"/>
      <c r="J249" s="134"/>
      <c r="K249" s="134"/>
      <c r="L249" s="134"/>
      <c r="M249" s="134"/>
    </row>
    <row customHeight="1" ht="13.5">
      <c r="A250" s="238">
        <v>26237.8297</v>
      </c>
      <c r="B250" s="134"/>
      <c r="C250" s="134"/>
      <c r="D250" s="134"/>
      <c r="E250" s="134"/>
      <c r="F250" s="134"/>
      <c r="G250" s="134"/>
      <c r="H250" s="134"/>
      <c r="I250" s="134"/>
      <c r="J250" s="134"/>
      <c r="K250" s="134"/>
      <c r="L250" s="134"/>
      <c r="M250" s="134"/>
    </row>
    <row customHeight="1" ht="13.5">
      <c r="A251" s="238"/>
      <c r="B251" s="134"/>
      <c r="C251" s="134"/>
      <c r="D251" s="134"/>
      <c r="E251" s="134"/>
      <c r="F251" s="134"/>
      <c r="G251" s="134"/>
      <c r="H251" s="134"/>
      <c r="I251" s="134"/>
      <c r="J251" s="134"/>
      <c r="K251" s="134"/>
      <c r="L251" s="134"/>
      <c r="M251" s="134"/>
    </row>
    <row customHeight="1" ht="13.5">
      <c r="A252" s="238"/>
      <c r="B252" s="134"/>
      <c r="C252" s="134"/>
      <c r="D252" s="134"/>
      <c r="E252" s="134"/>
      <c r="F252" s="134"/>
      <c r="G252" s="134"/>
      <c r="H252" s="134"/>
      <c r="I252" s="134"/>
      <c r="J252" s="134"/>
      <c r="K252" s="134"/>
      <c r="L252" s="134"/>
      <c r="M252" s="134"/>
    </row>
    <row customHeight="1" ht="13.7025">
      <c r="A253" s="134"/>
      <c r="B253" s="134"/>
      <c r="C253" s="134"/>
      <c r="D253" s="134"/>
      <c r="E253" s="134"/>
      <c r="F253" s="134"/>
      <c r="G253" s="134"/>
      <c r="H253" s="134"/>
      <c r="I253" s="134"/>
      <c r="J253" s="134"/>
      <c r="K253" s="134"/>
      <c r="L253" s="134"/>
      <c r="M253" s="134"/>
    </row>
    <row customHeight="1" ht="13.5">
      <c r="A254" s="238">
        <v>1297.3351</v>
      </c>
      <c r="B254" s="134"/>
      <c r="C254" s="134"/>
      <c r="D254" s="134"/>
      <c r="E254" s="134"/>
      <c r="F254" s="134"/>
      <c r="G254" s="134"/>
      <c r="H254" s="134"/>
      <c r="I254" s="134"/>
      <c r="J254" s="134"/>
      <c r="K254" s="134"/>
      <c r="L254" s="134"/>
      <c r="M254" s="134"/>
    </row>
    <row customHeight="1" ht="13.5">
      <c r="A255" s="238"/>
      <c r="B255" s="134"/>
      <c r="C255" s="134"/>
      <c r="D255" s="134"/>
      <c r="E255" s="134"/>
      <c r="F255" s="134"/>
      <c r="G255" s="134"/>
      <c r="H255" s="134"/>
      <c r="I255" s="134"/>
      <c r="J255" s="134"/>
      <c r="K255" s="134"/>
      <c r="L255" s="134"/>
      <c r="M255" s="134"/>
    </row>
    <row customHeight="1" ht="13.5">
      <c r="A256" s="238"/>
      <c r="B256" s="134"/>
      <c r="C256" s="134"/>
      <c r="D256" s="134"/>
      <c r="E256" s="134"/>
      <c r="F256" s="134"/>
      <c r="G256" s="134"/>
      <c r="H256" s="134"/>
      <c r="I256" s="134"/>
      <c r="J256" s="134"/>
      <c r="K256" s="134"/>
      <c r="L256" s="134"/>
      <c r="M256" s="134"/>
    </row>
    <row customHeight="1" ht="13.7025">
      <c r="A257" s="134"/>
      <c r="B257" s="134"/>
      <c r="C257" s="134"/>
      <c r="D257" s="134"/>
      <c r="E257" s="134"/>
      <c r="F257" s="134"/>
      <c r="G257" s="134"/>
      <c r="H257" s="134"/>
      <c r="I257" s="134"/>
      <c r="J257" s="134"/>
      <c r="K257" s="134"/>
      <c r="L257" s="134"/>
      <c r="M257" s="134"/>
    </row>
    <row customHeight="1" ht="13.7025">
      <c r="A258" s="134"/>
      <c r="B258" s="134"/>
      <c r="C258" s="134"/>
      <c r="D258" s="134"/>
      <c r="E258" s="134"/>
      <c r="F258" s="134"/>
      <c r="G258" s="134"/>
      <c r="H258" s="134"/>
      <c r="I258" s="134"/>
      <c r="J258" s="134"/>
      <c r="K258" s="134"/>
      <c r="L258" s="134"/>
      <c r="M258" s="134"/>
    </row>
    <row customHeight="1" ht="13.5">
      <c r="A259" s="238">
        <v>112894.17568</v>
      </c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</row>
    <row customHeight="1" ht="13.5">
      <c r="A260" s="238"/>
      <c r="B260" s="134"/>
      <c r="C260" s="134"/>
      <c r="D260" s="134"/>
      <c r="E260" s="134"/>
      <c r="F260" s="134"/>
      <c r="G260" s="134"/>
      <c r="H260" s="134"/>
      <c r="I260" s="134"/>
      <c r="J260" s="134"/>
      <c r="K260" s="134"/>
      <c r="L260" s="134"/>
      <c r="M260" s="134"/>
    </row>
    <row customHeight="1" ht="13.5">
      <c r="A261" s="238"/>
      <c r="B261" s="134"/>
      <c r="C261" s="134"/>
      <c r="D261" s="134"/>
      <c r="E261" s="134"/>
      <c r="F261" s="134"/>
      <c r="G261" s="134"/>
      <c r="H261" s="134"/>
      <c r="I261" s="134"/>
      <c r="J261" s="134"/>
      <c r="K261" s="134"/>
      <c r="L261" s="134"/>
      <c r="M261" s="134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014F7B8-0638-6FE9-4B57-21F6F6F2406F}" mc:Ignorable="x14ac xr xr2 xr3">
  <dimension ref="A1:H21"/>
  <sheetViews>
    <sheetView topLeftCell="A1" workbookViewId="0">
      <selection activeCell="H21" sqref="H21"/>
    </sheetView>
  </sheetViews>
  <sheetFormatPr customHeight="1" defaultRowHeight="14.4525"/>
  <sheetData>
    <row customHeight="1" ht="14.25">
      <c r="A1" s="239">
        <v>0</v>
      </c>
      <c r="B1" s="134"/>
      <c r="C1" s="134"/>
      <c r="D1" s="134"/>
      <c r="E1" s="134"/>
      <c r="F1" s="134"/>
      <c r="G1" s="134"/>
      <c r="H1" s="134"/>
    </row>
    <row customHeight="1" ht="14.25">
      <c r="A2" s="239"/>
      <c r="B2" s="134"/>
      <c r="C2" s="134"/>
      <c r="D2" s="134"/>
      <c r="E2" s="134"/>
      <c r="F2" s="134"/>
      <c r="G2" s="134"/>
      <c r="H2" s="134"/>
    </row>
    <row customHeight="1" ht="14.25">
      <c r="A3" s="239"/>
      <c r="B3" s="134"/>
      <c r="C3" s="134"/>
      <c r="D3" s="134"/>
      <c r="E3" s="134"/>
      <c r="F3" s="134"/>
      <c r="G3" s="134"/>
      <c r="H3" s="134"/>
    </row>
    <row customHeight="1" ht="14.25">
      <c r="A4" s="239">
        <v>0</v>
      </c>
      <c r="B4" s="134"/>
      <c r="C4" s="134"/>
      <c r="D4" s="134"/>
      <c r="E4" s="134"/>
      <c r="F4" s="134"/>
      <c r="G4" s="134"/>
      <c r="H4" s="134"/>
    </row>
    <row customHeight="1" ht="14.25">
      <c r="A5" s="239"/>
      <c r="B5" s="134"/>
      <c r="C5" s="134"/>
      <c r="D5" s="134"/>
      <c r="E5" s="134"/>
      <c r="F5" s="134"/>
      <c r="G5" s="134"/>
      <c r="H5" s="134"/>
    </row>
    <row customHeight="1" ht="14.25">
      <c r="A6" s="239"/>
      <c r="B6" s="134"/>
      <c r="C6" s="134"/>
      <c r="D6" s="134"/>
      <c r="E6" s="134"/>
      <c r="F6" s="134"/>
      <c r="G6" s="134"/>
      <c r="H6" s="134"/>
    </row>
    <row customHeight="1" ht="14.25">
      <c r="A7" s="239"/>
      <c r="B7" s="134"/>
      <c r="C7" s="134"/>
      <c r="D7" s="134"/>
      <c r="E7" s="134"/>
      <c r="F7" s="134"/>
      <c r="G7" s="134"/>
      <c r="H7" s="134"/>
    </row>
    <row customHeight="1" ht="14.25">
      <c r="A8" s="239"/>
      <c r="B8" s="134"/>
      <c r="C8" s="134"/>
      <c r="D8" s="134"/>
      <c r="E8" s="134"/>
      <c r="F8" s="134"/>
      <c r="G8" s="134"/>
      <c r="H8" s="134"/>
    </row>
    <row customHeight="1" ht="14.25">
      <c r="A9" s="239"/>
      <c r="B9" s="134"/>
      <c r="C9" s="134"/>
      <c r="D9" s="134"/>
      <c r="E9" s="134"/>
      <c r="F9" s="134"/>
      <c r="G9" s="134"/>
      <c r="H9" s="134"/>
    </row>
    <row customHeight="1" ht="14.25">
      <c r="A10" s="239">
        <v>0</v>
      </c>
      <c r="B10" s="134"/>
      <c r="C10" s="134"/>
      <c r="D10" s="134"/>
      <c r="E10" s="134"/>
      <c r="F10" s="134"/>
      <c r="G10" s="134"/>
      <c r="H10" s="134"/>
    </row>
    <row customHeight="1" ht="14.25">
      <c r="A11" s="239"/>
      <c r="B11" s="134"/>
      <c r="C11" s="134"/>
      <c r="D11" s="134"/>
      <c r="E11" s="134"/>
      <c r="F11" s="134"/>
      <c r="G11" s="134"/>
      <c r="H11" s="134"/>
    </row>
    <row customHeight="1" ht="14.4525">
      <c r="A12" s="134"/>
      <c r="B12" s="134"/>
      <c r="C12" s="134"/>
      <c r="D12" s="134"/>
      <c r="E12" s="134"/>
      <c r="F12" s="134"/>
      <c r="G12" s="134"/>
      <c r="H12" s="134"/>
    </row>
    <row customHeight="1" ht="14.4525">
      <c r="A13" s="134"/>
      <c r="B13" s="134"/>
      <c r="C13" s="134"/>
      <c r="D13" s="134"/>
      <c r="E13" s="134"/>
      <c r="F13" s="134"/>
      <c r="G13" s="134"/>
      <c r="H13" s="134"/>
    </row>
    <row customHeight="1" ht="14.4525">
      <c r="A14" s="134"/>
      <c r="B14" s="134"/>
      <c r="C14" s="134"/>
      <c r="D14" s="134"/>
      <c r="E14" s="134"/>
      <c r="F14" s="134"/>
      <c r="G14" s="134"/>
      <c r="H14" s="134"/>
    </row>
    <row customHeight="1" ht="14.4525">
      <c r="A15" s="134"/>
      <c r="B15" s="134"/>
      <c r="C15" s="134"/>
      <c r="D15" s="134"/>
      <c r="E15" s="134"/>
      <c r="F15" s="134"/>
      <c r="G15" s="134"/>
      <c r="H15" s="134"/>
    </row>
    <row customHeight="1" ht="14.4525">
      <c r="A16" s="134"/>
      <c r="B16" s="134"/>
      <c r="C16" s="134"/>
      <c r="D16" s="134"/>
      <c r="E16" s="134"/>
      <c r="F16" s="134"/>
      <c r="G16" s="134"/>
      <c r="H16" s="134"/>
    </row>
    <row customHeight="1" ht="14.4525">
      <c r="A17" s="134"/>
      <c r="B17" s="134"/>
      <c r="C17" s="134"/>
      <c r="D17" s="134"/>
      <c r="E17" s="134"/>
      <c r="F17" s="134"/>
      <c r="G17" s="134"/>
      <c r="H17" s="134"/>
    </row>
    <row customHeight="1" ht="14.4525">
      <c r="A18" s="134"/>
      <c r="B18" s="134"/>
      <c r="C18" s="134"/>
      <c r="D18" s="134"/>
      <c r="E18" s="134"/>
      <c r="F18" s="134"/>
      <c r="G18" s="134"/>
      <c r="H18" s="134"/>
    </row>
    <row customHeight="1" ht="14.4525">
      <c r="A19" s="134"/>
      <c r="B19" s="134"/>
      <c r="C19" s="134"/>
      <c r="D19" s="134"/>
      <c r="E19" s="134"/>
      <c r="F19" s="134"/>
      <c r="G19" s="134"/>
      <c r="H19" s="134"/>
    </row>
    <row customHeight="1" ht="14.4525">
      <c r="A20" s="134"/>
      <c r="B20" s="134"/>
      <c r="C20" s="134"/>
      <c r="D20" s="134"/>
      <c r="E20" s="134"/>
      <c r="F20" s="134"/>
      <c r="G20" s="134"/>
      <c r="H20" s="134"/>
    </row>
    <row customHeight="1" ht="14.4525">
      <c r="A21" s="134"/>
      <c r="B21" s="134"/>
      <c r="C21" s="134"/>
      <c r="D21" s="134"/>
      <c r="E21" s="134"/>
      <c r="F21" s="134"/>
      <c r="G21" s="134"/>
      <c r="H21" s="134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原材料、燃料、动力购进、库存及价格表</vt:lpstr>
      <vt:lpstr>Sheet2</vt:lpstr>
      <vt:lpstr>公式</vt:lpstr>
      <vt:lpstr>取值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tong_zhigang</dc:creator>
  <cp:lastModifiedBy>dhc</cp:lastModifiedBy>
  <dcterms:created xsi:type="dcterms:W3CDTF">2015-06-05T18:19:34Z</dcterms:created>
  <dcterms:modified xsi:type="dcterms:W3CDTF">2024-02-06T01:53:52Z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{835587BA-CCC3-439B-84AF-124D11C31334}</vt:lpwstr>
  </property>
</Properties>
</file>