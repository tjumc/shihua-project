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材料、燃料、动力购进、库存及价格表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#Input("油田气科技公司_生产计划部_原材料、燃料、动力购进库存价格表_天然气_本月_购进量",":key{{dw}}")</t>
        </r>
      </text>
    </comment>
    <comment ref="H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#Input("油田气科技公司_生产计划部_原材料、燃料、动力购进库存价格表_天然气_价格",":key{{dw}}")</t>
        </r>
      </text>
    </comment>
    <comment ref="I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#Input("油田气科技公司_生产计划部_原材料、燃料、动力购进库存价格表_天然气_本月_金额",":key{{dw}}")</t>
        </r>
      </text>
    </comment>
    <comment ref="B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#Input("油田气科技公司_生产计划部_原材料、燃料、动力购进库存价格表_甲醇_期初库存",":key{{dw}}")</t>
        </r>
      </text>
    </comment>
    <comment ref="C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#Input("油田气科技公司_生产计划部_原材料、燃料、动力购进库存价格表_甲醇_本月_购进量",":key{{dw}}")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#Input("油田气科技公司_生产计划部_原材料、燃料、动力购进库存价格表_甲醇_本月_消费量",":key{{dw}}")</t>
        </r>
      </text>
    </comment>
    <comment ref="B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#Input("油田气科技公司_生产计划部_原材料、燃料、动力购进库存价格表_醋酐_期初库存",":key{{dw}}")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#Input("油田气科技公司_生产计划部_原材料、燃料、动力购进库存价格表_醋酐_本月_购进量",":key{{dw}}")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#Input("油田气科技公司_生产计划部_原材料、燃料、动力购进库存价格表_醋酐_本月_消费量",":key{{dw}}")</t>
        </r>
      </text>
    </comment>
    <comment ref="B9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#Input("油田气科技公司_生产计划部_原材料、燃料、动力购进库存价格表_煤_期初库存",":key{{dw}}")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#Input("油田气科技公司_生产计划部_原材料、燃料、动力购进库存价格表_煤_本月_购进量",":key{{dw}}")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#Input("油田气科技公司_生产计划部_原材料、燃料、动力购进库存价格表_煤_本月_消费量",":key{{dw}}")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#Input("油田气科技公司_生产计划部_原材料、燃料、动力购进库存价格表_原煤_价格",":key{{dw}}")</t>
        </r>
      </text>
    </comment>
    <comment ref="I9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#Input("油田气科技公司_生产计划部_原材料、燃料、动力购进库存价格表_煤_本月_金额",":key{{dw}}")</t>
        </r>
      </text>
    </comment>
    <comment ref="C10" authorId="0">
      <text>
        <r>
          <rPr>
            <sz val="9"/>
            <color indexed="81"/>
            <rFont val="宋体"/>
            <family val="2"/>
          </rPr>
          <t xml:space="preserve">#Input("油田气科技公司_生产计划部_原材料、燃料、动力购进库存价格表_煤_原煤热值",":key{{dw}}")
</t>
        </r>
      </text>
    </comment>
    <comment ref="E10" authorId="0">
      <text>
        <r>
          <rPr>
            <sz val="9"/>
            <color indexed="81"/>
            <rFont val="宋体"/>
            <family val="2"/>
          </rPr>
          <t>#Input("油田气科技公司_生产计划部_原材料、燃料、动力购进库存价格表_煤_年累计热值",":key{{dw}}")</t>
        </r>
      </text>
    </comment>
    <comment ref="C1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#Input("油田气科技公司_生产计划部_原材料、燃料、动力购进库存价格表_天然气燃料_本月_购进量",":key{{dw}}")</t>
        </r>
      </text>
    </comment>
    <comment ref="H1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#Input("油田气科技公司_生产计划部_原材料、燃料、动力购进库存价格表_天然气燃料_价格",":key{{dw}}")</t>
        </r>
      </text>
    </comment>
    <comment ref="I1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#Input("油田气科技公司_生产计划部_原材料、燃料、动力购进库存价格表_天然气燃料_本月_金额",":key{{dw}}")</t>
        </r>
      </text>
    </comment>
    <comment ref="B13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#Input("油田气科技公司_生产计划部_原材料、燃料、动力购进库存价格表_BDO_期初库存",":key{{dw}}")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#Input("油田气科技公司_生产计划部_原材料、燃料、动力购进库存价格表_BDO_交库量",":key{{dw}}")</t>
        </r>
      </text>
    </comment>
    <comment ref="D13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#Input("油田气科技公司_生产计划部_原材料、燃料、动力购进库存价格表_BDO_销售量",":key{{dw}}")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#Input("油田气科技公司_生产计划部_原材料、燃料、动力购进库存价格表_BDO_期末库存",":key{{dw}}")</t>
        </r>
      </text>
    </comment>
    <comment ref="B14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#Input("油田气科技公司_生产计划部_原材料、燃料、动力购进库存价格表_PTMEG1800_期初库存",":key{{dw}}")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#Input("油田气科技公司_生产计划部_原材料、燃料、动力购进库存价格表_PTMEG1800_交库量",":key{{dw}}")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#Input("油田气科技公司_生产计划部_原材料、燃料、动力购进库存价格表_PTMEG1800_销售量",":key{{dw}}")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#Input("油田气科技公司_生产计划部_原材料、燃料、动力购进库存价格表_PTMEG1800_期末库存",":key{{dw}}")</t>
        </r>
      </text>
    </comment>
    <comment ref="B1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#Input("油田气科技公司_生产计划部_原材料、燃料、动力购进库存价格表_PTMEG2000_期初库存",":key{{dw}}")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#Input("油田气科技公司_生产计划部_原材料、燃料、动力购进库存价格表_PTMEG2000_交库量",":key{{dw}}")</t>
        </r>
      </text>
    </comment>
    <comment ref="D1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#Input("油田气科技公司_生产计划部_原材料、燃料、动力购进库存价格表_PTMEG2000_销售量",":key{{dw}}")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#Input("油田气科技公司_生产计划部_原材料、燃料、动力购进库存价格表_PTMEG2000_期末库存",":key{{dw}}")</t>
        </r>
      </text>
    </comment>
    <comment ref="B1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#Input("油田气科技公司_生产计划部_原材料、燃料、动力购进库存价格表_聚酯级乙二醇_期初库存",":key{{dw}}")</t>
        </r>
      </text>
    </comment>
    <comment ref="C1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#Input("油田气科技公司_生产计划部_原材料、燃料、动力购进库存价格表_聚酯级乙二醇_交库量",":key{{dw}}")</t>
        </r>
      </text>
    </comment>
    <comment ref="D1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#Input("油田气科技公司_生产计划部_原材料、燃料、动力购进库存价格表_聚酯级乙二醇_销售量",":key{{dw}}")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#Input("油田气科技公司_生产计划部_原材料、燃料、动力购进库存价格表_聚酯级乙二醇_期末库存",":key{{dw}}")</t>
        </r>
      </text>
    </comment>
    <comment ref="B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#Input("油田气科技公司_生产计划部_原材料、燃料、动力购进库存价格表_轻质多元醇_期初库存",":key{{dw}}")</t>
        </r>
      </text>
    </comment>
    <comment ref="C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#Input("油田气科技公司_生产计划部_原材料、燃料、动力购进库存价格表_轻质多元醇_交库量",":key{{dw}}")</t>
        </r>
      </text>
    </comment>
    <comment ref="D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#Input("油田气科技公司_生产计划部_原材料、燃料、动力购进库存价格表_轻质多元醇_销售量",":key{{dw}}")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#Input("油田气科技公司_生产计划部_原材料、燃料、动力购进库存价格表_轻质多元醇_期末库存",":key{{dw}}")</t>
        </r>
      </text>
    </comment>
    <comment ref="B18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#Input("油田气科技公司_生产计划部_原材料、燃料、动力购进库存价格表_混合醇_期初库存",":key{{dw}}")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#Input("油田气科技公司_生产计划部_原材料、燃料、动力购进库存价格表_混合醇_交库量",":key{{dw}}")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#Input("油田气科技公司_生产计划部_原材料、燃料、动力购进库存价格表_混合醇_销售量",":key{{dw}}")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#Input("油田气科技公司_生产计划部_原材料、燃料、动力购进库存价格表_混合醇_期末库存",":key{{dw}}")</t>
        </r>
      </text>
    </comment>
    <comment ref="B2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#Input("油田气科技公司_生产计划部_原材料、燃料、动力购进库存价格表_购电_本月_购进",":key{{dw}}")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#Input("油田气科技公司_生产计划部_原材料、燃料、动力购进库存价格表_购电_本月_工业消费",":key{{dw}}")</t>
        </r>
      </text>
    </comment>
    <comment ref="F2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#Input("油田气科技公司_生产计划部_原材料、燃料、动力购进库存价格表_购电_本月_非工业消费",":key{{dw}}")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#Input("油田气科技公司_生产计划部_原材料、燃料、动力购进库存价格表_购电_价格",":key{{dw}}")</t>
        </r>
      </text>
    </comment>
    <comment ref="I21" authorId="0">
      <text>
        <r>
          <rPr>
            <b/>
            <sz val="9"/>
            <color indexed="81"/>
            <rFont val="宋体"/>
            <family val="2"/>
          </rPr>
          <t>#Input("油田气科技公司_生产计划部_原材料、燃料、动力购进库存价格表_购电_本月_金额",":key{{dw}}")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 xml:space="preserve">#Input("油田气科技公司_生产计划部_原材料、燃料、动力购进库存价格表_发电量_本月_工业消费",":key{{dw}}")
</t>
        </r>
      </text>
    </comment>
    <comment ref="H22" authorId="0">
      <text>
        <r>
          <rPr>
            <sz val="9"/>
            <color indexed="81"/>
            <rFont val="宋体"/>
            <family val="2"/>
          </rPr>
          <t>#Input("油田气科技公司_生产计划部_原材料、燃料、动力购进库存价格表_发电量_价格",":key{{dw}}")</t>
        </r>
      </text>
    </comment>
    <comment ref="I22" authorId="0">
      <text>
        <r>
          <rPr>
            <sz val="9"/>
            <color indexed="81"/>
            <rFont val="宋体"/>
            <family val="2"/>
          </rPr>
          <t>#Input("油田气科技公司_生产计划部_原材料、燃料、动力购进库存价格表_发电量_本月_金额",":key{{dw}}")</t>
        </r>
      </text>
    </comment>
  </commentList>
</comments>
</file>

<file path=xl/sharedStrings.xml><?xml version="1.0" encoding="utf-8"?>
<sst xmlns="http://schemas.openxmlformats.org/spreadsheetml/2006/main" count="110" uniqueCount="75">
  <si>
    <t>原材料、燃料、动力购进、库存及价格表</t>
  </si>
  <si>
    <t>填报单位：</t>
  </si>
  <si>
    <t>油田气生产计划部</t>
  </si>
  <si>
    <t>日期：</t>
  </si>
  <si>
    <t>2025-05</t>
  </si>
  <si>
    <t>指标名称</t>
  </si>
  <si>
    <t>期初库存
（吨）</t>
  </si>
  <si>
    <t>购进量
(吨)</t>
  </si>
  <si>
    <t>消费量
(吨)</t>
  </si>
  <si>
    <t>期末库存
（吨）</t>
  </si>
  <si>
    <t>价格
(元/吨)(元/Nm3)</t>
  </si>
  <si>
    <t>当月金额
（千元）</t>
  </si>
  <si>
    <t>累计金额
(千元)</t>
  </si>
  <si>
    <t>一、原材料</t>
  </si>
  <si>
    <t>本月</t>
  </si>
  <si>
    <t>累计</t>
  </si>
  <si>
    <r>
      <rPr>
        <charset val="134"/>
        <rFont val="等线"/>
        <sz val="10"/>
      </rPr>
      <t>天然气(</t>
    </r>
    <r>
      <rPr>
        <charset val="134"/>
        <rFont val="等线"/>
        <sz val="10"/>
      </rPr>
      <t>N</t>
    </r>
    <r>
      <rPr>
        <charset val="134"/>
        <rFont val="等线"/>
        <sz val="10"/>
      </rPr>
      <t>m3)</t>
    </r>
  </si>
  <si>
    <t>0.69</t>
  </si>
  <si>
    <t>甲醇</t>
  </si>
  <si>
    <t>醋酐</t>
  </si>
  <si>
    <t>二、燃料</t>
  </si>
  <si>
    <t>原 煤</t>
  </si>
  <si>
    <t>628.73</t>
  </si>
  <si>
    <t>原煤热值</t>
  </si>
  <si>
    <t>当月热值
（cal/g）</t>
  </si>
  <si>
    <t>6106.83</t>
  </si>
  <si>
    <t>年累计热值
（cal/g）</t>
  </si>
  <si>
    <t>6008.09</t>
  </si>
  <si>
    <t xml:space="preserve"> 三、成品</t>
  </si>
  <si>
    <t>期初库存（吨）</t>
  </si>
  <si>
    <t>交库量</t>
  </si>
  <si>
    <t>销售量</t>
  </si>
  <si>
    <t>期末库存（吨)</t>
  </si>
  <si>
    <t>BDO</t>
  </si>
  <si>
    <t>PTMEG1800</t>
  </si>
  <si>
    <t>PTMEG2000</t>
  </si>
  <si>
    <t>聚酯级乙二醇</t>
  </si>
  <si>
    <t>轻质多元醇</t>
  </si>
  <si>
    <t>混合醇</t>
  </si>
  <si>
    <t>四、动力</t>
  </si>
  <si>
    <t>购进量</t>
  </si>
  <si>
    <t>工业消费</t>
  </si>
  <si>
    <t>非工业消费</t>
  </si>
  <si>
    <t>价格(元/度)</t>
  </si>
  <si>
    <t>当月金额</t>
  </si>
  <si>
    <t>累计金额
（千元）</t>
  </si>
  <si>
    <t>购电（万千瓦时）</t>
  </si>
  <si>
    <t>3051.83</t>
  </si>
  <si>
    <t>3033.54</t>
  </si>
  <si>
    <t>0.64</t>
  </si>
  <si>
    <t>发电量（万度）</t>
  </si>
  <si>
    <t>/</t>
  </si>
  <si>
    <t xml:space="preserve">能源购进金额：指各种能源按照购进价格计算的能源购进量，以价值量（金额）表示，含增值税。计算能源购进金额时要注意：
1、价值量指标要与实物量指标相一致。即计算实物量的，亦计算价值量，反之亦然；
2、已验收入库尚未结算，购货发票未到，购进量以实际验收数量计算，购进金额以货物的上期平均价或合同价格乘购进量计算，待结算后再作调整；
3、能源购进金额不包括运输、装卸费用。
</t>
  </si>
  <si>
    <t>单位领导:</t>
  </si>
  <si>
    <t>王亮</t>
  </si>
  <si>
    <t>审核人：</t>
  </si>
  <si>
    <t>李刚</t>
  </si>
  <si>
    <t>填报人:</t>
  </si>
  <si>
    <t>南文文</t>
  </si>
  <si>
    <t>报表生成时间：</t>
  </si>
  <si>
    <t>2025-06-01</t>
  </si>
  <si>
    <t xml:space="preserve"> 8:00:00</t>
  </si>
  <si>
    <t>购进量(吨)</t>
  </si>
  <si>
    <t>消费量(吨)</t>
  </si>
  <si>
    <t>期末库存（吨）</t>
  </si>
  <si>
    <t>金额(千元)</t>
  </si>
  <si>
    <t>累计金额(千元)</t>
  </si>
  <si>
    <t>天然气(m3)</t>
  </si>
  <si>
    <t>天然气（燃料）(m3)</t>
  </si>
  <si>
    <t>煤</t>
  </si>
  <si>
    <t>四、成品</t>
  </si>
  <si>
    <t>本月购进/发电</t>
  </si>
  <si>
    <t>累计购进/发电</t>
  </si>
  <si>
    <t>累计工业消费</t>
  </si>
  <si>
    <t>购电（兆瓦时）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</si>
</sst>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1" formatCode="0.00_);[Red]\(0.00\)"/>
    <numFmt numFmtId="172" formatCode="0.00_ "/>
    <numFmt numFmtId="173" formatCode="_(* #,##0.00_);_(* \(#,##0.00\);_(* &quot;-&quot;??_);_(@_)"/>
    <numFmt numFmtId="174" formatCode="_(* #,##0_);_(* \(#,##0\);_(* &quot;-&quot;_);_(@_)"/>
    <numFmt numFmtId="175" formatCode="_(&quot;$&quot;* #,##0.00_);_(&quot;$&quot;* \(#,##0.00\);_(&quot;$&quot;* &quot;-&quot;??_);_(@_)"/>
    <numFmt numFmtId="176" formatCode="_(&quot;$&quot;* #,##0_);_(&quot;$&quot;* \(#,##0\);_(&quot;$&quot;* &quot;-&quot;_);_(@_)"/>
    <numFmt numFmtId="177" formatCode="0.00;-0.00"/>
  </numFmts>
  <fonts count="25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auto="1"/>
      <name val="宋体"/>
    </font>
    <font>
      <sz val="10"/>
      <color auto="1"/>
      <name val="等线"/>
    </font>
    <font>
      <b/>
      <sz val="10"/>
      <color auto="1"/>
      <name val="等线"/>
    </font>
    <font>
      <sz val="11"/>
      <color theme="1"/>
      <name val="等线"/>
    </font>
    <font>
      <b/>
      <sz val="22"/>
      <color auto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</fills>
  <borders count="2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50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3" fontId="5" fillId="0" borderId="0" applyFont="0" applyFill="0" applyBorder="0" applyNumberFormat="1">
      <alignment vertical="top"/>
    </xf>
    <xf numFmtId="174" fontId="5" fillId="0" borderId="0" applyFont="0" applyFill="0" applyBorder="0" applyNumberFormat="1">
      <alignment vertical="top"/>
    </xf>
    <xf numFmtId="175" fontId="5" fillId="0" borderId="0" applyFont="0" applyFill="0" applyBorder="0" applyNumberFormat="1">
      <alignment vertical="top"/>
    </xf>
    <xf numFmtId="176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/>
  </cellStyleXfs>
  <cellXfs count="137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3" fontId="5" fillId="0" borderId="0" xfId="28" applyFont="0" applyNumberFormat="1">
      <alignment vertical="top"/>
    </xf>
    <xf numFmtId="174" fontId="5" fillId="0" borderId="0" xfId="29" applyFont="0" applyNumberFormat="1">
      <alignment vertical="top"/>
    </xf>
    <xf numFmtId="175" fontId="5" fillId="0" borderId="0" xfId="30" applyFont="0" applyNumberFormat="1">
      <alignment vertical="top"/>
    </xf>
    <xf numFmtId="176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0" xfId="49" applyFont="1"/>
    <xf numFmtId="0" fontId="21" fillId="33" borderId="10" xfId="49" applyFont="1" applyFill="1" applyBorder="1">
      <alignment horizontal="center" vertical="center" shrinkToFit="1"/>
    </xf>
    <xf numFmtId="0" fontId="22" fillId="33" borderId="10" xfId="49" applyFont="1" applyFill="1" applyBorder="1">
      <alignment horizontal="center" vertical="center" shrinkToFit="1"/>
    </xf>
    <xf numFmtId="0" fontId="23" fillId="0" borderId="0" xfId="0" applyFont="1"/>
    <xf numFmtId="0" fontId="24" fillId="33" borderId="0" xfId="49" applyFont="1" applyFill="1">
      <alignment horizontal="center" vertical="center"/>
    </xf>
    <xf numFmtId="0" fontId="21" fillId="33" borderId="0" xfId="49" applyFont="1" applyFill="1">
      <alignment horizontal="center" vertical="center" shrinkToFit="1"/>
    </xf>
    <xf numFmtId="0" fontId="21" fillId="33" borderId="11" xfId="49" applyFont="1" applyFill="1" applyBorder="1">
      <alignment horizontal="left" vertical="center" shrinkToFit="1"/>
    </xf>
    <xf numFmtId="49" fontId="21" fillId="33" borderId="0" xfId="49" applyFont="1" applyFill="1" applyNumberFormat="1">
      <alignment horizontal="right" vertical="center" shrinkToFit="1"/>
    </xf>
    <xf numFmtId="49" fontId="21" fillId="33" borderId="11" xfId="49" applyFont="1" applyFill="1" applyBorder="1" applyNumberFormat="1">
      <alignment horizontal="left" vertical="center" shrinkToFit="1"/>
    </xf>
    <xf numFmtId="0" fontId="21" fillId="33" borderId="11" xfId="49" applyFont="1" applyFill="1" applyBorder="1">
      <alignment horizontal="right" vertical="center" shrinkToFit="1"/>
    </xf>
    <xf numFmtId="0" fontId="21" fillId="33" borderId="10" xfId="49" applyFont="1" applyFill="1" applyBorder="1">
      <alignment horizontal="center" vertical="center" wrapText="1" shrinkToFit="1"/>
    </xf>
    <xf numFmtId="0" fontId="21" fillId="33" borderId="12" xfId="49" applyFont="1" applyFill="1" applyBorder="1">
      <alignment horizontal="center" vertical="center" wrapText="1" shrinkToFit="1"/>
    </xf>
    <xf numFmtId="0" fontId="21" fillId="33" borderId="13" xfId="49" applyFont="1" applyFill="1" applyBorder="1">
      <alignment horizontal="center" vertical="center" shrinkToFit="1"/>
    </xf>
    <xf numFmtId="49" fontId="21" fillId="33" borderId="10" xfId="49" applyFont="1" applyFill="1" applyBorder="1" applyNumberFormat="1">
      <alignment horizontal="center" vertical="center" shrinkToFit="1"/>
    </xf>
    <xf numFmtId="49" fontId="21" fillId="16" borderId="10" xfId="49" applyFont="1" applyFill="1" applyBorder="1" applyNumberFormat="1">
      <alignment horizontal="center" vertical="center" shrinkToFit="1"/>
    </xf>
    <xf numFmtId="171" fontId="21" fillId="16" borderId="10" xfId="49" applyFont="1" applyFill="1" applyBorder="1" applyNumberFormat="1">
      <alignment horizontal="center" vertical="center" shrinkToFit="1"/>
    </xf>
    <xf numFmtId="0" fontId="21" fillId="16" borderId="10" xfId="49" applyFont="1" applyFill="1" applyBorder="1">
      <alignment horizontal="center" vertical="center" shrinkToFit="1"/>
    </xf>
    <xf numFmtId="172" fontId="21" fillId="33" borderId="10" xfId="49" applyFont="1" applyFill="1" applyBorder="1" applyNumberFormat="1">
      <alignment horizontal="center" vertical="center" shrinkToFit="1"/>
    </xf>
    <xf numFmtId="49" fontId="21" fillId="33" borderId="10" xfId="49" applyFont="1" applyFill="1" applyBorder="1" applyNumberFormat="1">
      <alignment horizontal="center" vertical="center" wrapText="1" shrinkToFit="1"/>
    </xf>
    <xf numFmtId="49" fontId="21" fillId="0" borderId="10" xfId="49" applyFont="1" applyBorder="1" applyNumberFormat="1">
      <alignment horizontal="center" vertical="center" shrinkToFit="1"/>
    </xf>
    <xf numFmtId="172" fontId="21" fillId="16" borderId="10" xfId="49" applyFont="1" applyFill="1" applyBorder="1" applyNumberFormat="1">
      <alignment horizontal="center" vertical="center" shrinkToFit="1"/>
    </xf>
    <xf numFmtId="0" fontId="21" fillId="33" borderId="14" xfId="49" applyFont="1" applyFill="1" applyBorder="1">
      <alignment horizontal="center" vertical="center" shrinkToFit="1"/>
    </xf>
    <xf numFmtId="0" fontId="21" fillId="33" borderId="12" xfId="49" applyFont="1" applyFill="1" applyBorder="1">
      <alignment horizontal="center" vertical="center" shrinkToFit="1"/>
    </xf>
    <xf numFmtId="49" fontId="21" fillId="33" borderId="12" xfId="49" applyFont="1" applyFill="1" applyBorder="1" applyNumberFormat="1">
      <alignment horizontal="center" vertical="center" shrinkToFit="1"/>
    </xf>
    <xf numFmtId="49" fontId="21" fillId="33" borderId="13" xfId="49" applyFont="1" applyFill="1" applyBorder="1" applyNumberFormat="1">
      <alignment horizontal="center" vertical="center" shrinkToFit="1"/>
    </xf>
    <xf numFmtId="49" fontId="21" fillId="33" borderId="14" xfId="49" applyFont="1" applyFill="1" applyBorder="1" applyNumberFormat="1">
      <alignment horizontal="center" vertical="center" shrinkToFit="1"/>
    </xf>
    <xf numFmtId="0" fontId="21" fillId="33" borderId="15" xfId="49" applyFont="1" applyFill="1" applyBorder="1">
      <alignment horizontal="center" vertical="center" shrinkToFit="1"/>
    </xf>
    <xf numFmtId="49" fontId="21" fillId="33" borderId="15" xfId="49" applyFont="1" applyFill="1" applyBorder="1" applyNumberFormat="1">
      <alignment horizontal="center" vertical="center" shrinkToFit="1"/>
    </xf>
    <xf numFmtId="0" fontId="21" fillId="33" borderId="10" xfId="0" applyFont="1" applyFill="1" applyBorder="1">
      <alignment horizontal="center" vertical="center" shrinkToFit="1"/>
    </xf>
    <xf numFmtId="0" fontId="21" fillId="33" borderId="16" xfId="49" applyFont="1" applyFill="1" applyBorder="1">
      <alignment horizontal="left" vertical="center" wrapText="1" shrinkToFit="1"/>
    </xf>
    <xf numFmtId="0" fontId="21" fillId="33" borderId="17" xfId="49" applyFont="1" applyFill="1" applyBorder="1">
      <alignment horizontal="left" vertical="center" shrinkToFit="1"/>
    </xf>
    <xf numFmtId="0" fontId="21" fillId="33" borderId="18" xfId="49" applyFont="1" applyFill="1" applyBorder="1">
      <alignment horizontal="left" vertical="center" shrinkToFit="1"/>
    </xf>
    <xf numFmtId="0" fontId="21" fillId="33" borderId="0" xfId="49" applyFont="1" applyFill="1">
      <alignment horizontal="left" vertical="center" shrinkToFit="1"/>
    </xf>
    <xf numFmtId="0" fontId="21" fillId="33" borderId="19" xfId="49" applyFont="1" applyFill="1" applyBorder="1">
      <alignment horizontal="left" vertical="center" shrinkToFit="1"/>
    </xf>
    <xf numFmtId="0" fontId="21" fillId="33" borderId="17" xfId="49" applyFont="1" applyFill="1" applyBorder="1">
      <alignment horizontal="right" vertical="center" shrinkToFit="1"/>
    </xf>
    <xf numFmtId="0" fontId="21" fillId="33" borderId="17" xfId="49" applyFont="1" applyFill="1" applyBorder="1">
      <alignment vertical="center" shrinkToFit="1"/>
    </xf>
    <xf numFmtId="0" fontId="21" fillId="33" borderId="0" xfId="49" applyFont="1" applyFill="1">
      <alignment vertical="center" shrinkToFit="1"/>
    </xf>
    <xf numFmtId="0" fontId="21" fillId="0" borderId="10" xfId="49" applyFont="1" applyBorder="1">
      <alignment horizontal="center" vertical="center" shrinkToFit="1"/>
    </xf>
    <xf numFmtId="49" fontId="21" fillId="33" borderId="14" xfId="49" applyFont="1" applyFill="1" applyBorder="1" applyNumberFormat="1">
      <alignment horizontal="center" vertical="center" wrapText="1" shrinkToFit="1"/>
    </xf>
    <xf numFmtId="0" fontId="21" fillId="33" borderId="20" xfId="49" applyFont="1" applyFill="1" applyBorder="1">
      <alignment horizontal="left" vertical="center" shrinkToFit="1"/>
    </xf>
    <xf numFmtId="0" fontId="21" fillId="33" borderId="21" xfId="49" applyFont="1" applyFill="1" applyBorder="1">
      <alignment horizontal="left" vertical="center" shrinkToFit="1"/>
    </xf>
    <xf numFmtId="0" fontId="21" fillId="33" borderId="22" xfId="49" applyFont="1" applyFill="1" applyBorder="1">
      <alignment horizontal="left" vertical="center" shrinkToFit="1"/>
    </xf>
    <xf numFmtId="0" fontId="24" fillId="33" borderId="0" xfId="0" applyFont="1" applyFill="1">
      <alignment horizontal="center" vertical="center" wrapText="1"/>
    </xf>
    <xf numFmtId="0" fontId="0" fillId="0" borderId="0" xfId="0" applyFont="1">
      <alignment wrapText="1"/>
    </xf>
    <xf numFmtId="0" fontId="21" fillId="33" borderId="0" xfId="0" applyFont="1" applyFill="1">
      <alignment horizontal="center" vertical="center" wrapText="1" shrinkToFit="1"/>
    </xf>
    <xf numFmtId="0" fontId="21" fillId="33" borderId="11" xfId="0" applyFont="1" applyFill="1" applyBorder="1">
      <alignment horizontal="left" vertical="center" wrapText="1" shrinkToFit="1"/>
    </xf>
    <xf numFmtId="49" fontId="21" fillId="33" borderId="0" xfId="0" applyFont="1" applyFill="1" applyNumberFormat="1">
      <alignment horizontal="right" vertical="center" wrapText="1" shrinkToFit="1"/>
    </xf>
    <xf numFmtId="49" fontId="21" fillId="33" borderId="11" xfId="0" applyFont="1" applyFill="1" applyBorder="1" applyNumberFormat="1">
      <alignment horizontal="left" vertical="center" wrapText="1" shrinkToFit="1"/>
    </xf>
    <xf numFmtId="0" fontId="21" fillId="33" borderId="11" xfId="0" applyFont="1" applyFill="1" applyBorder="1">
      <alignment horizontal="right" vertical="center" wrapText="1" shrinkToFit="1"/>
    </xf>
    <xf numFmtId="0" fontId="21" fillId="33" borderId="0" xfId="0" applyFont="1" applyFill="1">
      <alignment vertical="center" wrapText="1" shrinkToFit="1"/>
    </xf>
    <xf numFmtId="0" fontId="21" fillId="33" borderId="10" xfId="0" applyFont="1" applyFill="1" applyBorder="1">
      <alignment horizontal="center" vertical="center" wrapText="1" shrinkToFit="1"/>
    </xf>
    <xf numFmtId="0" fontId="21" fillId="33" borderId="10" xfId="0" applyFont="1" applyFill="1" applyBorder="1">
      <alignment horizontal="center" vertical="center" wrapText="1" shrinkToFit="1"/>
    </xf>
    <xf numFmtId="0" fontId="21" fillId="33" borderId="12" xfId="0" applyFont="1" applyFill="1" applyBorder="1">
      <alignment horizontal="center" vertical="center" wrapText="1" shrinkToFit="1"/>
    </xf>
    <xf numFmtId="0" fontId="21" fillId="33" borderId="13" xfId="0" applyFont="1" applyFill="1" applyBorder="1">
      <alignment horizontal="center" vertical="center" wrapText="1" shrinkToFit="1"/>
    </xf>
    <xf numFmtId="0" fontId="23" fillId="0" borderId="0" xfId="0" applyFont="1">
      <alignment wrapText="1"/>
    </xf>
    <xf numFmtId="49" fontId="21" fillId="33" borderId="10" xfId="0" applyFont="1" applyFill="1" applyBorder="1" applyNumberFormat="1">
      <alignment horizontal="center" vertical="center" wrapText="1" shrinkToFit="1"/>
    </xf>
    <xf numFmtId="49" fontId="21" fillId="16" borderId="10" xfId="0" applyFont="1" applyFill="1" applyBorder="1" applyNumberFormat="1">
      <alignment horizontal="center" vertical="center" wrapText="1" shrinkToFit="1"/>
      <protection locked="0"/>
    </xf>
    <xf numFmtId="172" fontId="21" fillId="16" borderId="10" xfId="0" applyFont="1" applyFill="1" applyBorder="1" applyNumberFormat="1">
      <alignment horizontal="center" vertical="center" wrapText="1" shrinkToFit="1"/>
      <protection locked="0"/>
    </xf>
    <xf numFmtId="172" fontId="21" fillId="33" borderId="10" xfId="0" applyFont="1" applyFill="1" applyBorder="1" applyNumberFormat="1">
      <alignment horizontal="center" vertical="center" wrapText="1" shrinkToFit="1"/>
    </xf>
    <xf numFmtId="171" fontId="21" fillId="16" borderId="10" xfId="0" applyFont="1" applyFill="1" applyBorder="1" applyNumberFormat="1">
      <alignment horizontal="center" vertical="center" wrapText="1" shrinkToFit="1"/>
      <protection locked="0"/>
    </xf>
    <xf numFmtId="0" fontId="21" fillId="16" borderId="10" xfId="0" applyFont="1" applyFill="1" applyBorder="1">
      <alignment horizontal="center" vertical="center" wrapText="1" shrinkToFit="1"/>
      <protection locked="0"/>
    </xf>
    <xf numFmtId="177" fontId="21" fillId="33" borderId="10" xfId="0" applyFont="1" applyFill="1" applyBorder="1" applyNumberFormat="1">
      <alignment horizontal="center" vertical="center" wrapText="1" shrinkToFit="1"/>
    </xf>
    <xf numFmtId="49" fontId="21" fillId="33" borderId="10" xfId="0" applyFont="1" applyFill="1" applyBorder="1" applyNumberFormat="1">
      <alignment horizontal="center" vertical="center" wrapText="1" shrinkToFit="1"/>
    </xf>
    <xf numFmtId="49" fontId="21" fillId="0" borderId="10" xfId="0" applyFont="1" applyBorder="1" applyNumberFormat="1">
      <alignment horizontal="center" vertical="center" wrapText="1" shrinkToFit="1"/>
    </xf>
    <xf numFmtId="0" fontId="21" fillId="0" borderId="10" xfId="0" applyFont="1" applyBorder="1">
      <alignment horizontal="center" vertical="center" wrapText="1" shrinkToFit="1"/>
    </xf>
    <xf numFmtId="0" fontId="21" fillId="33" borderId="14" xfId="0" applyFont="1" applyFill="1" applyBorder="1">
      <alignment horizontal="center" vertical="center" wrapText="1" shrinkToFit="1"/>
    </xf>
    <xf numFmtId="0" fontId="21" fillId="33" borderId="12" xfId="0" applyFont="1" applyFill="1" applyBorder="1">
      <alignment horizontal="center" vertical="center" wrapText="1" shrinkToFit="1"/>
    </xf>
    <xf numFmtId="49" fontId="21" fillId="33" borderId="12" xfId="0" applyFont="1" applyFill="1" applyBorder="1" applyNumberFormat="1">
      <alignment horizontal="center" vertical="center" wrapText="1" shrinkToFit="1"/>
    </xf>
    <xf numFmtId="49" fontId="21" fillId="33" borderId="13" xfId="0" applyFont="1" applyFill="1" applyBorder="1" applyNumberFormat="1">
      <alignment horizontal="center" vertical="center" wrapText="1" shrinkToFit="1"/>
    </xf>
    <xf numFmtId="49" fontId="21" fillId="33" borderId="14" xfId="0" applyFont="1" applyFill="1" applyBorder="1" applyNumberFormat="1">
      <alignment horizontal="center" vertical="center" wrapText="1" shrinkToFit="1"/>
    </xf>
    <xf numFmtId="49" fontId="21" fillId="33" borderId="14" xfId="0" applyFont="1" applyFill="1" applyBorder="1" applyNumberFormat="1">
      <alignment horizontal="center" vertical="center" wrapText="1" shrinkToFit="1"/>
    </xf>
    <xf numFmtId="0" fontId="21" fillId="33" borderId="15" xfId="0" applyFont="1" applyFill="1" applyBorder="1">
      <alignment horizontal="center" vertical="center" wrapText="1" shrinkToFit="1"/>
    </xf>
    <xf numFmtId="49" fontId="21" fillId="33" borderId="15" xfId="0" applyFont="1" applyFill="1" applyBorder="1" applyNumberFormat="1">
      <alignment horizontal="center" vertical="center" wrapText="1" shrinkToFit="1"/>
    </xf>
    <xf numFmtId="0" fontId="21" fillId="33" borderId="10" xfId="0" applyFont="1" applyFill="1" applyBorder="1">
      <alignment horizontal="center" vertical="center" wrapText="1" shrinkToFit="1"/>
    </xf>
    <xf numFmtId="0" fontId="21" fillId="33" borderId="16" xfId="0" applyFont="1" applyFill="1" applyBorder="1">
      <alignment horizontal="left" vertical="center" wrapText="1" shrinkToFit="1"/>
    </xf>
    <xf numFmtId="0" fontId="21" fillId="33" borderId="17" xfId="0" applyFont="1" applyFill="1" applyBorder="1">
      <alignment horizontal="left" vertical="center" wrapText="1" shrinkToFit="1"/>
    </xf>
    <xf numFmtId="0" fontId="21" fillId="33" borderId="20" xfId="0" applyFont="1" applyFill="1" applyBorder="1">
      <alignment horizontal="left" vertical="center" wrapText="1" shrinkToFit="1"/>
    </xf>
    <xf numFmtId="0" fontId="21" fillId="33" borderId="18" xfId="0" applyFont="1" applyFill="1" applyBorder="1">
      <alignment horizontal="left" vertical="center" wrapText="1" shrinkToFit="1"/>
    </xf>
    <xf numFmtId="0" fontId="21" fillId="33" borderId="0" xfId="0" applyFont="1" applyFill="1">
      <alignment horizontal="left" vertical="center" wrapText="1" shrinkToFit="1"/>
    </xf>
    <xf numFmtId="0" fontId="21" fillId="33" borderId="21" xfId="0" applyFont="1" applyFill="1" applyBorder="1">
      <alignment horizontal="left" vertical="center" wrapText="1" shrinkToFit="1"/>
    </xf>
    <xf numFmtId="0" fontId="21" fillId="33" borderId="19" xfId="0" applyFont="1" applyFill="1" applyBorder="1">
      <alignment horizontal="left" vertical="center" wrapText="1" shrinkToFit="1"/>
    </xf>
    <xf numFmtId="0" fontId="21" fillId="33" borderId="22" xfId="0" applyFont="1" applyFill="1" applyBorder="1">
      <alignment horizontal="left" vertical="center" wrapText="1" shrinkToFit="1"/>
    </xf>
    <xf numFmtId="0" fontId="21" fillId="33" borderId="17" xfId="0" applyFont="1" applyFill="1" applyBorder="1">
      <alignment horizontal="right" vertical="center" wrapText="1" shrinkToFit="1"/>
    </xf>
    <xf numFmtId="0" fontId="23" fillId="0" borderId="0" xfId="0" applyFont="1">
      <alignment wrapText="1"/>
    </xf>
    <xf numFmtId="0" fontId="21" fillId="33" borderId="17" xfId="0" applyFont="1" applyFill="1" applyBorder="1">
      <alignment vertical="center" wrapText="1" shrinkToFit="1"/>
    </xf>
    <xf numFmtId="0" fontId="0" fillId="0" borderId="0" xfId="0" applyFont="1">
      <alignment wrapText="1"/>
    </xf>
    <xf numFmtId="0" fontId="0" fillId="0" borderId="0" xfId="0" applyFont="1"/>
    <xf numFmtId="0" fontId="22" fillId="33" borderId="10" xfId="0" applyFont="1" applyFill="1" applyBorder="1">
      <alignment horizontal="center" vertical="center" wrapText="1" shrinkToFit="1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 2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79C128-F5BD-22F8-7048-8D893FD69D28}" mc:Ignorable="x14ac xr xr2 xr3">
  <dimension ref="A1:K28"/>
  <sheetViews>
    <sheetView topLeftCell="A1" showGridLines="0" workbookViewId="0" tabSelected="1">
      <selection activeCell="A1" sqref="A1:J1"/>
    </sheetView>
  </sheetViews>
  <sheetFormatPr defaultColWidth="9.00390625" customHeight="1" defaultRowHeight="13.5"/>
  <cols>
    <col min="1" max="1" style="135" width="18.8515625" customWidth="1"/>
    <col min="2" max="7" style="135" width="14.140625" customWidth="1"/>
    <col min="8" max="8" style="135" width="17.8515625" customWidth="1"/>
    <col min="9" max="10" style="135" width="14.140625" customWidth="1"/>
  </cols>
  <sheetData>
    <row customHeight="1" ht="34.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2"/>
    </row>
    <row s="52" customFormat="1" customHeight="1" ht="18">
      <c r="A2" s="93" t="s">
        <v>1</v>
      </c>
      <c r="B2" s="94" t="s">
        <v>2</v>
      </c>
      <c r="C2" s="94"/>
      <c r="D2" s="95" t="s">
        <v>3</v>
      </c>
      <c r="E2" s="96" t="s">
        <v>4</v>
      </c>
      <c r="F2" s="96"/>
      <c r="G2" s="97" t="str">
        <f>取值!A1&amp;取值!B1&amp;取值!C1</f>
        <v>报表生成时间：2025-06-01 8:00:00</v>
      </c>
      <c r="H2" s="97"/>
      <c r="I2" s="97"/>
      <c r="J2" s="97"/>
      <c r="K2" s="98"/>
    </row>
    <row s="52" customFormat="1" customHeight="1" ht="30.75">
      <c r="A3" s="99" t="s">
        <v>5</v>
      </c>
      <c r="B3" s="59" t="s">
        <v>6</v>
      </c>
      <c r="C3" s="60" t="s">
        <v>7</v>
      </c>
      <c r="D3" s="102"/>
      <c r="E3" s="60" t="s">
        <v>8</v>
      </c>
      <c r="F3" s="102"/>
      <c r="G3" s="59" t="s">
        <v>9</v>
      </c>
      <c r="H3" s="59" t="s">
        <v>10</v>
      </c>
      <c r="I3" s="59" t="s">
        <v>11</v>
      </c>
      <c r="J3" s="59" t="s">
        <v>12</v>
      </c>
      <c r="K3" s="103"/>
    </row>
    <row s="52" customFormat="1" customHeight="1" ht="18">
      <c r="A4" s="99" t="s">
        <v>13</v>
      </c>
      <c r="B4" s="99"/>
      <c r="C4" s="99" t="s">
        <v>14</v>
      </c>
      <c r="D4" s="99" t="s">
        <v>15</v>
      </c>
      <c r="E4" s="99" t="s">
        <v>14</v>
      </c>
      <c r="F4" s="99" t="s">
        <v>15</v>
      </c>
      <c r="G4" s="99"/>
      <c r="H4" s="99"/>
      <c r="I4" s="99"/>
      <c r="J4" s="99"/>
      <c r="K4" s="103"/>
    </row>
    <row s="52" customFormat="1" customHeight="1" ht="18">
      <c r="A5" s="99" t="s">
        <v>16</v>
      </c>
      <c r="B5" s="104"/>
      <c r="C5" s="105">
        <v>19990403</v>
      </c>
      <c r="D5" s="104">
        <f>_xlfn.IFERROR(SUM(C5,取值!D5),"")</f>
        <v>93082172</v>
      </c>
      <c r="E5" s="104">
        <f>C5</f>
        <v>19990403</v>
      </c>
      <c r="F5" s="104">
        <f>D5</f>
        <v>93082172</v>
      </c>
      <c r="G5" s="104"/>
      <c r="H5" s="105" t="s">
        <v>17</v>
      </c>
      <c r="I5" s="106">
        <v>13793.37807</v>
      </c>
      <c r="J5" s="107">
        <f>_xlfn.IFERROR(SUM(I5,取值!I5),"")</f>
        <v>51070.18026</v>
      </c>
      <c r="K5" s="103"/>
    </row>
    <row s="52" customFormat="1" customHeight="1" ht="18">
      <c r="A6" s="99" t="s">
        <v>18</v>
      </c>
      <c r="B6" s="108">
        <v>3351.29</v>
      </c>
      <c r="C6" s="108">
        <v>7060.22</v>
      </c>
      <c r="D6" s="104">
        <f>_xlfn.IFERROR(SUM(C6,取值!D6),"")</f>
        <v>33355.84</v>
      </c>
      <c r="E6" s="109">
        <v>7189</v>
      </c>
      <c r="F6" s="104">
        <f>_xlfn.IFERROR(SUM(E6,取值!F6),"")</f>
        <v>32987</v>
      </c>
      <c r="G6" s="107">
        <f>_xlfn.IFERROR(SUM(B6,C6)-SUM(E6),"")</f>
        <v>3222.51</v>
      </c>
      <c r="H6" s="104"/>
      <c r="I6" s="104"/>
      <c r="J6" s="104"/>
      <c r="K6" s="103"/>
    </row>
    <row s="52" customFormat="1" customHeight="1" ht="18">
      <c r="A7" s="99" t="s">
        <v>19</v>
      </c>
      <c r="B7" s="108">
        <v>144.38</v>
      </c>
      <c r="C7" s="108">
        <v>0</v>
      </c>
      <c r="D7" s="104">
        <f>_xlfn.IFERROR(SUM(C7,取值!D7),"")</f>
        <v>248.66</v>
      </c>
      <c r="E7" s="109">
        <v>0</v>
      </c>
      <c r="F7" s="104">
        <f>_xlfn.IFERROR(SUM(E7,取值!F7),"")</f>
        <v>186.2</v>
      </c>
      <c r="G7" s="104">
        <f>_xlfn.IFERROR(SUM(B7,C7)-SUM(E7),"")</f>
        <v>144.38</v>
      </c>
      <c r="H7" s="104"/>
      <c r="I7" s="104"/>
      <c r="J7" s="104"/>
      <c r="K7" s="103"/>
    </row>
    <row s="52" customFormat="1" customHeight="1" ht="18">
      <c r="A8" s="99" t="s">
        <v>20</v>
      </c>
      <c r="B8" s="104"/>
      <c r="C8" s="104"/>
      <c r="D8" s="104"/>
      <c r="E8" s="104"/>
      <c r="F8" s="104"/>
      <c r="G8" s="104"/>
      <c r="H8" s="104"/>
      <c r="I8" s="104"/>
      <c r="J8" s="104"/>
      <c r="K8" s="103"/>
    </row>
    <row s="52" customFormat="1" customHeight="1" ht="18">
      <c r="A9" s="99" t="s">
        <v>21</v>
      </c>
      <c r="B9" s="109">
        <v>3703.38</v>
      </c>
      <c r="C9" s="109">
        <v>32962.86</v>
      </c>
      <c r="D9" s="104">
        <f>_xlfn.IFERROR(SUM(C9,取值!D10),"")</f>
        <v>151680.52</v>
      </c>
      <c r="E9" s="109">
        <v>30123.35</v>
      </c>
      <c r="F9" s="104">
        <f>_xlfn.IFERROR(SUM(E9,取值!F10),"")</f>
        <v>149274.79</v>
      </c>
      <c r="G9" s="110">
        <f>_xlfn.IFERROR(SUM(B9,C9)-SUM(E9),"")</f>
        <v>6542.89</v>
      </c>
      <c r="H9" s="105" t="s">
        <v>22</v>
      </c>
      <c r="I9" s="106">
        <v>20724.7389678</v>
      </c>
      <c r="J9" s="107">
        <f>_xlfn.IFERROR(SUM(I9,取值!I10),"")</f>
        <v>106670.2319698</v>
      </c>
      <c r="K9" s="103"/>
    </row>
    <row s="52" customFormat="1" customHeight="1" ht="26.25">
      <c r="A10" s="99" t="s">
        <v>23</v>
      </c>
      <c r="B10" s="67" t="s">
        <v>24</v>
      </c>
      <c r="C10" s="105" t="s">
        <v>25</v>
      </c>
      <c r="D10" s="67" t="s">
        <v>26</v>
      </c>
      <c r="E10" s="105" t="s">
        <v>27</v>
      </c>
      <c r="F10" s="104"/>
      <c r="G10" s="104"/>
      <c r="H10" s="112"/>
      <c r="I10" s="113"/>
      <c r="J10" s="104"/>
      <c r="K10" s="103"/>
    </row>
    <row s="52" customFormat="1" customHeight="1" ht="18">
      <c r="A11" s="99" t="s">
        <v>16</v>
      </c>
      <c r="B11" s="104"/>
      <c r="C11" s="109">
        <v>1752597</v>
      </c>
      <c r="D11" s="104">
        <f>_xlfn.IFERROR(SUM(C11,取值!D9),"")</f>
        <v>7356735</v>
      </c>
      <c r="E11" s="104">
        <f>C11</f>
        <v>1752597</v>
      </c>
      <c r="F11" s="104">
        <f>D11</f>
        <v>7356735</v>
      </c>
      <c r="G11" s="104"/>
      <c r="H11" s="105" t="s">
        <v>17</v>
      </c>
      <c r="I11" s="106">
        <v>1209.29193</v>
      </c>
      <c r="J11" s="107">
        <f>_xlfn.IFERROR(SUM(I11,取值!I9),"")</f>
        <v>4067.39933</v>
      </c>
      <c r="K11" s="103"/>
    </row>
    <row s="52" customFormat="1" customHeight="1" ht="20.25">
      <c r="A12" s="99" t="s">
        <v>28</v>
      </c>
      <c r="B12" s="99" t="s">
        <v>29</v>
      </c>
      <c r="C12" s="99" t="s">
        <v>30</v>
      </c>
      <c r="D12" s="99" t="s">
        <v>31</v>
      </c>
      <c r="E12" s="99" t="s">
        <v>32</v>
      </c>
      <c r="F12" s="99"/>
      <c r="G12" s="99"/>
      <c r="H12" s="99"/>
      <c r="I12" s="99"/>
      <c r="J12" s="99"/>
      <c r="K12" s="103"/>
    </row>
    <row s="52" customFormat="1" customHeight="1" ht="18">
      <c r="A13" s="99" t="s">
        <v>33</v>
      </c>
      <c r="B13" s="106">
        <v>326.389999999999</v>
      </c>
      <c r="C13" s="106">
        <v>8004.69</v>
      </c>
      <c r="D13" s="106">
        <v>4794.78</v>
      </c>
      <c r="E13" s="106">
        <v>3536.3</v>
      </c>
      <c r="F13" s="104"/>
      <c r="G13" s="104"/>
      <c r="H13" s="104"/>
      <c r="I13" s="104"/>
      <c r="J13" s="104"/>
      <c r="K13" s="103"/>
    </row>
    <row s="52" customFormat="1" customHeight="1" ht="18">
      <c r="A14" s="99" t="s">
        <v>34</v>
      </c>
      <c r="B14" s="106">
        <v>7138.61</v>
      </c>
      <c r="C14" s="106">
        <v>0</v>
      </c>
      <c r="D14" s="106">
        <v>90.18</v>
      </c>
      <c r="E14" s="106">
        <v>7048.43</v>
      </c>
      <c r="F14" s="104"/>
      <c r="G14" s="104"/>
      <c r="H14" s="104"/>
      <c r="I14" s="104"/>
      <c r="J14" s="104"/>
      <c r="K14" s="103"/>
    </row>
    <row s="52" customFormat="1" customHeight="1" ht="18">
      <c r="A15" s="99" t="s">
        <v>35</v>
      </c>
      <c r="B15" s="106">
        <v>0</v>
      </c>
      <c r="C15" s="106">
        <v>0</v>
      </c>
      <c r="D15" s="106">
        <v>0</v>
      </c>
      <c r="E15" s="106">
        <v>0</v>
      </c>
      <c r="F15" s="104"/>
      <c r="G15" s="104"/>
      <c r="H15" s="104"/>
      <c r="I15" s="104"/>
      <c r="J15" s="104"/>
      <c r="K15" s="103"/>
    </row>
    <row s="52" customFormat="1" customHeight="1" ht="18">
      <c r="A16" s="99" t="s">
        <v>36</v>
      </c>
      <c r="B16" s="106">
        <v>1472.5</v>
      </c>
      <c r="C16" s="106">
        <v>4642</v>
      </c>
      <c r="D16" s="106">
        <v>2329.92</v>
      </c>
      <c r="E16" s="106">
        <v>3784.58</v>
      </c>
      <c r="F16" s="104"/>
      <c r="G16" s="104"/>
      <c r="H16" s="104"/>
      <c r="I16" s="104"/>
      <c r="J16" s="104"/>
      <c r="K16" s="103"/>
    </row>
    <row s="52" customFormat="1" customHeight="1" ht="18">
      <c r="A17" s="99" t="s">
        <v>37</v>
      </c>
      <c r="B17" s="106">
        <v>42.6100000000001</v>
      </c>
      <c r="C17" s="106">
        <v>1663.24</v>
      </c>
      <c r="D17" s="106">
        <v>1387.84</v>
      </c>
      <c r="E17" s="106">
        <v>318.01</v>
      </c>
      <c r="F17" s="104"/>
      <c r="G17" s="104"/>
      <c r="H17" s="104"/>
      <c r="I17" s="104"/>
      <c r="J17" s="104"/>
      <c r="K17" s="103"/>
    </row>
    <row s="52" customFormat="1" customHeight="1" ht="18">
      <c r="A18" s="99" t="s">
        <v>38</v>
      </c>
      <c r="B18" s="106">
        <v>37.8399999999999</v>
      </c>
      <c r="C18" s="106">
        <v>197.8</v>
      </c>
      <c r="D18" s="106">
        <v>196.14</v>
      </c>
      <c r="E18" s="106">
        <v>39.4999999999999</v>
      </c>
      <c r="F18" s="104"/>
      <c r="G18" s="104"/>
      <c r="H18" s="104"/>
      <c r="I18" s="104"/>
      <c r="J18" s="104"/>
      <c r="K18" s="103"/>
    </row>
    <row s="52" customFormat="1" customHeight="1" ht="18">
      <c r="A19" s="114" t="s">
        <v>39</v>
      </c>
      <c r="B19" s="115" t="s">
        <v>40</v>
      </c>
      <c r="C19" s="102"/>
      <c r="D19" s="115" t="s">
        <v>41</v>
      </c>
      <c r="E19" s="102"/>
      <c r="F19" s="116" t="s">
        <v>42</v>
      </c>
      <c r="G19" s="117"/>
      <c r="H19" s="118" t="s">
        <v>43</v>
      </c>
      <c r="I19" s="87" t="s">
        <v>44</v>
      </c>
      <c r="J19" s="87" t="s">
        <v>45</v>
      </c>
      <c r="K19" s="103"/>
    </row>
    <row s="52" customFormat="1" customHeight="1" ht="18">
      <c r="A20" s="120"/>
      <c r="B20" s="99" t="s">
        <v>14</v>
      </c>
      <c r="C20" s="99" t="s">
        <v>15</v>
      </c>
      <c r="D20" s="99" t="s">
        <v>14</v>
      </c>
      <c r="E20" s="99" t="s">
        <v>15</v>
      </c>
      <c r="F20" s="99" t="s">
        <v>14</v>
      </c>
      <c r="G20" s="99" t="s">
        <v>15</v>
      </c>
      <c r="H20" s="121"/>
      <c r="I20" s="121"/>
      <c r="J20" s="121"/>
      <c r="K20" s="103"/>
    </row>
    <row s="52" customFormat="1" customHeight="1" ht="18">
      <c r="A21" s="99" t="s">
        <v>46</v>
      </c>
      <c r="B21" s="105" t="s">
        <v>47</v>
      </c>
      <c r="C21" s="104">
        <f>_xlfn.IFERROR(SUM(B21,取值!D19),"")</f>
        <v>14548.68</v>
      </c>
      <c r="D21" s="105" t="s">
        <v>48</v>
      </c>
      <c r="E21" s="104">
        <f>_xlfn.IFERROR(SUM(D21,取值!F19),"")</f>
        <v>14415.62</v>
      </c>
      <c r="F21" s="106">
        <v>18.29</v>
      </c>
      <c r="G21" s="110">
        <f>_xlfn.IFERROR(SUM(F21,取值!H19),"")</f>
        <v>133.06</v>
      </c>
      <c r="H21" s="105" t="s">
        <v>49</v>
      </c>
      <c r="I21" s="106">
        <v>19531.712</v>
      </c>
      <c r="J21" s="107">
        <f>_xlfn.IFERROR(SUM(I21,取值!I19),"")</f>
        <v>86517.185</v>
      </c>
      <c r="K21" s="103"/>
    </row>
    <row s="52" customFormat="1" customHeight="1" ht="18">
      <c r="A22" s="99" t="s">
        <v>50</v>
      </c>
      <c r="B22" s="99" t="s">
        <v>51</v>
      </c>
      <c r="C22" s="122" t="s">
        <v>51</v>
      </c>
      <c r="D22" s="109">
        <v>564.73</v>
      </c>
      <c r="E22" s="104">
        <f>_xlfn.IFERROR(SUM(D22,取值!F20),"")</f>
        <v>2615.88</v>
      </c>
      <c r="F22" s="99" t="s">
        <v>51</v>
      </c>
      <c r="G22" s="99" t="s">
        <v>51</v>
      </c>
      <c r="H22" s="109">
        <v>0.29</v>
      </c>
      <c r="I22" s="106">
        <v>1637.72</v>
      </c>
      <c r="J22" s="107">
        <f>_xlfn.IFERROR(SUM(I22,取值!I20),"")</f>
        <v>7585.779</v>
      </c>
      <c r="K22" s="103"/>
    </row>
    <row s="52" customFormat="1" customHeight="1" ht="18">
      <c r="A23" s="78" t="s">
        <v>52</v>
      </c>
      <c r="B23" s="124"/>
      <c r="C23" s="124"/>
      <c r="D23" s="124"/>
      <c r="E23" s="124"/>
      <c r="F23" s="124"/>
      <c r="G23" s="124"/>
      <c r="H23" s="124"/>
      <c r="I23" s="124"/>
      <c r="J23" s="125"/>
      <c r="K23" s="103"/>
    </row>
    <row s="52" customFormat="1" customHeight="1" ht="18">
      <c r="A24" s="126"/>
      <c r="B24" s="127"/>
      <c r="C24" s="127"/>
      <c r="D24" s="127"/>
      <c r="E24" s="127"/>
      <c r="F24" s="127"/>
      <c r="G24" s="127"/>
      <c r="H24" s="127"/>
      <c r="I24" s="127"/>
      <c r="J24" s="128"/>
      <c r="K24" s="103"/>
    </row>
    <row s="52" customFormat="1" customHeight="1" ht="18">
      <c r="A25" s="129"/>
      <c r="B25" s="94"/>
      <c r="C25" s="94"/>
      <c r="D25" s="94"/>
      <c r="E25" s="94"/>
      <c r="F25" s="94"/>
      <c r="G25" s="94"/>
      <c r="H25" s="94"/>
      <c r="I25" s="94"/>
      <c r="J25" s="130"/>
      <c r="K25" s="103"/>
    </row>
    <row s="52" customFormat="1" customHeight="1" ht="18">
      <c r="A26" s="131" t="s">
        <v>53</v>
      </c>
      <c r="B26" s="124" t="s">
        <v>54</v>
      </c>
      <c r="C26" s="132"/>
      <c r="D26" s="124"/>
      <c r="E26" s="131" t="s">
        <v>55</v>
      </c>
      <c r="F26" s="124" t="s">
        <v>56</v>
      </c>
      <c r="G26" s="133"/>
      <c r="H26" s="133"/>
      <c r="I26" s="131" t="s">
        <v>57</v>
      </c>
      <c r="J26" s="124" t="s">
        <v>58</v>
      </c>
      <c r="K26" s="103"/>
    </row>
    <row customHeight="1" ht="13.5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92"/>
    </row>
    <row customHeight="1" ht="13.5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92"/>
    </row>
  </sheetData>
  <mergeCells count="14">
    <mergeCell ref="A1:J1"/>
    <mergeCell ref="B2:C2"/>
    <mergeCell ref="E2:F2"/>
    <mergeCell ref="G2:J2"/>
    <mergeCell ref="C3:D3"/>
    <mergeCell ref="E3:F3"/>
    <mergeCell ref="B19:C19"/>
    <mergeCell ref="D19:E19"/>
    <mergeCell ref="F19:G19"/>
    <mergeCell ref="A19:A20"/>
    <mergeCell ref="H19:H20"/>
    <mergeCell ref="I19:I20"/>
    <mergeCell ref="J19:J20"/>
    <mergeCell ref="A23:J25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1A53998-7258-D742-C77B-DB36668E0D68}" mc:Ignorable="x14ac xr xr2 xr3">
  <dimension ref="A1:I28"/>
  <sheetViews>
    <sheetView topLeftCell="A1" workbookViewId="0">
      <selection activeCell="I20" sqref="I20"/>
    </sheetView>
  </sheetViews>
  <sheetFormatPr defaultColWidth="9.00390625" customHeight="1" defaultRowHeight="13.5"/>
  <sheetData>
    <row customHeight="1" ht="13.5">
      <c r="A1" s="92" t="s">
        <v>59</v>
      </c>
      <c r="B1" s="92" t="s">
        <v>60</v>
      </c>
      <c r="C1" s="92" t="s">
        <v>61</v>
      </c>
      <c r="D1" s="92"/>
      <c r="E1" s="92"/>
      <c r="F1" s="92"/>
      <c r="G1" s="92"/>
      <c r="H1" s="92"/>
      <c r="I1" s="92"/>
    </row>
    <row customHeight="1" ht="13.5">
      <c r="A2" s="92"/>
      <c r="B2" s="92"/>
      <c r="C2" s="92"/>
      <c r="D2" s="92"/>
      <c r="E2" s="92"/>
      <c r="F2" s="92"/>
      <c r="G2" s="92"/>
      <c r="H2" s="92"/>
      <c r="I2" s="92"/>
    </row>
    <row customHeight="1" ht="13.5">
      <c r="A3" s="99" t="s">
        <v>5</v>
      </c>
      <c r="B3" s="99" t="s">
        <v>29</v>
      </c>
      <c r="C3" s="99" t="s">
        <v>62</v>
      </c>
      <c r="D3" s="99"/>
      <c r="E3" s="99" t="s">
        <v>63</v>
      </c>
      <c r="F3" s="99"/>
      <c r="G3" s="99" t="s">
        <v>64</v>
      </c>
      <c r="H3" s="99" t="s">
        <v>65</v>
      </c>
      <c r="I3" s="99" t="s">
        <v>66</v>
      </c>
    </row>
    <row customHeight="1" ht="13.5">
      <c r="A4" s="99" t="s">
        <v>13</v>
      </c>
      <c r="B4" s="99"/>
      <c r="C4" s="99" t="s">
        <v>14</v>
      </c>
      <c r="D4" s="99" t="s">
        <v>15</v>
      </c>
      <c r="E4" s="99" t="s">
        <v>14</v>
      </c>
      <c r="F4" s="99" t="s">
        <v>15</v>
      </c>
      <c r="G4" s="99"/>
      <c r="H4" s="99"/>
      <c r="I4" s="99"/>
    </row>
    <row customHeight="1" ht="13.5">
      <c r="A5" s="99" t="s">
        <v>67</v>
      </c>
      <c r="B5" s="92"/>
      <c r="C5" s="92">
        <v>19990403</v>
      </c>
      <c r="D5" s="92">
        <v>73091769</v>
      </c>
      <c r="E5" s="92"/>
      <c r="F5" s="92"/>
      <c r="G5" s="92"/>
      <c r="H5" s="92"/>
      <c r="I5" s="92">
        <v>37276.80219</v>
      </c>
    </row>
    <row customHeight="1" ht="13.5">
      <c r="A6" s="99" t="s">
        <v>18</v>
      </c>
      <c r="B6" s="92">
        <v>3351.29</v>
      </c>
      <c r="C6" s="92">
        <v>7060.22</v>
      </c>
      <c r="D6" s="92">
        <v>26295.62</v>
      </c>
      <c r="E6" s="92">
        <f>_xlfn.IFERROR(SUM(E25,E26,E27,E28),"")</f>
        <v>7189</v>
      </c>
      <c r="F6" s="92">
        <v>25798</v>
      </c>
      <c r="G6" s="92"/>
      <c r="H6" s="92"/>
      <c r="I6" s="92"/>
    </row>
    <row customHeight="1" ht="13.5">
      <c r="A7" s="99" t="s">
        <v>19</v>
      </c>
      <c r="B7" s="92">
        <v>144.38</v>
      </c>
      <c r="C7" s="92">
        <v>0</v>
      </c>
      <c r="D7" s="92">
        <v>248.66</v>
      </c>
      <c r="E7" s="92">
        <v>0</v>
      </c>
      <c r="F7" s="92">
        <v>186.2</v>
      </c>
      <c r="G7" s="92"/>
      <c r="H7" s="92"/>
      <c r="I7" s="92"/>
    </row>
    <row customHeight="1" ht="13.5">
      <c r="A8" s="99" t="s">
        <v>20</v>
      </c>
      <c r="B8" s="92"/>
      <c r="C8" s="92"/>
      <c r="D8" s="92"/>
      <c r="E8" s="92"/>
      <c r="F8" s="92"/>
      <c r="G8" s="92"/>
      <c r="H8" s="92"/>
      <c r="I8" s="92"/>
    </row>
    <row customHeight="1" ht="13.5">
      <c r="A9" s="99" t="s">
        <v>68</v>
      </c>
      <c r="B9" s="92"/>
      <c r="C9" s="92">
        <v>1752597</v>
      </c>
      <c r="D9" s="92">
        <v>5604138</v>
      </c>
      <c r="E9" s="92"/>
      <c r="F9" s="92"/>
      <c r="G9" s="92"/>
      <c r="H9" s="92"/>
      <c r="I9" s="92">
        <v>2858.1074</v>
      </c>
    </row>
    <row customHeight="1" ht="13.5">
      <c r="A10" s="99" t="s">
        <v>69</v>
      </c>
      <c r="B10" s="92">
        <v>3703.38</v>
      </c>
      <c r="C10" s="92">
        <v>32962.86</v>
      </c>
      <c r="D10" s="92">
        <v>118717.66</v>
      </c>
      <c r="E10" s="92">
        <v>30123.35</v>
      </c>
      <c r="F10" s="92">
        <v>119151.44</v>
      </c>
      <c r="G10" s="92"/>
      <c r="H10" s="92"/>
      <c r="I10" s="92">
        <v>85945.493002</v>
      </c>
    </row>
    <row customHeight="1" ht="13.5">
      <c r="A11" s="99" t="s">
        <v>70</v>
      </c>
      <c r="B11" s="99" t="s">
        <v>29</v>
      </c>
      <c r="C11" s="99" t="s">
        <v>30</v>
      </c>
      <c r="D11" s="99" t="s">
        <v>31</v>
      </c>
      <c r="E11" s="99" t="s">
        <v>32</v>
      </c>
      <c r="F11" s="92"/>
      <c r="G11" s="92"/>
      <c r="H11" s="92"/>
      <c r="I11" s="92"/>
    </row>
    <row customHeight="1" ht="13.5">
      <c r="A12" s="99" t="s">
        <v>33</v>
      </c>
      <c r="B12" s="92">
        <v>326.389999999999</v>
      </c>
      <c r="C12" s="92">
        <v>8004.69</v>
      </c>
      <c r="D12" s="92">
        <v>4794.78</v>
      </c>
      <c r="E12" s="92">
        <v>3536.3</v>
      </c>
      <c r="F12" s="92"/>
      <c r="G12" s="92"/>
      <c r="H12" s="92"/>
      <c r="I12" s="92"/>
    </row>
    <row customHeight="1" ht="13.5">
      <c r="A13" s="136" t="s">
        <v>34</v>
      </c>
      <c r="B13" s="92">
        <v>7138.61</v>
      </c>
      <c r="C13" s="92">
        <v>0</v>
      </c>
      <c r="D13" s="92">
        <v>90.18</v>
      </c>
      <c r="E13" s="92">
        <v>7048.43</v>
      </c>
      <c r="F13" s="92"/>
      <c r="G13" s="92"/>
      <c r="H13" s="92"/>
      <c r="I13" s="92"/>
    </row>
    <row customHeight="1" ht="13.5">
      <c r="A14" s="99" t="s">
        <v>35</v>
      </c>
      <c r="B14" s="92">
        <v>0</v>
      </c>
      <c r="C14" s="92">
        <v>0</v>
      </c>
      <c r="D14" s="92">
        <v>0</v>
      </c>
      <c r="E14" s="92">
        <v>0</v>
      </c>
      <c r="F14" s="92"/>
      <c r="G14" s="92"/>
      <c r="H14" s="92"/>
      <c r="I14" s="92"/>
    </row>
    <row customHeight="1" ht="13.5">
      <c r="A15" s="99" t="s">
        <v>36</v>
      </c>
      <c r="B15" s="92">
        <v>1472.5</v>
      </c>
      <c r="C15" s="92">
        <v>4642</v>
      </c>
      <c r="D15" s="92">
        <v>2329.92</v>
      </c>
      <c r="E15" s="92">
        <v>3784.58</v>
      </c>
      <c r="F15" s="92"/>
      <c r="G15" s="92"/>
      <c r="H15" s="92"/>
      <c r="I15" s="92"/>
    </row>
    <row customHeight="1" ht="13.5">
      <c r="A16" s="99" t="s">
        <v>37</v>
      </c>
      <c r="B16" s="92">
        <v>42.6100000000001</v>
      </c>
      <c r="C16" s="92">
        <v>1663.24</v>
      </c>
      <c r="D16" s="92">
        <v>1387.84</v>
      </c>
      <c r="E16" s="92">
        <v>318.01</v>
      </c>
      <c r="F16" s="92"/>
      <c r="G16" s="92"/>
      <c r="H16" s="92"/>
      <c r="I16" s="92"/>
    </row>
    <row customHeight="1" ht="13.5">
      <c r="A17" s="99" t="s">
        <v>38</v>
      </c>
      <c r="B17" s="92">
        <v>37.8399999999999</v>
      </c>
      <c r="C17" s="92">
        <v>197.8</v>
      </c>
      <c r="D17" s="92">
        <v>196.14</v>
      </c>
      <c r="E17" s="92">
        <v>39.4999999999999</v>
      </c>
      <c r="F17" s="92"/>
      <c r="G17" s="92"/>
      <c r="H17" s="92"/>
      <c r="I17" s="92"/>
    </row>
    <row customHeight="1" ht="13.5">
      <c r="A18" s="99"/>
      <c r="B18" s="99"/>
      <c r="C18" s="99" t="s">
        <v>71</v>
      </c>
      <c r="D18" s="99" t="s">
        <v>72</v>
      </c>
      <c r="E18" s="99" t="s">
        <v>41</v>
      </c>
      <c r="F18" s="99" t="s">
        <v>73</v>
      </c>
      <c r="G18" s="99"/>
      <c r="H18" s="99"/>
      <c r="I18" s="99"/>
    </row>
    <row customHeight="1" ht="13.5">
      <c r="A19" s="99" t="s">
        <v>74</v>
      </c>
      <c r="B19" s="92"/>
      <c r="C19" s="92"/>
      <c r="D19" s="92">
        <v>11496.85</v>
      </c>
      <c r="E19" s="92"/>
      <c r="F19" s="92">
        <v>11382.08</v>
      </c>
      <c r="G19" s="92"/>
      <c r="H19" s="92">
        <v>114.7699999999996</v>
      </c>
      <c r="I19" s="92">
        <v>66985.473</v>
      </c>
    </row>
    <row customHeight="1" ht="13.5">
      <c r="A20" s="99" t="s">
        <v>50</v>
      </c>
      <c r="B20" s="92"/>
      <c r="C20" s="92"/>
      <c r="D20" s="92"/>
      <c r="E20" s="92"/>
      <c r="F20" s="92">
        <v>2051.15</v>
      </c>
      <c r="G20" s="92"/>
      <c r="H20" s="92"/>
      <c r="I20" s="92">
        <v>5948.059</v>
      </c>
    </row>
    <row customHeight="1" ht="13.5">
      <c r="A21" s="92"/>
      <c r="B21" s="92"/>
      <c r="C21" s="92"/>
      <c r="D21" s="92"/>
      <c r="E21" s="92"/>
      <c r="F21" s="92"/>
      <c r="G21" s="92"/>
      <c r="H21" s="92"/>
      <c r="I21" s="92"/>
    </row>
    <row customHeight="1" ht="13.5">
      <c r="A22" s="92"/>
      <c r="B22" s="92"/>
      <c r="C22" s="92"/>
      <c r="D22" s="92"/>
      <c r="E22" s="92"/>
      <c r="F22" s="92"/>
      <c r="G22" s="92"/>
      <c r="H22" s="92"/>
      <c r="I22" s="92"/>
    </row>
    <row customHeight="1" ht="13.5">
      <c r="A23" s="92"/>
      <c r="B23" s="92"/>
      <c r="C23" s="92"/>
      <c r="D23" s="92"/>
      <c r="E23" s="92"/>
      <c r="F23" s="92"/>
      <c r="G23" s="92"/>
      <c r="H23" s="92"/>
      <c r="I23" s="92"/>
    </row>
    <row customHeight="1" ht="13.5">
      <c r="A24" s="92"/>
      <c r="B24" s="92"/>
      <c r="C24" s="92"/>
      <c r="D24" s="92"/>
      <c r="E24" s="92"/>
      <c r="F24" s="92"/>
      <c r="G24" s="92"/>
      <c r="H24" s="92"/>
      <c r="I24" s="92"/>
    </row>
    <row customHeight="1" ht="13.5">
      <c r="A25" s="92"/>
      <c r="B25" s="92"/>
      <c r="C25" s="92"/>
      <c r="D25" s="92"/>
      <c r="E25" s="92">
        <v>6275.5</v>
      </c>
      <c r="F25" s="92"/>
      <c r="G25" s="92"/>
      <c r="H25" s="92"/>
      <c r="I25" s="92"/>
    </row>
    <row customHeight="1" ht="13.5">
      <c r="A26" s="92"/>
      <c r="B26" s="92"/>
      <c r="C26" s="92"/>
      <c r="D26" s="92"/>
      <c r="E26" s="92">
        <v>0</v>
      </c>
      <c r="F26" s="92"/>
      <c r="G26" s="92"/>
      <c r="H26" s="92"/>
      <c r="I26" s="92"/>
    </row>
    <row customHeight="1" ht="13.5">
      <c r="A27" s="92"/>
      <c r="B27" s="92"/>
      <c r="C27" s="92"/>
      <c r="D27" s="92"/>
      <c r="E27" s="92">
        <v>842</v>
      </c>
      <c r="F27" s="92"/>
      <c r="G27" s="92"/>
      <c r="H27" s="92"/>
      <c r="I27" s="92"/>
    </row>
    <row customHeight="1" ht="13.5">
      <c r="A28" s="92"/>
      <c r="B28" s="92"/>
      <c r="C28" s="92"/>
      <c r="D28" s="92"/>
      <c r="E28" s="92">
        <v>71.5</v>
      </c>
      <c r="F28" s="92"/>
      <c r="G28" s="92"/>
      <c r="H28" s="92"/>
      <c r="I28" s="92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原材料、燃料、动力购进、库存及价格表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dhc</cp:lastModifiedBy>
  <dcterms:created xsi:type="dcterms:W3CDTF">2006-09-16T00:00:00Z</dcterms:created>
  <dcterms:modified xsi:type="dcterms:W3CDTF">2023-05-01T07:09:32Z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EC77036C3A454E12BE18C977AEDEC8DD</vt:lpwstr>
  </property>
  <property fmtid="{D5CDD505-2E9C-101B-9397-08002B2CF9AE}" pid="3" name="KSOProductBuildVer">
    <vt:lpwstr>2052-11.1.0.14036</vt:lpwstr>
  </property>
</Properties>
</file>