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延安石油化工厂生产调度工艺台帐(物料平衡） " sheetId="1" r:id="rId2"/>
    <sheet name="取值" sheetId="2" state="hidden" r:id="rId3"/>
    <sheet name="取值1" sheetId="3" state="hidden" r:id="rId4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I6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#Input("石化_调度_120万吨/年连续重整装置_预加氢系统压降_16",":key{{dw}}")
</t>
        </r>
      </text>
    </comment>
    <comment ref="K6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#Input("石化_调度_120万吨/年连续重整装置_预加氢系统压降_01",":key{{dw}}")
</t>
        </r>
      </text>
    </comment>
    <comment ref="M6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#Input("石化_调度_120万吨/年连续重整装置_预加氢系统压降_07",":key{{dw}}")
</t>
        </r>
      </text>
    </comment>
    <comment ref="S6" authorId="0">
      <text>
        <r>
          <rPr>
            <sz val="9"/>
            <color indexed="81"/>
            <rFont val="宋体"/>
            <family val="2"/>
          </rPr>
          <t xml:space="preserve">#Input("石化_调度_20万吨/年苯抽提装置_抽提塔(C-101)顶温度_16",":key{{dw}}")
</t>
        </r>
      </text>
    </comment>
    <comment ref="U6" authorId="0">
      <text>
        <r>
          <rPr>
            <sz val="9"/>
            <color indexed="81"/>
            <rFont val="宋体"/>
            <family val="2"/>
          </rPr>
          <t xml:space="preserve">#Input("石化_调度_20万吨/年苯抽提装置_抽提塔(C-101)顶温度_01",":key{{dw}}")
</t>
        </r>
      </text>
    </comment>
    <comment ref="V6" authorId="0">
      <text>
        <r>
          <rPr>
            <sz val="9"/>
            <color indexed="81"/>
            <rFont val="宋体"/>
            <family val="2"/>
          </rPr>
          <t xml:space="preserve">#Input("石化_调度_20万吨/年苯抽提装置_抽提塔(C-101)顶温度_07",":key{{dw}}")
</t>
        </r>
      </text>
    </comment>
    <comment ref="Z6" authorId="0">
      <text>
        <r>
          <rPr>
            <sz val="9"/>
            <color indexed="81"/>
            <rFont val="宋体"/>
            <family val="2"/>
          </rPr>
          <t xml:space="preserve">#Input("石化_调度_12万吨/年MTBE装置_反应器（R-101）床层温度_16",":key{{dw}}")
</t>
        </r>
      </text>
    </comment>
    <comment ref="AA6" authorId="0">
      <text>
        <r>
          <rPr>
            <sz val="9"/>
            <color indexed="81"/>
            <rFont val="宋体"/>
            <family val="2"/>
          </rPr>
          <t xml:space="preserve">#Input("石化_调度_12万吨/年MTBE装置_反应器（R-101）床层温度_01",":key{{dw}}")
</t>
        </r>
      </text>
    </comment>
    <comment ref="AB6" authorId="0">
      <text>
        <r>
          <rPr>
            <sz val="9"/>
            <color indexed="81"/>
            <rFont val="宋体"/>
            <family val="2"/>
          </rPr>
          <t xml:space="preserve">#Input("石化_调度_12万吨/年MTBE装置_反应器（R-101）床层温度_07",":key{{dw}}")
</t>
        </r>
      </text>
    </comment>
    <comment ref="AG6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#Input("石化_调度_20万吨/年烷基化装置轻烃_加氢反应器(R-101)压力_16",":key{{dw}}")
</t>
        </r>
      </text>
    </comment>
    <comment ref="AH6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#Input("石化_调度_20万吨/年烷基化装置轻烃_加氢反应器(R-101)压力_01",":key{{dw}}")
</t>
        </r>
      </text>
    </comment>
    <comment ref="AI6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#Input("石化_调度_20万吨/年烷基化装置轻烃_加氢反应器(R-101)压力_07",":key{{dw}}")
</t>
        </r>
      </text>
    </comment>
    <comment ref="AL6" authorId="0">
      <text>
        <r>
          <rPr>
            <sz val="9"/>
            <color indexed="81"/>
            <rFont val="宋体"/>
            <family val="2"/>
          </rPr>
          <t xml:space="preserve">#Input("石化_调度_30万吨/年混合脱氢装置轻烃_脱氢反应器R-101入口压力_16",":key{{dw}}")
</t>
        </r>
      </text>
    </comment>
    <comment ref="AM6" authorId="0">
      <text>
        <r>
          <rPr>
            <sz val="9"/>
            <color indexed="81"/>
            <rFont val="宋体"/>
            <family val="2"/>
          </rPr>
          <t xml:space="preserve">#Input("石化_调度_30万吨/年混合脱氢装置轻烃_脱氢反应器R-101入口压力_01",":key{{dw}}")
</t>
        </r>
      </text>
    </comment>
    <comment ref="AN6" authorId="0">
      <text>
        <r>
          <rPr>
            <sz val="9"/>
            <color indexed="81"/>
            <rFont val="宋体"/>
            <family val="2"/>
          </rPr>
          <t xml:space="preserve">#Input("石化_调度_30万吨/年混合脱氢装置轻烃_脱氢反应器R-101入口压力_07",":key{{dw}}")
</t>
        </r>
      </text>
    </comment>
    <comment ref="AR6" authorId="0">
      <text>
        <r>
          <rPr>
            <sz val="9"/>
            <color indexed="81"/>
            <rFont val="宋体"/>
            <family val="2"/>
          </rPr>
          <t xml:space="preserve">#Input("石化_调度_动力装置_1#锅炉_炉膛温度_16",":key{{dw}}")
</t>
        </r>
      </text>
    </comment>
    <comment ref="AS6" authorId="0">
      <text>
        <r>
          <rPr>
            <sz val="9"/>
            <color indexed="81"/>
            <rFont val="宋体"/>
            <family val="2"/>
          </rPr>
          <t xml:space="preserve">#Input("石化_调度_动力装置_1#锅炉_炉膛温度_01",":key{{dw}}")
</t>
        </r>
      </text>
    </comment>
    <comment ref="AT6" authorId="0">
      <text>
        <r>
          <rPr>
            <sz val="9"/>
            <color indexed="81"/>
            <rFont val="宋体"/>
            <family val="2"/>
          </rPr>
          <t xml:space="preserve">#Input("石化_调度_动力装置_1#锅炉_炉膛温度_07",":key{{dw}}")
</t>
        </r>
      </text>
    </comment>
    <comment ref="I7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#Input("石化_调度_120万吨/年连续重整装置_蒸发塔(C-101)顶压力_16",":key{{dw}}")
</t>
        </r>
      </text>
    </comment>
    <comment ref="K7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#Input("石化_调度_120万吨/年连续重整装置_蒸发塔(C-101)顶压力_01",":key{{dw}}")
</t>
        </r>
      </text>
    </comment>
    <comment ref="M7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#Input("石化_调度_120万吨/年连续重整装置_蒸发塔(C-101)顶压力_07",":key{{dw}}")
</t>
        </r>
      </text>
    </comment>
    <comment ref="S7" authorId="0">
      <text>
        <r>
          <rPr>
            <sz val="9"/>
            <color indexed="81"/>
            <rFont val="宋体"/>
            <family val="2"/>
          </rPr>
          <t xml:space="preserve">#Input("石化_调度_20万吨/年苯抽提装置_抽提塔(C-101)底温度_16",":key{{dw}}")
</t>
        </r>
      </text>
    </comment>
    <comment ref="U7" authorId="0">
      <text>
        <r>
          <rPr>
            <sz val="9"/>
            <color indexed="81"/>
            <rFont val="宋体"/>
            <family val="2"/>
          </rPr>
          <t xml:space="preserve">#Input("石化_调度_20万吨/年苯抽提装置_抽提塔(C-101)底温度_01",":key{{dw}}")
</t>
        </r>
      </text>
    </comment>
    <comment ref="V7" authorId="0">
      <text>
        <r>
          <rPr>
            <sz val="9"/>
            <color indexed="81"/>
            <rFont val="宋体"/>
            <family val="2"/>
          </rPr>
          <t xml:space="preserve">#Input("石化_调度_20万吨/年苯抽提装置_抽提塔(C-101)底温度_07",":key{{dw}}")
</t>
        </r>
      </text>
    </comment>
    <comment ref="Z7" authorId="0">
      <text>
        <r>
          <rPr>
            <sz val="9"/>
            <color indexed="81"/>
            <rFont val="宋体"/>
            <family val="2"/>
          </rPr>
          <t xml:space="preserve">#Input("石化_调度_12万吨/年MTBE装置_反应器（R-101）操作压力_16",":key{{dw}}")
</t>
        </r>
      </text>
    </comment>
    <comment ref="AA7" authorId="0">
      <text>
        <r>
          <rPr>
            <sz val="9"/>
            <color indexed="81"/>
            <rFont val="宋体"/>
            <family val="2"/>
          </rPr>
          <t xml:space="preserve">#Input("石化_调度_12万吨/年MTBE装置_反应器（R-101）操作压力_01",":key{{dw}}")
</t>
        </r>
      </text>
    </comment>
    <comment ref="AB7" authorId="0">
      <text>
        <r>
          <rPr>
            <sz val="9"/>
            <color indexed="81"/>
            <rFont val="宋体"/>
            <family val="2"/>
          </rPr>
          <t xml:space="preserve">#Input("石化_调度_12万吨/年MTBE装置_反应器（R-101）操作压力_07",":key{{dw}}")
</t>
        </r>
      </text>
    </comment>
    <comment ref="AG7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#Input("石化_调度_20万吨/年烷基化装置轻烃_加氢反应器(R-101)入口温度_16",":key{{dw}}")
</t>
        </r>
      </text>
    </comment>
    <comment ref="AH7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#Input("石化_调度_20万吨/年烷基化装置轻烃_加氢反应器(R-101)入口温度_01",":key{{dw}}")
</t>
        </r>
      </text>
    </comment>
    <comment ref="AI7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#Input("石化_调度_20万吨/年烷基化装置轻烃_加氢反应器(R-101)入口温度_07",":key{{dw}}")
</t>
        </r>
      </text>
    </comment>
    <comment ref="AL7" authorId="0">
      <text>
        <r>
          <rPr>
            <sz val="9"/>
            <color indexed="81"/>
            <rFont val="宋体"/>
            <family val="2"/>
          </rPr>
          <t xml:space="preserve">#Input("石化_调度_30万吨/年混合脱氢装置轻烃_脱氢反应器R-102温度_16",":key{{dw}}")
</t>
        </r>
      </text>
    </comment>
    <comment ref="AM7" authorId="0">
      <text>
        <r>
          <rPr>
            <sz val="9"/>
            <color indexed="81"/>
            <rFont val="宋体"/>
            <family val="2"/>
          </rPr>
          <t xml:space="preserve">#Input("石化_调度_30万吨/年混合脱氢装置轻烃_脱氢反应器R-102温度_01",":key{{dw}}")
</t>
        </r>
      </text>
    </comment>
    <comment ref="AN7" authorId="0">
      <text>
        <r>
          <rPr>
            <sz val="9"/>
            <color indexed="81"/>
            <rFont val="宋体"/>
            <family val="2"/>
          </rPr>
          <t xml:space="preserve">#Input("石化_调度_30万吨/年混合脱氢装置轻烃_脱氢反应器R-102温度_07",":key{{dw}}")
</t>
        </r>
      </text>
    </comment>
    <comment ref="AR7" authorId="0">
      <text>
        <r>
          <rPr>
            <sz val="9"/>
            <color indexed="81"/>
            <rFont val="宋体"/>
            <family val="2"/>
          </rPr>
          <t xml:space="preserve">#Input("石化_调度_动力装置_1#锅炉_蒸汽压力_16",":key{{dw}}")
</t>
        </r>
      </text>
    </comment>
    <comment ref="AS7" authorId="0">
      <text>
        <r>
          <rPr>
            <sz val="9"/>
            <color indexed="81"/>
            <rFont val="宋体"/>
            <family val="2"/>
          </rPr>
          <t xml:space="preserve">#Input("石化_调度_动力装置_1#锅炉_蒸汽压力_01",":key{{dw}}")
</t>
        </r>
      </text>
    </comment>
    <comment ref="AT7" authorId="0">
      <text>
        <r>
          <rPr>
            <sz val="9"/>
            <color indexed="81"/>
            <rFont val="宋体"/>
            <family val="2"/>
          </rPr>
          <t xml:space="preserve">#Input("石化_调度_动力装置_1#锅炉_蒸汽压力_07",":key{{dw}}")
</t>
        </r>
      </text>
    </comment>
    <comment ref="I8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#Input("石化_调度_120万吨/年连续重整装置_一反(R-201)入口温度_16",":key{{dw}}")
</t>
        </r>
      </text>
    </comment>
    <comment ref="K8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#Input("石化_调度_120万吨/年连续重整装置_一反(R-201)入口温度_01",":key{{dw}}")
</t>
        </r>
      </text>
    </comment>
    <comment ref="M8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#Input("石化_调度_120万吨/年连续重整装置_一反(R-201)入口温度_07",":key{{dw}}")
</t>
        </r>
      </text>
    </comment>
    <comment ref="S8" authorId="0">
      <text>
        <r>
          <rPr>
            <sz val="9"/>
            <color indexed="81"/>
            <rFont val="宋体"/>
            <family val="2"/>
          </rPr>
          <t xml:space="preserve">#Input("石化_调度_20万吨/年苯抽提装置_抽提塔(C-101)顶压力_16",":key{{dw}}")
</t>
        </r>
      </text>
    </comment>
    <comment ref="U8" authorId="0">
      <text>
        <r>
          <rPr>
            <sz val="9"/>
            <color indexed="81"/>
            <rFont val="宋体"/>
            <family val="2"/>
          </rPr>
          <t xml:space="preserve">#Input("石化_调度_20万吨/年苯抽提装置_抽提塔(C-101)顶压力_01",":key{{dw}}")
</t>
        </r>
      </text>
    </comment>
    <comment ref="V8" authorId="0">
      <text>
        <r>
          <rPr>
            <sz val="9"/>
            <color indexed="81"/>
            <rFont val="宋体"/>
            <family val="2"/>
          </rPr>
          <t xml:space="preserve">#Input("石化_调度_20万吨/年苯抽提装置_抽提塔(C-101)顶压力_07",":key{{dw}}")
</t>
        </r>
      </text>
    </comment>
    <comment ref="Z8" authorId="0">
      <text>
        <r>
          <rPr>
            <sz val="9"/>
            <color indexed="81"/>
            <rFont val="宋体"/>
            <family val="2"/>
          </rPr>
          <t xml:space="preserve">#Input("石化_调度_12万吨/年MTBE装置_催化蒸馏塔（C-101）顶温度_16",":key{{dw}}")
</t>
        </r>
      </text>
    </comment>
    <comment ref="AA8" authorId="0">
      <text>
        <r>
          <rPr>
            <sz val="9"/>
            <color indexed="81"/>
            <rFont val="宋体"/>
            <family val="2"/>
          </rPr>
          <t xml:space="preserve">#Input("石化_调度_12万吨/年MTBE装置_催化蒸馏塔（C-101）顶温度_01",":key{{dw}}")
</t>
        </r>
      </text>
    </comment>
    <comment ref="AB8" authorId="0">
      <text>
        <r>
          <rPr>
            <sz val="9"/>
            <color indexed="81"/>
            <rFont val="宋体"/>
            <family val="2"/>
          </rPr>
          <t xml:space="preserve">#Input("石化_调度_12万吨/年MTBE装置_催化蒸馏塔（C-101）顶温度_07",":key{{dw}}")
</t>
        </r>
      </text>
    </comment>
    <comment ref="AG8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#Input("石化_调度_20万吨/年烷基化装置轻烃_脱轻组分塔（T-101）顶压力_16",":key{{dw}}")
</t>
        </r>
      </text>
    </comment>
    <comment ref="AH8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#Input("石化_调度_20万吨/年烷基化装置轻烃_脱轻组分塔（T-101）顶压力_01",":key{{dw}}")
</t>
        </r>
      </text>
    </comment>
    <comment ref="AI8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#Input("石化_调度_20万吨/年烷基化装置轻烃_脱轻组分塔（T-101）顶压力_07",":key{{dw}}")
</t>
        </r>
      </text>
    </comment>
    <comment ref="AL8" authorId="0">
      <text>
        <r>
          <rPr>
            <sz val="9"/>
            <color indexed="81"/>
            <rFont val="宋体"/>
            <family val="2"/>
          </rPr>
          <t xml:space="preserve">#Input("石化_调度_30万吨/年混合脱氢装置轻烃_脱氢反应器R-103温度_16",":key{{dw}}")
</t>
        </r>
      </text>
    </comment>
    <comment ref="AM8" authorId="0">
      <text>
        <r>
          <rPr>
            <sz val="9"/>
            <color indexed="81"/>
            <rFont val="宋体"/>
            <family val="2"/>
          </rPr>
          <t xml:space="preserve">#Input("石化_调度_30万吨/年混合脱氢装置轻烃_脱氢反应器R-103温度_01",":key{{dw}}")
</t>
        </r>
      </text>
    </comment>
    <comment ref="AN8" authorId="0">
      <text>
        <r>
          <rPr>
            <sz val="9"/>
            <color indexed="81"/>
            <rFont val="宋体"/>
            <family val="2"/>
          </rPr>
          <t xml:space="preserve">#Input("石化_调度_30万吨/年混合脱氢装置轻烃_脱氢反应器R-103温度_07",":key{{dw}}")
</t>
        </r>
      </text>
    </comment>
    <comment ref="AR8" authorId="0">
      <text>
        <r>
          <rPr>
            <sz val="9"/>
            <color indexed="81"/>
            <rFont val="宋体"/>
            <family val="2"/>
          </rPr>
          <t xml:space="preserve">#Input("石化_调度_动力装置_1#锅炉_蒸汽温度_16",":key{{dw}}")
</t>
        </r>
      </text>
    </comment>
    <comment ref="AS8" authorId="0">
      <text>
        <r>
          <rPr>
            <sz val="9"/>
            <color indexed="81"/>
            <rFont val="宋体"/>
            <family val="2"/>
          </rPr>
          <t xml:space="preserve">#Input("石化_调度_动力装置_1#锅炉_蒸汽温度_01",":key{{dw}}")
</t>
        </r>
      </text>
    </comment>
    <comment ref="AT8" authorId="0">
      <text>
        <r>
          <rPr>
            <sz val="9"/>
            <color indexed="81"/>
            <rFont val="宋体"/>
            <family val="2"/>
          </rPr>
          <t xml:space="preserve">#Input("石化_调度_动力装置_1#锅炉_蒸汽温度_07",":key{{dw}}")
</t>
        </r>
      </text>
    </comment>
    <comment ref="I9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#Input("石化_调度_120万吨/年连续重整装置_四反(R-204)入口温度_16",":key{{dw}}")
</t>
        </r>
      </text>
    </comment>
    <comment ref="K9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#Input("石化_调度_120万吨/年连续重整装置_四反(R-204)入口温度_01",":key{{dw}}")
</t>
        </r>
      </text>
    </comment>
    <comment ref="M9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#Input("石化_调度_120万吨/年连续重整装置_四反(R-204)入口温度_07",":key{{dw}}")
</t>
        </r>
      </text>
    </comment>
    <comment ref="S9" authorId="0">
      <text>
        <r>
          <rPr>
            <sz val="9"/>
            <color indexed="81"/>
            <rFont val="宋体"/>
            <family val="2"/>
          </rPr>
          <t xml:space="preserve">#Input("石化_调度_20万吨/年苯抽提装置_溶剂回收塔(C-102)顶温度_16",":key{{dw}}")
</t>
        </r>
      </text>
    </comment>
    <comment ref="U9" authorId="0">
      <text>
        <r>
          <rPr>
            <sz val="9"/>
            <color indexed="81"/>
            <rFont val="宋体"/>
            <family val="2"/>
          </rPr>
          <t xml:space="preserve">#Input("石化_调度_20万吨/年苯抽提装置_溶剂回收塔(C-102)顶温度_01",":key{{dw}}")
</t>
        </r>
      </text>
    </comment>
    <comment ref="V9" authorId="0">
      <text>
        <r>
          <rPr>
            <sz val="9"/>
            <color indexed="81"/>
            <rFont val="宋体"/>
            <family val="2"/>
          </rPr>
          <t xml:space="preserve">#Input("石化_调度_20万吨/年苯抽提装置_溶剂回收塔(C-102)顶温度_07",":key{{dw}}")
</t>
        </r>
      </text>
    </comment>
    <comment ref="Z9" authorId="0">
      <text>
        <r>
          <rPr>
            <sz val="9"/>
            <color indexed="81"/>
            <rFont val="宋体"/>
            <family val="2"/>
          </rPr>
          <t xml:space="preserve">#Input("石化_调度_12万吨/年MTBE装置_催化蒸馏塔（C-101）底温度_16",":key{{dw}}")
</t>
        </r>
      </text>
    </comment>
    <comment ref="AA9" authorId="0">
      <text>
        <r>
          <rPr>
            <sz val="9"/>
            <color indexed="81"/>
            <rFont val="宋体"/>
            <family val="2"/>
          </rPr>
          <t xml:space="preserve">#Input("石化_调度_12万吨/年MTBE装置_催化蒸馏塔（C-101）底温度_01",":key{{dw}}")
</t>
        </r>
      </text>
    </comment>
    <comment ref="AB9" authorId="0">
      <text>
        <r>
          <rPr>
            <sz val="9"/>
            <color indexed="81"/>
            <rFont val="宋体"/>
            <family val="2"/>
          </rPr>
          <t xml:space="preserve">#Input("石化_调度_12万吨/年MTBE装置_催化蒸馏塔（C-101）底温度_07",":key{{dw}}")
</t>
        </r>
      </text>
    </comment>
    <comment ref="AG9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#Input("石化_调度_20万吨/年烷基化装置轻烃_反应器（R-201）下部Q点压力_16",":key{{dw}}")
</t>
        </r>
      </text>
    </comment>
    <comment ref="AH9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#Input("石化_调度_20万吨/年烷基化装置轻烃_反应器（R-201）下部Q点压力_01",":key{{dw}}")
</t>
        </r>
      </text>
    </comment>
    <comment ref="AI9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#Input("石化_调度_20万吨/年烷基化装置轻烃_反应器（R-201）下部Q点压力_07",":key{{dw}}")
</t>
        </r>
      </text>
    </comment>
    <comment ref="AL9" authorId="0">
      <text>
        <r>
          <rPr>
            <sz val="9"/>
            <color indexed="81"/>
            <rFont val="宋体"/>
            <family val="2"/>
          </rPr>
          <t xml:space="preserve">#Input("石化_调度_30万吨/年混合脱氢装置轻烃_再生器R-401温度_16",":key{{dw}}")
</t>
        </r>
      </text>
    </comment>
    <comment ref="AM9" authorId="0">
      <text>
        <r>
          <rPr>
            <sz val="9"/>
            <color indexed="81"/>
            <rFont val="宋体"/>
            <family val="2"/>
          </rPr>
          <t xml:space="preserve">#Input("石化_调度_30万吨/年混合脱氢装置轻烃_再生器R-401温度_01",":key{{dw}}")
</t>
        </r>
      </text>
    </comment>
    <comment ref="AN9" authorId="0">
      <text>
        <r>
          <rPr>
            <sz val="9"/>
            <color indexed="81"/>
            <rFont val="宋体"/>
            <family val="2"/>
          </rPr>
          <t xml:space="preserve">#Input("石化_调度_30万吨/年混合脱氢装置轻烃_再生器R-401温度_07",":key{{dw}}")
</t>
        </r>
      </text>
    </comment>
    <comment ref="AR9" authorId="0">
      <text>
        <r>
          <rPr>
            <sz val="9"/>
            <color indexed="81"/>
            <rFont val="宋体"/>
            <family val="2"/>
          </rPr>
          <t xml:space="preserve">#Input("石化_调度_动力装置_1#锅炉_蒸汽流量_16",":key{{dw}}")
</t>
        </r>
      </text>
    </comment>
    <comment ref="AS9" authorId="0">
      <text>
        <r>
          <rPr>
            <sz val="9"/>
            <color indexed="81"/>
            <rFont val="宋体"/>
            <family val="2"/>
          </rPr>
          <t xml:space="preserve">#Input("石化_调度_动力装置_1#锅炉_蒸汽流量_01",":key{{dw}}")
</t>
        </r>
      </text>
    </comment>
    <comment ref="AT9" authorId="0">
      <text>
        <r>
          <rPr>
            <sz val="9"/>
            <color indexed="81"/>
            <rFont val="宋体"/>
            <family val="2"/>
          </rPr>
          <t xml:space="preserve">#Input("石化_调度_动力装置_1#锅炉_蒸汽流量_07",":key{{dw}}")
</t>
        </r>
      </text>
    </comment>
    <comment ref="I10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#Input("石化_调度_120万吨/年连续重整装置_重整产物分离罐（D-201)压力_16",":key{{dw}}")
</t>
        </r>
      </text>
    </comment>
    <comment ref="K10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#Input("石化_调度_120万吨/年连续重整装置_重整产物分离罐（D-201)压力_01",":key{{dw}}")
</t>
        </r>
      </text>
    </comment>
    <comment ref="M10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#Input("石化_调度_120万吨/年连续重整装置_重整产物分离罐（D-201)压力_07",":key{{dw}}")
</t>
        </r>
      </text>
    </comment>
    <comment ref="S10" authorId="0">
      <text>
        <r>
          <rPr>
            <sz val="9"/>
            <color indexed="81"/>
            <rFont val="宋体"/>
            <family val="2"/>
          </rPr>
          <t xml:space="preserve">#Input("石化_调度_20万吨/年苯抽提装置_溶剂回收塔(C-102)底温度_16",":key{{dw}}")
</t>
        </r>
      </text>
    </comment>
    <comment ref="U10" authorId="0">
      <text>
        <r>
          <rPr>
            <sz val="9"/>
            <color indexed="81"/>
            <rFont val="宋体"/>
            <family val="2"/>
          </rPr>
          <t xml:space="preserve">#Input("石化_调度_20万吨/年苯抽提装置_溶剂回收塔(C-102)底温度_01",":key{{dw}}")
</t>
        </r>
      </text>
    </comment>
    <comment ref="V10" authorId="0">
      <text>
        <r>
          <rPr>
            <sz val="9"/>
            <color indexed="81"/>
            <rFont val="宋体"/>
            <family val="2"/>
          </rPr>
          <t xml:space="preserve">#Input("石化_调度_20万吨/年苯抽提装置_溶剂回收塔(C-102)底温度_07",":key{{dw}}")
</t>
        </r>
      </text>
    </comment>
    <comment ref="Z10" authorId="0">
      <text>
        <r>
          <rPr>
            <sz val="9"/>
            <color indexed="81"/>
            <rFont val="宋体"/>
            <family val="2"/>
          </rPr>
          <t xml:space="preserve">#Input("石化_调度_12万吨/年MTBE装置_催化蒸馏塔（C-101）顶压力_16",":key{{dw}}")
</t>
        </r>
      </text>
    </comment>
    <comment ref="AA10" authorId="0">
      <text>
        <r>
          <rPr>
            <sz val="9"/>
            <color indexed="81"/>
            <rFont val="宋体"/>
            <family val="2"/>
          </rPr>
          <t xml:space="preserve">#Input("石化_调度_12万吨/年MTBE装置_催化蒸馏塔（C-101）顶压力_01",":key{{dw}}")
</t>
        </r>
      </text>
    </comment>
    <comment ref="AB10" authorId="0">
      <text>
        <r>
          <rPr>
            <sz val="9"/>
            <color indexed="81"/>
            <rFont val="宋体"/>
            <family val="2"/>
          </rPr>
          <t xml:space="preserve">#Input("石化_调度_12万吨/年MTBE装置_催化蒸馏塔（C-101）顶压力_07",":key{{dw}}")
</t>
        </r>
      </text>
    </comment>
    <comment ref="AG10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#Input("石化_调度_20万吨/年烷基化装置轻烃_反应器（R-201）进料温度_16",":key{{dw}}")
</t>
        </r>
      </text>
    </comment>
    <comment ref="AH10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#Input("石化_调度_20万吨/年烷基化装置轻烃_反应器（R-201）进料温度_01",":key{{dw}}")
</t>
        </r>
      </text>
    </comment>
    <comment ref="AI10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#Input("石化_调度_20万吨/年烷基化装置轻烃_反应器（R-201）进料温度_07",":key{{dw}}")
</t>
        </r>
      </text>
    </comment>
    <comment ref="AL10" authorId="0">
      <text>
        <r>
          <rPr>
            <sz val="9"/>
            <color indexed="81"/>
            <rFont val="宋体"/>
            <family val="2"/>
          </rPr>
          <t xml:space="preserve">#Input("石化_调度_30万吨/年混合脱氢装置轻烃_T-201丙/丙分离塔压力_16",":key{{dw}}")
</t>
        </r>
      </text>
    </comment>
    <comment ref="AM10" authorId="0">
      <text>
        <r>
          <rPr>
            <sz val="9"/>
            <color indexed="81"/>
            <rFont val="宋体"/>
            <family val="2"/>
          </rPr>
          <t xml:space="preserve">#Input("石化_调度_30万吨/年混合脱氢装置轻烃_T-201丙/丙分离塔压力_01",":key{{dw}}")
</t>
        </r>
      </text>
    </comment>
    <comment ref="AN10" authorId="0">
      <text>
        <r>
          <rPr>
            <sz val="9"/>
            <color indexed="81"/>
            <rFont val="宋体"/>
            <family val="2"/>
          </rPr>
          <t xml:space="preserve">#Input("石化_调度_30万吨/年混合脱氢装置轻烃_T-201丙/丙分离塔压力_07",":key{{dw}}")
</t>
        </r>
      </text>
    </comment>
    <comment ref="AR10" authorId="0">
      <text>
        <r>
          <rPr>
            <sz val="9"/>
            <color indexed="81"/>
            <rFont val="宋体"/>
            <family val="2"/>
          </rPr>
          <t xml:space="preserve">#Input("石化_调度_动力装置_2#锅炉_炉膛温度_16",":key{{dw}}")
</t>
        </r>
      </text>
    </comment>
    <comment ref="AS10" authorId="0">
      <text>
        <r>
          <rPr>
            <sz val="9"/>
            <color indexed="81"/>
            <rFont val="宋体"/>
            <family val="2"/>
          </rPr>
          <t xml:space="preserve">#Input("石化_调度_动力装置_2#锅炉_炉膛温度_01",":key{{dw}}")
</t>
        </r>
      </text>
    </comment>
    <comment ref="AT10" authorId="0">
      <text>
        <r>
          <rPr>
            <sz val="9"/>
            <color indexed="81"/>
            <rFont val="宋体"/>
            <family val="2"/>
          </rPr>
          <t xml:space="preserve">#Input("石化_调度_动力装置_2#锅炉_炉膛温度_07",":key{{dw}}")
</t>
        </r>
      </text>
    </comment>
    <comment ref="I11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#Input("石化_调度_120万吨/年连续重整装置_烧焦区(R-301)入口温度_16",":key{{dw}}")
</t>
        </r>
      </text>
    </comment>
    <comment ref="K11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#Input("石化_调度_120万吨/年连续重整装置_烧焦区(R-301)入口温度_01",":key{{dw}}")
</t>
        </r>
      </text>
    </comment>
    <comment ref="M11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#Input("石化_调度_120万吨/年连续重整装置_烧焦区(R-301)入口温度_07",":key{{dw}}")
</t>
        </r>
      </text>
    </comment>
    <comment ref="S11" authorId="0">
      <text>
        <r>
          <rPr>
            <sz val="9"/>
            <color indexed="81"/>
            <rFont val="宋体"/>
            <family val="2"/>
          </rPr>
          <t xml:space="preserve">#Input("石化_调度_20万吨/年苯抽提装置_溶剂回收塔(C-102)顶压力_16",":key{{dw}}")
</t>
        </r>
      </text>
    </comment>
    <comment ref="U11" authorId="0">
      <text>
        <r>
          <rPr>
            <sz val="9"/>
            <color indexed="81"/>
            <rFont val="宋体"/>
            <family val="2"/>
          </rPr>
          <t xml:space="preserve">#Input("石化_调度_20万吨/年苯抽提装置_溶剂回收塔(C-102)顶压力_01",":key{{dw}}")
</t>
        </r>
      </text>
    </comment>
    <comment ref="V11" authorId="0">
      <text>
        <r>
          <rPr>
            <sz val="9"/>
            <color indexed="81"/>
            <rFont val="宋体"/>
            <family val="2"/>
          </rPr>
          <t xml:space="preserve">#Input("石化_调度_20万吨/年苯抽提装置_溶剂回收塔(C-102)顶压力_07",":key{{dw}}")
</t>
        </r>
      </text>
    </comment>
    <comment ref="Z11" authorId="0">
      <text>
        <r>
          <rPr>
            <sz val="9"/>
            <color indexed="81"/>
            <rFont val="宋体"/>
            <family val="2"/>
          </rPr>
          <t xml:space="preserve">#Input("石化_调度_12万吨/年MTBE装置_萃取塔（C-102）操作温度_16",":key{{dw}}")
</t>
        </r>
      </text>
    </comment>
    <comment ref="AA11" authorId="0">
      <text>
        <r>
          <rPr>
            <sz val="9"/>
            <color indexed="81"/>
            <rFont val="宋体"/>
            <family val="2"/>
          </rPr>
          <t xml:space="preserve">#Input("石化_调度_12万吨/年MTBE装置_萃取塔（C-102）操作温度_01",":key{{dw}}")
</t>
        </r>
      </text>
    </comment>
    <comment ref="AB11" authorId="0">
      <text>
        <r>
          <rPr>
            <sz val="9"/>
            <color indexed="81"/>
            <rFont val="宋体"/>
            <family val="2"/>
          </rPr>
          <t xml:space="preserve">#Input("石化_调度_12万吨/年MTBE装置_萃取塔（C-102）操作温度_07",":key{{dw}}")
</t>
        </r>
      </text>
    </comment>
    <comment ref="AG11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#Input("石化_调度_20万吨/年烷基化装置轻烃_反应器（R-201）压差_16",":key{{dw}}")
</t>
        </r>
      </text>
    </comment>
    <comment ref="AH11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#Input("石化_调度_20万吨/年烷基化装置轻烃_反应器（R-201）压差_01",":key{{dw}}")
</t>
        </r>
      </text>
    </comment>
    <comment ref="AI11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#Input("石化_调度_20万吨/年烷基化装置轻烃_反应器（R-201）压差_07",":key{{dw}}")
</t>
        </r>
      </text>
    </comment>
    <comment ref="AR11" authorId="0">
      <text>
        <r>
          <rPr>
            <sz val="9"/>
            <color indexed="81"/>
            <rFont val="宋体"/>
            <family val="2"/>
          </rPr>
          <t xml:space="preserve">#Input("石化_调度_动力装置_2#锅炉_蒸汽压力_16",":key{{dw}}")
</t>
        </r>
      </text>
    </comment>
    <comment ref="AS11" authorId="0">
      <text>
        <r>
          <rPr>
            <sz val="9"/>
            <color indexed="81"/>
            <rFont val="宋体"/>
            <family val="2"/>
          </rPr>
          <t xml:space="preserve">#Input("石化_调度_动力装置_2#锅炉_蒸汽压力_01",":key{{dw}}")
</t>
        </r>
      </text>
    </comment>
    <comment ref="AT11" authorId="0">
      <text>
        <r>
          <rPr>
            <sz val="9"/>
            <color indexed="81"/>
            <rFont val="宋体"/>
            <family val="2"/>
          </rPr>
          <t xml:space="preserve">#Input("石化_调度_动力装置_2#锅炉_蒸汽压力_07",":key{{dw}}")
</t>
        </r>
      </text>
    </comment>
    <comment ref="I12" authorId="0">
      <text>
        <r>
          <rPr>
            <sz val="9"/>
            <color indexed="81"/>
            <rFont val="Arial"/>
            <family val="2"/>
          </rPr>
          <t xml:space="preserve">#Input("石化_调度_120万吨/年连续重整装置_干燥区(R-301)入口温度_16",":key{{dw}}")
</t>
        </r>
      </text>
    </comment>
    <comment ref="K12" authorId="0">
      <text>
        <r>
          <rPr>
            <sz val="9"/>
            <color indexed="81"/>
            <rFont val="Arial"/>
            <family val="2"/>
          </rPr>
          <t xml:space="preserve">#Input("石化_调度_120万吨/年连续重整装置_干燥区(R-301)入口温度_01",":key{{dw}}")
</t>
        </r>
      </text>
    </comment>
    <comment ref="M12" authorId="0">
      <text>
        <r>
          <rPr>
            <sz val="9"/>
            <color indexed="81"/>
            <rFont val="Arial"/>
            <family val="2"/>
          </rPr>
          <t xml:space="preserve">#Input("石化_调度_120万吨/年连续重整装置_干燥区(R-301)入口温度_07",":key{{dw}}")
</t>
        </r>
      </text>
    </comment>
    <comment ref="S12" authorId="0">
      <text>
        <r>
          <rPr>
            <sz val="9"/>
            <color indexed="81"/>
            <rFont val="宋体"/>
            <family val="2"/>
          </rPr>
          <t xml:space="preserve">#Input("石化_调度_60万吨/年气分装置_脱丙烷塔(C-101)顶温度_16",":key{{dw}}")
</t>
        </r>
      </text>
    </comment>
    <comment ref="U12" authorId="0">
      <text>
        <r>
          <rPr>
            <sz val="9"/>
            <color indexed="81"/>
            <rFont val="宋体"/>
            <family val="2"/>
          </rPr>
          <t xml:space="preserve">#Input("石化_调度_60万吨/年气分装置_脱丙烷塔(C-101)顶温度_01",":key{{dw}}")
</t>
        </r>
      </text>
    </comment>
    <comment ref="V12" authorId="0">
      <text>
        <r>
          <rPr>
            <sz val="9"/>
            <color indexed="81"/>
            <rFont val="宋体"/>
            <family val="2"/>
          </rPr>
          <t xml:space="preserve">#Input("石化_调度_60万吨/年气分装置_脱丙烷塔(C-101)顶温度_07",":key{{dw}}")
</t>
        </r>
      </text>
    </comment>
    <comment ref="Z12" authorId="0">
      <text>
        <r>
          <rPr>
            <sz val="9"/>
            <color indexed="81"/>
            <rFont val="宋体"/>
            <family val="2"/>
          </rPr>
          <t xml:space="preserve">#Input("石化_调度_12万吨/年MTBE装置_萃取塔（C-102）顶压力_16",":key{{dw}}")
</t>
        </r>
      </text>
    </comment>
    <comment ref="AA12" authorId="0">
      <text>
        <r>
          <rPr>
            <sz val="9"/>
            <color indexed="81"/>
            <rFont val="宋体"/>
            <family val="2"/>
          </rPr>
          <t xml:space="preserve">#Input("石化_调度_12万吨/年MTBE装置_萃取塔（C-102）顶压力_01",":key{{dw}}")
</t>
        </r>
      </text>
    </comment>
    <comment ref="AB12" authorId="0">
      <text>
        <r>
          <rPr>
            <sz val="9"/>
            <color indexed="81"/>
            <rFont val="宋体"/>
            <family val="2"/>
          </rPr>
          <t xml:space="preserve">#Input("石化_调度_12万吨/年MTBE装置_萃取塔（C-102）顶压力_07",":key{{dw}}")
</t>
        </r>
      </text>
    </comment>
    <comment ref="AG12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#Input("石化_调度_20万吨/年烷基化装置轻烃_压缩机（C-301）一段吸气压力_16",":key{{dw}}")
</t>
        </r>
      </text>
    </comment>
    <comment ref="AH12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#Input("石化_调度_20万吨/年烷基化装置轻烃_压缩机（C-301）一段吸气压力_01",":key{{dw}}")
</t>
        </r>
      </text>
    </comment>
    <comment ref="AI12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#Input("石化_调度_20万吨/年烷基化装置轻烃_压缩机（C-301）一段吸气压力_07",":key{{dw}}")
</t>
        </r>
      </text>
    </comment>
    <comment ref="AR12" authorId="0">
      <text>
        <r>
          <rPr>
            <sz val="9"/>
            <color indexed="81"/>
            <rFont val="宋体"/>
            <family val="2"/>
          </rPr>
          <t xml:space="preserve">#Input("石化_调度_动力装置_2#锅炉_蒸汽温度_16",":key{{dw}}")
</t>
        </r>
      </text>
    </comment>
    <comment ref="AS12" authorId="0">
      <text>
        <r>
          <rPr>
            <sz val="9"/>
            <color indexed="81"/>
            <rFont val="宋体"/>
            <family val="2"/>
          </rPr>
          <t xml:space="preserve">#Input("石化_调度_动力装置_2#锅炉_蒸汽温度_01",":key{{dw}}")
</t>
        </r>
      </text>
    </comment>
    <comment ref="AT12" authorId="0">
      <text>
        <r>
          <rPr>
            <sz val="9"/>
            <color indexed="81"/>
            <rFont val="宋体"/>
            <family val="2"/>
          </rPr>
          <t xml:space="preserve">#Input("石化_调度_动力装置_2#锅炉_蒸汽温度_07",":key{{dw}}")
</t>
        </r>
      </text>
    </comment>
    <comment ref="I13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#Input("石化_调度_120万吨/年连续重整装置_再生器(R-301)压力_16",":key{{dw}}")
</t>
        </r>
      </text>
    </comment>
    <comment ref="K13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#Input("石化_调度_120万吨/年连续重整装置_再生器(R-301)压力_01",":key{{dw}}")
</t>
        </r>
      </text>
    </comment>
    <comment ref="M13" authorId="0">
      <text>
        <r>
          <rPr>
            <sz val="9"/>
            <color indexed="81"/>
            <rFont val="宋体"/>
            <family val="2"/>
          </rPr>
          <t xml:space="preserve">#Input("石化_调度_120万吨/年连续重整装置_再生器(R-301)压力_07",":key{{dw}}")
</t>
        </r>
      </text>
    </comment>
    <comment ref="S13" authorId="0">
      <text>
        <r>
          <rPr>
            <sz val="9"/>
            <color indexed="81"/>
            <rFont val="宋体"/>
            <family val="2"/>
          </rPr>
          <t xml:space="preserve">#Input("石化_调度_60万吨/年气分装置_脱丙烷塔(C-101)顶压力_16",":key{{dw}}")
</t>
        </r>
      </text>
    </comment>
    <comment ref="U13" authorId="0">
      <text>
        <r>
          <rPr>
            <sz val="9"/>
            <color indexed="81"/>
            <rFont val="宋体"/>
            <family val="2"/>
          </rPr>
          <t xml:space="preserve">#Input("石化_调度_60万吨/年气分装置_脱丙烷塔(C-101)顶压力_01",":key{{dw}}")
</t>
        </r>
      </text>
    </comment>
    <comment ref="V13" authorId="0">
      <text>
        <r>
          <rPr>
            <sz val="9"/>
            <color indexed="81"/>
            <rFont val="宋体"/>
            <family val="2"/>
          </rPr>
          <t xml:space="preserve">#Input("石化_调度_60万吨/年气分装置_脱丙烷塔(C-101)顶压力_07",":key{{dw}}")
</t>
        </r>
      </text>
    </comment>
    <comment ref="Z13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#Input("石化_调度_240万吨/年柴油加氢装置_反应器（R-101）入口温度_16",":key{{dw}}")
</t>
        </r>
      </text>
    </comment>
    <comment ref="AA13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#Input("石化_调度_240万吨/年柴油加氢装置_反应器（R-101）入口温度_01",":key{{dw}}")
</t>
        </r>
      </text>
    </comment>
    <comment ref="AB13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#Input("石化_调度_240万吨/年柴油加氢装置_反应器（R-101）入口温度_07",":key{{dw}}")
</t>
        </r>
      </text>
    </comment>
    <comment ref="AG13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#Input("石化_调度_20万吨/年烷基化装置轻烃_压缩机（C-301）一段入口流量_16",":key{{dw}}")
</t>
        </r>
      </text>
    </comment>
    <comment ref="AH13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#Input("石化_调度_20万吨/年烷基化装置轻烃_压缩机（C-301）一段入口流量_01",":key{{dw}}")
</t>
        </r>
      </text>
    </comment>
    <comment ref="AI13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#Input("石化_调度_20万吨/年烷基化装置轻烃_压缩机（C-301）一段入口流量_07",":key{{dw}}")
</t>
        </r>
      </text>
    </comment>
    <comment ref="AR13" authorId="0">
      <text>
        <r>
          <rPr>
            <sz val="9"/>
            <color indexed="81"/>
            <rFont val="宋体"/>
            <family val="2"/>
          </rPr>
          <t xml:space="preserve">#Input("石化_调度_动力装置_2#锅炉_蒸汽流量_16",":key{{dw}}")
</t>
        </r>
      </text>
    </comment>
    <comment ref="AS13" authorId="0">
      <text>
        <r>
          <rPr>
            <sz val="9"/>
            <color indexed="81"/>
            <rFont val="宋体"/>
            <family val="2"/>
          </rPr>
          <t xml:space="preserve">#Input("石化_调度_动力装置_2#锅炉_蒸汽流量_01",":key{{dw}}")
</t>
        </r>
      </text>
    </comment>
    <comment ref="AT13" authorId="0">
      <text>
        <r>
          <rPr>
            <sz val="9"/>
            <color indexed="81"/>
            <rFont val="宋体"/>
            <family val="2"/>
          </rPr>
          <t xml:space="preserve">#Input("石化_调度_动力装置_2#锅炉_蒸汽流量_07",":key{{dw}}")
</t>
        </r>
      </text>
    </comment>
    <comment ref="I14" authorId="0">
      <text>
        <r>
          <rPr>
            <sz val="9"/>
            <color indexed="81"/>
            <rFont val="宋体"/>
            <family val="2"/>
          </rPr>
          <t xml:space="preserve">#Input("石化_调度_140万吨/年柴油加氢装置_加氢反应器(R-101)温度_16",":key{{dw}}")
</t>
        </r>
      </text>
    </comment>
    <comment ref="K14" authorId="0">
      <text>
        <r>
          <rPr>
            <sz val="9"/>
            <color indexed="81"/>
            <rFont val="宋体"/>
            <family val="2"/>
          </rPr>
          <t xml:space="preserve">#Input("石化_调度_140万吨/年柴油加氢装置_加氢反应器(R-101)温度_01",":key{{dw}}")
</t>
        </r>
      </text>
    </comment>
    <comment ref="M14" authorId="0">
      <text>
        <r>
          <rPr>
            <sz val="9"/>
            <color indexed="81"/>
            <rFont val="宋体"/>
            <family val="2"/>
          </rPr>
          <t xml:space="preserve">#Input("石化_调度_140万吨/年柴油加氢装置_加氢反应器(R-101)温度_07",":key{{dw}}")
</t>
        </r>
      </text>
    </comment>
    <comment ref="S14" authorId="0">
      <text>
        <r>
          <rPr>
            <sz val="9"/>
            <color indexed="81"/>
            <rFont val="宋体"/>
            <family val="2"/>
          </rPr>
          <t xml:space="preserve">#Input("石化_调度_60万吨/年气分装置_脱乙烷塔(C-102)顶温度_16",":key{{dw}}")
</t>
        </r>
      </text>
    </comment>
    <comment ref="U14" authorId="0">
      <text>
        <r>
          <rPr>
            <sz val="9"/>
            <color indexed="81"/>
            <rFont val="宋体"/>
            <family val="2"/>
          </rPr>
          <t xml:space="preserve">#Input("石化_调度_60万吨/年气分装置_脱乙烷塔(C-102)顶温度_01",":key{{dw}}")
</t>
        </r>
      </text>
    </comment>
    <comment ref="V14" authorId="0">
      <text>
        <r>
          <rPr>
            <sz val="9"/>
            <color indexed="81"/>
            <rFont val="宋体"/>
            <family val="2"/>
          </rPr>
          <t xml:space="preserve">#Input("石化_调度_60万吨/年气分装置_脱乙烷塔(C-102)顶温度_07",":key{{dw}}")
</t>
        </r>
      </text>
    </comment>
    <comment ref="Z14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#Input("石化_调度_240万吨/年柴油加氢装置_反应器（R-101）压力_16",":key{{dw}}")
</t>
        </r>
      </text>
    </comment>
    <comment ref="AA14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#Input("石化_调度_240万吨/年柴油加氢装置_反应器（R-101）压力_01",":key{{dw}}")
</t>
        </r>
      </text>
    </comment>
    <comment ref="AB14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#Input("石化_调度_240万吨/年柴油加氢装置_反应器（R-101）压力_07",":key{{dw}}")
</t>
        </r>
      </text>
    </comment>
    <comment ref="AG14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#Input("石化_调度_20万吨/年烷基化装置轻烃_汽轮机（ST-301）进气流量_16",":key{{dw}}")
</t>
        </r>
      </text>
    </comment>
    <comment ref="AH14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#Input("石化_调度_20万吨/年烷基化装置轻烃_汽轮机（ST-301）进气流量_01",":key{{dw}}")
</t>
        </r>
      </text>
    </comment>
    <comment ref="AI14" authorId="0">
      <text>
        <r>
          <rPr>
            <sz val="9"/>
            <color indexed="81"/>
            <rFont val="宋体"/>
            <family val="2"/>
          </rPr>
          <t xml:space="preserve">#Input("石化_调度_20万吨/年烷基化装置轻烃_汽轮机（ST-301）进气流量_07",":key{{dw}}")
</t>
        </r>
      </text>
    </comment>
    <comment ref="AR14" authorId="0">
      <text>
        <r>
          <rPr>
            <sz val="9"/>
            <color indexed="81"/>
            <rFont val="宋体"/>
            <family val="2"/>
          </rPr>
          <t xml:space="preserve">#Input("石化_调度_动力装置_3#锅炉_炉膛温度_16",":key{{dw}}")
</t>
        </r>
      </text>
    </comment>
    <comment ref="AS14" authorId="0">
      <text>
        <r>
          <rPr>
            <sz val="9"/>
            <color indexed="81"/>
            <rFont val="宋体"/>
            <family val="2"/>
          </rPr>
          <t xml:space="preserve">#Input("石化_调度_动力装置_3#锅炉_炉膛温度_01",":key{{dw}}")
</t>
        </r>
      </text>
    </comment>
    <comment ref="AT14" authorId="0">
      <text>
        <r>
          <rPr>
            <sz val="9"/>
            <color indexed="81"/>
            <rFont val="宋体"/>
            <family val="2"/>
          </rPr>
          <t xml:space="preserve">#Input("石化_调度_动力装置_3#锅炉_炉膛温度_07",":key{{dw}}")
</t>
        </r>
      </text>
    </comment>
    <comment ref="I15" authorId="0">
      <text>
        <r>
          <rPr>
            <sz val="9"/>
            <color indexed="81"/>
            <rFont val="宋体"/>
            <family val="2"/>
          </rPr>
          <t xml:space="preserve">#Input("石化_调度_140万吨/年柴油加氢装置_高压分离罐(D-103)压力_16",":key{{dw}}")
</t>
        </r>
      </text>
    </comment>
    <comment ref="K15" authorId="0">
      <text>
        <r>
          <rPr>
            <sz val="9"/>
            <color indexed="81"/>
            <rFont val="宋体"/>
            <family val="2"/>
          </rPr>
          <t xml:space="preserve">#Input("石化_调度_140万吨/年柴油加氢装置_高压分离罐(D-103)压力_01",":key{{dw}}")
</t>
        </r>
      </text>
    </comment>
    <comment ref="M15" authorId="0">
      <text>
        <r>
          <rPr>
            <sz val="9"/>
            <color indexed="81"/>
            <rFont val="宋体"/>
            <family val="2"/>
          </rPr>
          <t xml:space="preserve">#Input("石化_调度_140万吨/年柴油加氢装置_高压分离罐(D-103)压力_07",":key{{dw}}")
</t>
        </r>
      </text>
    </comment>
    <comment ref="S15" authorId="0">
      <text>
        <r>
          <rPr>
            <sz val="9"/>
            <color indexed="81"/>
            <rFont val="宋体"/>
            <family val="2"/>
          </rPr>
          <t xml:space="preserve">#Input("石化_调度_60万吨/年气分装置_脱乙烷塔(C-102)顶压力_16",":key{{dw}}")
</t>
        </r>
      </text>
    </comment>
    <comment ref="U15" authorId="0">
      <text>
        <r>
          <rPr>
            <sz val="9"/>
            <color indexed="81"/>
            <rFont val="宋体"/>
            <family val="2"/>
          </rPr>
          <t xml:space="preserve">#Input("石化_调度_60万吨/年气分装置_脱乙烷塔(C-102)顶压力_01",":key{{dw}}")
</t>
        </r>
      </text>
    </comment>
    <comment ref="V15" authorId="0">
      <text>
        <r>
          <rPr>
            <sz val="9"/>
            <color indexed="81"/>
            <rFont val="宋体"/>
            <family val="2"/>
          </rPr>
          <t xml:space="preserve">#Input("石化_调度_60万吨/年气分装置_脱乙烷塔(C-102)顶压力_07",":key{{dw}}")
</t>
        </r>
      </text>
    </comment>
    <comment ref="Z15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#Input("石化_调度_240万吨/年柴油加氢装置_冷高分罐（D-105）压力_16",":key{{dw}}")
</t>
        </r>
      </text>
    </comment>
    <comment ref="AA15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#Input("石化_调度_240万吨/年柴油加氢装置_冷高分罐（D-105）压力_01",":key{{dw}}")
</t>
        </r>
      </text>
    </comment>
    <comment ref="AB15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#Input("石化_调度_240万吨/年柴油加氢装置_冷高分罐（D-105）压力_07",":key{{dw}}")
</t>
        </r>
      </text>
    </comment>
    <comment ref="AG15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#Input("石化_调度_25万吨/年MTBE装置轻烃_第一醚化反应器（R-101）操作温度_16",":key{{dw}}")
</t>
        </r>
      </text>
    </comment>
    <comment ref="AH15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#Input("石化_调度_25万吨/年MTBE装置轻烃_第一醚化反应器（R-101）操作温度_01",":key{{dw}}")
</t>
        </r>
      </text>
    </comment>
    <comment ref="AI15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#Input("石化_调度_25万吨/年MTBE装置轻烃_第一醚化反应器（R-101）操作温度_07",":key{{dw}}")
</t>
        </r>
      </text>
    </comment>
    <comment ref="AR15" authorId="0">
      <text>
        <r>
          <rPr>
            <sz val="9"/>
            <color indexed="81"/>
            <rFont val="Arial"/>
            <family val="2"/>
          </rPr>
          <t xml:space="preserve">#Input("石化_调度_动力装置_3#锅炉_蒸汽压力_16",":key{{dw}}")
</t>
        </r>
      </text>
    </comment>
    <comment ref="AS15" authorId="0">
      <text>
        <r>
          <rPr>
            <sz val="9"/>
            <color indexed="81"/>
            <rFont val="Arial"/>
            <family val="2"/>
          </rPr>
          <t xml:space="preserve">#Input("石化_调度_动力装置_3#锅炉_蒸汽压力_01",":key{{dw}}")
</t>
        </r>
      </text>
    </comment>
    <comment ref="AT15" authorId="0">
      <text>
        <r>
          <rPr>
            <sz val="9"/>
            <color indexed="81"/>
            <rFont val="Arial"/>
            <family val="2"/>
          </rPr>
          <t xml:space="preserve">#Input("石化_调度_动力装置_3#锅炉_蒸汽压力_07",":key{{dw}}")
</t>
        </r>
      </text>
    </comment>
    <comment ref="I16" authorId="0">
      <text>
        <r>
          <rPr>
            <sz val="9"/>
            <color indexed="81"/>
            <rFont val="宋体"/>
            <family val="2"/>
          </rPr>
          <t xml:space="preserve">#Input("石化_调度_140万吨/年柴油加氢装置_汽提塔(C-201)顶温度_16",":key{{dw}}")
</t>
        </r>
      </text>
    </comment>
    <comment ref="K16" authorId="0">
      <text>
        <r>
          <rPr>
            <sz val="9"/>
            <color indexed="81"/>
            <rFont val="宋体"/>
            <family val="2"/>
          </rPr>
          <t xml:space="preserve">#Input("石化_调度_140万吨/年柴油加氢装置_汽提塔(C-201)顶温度_01",":key{{dw}}")
</t>
        </r>
      </text>
    </comment>
    <comment ref="M16" authorId="0">
      <text>
        <r>
          <rPr>
            <sz val="9"/>
            <color indexed="81"/>
            <rFont val="宋体"/>
            <family val="2"/>
          </rPr>
          <t xml:space="preserve">#Input("石化_调度_140万吨/年柴油加氢装置_汽提塔(C-201)顶温度_07",":key{{dw}}")
</t>
        </r>
      </text>
    </comment>
    <comment ref="S16" authorId="0">
      <text>
        <r>
          <rPr>
            <sz val="9"/>
            <color indexed="81"/>
            <rFont val="宋体"/>
            <family val="2"/>
          </rPr>
          <t xml:space="preserve">#Input("石化_调度_60万吨/年气分装置_丙烯塔(C-104)顶温度_16",":key{{dw}}")
</t>
        </r>
      </text>
    </comment>
    <comment ref="U16" authorId="0">
      <text>
        <r>
          <rPr>
            <sz val="9"/>
            <color indexed="81"/>
            <rFont val="宋体"/>
            <family val="2"/>
          </rPr>
          <t xml:space="preserve">#Input("石化_调度_60万吨/年气分装置_丙烯塔(C-104)顶温度_01",":key{{dw}}")
</t>
        </r>
      </text>
    </comment>
    <comment ref="V16" authorId="0">
      <text>
        <r>
          <rPr>
            <sz val="9"/>
            <color indexed="81"/>
            <rFont val="宋体"/>
            <family val="2"/>
          </rPr>
          <t xml:space="preserve">#Input("石化_调度_60万吨/年气分装置_丙烯塔(C-104)顶温度_07",":key{{dw}}")
</t>
        </r>
      </text>
    </comment>
    <comment ref="Z16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#Input("石化_调度_240万吨/年柴油加氢装置_脱硫化氢汽提塔（C-201）顶温度_16",":key{{dw}}")
</t>
        </r>
      </text>
    </comment>
    <comment ref="AA16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#Input("石化_调度_240万吨/年柴油加氢装置_脱硫化氢汽提塔（C-201）顶温度_01",":key{{dw}}")
</t>
        </r>
      </text>
    </comment>
    <comment ref="AB16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#Input("石化_调度_240万吨/年柴油加氢装置_脱硫化氢汽提塔（C-201）顶温度_07",":key{{dw}}")
</t>
        </r>
      </text>
    </comment>
    <comment ref="AG16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#Input("石化_调度_25万吨/年MTBE装置轻烃_第一醚化反应器（R-101）操作压_16",":key{{dw}}")
</t>
        </r>
      </text>
    </comment>
    <comment ref="AH16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#Input("石化_调度_25万吨/年MTBE装置轻烃_第一醚化反应器（R-101）操作压_01",":key{{dw}}")
</t>
        </r>
      </text>
    </comment>
    <comment ref="AI16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#Input("石化_调度_25万吨/年MTBE装置轻烃_第一醚化反应器（R-101）操作压_07",":key{{dw}}")
</t>
        </r>
      </text>
    </comment>
    <comment ref="AR16" authorId="0">
      <text>
        <r>
          <rPr>
            <sz val="9"/>
            <color indexed="81"/>
            <rFont val="宋体"/>
            <family val="2"/>
          </rPr>
          <t xml:space="preserve">#Input("石化_调度_动力装置3#锅炉_蒸汽温度_16",":key{{dw}}")
</t>
        </r>
      </text>
    </comment>
    <comment ref="AS16" authorId="0">
      <text>
        <r>
          <rPr>
            <sz val="9"/>
            <color indexed="81"/>
            <rFont val="宋体"/>
            <family val="2"/>
          </rPr>
          <t xml:space="preserve">#Input("石化_调度_动力装置3#锅炉_蒸汽温度_01",":key{{dw}}")
</t>
        </r>
      </text>
    </comment>
    <comment ref="AT16" authorId="0">
      <text>
        <r>
          <rPr>
            <sz val="9"/>
            <color indexed="81"/>
            <rFont val="宋体"/>
            <family val="2"/>
          </rPr>
          <t xml:space="preserve">#Input("石化_调度_动力装置3#锅炉_蒸汽温度_07",":key{{dw}}")
</t>
        </r>
      </text>
    </comment>
    <comment ref="I17" authorId="0">
      <text>
        <r>
          <rPr>
            <sz val="9"/>
            <color indexed="81"/>
            <rFont val="宋体"/>
            <family val="2"/>
          </rPr>
          <t xml:space="preserve">#Input("石化_调度_140万吨/年柴油加氢装置_分馏塔(C-202)顶温度_16",":key{{dw}}")
</t>
        </r>
      </text>
    </comment>
    <comment ref="K17" authorId="0">
      <text>
        <r>
          <rPr>
            <sz val="9"/>
            <color indexed="81"/>
            <rFont val="宋体"/>
            <family val="2"/>
          </rPr>
          <t xml:space="preserve">#Input("石化_调度_140万吨/年柴油加氢装置_分馏塔(C-202)顶温度_01",":key{{dw}}")
</t>
        </r>
      </text>
    </comment>
    <comment ref="M17" authorId="0">
      <text>
        <r>
          <rPr>
            <sz val="9"/>
            <color indexed="81"/>
            <rFont val="宋体"/>
            <family val="2"/>
          </rPr>
          <t xml:space="preserve">#Input("石化_调度_140万吨/年柴油加氢装置_分馏塔(C-202)顶温度_07",":key{{dw}}")
</t>
        </r>
      </text>
    </comment>
    <comment ref="S17" authorId="0">
      <text>
        <r>
          <rPr>
            <sz val="9"/>
            <color indexed="81"/>
            <rFont val="宋体"/>
            <family val="2"/>
          </rPr>
          <t xml:space="preserve">#Input("石化_调度_20万吨/年聚丙烯装置_预聚合反应器（R-200）温度_16",":key{{dw}}")
</t>
        </r>
      </text>
    </comment>
    <comment ref="U17" authorId="0">
      <text>
        <r>
          <rPr>
            <sz val="9"/>
            <color indexed="81"/>
            <rFont val="宋体"/>
            <family val="2"/>
          </rPr>
          <t xml:space="preserve">#Input("石化_调度_20万吨/年聚丙烯装置_预聚合反应器（R-200）温度_01",":key{{dw}}")
</t>
        </r>
      </text>
    </comment>
    <comment ref="V17" authorId="0">
      <text>
        <r>
          <rPr>
            <sz val="9"/>
            <color indexed="81"/>
            <rFont val="宋体"/>
            <family val="2"/>
          </rPr>
          <t xml:space="preserve">#Input("石化_调度_20万吨/年聚丙烯装置_预聚合反应器（R-200）温度_07",":key{{dw}}")
</t>
        </r>
      </text>
    </comment>
    <comment ref="Z17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#Input("石化_调度_240万吨/年柴油加氢装置_脱硫化氢汽提塔（C-201）底温度_16",":key{{dw}}")
</t>
        </r>
      </text>
    </comment>
    <comment ref="AA17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#Input("石化_调度_240万吨/年柴油加氢装置_脱硫化氢汽提塔（C-201）底温度_01",":key{{dw}}")
</t>
        </r>
      </text>
    </comment>
    <comment ref="AB17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#Input("石化_调度_240万吨/年柴油加氢装置_脱硫化氢汽提塔（C-201）底温度_07",":key{{dw}}")
</t>
        </r>
      </text>
    </comment>
    <comment ref="AG17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#Input("石化_调度_25万吨/年MTBE装置轻烃_第二醚化反应器(R-102)操作温度_16",":key{{dw}}")
</t>
        </r>
      </text>
    </comment>
    <comment ref="AH17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#Input("石化_调度_25万吨/年MTBE装置轻烃_第二醚化反应器(R-102)操作温度_01",":key{{dw}}")
</t>
        </r>
      </text>
    </comment>
    <comment ref="AI17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#Input("石化_调度_25万吨/年MTBE装置轻烃_第二醚化反应器(R-102)操作温度_07",":key{{dw}}")
</t>
        </r>
      </text>
    </comment>
    <comment ref="AR17" authorId="0">
      <text>
        <r>
          <rPr>
            <sz val="9"/>
            <color indexed="81"/>
            <rFont val="宋体"/>
            <family val="2"/>
          </rPr>
          <t xml:space="preserve">#Input("石化_调度_动力装置_3#锅炉_蒸汽流量_16",":key{{dw}}")
</t>
        </r>
      </text>
    </comment>
    <comment ref="AS17" authorId="0">
      <text>
        <r>
          <rPr>
            <sz val="9"/>
            <color indexed="81"/>
            <rFont val="宋体"/>
            <family val="2"/>
          </rPr>
          <t xml:space="preserve">#Input("石化_调度_动力装置_3#锅炉_蒸汽流量_01",":key{{dw}}")
</t>
        </r>
      </text>
    </comment>
    <comment ref="AT17" authorId="0">
      <text>
        <r>
          <rPr>
            <sz val="9"/>
            <color indexed="81"/>
            <rFont val="宋体"/>
            <family val="2"/>
          </rPr>
          <t xml:space="preserve">#Input("石化_调度_动力装置_3#锅炉_蒸汽流量_07",":key{{dw}}")
</t>
        </r>
      </text>
    </comment>
    <comment ref="I18" authorId="0">
      <text>
        <r>
          <rPr>
            <sz val="9"/>
            <color indexed="81"/>
            <rFont val="宋体"/>
            <family val="2"/>
          </rPr>
          <t xml:space="preserve">#Input("石化_调度_140万吨/年柴油加氢装置_分馏塔(C-202)底温度_16",":key{{dw}}")
</t>
        </r>
      </text>
    </comment>
    <comment ref="K18" authorId="0">
      <text>
        <r>
          <rPr>
            <sz val="9"/>
            <color indexed="81"/>
            <rFont val="宋体"/>
            <family val="2"/>
          </rPr>
          <t xml:space="preserve">#Input("石化_调度_140万吨/年柴油加氢装置_分馏塔(C-202)底温度_01",":key{{dw}}")
</t>
        </r>
      </text>
    </comment>
    <comment ref="M18" authorId="0">
      <text>
        <r>
          <rPr>
            <sz val="9"/>
            <color indexed="81"/>
            <rFont val="宋体"/>
            <family val="2"/>
          </rPr>
          <t xml:space="preserve">#Input("石化_调度_140万吨/年柴油加氢装置_分馏塔(C-202)底温度_07",":key{{dw}}")
</t>
        </r>
      </text>
    </comment>
    <comment ref="S18" authorId="0">
      <text>
        <r>
          <rPr>
            <sz val="9"/>
            <color indexed="81"/>
            <rFont val="宋体"/>
            <family val="2"/>
          </rPr>
          <t xml:space="preserve">#Input("石化_调度_20万吨/年聚丙烯装置_预聚合反应器（R-200）压力_16",":key{{dw}}")
</t>
        </r>
      </text>
    </comment>
    <comment ref="U18" authorId="0">
      <text>
        <r>
          <rPr>
            <sz val="9"/>
            <color indexed="81"/>
            <rFont val="宋体"/>
            <family val="2"/>
          </rPr>
          <t xml:space="preserve">#Input("石化_调度_20万吨/年聚丙烯装置_预聚合反应器（R-200）压力_01",":key{{dw}}")
</t>
        </r>
      </text>
    </comment>
    <comment ref="V18" authorId="0">
      <text>
        <r>
          <rPr>
            <sz val="9"/>
            <color indexed="81"/>
            <rFont val="宋体"/>
            <family val="2"/>
          </rPr>
          <t xml:space="preserve">#Input("石化_调度_20万吨/年聚丙烯装置_预聚合反应器（R-200）压力_07",":key{{dw}}")
</t>
        </r>
      </text>
    </comment>
    <comment ref="Z18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#Input("石化_调度_240万吨/年柴油加氢装置_脱硫化氢汽提塔（C-201）压力_16",":key{{dw}}")
</t>
        </r>
      </text>
    </comment>
    <comment ref="AA18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#Input("石化_调度_240万吨/年柴油加氢装置_脱硫化氢汽提塔（C-201）压力_01",":key{{dw}}")
</t>
        </r>
      </text>
    </comment>
    <comment ref="AB18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#Input("石化_调度_240万吨/年柴油加氢装置_脱硫化氢汽提塔（C-201）压力_07",":key{{dw}}")
</t>
        </r>
      </text>
    </comment>
    <comment ref="AG18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#Input("石化_调度_25万吨/年MTBE装置轻烃_第二醚化反应器(R-102)操作压力_16",":key{{dw}}")
</t>
        </r>
      </text>
    </comment>
    <comment ref="AH18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#Input("石化_调度_25万吨/年MTBE装置轻烃_第二醚化反应器(R-102)操作压力_01",":key{{dw}}")
</t>
        </r>
      </text>
    </comment>
    <comment ref="AI18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#Input("石化_调度_25万吨/年MTBE装置轻烃_第二醚化反应器(R-102)操作压力_07",":key{{dw}}")
</t>
        </r>
      </text>
    </comment>
    <comment ref="AR18" authorId="0">
      <text>
        <r>
          <rPr>
            <sz val="9"/>
            <color indexed="81"/>
            <rFont val="宋体"/>
            <family val="2"/>
          </rPr>
          <t xml:space="preserve">#Input("石化_调度_动力装置_4#锅炉_炉膛温度_16",":key{{dw}}")
</t>
        </r>
      </text>
    </comment>
    <comment ref="AS18" authorId="0">
      <text>
        <r>
          <rPr>
            <sz val="9"/>
            <color indexed="81"/>
            <rFont val="宋体"/>
            <family val="2"/>
          </rPr>
          <t xml:space="preserve">#Input("石化_调度_动力装置_4#锅炉_炉膛温度_01",":key{{dw}}")
</t>
        </r>
      </text>
    </comment>
    <comment ref="AT18" authorId="0">
      <text>
        <r>
          <rPr>
            <sz val="9"/>
            <color indexed="81"/>
            <rFont val="宋体"/>
            <family val="2"/>
          </rPr>
          <t xml:space="preserve">#Input("石化_调度_动力装置_4#锅炉_炉膛温度_07",":key{{dw}}")
</t>
        </r>
      </text>
    </comment>
    <comment ref="I19" authorId="0">
      <text>
        <r>
          <rPr>
            <sz val="9"/>
            <color indexed="81"/>
            <rFont val="宋体"/>
            <family val="2"/>
          </rPr>
          <t xml:space="preserve">#Input("石化_调度_180万吨/年汽油精制_反应器（R-101）进口温度_16",":key{{dw}}")
</t>
        </r>
      </text>
    </comment>
    <comment ref="K19" authorId="0">
      <text>
        <r>
          <rPr>
            <sz val="9"/>
            <color indexed="81"/>
            <rFont val="宋体"/>
            <family val="2"/>
          </rPr>
          <t xml:space="preserve">#Input("石化_调度_180万吨/年汽油精制_反应器（R-101）进口温度_01",":key{{dw}}")
</t>
        </r>
      </text>
    </comment>
    <comment ref="M19" authorId="0">
      <text>
        <r>
          <rPr>
            <sz val="9"/>
            <color indexed="81"/>
            <rFont val="宋体"/>
            <family val="2"/>
          </rPr>
          <t xml:space="preserve">#Input("石化_调度_180万吨/年汽油精制_反应器（R-101）进口温度_07",":key{{dw}}")
</t>
        </r>
      </text>
    </comment>
    <comment ref="S19" authorId="0">
      <text>
        <r>
          <rPr>
            <sz val="9"/>
            <color indexed="81"/>
            <rFont val="宋体"/>
            <family val="2"/>
          </rPr>
          <t xml:space="preserve">#Input("石化_调度_20万吨/年聚丙烯装置_第一环管反应器（R-201）温度_16",":key{{dw}}")
</t>
        </r>
      </text>
    </comment>
    <comment ref="U19" authorId="0">
      <text>
        <r>
          <rPr>
            <sz val="9"/>
            <color indexed="81"/>
            <rFont val="宋体"/>
            <family val="2"/>
          </rPr>
          <t xml:space="preserve">#Input("石化_调度_20万吨/年聚丙烯装置_第一环管反应器（R-201）温度_01",":key{{dw}}")
</t>
        </r>
      </text>
    </comment>
    <comment ref="V19" authorId="0">
      <text>
        <r>
          <rPr>
            <sz val="9"/>
            <color indexed="81"/>
            <rFont val="宋体"/>
            <family val="2"/>
          </rPr>
          <t xml:space="preserve">#Input("石化_调度_20万吨/年聚丙烯装置_第一环管反应器（R-201）温度_07",":key{{dw}}")
</t>
        </r>
      </text>
    </comment>
    <comment ref="AG19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#Input("石化_调度_25万吨/年MTBE装置轻烃_第三醚化反应器(R-103)操作温度_16",":key{{dw}}")
</t>
        </r>
      </text>
    </comment>
    <comment ref="AH19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#Input("石化_调度_25万吨/年MTBE装置轻烃_第三醚化反应器(R-103)操作温度_01",":key{{dw}}")
</t>
        </r>
      </text>
    </comment>
    <comment ref="AI19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#Input("石化_调度_25万吨/年MTBE装置轻烃_第三醚化反应器(R-103)操作温度_07",":key{{dw}}")
</t>
        </r>
      </text>
    </comment>
    <comment ref="AR19" authorId="0">
      <text>
        <r>
          <rPr>
            <sz val="9"/>
            <color indexed="81"/>
            <rFont val="宋体"/>
            <family val="2"/>
          </rPr>
          <t xml:space="preserve">#Input("石化_调度_动力装置_4#锅炉_蒸汽压力_16",":key{{dw}}")
</t>
        </r>
      </text>
    </comment>
    <comment ref="AS19" authorId="0">
      <text>
        <r>
          <rPr>
            <sz val="9"/>
            <color indexed="81"/>
            <rFont val="宋体"/>
            <family val="2"/>
          </rPr>
          <t xml:space="preserve">#Input("石化_调度_动力装置_4#锅炉_蒸汽压力_01",":key{{dw}}")
</t>
        </r>
      </text>
    </comment>
    <comment ref="AT19" authorId="0">
      <text>
        <r>
          <rPr>
            <sz val="9"/>
            <color indexed="81"/>
            <rFont val="宋体"/>
            <family val="2"/>
          </rPr>
          <t xml:space="preserve">#Input("石化_调度_动力装置_4#锅炉_蒸汽压力_07",":key{{dw}}")
</t>
        </r>
      </text>
    </comment>
    <comment ref="I20" authorId="0">
      <text>
        <r>
          <rPr>
            <sz val="9"/>
            <color indexed="81"/>
            <rFont val="宋体"/>
            <family val="2"/>
          </rPr>
          <t xml:space="preserve">#Input("石化_调度_180万吨/年汽油精制_反应器（R-101）压力_16",":key{{dw}}")
</t>
        </r>
      </text>
    </comment>
    <comment ref="K20" authorId="0">
      <text>
        <r>
          <rPr>
            <sz val="9"/>
            <color indexed="81"/>
            <rFont val="宋体"/>
            <family val="2"/>
          </rPr>
          <t xml:space="preserve">#Input("石化_调度_180万吨/年汽油精制_反应器（R-101）压力_01",":key{{dw}}")
</t>
        </r>
      </text>
    </comment>
    <comment ref="M20" authorId="0">
      <text>
        <r>
          <rPr>
            <sz val="9"/>
            <color indexed="81"/>
            <rFont val="宋体"/>
            <family val="2"/>
          </rPr>
          <t xml:space="preserve">#Input("石化_调度_180万吨/年汽油精制_反应器（R-101）压力_07",":key{{dw}}")
</t>
        </r>
      </text>
    </comment>
    <comment ref="S20" authorId="0">
      <text>
        <r>
          <rPr>
            <sz val="9"/>
            <color indexed="81"/>
            <rFont val="宋体"/>
            <family val="2"/>
          </rPr>
          <t xml:space="preserve">#Input("石化_调度_20万吨/年聚丙烯装置_第一环管反应器（R-201）压力_16",":key{{dw}}")
</t>
        </r>
      </text>
    </comment>
    <comment ref="U20" authorId="0">
      <text>
        <r>
          <rPr>
            <sz val="9"/>
            <color indexed="81"/>
            <rFont val="宋体"/>
            <family val="2"/>
          </rPr>
          <t xml:space="preserve">#Input("石化_调度_20万吨/年聚丙烯装置_第一环管反应器（R-201）压力_01",":key{{dw}}")
</t>
        </r>
      </text>
    </comment>
    <comment ref="V20" authorId="0">
      <text>
        <r>
          <rPr>
            <sz val="9"/>
            <color indexed="81"/>
            <rFont val="宋体"/>
            <family val="2"/>
          </rPr>
          <t xml:space="preserve">#Input("石化_调度_20万吨/年聚丙烯装置_第一环管反应器（R-201）压力_07",":key{{dw}}")
</t>
        </r>
      </text>
    </comment>
    <comment ref="AG20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#Input("石化_调度_25万吨/年MTBE装置轻烃_第三醚化反应器(R-103)操作压力_16",":key{{dw}}")
</t>
        </r>
      </text>
    </comment>
    <comment ref="AH20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#Input("石化_调度_25万吨/年MTBE装置轻烃_第三醚化反应器(R-103)操作压力_01",":key{{dw}}")
</t>
        </r>
      </text>
    </comment>
    <comment ref="AI20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#Input("石化_调度_25万吨/年MTBE装置轻烃_第三醚化反应器(R-103)操作压力_07",":key{{dw}}")
</t>
        </r>
      </text>
    </comment>
    <comment ref="AR20" authorId="0">
      <text>
        <r>
          <rPr>
            <sz val="9"/>
            <color indexed="81"/>
            <rFont val="宋体"/>
            <family val="2"/>
          </rPr>
          <t xml:space="preserve">#Input("石化_调度_动力装置_4#锅炉_蒸汽温度_16",":key{{dw}}")
</t>
        </r>
      </text>
    </comment>
    <comment ref="AS20" authorId="0">
      <text>
        <r>
          <rPr>
            <sz val="9"/>
            <color indexed="81"/>
            <rFont val="宋体"/>
            <family val="2"/>
          </rPr>
          <t xml:space="preserve">#Input("石化_调度_动力装置_4#锅炉_蒸汽温度_01",":key{{dw}}")
</t>
        </r>
      </text>
    </comment>
    <comment ref="AT20" authorId="0">
      <text>
        <r>
          <rPr>
            <sz val="9"/>
            <color indexed="81"/>
            <rFont val="宋体"/>
            <family val="2"/>
          </rPr>
          <t xml:space="preserve">#Input("石化_调度_动力装置_4#锅炉_蒸汽温度_07",":key{{dw}}")
</t>
        </r>
      </text>
    </comment>
    <comment ref="I21" authorId="0">
      <text>
        <r>
          <rPr>
            <sz val="9"/>
            <color indexed="81"/>
            <rFont val="宋体"/>
            <family val="2"/>
          </rPr>
          <t xml:space="preserve">#Input("石化_调度_180万吨/年汽油精制_再生器（R-102）温度_16",":key{{dw}}")
</t>
        </r>
      </text>
    </comment>
    <comment ref="K21" authorId="0">
      <text>
        <r>
          <rPr>
            <sz val="9"/>
            <color indexed="81"/>
            <rFont val="宋体"/>
            <family val="2"/>
          </rPr>
          <t xml:space="preserve">#Input("石化_调度_180万吨/年汽油精制_再生器（R-102）温度_01",":key{{dw}}")
</t>
        </r>
      </text>
    </comment>
    <comment ref="M21" authorId="0">
      <text>
        <r>
          <rPr>
            <sz val="9"/>
            <color indexed="81"/>
            <rFont val="宋体"/>
            <family val="2"/>
          </rPr>
          <t xml:space="preserve">#Input("石化_调度_180万吨/年汽油精制_再生器（R-102）温度_07",":key{{dw}}")
</t>
        </r>
      </text>
    </comment>
    <comment ref="S21" authorId="0">
      <text>
        <r>
          <rPr>
            <sz val="9"/>
            <color indexed="81"/>
            <rFont val="宋体"/>
            <family val="2"/>
          </rPr>
          <t>#Input("石化_调度_20万吨/年聚丙烯装置_第二环管反应器（R-202）温度_16",":key{{dw}}")</t>
        </r>
      </text>
    </comment>
    <comment ref="U21" authorId="0">
      <text>
        <r>
          <rPr>
            <sz val="9"/>
            <color indexed="81"/>
            <rFont val="宋体"/>
            <family val="2"/>
          </rPr>
          <t>#Input("石化_调度_20万吨/年聚丙烯装置_第二环管反应器（R-202）温度_01",":key{{dw}}")</t>
        </r>
      </text>
    </comment>
    <comment ref="V21" authorId="0">
      <text>
        <r>
          <rPr>
            <sz val="9"/>
            <color indexed="81"/>
            <rFont val="宋体"/>
            <family val="2"/>
          </rPr>
          <t>#Input("石化_调度_20万吨/年聚丙烯装置_第二环管反应器（R-202）温度_07",":key{{dw}}")</t>
        </r>
      </text>
    </comment>
    <comment ref="AG21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#Input("石化_调度_25万吨/年MTBE装置轻烃_催化蒸馏塔（T-101）温度_16",":key{{dw}}")
</t>
        </r>
      </text>
    </comment>
    <comment ref="AH21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#Input("石化_调度_25万吨/年MTBE装置轻烃_催化蒸馏塔（T-101）温度_01",":key{{dw}}")
</t>
        </r>
      </text>
    </comment>
    <comment ref="AI21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#Input("石化_调度_25万吨/年MTBE装置轻烃_催化蒸馏塔（T-101）温度_07",":key{{dw}}")
</t>
        </r>
      </text>
    </comment>
    <comment ref="AR21" authorId="0">
      <text>
        <r>
          <rPr>
            <sz val="9"/>
            <color indexed="81"/>
            <rFont val="宋体"/>
            <family val="2"/>
          </rPr>
          <t>#Input("石化_调度_动力装置_4#锅炉_蒸汽流量_16",":key{{dw}}")</t>
        </r>
      </text>
    </comment>
    <comment ref="AS21" authorId="0">
      <text>
        <r>
          <rPr>
            <sz val="9"/>
            <color indexed="81"/>
            <rFont val="宋体"/>
            <family val="2"/>
          </rPr>
          <t>#Input("石化_调度_动力装置_4#锅炉_蒸汽流量_01",":key{{dw}}")</t>
        </r>
      </text>
    </comment>
    <comment ref="AT21" authorId="0">
      <text>
        <r>
          <rPr>
            <sz val="9"/>
            <color indexed="81"/>
            <rFont val="宋体"/>
            <family val="2"/>
          </rPr>
          <t>#Input("石化_调度_动力装置_4#锅炉_蒸汽流量_07",":key{{dw}}")</t>
        </r>
      </text>
    </comment>
    <comment ref="I22" authorId="0">
      <text>
        <r>
          <rPr>
            <sz val="9"/>
            <color indexed="81"/>
            <rFont val="宋体"/>
            <family val="2"/>
          </rPr>
          <t xml:space="preserve">#Input("石化_调度_180万吨/年汽油精制_再生器（R-102）压力_16",":key{{dw}}")
</t>
        </r>
      </text>
    </comment>
    <comment ref="K22" authorId="0">
      <text>
        <r>
          <rPr>
            <sz val="9"/>
            <color indexed="81"/>
            <rFont val="宋体"/>
            <family val="2"/>
          </rPr>
          <t xml:space="preserve">#Input("石化_调度_180万吨/年汽油精制_再生器（R-102）压力_01",":key{{dw}}")
</t>
        </r>
      </text>
    </comment>
    <comment ref="M22" authorId="0">
      <text>
        <r>
          <rPr>
            <sz val="9"/>
            <color indexed="81"/>
            <rFont val="宋体"/>
            <family val="2"/>
          </rPr>
          <t xml:space="preserve">#Input("石化_调度_180万吨/年汽油精制_再生器（R-102）压力_07",":key{{dw}}")
</t>
        </r>
      </text>
    </comment>
    <comment ref="S22" authorId="0">
      <text>
        <r>
          <rPr>
            <sz val="9"/>
            <color indexed="81"/>
            <rFont val="宋体"/>
            <family val="2"/>
          </rPr>
          <t xml:space="preserve">#Input("石化_调度_20万吨/年聚丙烯装置_第二环管反应器（R-202）压力_16",":key{{dw}}")
</t>
        </r>
      </text>
    </comment>
    <comment ref="U22" authorId="0">
      <text>
        <r>
          <rPr>
            <sz val="9"/>
            <color indexed="81"/>
            <rFont val="宋体"/>
            <family val="2"/>
          </rPr>
          <t xml:space="preserve">#Input("石化_调度_20万吨/年聚丙烯装置_第二环管反应器（R-202）压力_01",":key{{dw}}")
</t>
        </r>
      </text>
    </comment>
    <comment ref="V22" authorId="0">
      <text>
        <r>
          <rPr>
            <sz val="9"/>
            <color indexed="81"/>
            <rFont val="宋体"/>
            <family val="2"/>
          </rPr>
          <t xml:space="preserve">#Input("石化_调度_20万吨/年聚丙烯装置_第二环管反应器（R-202）压力_07",":key{{dw}}")
</t>
        </r>
      </text>
    </comment>
    <comment ref="AG22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#Input("石化_调度_25万吨/年MTBE装置轻烃_催化蒸馏塔（T-101）压力_16",":key{{dw}}")
</t>
        </r>
      </text>
    </comment>
    <comment ref="AH22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#Input("石化_调度_25万吨/年MTBE装置轻烃_催化蒸馏塔（T-101）压力_01",":key{{dw}}")
</t>
        </r>
      </text>
    </comment>
    <comment ref="AI22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#Input("石化_调度_25万吨/年MTBE装置轻烃_催化蒸馏塔（T-101）压力_07",":key{{dw}}")
</t>
        </r>
      </text>
    </comment>
    <comment ref="AR22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#Input("石化_调度_110T/H煤粉锅炉装置轻烃_1#锅炉_炉膛温度_16",":key{{dw}}")
</t>
        </r>
      </text>
    </comment>
    <comment ref="AS22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#Input("石化_调度_110T/H煤粉锅炉装置轻烃_1#锅炉_炉膛温度_01",":key{{dw}}")
</t>
        </r>
      </text>
    </comment>
    <comment ref="AT22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#Input("石化_调度_110T/H煤粉锅炉装置轻烃_1#锅炉_炉膛温度_07",":key{{dw}}")
</t>
        </r>
      </text>
    </comment>
    <comment ref="I23" authorId="0">
      <text>
        <r>
          <rPr>
            <sz val="9"/>
            <color indexed="81"/>
            <rFont val="宋体"/>
            <family val="2"/>
          </rPr>
          <t xml:space="preserve">#Input("石化_调度_180万吨/年汽油精制_稳定塔（C-201）底温_16",":key{{dw}}")
</t>
        </r>
      </text>
    </comment>
    <comment ref="K23" authorId="0">
      <text>
        <r>
          <rPr>
            <sz val="9"/>
            <color indexed="81"/>
            <rFont val="宋体"/>
            <family val="2"/>
          </rPr>
          <t xml:space="preserve">#Input("石化_调度_180万吨/年汽油精制_稳定塔（C-201）底温_01",":key{{dw}}")
</t>
        </r>
      </text>
    </comment>
    <comment ref="M23" authorId="0">
      <text>
        <r>
          <rPr>
            <sz val="9"/>
            <color indexed="81"/>
            <rFont val="宋体"/>
            <family val="2"/>
          </rPr>
          <t xml:space="preserve">#Input("石化_调度_180万吨/年汽油精制_稳定塔（C-201）底温_07",":key{{dw}}")
</t>
        </r>
      </text>
    </comment>
    <comment ref="S23" authorId="0">
      <text>
        <r>
          <rPr>
            <sz val="9"/>
            <color indexed="81"/>
            <rFont val="宋体"/>
            <family val="2"/>
          </rPr>
          <t xml:space="preserve">#Input("石化_调度_20万吨/年聚丙烯装置_预接触罐（D-201)压力_16",":key{{dw}}")
</t>
        </r>
      </text>
    </comment>
    <comment ref="U23" authorId="0">
      <text>
        <r>
          <rPr>
            <sz val="9"/>
            <color indexed="81"/>
            <rFont val="宋体"/>
            <family val="2"/>
          </rPr>
          <t xml:space="preserve">#Input("石化_调度_20万吨/年聚丙烯装置_预接触罐（D-201)压力_01",":key{{dw}}")
</t>
        </r>
      </text>
    </comment>
    <comment ref="V23" authorId="0">
      <text>
        <r>
          <rPr>
            <sz val="9"/>
            <color indexed="81"/>
            <rFont val="宋体"/>
            <family val="2"/>
          </rPr>
          <t xml:space="preserve">#Input("石化_调度_20万吨/年聚丙烯装置_预接触罐（D-201)压力_07",":key{{dw}}")
</t>
        </r>
      </text>
    </comment>
    <comment ref="AG23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#Input("石化_调度_25万吨/年MTBE装置轻烃_甲醇萃取塔（T-102）顶温度_16",":key{{dw}}")
</t>
        </r>
      </text>
    </comment>
    <comment ref="AH23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#Input("石化_调度_25万吨/年MTBE装置轻烃_甲醇萃取塔（T-102）顶温度_01",":key{{dw}}")
</t>
        </r>
      </text>
    </comment>
    <comment ref="AI23" authorId="0">
      <text>
        <r>
          <rPr>
            <sz val="9"/>
            <color indexed="81"/>
            <rFont val="宋体"/>
            <family val="2"/>
          </rPr>
          <t xml:space="preserve">#Input("石化_调度_25万吨/年MTBE装置轻烃_甲醇萃取塔（T-102）顶温度_07",":key{{dw}}")
</t>
        </r>
      </text>
    </comment>
    <comment ref="AR23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#Input("石化_调度_110T/H煤粉锅炉装置轻烃_1#锅炉_蒸汽压力_16",":key{{dw}}")
</t>
        </r>
      </text>
    </comment>
    <comment ref="AS23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#Input("石化_调度_110T/H煤粉锅炉装置轻烃_1#锅炉_蒸汽压力_01",":key{{dw}}")
</t>
        </r>
      </text>
    </comment>
    <comment ref="AT23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#Input("石化_调度_110T/H煤粉锅炉装置轻烃_1#锅炉_蒸汽压力_07",":key{{dw}}")
</t>
        </r>
      </text>
    </comment>
    <comment ref="AR24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#Input("石化_调度_110T/H煤粉锅炉装置轻烃_1#锅炉_蒸汽温度_16",":key{{dw}}")
</t>
        </r>
      </text>
    </comment>
    <comment ref="AS24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#Input("石化_调度_110T/H煤粉锅炉装置轻烃_1#锅炉_蒸汽温度_01",":key{{dw}}")
</t>
        </r>
      </text>
    </comment>
    <comment ref="AT24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#Input("石化_调度_110T/H煤粉锅炉装置轻烃_1#锅炉_蒸汽温度_07",":key{{dw}}")
</t>
        </r>
      </text>
    </comment>
    <comment ref="AR25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#Input("石化_调度_110T/H煤粉锅炉装置轻烃_1#锅炉_蒸汽流量_16",":key{{dw}}")
</t>
        </r>
      </text>
    </comment>
    <comment ref="AS25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#Input("石化_调度_110T/H煤粉锅炉装置轻烃_1#锅炉_蒸汽流量_01",":key{{dw}}")
</t>
        </r>
      </text>
    </comment>
    <comment ref="AT25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#Input("石化_调度_110T/H煤粉锅炉装置轻烃_1#锅炉_蒸汽流量_07",":key{{dw}}")
</t>
        </r>
      </text>
    </comment>
    <comment ref="AR26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#Input("石化_调度_110T/H煤粉锅炉装置轻烃_2#锅炉_蒸汽压力_16",":key{{dw}}")
</t>
        </r>
      </text>
    </comment>
    <comment ref="AS26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#Input("石化_调度_110T/H煤粉锅炉装置轻烃_2#锅炉_蒸汽压力_01",":key{{dw}}")
</t>
        </r>
      </text>
    </comment>
    <comment ref="AT26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#Input("石化_调度_110T/H煤粉锅炉装置轻烃_2#锅炉_蒸汽压力_07",":key{{dw}}")
</t>
        </r>
      </text>
    </comment>
    <comment ref="AR27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#Input("石化_调度_110T/H煤粉锅炉装置轻烃_2#锅炉_蒸汽压力_16",":key{{dw}}")
</t>
        </r>
      </text>
    </comment>
    <comment ref="AS27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#Input("石化_调度_110T/H煤粉锅炉装置轻烃_2#锅炉_蒸汽压力_01",":key{{dw}}")
</t>
        </r>
      </text>
    </comment>
    <comment ref="AT27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#Input("石化_调度_110T/H煤粉锅炉装置轻烃_2#锅炉_蒸汽压力_07",":key{{dw}}")
</t>
        </r>
      </text>
    </comment>
    <comment ref="C28" authorId="0">
      <text>
        <r>
          <rPr>
            <sz val="9"/>
            <color indexed="81"/>
            <rFont val="宋体"/>
            <family val="2"/>
          </rPr>
          <t>#Input("石化_调度_120万吨∕年重整装置物料平衡_原料_16",":key{{dw}}")</t>
        </r>
      </text>
    </comment>
    <comment ref="D28" authorId="0">
      <text>
        <r>
          <rPr>
            <sz val="9"/>
            <color indexed="81"/>
            <rFont val="宋体"/>
            <family val="2"/>
          </rPr>
          <t xml:space="preserve">#Input("石化_调度_120万吨∕年重整装置物料平衡_重整汽油_16",":key{{dw}}")
</t>
        </r>
      </text>
    </comment>
    <comment ref="H28" authorId="0">
      <text>
        <r>
          <rPr>
            <sz val="9"/>
            <color indexed="81"/>
            <rFont val="宋体"/>
            <family val="2"/>
          </rPr>
          <t xml:space="preserve">#Input("石化_调度_120万吨∕年重整装置物料平衡_C6馏分_16",":key{{dw}}")
</t>
        </r>
      </text>
    </comment>
    <comment ref="L28" authorId="0">
      <text>
        <r>
          <rPr>
            <sz val="9"/>
            <color indexed="81"/>
            <rFont val="宋体"/>
            <family val="2"/>
          </rPr>
          <t>#Input("石化_调度_120万吨∕年重整装置物料平衡_轻汽油_16",":key{{dw}}")</t>
        </r>
      </text>
    </comment>
    <comment ref="P28" authorId="0">
      <text>
        <r>
          <rPr>
            <sz val="9"/>
            <color indexed="81"/>
            <rFont val="宋体"/>
            <family val="2"/>
          </rPr>
          <t>#Input("石化_调度_120万吨∕年重整装置物料平衡_液化气_16",":key{{dw}}")</t>
        </r>
      </text>
    </comment>
    <comment ref="AB28" authorId="0">
      <text>
        <r>
          <rPr>
            <sz val="9"/>
            <color indexed="81"/>
            <rFont val="宋体"/>
            <family val="2"/>
          </rPr>
          <t>#Input("石化_调度_140万吨∕年柴油加氢装置物料平衡_原料_16",":key{{dw}}")</t>
        </r>
      </text>
    </comment>
    <comment ref="AD28" authorId="0">
      <text>
        <r>
          <rPr>
            <sz val="9"/>
            <color indexed="81"/>
            <rFont val="宋体"/>
            <family val="2"/>
          </rPr>
          <t>#Input("石化_调度_140万吨∕年柴油加氢装置物料平衡_加氢柴油_16",":key{{dw}}")</t>
        </r>
      </text>
    </comment>
    <comment ref="AG28" authorId="0">
      <text>
        <r>
          <rPr>
            <sz val="9"/>
            <color indexed="81"/>
            <rFont val="宋体"/>
            <family val="2"/>
          </rPr>
          <t>#Input("石化_调度_140万吨∕年柴油加氢装置物料平衡_粗汽油_16",":key{{dw}}")</t>
        </r>
      </text>
    </comment>
    <comment ref="AI28" authorId="0">
      <text>
        <r>
          <rPr>
            <sz val="9"/>
            <color indexed="81"/>
            <rFont val="宋体"/>
            <family val="2"/>
          </rPr>
          <t>#Input("石化_调度_140万吨∕年柴油加氢装置物料平衡_液化气_16",":key{{dw}}")</t>
        </r>
      </text>
    </comment>
    <comment ref="AR28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#Input("石化_调度_110T/H煤粉锅炉装置轻烃_2#锅炉_蒸汽温度_16",":key{{dw}}")
</t>
        </r>
      </text>
    </comment>
    <comment ref="AS28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#Input("石化_调度_110T/H煤粉锅炉装置轻烃_2#锅炉_蒸汽温度_01",":key{{dw}}")
</t>
        </r>
      </text>
    </comment>
    <comment ref="AT28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#Input("石化_调度_110T/H煤粉锅炉装置轻烃_2#锅炉_蒸汽温度_07",":key{{dw}}")
</t>
        </r>
      </text>
    </comment>
    <comment ref="C29" authorId="0">
      <text>
        <r>
          <rPr>
            <sz val="9"/>
            <color indexed="81"/>
            <rFont val="宋体"/>
            <family val="2"/>
          </rPr>
          <t>#Input("石化_调度_120万吨∕年重整装置物料平衡_原料_1",":key{{dw}}")</t>
        </r>
      </text>
    </comment>
    <comment ref="D29" authorId="0">
      <text>
        <r>
          <rPr>
            <sz val="9"/>
            <color indexed="81"/>
            <rFont val="宋体"/>
            <family val="2"/>
          </rPr>
          <t>#Input("石化_调度_120万吨∕年重整装置物料平衡_重整汽油_1",":key{{dw}}")</t>
        </r>
      </text>
    </comment>
    <comment ref="H29" authorId="0">
      <text>
        <r>
          <rPr>
            <sz val="9"/>
            <color indexed="81"/>
            <rFont val="宋体"/>
            <family val="2"/>
          </rPr>
          <t>#Input("石化_调度_120万吨∕年重整装置物料平衡_C6馏分_1",":key{{dw}}")</t>
        </r>
      </text>
    </comment>
    <comment ref="L29" authorId="0">
      <text>
        <r>
          <rPr>
            <sz val="9"/>
            <color indexed="81"/>
            <rFont val="宋体"/>
            <family val="2"/>
          </rPr>
          <t>#Input("石化_调度_120万吨∕年重整装置物料平衡_轻汽油_1",":key{{dw}}")</t>
        </r>
      </text>
    </comment>
    <comment ref="P29" authorId="0">
      <text>
        <r>
          <rPr>
            <sz val="9"/>
            <color indexed="81"/>
            <rFont val="宋体"/>
            <family val="2"/>
          </rPr>
          <t>#Input("石化_调度_120万吨∕年重整装置物料平衡_液化气_1",":key{{dw}}")</t>
        </r>
      </text>
    </comment>
    <comment ref="AB29" authorId="0">
      <text>
        <r>
          <rPr>
            <sz val="9"/>
            <color indexed="81"/>
            <rFont val="宋体"/>
            <family val="2"/>
          </rPr>
          <t>#Input("石化_调度_140万吨∕年柴油加氢装置物料平衡_原料_1",":key{{dw}}")</t>
        </r>
      </text>
    </comment>
    <comment ref="AD29" authorId="0">
      <text>
        <r>
          <rPr>
            <sz val="9"/>
            <color indexed="81"/>
            <rFont val="宋体"/>
            <family val="2"/>
          </rPr>
          <t>#Input("石化_调度_140万吨∕年柴油加氢装置物料平衡_加氢柴油_1",":key{{dw}}")</t>
        </r>
      </text>
    </comment>
    <comment ref="AG29" authorId="0">
      <text>
        <r>
          <rPr>
            <sz val="9"/>
            <color indexed="81"/>
            <rFont val="宋体"/>
            <family val="2"/>
          </rPr>
          <t>#Input("石化_调度_140万吨∕年柴油加氢装置物料平衡_粗汽油_1",":key{{dw}}")</t>
        </r>
      </text>
    </comment>
    <comment ref="AI29" authorId="0">
      <text>
        <r>
          <rPr>
            <sz val="9"/>
            <color indexed="81"/>
            <rFont val="宋体"/>
            <family val="2"/>
          </rPr>
          <t>#Input("石化_调度_140万吨∕年柴油加氢装置物料平衡_液化气_1",":key{{dw}}")</t>
        </r>
      </text>
    </comment>
    <comment ref="AR29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#Input("石化_调度_110T/H煤粉锅炉装置轻烃_2#锅炉_蒸汽流量_16",":key{{dw}}")
</t>
        </r>
      </text>
    </comment>
    <comment ref="AS29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#Input("石化_调度_110T/H煤粉锅炉装置轻烃_2#锅炉_蒸汽流量_01",":key{{dw}}")
</t>
        </r>
      </text>
    </comment>
    <comment ref="AT29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#Input("石化_调度_110T/H煤粉锅炉装置轻烃_2#锅炉_蒸汽流量_07",":key{{dw}}")
</t>
        </r>
      </text>
    </comment>
    <comment ref="C30" authorId="0">
      <text>
        <r>
          <rPr>
            <sz val="9"/>
            <color indexed="81"/>
            <rFont val="宋体"/>
            <family val="2"/>
          </rPr>
          <t>#Input("石化_调度_120万吨∕年重整装置物料平衡_原料_8",":key{{dw}}")</t>
        </r>
      </text>
    </comment>
    <comment ref="D30" authorId="0">
      <text>
        <r>
          <rPr>
            <sz val="9"/>
            <color indexed="81"/>
            <rFont val="宋体"/>
            <family val="2"/>
          </rPr>
          <t xml:space="preserve">#Input("石化_调度_120万吨∕年重整装置物料平衡_重整汽油_8",":key{{dw}}")
</t>
        </r>
      </text>
    </comment>
    <comment ref="H30" authorId="0">
      <text>
        <r>
          <rPr>
            <sz val="9"/>
            <color indexed="81"/>
            <rFont val="宋体"/>
            <family val="2"/>
          </rPr>
          <t xml:space="preserve">#Input("石化_调度_120万吨∕年重整装置物料平衡_C6馏分_8",":key{{dw}}")
</t>
        </r>
      </text>
    </comment>
    <comment ref="L30" authorId="0">
      <text>
        <r>
          <rPr>
            <sz val="9"/>
            <color indexed="81"/>
            <rFont val="宋体"/>
            <family val="2"/>
          </rPr>
          <t xml:space="preserve">#Input("石化_调度_120万吨∕年重整装置物料平衡_轻汽油_8",":key{{dw}}")
</t>
        </r>
      </text>
    </comment>
    <comment ref="P30" authorId="0">
      <text>
        <r>
          <rPr>
            <sz val="9"/>
            <color indexed="81"/>
            <rFont val="宋体"/>
            <family val="2"/>
          </rPr>
          <t>#Input("石化_调度_120万吨∕年重整装置物料平衡_液化气_8",":key{{dw}}")</t>
        </r>
      </text>
    </comment>
    <comment ref="AB30" authorId="0">
      <text>
        <r>
          <rPr>
            <b/>
            <sz val="9"/>
            <color indexed="81"/>
            <rFont val="宋体"/>
            <family val="2"/>
          </rPr>
          <t>#Input("石化_调度_140万吨∕年柴油加氢装置物料平衡_原料_8",":key{{dw}}")</t>
        </r>
      </text>
    </comment>
    <comment ref="AD30" authorId="0">
      <text>
        <r>
          <rPr>
            <sz val="9"/>
            <color indexed="81"/>
            <rFont val="宋体"/>
            <family val="2"/>
          </rPr>
          <t>#Input("石化_调度_140万吨∕年柴油加氢装置物料平衡_加氢柴油_8",":key{{dw}}")</t>
        </r>
      </text>
    </comment>
    <comment ref="AG30" authorId="0">
      <text>
        <r>
          <rPr>
            <sz val="9"/>
            <color indexed="81"/>
            <rFont val="宋体"/>
            <family val="2"/>
          </rPr>
          <t>#Input("石化_调度_140万吨∕年柴油加氢装置物料平衡_粗汽油_8",":key{{dw}}")</t>
        </r>
      </text>
    </comment>
    <comment ref="AI30" authorId="0">
      <text>
        <r>
          <rPr>
            <sz val="9"/>
            <color indexed="81"/>
            <rFont val="宋体"/>
            <family val="2"/>
          </rPr>
          <t>#Input("石化_调度_140万吨∕年柴油加氢装置物料平衡_液化气_8",":key{{dw}}")</t>
        </r>
      </text>
    </comment>
    <comment ref="AR30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#Input("石化_调度_110T/H煤粉锅炉装置轻烃_3#锅炉_炉膛温度_16",":key{{dw}}")
</t>
        </r>
      </text>
    </comment>
    <comment ref="AS30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#Input("石化_调度_110T/H煤粉锅炉装置轻烃_3#锅炉_炉膛温度_01",":key{{dw}}")
</t>
        </r>
      </text>
    </comment>
    <comment ref="AT30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#Input("石化_调度_110T/H煤粉锅炉装置轻烃_3#锅炉_炉膛温度_07",":key{{dw}}")
</t>
        </r>
      </text>
    </comment>
    <comment ref="AR31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#Input("石化_调度_110T/H煤粉锅炉装置轻烃_3#锅炉_蒸汽压力_16",":key{{dw}}")
</t>
        </r>
      </text>
    </comment>
    <comment ref="AS31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#Input("石化_调度_110T/H煤粉锅炉装置轻烃_3#锅炉_蒸汽压力_01",":key{{dw}}")
</t>
        </r>
      </text>
    </comment>
    <comment ref="AT31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#Input("石化_调度_110T/H煤粉锅炉装置轻烃_3#锅炉_蒸汽压力_07",":key{{dw}}")
</t>
        </r>
      </text>
    </comment>
    <comment ref="AR32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#Input("石化_调度_110T/H煤粉锅炉装置轻烃_3#锅炉_蒸汽温度_16",":key{{dw}}")
</t>
        </r>
      </text>
    </comment>
    <comment ref="AS32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#Input("石化_调度_110T/H煤粉锅炉装置轻烃_3#锅炉_蒸汽温度_01",":key{{dw}}")
</t>
        </r>
      </text>
    </comment>
    <comment ref="AT32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#Input("石化_调度_110T/H煤粉锅炉装置轻烃_3#锅炉_蒸汽温度_07",":key{{dw}}")
</t>
        </r>
      </text>
    </comment>
    <comment ref="AR33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#Input("石化_调度_110T/H煤粉锅炉装置轻烃_3#锅炉_蒸汽流量_16",":key{{dw}}")
</t>
        </r>
      </text>
    </comment>
    <comment ref="AS33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#Input("石化_调度_110T/H煤粉锅炉装置轻烃_3#锅炉_蒸汽流量_01",":key{{dw}}")
</t>
        </r>
      </text>
    </comment>
    <comment ref="AT33" authorId="0">
      <text>
        <r>
          <rPr>
            <sz val="9"/>
            <color indexed="81"/>
            <rFont val="宋体"/>
            <family val="2"/>
          </rPr>
          <t xml:space="preserve">#Input("石化_调度_110T/H煤粉锅炉装置轻烃_3#锅炉_蒸汽流量_07",":key{{dw}}")
</t>
        </r>
      </text>
    </comment>
    <comment ref="AR34" authorId="0">
      <text>
        <r>
          <rPr>
            <sz val="9"/>
            <color indexed="81"/>
            <rFont val="宋体"/>
            <family val="2"/>
          </rPr>
          <t xml:space="preserve">#Input("石化_调度_空分空压装置_工业风压力_16",":key{{dw}}")
</t>
        </r>
      </text>
    </comment>
    <comment ref="AS34" authorId="0">
      <text>
        <r>
          <rPr>
            <sz val="9"/>
            <color indexed="81"/>
            <rFont val="宋体"/>
            <family val="2"/>
          </rPr>
          <t xml:space="preserve">#Input("石化_调度_空分空压装置_工业风压力_01",":key{{dw}}")
</t>
        </r>
      </text>
    </comment>
    <comment ref="AT34" authorId="0">
      <text>
        <r>
          <rPr>
            <sz val="9"/>
            <color indexed="81"/>
            <rFont val="宋体"/>
            <family val="2"/>
          </rPr>
          <t xml:space="preserve">#Input("石化_调度_空分空压装置_工业风压力_07",":key{{dw}}")
</t>
        </r>
      </text>
    </comment>
    <comment ref="AR35" authorId="0">
      <text>
        <r>
          <rPr>
            <sz val="9"/>
            <color indexed="81"/>
            <rFont val="宋体"/>
            <family val="2"/>
          </rPr>
          <t xml:space="preserve">#Input("石化_调度_空分空压装置_净化风压力_16",":key{{dw}}")
</t>
        </r>
      </text>
    </comment>
    <comment ref="AS35" authorId="0">
      <text>
        <r>
          <rPr>
            <sz val="9"/>
            <color indexed="81"/>
            <rFont val="宋体"/>
            <family val="2"/>
          </rPr>
          <t xml:space="preserve">#Input("石化_调度_空分空压装置_净化风压力_01",":key{{dw}}")
</t>
        </r>
      </text>
    </comment>
    <comment ref="AT35" authorId="0">
      <text>
        <r>
          <rPr>
            <sz val="9"/>
            <color indexed="81"/>
            <rFont val="宋体"/>
            <family val="2"/>
          </rPr>
          <t xml:space="preserve">#Input("石化_调度_空分空压装置_净化风压力_07",":key{{dw}}")
</t>
        </r>
      </text>
    </comment>
    <comment ref="AR36" authorId="0">
      <text>
        <r>
          <rPr>
            <sz val="9"/>
            <color indexed="81"/>
            <rFont val="宋体"/>
            <family val="2"/>
          </rPr>
          <t xml:space="preserve">#Input("石化_调度_空分空压装置_0.7MPa氮气压力_16",":key{{dw}}")
</t>
        </r>
      </text>
    </comment>
    <comment ref="AS36" authorId="0">
      <text>
        <r>
          <rPr>
            <sz val="9"/>
            <color indexed="81"/>
            <rFont val="宋体"/>
            <family val="2"/>
          </rPr>
          <t xml:space="preserve">#Input("石化_调度_空分空压装置_0.7MPa氮气压力_01",":key{{dw}}")
</t>
        </r>
      </text>
    </comment>
    <comment ref="AT36" authorId="0">
      <text>
        <r>
          <rPr>
            <sz val="9"/>
            <color indexed="81"/>
            <rFont val="宋体"/>
            <family val="2"/>
          </rPr>
          <t xml:space="preserve">#Input("石化_调度_空分空压装置_0.7MPa氮气压力_07",":key{{dw}}")
</t>
        </r>
      </text>
    </comment>
    <comment ref="C37" authorId="0">
      <text>
        <r>
          <rPr>
            <sz val="9"/>
            <color indexed="81"/>
            <rFont val="宋体"/>
            <family val="2"/>
          </rPr>
          <t>#Input("石化_调度_60万吨∕年气分装置物料平衡_原料_16",":key{{dw}}")</t>
        </r>
      </text>
    </comment>
    <comment ref="D37" authorId="0">
      <text>
        <r>
          <rPr>
            <sz val="9"/>
            <color indexed="81"/>
            <rFont val="宋体"/>
            <family val="2"/>
          </rPr>
          <t>#Input("石化_调度_60万吨∕年气分装置物料平衡_丙烯_16",":key{{dw}}")</t>
        </r>
      </text>
    </comment>
    <comment ref="H37" authorId="0">
      <text>
        <r>
          <rPr>
            <sz val="9"/>
            <color indexed="81"/>
            <rFont val="宋体"/>
            <family val="2"/>
          </rPr>
          <t>#Input("石化_调度_60万吨∕年气分装置物料平衡_丙烷_16",":key{{dw}}")</t>
        </r>
      </text>
    </comment>
    <comment ref="L37" authorId="0">
      <text>
        <r>
          <rPr>
            <sz val="9"/>
            <color indexed="81"/>
            <rFont val="宋体"/>
            <family val="2"/>
          </rPr>
          <t>#Input("石化_调度_60万吨∕年气分装置物料平衡_C4馏分_16",":key{{dw}}")</t>
        </r>
      </text>
    </comment>
    <comment ref="P37" authorId="0">
      <text>
        <r>
          <rPr>
            <sz val="9"/>
            <color indexed="81"/>
            <rFont val="宋体"/>
            <family val="2"/>
          </rPr>
          <t>#Input("石化_调度_60万吨∕年气分装置物料平衡_戊烷_16",":key{{dw}}")</t>
        </r>
      </text>
    </comment>
    <comment ref="AB37" authorId="0">
      <text>
        <r>
          <rPr>
            <sz val="9"/>
            <color indexed="81"/>
            <rFont val="宋体"/>
            <family val="2"/>
          </rPr>
          <t>#Input("石化_调度_20万吨∕年苯抽提装置物料平衡_原料_16",":key{{dw}}")</t>
        </r>
      </text>
    </comment>
    <comment ref="AD37" authorId="0">
      <text>
        <r>
          <rPr>
            <sz val="9"/>
            <color indexed="81"/>
            <rFont val="宋体"/>
            <family val="2"/>
          </rPr>
          <t>#Input("石化_调度_20万吨∕年苯抽提装置物料平衡_苯_16",":key{{dw}}")</t>
        </r>
      </text>
    </comment>
    <comment ref="AG37" authorId="0">
      <text>
        <r>
          <rPr>
            <sz val="9"/>
            <color indexed="81"/>
            <rFont val="宋体"/>
            <family val="2"/>
          </rPr>
          <t>#Input("石化_调度_20万吨∕年苯抽提装置物料平衡_抽余油_16",":key{{dw}}")</t>
        </r>
      </text>
    </comment>
    <comment ref="AR37" authorId="0">
      <text>
        <r>
          <rPr>
            <sz val="9"/>
            <color indexed="81"/>
            <rFont val="宋体"/>
            <family val="2"/>
          </rPr>
          <t xml:space="preserve">#Input("石化_调度_空分空压装置_0.85MPa氮气压力_16",":key{{dw}}")
</t>
        </r>
      </text>
    </comment>
    <comment ref="AS37" authorId="0">
      <text>
        <r>
          <rPr>
            <sz val="9"/>
            <color indexed="81"/>
            <rFont val="宋体"/>
            <family val="2"/>
          </rPr>
          <t xml:space="preserve">#Input("石化_调度_空分空压装置_0.85MPa氮气压力_01",":key{{dw}}")
</t>
        </r>
      </text>
    </comment>
    <comment ref="AT37" authorId="0">
      <text>
        <r>
          <rPr>
            <sz val="9"/>
            <color indexed="81"/>
            <rFont val="宋体"/>
            <family val="2"/>
          </rPr>
          <t xml:space="preserve">#Input("石化_调度_空分空压装置_0.85MPa氮气压力_07",":key{{dw}}")
</t>
        </r>
      </text>
    </comment>
    <comment ref="C38" authorId="0">
      <text>
        <r>
          <rPr>
            <sz val="9"/>
            <color indexed="81"/>
            <rFont val="宋体"/>
            <family val="2"/>
          </rPr>
          <t>#Input("石化_调度_60万吨∕年气分装置物料平衡_原料_1",":key{{dw}}")</t>
        </r>
      </text>
    </comment>
    <comment ref="D38" authorId="0">
      <text>
        <r>
          <rPr>
            <sz val="9"/>
            <color indexed="81"/>
            <rFont val="宋体"/>
            <family val="2"/>
          </rPr>
          <t>#Input("石化_调度_60万吨∕年气分装置物料平衡_丙烯_1",":key{{dw}}")</t>
        </r>
      </text>
    </comment>
    <comment ref="H38" authorId="0">
      <text>
        <r>
          <rPr>
            <sz val="9"/>
            <color indexed="81"/>
            <rFont val="宋体"/>
            <family val="2"/>
          </rPr>
          <t>#Input("石化_调度_60万吨∕年气分装置物料平衡_丙烷_1",":key{{dw}}")</t>
        </r>
      </text>
    </comment>
    <comment ref="L38" authorId="0">
      <text>
        <r>
          <rPr>
            <sz val="9"/>
            <color indexed="81"/>
            <rFont val="宋体"/>
            <family val="2"/>
          </rPr>
          <t>#Input("石化_调度_60万吨∕年气分装置物料平衡_C4馏分_1",":key{{dw}}")</t>
        </r>
      </text>
    </comment>
    <comment ref="P38" authorId="0">
      <text>
        <r>
          <rPr>
            <sz val="9"/>
            <color indexed="81"/>
            <rFont val="宋体"/>
            <family val="2"/>
          </rPr>
          <t>#Input("石化_调度_60万吨∕年气分装置物料平衡_戊烷_1",":key{{dw}}")</t>
        </r>
      </text>
    </comment>
    <comment ref="AB38" authorId="0">
      <text>
        <r>
          <rPr>
            <sz val="9"/>
            <color indexed="81"/>
            <rFont val="宋体"/>
            <family val="2"/>
          </rPr>
          <t>#Input("石化_调度_20万吨∕年苯抽提装置物料平衡_原料_1",":key{{dw}}")</t>
        </r>
      </text>
    </comment>
    <comment ref="AD38" authorId="0">
      <text>
        <r>
          <rPr>
            <sz val="9"/>
            <color indexed="81"/>
            <rFont val="宋体"/>
            <family val="2"/>
          </rPr>
          <t>#Input("石化_调度_20万吨∕年苯抽提装置物料平衡_苯_1",":key{{dw}}")</t>
        </r>
      </text>
    </comment>
    <comment ref="AG38" authorId="0">
      <text>
        <r>
          <rPr>
            <sz val="9"/>
            <color indexed="81"/>
            <rFont val="宋体"/>
            <family val="2"/>
          </rPr>
          <t>#Input("石化_调度_20万吨∕年苯抽提装置物料平衡_抽余油_1",":key{{dw}}")</t>
        </r>
      </text>
    </comment>
    <comment ref="AR38" authorId="0">
      <text>
        <r>
          <rPr>
            <sz val="9"/>
            <color indexed="81"/>
            <rFont val="宋体"/>
            <family val="2"/>
          </rPr>
          <t xml:space="preserve">#Input("石化_调度_空分空压装置_2.5MPa氮气压力_16",":key{{dw}}")
</t>
        </r>
      </text>
    </comment>
    <comment ref="AS38" authorId="0">
      <text>
        <r>
          <rPr>
            <sz val="9"/>
            <color indexed="81"/>
            <rFont val="宋体"/>
            <family val="2"/>
          </rPr>
          <t xml:space="preserve">#Input("石化_调度_空分空压装置_2.5MPa氮气压力_01",":key{{dw}}")
</t>
        </r>
      </text>
    </comment>
    <comment ref="AT38" authorId="0">
      <text>
        <r>
          <rPr>
            <sz val="9"/>
            <color indexed="81"/>
            <rFont val="宋体"/>
            <family val="2"/>
          </rPr>
          <t xml:space="preserve">#Input("石化_调度_空分空压装置_2.5MPa氮气压力_07",":key{{dw}}")
</t>
        </r>
      </text>
    </comment>
    <comment ref="C39" authorId="0">
      <text>
        <r>
          <rPr>
            <sz val="9"/>
            <color indexed="81"/>
            <rFont val="宋体"/>
            <family val="2"/>
          </rPr>
          <t>#Input("石化_调度_60万吨∕年气分装置物料平衡_原料_8",":key{{dw}}")</t>
        </r>
      </text>
    </comment>
    <comment ref="D39" authorId="0">
      <text>
        <r>
          <rPr>
            <sz val="9"/>
            <color indexed="81"/>
            <rFont val="宋体"/>
            <family val="2"/>
          </rPr>
          <t xml:space="preserve">#Input("石化_调度_60万吨∕年气分装置物料平衡_丙烯_8",":key{{dw}}")
</t>
        </r>
      </text>
    </comment>
    <comment ref="H39" authorId="0">
      <text>
        <r>
          <rPr>
            <sz val="9"/>
            <color indexed="81"/>
            <rFont val="宋体"/>
            <family val="2"/>
          </rPr>
          <t xml:space="preserve">#Input("石化_调度_60万吨∕年气分装置物料平衡_丙烷_8",":key{{dw}}")
</t>
        </r>
      </text>
    </comment>
    <comment ref="L39" authorId="0">
      <text>
        <r>
          <rPr>
            <sz val="9"/>
            <color indexed="81"/>
            <rFont val="宋体"/>
            <family val="2"/>
          </rPr>
          <t xml:space="preserve">#Input("石化_调度_60万吨∕年气分装置物料平衡_C4馏分_8",":key{{dw}}")
</t>
        </r>
      </text>
    </comment>
    <comment ref="P39" authorId="0">
      <text>
        <r>
          <rPr>
            <sz val="9"/>
            <color indexed="81"/>
            <rFont val="宋体"/>
            <family val="2"/>
          </rPr>
          <t xml:space="preserve">#Input("石化_调度_60万吨∕年气分装置物料平衡_戊烷_8",":key{{dw}}")
</t>
        </r>
      </text>
    </comment>
    <comment ref="AB39" authorId="0">
      <text>
        <r>
          <rPr>
            <sz val="9"/>
            <color indexed="81"/>
            <rFont val="宋体"/>
            <family val="2"/>
          </rPr>
          <t xml:space="preserve">#Input("石化_调度_20万吨∕年苯抽提装置物料平衡_原料_8",":key{{dw}}")
</t>
        </r>
      </text>
    </comment>
    <comment ref="AD39" authorId="0">
      <text>
        <r>
          <rPr>
            <sz val="9"/>
            <color indexed="81"/>
            <rFont val="宋体"/>
            <family val="2"/>
          </rPr>
          <t xml:space="preserve">#Input("石化_调度_20万吨∕年苯抽提装置物料平衡_苯_8",":key{{dw}}")
</t>
        </r>
      </text>
    </comment>
    <comment ref="AG39" authorId="0">
      <text>
        <r>
          <rPr>
            <sz val="9"/>
            <color indexed="81"/>
            <rFont val="宋体"/>
            <family val="2"/>
          </rPr>
          <t xml:space="preserve">#Input("石化_调度_20万吨∕年苯抽提装置物料平衡_抽余油_8",":key{{dw}}")
</t>
        </r>
      </text>
    </comment>
    <comment ref="AR39" authorId="0">
      <text>
        <r>
          <rPr>
            <sz val="9"/>
            <color indexed="81"/>
            <rFont val="宋体"/>
            <family val="2"/>
          </rPr>
          <t xml:space="preserve">#Input("石化_调度_空分空压装置_净化风事故储罐压力_16",":key{{dw}}")
</t>
        </r>
      </text>
    </comment>
    <comment ref="AS39" authorId="0">
      <text>
        <r>
          <rPr>
            <sz val="9"/>
            <color indexed="81"/>
            <rFont val="宋体"/>
            <family val="2"/>
          </rPr>
          <t xml:space="preserve">#Input("石化_调度_空分空压装置_净化风事故储罐压力_01",":key{{dw}}")
</t>
        </r>
      </text>
    </comment>
    <comment ref="AT39" authorId="0">
      <text>
        <r>
          <rPr>
            <sz val="9"/>
            <color indexed="81"/>
            <rFont val="宋体"/>
            <family val="2"/>
          </rPr>
          <t xml:space="preserve">#Input("石化_调度_空分空压装置_净化风事故储罐压力_07",":key{{dw}}")
</t>
        </r>
      </text>
    </comment>
    <comment ref="AR40" authorId="0">
      <text>
        <r>
          <rPr>
            <sz val="9"/>
            <color indexed="81"/>
            <rFont val="宋体"/>
            <family val="2"/>
          </rPr>
          <t xml:space="preserve">#Input("石化_调度_空分空压装置_氮气事故储罐压力_16",":key{{dw}}")
</t>
        </r>
      </text>
    </comment>
    <comment ref="AS40" authorId="0">
      <text>
        <r>
          <rPr>
            <sz val="9"/>
            <color indexed="81"/>
            <rFont val="宋体"/>
            <family val="2"/>
          </rPr>
          <t xml:space="preserve">#Input("石化_调度_空分空压装置_氮气事故储罐压力_01",":key{{dw}}")
</t>
        </r>
      </text>
    </comment>
    <comment ref="AT40" authorId="0">
      <text>
        <r>
          <rPr>
            <sz val="9"/>
            <color indexed="81"/>
            <rFont val="宋体"/>
            <family val="2"/>
          </rPr>
          <t xml:space="preserve">#Input("石化_调度_空分空压装置_氮气事故储罐压力_07",":key{{dw}}")
</t>
        </r>
      </text>
    </comment>
    <comment ref="AR41" authorId="0">
      <text>
        <r>
          <rPr>
            <sz val="9"/>
            <color indexed="81"/>
            <rFont val="宋体"/>
            <family val="2"/>
          </rPr>
          <t xml:space="preserve">#Input("石化_调度_空分空压装置_0.7MPa氮气流量_16",":key{{dw}}")
</t>
        </r>
      </text>
    </comment>
    <comment ref="AS41" authorId="0">
      <text>
        <r>
          <rPr>
            <sz val="9"/>
            <color indexed="81"/>
            <rFont val="宋体"/>
            <family val="2"/>
          </rPr>
          <t xml:space="preserve">#Input("石化_调度_空分空压装置_0.7MPa氮气流量_01",":key{{dw}}")
</t>
        </r>
      </text>
    </comment>
    <comment ref="AT41" authorId="0">
      <text>
        <r>
          <rPr>
            <sz val="9"/>
            <color indexed="81"/>
            <rFont val="宋体"/>
            <family val="2"/>
          </rPr>
          <t xml:space="preserve">#Input("石化_调度_空分空压装置_0.7MPa氮气流量_07",":key{{dw}}")
</t>
        </r>
      </text>
    </comment>
    <comment ref="AR42" authorId="0">
      <text>
        <r>
          <rPr>
            <sz val="9"/>
            <color indexed="81"/>
            <rFont val="宋体"/>
            <family val="2"/>
          </rPr>
          <t xml:space="preserve">#Input("石化_调度_空分空压装置_0.85MPa氮气流量_16",":key{{dw}}")
</t>
        </r>
      </text>
    </comment>
    <comment ref="AS42" authorId="0">
      <text>
        <r>
          <rPr>
            <sz val="9"/>
            <color indexed="81"/>
            <rFont val="宋体"/>
            <family val="2"/>
          </rPr>
          <t xml:space="preserve">#Input("石化_调度_空分空压装置_0.85MPa氮气流量_01",":key{{dw}}")
</t>
        </r>
      </text>
    </comment>
    <comment ref="AT42" authorId="0">
      <text>
        <r>
          <rPr>
            <sz val="9"/>
            <color indexed="81"/>
            <rFont val="宋体"/>
            <family val="2"/>
          </rPr>
          <t xml:space="preserve">#Input("石化_调度_空分空压装置_0.85MPa氮气流量_07",":key{{dw}}")
</t>
        </r>
      </text>
    </comment>
    <comment ref="AR43" authorId="0">
      <text>
        <r>
          <rPr>
            <sz val="9"/>
            <color indexed="81"/>
            <rFont val="宋体"/>
            <family val="2"/>
          </rPr>
          <t xml:space="preserve">#Input("石化_调度_空分空压装置_2.5MPa氮气流量_16",":key{{dw}}")
</t>
        </r>
      </text>
    </comment>
    <comment ref="AS43" authorId="0">
      <text>
        <r>
          <rPr>
            <sz val="9"/>
            <color indexed="81"/>
            <rFont val="宋体"/>
            <family val="2"/>
          </rPr>
          <t xml:space="preserve">#Input("石化_调度_空分空压装置_2.5MPa氮气流量_01",":key{{dw}}")
</t>
        </r>
      </text>
    </comment>
    <comment ref="AT43" authorId="0">
      <text>
        <r>
          <rPr>
            <sz val="9"/>
            <color indexed="81"/>
            <rFont val="宋体"/>
            <family val="2"/>
          </rPr>
          <t xml:space="preserve">#Input("石化_调度_空分空压装置_2.5MPa氮气流量_07",":key{{dw}}")
</t>
        </r>
      </text>
    </comment>
    <comment ref="AR44" authorId="0">
      <text>
        <r>
          <rPr>
            <sz val="9"/>
            <color indexed="81"/>
            <rFont val="宋体"/>
            <family val="2"/>
          </rPr>
          <t xml:space="preserve">#Input("石化_调度_空分空压装置_工业风流量_16",":key{{dw}}")
</t>
        </r>
      </text>
    </comment>
    <comment ref="AS44" authorId="0">
      <text>
        <r>
          <rPr>
            <sz val="9"/>
            <color indexed="81"/>
            <rFont val="宋体"/>
            <family val="2"/>
          </rPr>
          <t xml:space="preserve">#Input("石化_调度_空分空压装置_工业风流量_01",":key{{dw}}")
</t>
        </r>
      </text>
    </comment>
    <comment ref="AT44" authorId="0">
      <text>
        <r>
          <rPr>
            <sz val="9"/>
            <color indexed="81"/>
            <rFont val="宋体"/>
            <family val="2"/>
          </rPr>
          <t xml:space="preserve">#Input("石化_调度_空分空压装置_工业风流量_07",":key{{dw}}")
</t>
        </r>
      </text>
    </comment>
    <comment ref="AR45" authorId="0">
      <text>
        <r>
          <rPr>
            <sz val="9"/>
            <color indexed="81"/>
            <rFont val="宋体"/>
            <family val="2"/>
          </rPr>
          <t xml:space="preserve">#Input("石化_调度_空分空压装置_仪表风流量_16",":key{{dw}}")
</t>
        </r>
      </text>
    </comment>
    <comment ref="AS45" authorId="0">
      <text>
        <r>
          <rPr>
            <sz val="9"/>
            <color indexed="81"/>
            <rFont val="宋体"/>
            <family val="2"/>
          </rPr>
          <t xml:space="preserve">#Input("石化_调度_空分空压装置_仪表风流量_01",":key{{dw}}")
</t>
        </r>
      </text>
    </comment>
    <comment ref="AT45" authorId="0">
      <text>
        <r>
          <rPr>
            <sz val="9"/>
            <color indexed="81"/>
            <rFont val="宋体"/>
            <family val="2"/>
          </rPr>
          <t xml:space="preserve">#Input("石化_调度_空分空压装置_仪表风流量_07",":key{{dw}}")
</t>
        </r>
      </text>
    </comment>
    <comment ref="C46" authorId="0">
      <text>
        <r>
          <rPr>
            <sz val="9"/>
            <color indexed="81"/>
            <rFont val="宋体"/>
            <family val="2"/>
          </rPr>
          <t>#Input("石化_调度_20万吨∕年聚丙烯装置物料平衡_原料_16",":key{{dw}}")</t>
        </r>
      </text>
    </comment>
    <comment ref="H46" authorId="0">
      <text>
        <r>
          <rPr>
            <sz val="9"/>
            <color indexed="81"/>
            <rFont val="宋体"/>
            <family val="2"/>
          </rPr>
          <t>#Input("石化_调度_12万吨∕年MTBE装置物料平衡_C4原料_16",":key{{dw}}")</t>
        </r>
      </text>
    </comment>
    <comment ref="J46" authorId="0">
      <text>
        <r>
          <rPr>
            <sz val="9"/>
            <color indexed="81"/>
            <rFont val="宋体"/>
            <family val="2"/>
          </rPr>
          <t xml:space="preserve">#Input("石化_调度_12万吨∕年MTBE装置物料平衡_甲醇_16",":key{{dw}}")
</t>
        </r>
      </text>
    </comment>
    <comment ref="L46" authorId="0">
      <text>
        <r>
          <rPr>
            <sz val="9"/>
            <color indexed="81"/>
            <rFont val="宋体"/>
            <family val="2"/>
          </rPr>
          <t xml:space="preserve">#Input("石化_调度_12万吨∕年MTBE装置物料平衡_MTBE产品_16",":key{{dw}}")
</t>
        </r>
      </text>
    </comment>
    <comment ref="P46" authorId="0">
      <text>
        <r>
          <rPr>
            <sz val="9"/>
            <color indexed="81"/>
            <rFont val="宋体"/>
            <family val="2"/>
          </rPr>
          <t xml:space="preserve">#Input("石化_调度_12万吨∕年MTBE装置物料平衡_剩余C4_16",":key{{dw}}")
</t>
        </r>
      </text>
    </comment>
    <comment ref="X46" authorId="0">
      <text>
        <r>
          <rPr>
            <sz val="9"/>
            <color indexed="81"/>
            <rFont val="宋体"/>
            <family val="2"/>
          </rPr>
          <t xml:space="preserve">#Input("石化_调度_双脱装置物料平衡_原料_16",":key{{dw}}")
</t>
        </r>
      </text>
    </comment>
    <comment ref="AB46" authorId="0">
      <text>
        <r>
          <rPr>
            <sz val="9"/>
            <color indexed="81"/>
            <rFont val="宋体"/>
            <family val="2"/>
          </rPr>
          <t xml:space="preserve">#Input("石化_调度_双脱装置物料平衡_精致液化气_16",":key{{dw}}")
</t>
        </r>
      </text>
    </comment>
    <comment ref="AF46" authorId="0">
      <text>
        <r>
          <rPr>
            <sz val="9"/>
            <color indexed="81"/>
            <rFont val="宋体"/>
            <family val="2"/>
          </rPr>
          <t xml:space="preserve">#Input("石化_调度_2万标方/小时制氢_原料_16",":key{{dw}}")
</t>
        </r>
      </text>
    </comment>
    <comment ref="AG46" authorId="0">
      <text>
        <r>
          <rPr>
            <sz val="9"/>
            <color indexed="81"/>
            <rFont val="宋体"/>
            <family val="2"/>
          </rPr>
          <t xml:space="preserve">#Input("石化_调度_2万标方/小时制氢_产品氢_16",":key{{dw}}")
</t>
        </r>
      </text>
    </comment>
    <comment ref="AI46" authorId="0">
      <text>
        <r>
          <rPr>
            <sz val="9"/>
            <color indexed="81"/>
            <rFont val="宋体"/>
            <family val="2"/>
          </rPr>
          <t>#Input("石化_调度_180万吨∕年汽油精制装置物料平衡_原料_16",":key{{dw}}")</t>
        </r>
      </text>
    </comment>
    <comment ref="AJ46" authorId="0">
      <text>
        <r>
          <rPr>
            <sz val="9"/>
            <color indexed="81"/>
            <rFont val="宋体"/>
            <family val="2"/>
          </rPr>
          <t xml:space="preserve">#Input("石化_调度_180万吨∕年汽油精制装置物料平衡_精致汽油_16",":key{{dw}}")
</t>
        </r>
      </text>
    </comment>
    <comment ref="AR46" authorId="0">
      <text>
        <r>
          <rPr>
            <sz val="9"/>
            <color indexed="81"/>
            <rFont val="宋体"/>
            <family val="2"/>
          </rPr>
          <t xml:space="preserve">#Input("石化_调度_空分空压装置_1#液氮储罐液位_16",":key{{dw}}")
</t>
        </r>
      </text>
    </comment>
    <comment ref="AS46" authorId="0">
      <text>
        <r>
          <rPr>
            <sz val="9"/>
            <color indexed="81"/>
            <rFont val="宋体"/>
            <family val="2"/>
          </rPr>
          <t xml:space="preserve">#Input("石化_调度_空分空压装置_1#液氮储罐液位_01",":key{{dw}}")
</t>
        </r>
      </text>
    </comment>
    <comment ref="AT46" authorId="0">
      <text>
        <r>
          <rPr>
            <sz val="9"/>
            <color indexed="81"/>
            <rFont val="宋体"/>
            <family val="2"/>
          </rPr>
          <t xml:space="preserve">#Input("石化_调度_空分空压装置_1#液氮储罐液位_07",":key{{dw}}")
</t>
        </r>
      </text>
    </comment>
    <comment ref="C47" authorId="0">
      <text>
        <r>
          <rPr>
            <sz val="9"/>
            <color indexed="81"/>
            <rFont val="宋体"/>
            <family val="2"/>
          </rPr>
          <t>#Input("石化_调度_20万吨∕年聚丙烯装置物料平衡_原料_1",":key{{dw}}")</t>
        </r>
      </text>
    </comment>
    <comment ref="H47" authorId="0">
      <text>
        <r>
          <rPr>
            <sz val="9"/>
            <color indexed="81"/>
            <rFont val="宋体"/>
            <family val="2"/>
          </rPr>
          <t xml:space="preserve">#Input("石化_调度_12万吨∕年MTBE装置物料平衡_C4原料_1",":key{{dw}}")
</t>
        </r>
      </text>
    </comment>
    <comment ref="J47" authorId="0">
      <text>
        <r>
          <rPr>
            <sz val="9"/>
            <color indexed="81"/>
            <rFont val="宋体"/>
            <family val="2"/>
          </rPr>
          <t xml:space="preserve">#Input("石化_调度_12万吨∕年MTBE装置物料平衡_甲醇_1",":key{{dw}}")
</t>
        </r>
      </text>
    </comment>
    <comment ref="L47" authorId="0">
      <text>
        <r>
          <rPr>
            <sz val="9"/>
            <color indexed="81"/>
            <rFont val="宋体"/>
            <family val="2"/>
          </rPr>
          <t xml:space="preserve">#Input("石化_调度_12万吨∕年MTBE装置物料平衡_MTBE产品_1",":key{{dw}}")
</t>
        </r>
      </text>
    </comment>
    <comment ref="P47" authorId="0">
      <text>
        <r>
          <rPr>
            <sz val="9"/>
            <color indexed="81"/>
            <rFont val="宋体"/>
            <family val="2"/>
          </rPr>
          <t xml:space="preserve">#Input("石化_调度_12万吨∕年MTBE装置物料平衡_剩余C4_1",":key{{dw}}")
</t>
        </r>
      </text>
    </comment>
    <comment ref="X47" authorId="0">
      <text>
        <r>
          <rPr>
            <sz val="9"/>
            <color indexed="81"/>
            <rFont val="宋体"/>
            <family val="2"/>
          </rPr>
          <t xml:space="preserve">#Input("石化_调度_双脱装置物料平衡_原料_1",":key{{dw}}")
</t>
        </r>
      </text>
    </comment>
    <comment ref="AB47" authorId="0">
      <text>
        <r>
          <rPr>
            <sz val="9"/>
            <color indexed="81"/>
            <rFont val="宋体"/>
            <family val="2"/>
          </rPr>
          <t xml:space="preserve">#Input("石化_调度_双脱装置物料平衡_精致液化气_1",":key{{dw}}")
</t>
        </r>
      </text>
    </comment>
    <comment ref="AF47" authorId="0">
      <text>
        <r>
          <rPr>
            <sz val="9"/>
            <color indexed="81"/>
            <rFont val="宋体"/>
            <family val="2"/>
          </rPr>
          <t xml:space="preserve">#Input("石化_调度_2万标方/小时制氢_原料_1",":key{{dw}}")
</t>
        </r>
      </text>
    </comment>
    <comment ref="AG47" authorId="0">
      <text>
        <r>
          <rPr>
            <sz val="9"/>
            <color indexed="81"/>
            <rFont val="宋体"/>
            <family val="2"/>
          </rPr>
          <t xml:space="preserve">#Input("石化_调度_2万标方/小时制氢_产品氢_1",":key{{dw}}")
</t>
        </r>
      </text>
    </comment>
    <comment ref="AI47" authorId="0">
      <text>
        <r>
          <rPr>
            <sz val="9"/>
            <color indexed="81"/>
            <rFont val="宋体"/>
            <family val="2"/>
          </rPr>
          <t>#Input("石化_调度_180万吨∕年汽油精制装置物料平衡_原料_1",":key{{dw}}")</t>
        </r>
      </text>
    </comment>
    <comment ref="AJ47" authorId="0">
      <text>
        <r>
          <rPr>
            <sz val="9"/>
            <color indexed="81"/>
            <rFont val="宋体"/>
            <family val="2"/>
          </rPr>
          <t xml:space="preserve">#Input("石化_调度_180万吨∕年汽油精制装置物料平衡_精致汽油_1",":key{{dw}}")
</t>
        </r>
      </text>
    </comment>
    <comment ref="AR47" authorId="0">
      <text>
        <r>
          <rPr>
            <sz val="9"/>
            <color indexed="81"/>
            <rFont val="宋体"/>
            <family val="2"/>
          </rPr>
          <t xml:space="preserve">#Input("石化_调度_空分空压装置_2#液氮储罐液位_16",":key{{dw}}")
</t>
        </r>
      </text>
    </comment>
    <comment ref="AS47" authorId="0">
      <text>
        <r>
          <rPr>
            <sz val="9"/>
            <color indexed="81"/>
            <rFont val="宋体"/>
            <family val="2"/>
          </rPr>
          <t xml:space="preserve">#Input("石化_调度_空分空压装置_2#液氮储罐液位_01",":key{{dw}}")
</t>
        </r>
      </text>
    </comment>
    <comment ref="AT47" authorId="0">
      <text>
        <r>
          <rPr>
            <sz val="9"/>
            <color indexed="81"/>
            <rFont val="宋体"/>
            <family val="2"/>
          </rPr>
          <t xml:space="preserve">#Input("石化_调度_空分空压装置_2#液氮储罐液位_07",":key{{dw}}")
</t>
        </r>
      </text>
    </comment>
    <comment ref="C48" authorId="0">
      <text>
        <r>
          <rPr>
            <sz val="9"/>
            <color indexed="81"/>
            <rFont val="宋体"/>
            <family val="2"/>
          </rPr>
          <t>#Input("石化_调度_20万吨∕年聚丙烯装置物料平衡_原料_8",":key{{dw}}","read")</t>
        </r>
      </text>
    </comment>
    <comment ref="H48" authorId="0">
      <text>
        <r>
          <rPr>
            <sz val="9"/>
            <color indexed="81"/>
            <rFont val="宋体"/>
            <family val="2"/>
          </rPr>
          <t xml:space="preserve">#Input("石化_调度_12万吨∕年MTBE装置物料平衡_C4原料_8",":key{{dw}}")
</t>
        </r>
      </text>
    </comment>
    <comment ref="J48" authorId="0">
      <text>
        <r>
          <rPr>
            <sz val="9"/>
            <color indexed="81"/>
            <rFont val="宋体"/>
            <family val="2"/>
          </rPr>
          <t xml:space="preserve">#Input("石化_调度_12万吨∕年MTBE装置物料平衡_甲醇_8",":key{{dw}}")
</t>
        </r>
      </text>
    </comment>
    <comment ref="L48" authorId="0">
      <text>
        <r>
          <rPr>
            <sz val="9"/>
            <color indexed="81"/>
            <rFont val="宋体"/>
            <family val="2"/>
          </rPr>
          <t xml:space="preserve">#Input("石化_调度_12万吨∕年MTBE装置物料平衡_MTBE产品_8",":key{{dw}}")
</t>
        </r>
      </text>
    </comment>
    <comment ref="P48" authorId="0">
      <text>
        <r>
          <rPr>
            <sz val="9"/>
            <color indexed="81"/>
            <rFont val="宋体"/>
            <family val="2"/>
          </rPr>
          <t xml:space="preserve">#Input("石化_调度_12万吨∕年MTBE装置物料平衡_剩余C4_8",":key{{dw}}")
</t>
        </r>
      </text>
    </comment>
    <comment ref="X48" authorId="0">
      <text>
        <r>
          <rPr>
            <sz val="9"/>
            <color indexed="81"/>
            <rFont val="宋体"/>
            <family val="2"/>
          </rPr>
          <t xml:space="preserve">#Input("石化_调度_双脱装置物料平衡_原料_8",":key{{dw}}")
</t>
        </r>
      </text>
    </comment>
    <comment ref="AB48" authorId="0">
      <text>
        <r>
          <rPr>
            <sz val="9"/>
            <color indexed="81"/>
            <rFont val="宋体"/>
            <family val="2"/>
          </rPr>
          <t xml:space="preserve">#Input("石化_调度_双脱装置物料平衡_精致液化气_8",":key{{dw}}")
</t>
        </r>
      </text>
    </comment>
    <comment ref="AF48" authorId="0">
      <text>
        <r>
          <rPr>
            <sz val="9"/>
            <color indexed="81"/>
            <rFont val="宋体"/>
            <family val="2"/>
          </rPr>
          <t xml:space="preserve">#Input("石化_调度_2万标方/小时制氢_原料_8",":key{{dw}}")
</t>
        </r>
      </text>
    </comment>
    <comment ref="AG48" authorId="0">
      <text>
        <r>
          <rPr>
            <sz val="9"/>
            <color indexed="81"/>
            <rFont val="宋体"/>
            <family val="2"/>
          </rPr>
          <t xml:space="preserve">#Input("石化_调度_2万标方/小时制氢_产品氢_8",":key{{dw}}")
</t>
        </r>
      </text>
    </comment>
    <comment ref="AI48" authorId="0">
      <text>
        <r>
          <rPr>
            <sz val="9"/>
            <color indexed="81"/>
            <rFont val="宋体"/>
            <family val="2"/>
          </rPr>
          <t>#Input("石化_调度_180万吨∕年汽油精制装置物料平衡_原料_8",":key{{dw}}")</t>
        </r>
      </text>
    </comment>
    <comment ref="AJ48" authorId="0">
      <text>
        <r>
          <rPr>
            <sz val="9"/>
            <color indexed="81"/>
            <rFont val="宋体"/>
            <family val="2"/>
          </rPr>
          <t xml:space="preserve">#Input("石化_调度_180万吨∕年汽油精制装置物料平衡_精致汽油_8",":key{{dw}}")
</t>
        </r>
      </text>
    </comment>
    <comment ref="AR48" authorId="0">
      <text>
        <r>
          <rPr>
            <sz val="9"/>
            <color indexed="81"/>
            <rFont val="宋体"/>
            <family val="2"/>
          </rPr>
          <t xml:space="preserve">#Input("石化_调度_空分空压装置_3#液氮储罐液位_16",":key{{dw}}")
</t>
        </r>
      </text>
    </comment>
    <comment ref="AS48" authorId="0">
      <text>
        <r>
          <rPr>
            <sz val="9"/>
            <color indexed="81"/>
            <rFont val="宋体"/>
            <family val="2"/>
          </rPr>
          <t xml:space="preserve">#Input("石化_调度_空分空压装置_3#液氮储罐液位_01",":key{{dw}}")
</t>
        </r>
      </text>
    </comment>
    <comment ref="AT48" authorId="0">
      <text>
        <r>
          <rPr>
            <sz val="9"/>
            <color indexed="81"/>
            <rFont val="宋体"/>
            <family val="2"/>
          </rPr>
          <t xml:space="preserve">#Input("石化_调度_空分空压装置_3#液氮储罐液位_07",":key{{dw}}")
</t>
        </r>
      </text>
    </comment>
    <comment ref="D49" authorId="0">
      <text>
        <r>
          <rPr>
            <sz val="9"/>
            <color indexed="81"/>
            <rFont val="Arial"/>
            <family val="2"/>
          </rPr>
          <t>#Input("石化_调度_20万吨∕年聚丙烯装置物料平衡_聚丙烯_日",":key{{dw}}")</t>
        </r>
      </text>
    </comment>
    <comment ref="AR49" authorId="0">
      <text>
        <r>
          <rPr>
            <sz val="9"/>
            <color indexed="81"/>
            <rFont val="宋体"/>
            <family val="2"/>
          </rPr>
          <t xml:space="preserve">#Input("石化_调度_空分空压装置轻烃_0.7MPa氮气压力_16",":key{{dw}}")
</t>
        </r>
      </text>
    </comment>
    <comment ref="AS49" authorId="0">
      <text>
        <r>
          <rPr>
            <sz val="9"/>
            <color indexed="81"/>
            <rFont val="宋体"/>
            <family val="2"/>
          </rPr>
          <t xml:space="preserve">#Input("石化_调度_空分空压装置轻烃_0.7MPa氮气压力_01",":key{{dw}}")
</t>
        </r>
      </text>
    </comment>
    <comment ref="AT49" authorId="0">
      <text>
        <r>
          <rPr>
            <sz val="9"/>
            <color indexed="81"/>
            <rFont val="宋体"/>
            <family val="2"/>
          </rPr>
          <t xml:space="preserve">#Input("石化_调度_空分空压装置轻烃_0.7MPa氮气压力_07",":key{{dw}}")
</t>
        </r>
      </text>
    </comment>
    <comment ref="D50" authorId="0">
      <text>
        <r>
          <rPr>
            <sz val="9"/>
            <color indexed="81"/>
            <rFont val="Arial"/>
            <family val="2"/>
          </rPr>
          <t>#Input("石化_调度_20万吨∕年聚丙烯装置物料平衡_聚丙烯_累计",":key{{dw}}")</t>
        </r>
      </text>
    </comment>
    <comment ref="AR50" authorId="0">
      <text>
        <r>
          <rPr>
            <sz val="9"/>
            <color indexed="81"/>
            <rFont val="宋体"/>
            <family val="2"/>
          </rPr>
          <t xml:space="preserve">#Input("石化_调度_空分空压装置轻烃_0.7MPa氮气流量_16",":key{{dw}}")
</t>
        </r>
      </text>
    </comment>
    <comment ref="AS50" authorId="0">
      <text>
        <r>
          <rPr>
            <sz val="9"/>
            <color indexed="81"/>
            <rFont val="宋体"/>
            <family val="2"/>
          </rPr>
          <t xml:space="preserve">#Input("石化_调度_空分空压装置轻烃_0.7MPa氮气流量_01",":key{{dw}}")
</t>
        </r>
      </text>
    </comment>
    <comment ref="AT50" authorId="0">
      <text>
        <r>
          <rPr>
            <sz val="9"/>
            <color indexed="81"/>
            <rFont val="宋体"/>
            <family val="2"/>
          </rPr>
          <t xml:space="preserve">#Input("石化_调度_空分空压装置轻烃_0.7MPa氮气流量_07",":key{{dw}}")
</t>
        </r>
      </text>
    </comment>
    <comment ref="AR51" authorId="0">
      <text>
        <r>
          <rPr>
            <sz val="9"/>
            <color indexed="81"/>
            <rFont val="宋体"/>
            <family val="2"/>
          </rPr>
          <t xml:space="preserve">#Input("石化_调度_空分空压装置轻烃_2.5MPa氮气压力_16",":key{{dw}}")
</t>
        </r>
      </text>
    </comment>
    <comment ref="AS51" authorId="0">
      <text>
        <r>
          <rPr>
            <sz val="9"/>
            <color indexed="81"/>
            <rFont val="宋体"/>
            <family val="2"/>
          </rPr>
          <t xml:space="preserve">#Input("石化_调度_空分空压装置轻烃_2.5MPa氮气压力_01",":key{{dw}}")
</t>
        </r>
      </text>
    </comment>
    <comment ref="AT51" authorId="0">
      <text>
        <r>
          <rPr>
            <sz val="9"/>
            <color indexed="81"/>
            <rFont val="宋体"/>
            <family val="2"/>
          </rPr>
          <t xml:space="preserve">#Input("石化_调度_空分空压装置轻烃_2.5MPa氮气压力_07",":key{{dw}}")
</t>
        </r>
      </text>
    </comment>
    <comment ref="AR52" authorId="0">
      <text>
        <r>
          <rPr>
            <sz val="9"/>
            <color indexed="81"/>
            <rFont val="宋体"/>
            <family val="2"/>
          </rPr>
          <t xml:space="preserve">#Input("石化_调度_空分空压装置轻烃_2.5MPa氮气流量_16",":key{{dw}}")
</t>
        </r>
      </text>
    </comment>
    <comment ref="AS52" authorId="0">
      <text>
        <r>
          <rPr>
            <sz val="9"/>
            <color indexed="81"/>
            <rFont val="宋体"/>
            <family val="2"/>
          </rPr>
          <t xml:space="preserve">#Input("石化_调度_空分空压装置轻烃_2.5MPa氮气流量_01",":key{{dw}}")
</t>
        </r>
      </text>
    </comment>
    <comment ref="AT52" authorId="0">
      <text>
        <r>
          <rPr>
            <sz val="9"/>
            <color indexed="81"/>
            <rFont val="宋体"/>
            <family val="2"/>
          </rPr>
          <t xml:space="preserve">#Input("石化_调度_空分空压装置轻烃_2.5MPa氮气流量_07",":key{{dw}}")
</t>
        </r>
      </text>
    </comment>
    <comment ref="AR53" authorId="0">
      <text>
        <r>
          <rPr>
            <sz val="9"/>
            <color indexed="81"/>
            <rFont val="宋体"/>
            <family val="2"/>
          </rPr>
          <t xml:space="preserve">#Input("石化_调度_空分空压装置轻烃_净化风压力_16",":key{{dw}}")
</t>
        </r>
      </text>
    </comment>
    <comment ref="AS53" authorId="0">
      <text>
        <r>
          <rPr>
            <sz val="9"/>
            <color indexed="81"/>
            <rFont val="宋体"/>
            <family val="2"/>
          </rPr>
          <t xml:space="preserve">#Input("石化_调度_空分空压装置轻烃_净化风压力_01",":key{{dw}}")
</t>
        </r>
      </text>
    </comment>
    <comment ref="AT53" authorId="0">
      <text>
        <r>
          <rPr>
            <sz val="9"/>
            <color indexed="81"/>
            <rFont val="宋体"/>
            <family val="2"/>
          </rPr>
          <t xml:space="preserve">#Input("石化_调度_空分空压装置轻烃_净化风压力_07",":key{{dw}}")
</t>
        </r>
      </text>
    </comment>
    <comment ref="AR54" authorId="0">
      <text>
        <r>
          <rPr>
            <sz val="9"/>
            <color indexed="81"/>
            <rFont val="宋体"/>
            <family val="2"/>
          </rPr>
          <t xml:space="preserve">#Input("石化_调度_空分空压装置轻烃_净化风流量_16",":key{{dw}}")
</t>
        </r>
      </text>
    </comment>
    <comment ref="AS54" authorId="0">
      <text>
        <r>
          <rPr>
            <sz val="9"/>
            <color indexed="81"/>
            <rFont val="宋体"/>
            <family val="2"/>
          </rPr>
          <t xml:space="preserve">#Input("石化_调度_空分空压装置轻烃_净化风流量_01",":key{{dw}}")
</t>
        </r>
      </text>
    </comment>
    <comment ref="AT54" authorId="0">
      <text>
        <r>
          <rPr>
            <sz val="9"/>
            <color indexed="81"/>
            <rFont val="宋体"/>
            <family val="2"/>
          </rPr>
          <t xml:space="preserve">#Input("石化_调度_空分空压装置轻烃_净化风流量_07",":key{{dw}}")
</t>
        </r>
      </text>
    </comment>
    <comment ref="C55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#Input("石化_调度_240万吨/年柴油加氢装置物料平衡_原料_16",":key{{dw}}")
</t>
        </r>
      </text>
    </comment>
    <comment ref="E55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#Input("石化_调度_240万吨/年柴油加氢装置物料平衡_精致柴油_16",":key{{dw}}")
</t>
        </r>
      </text>
    </comment>
    <comment ref="I55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#Input("石化_调度_240万吨/年柴油加氢装置物料平衡_粗汽油_16",":key{{dw}}")
</t>
        </r>
      </text>
    </comment>
    <comment ref="M55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#Input("石化_调度_240万吨/年柴油加氢装置物料平衡_富气_16",":key{{dw}}")
</t>
        </r>
      </text>
    </comment>
    <comment ref="Q55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#Input("石化_调度_240万吨/年柴油加氢装置物料平衡_轻烃_16",":key{{dw}}")
</t>
        </r>
      </text>
    </comment>
    <comment ref="Z55" authorId="0">
      <text>
        <r>
          <rPr>
            <sz val="9"/>
            <color indexed="81"/>
            <rFont val="宋体"/>
            <family val="2"/>
          </rPr>
          <t>#Input("石化_调度_20万吨∕年烷基化装置物料平衡_原料_16",":key{{dw}}")</t>
        </r>
      </text>
    </comment>
    <comment ref="AB55" authorId="0">
      <text>
        <r>
          <rPr>
            <sz val="9"/>
            <color indexed="81"/>
            <rFont val="宋体"/>
            <family val="2"/>
          </rPr>
          <t xml:space="preserve">#Input("石化_调度_20万吨∕年烷基化装置物料平衡_烷基化C4_16",":key{{dw}}")
</t>
        </r>
      </text>
    </comment>
    <comment ref="AF55" authorId="0">
      <text>
        <r>
          <rPr>
            <sz val="9"/>
            <color indexed="81"/>
            <rFont val="宋体"/>
            <family val="2"/>
          </rPr>
          <t>#Input("石化_调度_20万吨∕年烷基化装置物料平衡_烷基化油_16",":key{{dw}}")</t>
        </r>
      </text>
    </comment>
    <comment ref="AH55" authorId="0">
      <text>
        <r>
          <rPr>
            <sz val="9"/>
            <color indexed="81"/>
            <rFont val="宋体"/>
            <family val="2"/>
          </rPr>
          <t>#Input("石化_调度_20万吨∕年烷基化装置物料平衡_正丁烷_16",":key{{dw}}")</t>
        </r>
      </text>
    </comment>
    <comment ref="AJ55" authorId="0">
      <text>
        <r>
          <rPr>
            <sz val="9"/>
            <color indexed="81"/>
            <rFont val="宋体"/>
            <family val="2"/>
          </rPr>
          <t>#Input("石化_调度_20万吨∕年烷基化装置物料平衡_预处理碳四_16",":key{{dw}}")</t>
        </r>
      </text>
    </comment>
    <comment ref="AL55" authorId="0">
      <text>
        <r>
          <rPr>
            <sz val="9"/>
            <color indexed="81"/>
            <rFont val="宋体"/>
            <family val="2"/>
          </rPr>
          <t>#Input("石化_调度_20万吨∕年烷基化装置物料平衡_干气_16",":key{{dw}}")</t>
        </r>
      </text>
    </comment>
    <comment ref="AR55" authorId="0">
      <text>
        <r>
          <rPr>
            <sz val="9"/>
            <color indexed="81"/>
            <rFont val="宋体"/>
            <family val="2"/>
          </rPr>
          <t xml:space="preserve">#Input("石化_调度_空分空压装置轻烃_1#液氮储罐液位_16",":key{{dw}}")
</t>
        </r>
      </text>
    </comment>
    <comment ref="AS55" authorId="0">
      <text>
        <r>
          <rPr>
            <sz val="9"/>
            <color indexed="81"/>
            <rFont val="宋体"/>
            <family val="2"/>
          </rPr>
          <t xml:space="preserve">#Input("石化_调度_空分空压装置轻烃_1#液氮储罐液位_01",":key{{dw}}")
</t>
        </r>
      </text>
    </comment>
    <comment ref="AT55" authorId="0">
      <text>
        <r>
          <rPr>
            <sz val="9"/>
            <color indexed="81"/>
            <rFont val="宋体"/>
            <family val="2"/>
          </rPr>
          <t xml:space="preserve">#Input("石化_调度_空分空压装置轻烃_1#液氮储罐液位_07",":key{{dw}}")
</t>
        </r>
      </text>
    </comment>
    <comment ref="C56" authorId="0">
      <text>
        <r>
          <rPr>
            <sz val="9"/>
            <color indexed="81"/>
            <rFont val="宋体"/>
            <family val="2"/>
          </rPr>
          <t>#Input("石化_调度_240万吨/年柴油加氢装置物料平衡_原料_1",":key{{dw}}")</t>
        </r>
      </text>
    </comment>
    <comment ref="E56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#Input("石化_调度_240万吨/年柴油加氢装置物料平衡_精致柴油_1",":key{{dw}}")
</t>
        </r>
      </text>
    </comment>
    <comment ref="I56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#Input("石化_调度_240万吨/年柴油加氢装置物料平衡_粗汽油_1",":key{{dw}}")
</t>
        </r>
      </text>
    </comment>
    <comment ref="M56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#Input("石化_调度_240万吨/年柴油加氢装置物料平衡_富气_1",":key{{dw}}")
</t>
        </r>
      </text>
    </comment>
    <comment ref="Q56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#Input("石化_调度_240万吨/年柴油加氢装置物料平衡_轻烃_1",":key{{dw}}")
</t>
        </r>
      </text>
    </comment>
    <comment ref="Z56" authorId="0">
      <text>
        <r>
          <rPr>
            <sz val="9"/>
            <color indexed="81"/>
            <rFont val="宋体"/>
            <family val="2"/>
          </rPr>
          <t>#Input("石化_调度_20万吨∕年烷基化装置物料平衡_原料_1",":key{{dw}}")</t>
        </r>
      </text>
    </comment>
    <comment ref="AB56" authorId="0">
      <text>
        <r>
          <rPr>
            <sz val="9"/>
            <color indexed="81"/>
            <rFont val="宋体"/>
            <family val="2"/>
          </rPr>
          <t xml:space="preserve">#Input("石化_调度_20万吨∕年烷基化装置物料平衡_烷基化C4_1",":key{{dw}}")
</t>
        </r>
      </text>
    </comment>
    <comment ref="AF56" authorId="0">
      <text>
        <r>
          <rPr>
            <sz val="9"/>
            <color indexed="81"/>
            <rFont val="宋体"/>
            <family val="2"/>
          </rPr>
          <t>#Input("石化_调度_20万吨∕年烷基化装置物料平衡_烷基化油_1",":key{{dw}}")</t>
        </r>
      </text>
    </comment>
    <comment ref="AH56" authorId="0">
      <text>
        <r>
          <rPr>
            <sz val="9"/>
            <color indexed="81"/>
            <rFont val="宋体"/>
            <family val="2"/>
          </rPr>
          <t>#Input("石化_调度_20万吨∕年烷基化装置物料平衡_正丁烷_1",":key{{dw}}")</t>
        </r>
      </text>
    </comment>
    <comment ref="AJ56" authorId="0">
      <text>
        <r>
          <rPr>
            <sz val="9"/>
            <color indexed="81"/>
            <rFont val="宋体"/>
            <family val="2"/>
          </rPr>
          <t>#Input("石化_调度_20万吨∕年烷基化装置物料平衡_预处理碳四_1",":key{{dw}}")</t>
        </r>
      </text>
    </comment>
    <comment ref="AL56" authorId="0">
      <text>
        <r>
          <rPr>
            <sz val="9"/>
            <color indexed="81"/>
            <rFont val="宋体"/>
            <family val="2"/>
          </rPr>
          <t>#Input("石化_调度_20万吨∕年烷基化装置物料平衡_干气_1",":key{{dw}}")</t>
        </r>
      </text>
    </comment>
    <comment ref="AR56" authorId="0">
      <text>
        <r>
          <rPr>
            <sz val="9"/>
            <color indexed="81"/>
            <rFont val="宋体"/>
            <family val="2"/>
          </rPr>
          <t xml:space="preserve">#Input("石化_调度_空分空压装置轻烃_2#液氮储罐液位_16",":key{{dw}}")
</t>
        </r>
      </text>
    </comment>
    <comment ref="AS56" authorId="0">
      <text>
        <r>
          <rPr>
            <sz val="9"/>
            <color indexed="81"/>
            <rFont val="宋体"/>
            <family val="2"/>
          </rPr>
          <t xml:space="preserve">#Input("石化_调度_空分空压装置轻烃_2#液氮储罐液位_01",":key{{dw}}")
</t>
        </r>
      </text>
    </comment>
    <comment ref="AT56" authorId="0">
      <text>
        <r>
          <rPr>
            <sz val="9"/>
            <color indexed="81"/>
            <rFont val="宋体"/>
            <family val="2"/>
          </rPr>
          <t xml:space="preserve">#Input("石化_调度_空分空压装置轻烃_2#液氮储罐液位_07",":key{{dw}}")
</t>
        </r>
      </text>
    </comment>
    <comment ref="C57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#Input("石化_调度_240万吨/年柴油加氢装置物料平衡_原料_8",":key{{dw}}")
</t>
        </r>
      </text>
    </comment>
    <comment ref="E57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#Input("石化_调度_240万吨/年柴油加氢装置物料平衡_精致柴油_8",":key{{dw}}")
</t>
        </r>
      </text>
    </comment>
    <comment ref="I57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#Input("石化_调度_240万吨/年柴油加氢装置物料平衡_粗汽油_8",":key{{dw}}")
</t>
        </r>
      </text>
    </comment>
    <comment ref="M57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#Input("石化_调度_240万吨/年柴油加氢装置物料平衡_富气_8",":key{{dw}}")
</t>
        </r>
      </text>
    </comment>
    <comment ref="Q57" authorId="0">
      <text>
        <r>
          <rPr>
            <sz val="9"/>
            <color indexed="81"/>
            <rFont val="宋体"/>
            <family val="2"/>
          </rPr>
          <t xml:space="preserve">#Input("石化_调度_240万吨/年柴油加氢装置物料平衡_轻烃_8",":key{{dw}}")
</t>
        </r>
      </text>
    </comment>
    <comment ref="Z57" authorId="0">
      <text>
        <r>
          <rPr>
            <sz val="9"/>
            <color indexed="81"/>
            <rFont val="宋体"/>
            <family val="2"/>
          </rPr>
          <t>#Input("石化_调度_20万吨∕年烷基化装置物料平衡_原料_8",":key{{dw}}")</t>
        </r>
      </text>
    </comment>
    <comment ref="AB57" authorId="0">
      <text>
        <r>
          <rPr>
            <sz val="9"/>
            <color indexed="81"/>
            <rFont val="宋体"/>
            <family val="2"/>
          </rPr>
          <t xml:space="preserve">#Input("石化_调度_20万吨∕年烷基化装置物料平衡_烷基化C4_8",":key{{dw}}")
</t>
        </r>
      </text>
    </comment>
    <comment ref="AF57" authorId="0">
      <text>
        <r>
          <rPr>
            <sz val="9"/>
            <color indexed="81"/>
            <rFont val="宋体"/>
            <family val="2"/>
          </rPr>
          <t>#Input("石化_调度_20万吨∕年烷基化装置物料平衡_烷基化油_8",":key{{dw}}")</t>
        </r>
      </text>
    </comment>
    <comment ref="AH57" authorId="0">
      <text>
        <r>
          <rPr>
            <sz val="9"/>
            <color indexed="81"/>
            <rFont val="宋体"/>
            <family val="2"/>
          </rPr>
          <t>#Input("石化_调度_20万吨∕年烷基化装置物料平衡_正丁烷_8",":key{{dw}}")</t>
        </r>
      </text>
    </comment>
    <comment ref="AJ57" authorId="0">
      <text>
        <r>
          <rPr>
            <sz val="9"/>
            <color indexed="81"/>
            <rFont val="宋体"/>
            <family val="2"/>
          </rPr>
          <t>#Input("石化_调度_20万吨∕年烷基化装置物料平衡_预处理碳四_8",":key{{dw}}")</t>
        </r>
      </text>
    </comment>
    <comment ref="AL57" authorId="0">
      <text>
        <r>
          <rPr>
            <sz val="9"/>
            <color indexed="81"/>
            <rFont val="宋体"/>
            <family val="2"/>
          </rPr>
          <t>#Input("石化_调度_20万吨∕年烷基化装置物料平衡_干气_8",":key{{dw}}")</t>
        </r>
      </text>
    </comment>
    <comment ref="AP61" authorId="0">
      <text>
        <r>
          <rPr>
            <sz val="9"/>
            <color indexed="81"/>
            <rFont val="宋体"/>
            <family val="2"/>
          </rPr>
          <t>#Input("石化_调度工艺台账物料平衡_备注",":key{{dw}}")</t>
        </r>
      </text>
    </comment>
    <comment ref="C64" authorId="0">
      <text>
        <r>
          <rPr>
            <sz val="9"/>
            <color indexed="81"/>
            <rFont val="宋体"/>
            <family val="2"/>
          </rPr>
          <t>#Input("石化_调度_30万吨∕年混合脱氢装置物料平衡_丙烷_16",":key{{dw}}")</t>
        </r>
      </text>
    </comment>
    <comment ref="D64" authorId="0">
      <text>
        <r>
          <rPr>
            <sz val="9"/>
            <color indexed="81"/>
            <rFont val="宋体"/>
            <family val="2"/>
          </rPr>
          <t>#Input("石化_调度_30万吨∕年混合脱氢装置物料平衡_烷基化碳四_16",":key{{dw}}")</t>
        </r>
      </text>
    </comment>
    <comment ref="F64" authorId="0">
      <text>
        <r>
          <rPr>
            <sz val="9"/>
            <color indexed="81"/>
            <rFont val="宋体"/>
            <family val="2"/>
          </rPr>
          <t>#Input("石化_调度_30万吨∕年混合脱氢装置物料平衡_醚后碳四_16",":key{{dw}}")</t>
        </r>
      </text>
    </comment>
    <comment ref="H64" authorId="0">
      <text>
        <r>
          <rPr>
            <sz val="9"/>
            <color indexed="81"/>
            <rFont val="宋体"/>
            <family val="2"/>
          </rPr>
          <t>#Input("石化_调度_30万吨∕年混合脱氢装置物料平衡_饱和液化气_16",":key{{dw}}")</t>
        </r>
      </text>
    </comment>
    <comment ref="J64" authorId="0">
      <text>
        <r>
          <rPr>
            <sz val="9"/>
            <color indexed="81"/>
            <rFont val="宋体"/>
            <family val="2"/>
          </rPr>
          <t xml:space="preserve">#Input("石化_调度_30万吨∕年混合脱氢装置物料平衡_丙烯_16",":key{{dw}}")
</t>
        </r>
      </text>
    </comment>
    <comment ref="N64" authorId="0">
      <text>
        <r>
          <rPr>
            <sz val="9"/>
            <color indexed="81"/>
            <rFont val="宋体"/>
            <family val="2"/>
          </rPr>
          <t xml:space="preserve">#Input("石化_调度_30万吨∕年混合脱氢装置物料平衡_正丁烷_16",":key{{dw}}")
</t>
        </r>
      </text>
    </comment>
    <comment ref="R64" authorId="0">
      <text>
        <r>
          <rPr>
            <sz val="9"/>
            <color indexed="81"/>
            <rFont val="宋体"/>
            <family val="2"/>
          </rPr>
          <t xml:space="preserve">#Input("石化_调度_30万吨∕年混合脱氢装置物料平衡_混合脱氢C4_16",":key{{dw}}")
</t>
        </r>
      </text>
    </comment>
    <comment ref="V64" authorId="0">
      <text>
        <r>
          <rPr>
            <sz val="9"/>
            <color indexed="81"/>
            <rFont val="宋体"/>
            <family val="2"/>
          </rPr>
          <t xml:space="preserve">#Input("石化_调度_30万吨∕年混合脱氢装置物料平衡_再生碳四_16",":key{{dw}}")
</t>
        </r>
      </text>
    </comment>
    <comment ref="AD64" authorId="0">
      <text>
        <r>
          <rPr>
            <sz val="9"/>
            <color indexed="81"/>
            <rFont val="宋体"/>
            <family val="2"/>
          </rPr>
          <t xml:space="preserve">#Input("石化_25万吨∕年MTBE装置物料平衡_再生碳四_16",":key{{dw}}")
</t>
        </r>
      </text>
    </comment>
    <comment ref="AF64" authorId="0">
      <text>
        <r>
          <rPr>
            <sz val="9"/>
            <color indexed="81"/>
            <rFont val="宋体"/>
            <family val="2"/>
          </rPr>
          <t xml:space="preserve">#Input("石化_25万吨∕年MTBE装置物料平衡_混合碳四_16",":key{{dw}}")
</t>
        </r>
      </text>
    </comment>
    <comment ref="AG64" authorId="0">
      <text>
        <r>
          <rPr>
            <sz val="9"/>
            <color indexed="81"/>
            <rFont val="宋体"/>
            <family val="2"/>
          </rPr>
          <t xml:space="preserve">#Input("石化_25万吨∕年MTBE装置物料平衡_甲醇_16",":key{{dw}}")
</t>
        </r>
      </text>
    </comment>
    <comment ref="AH64" authorId="0">
      <text>
        <r>
          <rPr>
            <sz val="9"/>
            <color indexed="81"/>
            <rFont val="宋体"/>
            <family val="2"/>
          </rPr>
          <t xml:space="preserve">#Input("石化_25万吨∕年MTBE装置物料平衡_预处理碳四_16",":key{{dw}}")
</t>
        </r>
      </text>
    </comment>
    <comment ref="AI64" authorId="0">
      <text>
        <r>
          <rPr>
            <sz val="9"/>
            <color indexed="81"/>
            <rFont val="宋体"/>
            <family val="2"/>
          </rPr>
          <t xml:space="preserve">#Input("石化_25万吨∕年MTBE装置物料平衡_MTBE_16",":key{{dw}}")
</t>
        </r>
      </text>
    </comment>
    <comment ref="AL64" authorId="0">
      <text>
        <r>
          <rPr>
            <sz val="9"/>
            <color indexed="81"/>
            <rFont val="宋体"/>
            <family val="2"/>
          </rPr>
          <t>#Input("石化_25万吨∕年MTBE装置物料平衡_MTBE醚后C4_16",":key{{dw}}")</t>
        </r>
      </text>
    </comment>
    <comment ref="C65" authorId="0">
      <text>
        <r>
          <rPr>
            <sz val="9"/>
            <color indexed="81"/>
            <rFont val="宋体"/>
            <family val="2"/>
          </rPr>
          <t>#Input("石化_调度_30万吨∕年混合脱氢装置物料平衡_丙烷_1",":key{{dw}}")</t>
        </r>
      </text>
    </comment>
    <comment ref="D65" authorId="0">
      <text>
        <r>
          <rPr>
            <sz val="9"/>
            <color indexed="81"/>
            <rFont val="宋体"/>
            <family val="2"/>
          </rPr>
          <t>#Input("石化_调度_30万吨∕年混合脱氢装置物料平衡_烷基化碳四_1",":key{{dw}}")</t>
        </r>
      </text>
    </comment>
    <comment ref="F65" authorId="0">
      <text>
        <r>
          <rPr>
            <sz val="9"/>
            <color indexed="81"/>
            <rFont val="宋体"/>
            <family val="2"/>
          </rPr>
          <t>#Input("石化_调度_30万吨∕年混合脱氢装置物料平衡_醚后碳四_1",":key{{dw}}")</t>
        </r>
      </text>
    </comment>
    <comment ref="H65" authorId="0">
      <text>
        <r>
          <rPr>
            <sz val="9"/>
            <color indexed="81"/>
            <rFont val="宋体"/>
            <family val="2"/>
          </rPr>
          <t>#Input("石化_调度_30万吨∕年混合脱氢装置物料平衡_饱和液化气_1",":key{{dw}}")</t>
        </r>
      </text>
    </comment>
    <comment ref="J65" authorId="0">
      <text>
        <r>
          <rPr>
            <sz val="9"/>
            <color indexed="81"/>
            <rFont val="宋体"/>
            <family val="2"/>
          </rPr>
          <t xml:space="preserve">#Input("石化_调度_30万吨∕年混合脱氢装置物料平衡_丙烯_1",":key{{dw}}")
</t>
        </r>
      </text>
    </comment>
    <comment ref="N65" authorId="0">
      <text>
        <r>
          <rPr>
            <sz val="9"/>
            <color indexed="81"/>
            <rFont val="宋体"/>
            <family val="2"/>
          </rPr>
          <t xml:space="preserve">#Input("石化_调度_30万吨∕年混合脱氢装置物料平衡_正丁烷_1",":key{{dw}}")
</t>
        </r>
      </text>
    </comment>
    <comment ref="R65" authorId="0">
      <text>
        <r>
          <rPr>
            <sz val="9"/>
            <color indexed="81"/>
            <rFont val="宋体"/>
            <family val="2"/>
          </rPr>
          <t xml:space="preserve">#Input("石化_调度_30万吨∕年混合脱氢装置物料平衡_混合脱氢C4_1",":key{{dw}}")
</t>
        </r>
      </text>
    </comment>
    <comment ref="V65" authorId="0">
      <text>
        <r>
          <rPr>
            <sz val="9"/>
            <color indexed="81"/>
            <rFont val="宋体"/>
            <family val="2"/>
          </rPr>
          <t xml:space="preserve">#Input("石化_调度_30万吨∕年混合脱氢装置物料平衡_再生碳四_1",":key{{dw}}")
</t>
        </r>
      </text>
    </comment>
    <comment ref="AD65" authorId="0">
      <text>
        <r>
          <rPr>
            <sz val="9"/>
            <color indexed="81"/>
            <rFont val="宋体"/>
            <family val="2"/>
          </rPr>
          <t xml:space="preserve">#Input("石化_25万吨∕年MTBE装置物料平衡_再生碳四_1",":key{{dw}}")
</t>
        </r>
      </text>
    </comment>
    <comment ref="AF65" authorId="0">
      <text>
        <r>
          <rPr>
            <sz val="9"/>
            <color indexed="81"/>
            <rFont val="宋体"/>
            <family val="2"/>
          </rPr>
          <t xml:space="preserve">#Input("石化_25万吨∕年MTBE装置物料平衡_混合碳四_1",":key{{dw}}")
</t>
        </r>
      </text>
    </comment>
    <comment ref="AG65" authorId="0">
      <text>
        <r>
          <rPr>
            <sz val="9"/>
            <color indexed="81"/>
            <rFont val="宋体"/>
            <family val="2"/>
          </rPr>
          <t xml:space="preserve">#Input("石化_25万吨∕年MTBE装置物料平衡_甲醇_1",":key{{dw}}")
</t>
        </r>
      </text>
    </comment>
    <comment ref="AH65" authorId="0">
      <text>
        <r>
          <rPr>
            <sz val="9"/>
            <color indexed="81"/>
            <rFont val="宋体"/>
            <family val="2"/>
          </rPr>
          <t xml:space="preserve">#Input("石化_25万吨∕年MTBE装置物料平衡_预处理碳四_1",":key{{dw}}")
</t>
        </r>
      </text>
    </comment>
    <comment ref="AI65" authorId="0">
      <text>
        <r>
          <rPr>
            <sz val="9"/>
            <color indexed="81"/>
            <rFont val="宋体"/>
            <family val="2"/>
          </rPr>
          <t xml:space="preserve">#Input("石化_25万吨∕年MTBE装置物料平衡_MTBE_1",":key{{dw}}")
</t>
        </r>
      </text>
    </comment>
    <comment ref="AL65" authorId="0">
      <text>
        <r>
          <rPr>
            <sz val="9"/>
            <color indexed="81"/>
            <rFont val="宋体"/>
            <family val="2"/>
          </rPr>
          <t>#Input("石化_25万吨∕年MTBE装置物料平衡_MTBE醚后C4_1",":key{{dw}}")</t>
        </r>
      </text>
    </comment>
    <comment ref="C66" authorId="0">
      <text>
        <r>
          <rPr>
            <sz val="9"/>
            <color indexed="81"/>
            <rFont val="宋体"/>
            <family val="2"/>
          </rPr>
          <t>#Input("石化_调度_30万吨∕年混合脱氢装置物料平衡_丙烷_8",":key{{dw}}")</t>
        </r>
      </text>
    </comment>
    <comment ref="D66" authorId="0">
      <text>
        <r>
          <rPr>
            <sz val="9"/>
            <color indexed="81"/>
            <rFont val="宋体"/>
            <family val="2"/>
          </rPr>
          <t>#Input("石化_调度_30万吨∕年混合脱氢装置物料平衡_烷基化碳四_8",":key{{dw}}")</t>
        </r>
      </text>
    </comment>
    <comment ref="F66" authorId="0">
      <text>
        <r>
          <rPr>
            <sz val="9"/>
            <color indexed="81"/>
            <rFont val="宋体"/>
            <family val="2"/>
          </rPr>
          <t>#Input("石化_调度_30万吨∕年混合脱氢装置物料平衡_醚后碳四_8",":key{{dw}}")</t>
        </r>
      </text>
    </comment>
    <comment ref="H66" authorId="0">
      <text>
        <r>
          <rPr>
            <sz val="9"/>
            <color indexed="81"/>
            <rFont val="宋体"/>
            <family val="2"/>
          </rPr>
          <t>#Input("石化_调度_30万吨∕年混合脱氢装置物料平衡_饱和液化气_8",":key{{dw}}")</t>
        </r>
      </text>
    </comment>
    <comment ref="J66" authorId="0">
      <text>
        <r>
          <rPr>
            <sz val="9"/>
            <color indexed="81"/>
            <rFont val="宋体"/>
            <family val="2"/>
          </rPr>
          <t xml:space="preserve">#Input("石化_调度_30万吨∕年混合脱氢装置物料平衡_丙烯_8",":key{{dw}}")
</t>
        </r>
      </text>
    </comment>
    <comment ref="N66" authorId="0">
      <text>
        <r>
          <rPr>
            <sz val="9"/>
            <color indexed="81"/>
            <rFont val="宋体"/>
            <family val="2"/>
          </rPr>
          <t xml:space="preserve">#Input("石化_调度_30万吨∕年混合脱氢装置物料平衡_正丁烷_8",":key{{dw}}")
</t>
        </r>
      </text>
    </comment>
    <comment ref="R66" authorId="0">
      <text>
        <r>
          <rPr>
            <sz val="9"/>
            <color indexed="81"/>
            <rFont val="宋体"/>
            <family val="2"/>
          </rPr>
          <t xml:space="preserve">#Input("石化_调度_30万吨∕年混合脱氢装置物料平衡_混合脱氢C4_8",":key{{dw}}")
</t>
        </r>
      </text>
    </comment>
    <comment ref="V66" authorId="0">
      <text>
        <r>
          <rPr>
            <sz val="9"/>
            <color indexed="81"/>
            <rFont val="宋体"/>
            <family val="2"/>
          </rPr>
          <t xml:space="preserve">#Input("石化_调度_30万吨∕年混合脱氢装置物料平衡_再生碳四_8",":key{{dw}}")
</t>
        </r>
      </text>
    </comment>
    <comment ref="AD66" authorId="0">
      <text>
        <r>
          <rPr>
            <sz val="9"/>
            <color indexed="81"/>
            <rFont val="宋体"/>
            <family val="2"/>
          </rPr>
          <t xml:space="preserve">#Input("石化_25万吨∕年MTBE装置物料平衡_再生碳四_8",":key{{dw}}")
</t>
        </r>
      </text>
    </comment>
    <comment ref="AF66" authorId="0">
      <text>
        <r>
          <rPr>
            <sz val="9"/>
            <color indexed="81"/>
            <rFont val="宋体"/>
            <family val="2"/>
          </rPr>
          <t xml:space="preserve">#Input("石化_25万吨∕年MTBE装置物料平衡_混合碳四_8",":key{{dw}}")
</t>
        </r>
      </text>
    </comment>
    <comment ref="AG66" authorId="0">
      <text>
        <r>
          <rPr>
            <sz val="9"/>
            <color indexed="81"/>
            <rFont val="宋体"/>
            <family val="2"/>
          </rPr>
          <t xml:space="preserve">#Input("石化_25万吨∕年MTBE装置物料平衡_甲醇_8",":key{{dw}}")
</t>
        </r>
      </text>
    </comment>
    <comment ref="AH66" authorId="0">
      <text>
        <r>
          <rPr>
            <sz val="9"/>
            <color indexed="81"/>
            <rFont val="宋体"/>
            <family val="2"/>
          </rPr>
          <t xml:space="preserve">#Input("石化_25万吨∕年MTBE装置物料平衡_再生碳四_8",":key{{dw}}")
</t>
        </r>
      </text>
    </comment>
    <comment ref="AI66" authorId="0">
      <text>
        <r>
          <rPr>
            <sz val="9"/>
            <color indexed="81"/>
            <rFont val="宋体"/>
            <family val="2"/>
          </rPr>
          <t xml:space="preserve">#Input("石化_25万吨∕年MTBE装置物料平衡_MTBE_8",":key{{dw}}")
</t>
        </r>
      </text>
    </comment>
    <comment ref="AL66" authorId="0">
      <text>
        <r>
          <rPr>
            <sz val="9"/>
            <color indexed="81"/>
            <rFont val="宋体"/>
            <family val="2"/>
          </rPr>
          <t>#Input("石化_25万吨∕年MTBE装置物料平衡_MTBE醚后C4_8",":key{{dw}}")</t>
        </r>
      </text>
    </comment>
    <comment ref="M69" authorId="0">
      <text>
        <r>
          <rPr>
            <sz val="9"/>
            <color indexed="81"/>
            <rFont val="宋体"/>
            <family val="2"/>
          </rPr>
          <t>#Input("石化_调度_物料平衡台账_备注_8点接班人",":key{{dw}}")</t>
        </r>
      </text>
    </comment>
    <comment ref="W69" authorId="0">
      <text>
        <r>
          <rPr>
            <b/>
            <sz val="9"/>
            <color indexed="81"/>
            <rFont val="宋体"/>
            <family val="2"/>
          </rPr>
          <t>#Input("石化_调度_物料平衡台账_备注_8点交班人",":key{{dw}}")</t>
        </r>
      </text>
    </comment>
    <comment ref="AH69" authorId="0">
      <text>
        <r>
          <rPr>
            <b/>
            <sz val="9"/>
            <color indexed="81"/>
            <rFont val="宋体"/>
            <family val="2"/>
          </rPr>
          <t>#Input("石化_调度_物料平衡台账_备注_20点接班人",":key{{dw}}")</t>
        </r>
      </text>
    </comment>
    <comment ref="AN69" authorId="0">
      <text>
        <r>
          <rPr>
            <b/>
            <sz val="9"/>
            <color indexed="81"/>
            <rFont val="宋体"/>
            <family val="2"/>
          </rPr>
          <t>#Input("石化_调度_物料平衡台账_备注_20点交班人",":key{{dw}}")</t>
        </r>
      </text>
    </comment>
  </commentList>
</comments>
</file>

<file path=xl/sharedStrings.xml><?xml version="1.0" encoding="utf-8"?>
<sst xmlns="http://schemas.openxmlformats.org/spreadsheetml/2006/main" count="785" uniqueCount="215">
  <si>
    <t>陕西延长石油（集团）有限责任公司延安石油化工厂调度工艺物料平衡台账</t>
  </si>
  <si>
    <t>日期</t>
  </si>
  <si>
    <t>2026-01-06</t>
  </si>
  <si>
    <t xml:space="preserve">                                                                                时间                                                                              项目</t>
  </si>
  <si>
    <t xml:space="preserve">                               时间                                                                 项目</t>
  </si>
  <si>
    <t xml:space="preserve">                                            时间                                                                       项目</t>
  </si>
  <si>
    <t xml:space="preserve">                                      时间                 项目</t>
  </si>
  <si>
    <t xml:space="preserve">                                          时间                                                                项目</t>
  </si>
  <si>
    <t xml:space="preserve">                                    时间                                         项目                                                                           </t>
  </si>
  <si>
    <t>120万吨/年重整装置</t>
  </si>
  <si>
    <t>预加氢系统压降Mpa</t>
  </si>
  <si>
    <t>20万吨/年苯抽提装置</t>
  </si>
  <si>
    <t>抽提塔(C-101)顶温度℃</t>
  </si>
  <si>
    <t>12万吨/年MTBE装置</t>
  </si>
  <si>
    <t>反应器床层温度℃</t>
  </si>
  <si>
    <t>20万吨/年烷基化装置</t>
  </si>
  <si>
    <t>加氢反应器(R-101)压力Mpa</t>
  </si>
  <si>
    <t>30万吨/年丙烷/异丁烷混合脱氢装置</t>
  </si>
  <si>
    <t>脱氢反应器R-101入口压力Mpa</t>
  </si>
  <si>
    <t>75吨/小时1#锅炉</t>
  </si>
  <si>
    <t>炉膛温度℃</t>
  </si>
  <si>
    <t>蒸发塔(C-101)顶压力Mpa</t>
  </si>
  <si>
    <t>抽提塔(C-101)底温度℃</t>
  </si>
  <si>
    <t>反应器操作压力Mpa</t>
  </si>
  <si>
    <t>加氢反应器(R-101)入口温度℃</t>
  </si>
  <si>
    <t>脱氢反应器R-102温度℃</t>
  </si>
  <si>
    <t>蒸汽压力MPa</t>
  </si>
  <si>
    <t>一反(R-201)入口温度℃</t>
  </si>
  <si>
    <t>抽提塔(C-101)顶压力Mpa</t>
  </si>
  <si>
    <t>催化蒸馏塔顶温度℃</t>
  </si>
  <si>
    <t>反应器（R-201）顶压力Mpa</t>
  </si>
  <si>
    <t>脱氢反应器R-103温度℃</t>
  </si>
  <si>
    <t>蒸汽温度℃</t>
  </si>
  <si>
    <t>四反(R-204)入口温度℃</t>
  </si>
  <si>
    <t>溶剂回收塔(C-102)顶温度℃</t>
  </si>
  <si>
    <t>催化蒸馏塔底温度℃</t>
  </si>
  <si>
    <t>反应器（R-201）下部Q点压力Mpa</t>
  </si>
  <si>
    <t>再生器R-401温度℃</t>
  </si>
  <si>
    <r>
      <t>蒸汽流量M</t>
    </r>
    <r>
      <rPr>
        <b/>
        <charset val="134"/>
        <color theme="1"/>
        <family val="3"/>
        <rFont val="等线"/>
        <sz val="11"/>
        <vertAlign val="superscript"/>
      </rPr>
      <t>3</t>
    </r>
    <r>
      <rPr>
        <b/>
        <charset val="134"/>
        <color theme="1"/>
        <family val="3"/>
        <rFont val="等线"/>
        <sz val="11"/>
      </rPr>
      <t>/H</t>
    </r>
  </si>
  <si>
    <t>产物分离罐（D-201)压力Mpa</t>
  </si>
  <si>
    <t>溶剂回收塔(C-102)底温度℃</t>
  </si>
  <si>
    <t>催化蒸馏塔顶压力Mpa</t>
  </si>
  <si>
    <t>反应器（R-201）进料温度℃</t>
  </si>
  <si>
    <t>T-201丙/丙分离塔压力Mpa</t>
  </si>
  <si>
    <t>75吨/小时2#锅炉</t>
  </si>
  <si>
    <t>烧焦区(R-301)入口温度℃</t>
  </si>
  <si>
    <t>溶剂回收塔(C-102)顶压力Mpa</t>
  </si>
  <si>
    <t>萃取塔操作温度℃</t>
  </si>
  <si>
    <t>反应器（R-201）压差Mpa</t>
  </si>
  <si>
    <t>干燥区(R-301)入口温度℃</t>
  </si>
  <si>
    <t>60万吨/年气体分馏装置</t>
  </si>
  <si>
    <t>脱丙烷塔(C-101)顶温度℃</t>
  </si>
  <si>
    <t>萃取塔顶压力Mpa</t>
  </si>
  <si>
    <t>压缩机（C-301）一段吸气压力Mpa</t>
  </si>
  <si>
    <t>再生器(R-301)压力Mpa</t>
  </si>
  <si>
    <t>脱丙烷塔(C-101)顶压力Mpa</t>
  </si>
  <si>
    <t>240万吨/年柴油精制装置</t>
  </si>
  <si>
    <t>反应器（R-101）入口温度℃</t>
  </si>
  <si>
    <t>压缩机（C-301）一段入口流量m3/h</t>
  </si>
  <si>
    <t>140万吨/年柴油加氢装置</t>
  </si>
  <si>
    <t>加氢反应器(R-101)温度℃</t>
  </si>
  <si>
    <t>脱乙烷塔(C-102)顶温度℃</t>
  </si>
  <si>
    <t>反应器（R-101）压力Mpa</t>
  </si>
  <si>
    <t>汽轮机（ST-301）进气流量kg/h</t>
  </si>
  <si>
    <t>75吨/小时3#锅炉</t>
  </si>
  <si>
    <t>高压分离罐(D-103)压力Mpa</t>
  </si>
  <si>
    <t>脱乙烷塔(C-102)顶压力Mpa</t>
  </si>
  <si>
    <t>冷高分罐（D-105）压力Mpa</t>
  </si>
  <si>
    <t>25万吨/年MTBE装置物料平衡</t>
  </si>
  <si>
    <t>第一醚化反应器操作温度℃</t>
  </si>
  <si>
    <t>汽提塔(C-201)顶温度℃</t>
  </si>
  <si>
    <t>丙烯塔(C-104)顶温度℃</t>
  </si>
  <si>
    <t>脱硫化氢汽提塔（C-201）顶温度℃</t>
  </si>
  <si>
    <t>第一醚化反应器操作压力Mpa</t>
  </si>
  <si>
    <t>分馏塔(C-202)顶温度℃</t>
  </si>
  <si>
    <t>20万吨/年聚丙烯装置</t>
  </si>
  <si>
    <t>预聚合反应器（R-200）温度℃</t>
  </si>
  <si>
    <t>脱硫化氢汽提塔（C-201）底温度℃</t>
  </si>
  <si>
    <t>第二醚化反应器操作温度℃</t>
  </si>
  <si>
    <t>分馏塔(C-202)底温度℃</t>
  </si>
  <si>
    <t>预聚合反应器（R-200）压力Mpa</t>
  </si>
  <si>
    <t>脱硫化氢汽提塔（C-201）压力Mpa</t>
  </si>
  <si>
    <t>第二醚化反应器操作压力Mpa</t>
  </si>
  <si>
    <t>75吨/小时4#锅炉</t>
  </si>
  <si>
    <t>180万吨/年汽油精制装置</t>
  </si>
  <si>
    <t>反应器（R-101）进口温度℃</t>
  </si>
  <si>
    <t>第一环管反应器（R-201）温度℃</t>
  </si>
  <si>
    <t>第三醚化反应器操作温度℃</t>
  </si>
  <si>
    <t>第一环管反应器（R-201）压力Mpa</t>
  </si>
  <si>
    <t>第三醚化反应器操作压力Mpa</t>
  </si>
  <si>
    <t>再生器（R-102）温度℃</t>
  </si>
  <si>
    <t>第二环管反应器（R-202）温度℃</t>
  </si>
  <si>
    <t>催化蒸馏塔温度℃</t>
  </si>
  <si>
    <t>再生器（R-102）压力Mpa</t>
  </si>
  <si>
    <t>第二环管反应器（R-202）压力mpa</t>
  </si>
  <si>
    <t>催化蒸馏塔压力Mpa</t>
  </si>
  <si>
    <t>110吨/小时1#锅炉</t>
  </si>
  <si>
    <t>稳定塔（C-201）底温℃</t>
  </si>
  <si>
    <t>预接触罐（D-201)压力Mpa</t>
  </si>
  <si>
    <t>甲醇萃取塔顶温度℃</t>
  </si>
  <si>
    <t xml:space="preserve">         项目 
  时间</t>
  </si>
  <si>
    <t>120万吨∕年重整装置物料平衡</t>
  </si>
  <si>
    <t>140万吨∕年柴油加氢装置物料平衡</t>
  </si>
  <si>
    <t>原料</t>
  </si>
  <si>
    <t>重整汽油</t>
  </si>
  <si>
    <r>
      <t>C</t>
    </r>
    <r>
      <rPr>
        <b/>
        <charset val="134"/>
        <family val="3"/>
        <rFont val="等线"/>
        <sz val="11"/>
        <vertAlign val="subscript"/>
      </rPr>
      <t>6</t>
    </r>
    <r>
      <rPr>
        <b/>
        <charset val="134"/>
        <family val="3"/>
        <rFont val="等线"/>
        <sz val="11"/>
      </rPr>
      <t>-馏分</t>
    </r>
  </si>
  <si>
    <t>轻汽油</t>
  </si>
  <si>
    <t>液化气</t>
  </si>
  <si>
    <t>轻  油</t>
  </si>
  <si>
    <t>燃料气+损失</t>
  </si>
  <si>
    <t xml:space="preserve">  原料</t>
  </si>
  <si>
    <t>加氢柴油</t>
  </si>
  <si>
    <t>粗汽油</t>
  </si>
  <si>
    <t>110吨/小时2#锅炉</t>
  </si>
  <si>
    <t>T</t>
  </si>
  <si>
    <t>%</t>
  </si>
  <si>
    <t>8—16</t>
  </si>
  <si>
    <t>16—1</t>
  </si>
  <si>
    <t>1—8</t>
  </si>
  <si>
    <t>110吨/小时3#锅炉</t>
  </si>
  <si>
    <t>合计</t>
  </si>
  <si>
    <t>累计</t>
  </si>
  <si>
    <t>60万吨∕年气分装置物料平衡</t>
  </si>
  <si>
    <t>20万吨∕年苯抽提装置物料平衡</t>
  </si>
  <si>
    <t>本部空分空压</t>
  </si>
  <si>
    <t>工业风压力MPa</t>
  </si>
  <si>
    <t xml:space="preserve">   原料</t>
  </si>
  <si>
    <t>丙烯</t>
  </si>
  <si>
    <t>丙烷</t>
  </si>
  <si>
    <t>C4馏分</t>
  </si>
  <si>
    <t>戊烷</t>
  </si>
  <si>
    <t>产品</t>
  </si>
  <si>
    <t>苯</t>
  </si>
  <si>
    <t>抽余油</t>
  </si>
  <si>
    <t>产  品</t>
  </si>
  <si>
    <t>损失</t>
  </si>
  <si>
    <t>仪表风压力MPa</t>
  </si>
  <si>
    <t>0.7MPa氮气压力MPa</t>
  </si>
  <si>
    <t>0.85MPa氮气压力MPa</t>
  </si>
  <si>
    <t>2.5MPa氮气压力MPa</t>
  </si>
  <si>
    <t>净化风事故储罐压力MPa</t>
  </si>
  <si>
    <t>氮气事故储罐压力MPa</t>
  </si>
  <si>
    <r>
      <t>0.7MPa氮气流量NM</t>
    </r>
    <r>
      <rPr>
        <b/>
        <charset val="134"/>
        <color theme="1"/>
        <family val="3"/>
        <rFont val="等线"/>
        <sz val="11"/>
        <vertAlign val="superscript"/>
      </rPr>
      <t>3</t>
    </r>
    <r>
      <rPr>
        <b/>
        <charset val="134"/>
        <color theme="1"/>
        <family val="3"/>
        <rFont val="等线"/>
        <sz val="11"/>
      </rPr>
      <t>/h</t>
    </r>
  </si>
  <si>
    <t>20万吨∕年聚丙烯装置物料平衡</t>
  </si>
  <si>
    <t>12万吨∕年MTBE装置物料平衡</t>
  </si>
  <si>
    <t>双脱装置物料平衡</t>
  </si>
  <si>
    <t>2万标方/小时制氢</t>
  </si>
  <si>
    <t>180万吨∕年汽油精制装置物料平衡</t>
  </si>
  <si>
    <r>
      <t>0.85MPa氮气流量NM</t>
    </r>
    <r>
      <rPr>
        <b/>
        <charset val="134"/>
        <color theme="1"/>
        <family val="3"/>
        <rFont val="等线"/>
        <sz val="11"/>
        <vertAlign val="superscript"/>
      </rPr>
      <t>3</t>
    </r>
    <r>
      <rPr>
        <b/>
        <charset val="134"/>
        <color theme="1"/>
        <family val="3"/>
        <rFont val="等线"/>
        <sz val="11"/>
      </rPr>
      <t>/h</t>
    </r>
  </si>
  <si>
    <r>
      <t>2.5MPa氮气流量NM</t>
    </r>
    <r>
      <rPr>
        <b/>
        <charset val="134"/>
        <color theme="1"/>
        <family val="3"/>
        <rFont val="等线"/>
        <sz val="11"/>
        <vertAlign val="superscript"/>
      </rPr>
      <t>3</t>
    </r>
    <r>
      <rPr>
        <b/>
        <charset val="134"/>
        <color theme="1"/>
        <family val="3"/>
        <rFont val="等线"/>
        <sz val="11"/>
      </rPr>
      <t>/h</t>
    </r>
  </si>
  <si>
    <t>聚丙烯</t>
  </si>
  <si>
    <t xml:space="preserve">  C4原料</t>
  </si>
  <si>
    <t>甲醇</t>
  </si>
  <si>
    <t>MTBE产品</t>
  </si>
  <si>
    <r>
      <t>剩余C</t>
    </r>
    <r>
      <rPr>
        <b/>
        <charset val="134"/>
        <family val="3"/>
        <rFont val="等线"/>
        <sz val="11"/>
        <vertAlign val="subscript"/>
      </rPr>
      <t>4</t>
    </r>
  </si>
  <si>
    <t xml:space="preserve"> 原 料</t>
  </si>
  <si>
    <t>精制液化气</t>
  </si>
  <si>
    <t>产品氢</t>
  </si>
  <si>
    <t>精制汽油</t>
  </si>
  <si>
    <r>
      <t>工业风流量NM</t>
    </r>
    <r>
      <rPr>
        <b/>
        <charset val="134"/>
        <color theme="1"/>
        <family val="3"/>
        <rFont val="等线"/>
        <sz val="11"/>
        <vertAlign val="superscript"/>
      </rPr>
      <t>3</t>
    </r>
    <r>
      <rPr>
        <b/>
        <charset val="134"/>
        <color theme="1"/>
        <family val="3"/>
        <rFont val="等线"/>
        <sz val="11"/>
      </rPr>
      <t>/h</t>
    </r>
  </si>
  <si>
    <t xml:space="preserve"> T</t>
  </si>
  <si>
    <t xml:space="preserve">   %</t>
  </si>
  <si>
    <r>
      <t>仪表风流量NM</t>
    </r>
    <r>
      <rPr>
        <b/>
        <charset val="134"/>
        <color theme="1"/>
        <family val="3"/>
        <rFont val="等线"/>
        <sz val="11"/>
        <vertAlign val="superscript"/>
      </rPr>
      <t>3</t>
    </r>
    <r>
      <rPr>
        <b/>
        <charset val="134"/>
        <color theme="1"/>
        <family val="3"/>
        <rFont val="等线"/>
        <sz val="11"/>
      </rPr>
      <t>/h</t>
    </r>
  </si>
  <si>
    <t>1#液氮罐液位M</t>
  </si>
  <si>
    <t>2#液氮罐液位M</t>
  </si>
  <si>
    <t>3#液氮罐液位M</t>
  </si>
  <si>
    <t>轻烃空分空压</t>
  </si>
  <si>
    <t>0.7MPa氮气压力Mpa</t>
  </si>
  <si>
    <t>0.7MPa氮气流量NM3∕h</t>
  </si>
  <si>
    <t>240万吨/年柴油加氢装置物料平衡</t>
  </si>
  <si>
    <t>20万吨∕年烷基化装置物料平衡</t>
  </si>
  <si>
    <t>2.5MPa氮气压力Mpa</t>
  </si>
  <si>
    <t>2.5MPa氮气流量NM3∕h</t>
  </si>
  <si>
    <t xml:space="preserve"> 原料</t>
  </si>
  <si>
    <t>精制柴油</t>
  </si>
  <si>
    <t>富  气</t>
  </si>
  <si>
    <t>轻  烃</t>
  </si>
  <si>
    <t>烷基化C4</t>
  </si>
  <si>
    <t>烷基化油</t>
  </si>
  <si>
    <t>正丁烷</t>
  </si>
  <si>
    <t>预处理碳四</t>
  </si>
  <si>
    <t>干气</t>
  </si>
  <si>
    <t>净化风压力Mpa</t>
  </si>
  <si>
    <t>净化风流量NM3∕h</t>
  </si>
  <si>
    <t>1#液氮储罐液位％</t>
  </si>
  <si>
    <t>2#液氮储罐液位％</t>
  </si>
  <si>
    <t xml:space="preserve">   30万吨∕年混合脱氢装置物料平衡</t>
  </si>
  <si>
    <t>25万吨∕年MTBE装置物料平衡</t>
  </si>
  <si>
    <t>备注</t>
  </si>
  <si>
    <t>烷基化碳四</t>
  </si>
  <si>
    <t>醚后碳四</t>
  </si>
  <si>
    <t>饱和液化气</t>
  </si>
  <si>
    <t>富异丁烯</t>
  </si>
  <si>
    <t xml:space="preserve">  再生碳四        </t>
  </si>
  <si>
    <t>再生碳四</t>
  </si>
  <si>
    <t>混合碳四</t>
  </si>
  <si>
    <t>MTBE</t>
  </si>
  <si>
    <t>MTBE醚后C4</t>
  </si>
  <si>
    <t>8:00-20:00</t>
  </si>
  <si>
    <t>接班人</t>
  </si>
  <si>
    <t>王斌</t>
  </si>
  <si>
    <t>交班人</t>
  </si>
  <si>
    <t>20:00-8:00</t>
  </si>
  <si>
    <t>赵康辉</t>
  </si>
  <si>
    <t>16—8</t>
  </si>
  <si>
    <t/>
  </si>
  <si>
    <t>氢气</t>
  </si>
  <si>
    <t>报出日期:</t>
  </si>
  <si>
    <t>2026-01-07</t>
  </si>
  <si>
    <t>吸收脱吸塔(C-203)顶温度℃</t>
  </si>
  <si>
    <t>吸收脱吸塔(C-203)底温度℃</t>
  </si>
  <si>
    <t>吸收脱吸塔(C-203)顶压力Mpa</t>
  </si>
  <si>
    <t>稳定塔(C-204)顶温度℃</t>
  </si>
  <si>
    <t>稳定塔(C-204)顶压力Mpa</t>
  </si>
  <si>
    <t>稳定塔（C-201）压力Mpa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</si>
</sst>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.0%"/>
    <numFmt numFmtId="172" formatCode="0_ "/>
    <numFmt numFmtId="173" formatCode="0_);[Red]\(0\)"/>
    <numFmt numFmtId="174" formatCode="h:mm;@"/>
    <numFmt numFmtId="175" formatCode="0;\-0"/>
    <numFmt numFmtId="176" formatCode="0.00;-0.00"/>
    <numFmt numFmtId="177" formatCode="0;-0"/>
  </numFmts>
  <fonts count="27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auto="1"/>
      <name val="等线"/>
    </font>
    <font>
      <sz val="11"/>
      <color theme="1"/>
      <name val="等线"/>
    </font>
    <font>
      <b/>
      <sz val="11"/>
      <color auto="1"/>
      <name val="等线"/>
    </font>
    <font>
      <b/>
      <sz val="11"/>
      <color theme="1"/>
      <name val="等线"/>
    </font>
    <font>
      <sz val="11"/>
      <color rgb="FF000000"/>
      <name val="等线"/>
    </font>
    <font>
      <b/>
      <sz val="11"/>
      <color rgb="FF000000"/>
      <name val="等线"/>
    </font>
    <font>
      <sz val="6"/>
      <color theme="1"/>
      <name val="Calibri"/>
    </font>
    <font>
      <b/>
      <sz val="18"/>
      <color auto="1"/>
      <name val="等线"/>
    </font>
    <font>
      <sz val="10"/>
      <color theme="1"/>
      <name val="Times New Roman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EEEEE"/>
      </patternFill>
    </fill>
    <fill>
      <patternFill patternType="solid">
        <fgColor theme="0"/>
      </patternFill>
    </fill>
    <fill>
      <patternFill patternType="solid">
        <fgColor rgb="FFFFFFFF"/>
      </patternFill>
    </fill>
  </fills>
  <borders count="75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theme="1"/>
      </left>
      <right/>
      <top style="thin">
        <color theme="1"/>
      </top>
      <bottom style="thin">
        <color theme="1"/>
      </bottom>
    </border>
    <border>
      <left/>
      <right/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/>
      <right style="medium">
        <color theme="1"/>
      </right>
      <top style="thin">
        <color theme="1"/>
      </top>
      <bottom style="thin">
        <color theme="1"/>
      </bottom>
    </border>
    <border>
      <left style="medium">
        <color theme="1"/>
      </left>
      <right style="thin">
        <color theme="1"/>
      </right>
      <top style="thin">
        <color theme="1"/>
      </top>
      <bottom/>
    </border>
    <border>
      <left style="thin">
        <color theme="1"/>
      </left>
      <right/>
      <top style="thin">
        <color theme="1"/>
      </top>
      <bottom style="medium">
        <color theme="1"/>
      </bottom>
    </border>
    <border>
      <left/>
      <right/>
      <top style="thin">
        <color theme="1"/>
      </top>
      <bottom style="medium">
        <color theme="1"/>
      </bottom>
    </border>
    <border>
      <left/>
      <right style="medium">
        <color theme="1"/>
      </right>
      <top style="thin">
        <color theme="1"/>
      </top>
      <bottom style="medium">
        <color theme="1"/>
      </bottom>
    </border>
    <border>
      <left style="thin">
        <color theme="1"/>
      </left>
      <right/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/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/>
      <bottom/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 style="medium">
        <color theme="1"/>
      </left>
      <right/>
      <top style="medium">
        <color theme="1"/>
      </top>
      <bottom/>
    </border>
    <border>
      <left/>
      <right/>
      <top style="medium">
        <color theme="1"/>
      </top>
      <bottom/>
    </border>
    <border>
      <left/>
      <right style="medium">
        <color theme="1"/>
      </right>
      <top style="medium">
        <color theme="1"/>
      </top>
      <bottom/>
    </border>
    <border>
      <left style="medium">
        <color theme="1"/>
      </left>
      <right/>
      <top/>
      <bottom style="thin">
        <color theme="1"/>
      </bottom>
    </border>
    <border>
      <left/>
      <right/>
      <top/>
      <bottom style="thin">
        <color theme="1"/>
      </bottom>
    </border>
    <border>
      <left/>
      <right style="medium">
        <color theme="1"/>
      </right>
      <top/>
      <bottom style="thin">
        <color theme="1"/>
      </bottom>
    </border>
    <border>
      <left style="medium">
        <color theme="1"/>
      </left>
      <right/>
      <top style="thin">
        <color theme="1"/>
      </top>
      <bottom style="medium">
        <color theme="1"/>
      </bottom>
    </border>
    <border>
      <left/>
      <right style="thin">
        <color theme="1"/>
      </right>
      <top style="thin">
        <color theme="1"/>
      </top>
      <bottom style="medium">
        <color theme="1"/>
      </bottom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thin">
        <color theme="1"/>
      </right>
      <top style="thin">
        <color theme="1"/>
      </top>
      <bottom/>
    </border>
    <border>
      <left/>
      <right style="thin">
        <color theme="1"/>
      </right>
      <top/>
      <bottom/>
    </border>
    <border>
      <left/>
      <right style="thin">
        <color theme="1"/>
      </right>
      <top/>
      <bottom style="thin">
        <color theme="1"/>
      </bottom>
    </border>
    <border>
      <left/>
      <right/>
      <top style="thin">
        <color theme="1"/>
      </top>
      <bottom/>
    </border>
    <border>
      <left style="thin">
        <color theme="1"/>
      </left>
      <right/>
      <top style="thin">
        <color theme="1"/>
      </top>
      <bottom/>
    </border>
    <border>
      <left style="thin">
        <color theme="1"/>
      </left>
      <right/>
      <top/>
      <bottom style="thin">
        <color theme="1"/>
      </bottom>
    </border>
    <border>
      <left/>
      <right style="medium">
        <color theme="1"/>
      </right>
      <top style="thin">
        <color theme="1"/>
      </top>
      <bottom/>
    </border>
    <border>
      <left style="thin">
        <color theme="1"/>
      </left>
      <right/>
      <top/>
      <bottom/>
    </border>
    <border>
      <left/>
      <right style="medium">
        <color theme="1"/>
      </right>
      <top/>
      <bottom/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803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171" fontId="18" fillId="0" borderId="10" xfId="0" applyFont="1" applyBorder="1" applyNumberFormat="1">
      <alignment horizontal="center" vertical="center" wrapText="1"/>
    </xf>
    <xf numFmtId="0" fontId="19" fillId="0" borderId="0" xfId="0" applyFont="1">
      <alignment horizontal="center" vertical="center"/>
    </xf>
    <xf numFmtId="0" fontId="20" fillId="0" borderId="11" xfId="0" applyFont="1" applyBorder="1">
      <alignment horizontal="center" vertical="center" wrapText="1"/>
    </xf>
    <xf numFmtId="0" fontId="19" fillId="0" borderId="12" xfId="0" applyFont="1" applyBorder="1"/>
    <xf numFmtId="0" fontId="20" fillId="0" borderId="13" xfId="0" applyFont="1" applyBorder="1">
      <alignment horizontal="center" vertical="center" wrapText="1"/>
    </xf>
    <xf numFmtId="0" fontId="21" fillId="0" borderId="12" xfId="0" applyFont="1" applyBorder="1">
      <alignment horizontal="center" vertical="center"/>
    </xf>
    <xf numFmtId="0" fontId="20" fillId="0" borderId="12" xfId="0" applyFont="1" applyBorder="1">
      <alignment horizontal="center" vertical="center" wrapText="1"/>
    </xf>
    <xf numFmtId="172" fontId="18" fillId="0" borderId="12" xfId="0" applyFont="1" applyBorder="1" applyNumberFormat="1">
      <alignment horizontal="center" vertical="center" wrapText="1"/>
    </xf>
    <xf numFmtId="0" fontId="19" fillId="0" borderId="12" xfId="0" applyFont="1" applyBorder="1">
      <alignment horizontal="center" vertical="center"/>
    </xf>
    <xf numFmtId="171" fontId="18" fillId="0" borderId="12" xfId="0" applyFont="1" applyBorder="1" applyNumberFormat="1">
      <alignment horizontal="center" vertical="center" wrapText="1"/>
    </xf>
    <xf numFmtId="171" fontId="22" fillId="0" borderId="12" xfId="0" applyFont="1" applyBorder="1" applyNumberFormat="1">
      <alignment horizontal="center" vertical="center" wrapText="1"/>
    </xf>
    <xf numFmtId="0" fontId="20" fillId="0" borderId="10" xfId="0" applyFont="1" applyBorder="1">
      <alignment horizontal="center" vertical="center" wrapText="1"/>
    </xf>
    <xf numFmtId="171" fontId="22" fillId="0" borderId="14" xfId="0" applyFont="1" applyBorder="1" applyNumberFormat="1">
      <alignment horizontal="center" vertical="center" wrapText="1"/>
    </xf>
    <xf numFmtId="0" fontId="23" fillId="0" borderId="12" xfId="0" applyFont="1" applyBorder="1">
      <alignment horizontal="center" vertical="center" wrapText="1"/>
    </xf>
    <xf numFmtId="171" fontId="18" fillId="0" borderId="12" xfId="0" applyFont="1" applyBorder="1" applyNumberFormat="1">
      <alignment vertical="center" wrapText="1"/>
    </xf>
    <xf numFmtId="172" fontId="18" fillId="0" borderId="12" xfId="0" applyFont="1" applyBorder="1" applyNumberFormat="1">
      <alignment vertical="center" wrapText="1"/>
    </xf>
    <xf numFmtId="0" fontId="0" fillId="0" borderId="12" xfId="0" applyFont="1" applyBorder="1"/>
    <xf numFmtId="172" fontId="22" fillId="0" borderId="14" xfId="0" applyFont="1" applyBorder="1" applyNumberFormat="1">
      <alignment vertical="center" wrapText="1"/>
    </xf>
    <xf numFmtId="172" fontId="22" fillId="0" borderId="12" xfId="0" applyFont="1" applyBorder="1" applyNumberFormat="1">
      <alignment vertical="center" wrapText="1"/>
    </xf>
    <xf numFmtId="171" fontId="22" fillId="0" borderId="14" xfId="0" applyFont="1" applyBorder="1" applyNumberFormat="1">
      <alignment vertical="center" wrapText="1"/>
    </xf>
    <xf numFmtId="171" fontId="22" fillId="0" borderId="12" xfId="0" applyFont="1" applyBorder="1" applyNumberFormat="1">
      <alignment vertical="center" wrapText="1"/>
    </xf>
    <xf numFmtId="0" fontId="0" fillId="0" borderId="12" xfId="0" applyFont="1" applyBorder="1">
      <alignment horizontal="left" vertical="center"/>
    </xf>
    <xf numFmtId="171" fontId="22" fillId="0" borderId="12" xfId="0" applyFont="1" applyBorder="1" applyNumberFormat="1">
      <alignment horizontal="left" vertical="center"/>
    </xf>
    <xf numFmtId="0" fontId="0" fillId="0" borderId="15" xfId="0" applyFont="1" applyBorder="1"/>
    <xf numFmtId="0" fontId="18" fillId="0" borderId="0" xfId="0" applyFont="1">
      <alignment horizontal="center" vertical="center"/>
    </xf>
    <xf numFmtId="0" fontId="0" fillId="0" borderId="0" xfId="0" applyFont="1">
      <alignment horizontal="left" vertical="center"/>
    </xf>
    <xf numFmtId="20" fontId="0" fillId="0" borderId="0" xfId="0" applyFont="1" applyNumberFormat="1"/>
    <xf numFmtId="0" fontId="19" fillId="0" borderId="12" xfId="0" applyFont="1" applyBorder="1">
      <alignment horizontal="center" vertical="center"/>
    </xf>
    <xf numFmtId="0" fontId="18" fillId="0" borderId="12" xfId="0" applyFont="1" applyBorder="1">
      <alignment horizontal="center" vertical="center" wrapText="1"/>
    </xf>
    <xf numFmtId="172" fontId="18" fillId="0" borderId="12" xfId="0" applyFont="1" applyBorder="1" applyNumberFormat="1">
      <alignment horizontal="center" vertical="center" wrapText="1"/>
    </xf>
    <xf numFmtId="171" fontId="18" fillId="0" borderId="12" xfId="0" applyFont="1" applyBorder="1" applyNumberFormat="1">
      <alignment horizontal="center" vertical="center" wrapText="1"/>
    </xf>
    <xf numFmtId="171" fontId="22" fillId="0" borderId="12" xfId="0" applyFont="1" applyBorder="1" applyNumberFormat="1">
      <alignment horizontal="center" vertical="center" wrapText="1"/>
    </xf>
    <xf numFmtId="0" fontId="0" fillId="0" borderId="16" xfId="0" applyFont="1" applyBorder="1">
      <alignment horizontal="left" vertical="center"/>
    </xf>
    <xf numFmtId="0" fontId="0" fillId="0" borderId="17" xfId="0" applyFont="1" applyBorder="1">
      <alignment horizontal="left" vertical="center"/>
    </xf>
    <xf numFmtId="0" fontId="20" fillId="0" borderId="18" xfId="0" applyFont="1" applyBorder="1">
      <alignment horizontal="center" vertical="center" wrapText="1"/>
    </xf>
    <xf numFmtId="0" fontId="20" fillId="0" borderId="19" xfId="0" applyFont="1" applyBorder="1">
      <alignment horizontal="center" vertical="center" wrapText="1"/>
    </xf>
    <xf numFmtId="0" fontId="20" fillId="0" borderId="20" xfId="0" applyFont="1" applyBorder="1">
      <alignment horizontal="center" vertical="center" wrapText="1"/>
    </xf>
    <xf numFmtId="172" fontId="18" fillId="0" borderId="12" xfId="0" applyFont="1" applyBorder="1" applyNumberFormat="1">
      <alignment horizontal="left" vertical="center" wrapText="1"/>
    </xf>
    <xf numFmtId="0" fontId="21" fillId="0" borderId="18" xfId="0" applyFont="1" applyBorder="1">
      <alignment horizontal="center" vertical="center"/>
    </xf>
    <xf numFmtId="0" fontId="21" fillId="0" borderId="19" xfId="0" applyFont="1" applyBorder="1">
      <alignment horizontal="center" vertical="center"/>
    </xf>
    <xf numFmtId="171" fontId="19" fillId="0" borderId="12" xfId="0" applyFont="1" applyBorder="1" applyNumberFormat="1">
      <alignment horizontal="center" vertical="center"/>
    </xf>
    <xf numFmtId="172" fontId="18" fillId="0" borderId="0" xfId="0" applyFont="1" applyNumberFormat="1">
      <alignment horizontal="center" vertical="center" wrapText="1"/>
    </xf>
    <xf numFmtId="172" fontId="18" fillId="7" borderId="12" xfId="0" applyFont="1" applyFill="1" applyBorder="1" applyNumberFormat="1">
      <alignment horizontal="center" vertical="center"/>
    </xf>
    <xf numFmtId="171" fontId="18" fillId="0" borderId="12" xfId="0" applyFont="1" applyBorder="1" applyNumberFormat="1">
      <alignment horizontal="center" vertical="center"/>
    </xf>
    <xf numFmtId="172" fontId="18" fillId="0" borderId="12" xfId="0" applyFont="1" applyBorder="1" applyNumberFormat="1">
      <alignment horizontal="center" vertical="center"/>
    </xf>
    <xf numFmtId="171" fontId="18" fillId="0" borderId="10" xfId="0" applyFont="1" applyBorder="1" applyNumberFormat="1">
      <alignment horizontal="center" vertical="center"/>
    </xf>
    <xf numFmtId="0" fontId="19" fillId="0" borderId="0" xfId="0" applyFont="1">
      <alignment horizontal="center" vertical="center"/>
    </xf>
    <xf numFmtId="172" fontId="18" fillId="0" borderId="12" xfId="0" applyFont="1" applyBorder="1" applyNumberFormat="1">
      <alignment horizontal="left" vertical="center"/>
    </xf>
    <xf numFmtId="172" fontId="18" fillId="0" borderId="12" xfId="0" applyFont="1" applyBorder="1" applyNumberFormat="1">
      <alignment vertical="center"/>
    </xf>
    <xf numFmtId="0" fontId="20" fillId="0" borderId="21" xfId="0" applyFont="1" applyBorder="1">
      <alignment horizontal="center" vertical="center" wrapText="1"/>
    </xf>
    <xf numFmtId="171" fontId="22" fillId="0" borderId="22" xfId="0" applyFont="1" applyBorder="1" applyNumberFormat="1">
      <alignment vertical="center" wrapText="1"/>
    </xf>
    <xf numFmtId="172" fontId="18" fillId="0" borderId="22" xfId="0" applyFont="1" applyBorder="1" applyNumberFormat="1">
      <alignment vertical="center" wrapText="1"/>
    </xf>
    <xf numFmtId="171" fontId="18" fillId="0" borderId="22" xfId="0" applyFont="1" applyBorder="1" applyNumberFormat="1">
      <alignment vertical="center" wrapText="1"/>
    </xf>
    <xf numFmtId="172" fontId="18" fillId="0" borderId="22" xfId="0" applyFont="1" applyBorder="1" applyNumberFormat="1">
      <alignment horizontal="center" vertical="center" wrapText="1"/>
    </xf>
    <xf numFmtId="171" fontId="18" fillId="0" borderId="22" xfId="0" applyFont="1" applyBorder="1" applyNumberFormat="1">
      <alignment horizontal="center" vertical="center" wrapText="1"/>
    </xf>
    <xf numFmtId="171" fontId="22" fillId="0" borderId="22" xfId="0" applyFont="1" applyBorder="1" applyNumberFormat="1">
      <alignment horizontal="center" vertical="center" wrapText="1"/>
    </xf>
    <xf numFmtId="172" fontId="22" fillId="0" borderId="12" xfId="0" applyFont="1" applyBorder="1" applyNumberFormat="1">
      <alignment horizontal="center" vertical="center"/>
    </xf>
    <xf numFmtId="0" fontId="0" fillId="0" borderId="16" xfId="0" applyFont="1" applyBorder="1">
      <alignment vertical="center"/>
    </xf>
    <xf numFmtId="0" fontId="22" fillId="0" borderId="12" xfId="0" applyFont="1" applyBorder="1">
      <alignment vertical="center" wrapText="1"/>
    </xf>
    <xf numFmtId="0" fontId="0" fillId="0" borderId="17" xfId="0" applyFont="1" applyBorder="1">
      <alignment vertical="center"/>
    </xf>
    <xf numFmtId="0" fontId="24" fillId="33" borderId="23" xfId="0" applyFont="1" applyFill="1" applyBorder="1">
      <alignment horizontal="left" vertical="center" wrapText="1"/>
    </xf>
    <xf numFmtId="0" fontId="25" fillId="0" borderId="24" xfId="0" applyFont="1" applyBorder="1">
      <alignment horizontal="center" vertical="center"/>
    </xf>
    <xf numFmtId="0" fontId="25" fillId="0" borderId="25" xfId="0" applyFont="1" applyBorder="1">
      <alignment horizontal="center" vertical="center"/>
    </xf>
    <xf numFmtId="0" fontId="18" fillId="0" borderId="25" xfId="0" applyFont="1" applyBorder="1">
      <alignment vertical="center"/>
    </xf>
    <xf numFmtId="0" fontId="19" fillId="0" borderId="0" xfId="0" applyFont="1">
      <alignment horizontal="center" vertical="center"/>
    </xf>
    <xf numFmtId="0" fontId="19" fillId="0" borderId="0" xfId="0" applyFont="1">
      <alignment horizontal="center" vertical="center"/>
    </xf>
    <xf numFmtId="0" fontId="0" fillId="0" borderId="26" xfId="0" applyFont="1" applyBorder="1"/>
    <xf numFmtId="0" fontId="19" fillId="34" borderId="26" xfId="0" applyFont="1" applyFill="1" applyBorder="1">
      <alignment horizontal="center" vertical="center" wrapText="1"/>
    </xf>
    <xf numFmtId="173" fontId="19" fillId="34" borderId="26" xfId="0" applyFont="1" applyFill="1" applyBorder="1" applyNumberFormat="1">
      <alignment horizontal="right" vertical="center" wrapText="1"/>
    </xf>
    <xf numFmtId="2" fontId="19" fillId="34" borderId="26" xfId="0" applyFont="1" applyFill="1" applyBorder="1" applyNumberFormat="1">
      <alignment horizontal="right" vertical="center" wrapText="1"/>
    </xf>
    <xf numFmtId="2" fontId="19" fillId="34" borderId="27" xfId="0" applyFont="1" applyFill="1" applyBorder="1" applyNumberFormat="1">
      <alignment horizontal="right" vertical="center" wrapText="1"/>
      <protection locked="0"/>
    </xf>
    <xf numFmtId="172" fontId="19" fillId="34" borderId="26" xfId="0" applyFont="1" applyFill="1" applyBorder="1" applyNumberFormat="1">
      <alignment horizontal="right" vertical="center" wrapText="1"/>
    </xf>
    <xf numFmtId="172" fontId="19" fillId="34" borderId="27" xfId="0" applyFont="1" applyFill="1" applyBorder="1" applyNumberFormat="1">
      <alignment horizontal="right" vertical="center" wrapText="1"/>
      <protection locked="0"/>
    </xf>
    <xf numFmtId="0" fontId="20" fillId="0" borderId="26" xfId="0" applyFont="1" applyBorder="1">
      <alignment horizontal="center" vertical="center" wrapText="1"/>
    </xf>
    <xf numFmtId="0" fontId="20" fillId="0" borderId="28" xfId="0" applyFont="1" applyBorder="1">
      <alignment horizontal="center" vertical="center" wrapText="1"/>
    </xf>
    <xf numFmtId="172" fontId="18" fillId="7" borderId="26" xfId="0" applyFont="1" applyFill="1" applyBorder="1" applyNumberFormat="1">
      <alignment horizontal="right" vertical="center" wrapText="1"/>
    </xf>
    <xf numFmtId="171" fontId="18" fillId="0" borderId="26" xfId="0" applyFont="1" applyBorder="1" applyNumberFormat="1">
      <alignment horizontal="right" vertical="center" wrapText="1"/>
    </xf>
    <xf numFmtId="172" fontId="18" fillId="0" borderId="26" xfId="0" applyFont="1" applyBorder="1" applyNumberFormat="1">
      <alignment horizontal="right" vertical="center" wrapText="1"/>
    </xf>
    <xf numFmtId="0" fontId="20" fillId="0" borderId="28" xfId="0" applyFont="1" applyBorder="1">
      <alignment horizontal="center" vertical="center"/>
    </xf>
    <xf numFmtId="172" fontId="18" fillId="7" borderId="26" xfId="0" applyFont="1" applyFill="1" applyBorder="1" applyNumberFormat="1">
      <alignment horizontal="right" vertical="center"/>
    </xf>
    <xf numFmtId="171" fontId="18" fillId="0" borderId="26" xfId="0" applyFont="1" applyBorder="1" applyNumberFormat="1">
      <alignment horizontal="right" vertical="center"/>
    </xf>
    <xf numFmtId="172" fontId="18" fillId="0" borderId="26" xfId="0" applyFont="1" applyBorder="1" applyNumberFormat="1">
      <alignment horizontal="right" vertical="center"/>
    </xf>
    <xf numFmtId="0" fontId="21" fillId="0" borderId="26" xfId="0" applyFont="1" applyBorder="1">
      <alignment horizontal="center" vertical="center"/>
    </xf>
    <xf numFmtId="0" fontId="19" fillId="7" borderId="26" xfId="0" applyFont="1" applyFill="1" applyBorder="1">
      <alignment horizontal="right" vertical="center" wrapText="1"/>
    </xf>
    <xf numFmtId="171" fontId="19" fillId="0" borderId="26" xfId="0" applyFont="1" applyBorder="1" applyNumberFormat="1">
      <alignment horizontal="right" vertical="center"/>
    </xf>
    <xf numFmtId="0" fontId="19" fillId="0" borderId="26" xfId="0" applyFont="1" applyBorder="1">
      <alignment horizontal="right" vertical="center"/>
    </xf>
    <xf numFmtId="0" fontId="19" fillId="0" borderId="26" xfId="0" applyFont="1" applyBorder="1">
      <alignment horizontal="right" vertical="center" wrapText="1"/>
    </xf>
    <xf numFmtId="20" fontId="22" fillId="0" borderId="25" xfId="0" applyFont="1" applyBorder="1" applyNumberFormat="1">
      <alignment horizontal="left" vertical="center" shrinkToFit="1"/>
    </xf>
    <xf numFmtId="21" fontId="0" fillId="0" borderId="29" xfId="0" applyFont="1" applyBorder="1" applyNumberFormat="1">
      <alignment horizontal="left" vertical="center"/>
    </xf>
    <xf numFmtId="2" fontId="22" fillId="0" borderId="26" xfId="0" applyFont="1" applyBorder="1" applyNumberFormat="1">
      <alignment horizontal="right" vertical="center" shrinkToFit="1"/>
    </xf>
    <xf numFmtId="0" fontId="20" fillId="0" borderId="30" xfId="0" applyFont="1" applyBorder="1">
      <alignment horizontal="center" vertical="center" wrapText="1"/>
    </xf>
    <xf numFmtId="0" fontId="0" fillId="0" borderId="31" xfId="0" applyFont="1" applyBorder="1"/>
    <xf numFmtId="0" fontId="0" fillId="0" borderId="32" xfId="0" applyFont="1" applyBorder="1"/>
    <xf numFmtId="0" fontId="0" fillId="0" borderId="33" xfId="0" applyFont="1" applyBorder="1"/>
    <xf numFmtId="20" fontId="21" fillId="34" borderId="26" xfId="0" applyFont="1" applyFill="1" applyBorder="1" applyNumberFormat="1">
      <alignment horizontal="center" vertical="center" wrapText="1"/>
    </xf>
    <xf numFmtId="174" fontId="21" fillId="34" borderId="26" xfId="0" applyFont="1" applyFill="1" applyBorder="1" applyNumberFormat="1">
      <alignment horizontal="center" vertical="center" wrapText="1"/>
    </xf>
    <xf numFmtId="174" fontId="21" fillId="34" borderId="27" xfId="0" applyFont="1" applyFill="1" applyBorder="1" applyNumberFormat="1">
      <alignment horizontal="center" vertical="center" wrapText="1"/>
    </xf>
    <xf numFmtId="0" fontId="21" fillId="34" borderId="26" xfId="0" applyFont="1" applyFill="1" applyBorder="1">
      <alignment horizontal="center" vertical="center" wrapText="1"/>
    </xf>
    <xf numFmtId="0" fontId="21" fillId="34" borderId="26" xfId="0" applyFont="1" applyFill="1" applyBorder="1">
      <alignment vertical="center" wrapText="1"/>
    </xf>
    <xf numFmtId="0" fontId="21" fillId="34" borderId="34" xfId="0" applyFont="1" applyFill="1" applyBorder="1">
      <alignment vertical="center" wrapText="1"/>
    </xf>
    <xf numFmtId="0" fontId="21" fillId="34" borderId="34" xfId="0" applyFont="1" applyFill="1" applyBorder="1">
      <alignment vertical="center" wrapText="1"/>
      <protection locked="0"/>
    </xf>
    <xf numFmtId="0" fontId="21" fillId="34" borderId="26" xfId="0" applyFont="1" applyFill="1" applyBorder="1">
      <alignment vertical="center" wrapText="1"/>
      <protection locked="0"/>
    </xf>
    <xf numFmtId="0" fontId="23" fillId="0" borderId="26" xfId="0" applyFont="1" applyBorder="1">
      <alignment horizontal="center" vertical="center" wrapText="1"/>
    </xf>
    <xf numFmtId="171" fontId="22" fillId="0" borderId="26" xfId="0" applyFont="1" applyBorder="1" applyNumberFormat="1">
      <alignment horizontal="right" vertical="center" wrapText="1"/>
    </xf>
    <xf numFmtId="172" fontId="22" fillId="7" borderId="26" xfId="0" applyFont="1" applyFill="1" applyBorder="1" applyNumberFormat="1">
      <alignment horizontal="right" vertical="center" wrapText="1"/>
    </xf>
    <xf numFmtId="172" fontId="22" fillId="0" borderId="35" xfId="0" applyFont="1" applyBorder="1" applyNumberFormat="1">
      <alignment horizontal="right" vertical="center" wrapText="1"/>
    </xf>
    <xf numFmtId="172" fontId="22" fillId="0" borderId="26" xfId="0" applyFont="1" applyBorder="1" applyNumberFormat="1">
      <alignment horizontal="right" vertical="center" wrapText="1"/>
    </xf>
    <xf numFmtId="0" fontId="21" fillId="0" borderId="26" xfId="0" applyFont="1" applyBorder="1">
      <alignment horizontal="center" vertical="center"/>
    </xf>
    <xf numFmtId="171" fontId="19" fillId="0" borderId="26" xfId="0" applyFont="1" applyBorder="1" applyNumberFormat="1">
      <alignment horizontal="right" vertical="center"/>
    </xf>
    <xf numFmtId="0" fontId="19" fillId="0" borderId="26" xfId="0" applyFont="1" applyBorder="1">
      <alignment horizontal="right" vertical="center"/>
    </xf>
    <xf numFmtId="0" fontId="19" fillId="0" borderId="26" xfId="0" applyFont="1" applyBorder="1">
      <alignment horizontal="right" vertical="center" wrapText="1"/>
    </xf>
    <xf numFmtId="0" fontId="19" fillId="7" borderId="26" xfId="0" applyFont="1" applyFill="1" applyBorder="1">
      <alignment horizontal="center" vertical="center"/>
    </xf>
    <xf numFmtId="173" fontId="19" fillId="7" borderId="26" xfId="0" applyFont="1" applyFill="1" applyBorder="1" applyNumberFormat="1">
      <alignment horizontal="center" vertical="center"/>
    </xf>
    <xf numFmtId="0" fontId="19" fillId="7" borderId="26" xfId="0" applyFont="1" applyFill="1" applyBorder="1">
      <alignment horizontal="center" vertical="center"/>
    </xf>
    <xf numFmtId="173" fontId="19" fillId="7" borderId="26" xfId="0" applyFont="1" applyFill="1" applyBorder="1" applyNumberFormat="1">
      <alignment horizontal="center" vertical="center"/>
      <protection locked="0"/>
    </xf>
    <xf numFmtId="2" fontId="19" fillId="7" borderId="26" xfId="0" applyFont="1" applyFill="1" applyBorder="1" applyNumberFormat="1">
      <alignment horizontal="right" vertical="center"/>
    </xf>
    <xf numFmtId="2" fontId="19" fillId="7" borderId="27" xfId="0" applyFont="1" applyFill="1" applyBorder="1" applyNumberFormat="1">
      <alignment horizontal="right" vertical="center"/>
      <protection locked="0"/>
    </xf>
    <xf numFmtId="0" fontId="18" fillId="0" borderId="25" xfId="0" applyFont="1" applyBorder="1">
      <alignment horizontal="right" vertical="center"/>
    </xf>
    <xf numFmtId="0" fontId="18" fillId="0" borderId="25" xfId="0" applyFont="1" applyBorder="1">
      <alignment horizontal="left" vertical="center"/>
    </xf>
    <xf numFmtId="2" fontId="22" fillId="0" borderId="25" xfId="0" applyFont="1" applyBorder="1" applyNumberFormat="1">
      <alignment horizontal="right" vertical="center" shrinkToFit="1"/>
    </xf>
    <xf numFmtId="0" fontId="19" fillId="0" borderId="26" xfId="0" applyFont="1" applyBorder="1">
      <alignment horizontal="right" vertical="center" wrapText="1"/>
    </xf>
    <xf numFmtId="171" fontId="19" fillId="0" borderId="26" xfId="0" applyFont="1" applyBorder="1" applyNumberFormat="1">
      <alignment horizontal="right" vertical="center"/>
    </xf>
    <xf numFmtId="0" fontId="19" fillId="7" borderId="26" xfId="0" applyFont="1" applyFill="1" applyBorder="1">
      <alignment horizontal="right" vertical="center" wrapText="1"/>
    </xf>
    <xf numFmtId="171" fontId="18" fillId="0" borderId="26" xfId="0" applyFont="1" applyBorder="1" applyNumberFormat="1">
      <alignment horizontal="right" vertical="center" wrapText="1"/>
    </xf>
    <xf numFmtId="0" fontId="21" fillId="0" borderId="26" xfId="0" applyFont="1" applyBorder="1">
      <alignment horizontal="center" vertical="center"/>
    </xf>
    <xf numFmtId="0" fontId="20" fillId="0" borderId="26" xfId="0" applyFont="1" applyBorder="1">
      <alignment horizontal="center" vertical="center" wrapText="1"/>
    </xf>
    <xf numFmtId="172" fontId="18" fillId="7" borderId="26" xfId="0" applyFont="1" applyFill="1" applyBorder="1" applyNumberFormat="1">
      <alignment horizontal="right" vertical="center" wrapText="1"/>
    </xf>
    <xf numFmtId="172" fontId="18" fillId="0" borderId="26" xfId="0" applyFont="1" applyBorder="1" applyNumberFormat="1">
      <alignment horizontal="right" vertical="center" wrapText="1"/>
    </xf>
    <xf numFmtId="0" fontId="19" fillId="0" borderId="26" xfId="0" applyFont="1" applyBorder="1">
      <alignment horizontal="right" vertical="center"/>
    </xf>
    <xf numFmtId="175" fontId="19" fillId="7" borderId="26" xfId="0" applyFont="1" applyFill="1" applyBorder="1" applyNumberFormat="1">
      <alignment horizontal="right" vertical="center"/>
    </xf>
    <xf numFmtId="171" fontId="22" fillId="0" borderId="26" xfId="0" applyFont="1" applyBorder="1" applyNumberFormat="1">
      <alignment horizontal="right" vertical="center" wrapText="1"/>
    </xf>
    <xf numFmtId="171" fontId="22" fillId="0" borderId="26" xfId="0" applyFont="1" applyBorder="1" applyNumberFormat="1">
      <alignment horizontal="right" vertical="center"/>
    </xf>
    <xf numFmtId="0" fontId="18" fillId="0" borderId="25" xfId="0" applyFont="1" applyBorder="1">
      <alignment horizontal="center" vertical="center"/>
    </xf>
    <xf numFmtId="172" fontId="22" fillId="0" borderId="35" xfId="0" applyFont="1" applyBorder="1" applyNumberFormat="1">
      <alignment horizontal="right" vertical="center" wrapText="1"/>
    </xf>
    <xf numFmtId="172" fontId="18" fillId="7" borderId="26" xfId="0" applyFont="1" applyFill="1" applyBorder="1" applyNumberFormat="1">
      <alignment horizontal="right" vertical="center"/>
    </xf>
    <xf numFmtId="0" fontId="20" fillId="0" borderId="28" xfId="0" applyFont="1" applyBorder="1">
      <alignment horizontal="left" wrapText="1"/>
    </xf>
    <xf numFmtId="0" fontId="23" fillId="0" borderId="26" xfId="0" applyFont="1" applyBorder="1">
      <alignment horizontal="center" vertical="center" wrapText="1"/>
    </xf>
    <xf numFmtId="0" fontId="23" fillId="0" borderId="26" xfId="0" applyFont="1" applyBorder="1">
      <alignment horizontal="center" vertical="center"/>
    </xf>
    <xf numFmtId="172" fontId="18" fillId="35" borderId="26" xfId="0" applyFont="1" applyFill="1" applyBorder="1" applyNumberFormat="1">
      <alignment horizontal="right" vertical="center" wrapText="1"/>
    </xf>
    <xf numFmtId="172" fontId="18" fillId="0" borderId="26" xfId="0" applyFont="1" applyBorder="1" applyNumberFormat="1">
      <alignment horizontal="right" vertical="center"/>
    </xf>
    <xf numFmtId="172" fontId="22" fillId="7" borderId="26" xfId="0" applyFont="1" applyFill="1" applyBorder="1" applyNumberFormat="1">
      <alignment horizontal="right" vertical="center" wrapText="1"/>
    </xf>
    <xf numFmtId="172" fontId="22" fillId="0" borderId="26" xfId="0" applyFont="1" applyBorder="1" applyNumberFormat="1">
      <alignment horizontal="right" vertical="center" wrapText="1"/>
    </xf>
    <xf numFmtId="0" fontId="20" fillId="0" borderId="26" xfId="0" applyFont="1" applyBorder="1">
      <alignment horizontal="center" vertical="center"/>
    </xf>
    <xf numFmtId="0" fontId="18" fillId="0" borderId="26" xfId="0" applyFont="1" applyBorder="1">
      <alignment horizontal="right" vertical="center" wrapText="1"/>
    </xf>
    <xf numFmtId="0" fontId="21" fillId="34" borderId="28" xfId="0" applyFont="1" applyFill="1" applyBorder="1">
      <alignment horizontal="center" vertical="center" wrapText="1"/>
    </xf>
    <xf numFmtId="0" fontId="21" fillId="34" borderId="28" xfId="0" applyFont="1" applyFill="1" applyBorder="1">
      <alignment horizontal="left" vertical="center" wrapText="1"/>
    </xf>
    <xf numFmtId="0" fontId="21" fillId="34" borderId="26" xfId="0" applyFont="1" applyFill="1" applyBorder="1">
      <alignment horizontal="left" vertical="center" wrapText="1"/>
    </xf>
    <xf numFmtId="0" fontId="21" fillId="34" borderId="26" xfId="0" applyFont="1" applyFill="1" applyBorder="1">
      <alignment horizontal="center" vertical="center" wrapText="1"/>
    </xf>
    <xf numFmtId="20" fontId="21" fillId="34" borderId="26" xfId="0" applyFont="1" applyFill="1" applyBorder="1" applyNumberFormat="1">
      <alignment horizontal="center" vertical="center" wrapText="1"/>
    </xf>
    <xf numFmtId="0" fontId="19" fillId="7" borderId="26" xfId="0" applyFont="1" applyFill="1" applyBorder="1">
      <alignment horizontal="center" vertical="center"/>
    </xf>
    <xf numFmtId="173" fontId="21" fillId="34" borderId="26" xfId="0" applyFont="1" applyFill="1" applyBorder="1" applyNumberFormat="1">
      <alignment horizontal="center" vertical="center" wrapText="1"/>
    </xf>
    <xf numFmtId="0" fontId="21" fillId="34" borderId="34" xfId="0" applyFont="1" applyFill="1" applyBorder="1">
      <alignment horizontal="center" vertical="center" wrapText="1"/>
    </xf>
    <xf numFmtId="0" fontId="21" fillId="34" borderId="25" xfId="0" applyFont="1" applyFill="1" applyBorder="1">
      <alignment horizontal="center" vertical="center" wrapText="1"/>
    </xf>
    <xf numFmtId="0" fontId="21" fillId="34" borderId="36" xfId="0" applyFont="1" applyFill="1" applyBorder="1">
      <alignment horizontal="center" vertical="center" wrapText="1"/>
    </xf>
    <xf numFmtId="0" fontId="21" fillId="34" borderId="35" xfId="0" applyFont="1" applyFill="1" applyBorder="1">
      <alignment horizontal="center" vertical="center" wrapText="1"/>
    </xf>
    <xf numFmtId="0" fontId="21" fillId="34" borderId="37" xfId="0" applyFont="1" applyFill="1" applyBorder="1">
      <alignment horizontal="center" vertical="center" wrapText="1"/>
    </xf>
    <xf numFmtId="0" fontId="21" fillId="34" borderId="38" xfId="0" applyFont="1" applyFill="1" applyBorder="1">
      <alignment horizontal="center" vertical="center" wrapText="1"/>
    </xf>
    <xf numFmtId="0" fontId="21" fillId="34" borderId="34" xfId="0" applyFont="1" applyFill="1" applyBorder="1">
      <alignment horizontal="center" vertical="center" wrapText="1"/>
      <protection locked="0"/>
    </xf>
    <xf numFmtId="0" fontId="21" fillId="34" borderId="36" xfId="0" applyFont="1" applyFill="1" applyBorder="1">
      <alignment horizontal="center" vertical="center" wrapText="1"/>
      <protection locked="0"/>
    </xf>
    <xf numFmtId="0" fontId="18" fillId="0" borderId="26" xfId="0" applyFont="1" applyBorder="1">
      <alignment horizontal="center" vertical="center" wrapText="1"/>
    </xf>
    <xf numFmtId="0" fontId="25" fillId="0" borderId="39" xfId="0" applyFont="1" applyBorder="1">
      <alignment horizontal="center" vertical="center"/>
    </xf>
    <xf numFmtId="0" fontId="25" fillId="0" borderId="40" xfId="0" applyFont="1" applyBorder="1">
      <alignment horizontal="center" vertical="center"/>
    </xf>
    <xf numFmtId="0" fontId="25" fillId="0" borderId="41" xfId="0" applyFont="1" applyBorder="1">
      <alignment horizontal="center" vertical="center"/>
    </xf>
    <xf numFmtId="0" fontId="25" fillId="0" borderId="42" xfId="0" applyFont="1" applyBorder="1">
      <alignment horizontal="center" vertical="center"/>
    </xf>
    <xf numFmtId="0" fontId="25" fillId="0" borderId="43" xfId="0" applyFont="1" applyBorder="1">
      <alignment horizontal="center" vertical="center"/>
    </xf>
    <xf numFmtId="0" fontId="25" fillId="0" borderId="44" xfId="0" applyFont="1" applyBorder="1">
      <alignment horizontal="center" vertical="center"/>
    </xf>
    <xf numFmtId="0" fontId="0" fillId="0" borderId="25" xfId="0" applyFont="1" applyBorder="1">
      <alignment horizontal="right" vertical="center"/>
    </xf>
    <xf numFmtId="20" fontId="21" fillId="34" borderId="34" xfId="0" applyFont="1" applyFill="1" applyBorder="1" applyNumberFormat="1">
      <alignment horizontal="left" vertical="center" wrapText="1"/>
    </xf>
    <xf numFmtId="20" fontId="21" fillId="34" borderId="25" xfId="0" applyFont="1" applyFill="1" applyBorder="1" applyNumberFormat="1">
      <alignment horizontal="left" vertical="center" wrapText="1"/>
    </xf>
    <xf numFmtId="20" fontId="21" fillId="34" borderId="36" xfId="0" applyFont="1" applyFill="1" applyBorder="1" applyNumberFormat="1">
      <alignment horizontal="left" vertical="center" wrapText="1"/>
    </xf>
    <xf numFmtId="0" fontId="21" fillId="34" borderId="34" xfId="0" applyFont="1" applyFill="1" applyBorder="1">
      <alignment horizontal="left" vertical="center" wrapText="1"/>
    </xf>
    <xf numFmtId="0" fontId="21" fillId="34" borderId="25" xfId="0" applyFont="1" applyFill="1" applyBorder="1">
      <alignment horizontal="left" vertical="center" wrapText="1"/>
    </xf>
    <xf numFmtId="0" fontId="21" fillId="34" borderId="36" xfId="0" applyFont="1" applyFill="1" applyBorder="1">
      <alignment horizontal="left" vertical="center" wrapText="1"/>
    </xf>
    <xf numFmtId="20" fontId="21" fillId="34" borderId="34" xfId="0" applyFont="1" applyFill="1" applyBorder="1" applyNumberFormat="1">
      <alignment horizontal="center" vertical="center"/>
    </xf>
    <xf numFmtId="20" fontId="21" fillId="34" borderId="36" xfId="0" applyFont="1" applyFill="1" applyBorder="1" applyNumberFormat="1">
      <alignment horizontal="center" vertical="center"/>
    </xf>
    <xf numFmtId="20" fontId="19" fillId="7" borderId="34" xfId="0" applyFont="1" applyFill="1" applyBorder="1" applyNumberFormat="1">
      <alignment horizontal="center" vertical="center"/>
    </xf>
    <xf numFmtId="20" fontId="19" fillId="7" borderId="36" xfId="0" applyFont="1" applyFill="1" applyBorder="1" applyNumberFormat="1">
      <alignment horizontal="center" vertical="center"/>
    </xf>
    <xf numFmtId="0" fontId="21" fillId="0" borderId="45" xfId="0" applyFont="1" applyBorder="1">
      <alignment horizontal="center" vertical="center"/>
    </xf>
    <xf numFmtId="0" fontId="21" fillId="0" borderId="32" xfId="0" applyFont="1" applyBorder="1">
      <alignment horizontal="center" vertical="center"/>
    </xf>
    <xf numFmtId="0" fontId="21" fillId="0" borderId="46" xfId="0" applyFont="1" applyBorder="1">
      <alignment horizontal="center" vertical="center"/>
    </xf>
    <xf numFmtId="0" fontId="21" fillId="0" borderId="31" xfId="0" applyFont="1" applyBorder="1">
      <alignment horizontal="center" vertical="center"/>
    </xf>
    <xf numFmtId="172" fontId="22" fillId="0" borderId="14" xfId="0" applyFont="1" applyBorder="1" applyNumberFormat="1">
      <alignment horizontal="center" vertical="center" wrapText="1"/>
    </xf>
    <xf numFmtId="172" fontId="22" fillId="0" borderId="12" xfId="0" applyFont="1" applyBorder="1" applyNumberFormat="1">
      <alignment horizontal="center" vertical="center"/>
    </xf>
    <xf numFmtId="171" fontId="22" fillId="0" borderId="12" xfId="0" applyFont="1" applyBorder="1" applyNumberFormat="1">
      <alignment horizontal="center" vertical="center"/>
    </xf>
    <xf numFmtId="172" fontId="18" fillId="0" borderId="12" xfId="0" applyFont="1" applyBorder="1" applyNumberFormat="1">
      <alignment horizontal="center" vertical="center" wrapText="1"/>
    </xf>
    <xf numFmtId="0" fontId="19" fillId="0" borderId="12" xfId="0" applyFont="1" applyBorder="1">
      <alignment horizontal="left" vertical="center"/>
    </xf>
    <xf numFmtId="172" fontId="18" fillId="0" borderId="12" xfId="0" applyFont="1" applyBorder="1" applyNumberFormat="1">
      <alignment horizontal="left" vertical="center" wrapText="1"/>
    </xf>
    <xf numFmtId="172" fontId="18" fillId="0" borderId="12" xfId="0" applyFont="1" applyBorder="1" applyNumberFormat="1">
      <alignment horizontal="center" vertical="center"/>
    </xf>
    <xf numFmtId="0" fontId="20" fillId="0" borderId="21" xfId="0" applyFont="1" applyBorder="1">
      <alignment horizontal="center" vertical="center" wrapText="1"/>
    </xf>
    <xf numFmtId="0" fontId="20" fillId="0" borderId="47" xfId="0" applyFont="1" applyBorder="1">
      <alignment horizontal="center" vertical="center" wrapText="1"/>
    </xf>
    <xf numFmtId="0" fontId="20" fillId="0" borderId="48" xfId="0" applyFont="1" applyBorder="1">
      <alignment horizontal="center" vertical="center" wrapText="1"/>
    </xf>
    <xf numFmtId="171" fontId="22" fillId="0" borderId="12" xfId="0" applyFont="1" applyBorder="1" applyNumberFormat="1">
      <alignment horizontal="center" vertical="center" wrapText="1"/>
    </xf>
    <xf numFmtId="0" fontId="20" fillId="0" borderId="12" xfId="0" applyFont="1" applyBorder="1">
      <alignment horizontal="center" vertical="center" wrapText="1"/>
    </xf>
    <xf numFmtId="0" fontId="20" fillId="0" borderId="49" xfId="0" applyFont="1" applyBorder="1">
      <alignment horizontal="center" vertical="center" wrapText="1"/>
    </xf>
    <xf numFmtId="0" fontId="18" fillId="0" borderId="49" xfId="0" applyFont="1" applyBorder="1">
      <alignment horizontal="center" vertical="center" wrapText="1"/>
    </xf>
    <xf numFmtId="0" fontId="18" fillId="0" borderId="50" xfId="0" applyFont="1" applyBorder="1">
      <alignment horizontal="center" vertical="center" wrapText="1"/>
    </xf>
    <xf numFmtId="0" fontId="18" fillId="0" borderId="12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20" fillId="0" borderId="10" xfId="0" applyFont="1" applyBorder="1">
      <alignment horizontal="center" vertical="center" wrapText="1"/>
    </xf>
    <xf numFmtId="0" fontId="20" fillId="0" borderId="51" xfId="0" applyFont="1" applyBorder="1">
      <alignment horizontal="left" wrapText="1"/>
    </xf>
    <xf numFmtId="0" fontId="20" fillId="0" borderId="47" xfId="0" applyFont="1" applyBorder="1">
      <alignment horizontal="left" wrapText="1"/>
    </xf>
    <xf numFmtId="0" fontId="20" fillId="0" borderId="48" xfId="0" applyFont="1" applyBorder="1">
      <alignment horizontal="left" wrapText="1"/>
    </xf>
    <xf numFmtId="0" fontId="20" fillId="0" borderId="52" xfId="0" applyFont="1" applyBorder="1">
      <alignment horizontal="center" vertical="center" wrapText="1"/>
    </xf>
    <xf numFmtId="0" fontId="20" fillId="0" borderId="53" xfId="0" applyFont="1" applyBorder="1">
      <alignment horizontal="center" vertical="center" wrapText="1"/>
    </xf>
    <xf numFmtId="0" fontId="20" fillId="0" borderId="54" xfId="0" applyFont="1" applyBorder="1">
      <alignment horizontal="center" vertical="center" wrapText="1"/>
    </xf>
    <xf numFmtId="0" fontId="20" fillId="0" borderId="55" xfId="0" applyFont="1" applyBorder="1">
      <alignment horizontal="center" vertical="center" wrapText="1"/>
    </xf>
    <xf numFmtId="0" fontId="20" fillId="0" borderId="56" xfId="0" applyFont="1" applyBorder="1">
      <alignment horizontal="center" vertical="center" wrapText="1"/>
    </xf>
    <xf numFmtId="0" fontId="20" fillId="0" borderId="57" xfId="0" applyFont="1" applyBorder="1">
      <alignment horizontal="center" vertical="center" wrapText="1"/>
    </xf>
    <xf numFmtId="0" fontId="23" fillId="0" borderId="12" xfId="0" applyFont="1" applyBorder="1">
      <alignment horizontal="center" vertical="center" wrapText="1"/>
    </xf>
    <xf numFmtId="171" fontId="18" fillId="0" borderId="12" xfId="0" applyFont="1" applyBorder="1" applyNumberFormat="1">
      <alignment horizontal="center" vertical="center" wrapText="1"/>
    </xf>
    <xf numFmtId="172" fontId="18" fillId="7" borderId="12" xfId="0" applyFont="1" applyFill="1" applyBorder="1" applyNumberFormat="1">
      <alignment horizontal="center" vertical="center"/>
    </xf>
    <xf numFmtId="0" fontId="20" fillId="0" borderId="58" xfId="0" applyFont="1" applyBorder="1">
      <alignment horizontal="center" vertical="center" wrapText="1"/>
    </xf>
    <xf numFmtId="0" fontId="20" fillId="0" borderId="16" xfId="0" applyFont="1" applyBorder="1">
      <alignment horizontal="center" vertical="center" wrapText="1"/>
    </xf>
    <xf numFmtId="0" fontId="20" fillId="0" borderId="59" xfId="0" applyFont="1" applyBorder="1">
      <alignment horizontal="center" vertical="center" wrapText="1"/>
    </xf>
    <xf numFmtId="0" fontId="20" fillId="0" borderId="60" xfId="0" applyFont="1" applyBorder="1">
      <alignment horizontal="center" vertical="center" wrapText="1"/>
    </xf>
    <xf numFmtId="0" fontId="20" fillId="0" borderId="18" xfId="0" applyFont="1" applyBorder="1">
      <alignment horizontal="center" vertical="center" wrapText="1"/>
    </xf>
    <xf numFmtId="0" fontId="20" fillId="0" borderId="61" xfId="0" applyFont="1" applyBorder="1">
      <alignment horizontal="center" vertical="center" wrapText="1"/>
    </xf>
    <xf numFmtId="0" fontId="20" fillId="0" borderId="19" xfId="0" applyFont="1" applyBorder="1">
      <alignment horizontal="center" vertical="center" wrapText="1"/>
    </xf>
    <xf numFmtId="0" fontId="20" fillId="0" borderId="20" xfId="0" applyFont="1" applyBorder="1">
      <alignment horizontal="center" vertical="center" wrapText="1"/>
    </xf>
    <xf numFmtId="0" fontId="0" fillId="0" borderId="58" xfId="0" applyFont="1" applyBorder="1">
      <alignment horizontal="left" vertical="center"/>
    </xf>
    <xf numFmtId="0" fontId="0" fillId="0" borderId="17" xfId="0" applyFont="1" applyBorder="1">
      <alignment horizontal="left" vertical="center"/>
    </xf>
    <xf numFmtId="0" fontId="20" fillId="0" borderId="21" xfId="0" applyFont="1" applyBorder="1">
      <alignment horizontal="left" wrapText="1"/>
    </xf>
    <xf numFmtId="0" fontId="21" fillId="0" borderId="12" xfId="0" applyFont="1" applyBorder="1">
      <alignment horizontal="center" vertical="center"/>
    </xf>
    <xf numFmtId="0" fontId="0" fillId="0" borderId="16" xfId="0" applyFont="1" applyBorder="1">
      <alignment horizontal="left" vertical="center"/>
    </xf>
    <xf numFmtId="0" fontId="20" fillId="0" borderId="11" xfId="0" applyFont="1" applyBorder="1">
      <alignment horizontal="left" wrapText="1"/>
    </xf>
    <xf numFmtId="0" fontId="20" fillId="0" borderId="12" xfId="0" applyFont="1" applyBorder="1">
      <alignment horizontal="center" vertical="center"/>
    </xf>
    <xf numFmtId="0" fontId="21" fillId="0" borderId="18" xfId="0" applyFont="1" applyBorder="1">
      <alignment horizontal="center" vertical="center"/>
    </xf>
    <xf numFmtId="0" fontId="21" fillId="0" borderId="61" xfId="0" applyFont="1" applyBorder="1">
      <alignment horizontal="center" vertical="center"/>
    </xf>
    <xf numFmtId="0" fontId="21" fillId="0" borderId="19" xfId="0" applyFont="1" applyBorder="1">
      <alignment horizontal="center" vertical="center"/>
    </xf>
    <xf numFmtId="171" fontId="18" fillId="0" borderId="12" xfId="0" applyFont="1" applyBorder="1" applyNumberFormat="1">
      <alignment horizontal="center" vertical="center"/>
    </xf>
    <xf numFmtId="0" fontId="21" fillId="0" borderId="58" xfId="0" applyFont="1" applyBorder="1">
      <alignment horizontal="center" vertical="center"/>
    </xf>
    <xf numFmtId="0" fontId="21" fillId="0" borderId="16" xfId="0" applyFont="1" applyBorder="1">
      <alignment horizontal="center" vertical="center"/>
    </xf>
    <xf numFmtId="0" fontId="21" fillId="0" borderId="59" xfId="0" applyFont="1" applyBorder="1">
      <alignment horizontal="center" vertical="center"/>
    </xf>
    <xf numFmtId="0" fontId="21" fillId="0" borderId="55" xfId="0" applyFont="1" applyBorder="1">
      <alignment horizontal="center" vertical="center"/>
    </xf>
    <xf numFmtId="0" fontId="21" fillId="0" borderId="56" xfId="0" applyFont="1" applyBorder="1">
      <alignment horizontal="center" vertical="center"/>
    </xf>
    <xf numFmtId="0" fontId="21" fillId="0" borderId="60" xfId="0" applyFont="1" applyBorder="1">
      <alignment horizontal="center" vertical="center"/>
    </xf>
    <xf numFmtId="0" fontId="21" fillId="0" borderId="20" xfId="0" applyFont="1" applyBorder="1">
      <alignment horizontal="center" vertical="center"/>
    </xf>
    <xf numFmtId="0" fontId="19" fillId="0" borderId="12" xfId="0" applyFont="1" applyBorder="1">
      <alignment horizontal="center" vertical="center"/>
    </xf>
    <xf numFmtId="171" fontId="19" fillId="0" borderId="12" xfId="0" applyFont="1" applyBorder="1" applyNumberFormat="1">
      <alignment horizontal="center" vertical="center"/>
    </xf>
    <xf numFmtId="0" fontId="19" fillId="0" borderId="18" xfId="0" applyFont="1" applyBorder="1">
      <alignment horizontal="left" vertical="center"/>
    </xf>
    <xf numFmtId="0" fontId="19" fillId="0" borderId="20" xfId="0" applyFont="1" applyBorder="1">
      <alignment horizontal="left" vertical="center"/>
    </xf>
    <xf numFmtId="0" fontId="23" fillId="0" borderId="18" xfId="0" applyFont="1" applyBorder="1">
      <alignment horizontal="center" vertical="center" wrapText="1"/>
    </xf>
    <xf numFmtId="0" fontId="23" fillId="0" borderId="61" xfId="0" applyFont="1" applyBorder="1">
      <alignment horizontal="center" vertical="center" wrapText="1"/>
    </xf>
    <xf numFmtId="0" fontId="23" fillId="0" borderId="20" xfId="0" applyFont="1" applyBorder="1">
      <alignment horizontal="center" vertical="center" wrapText="1"/>
    </xf>
    <xf numFmtId="0" fontId="23" fillId="0" borderId="12" xfId="0" applyFont="1" applyBorder="1">
      <alignment horizontal="center" vertical="center"/>
    </xf>
    <xf numFmtId="0" fontId="23" fillId="0" borderId="18" xfId="0" applyFont="1" applyBorder="1">
      <alignment horizontal="center" vertical="center"/>
    </xf>
    <xf numFmtId="0" fontId="23" fillId="0" borderId="61" xfId="0" applyFont="1" applyBorder="1">
      <alignment horizontal="center" vertical="center"/>
    </xf>
    <xf numFmtId="0" fontId="23" fillId="0" borderId="19" xfId="0" applyFont="1" applyBorder="1">
      <alignment horizontal="center" vertical="center"/>
    </xf>
    <xf numFmtId="0" fontId="23" fillId="0" borderId="58" xfId="0" applyFont="1" applyBorder="1">
      <alignment horizontal="center" vertical="center"/>
    </xf>
    <xf numFmtId="0" fontId="23" fillId="0" borderId="16" xfId="0" applyFont="1" applyBorder="1">
      <alignment horizontal="center" vertical="center"/>
    </xf>
    <xf numFmtId="0" fontId="23" fillId="0" borderId="59" xfId="0" applyFont="1" applyBorder="1">
      <alignment horizontal="center" vertical="center"/>
    </xf>
    <xf numFmtId="0" fontId="23" fillId="0" borderId="62" xfId="0" applyFont="1" applyBorder="1">
      <alignment horizontal="center" vertical="center"/>
    </xf>
    <xf numFmtId="0" fontId="23" fillId="0" borderId="0" xfId="0" applyFont="1">
      <alignment horizontal="center" vertical="center"/>
    </xf>
    <xf numFmtId="0" fontId="23" fillId="0" borderId="63" xfId="0" applyFont="1" applyBorder="1">
      <alignment horizontal="center" vertical="center"/>
    </xf>
    <xf numFmtId="0" fontId="23" fillId="0" borderId="64" xfId="0" applyFont="1" applyBorder="1">
      <alignment horizontal="center" vertical="center"/>
    </xf>
    <xf numFmtId="0" fontId="23" fillId="0" borderId="15" xfId="0" applyFont="1" applyBorder="1">
      <alignment horizontal="center" vertical="center"/>
    </xf>
    <xf numFmtId="0" fontId="23" fillId="0" borderId="65" xfId="0" applyFont="1" applyBorder="1">
      <alignment horizontal="center" vertical="center"/>
    </xf>
    <xf numFmtId="172" fontId="22" fillId="0" borderId="12" xfId="0" applyFont="1" applyBorder="1" applyNumberFormat="1">
      <alignment horizontal="center" vertical="center" wrapText="1"/>
    </xf>
    <xf numFmtId="171" fontId="22" fillId="0" borderId="14" xfId="0" applyFont="1" applyBorder="1" applyNumberFormat="1">
      <alignment horizontal="center" vertical="center" wrapText="1"/>
    </xf>
    <xf numFmtId="171" fontId="19" fillId="0" borderId="26" xfId="0" applyFont="1" applyBorder="1" applyNumberFormat="1">
      <alignment horizontal="center" vertical="center"/>
    </xf>
    <xf numFmtId="0" fontId="21" fillId="0" borderId="34" xfId="0" applyFont="1" applyBorder="1">
      <alignment horizontal="center" vertical="center"/>
    </xf>
    <xf numFmtId="0" fontId="21" fillId="0" borderId="36" xfId="0" applyFont="1" applyBorder="1">
      <alignment horizontal="center" vertical="center"/>
    </xf>
    <xf numFmtId="0" fontId="19" fillId="7" borderId="26" xfId="0" applyFont="1" applyFill="1" applyBorder="1">
      <alignment vertical="center" wrapText="1"/>
    </xf>
    <xf numFmtId="0" fontId="19" fillId="0" borderId="26" xfId="0" applyFont="1" applyBorder="1">
      <alignment vertical="center" wrapText="1"/>
    </xf>
    <xf numFmtId="0" fontId="19" fillId="0" borderId="26" xfId="0" applyFont="1" applyBorder="1">
      <alignment vertical="center"/>
    </xf>
    <xf numFmtId="0" fontId="19" fillId="0" borderId="26" xfId="0" applyFont="1" applyBorder="1">
      <alignment horizontal="right" vertical="center" wrapText="1"/>
    </xf>
    <xf numFmtId="0" fontId="21" fillId="0" borderId="34" xfId="0" applyFont="1" applyBorder="1">
      <alignment horizontal="center" vertical="center"/>
    </xf>
    <xf numFmtId="171" fontId="19" fillId="7" borderId="26" xfId="0" applyFont="1" applyFill="1" applyBorder="1" applyNumberFormat="1">
      <alignment horizontal="right" vertical="center"/>
    </xf>
    <xf numFmtId="172" fontId="19" fillId="0" borderId="26" xfId="0" applyFont="1" applyBorder="1" applyNumberFormat="1">
      <alignment horizontal="right" vertical="center"/>
    </xf>
    <xf numFmtId="0" fontId="22" fillId="7" borderId="34" xfId="0" applyFont="1" applyFill="1" applyBorder="1">
      <alignment horizontal="center" vertical="center"/>
    </xf>
    <xf numFmtId="20" fontId="22" fillId="0" borderId="34" xfId="0" applyFont="1" applyBorder="1" applyNumberFormat="1">
      <alignment horizontal="left" vertical="center" shrinkToFit="1"/>
    </xf>
    <xf numFmtId="0" fontId="18" fillId="0" borderId="34" xfId="0" applyFont="1" applyBorder="1">
      <alignment horizontal="center" vertical="center" wrapText="1"/>
    </xf>
    <xf numFmtId="0" fontId="20" fillId="0" borderId="34" xfId="0" applyFont="1" applyBorder="1">
      <alignment horizontal="center" vertical="center" wrapText="1"/>
    </xf>
    <xf numFmtId="0" fontId="20" fillId="0" borderId="34" xfId="0" applyFont="1" applyBorder="1">
      <alignment horizontal="center" vertical="center" wrapText="1"/>
    </xf>
    <xf numFmtId="171" fontId="18" fillId="0" borderId="34" xfId="0" applyFont="1" applyBorder="1" applyNumberFormat="1">
      <alignment horizontal="right" vertical="center" wrapText="1"/>
    </xf>
    <xf numFmtId="171" fontId="18" fillId="0" borderId="34" xfId="0" applyFont="1" applyBorder="1" applyNumberFormat="1">
      <alignment horizontal="right" vertical="center"/>
    </xf>
    <xf numFmtId="171" fontId="18" fillId="0" borderId="34" xfId="0" applyFont="1" applyBorder="1" applyNumberFormat="1">
      <alignment horizontal="right" vertical="center" wrapText="1"/>
    </xf>
    <xf numFmtId="171" fontId="19" fillId="0" borderId="34" xfId="0" applyFont="1" applyBorder="1" applyNumberFormat="1">
      <alignment horizontal="right" vertical="center"/>
    </xf>
    <xf numFmtId="0" fontId="21" fillId="34" borderId="66" xfId="0" applyFont="1" applyFill="1" applyBorder="1">
      <alignment horizontal="center" vertical="center" wrapText="1"/>
    </xf>
    <xf numFmtId="0" fontId="21" fillId="34" borderId="67" xfId="0" applyFont="1" applyFill="1" applyBorder="1">
      <alignment horizontal="center" vertical="center" wrapText="1"/>
    </xf>
    <xf numFmtId="0" fontId="21" fillId="34" borderId="68" xfId="0" applyFont="1" applyFill="1" applyBorder="1">
      <alignment horizontal="center" vertical="center" wrapText="1"/>
    </xf>
    <xf numFmtId="0" fontId="21" fillId="34" borderId="35" xfId="0" applyFont="1" applyFill="1" applyBorder="1">
      <alignment horizontal="left" vertical="center" wrapText="1"/>
    </xf>
    <xf numFmtId="0" fontId="21" fillId="34" borderId="26" xfId="0" applyFont="1" applyFill="1" applyBorder="1">
      <alignment vertical="center" textRotation="255" wrapText="1"/>
    </xf>
    <xf numFmtId="0" fontId="21" fillId="0" borderId="36" xfId="0" applyFont="1" applyBorder="1">
      <alignment horizontal="center" vertical="center"/>
    </xf>
    <xf numFmtId="172" fontId="19" fillId="0" borderId="34" xfId="0" applyFont="1" applyBorder="1" applyNumberFormat="1">
      <alignment vertical="center"/>
    </xf>
    <xf numFmtId="0" fontId="19" fillId="0" borderId="18" xfId="0" applyFont="1" applyBorder="1">
      <alignment horizontal="center" vertical="center"/>
    </xf>
    <xf numFmtId="0" fontId="19" fillId="0" borderId="20" xfId="0" applyFont="1" applyBorder="1">
      <alignment horizontal="center" vertical="center"/>
    </xf>
    <xf numFmtId="0" fontId="23" fillId="0" borderId="0" xfId="0" applyFont="1">
      <alignment vertical="top" wrapText="1"/>
    </xf>
    <xf numFmtId="0" fontId="20" fillId="0" borderId="34" xfId="0" applyFont="1" applyBorder="1">
      <alignment horizontal="center" vertical="center"/>
    </xf>
    <xf numFmtId="0" fontId="20" fillId="0" borderId="36" xfId="0" applyFont="1" applyBorder="1">
      <alignment horizontal="center" vertical="center"/>
    </xf>
    <xf numFmtId="0" fontId="20" fillId="0" borderId="36" xfId="0" applyFont="1" applyBorder="1">
      <alignment horizontal="center" vertical="center" wrapText="1"/>
    </xf>
    <xf numFmtId="0" fontId="20" fillId="0" borderId="34" xfId="0" applyFont="1" applyBorder="1">
      <alignment horizontal="center" vertical="center" wrapText="1"/>
    </xf>
    <xf numFmtId="0" fontId="20" fillId="0" borderId="36" xfId="0" applyFont="1" applyBorder="1">
      <alignment horizontal="center" vertical="center" wrapText="1"/>
    </xf>
    <xf numFmtId="0" fontId="0" fillId="0" borderId="14" xfId="0" applyFont="1" applyBorder="1">
      <alignment horizontal="left" vertical="center"/>
    </xf>
    <xf numFmtId="0" fontId="18" fillId="7" borderId="36" xfId="0" applyFont="1" applyFill="1" applyBorder="1">
      <alignment horizontal="right" vertical="center" wrapText="1"/>
    </xf>
    <xf numFmtId="0" fontId="18" fillId="7" borderId="34" xfId="0" applyFont="1" applyFill="1" applyBorder="1">
      <alignment horizontal="right" wrapText="1"/>
    </xf>
    <xf numFmtId="0" fontId="18" fillId="7" borderId="36" xfId="0" applyFont="1" applyFill="1" applyBorder="1">
      <alignment horizontal="right" wrapText="1"/>
    </xf>
    <xf numFmtId="0" fontId="18" fillId="7" borderId="34" xfId="0" applyFont="1" applyFill="1" applyBorder="1">
      <alignment horizontal="right" vertical="center" wrapText="1"/>
    </xf>
    <xf numFmtId="0" fontId="18" fillId="7" borderId="36" xfId="0" applyFont="1" applyFill="1" applyBorder="1">
      <alignment horizontal="right" vertical="center" wrapText="1"/>
    </xf>
    <xf numFmtId="0" fontId="18" fillId="0" borderId="36" xfId="0" applyFont="1" applyBorder="1">
      <alignment horizontal="right" vertical="center" wrapText="1"/>
    </xf>
    <xf numFmtId="0" fontId="18" fillId="0" borderId="34" xfId="0" applyFont="1" applyBorder="1">
      <alignment horizontal="right" vertical="center" wrapText="1"/>
    </xf>
    <xf numFmtId="0" fontId="18" fillId="0" borderId="36" xfId="0" applyFont="1" applyBorder="1">
      <alignment horizontal="right" vertical="center" wrapText="1"/>
    </xf>
    <xf numFmtId="0" fontId="18" fillId="0" borderId="66" xfId="0" applyFont="1" applyBorder="1">
      <alignment vertical="center" wrapText="1"/>
    </xf>
    <xf numFmtId="0" fontId="18" fillId="0" borderId="34" xfId="0" applyFont="1" applyBorder="1">
      <alignment vertical="center" wrapText="1"/>
    </xf>
    <xf numFmtId="0" fontId="18" fillId="0" borderId="36" xfId="0" applyFont="1" applyBorder="1">
      <alignment vertical="center" wrapText="1"/>
    </xf>
    <xf numFmtId="0" fontId="23" fillId="0" borderId="26" xfId="0" applyFont="1" applyBorder="1">
      <alignment horizontal="center" vertical="center"/>
    </xf>
    <xf numFmtId="0" fontId="21" fillId="0" borderId="69" xfId="0" applyFont="1" applyBorder="1">
      <alignment horizontal="center" vertical="center"/>
    </xf>
    <xf numFmtId="0" fontId="21" fillId="0" borderId="43" xfId="0" applyFont="1" applyBorder="1">
      <alignment horizontal="center" vertical="center"/>
    </xf>
    <xf numFmtId="0" fontId="23" fillId="0" borderId="70" xfId="0" applyFont="1" applyBorder="1">
      <alignment horizontal="center" vertical="center" wrapText="1"/>
    </xf>
    <xf numFmtId="0" fontId="23" fillId="0" borderId="69" xfId="0" applyFont="1" applyBorder="1">
      <alignment horizontal="center" vertical="center" wrapText="1"/>
    </xf>
    <xf numFmtId="0" fontId="23" fillId="0" borderId="71" xfId="0" applyFont="1" applyBorder="1">
      <alignment horizontal="center" vertical="center" wrapText="1"/>
    </xf>
    <xf numFmtId="0" fontId="23" fillId="0" borderId="43" xfId="0" applyFont="1" applyBorder="1">
      <alignment horizontal="center" vertical="center" wrapText="1"/>
    </xf>
    <xf numFmtId="0" fontId="23" fillId="0" borderId="36" xfId="0" applyFont="1" applyBorder="1">
      <alignment horizontal="center" vertical="center"/>
    </xf>
    <xf numFmtId="0" fontId="23" fillId="0" borderId="34" xfId="0" applyFont="1" applyBorder="1">
      <alignment horizontal="center" vertical="center"/>
    </xf>
    <xf numFmtId="0" fontId="20" fillId="0" borderId="26" xfId="0" applyFont="1" applyBorder="1">
      <alignment horizontal="center" vertical="center" wrapText="1"/>
    </xf>
    <xf numFmtId="0" fontId="23" fillId="0" borderId="34" xfId="0" applyFont="1" applyBorder="1">
      <alignment horizontal="center" vertical="top" wrapText="1"/>
    </xf>
    <xf numFmtId="0" fontId="23" fillId="0" borderId="34" xfId="0" applyFont="1" applyBorder="1">
      <alignment horizontal="center" vertical="center" wrapText="1"/>
    </xf>
    <xf numFmtId="0" fontId="23" fillId="0" borderId="25" xfId="0" applyFont="1" applyBorder="1">
      <alignment horizontal="center" vertical="center" wrapText="1"/>
    </xf>
    <xf numFmtId="0" fontId="23" fillId="0" borderId="36" xfId="0" applyFont="1" applyBorder="1">
      <alignment horizontal="center" vertical="center" wrapText="1"/>
    </xf>
    <xf numFmtId="0" fontId="23" fillId="0" borderId="26" xfId="0" applyFont="1" applyBorder="1">
      <alignment horizontal="center" vertical="center" wrapText="1"/>
    </xf>
    <xf numFmtId="0" fontId="21" fillId="0" borderId="0" xfId="0" applyFont="1">
      <alignment horizontal="left" vertical="top" wrapText="1"/>
    </xf>
    <xf numFmtId="0" fontId="21" fillId="0" borderId="43" xfId="0" applyFont="1" applyBorder="1">
      <alignment horizontal="left" vertical="top" wrapText="1"/>
    </xf>
    <xf numFmtId="0" fontId="21" fillId="0" borderId="72" xfId="0" applyFont="1" applyBorder="1">
      <alignment horizontal="center" vertical="center"/>
    </xf>
    <xf numFmtId="0" fontId="23" fillId="0" borderId="25" xfId="0" applyFont="1" applyBorder="1">
      <alignment horizontal="center" vertical="top" wrapText="1"/>
    </xf>
    <xf numFmtId="0" fontId="23" fillId="0" borderId="34" xfId="0" applyFont="1" applyBorder="1">
      <alignment horizontal="center" vertical="center" wrapText="1"/>
    </xf>
    <xf numFmtId="0" fontId="21" fillId="0" borderId="70" xfId="0" applyFont="1" applyBorder="1">
      <alignment horizontal="center" vertical="center"/>
    </xf>
    <xf numFmtId="0" fontId="21" fillId="0" borderId="73" xfId="0" applyFont="1" applyBorder="1">
      <alignment horizontal="left" vertical="top" wrapText="1"/>
    </xf>
    <xf numFmtId="0" fontId="21" fillId="0" borderId="71" xfId="0" applyFont="1" applyBorder="1">
      <alignment horizontal="left" vertical="top" wrapText="1"/>
    </xf>
    <xf numFmtId="0" fontId="21" fillId="0" borderId="70" xfId="0" applyFont="1" applyBorder="1">
      <alignment horizontal="left" vertical="top" wrapText="1"/>
    </xf>
    <xf numFmtId="0" fontId="21" fillId="0" borderId="69" xfId="0" applyFont="1" applyBorder="1">
      <alignment horizontal="left" vertical="top" wrapText="1"/>
    </xf>
    <xf numFmtId="0" fontId="21" fillId="0" borderId="72" xfId="0" applyFont="1" applyBorder="1">
      <alignment horizontal="left" vertical="top" wrapText="1"/>
    </xf>
    <xf numFmtId="0" fontId="21" fillId="0" borderId="74" xfId="0" applyFont="1" applyBorder="1">
      <alignment horizontal="left" vertical="top" wrapText="1"/>
    </xf>
    <xf numFmtId="0" fontId="21" fillId="0" borderId="44" xfId="0" applyFont="1" applyBorder="1">
      <alignment horizontal="left" vertical="top" wrapText="1"/>
    </xf>
    <xf numFmtId="0" fontId="22" fillId="7" borderId="34" xfId="0" applyFont="1" applyFill="1" applyBorder="1">
      <alignment horizontal="right" vertical="center"/>
    </xf>
    <xf numFmtId="0" fontId="22" fillId="7" borderId="36" xfId="0" applyFont="1" applyFill="1" applyBorder="1">
      <alignment horizontal="right" vertical="center"/>
    </xf>
    <xf numFmtId="171" fontId="22" fillId="7" borderId="26" xfId="0" applyFont="1" applyFill="1" applyBorder="1" applyNumberFormat="1">
      <alignment horizontal="right" vertical="center" wrapText="1"/>
    </xf>
    <xf numFmtId="0" fontId="22" fillId="0" borderId="34" xfId="0" applyFont="1" applyBorder="1">
      <alignment horizontal="right" vertical="center"/>
    </xf>
    <xf numFmtId="0" fontId="22" fillId="0" borderId="36" xfId="0" applyFont="1" applyBorder="1">
      <alignment horizontal="right" vertical="center"/>
    </xf>
    <xf numFmtId="172" fontId="22" fillId="0" borderId="14" xfId="0" applyFont="1" applyBorder="1" applyNumberFormat="1">
      <alignment vertical="center" wrapText="1"/>
    </xf>
    <xf numFmtId="172" fontId="22" fillId="0" borderId="26" xfId="0" applyFont="1" applyBorder="1" applyNumberFormat="1">
      <alignment vertical="top" wrapText="1"/>
    </xf>
    <xf numFmtId="0" fontId="22" fillId="0" borderId="34" xfId="0" applyFont="1" applyBorder="1">
      <alignment vertical="top" wrapText="1"/>
    </xf>
    <xf numFmtId="173" fontId="19" fillId="0" borderId="26" xfId="0" applyFont="1" applyBorder="1" applyNumberFormat="1">
      <alignment vertical="center"/>
    </xf>
    <xf numFmtId="173" fontId="19" fillId="0" borderId="26" xfId="0" applyFont="1" applyBorder="1" applyNumberFormat="1">
      <alignment vertical="center" wrapText="1"/>
    </xf>
    <xf numFmtId="0" fontId="19" fillId="0" borderId="0" xfId="0" applyFont="1">
      <alignment horizontal="center" vertical="center" wrapText="1"/>
    </xf>
    <xf numFmtId="0" fontId="0" fillId="0" borderId="0" xfId="0" applyFont="1">
      <alignment wrapText="1"/>
    </xf>
    <xf numFmtId="0" fontId="25" fillId="0" borderId="39" xfId="0" applyFont="1" applyBorder="1">
      <alignment horizontal="center" vertical="center" wrapText="1"/>
    </xf>
    <xf numFmtId="0" fontId="25" fillId="0" borderId="40" xfId="0" applyFont="1" applyBorder="1">
      <alignment horizontal="center" vertical="center" wrapText="1"/>
    </xf>
    <xf numFmtId="0" fontId="25" fillId="0" borderId="41" xfId="0" applyFont="1" applyBorder="1">
      <alignment horizontal="center" vertical="center" wrapText="1"/>
    </xf>
    <xf numFmtId="0" fontId="25" fillId="0" borderId="42" xfId="0" applyFont="1" applyBorder="1">
      <alignment horizontal="center" vertical="center" wrapText="1"/>
    </xf>
    <xf numFmtId="0" fontId="25" fillId="0" borderId="43" xfId="0" applyFont="1" applyBorder="1">
      <alignment horizontal="center" vertical="center" wrapText="1"/>
    </xf>
    <xf numFmtId="0" fontId="25" fillId="0" borderId="44" xfId="0" applyFont="1" applyBorder="1">
      <alignment horizontal="center" vertical="center" wrapText="1"/>
    </xf>
    <xf numFmtId="0" fontId="25" fillId="0" borderId="24" xfId="0" applyFont="1" applyBorder="1">
      <alignment horizontal="center" vertical="center" wrapText="1"/>
    </xf>
    <xf numFmtId="0" fontId="25" fillId="0" borderId="25" xfId="0" applyFont="1" applyBorder="1">
      <alignment horizontal="center" vertical="center" wrapText="1"/>
    </xf>
    <xf numFmtId="0" fontId="18" fillId="0" borderId="25" xfId="0" applyFont="1" applyBorder="1">
      <alignment horizontal="right" vertical="center" wrapText="1"/>
    </xf>
    <xf numFmtId="0" fontId="18" fillId="0" borderId="25" xfId="0" applyFont="1" applyBorder="1">
      <alignment horizontal="left" vertical="center" wrapText="1"/>
    </xf>
    <xf numFmtId="0" fontId="18" fillId="0" borderId="25" xfId="0" applyFont="1" applyBorder="1">
      <alignment horizontal="center" vertical="center" wrapText="1"/>
    </xf>
    <xf numFmtId="0" fontId="18" fillId="0" borderId="25" xfId="0" applyFont="1" applyBorder="1">
      <alignment vertical="center" wrapText="1"/>
    </xf>
    <xf numFmtId="2" fontId="22" fillId="0" borderId="25" xfId="0" applyFont="1" applyBorder="1" applyNumberFormat="1">
      <alignment horizontal="right" vertical="center" wrapText="1" shrinkToFit="1"/>
    </xf>
    <xf numFmtId="20" fontId="22" fillId="0" borderId="25" xfId="0" applyFont="1" applyBorder="1" applyNumberFormat="1">
      <alignment horizontal="left" vertical="center" wrapText="1" shrinkToFit="1"/>
    </xf>
    <xf numFmtId="0" fontId="0" fillId="0" borderId="25" xfId="0" applyFont="1" applyBorder="1">
      <alignment horizontal="right" vertical="center" wrapText="1"/>
    </xf>
    <xf numFmtId="21" fontId="0" fillId="0" borderId="29" xfId="0" applyFont="1" applyBorder="1" applyNumberFormat="1">
      <alignment horizontal="left" vertical="center" wrapText="1"/>
    </xf>
    <xf numFmtId="0" fontId="0" fillId="0" borderId="0" xfId="0" applyFont="1"/>
    <xf numFmtId="0" fontId="19" fillId="0" borderId="0" xfId="0" applyFont="1">
      <alignment horizontal="center" vertical="center" wrapText="1"/>
    </xf>
    <xf numFmtId="0" fontId="21" fillId="34" borderId="28" xfId="0" applyFont="1" applyFill="1" applyBorder="1">
      <alignment horizontal="left" vertical="center" wrapText="1"/>
    </xf>
    <xf numFmtId="0" fontId="21" fillId="34" borderId="26" xfId="0" applyFont="1" applyFill="1" applyBorder="1">
      <alignment horizontal="left" vertical="center" wrapText="1"/>
    </xf>
    <xf numFmtId="20" fontId="21" fillId="34" borderId="26" xfId="0" applyFont="1" applyFill="1" applyBorder="1" applyNumberFormat="1">
      <alignment horizontal="center" vertical="center" wrapText="1"/>
    </xf>
    <xf numFmtId="20" fontId="21" fillId="34" borderId="34" xfId="0" applyFont="1" applyFill="1" applyBorder="1" applyNumberFormat="1">
      <alignment horizontal="left" vertical="center" wrapText="1"/>
    </xf>
    <xf numFmtId="20" fontId="21" fillId="34" borderId="25" xfId="0" applyFont="1" applyFill="1" applyBorder="1" applyNumberFormat="1">
      <alignment horizontal="left" vertical="center" wrapText="1"/>
    </xf>
    <xf numFmtId="20" fontId="21" fillId="34" borderId="36" xfId="0" applyFont="1" applyFill="1" applyBorder="1" applyNumberFormat="1">
      <alignment horizontal="left" vertical="center" wrapText="1"/>
    </xf>
    <xf numFmtId="20" fontId="21" fillId="34" borderId="34" xfId="0" applyFont="1" applyFill="1" applyBorder="1" applyNumberFormat="1">
      <alignment horizontal="center" vertical="center" wrapText="1"/>
    </xf>
    <xf numFmtId="20" fontId="21" fillId="34" borderId="36" xfId="0" applyFont="1" applyFill="1" applyBorder="1" applyNumberFormat="1">
      <alignment horizontal="center" vertical="center" wrapText="1"/>
    </xf>
    <xf numFmtId="20" fontId="21" fillId="34" borderId="26" xfId="0" applyFont="1" applyFill="1" applyBorder="1" applyNumberFormat="1">
      <alignment horizontal="center" vertical="center" wrapText="1"/>
    </xf>
    <xf numFmtId="0" fontId="21" fillId="34" borderId="34" xfId="0" applyFont="1" applyFill="1" applyBorder="1">
      <alignment horizontal="left" vertical="center" wrapText="1"/>
    </xf>
    <xf numFmtId="0" fontId="21" fillId="34" borderId="25" xfId="0" applyFont="1" applyFill="1" applyBorder="1">
      <alignment horizontal="left" vertical="center" wrapText="1"/>
    </xf>
    <xf numFmtId="0" fontId="21" fillId="34" borderId="36" xfId="0" applyFont="1" applyFill="1" applyBorder="1">
      <alignment horizontal="left" vertical="center" wrapText="1"/>
    </xf>
    <xf numFmtId="0" fontId="21" fillId="34" borderId="35" xfId="0" applyFont="1" applyFill="1" applyBorder="1">
      <alignment horizontal="left" vertical="center" wrapText="1"/>
    </xf>
    <xf numFmtId="174" fontId="21" fillId="34" borderId="26" xfId="0" applyFont="1" applyFill="1" applyBorder="1" applyNumberFormat="1">
      <alignment horizontal="center" vertical="center" wrapText="1"/>
    </xf>
    <xf numFmtId="174" fontId="21" fillId="34" borderId="27" xfId="0" applyFont="1" applyFill="1" applyBorder="1" applyNumberFormat="1">
      <alignment horizontal="center" vertical="center" wrapText="1"/>
    </xf>
    <xf numFmtId="0" fontId="0" fillId="0" borderId="0" xfId="0" applyFont="1"/>
    <xf numFmtId="0" fontId="21" fillId="34" borderId="28" xfId="0" applyFont="1" applyFill="1" applyBorder="1">
      <alignment horizontal="center" vertical="center" wrapText="1"/>
    </xf>
    <xf numFmtId="0" fontId="21" fillId="34" borderId="26" xfId="0" applyFont="1" applyFill="1" applyBorder="1">
      <alignment horizontal="center" vertical="center" wrapText="1"/>
    </xf>
    <xf numFmtId="176" fontId="19" fillId="7" borderId="26" xfId="0" applyFont="1" applyFill="1" applyBorder="1" applyNumberFormat="1">
      <alignment horizontal="center" vertical="center" wrapText="1"/>
      <protection locked="0"/>
    </xf>
    <xf numFmtId="176" fontId="19" fillId="7" borderId="26" xfId="0" applyFont="1" applyFill="1" applyBorder="1" applyNumberFormat="1">
      <alignment horizontal="center" vertical="center" wrapText="1"/>
    </xf>
    <xf numFmtId="173" fontId="21" fillId="34" borderId="26" xfId="0" applyFont="1" applyFill="1" applyBorder="1" applyNumberFormat="1">
      <alignment horizontal="center" vertical="center" wrapText="1"/>
    </xf>
    <xf numFmtId="0" fontId="21" fillId="34" borderId="34" xfId="0" applyFont="1" applyFill="1" applyBorder="1">
      <alignment horizontal="center" vertical="center" wrapText="1"/>
    </xf>
    <xf numFmtId="0" fontId="21" fillId="34" borderId="25" xfId="0" applyFont="1" applyFill="1" applyBorder="1">
      <alignment horizontal="center" vertical="center" wrapText="1"/>
    </xf>
    <xf numFmtId="0" fontId="21" fillId="34" borderId="36" xfId="0" applyFont="1" applyFill="1" applyBorder="1">
      <alignment horizontal="center" vertical="center" wrapText="1"/>
    </xf>
    <xf numFmtId="176" fontId="19" fillId="7" borderId="34" xfId="0" applyFont="1" applyFill="1" applyBorder="1" applyNumberFormat="1">
      <alignment horizontal="center" vertical="center" wrapText="1"/>
      <protection locked="0"/>
    </xf>
    <xf numFmtId="176" fontId="19" fillId="7" borderId="36" xfId="0" applyFont="1" applyFill="1" applyBorder="1" applyNumberFormat="1">
      <alignment horizontal="center" vertical="center" wrapText="1"/>
    </xf>
    <xf numFmtId="176" fontId="19" fillId="7" borderId="26" xfId="0" applyFont="1" applyFill="1" applyBorder="1" applyNumberFormat="1">
      <alignment horizontal="center" vertical="center" wrapText="1"/>
      <protection locked="0"/>
    </xf>
    <xf numFmtId="176" fontId="19" fillId="7" borderId="26" xfId="0" applyFont="1" applyFill="1" applyBorder="1" applyNumberFormat="1">
      <alignment horizontal="center" vertical="center" wrapText="1"/>
      <protection locked="0"/>
    </xf>
    <xf numFmtId="0" fontId="21" fillId="34" borderId="35" xfId="0" applyFont="1" applyFill="1" applyBorder="1">
      <alignment horizontal="center" vertical="center" wrapText="1"/>
    </xf>
    <xf numFmtId="0" fontId="21" fillId="34" borderId="34" xfId="0" applyFont="1" applyFill="1" applyBorder="1">
      <alignment horizontal="center" vertical="center" wrapText="1"/>
      <protection locked="0"/>
    </xf>
    <xf numFmtId="0" fontId="21" fillId="34" borderId="36" xfId="0" applyFont="1" applyFill="1" applyBorder="1">
      <alignment horizontal="center" vertical="center" wrapText="1"/>
      <protection locked="0"/>
    </xf>
    <xf numFmtId="176" fontId="19" fillId="7" borderId="26" xfId="0" applyFont="1" applyFill="1" applyBorder="1" applyNumberFormat="1">
      <alignment horizontal="center" vertical="center" wrapText="1"/>
      <protection locked="0"/>
    </xf>
    <xf numFmtId="0" fontId="21" fillId="34" borderId="26" xfId="0" applyFont="1" applyFill="1" applyBorder="1">
      <alignment horizontal="center" vertical="center" wrapText="1"/>
    </xf>
    <xf numFmtId="176" fontId="19" fillId="7" borderId="26" xfId="0" applyFont="1" applyFill="1" applyBorder="1" applyNumberFormat="1">
      <alignment horizontal="center" vertical="center" wrapText="1"/>
      <protection locked="0"/>
    </xf>
    <xf numFmtId="176" fontId="22" fillId="7" borderId="34" xfId="0" applyFont="1" applyFill="1" applyBorder="1" applyNumberFormat="1">
      <alignment horizontal="center" vertical="center" wrapText="1"/>
      <protection locked="0"/>
    </xf>
    <xf numFmtId="0" fontId="21" fillId="34" borderId="26" xfId="0" applyFont="1" applyFill="1" applyBorder="1">
      <alignment vertical="center" textRotation="255" wrapText="1"/>
    </xf>
    <xf numFmtId="176" fontId="19" fillId="7" borderId="26" xfId="0" applyFont="1" applyFill="1" applyBorder="1" applyNumberFormat="1">
      <alignment horizontal="right" vertical="center" wrapText="1"/>
      <protection locked="0"/>
    </xf>
    <xf numFmtId="176" fontId="19" fillId="7" borderId="27" xfId="0" applyFont="1" applyFill="1" applyBorder="1" applyNumberFormat="1">
      <alignment horizontal="right" vertical="center" wrapText="1"/>
      <protection locked="0"/>
    </xf>
    <xf numFmtId="0" fontId="0" fillId="0" borderId="0" xfId="0" applyFont="1"/>
    <xf numFmtId="0" fontId="21" fillId="34" borderId="37" xfId="0" applyFont="1" applyFill="1" applyBorder="1">
      <alignment horizontal="center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2" fontId="22" fillId="0" borderId="26" xfId="0" applyFont="1" applyBorder="1" applyNumberFormat="1">
      <alignment horizontal="right" vertical="center" wrapText="1" shrinkToFit="1"/>
    </xf>
    <xf numFmtId="20" fontId="22" fillId="0" borderId="34" xfId="0" applyFont="1" applyBorder="1" applyNumberFormat="1">
      <alignment horizontal="left" vertical="center" wrapText="1" shrinkToFit="1"/>
    </xf>
    <xf numFmtId="0" fontId="0" fillId="0" borderId="0" xfId="0" applyFont="1"/>
    <xf numFmtId="0" fontId="21" fillId="34" borderId="38" xfId="0" applyFont="1" applyFill="1" applyBorder="1">
      <alignment horizontal="center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173" fontId="19" fillId="0" borderId="26" xfId="0" applyFont="1" applyBorder="1" applyNumberFormat="1">
      <alignment vertical="center" wrapText="1"/>
    </xf>
    <xf numFmtId="173" fontId="19" fillId="0" borderId="26" xfId="0" applyFont="1" applyBorder="1" applyNumberFormat="1">
      <alignment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19" fillId="0" borderId="0" xfId="0" applyFont="1">
      <alignment horizontal="center" vertical="center" wrapText="1"/>
    </xf>
    <xf numFmtId="0" fontId="20" fillId="0" borderId="28" xfId="0" applyFont="1" applyBorder="1">
      <alignment horizontal="left" wrapText="1"/>
    </xf>
    <xf numFmtId="0" fontId="20" fillId="0" borderId="26" xfId="0" applyFont="1" applyBorder="1">
      <alignment horizontal="center" vertical="center" wrapText="1"/>
    </xf>
    <xf numFmtId="0" fontId="18" fillId="0" borderId="26" xfId="0" applyFont="1" applyBorder="1">
      <alignment horizontal="center" vertical="center" wrapText="1"/>
    </xf>
    <xf numFmtId="0" fontId="18" fillId="0" borderId="34" xfId="0" applyFont="1" applyBorder="1">
      <alignment horizontal="center" vertical="center" wrapText="1"/>
    </xf>
    <xf numFmtId="0" fontId="0" fillId="0" borderId="0" xfId="0" applyFont="1"/>
    <xf numFmtId="0" fontId="0" fillId="0" borderId="0" xfId="0" applyFont="1"/>
    <xf numFmtId="0" fontId="20" fillId="0" borderId="26" xfId="0" applyFont="1" applyBorder="1">
      <alignment horizontal="center" vertical="center" wrapText="1"/>
    </xf>
    <xf numFmtId="0" fontId="20" fillId="0" borderId="34" xfId="0" applyFont="1" applyBorder="1">
      <alignment horizontal="center" vertical="center" wrapText="1"/>
    </xf>
    <xf numFmtId="0" fontId="0" fillId="0" borderId="0" xfId="0" applyFont="1"/>
    <xf numFmtId="0" fontId="23" fillId="0" borderId="26" xfId="0" applyFont="1" applyBorder="1">
      <alignment horizontal="center" vertical="center" wrapText="1"/>
    </xf>
    <xf numFmtId="0" fontId="20" fillId="0" borderId="34" xfId="0" applyFont="1" applyBorder="1">
      <alignment horizontal="center" vertical="center" wrapText="1"/>
    </xf>
    <xf numFmtId="0" fontId="0" fillId="0" borderId="0" xfId="0" applyFont="1"/>
    <xf numFmtId="0" fontId="20" fillId="0" borderId="28" xfId="0" applyFont="1" applyBorder="1">
      <alignment horizontal="center" vertical="center" wrapText="1"/>
    </xf>
    <xf numFmtId="172" fontId="18" fillId="7" borderId="26" xfId="0" applyFont="1" applyFill="1" applyBorder="1" applyNumberFormat="1">
      <alignment horizontal="right" vertical="center" wrapText="1"/>
      <protection locked="0"/>
    </xf>
    <xf numFmtId="172" fontId="18" fillId="7" borderId="26" xfId="0" applyFont="1" applyFill="1" applyBorder="1" applyNumberFormat="1">
      <alignment horizontal="right" vertical="center" wrapText="1"/>
      <protection locked="0"/>
    </xf>
    <xf numFmtId="172" fontId="18" fillId="7" borderId="26" xfId="0" applyFont="1" applyFill="1" applyBorder="1" applyNumberFormat="1">
      <alignment horizontal="right" vertical="center" wrapText="1"/>
    </xf>
    <xf numFmtId="171" fontId="22" fillId="0" borderId="26" xfId="0" applyFont="1" applyBorder="1" applyNumberFormat="1">
      <alignment horizontal="right" vertical="center" wrapText="1"/>
    </xf>
    <xf numFmtId="172" fontId="18" fillId="0" borderId="26" xfId="0" applyFont="1" applyBorder="1" applyNumberFormat="1">
      <alignment horizontal="right" vertical="center" wrapText="1"/>
    </xf>
    <xf numFmtId="171" fontId="18" fillId="0" borderId="26" xfId="0" applyFont="1" applyBorder="1" applyNumberFormat="1">
      <alignment horizontal="right" vertical="center" wrapText="1"/>
    </xf>
    <xf numFmtId="172" fontId="18" fillId="0" borderId="26" xfId="0" applyFont="1" applyBorder="1" applyNumberFormat="1">
      <alignment horizontal="right" vertical="center" wrapText="1"/>
    </xf>
    <xf numFmtId="171" fontId="18" fillId="0" borderId="34" xfId="0" applyFont="1" applyBorder="1" applyNumberFormat="1">
      <alignment horizontal="right" vertical="center" wrapText="1"/>
    </xf>
    <xf numFmtId="0" fontId="0" fillId="0" borderId="0" xfId="0" applyFont="1"/>
    <xf numFmtId="0" fontId="0" fillId="0" borderId="0" xfId="0" applyFont="1"/>
    <xf numFmtId="0" fontId="20" fillId="0" borderId="28" xfId="0" applyFont="1" applyBorder="1">
      <alignment horizontal="center" vertical="center" wrapText="1"/>
    </xf>
    <xf numFmtId="172" fontId="18" fillId="7" borderId="26" xfId="0" applyFont="1" applyFill="1" applyBorder="1" applyNumberFormat="1">
      <alignment horizontal="right" vertical="center" wrapText="1"/>
      <protection locked="0"/>
    </xf>
    <xf numFmtId="172" fontId="18" fillId="7" borderId="26" xfId="0" applyFont="1" applyFill="1" applyBorder="1" applyNumberFormat="1">
      <alignment horizontal="right" vertical="center" wrapText="1"/>
      <protection locked="0"/>
    </xf>
    <xf numFmtId="172" fontId="18" fillId="7" borderId="26" xfId="0" applyFont="1" applyFill="1" applyBorder="1" applyNumberFormat="1">
      <alignment horizontal="right" vertical="center" wrapText="1"/>
    </xf>
    <xf numFmtId="171" fontId="22" fillId="0" borderId="26" xfId="0" applyFont="1" applyBorder="1" applyNumberFormat="1">
      <alignment horizontal="right" vertical="center" wrapText="1"/>
    </xf>
    <xf numFmtId="172" fontId="18" fillId="0" borderId="26" xfId="0" applyFont="1" applyBorder="1" applyNumberFormat="1">
      <alignment horizontal="right" vertical="center" wrapText="1"/>
    </xf>
    <xf numFmtId="171" fontId="18" fillId="0" borderId="26" xfId="0" applyFont="1" applyBorder="1" applyNumberFormat="1">
      <alignment horizontal="right" vertical="center" wrapText="1"/>
    </xf>
    <xf numFmtId="172" fontId="18" fillId="0" borderId="26" xfId="0" applyFont="1" applyBorder="1" applyNumberFormat="1">
      <alignment horizontal="right" vertical="center" wrapText="1"/>
    </xf>
    <xf numFmtId="171" fontId="18" fillId="0" borderId="34" xfId="0" applyFont="1" applyBorder="1" applyNumberFormat="1">
      <alignment horizontal="right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21" fillId="0" borderId="26" xfId="0" applyFont="1" applyBorder="1">
      <alignment horizontal="center" vertical="center" wrapText="1"/>
    </xf>
    <xf numFmtId="0" fontId="0" fillId="0" borderId="0" xfId="0" applyFont="1"/>
    <xf numFmtId="0" fontId="18" fillId="0" borderId="26" xfId="0" applyFont="1" applyBorder="1">
      <alignment horizontal="right" vertical="center" wrapText="1"/>
    </xf>
    <xf numFmtId="171" fontId="18" fillId="0" borderId="26" xfId="0" applyFont="1" applyBorder="1" applyNumberFormat="1">
      <alignment horizontal="right" vertical="center" wrapText="1"/>
    </xf>
    <xf numFmtId="171" fontId="18" fillId="0" borderId="34" xfId="0" applyFont="1" applyBorder="1" applyNumberFormat="1">
      <alignment horizontal="right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20" fillId="0" borderId="26" xfId="0" applyFont="1" applyBorder="1">
      <alignment horizontal="center" vertical="center" wrapText="1"/>
    </xf>
    <xf numFmtId="0" fontId="21" fillId="0" borderId="26" xfId="0" applyFont="1" applyBorder="1">
      <alignment horizontal="center" vertical="center" wrapText="1"/>
    </xf>
    <xf numFmtId="0" fontId="21" fillId="0" borderId="34" xfId="0" applyFont="1" applyBorder="1">
      <alignment horizontal="center" vertical="center" wrapText="1"/>
    </xf>
    <xf numFmtId="0" fontId="0" fillId="0" borderId="0" xfId="0" applyFont="1"/>
    <xf numFmtId="0" fontId="0" fillId="0" borderId="0" xfId="0" applyFont="1"/>
    <xf numFmtId="172" fontId="18" fillId="35" borderId="26" xfId="0" applyFont="1" applyFill="1" applyBorder="1" applyNumberFormat="1">
      <alignment horizontal="right" vertical="center" wrapText="1"/>
    </xf>
    <xf numFmtId="0" fontId="19" fillId="7" borderId="26" xfId="0" applyFont="1" applyFill="1" applyBorder="1">
      <alignment horizontal="right" vertical="center" wrapText="1"/>
      <protection locked="0"/>
    </xf>
    <xf numFmtId="171" fontId="19" fillId="0" borderId="26" xfId="0" applyFont="1" applyBorder="1" applyNumberFormat="1">
      <alignment horizontal="right" vertical="center" wrapText="1"/>
    </xf>
    <xf numFmtId="0" fontId="19" fillId="0" borderId="26" xfId="0" applyFont="1" applyBorder="1">
      <alignment horizontal="right" vertical="center" wrapText="1"/>
    </xf>
    <xf numFmtId="171" fontId="19" fillId="0" borderId="26" xfId="0" applyFont="1" applyBorder="1" applyNumberFormat="1">
      <alignment horizontal="right" vertical="center" wrapText="1"/>
    </xf>
    <xf numFmtId="171" fontId="19" fillId="0" borderId="34" xfId="0" applyFont="1" applyBorder="1" applyNumberFormat="1">
      <alignment horizontal="right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172" fontId="18" fillId="0" borderId="26" xfId="0" applyFont="1" applyBorder="1" applyNumberFormat="1">
      <alignment horizontal="right" vertical="center" wrapText="1"/>
      <protection locked="0"/>
    </xf>
    <xf numFmtId="0" fontId="21" fillId="34" borderId="66" xfId="0" applyFont="1" applyFill="1" applyBorder="1">
      <alignment horizontal="center" vertical="center" wrapText="1"/>
    </xf>
    <xf numFmtId="0" fontId="19" fillId="0" borderId="26" xfId="0" applyFont="1" applyBorder="1">
      <alignment horizontal="right" vertical="center" wrapText="1"/>
    </xf>
    <xf numFmtId="0" fontId="21" fillId="34" borderId="67" xfId="0" applyFont="1" applyFill="1" applyBorder="1">
      <alignment horizontal="center" vertical="center" wrapText="1"/>
    </xf>
    <xf numFmtId="0" fontId="21" fillId="0" borderId="36" xfId="0" applyFont="1" applyBorder="1">
      <alignment horizontal="center" vertical="center" wrapText="1"/>
    </xf>
    <xf numFmtId="0" fontId="21" fillId="0" borderId="34" xfId="0" applyFont="1" applyBorder="1">
      <alignment horizontal="center" vertical="center" wrapText="1"/>
    </xf>
    <xf numFmtId="0" fontId="21" fillId="0" borderId="36" xfId="0" applyFont="1" applyBorder="1">
      <alignment horizontal="center" vertical="center" wrapText="1"/>
    </xf>
    <xf numFmtId="0" fontId="21" fillId="0" borderId="26" xfId="0" applyFont="1" applyBorder="1">
      <alignment horizontal="center" vertical="center" wrapText="1"/>
    </xf>
    <xf numFmtId="175" fontId="19" fillId="7" borderId="26" xfId="0" applyFont="1" applyFill="1" applyBorder="1" applyNumberFormat="1">
      <alignment horizontal="right" vertical="center" wrapText="1"/>
      <protection locked="0"/>
    </xf>
    <xf numFmtId="175" fontId="19" fillId="7" borderId="26" xfId="0" applyFont="1" applyFill="1" applyBorder="1" applyNumberFormat="1">
      <alignment horizontal="right" vertical="center" wrapText="1"/>
    </xf>
    <xf numFmtId="0" fontId="19" fillId="7" borderId="26" xfId="0" applyFont="1" applyFill="1" applyBorder="1">
      <alignment horizontal="right" vertical="center" wrapText="1"/>
      <protection locked="0"/>
    </xf>
    <xf numFmtId="0" fontId="19" fillId="7" borderId="26" xfId="0" applyFont="1" applyFill="1" applyBorder="1">
      <alignment horizontal="right" vertical="center" wrapText="1"/>
    </xf>
    <xf numFmtId="0" fontId="19" fillId="7" borderId="26" xfId="0" applyFont="1" applyFill="1" applyBorder="1">
      <alignment vertical="center" wrapText="1"/>
      <protection locked="0"/>
    </xf>
    <xf numFmtId="171" fontId="19" fillId="0" borderId="26" xfId="0" applyFont="1" applyBorder="1" applyNumberFormat="1">
      <alignment horizontal="right" vertical="center" wrapText="1"/>
    </xf>
    <xf numFmtId="177" fontId="19" fillId="7" borderId="26" xfId="0" applyFont="1" applyFill="1" applyBorder="1" applyNumberFormat="1">
      <alignment horizontal="right" vertical="center" wrapText="1"/>
      <protection locked="0"/>
    </xf>
    <xf numFmtId="171" fontId="19" fillId="0" borderId="26" xfId="0" applyFont="1" applyBorder="1" applyNumberFormat="1">
      <alignment horizontal="right" vertical="center" wrapText="1"/>
    </xf>
    <xf numFmtId="171" fontId="19" fillId="0" borderId="26" xfId="0" applyFont="1" applyBorder="1" applyNumberFormat="1">
      <alignment horizontal="center" vertical="center" wrapText="1"/>
    </xf>
    <xf numFmtId="172" fontId="19" fillId="0" borderId="34" xfId="0" applyFont="1" applyBorder="1" applyNumberFormat="1">
      <alignment vertical="center" wrapText="1"/>
    </xf>
    <xf numFmtId="0" fontId="21" fillId="34" borderId="68" xfId="0" applyFont="1" applyFill="1" applyBorder="1">
      <alignment horizontal="center" vertical="center" wrapText="1"/>
    </xf>
    <xf numFmtId="0" fontId="19" fillId="34" borderId="26" xfId="0" applyFont="1" applyFill="1" applyBorder="1">
      <alignment horizontal="center" vertical="center" wrapText="1"/>
    </xf>
    <xf numFmtId="173" fontId="19" fillId="34" borderId="26" xfId="0" applyFont="1" applyFill="1" applyBorder="1" applyNumberFormat="1">
      <alignment horizontal="right" vertical="center" wrapText="1"/>
    </xf>
    <xf numFmtId="172" fontId="19" fillId="34" borderId="26" xfId="0" applyFont="1" applyFill="1" applyBorder="1" applyNumberFormat="1">
      <alignment horizontal="right" vertical="center" wrapText="1"/>
    </xf>
    <xf numFmtId="172" fontId="19" fillId="34" borderId="27" xfId="0" applyFont="1" applyFill="1" applyBorder="1" applyNumberFormat="1">
      <alignment horizontal="right" vertical="center" wrapText="1"/>
      <protection locked="0"/>
    </xf>
    <xf numFmtId="177" fontId="19" fillId="0" borderId="26" xfId="0" applyFont="1" applyBorder="1" applyNumberFormat="1">
      <alignment horizontal="right" vertical="center" wrapText="1"/>
    </xf>
    <xf numFmtId="0" fontId="19" fillId="0" borderId="26" xfId="0" applyFont="1" applyBorder="1">
      <alignment horizontal="right" vertical="center" wrapText="1"/>
    </xf>
    <xf numFmtId="0" fontId="19" fillId="0" borderId="26" xfId="0" applyFont="1" applyBorder="1">
      <alignment vertical="center" wrapText="1"/>
    </xf>
    <xf numFmtId="171" fontId="19" fillId="0" borderId="26" xfId="0" applyFont="1" applyBorder="1" applyNumberFormat="1">
      <alignment horizontal="right" vertical="center" wrapText="1"/>
    </xf>
    <xf numFmtId="0" fontId="19" fillId="0" borderId="26" xfId="0" applyFont="1" applyBorder="1">
      <alignment vertical="center" wrapText="1"/>
    </xf>
    <xf numFmtId="172" fontId="19" fillId="0" borderId="26" xfId="0" applyFont="1" applyBorder="1" applyNumberFormat="1">
      <alignment horizontal="right" vertical="center" wrapText="1"/>
    </xf>
    <xf numFmtId="0" fontId="19" fillId="0" borderId="26" xfId="0" applyFont="1" applyBorder="1">
      <alignment horizontal="right" vertical="center" wrapText="1"/>
    </xf>
    <xf numFmtId="171" fontId="19" fillId="0" borderId="26" xfId="0" applyFont="1" applyBorder="1" applyNumberFormat="1">
      <alignment horizontal="right" vertical="center" wrapText="1"/>
    </xf>
    <xf numFmtId="0" fontId="21" fillId="34" borderId="26" xfId="0" applyFont="1" applyFill="1" applyBorder="1">
      <alignment vertical="center" wrapText="1"/>
    </xf>
    <xf numFmtId="2" fontId="19" fillId="34" borderId="26" xfId="0" applyFont="1" applyFill="1" applyBorder="1" applyNumberFormat="1">
      <alignment horizontal="right" vertical="center" wrapText="1"/>
    </xf>
    <xf numFmtId="2" fontId="19" fillId="34" borderId="27" xfId="0" applyFont="1" applyFill="1" applyBorder="1" applyNumberFormat="1">
      <alignment horizontal="right" vertical="center" wrapText="1"/>
      <protection locked="0"/>
    </xf>
    <xf numFmtId="0" fontId="23" fillId="0" borderId="70" xfId="0" applyFont="1" applyBorder="1">
      <alignment horizontal="center" vertical="center" wrapText="1"/>
    </xf>
    <xf numFmtId="0" fontId="23" fillId="0" borderId="69" xfId="0" applyFont="1" applyBorder="1">
      <alignment horizontal="center" vertical="center" wrapText="1"/>
    </xf>
    <xf numFmtId="0" fontId="21" fillId="0" borderId="69" xfId="0" applyFont="1" applyBorder="1">
      <alignment horizontal="center" vertical="center" wrapText="1"/>
    </xf>
    <xf numFmtId="0" fontId="21" fillId="0" borderId="70" xfId="0" applyFont="1" applyBorder="1">
      <alignment horizontal="center" vertical="center" wrapText="1"/>
    </xf>
    <xf numFmtId="0" fontId="21" fillId="0" borderId="72" xfId="0" applyFont="1" applyBorder="1">
      <alignment horizontal="center" vertical="center" wrapText="1"/>
    </xf>
    <xf numFmtId="0" fontId="23" fillId="0" borderId="71" xfId="0" applyFont="1" applyBorder="1">
      <alignment horizontal="center" vertical="center" wrapText="1"/>
    </xf>
    <xf numFmtId="0" fontId="23" fillId="0" borderId="43" xfId="0" applyFont="1" applyBorder="1">
      <alignment horizontal="center" vertical="center" wrapText="1"/>
    </xf>
    <xf numFmtId="0" fontId="21" fillId="0" borderId="43" xfId="0" applyFont="1" applyBorder="1">
      <alignment horizontal="center" vertical="center" wrapText="1"/>
    </xf>
    <xf numFmtId="0" fontId="21" fillId="0" borderId="70" xfId="0" applyFont="1" applyBorder="1">
      <alignment horizontal="left" vertical="top" wrapText="1"/>
      <protection locked="0"/>
    </xf>
    <xf numFmtId="0" fontId="21" fillId="0" borderId="69" xfId="0" applyFont="1" applyBorder="1">
      <alignment horizontal="left" vertical="top" wrapText="1"/>
    </xf>
    <xf numFmtId="0" fontId="21" fillId="0" borderId="72" xfId="0" applyFont="1" applyBorder="1">
      <alignment horizontal="left" vertical="top" wrapText="1"/>
    </xf>
    <xf numFmtId="0" fontId="20" fillId="0" borderId="36" xfId="0" applyFont="1" applyBorder="1">
      <alignment horizontal="center" vertical="center" wrapText="1"/>
    </xf>
    <xf numFmtId="0" fontId="20" fillId="0" borderId="34" xfId="0" applyFont="1" applyBorder="1">
      <alignment horizontal="center" vertical="center" wrapText="1"/>
    </xf>
    <xf numFmtId="0" fontId="20" fillId="0" borderId="36" xfId="0" applyFont="1" applyBorder="1">
      <alignment horizontal="center" vertical="center" wrapText="1"/>
    </xf>
    <xf numFmtId="0" fontId="20" fillId="0" borderId="34" xfId="0" applyFont="1" applyBorder="1">
      <alignment horizontal="center" vertical="center" wrapText="1"/>
    </xf>
    <xf numFmtId="0" fontId="20" fillId="0" borderId="36" xfId="0" applyFont="1" applyBorder="1">
      <alignment horizontal="center" vertical="center" wrapText="1"/>
    </xf>
    <xf numFmtId="0" fontId="23" fillId="0" borderId="26" xfId="0" applyFont="1" applyBorder="1">
      <alignment horizontal="center" vertical="center" wrapText="1"/>
    </xf>
    <xf numFmtId="0" fontId="23" fillId="0" borderId="34" xfId="0" applyFont="1" applyBorder="1">
      <alignment horizontal="center" vertical="center" wrapText="1"/>
    </xf>
    <xf numFmtId="0" fontId="23" fillId="0" borderId="36" xfId="0" applyFont="1" applyBorder="1">
      <alignment horizontal="center" vertical="center" wrapText="1"/>
    </xf>
    <xf numFmtId="0" fontId="23" fillId="0" borderId="26" xfId="0" applyFont="1" applyBorder="1">
      <alignment horizontal="center" vertical="center" wrapText="1"/>
    </xf>
    <xf numFmtId="0" fontId="23" fillId="0" borderId="34" xfId="0" applyFont="1" applyBorder="1">
      <alignment horizontal="center" vertical="center" wrapText="1"/>
    </xf>
    <xf numFmtId="0" fontId="23" fillId="0" borderId="25" xfId="0" applyFont="1" applyBorder="1">
      <alignment horizontal="center" vertical="center" wrapText="1"/>
    </xf>
    <xf numFmtId="0" fontId="23" fillId="0" borderId="36" xfId="0" applyFont="1" applyBorder="1">
      <alignment horizontal="center" vertical="center" wrapText="1"/>
    </xf>
    <xf numFmtId="0" fontId="23" fillId="0" borderId="34" xfId="0" applyFont="1" applyBorder="1">
      <alignment horizontal="center" vertical="top" wrapText="1"/>
    </xf>
    <xf numFmtId="0" fontId="23" fillId="0" borderId="25" xfId="0" applyFont="1" applyBorder="1">
      <alignment horizontal="center" vertical="top" wrapText="1"/>
    </xf>
    <xf numFmtId="0" fontId="21" fillId="0" borderId="73" xfId="0" applyFont="1" applyBorder="1">
      <alignment horizontal="left" vertical="top" wrapText="1"/>
    </xf>
    <xf numFmtId="0" fontId="21" fillId="0" borderId="0" xfId="0" applyFont="1">
      <alignment horizontal="left" vertical="top" wrapText="1"/>
    </xf>
    <xf numFmtId="0" fontId="21" fillId="0" borderId="74" xfId="0" applyFont="1" applyBorder="1">
      <alignment horizontal="left" vertical="top" wrapText="1"/>
    </xf>
    <xf numFmtId="0" fontId="20" fillId="0" borderId="26" xfId="0" applyFont="1" applyBorder="1">
      <alignment horizontal="center" vertical="center" wrapText="1"/>
    </xf>
    <xf numFmtId="0" fontId="23" fillId="0" borderId="26" xfId="0" applyFont="1" applyBorder="1">
      <alignment horizontal="center" vertical="center" wrapText="1"/>
    </xf>
    <xf numFmtId="0" fontId="23" fillId="0" borderId="26" xfId="0" applyFont="1" applyBorder="1">
      <alignment horizontal="center" vertical="center" wrapText="1"/>
    </xf>
    <xf numFmtId="0" fontId="23" fillId="0" borderId="34" xfId="0" applyFont="1" applyBorder="1">
      <alignment horizontal="center" vertical="center" wrapText="1"/>
    </xf>
    <xf numFmtId="0" fontId="18" fillId="7" borderId="36" xfId="0" applyFont="1" applyFill="1" applyBorder="1">
      <alignment horizontal="right" vertical="center" wrapText="1"/>
      <protection locked="0"/>
    </xf>
    <xf numFmtId="0" fontId="18" fillId="7" borderId="34" xfId="0" applyFont="1" applyFill="1" applyBorder="1">
      <alignment horizontal="right" vertical="center" wrapText="1"/>
      <protection locked="0"/>
    </xf>
    <xf numFmtId="0" fontId="18" fillId="7" borderId="36" xfId="0" applyFont="1" applyFill="1" applyBorder="1">
      <alignment horizontal="right" vertical="center" wrapText="1"/>
    </xf>
    <xf numFmtId="0" fontId="18" fillId="7" borderId="34" xfId="0" applyFont="1" applyFill="1" applyBorder="1">
      <alignment horizontal="right" vertical="center" wrapText="1"/>
      <protection locked="0"/>
    </xf>
    <xf numFmtId="0" fontId="18" fillId="7" borderId="36" xfId="0" applyFont="1" applyFill="1" applyBorder="1">
      <alignment horizontal="right" vertical="center" wrapText="1"/>
    </xf>
    <xf numFmtId="172" fontId="22" fillId="7" borderId="26" xfId="0" applyFont="1" applyFill="1" applyBorder="1" applyNumberFormat="1">
      <alignment horizontal="right" vertical="center" wrapText="1"/>
      <protection locked="0"/>
    </xf>
    <xf numFmtId="172" fontId="22" fillId="7" borderId="26" xfId="0" applyFont="1" applyFill="1" applyBorder="1" applyNumberFormat="1">
      <alignment horizontal="right" vertical="center" wrapText="1"/>
    </xf>
    <xf numFmtId="172" fontId="22" fillId="0" borderId="26" xfId="0" applyFont="1" applyBorder="1" applyNumberFormat="1">
      <alignment horizontal="right" vertical="center" wrapText="1"/>
    </xf>
    <xf numFmtId="0" fontId="22" fillId="7" borderId="34" xfId="0" applyFont="1" applyFill="1" applyBorder="1">
      <alignment horizontal="right" vertical="center" wrapText="1"/>
      <protection locked="0"/>
    </xf>
    <xf numFmtId="0" fontId="22" fillId="7" borderId="36" xfId="0" applyFont="1" applyFill="1" applyBorder="1">
      <alignment horizontal="right" vertical="center" wrapText="1"/>
    </xf>
    <xf numFmtId="177" fontId="22" fillId="7" borderId="26" xfId="0" applyFont="1" applyFill="1" applyBorder="1" applyNumberFormat="1">
      <alignment horizontal="right" vertical="center" wrapText="1"/>
      <protection locked="0"/>
    </xf>
    <xf numFmtId="171" fontId="22" fillId="0" borderId="26" xfId="0" applyFont="1" applyBorder="1" applyNumberFormat="1">
      <alignment horizontal="right" vertical="center" wrapText="1"/>
    </xf>
    <xf numFmtId="172" fontId="22" fillId="7" borderId="26" xfId="0" applyFont="1" applyFill="1" applyBorder="1" applyNumberFormat="1">
      <alignment horizontal="right" vertical="center" wrapText="1"/>
      <protection locked="0"/>
    </xf>
    <xf numFmtId="172" fontId="22" fillId="0" borderId="26" xfId="0" applyFont="1" applyBorder="1" applyNumberFormat="1">
      <alignment vertical="center" wrapText="1"/>
    </xf>
    <xf numFmtId="171" fontId="22" fillId="0" borderId="34" xfId="0" applyFont="1" applyBorder="1" applyNumberFormat="1">
      <alignment vertical="center" wrapText="1"/>
    </xf>
    <xf numFmtId="0" fontId="18" fillId="0" borderId="36" xfId="0" applyFont="1" applyBorder="1">
      <alignment horizontal="right" vertical="center" wrapText="1"/>
    </xf>
    <xf numFmtId="0" fontId="18" fillId="0" borderId="34" xfId="0" applyFont="1" applyBorder="1">
      <alignment horizontal="right" vertical="center" wrapText="1"/>
    </xf>
    <xf numFmtId="0" fontId="18" fillId="0" borderId="36" xfId="0" applyFont="1" applyBorder="1">
      <alignment horizontal="right" vertical="center" wrapText="1"/>
    </xf>
    <xf numFmtId="0" fontId="22" fillId="0" borderId="34" xfId="0" applyFont="1" applyBorder="1">
      <alignment horizontal="right" vertical="center" wrapText="1"/>
    </xf>
    <xf numFmtId="0" fontId="22" fillId="0" borderId="36" xfId="0" applyFont="1" applyBorder="1">
      <alignment horizontal="right" vertical="center" wrapText="1"/>
    </xf>
    <xf numFmtId="177" fontId="22" fillId="0" borderId="26" xfId="0" applyFont="1" applyBorder="1" applyNumberFormat="1">
      <alignment horizontal="right" vertical="center" wrapText="1"/>
    </xf>
    <xf numFmtId="172" fontId="22" fillId="0" borderId="26" xfId="0" applyFont="1" applyBorder="1" applyNumberFormat="1">
      <alignment horizontal="right" vertical="center" wrapText="1"/>
    </xf>
    <xf numFmtId="0" fontId="20" fillId="0" borderId="30" xfId="0" applyFont="1" applyBorder="1">
      <alignment horizontal="center" vertical="center" wrapText="1"/>
    </xf>
    <xf numFmtId="0" fontId="18" fillId="0" borderId="66" xfId="0" applyFont="1" applyBorder="1">
      <alignment vertical="center" wrapText="1"/>
    </xf>
    <xf numFmtId="0" fontId="18" fillId="0" borderId="34" xfId="0" applyFont="1" applyBorder="1">
      <alignment vertical="center" wrapText="1"/>
    </xf>
    <xf numFmtId="0" fontId="18" fillId="0" borderId="36" xfId="0" applyFont="1" applyBorder="1">
      <alignment vertical="center" wrapText="1"/>
    </xf>
    <xf numFmtId="172" fontId="22" fillId="0" borderId="35" xfId="0" applyFont="1" applyBorder="1" applyNumberFormat="1">
      <alignment horizontal="right" vertical="center" wrapText="1"/>
    </xf>
    <xf numFmtId="177" fontId="22" fillId="0" borderId="35" xfId="0" applyFont="1" applyBorder="1" applyNumberFormat="1">
      <alignment horizontal="right" vertical="center" wrapText="1"/>
    </xf>
    <xf numFmtId="0" fontId="21" fillId="0" borderId="71" xfId="0" applyFont="1" applyBorder="1">
      <alignment horizontal="left" vertical="top" wrapText="1"/>
    </xf>
    <xf numFmtId="0" fontId="21" fillId="0" borderId="43" xfId="0" applyFont="1" applyBorder="1">
      <alignment horizontal="left" vertical="top" wrapText="1"/>
    </xf>
    <xf numFmtId="0" fontId="21" fillId="0" borderId="44" xfId="0" applyFont="1" applyBorder="1">
      <alignment horizontal="left" vertical="top" wrapText="1"/>
    </xf>
    <xf numFmtId="0" fontId="21" fillId="0" borderId="45" xfId="0" applyFont="1" applyBorder="1">
      <alignment horizontal="center" vertical="center" wrapText="1"/>
    </xf>
    <xf numFmtId="0" fontId="21" fillId="0" borderId="32" xfId="0" applyFont="1" applyBorder="1">
      <alignment horizontal="center" vertical="center" wrapText="1"/>
    </xf>
    <xf numFmtId="0" fontId="21" fillId="0" borderId="46" xfId="0" applyFont="1" applyBorder="1">
      <alignment horizontal="center" vertical="center" wrapText="1"/>
    </xf>
    <xf numFmtId="0" fontId="21" fillId="0" borderId="31" xfId="0" applyFont="1" applyBorder="1">
      <alignment horizontal="center" vertical="center" wrapText="1"/>
    </xf>
    <xf numFmtId="0" fontId="21" fillId="0" borderId="31" xfId="0" applyFont="1" applyBorder="1">
      <alignment horizontal="center" vertical="center" wrapText="1"/>
      <protection locked="0"/>
    </xf>
    <xf numFmtId="0" fontId="0" fillId="0" borderId="31" xfId="0" applyFont="1" applyBorder="1">
      <alignment wrapText="1"/>
    </xf>
    <xf numFmtId="0" fontId="0" fillId="0" borderId="32" xfId="0" applyFont="1" applyBorder="1">
      <alignment wrapText="1"/>
    </xf>
    <xf numFmtId="0" fontId="0" fillId="0" borderId="33" xfId="0" applyFont="1" applyBorder="1">
      <alignment wrapText="1"/>
    </xf>
    <xf numFmtId="0" fontId="20" fillId="0" borderId="51" xfId="0" applyFont="1" applyBorder="1">
      <alignment horizontal="left" wrapText="1"/>
    </xf>
    <xf numFmtId="0" fontId="20" fillId="0" borderId="52" xfId="0" applyFont="1" applyBorder="1">
      <alignment horizontal="center" vertical="center" wrapText="1"/>
    </xf>
    <xf numFmtId="0" fontId="20" fillId="0" borderId="53" xfId="0" applyFont="1" applyBorder="1">
      <alignment horizontal="center" vertical="center" wrapText="1"/>
    </xf>
    <xf numFmtId="0" fontId="20" fillId="0" borderId="54" xfId="0" applyFont="1" applyBorder="1">
      <alignment horizontal="center" vertical="center" wrapText="1"/>
    </xf>
    <xf numFmtId="0" fontId="20" fillId="0" borderId="49" xfId="0" applyFont="1" applyBorder="1">
      <alignment horizontal="center" vertical="center" wrapText="1"/>
    </xf>
    <xf numFmtId="0" fontId="18" fillId="0" borderId="49" xfId="0" applyFont="1" applyBorder="1">
      <alignment horizontal="center" vertical="center" wrapText="1"/>
    </xf>
    <xf numFmtId="0" fontId="18" fillId="0" borderId="50" xfId="0" applyFont="1" applyBorder="1">
      <alignment horizontal="center" vertical="center" wrapText="1"/>
    </xf>
    <xf numFmtId="0" fontId="20" fillId="0" borderId="47" xfId="0" applyFont="1" applyBorder="1">
      <alignment horizontal="left" wrapText="1"/>
    </xf>
    <xf numFmtId="0" fontId="20" fillId="0" borderId="55" xfId="0" applyFont="1" applyBorder="1">
      <alignment horizontal="center" vertical="center" wrapText="1"/>
    </xf>
    <xf numFmtId="0" fontId="20" fillId="0" borderId="56" xfId="0" applyFont="1" applyBorder="1">
      <alignment horizontal="center" vertical="center" wrapText="1"/>
    </xf>
    <xf numFmtId="0" fontId="20" fillId="0" borderId="57" xfId="0" applyFont="1" applyBorder="1">
      <alignment horizontal="center" vertical="center" wrapText="1"/>
    </xf>
    <xf numFmtId="0" fontId="18" fillId="0" borderId="12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20" fillId="0" borderId="12" xfId="0" applyFont="1" applyBorder="1">
      <alignment horizontal="center" vertical="center" wrapText="1"/>
    </xf>
    <xf numFmtId="0" fontId="20" fillId="0" borderId="12" xfId="0" applyFont="1" applyBorder="1">
      <alignment horizontal="center" vertical="center" wrapText="1"/>
    </xf>
    <xf numFmtId="0" fontId="20" fillId="0" borderId="10" xfId="0" applyFont="1" applyBorder="1">
      <alignment horizontal="center" vertical="center" wrapText="1"/>
    </xf>
    <xf numFmtId="0" fontId="20" fillId="0" borderId="48" xfId="0" applyFont="1" applyBorder="1">
      <alignment horizontal="left" wrapText="1"/>
    </xf>
    <xf numFmtId="0" fontId="23" fillId="0" borderId="12" xfId="0" applyFont="1" applyBorder="1">
      <alignment horizontal="center" vertical="center" wrapText="1"/>
    </xf>
    <xf numFmtId="0" fontId="20" fillId="0" borderId="10" xfId="0" applyFont="1" applyBorder="1">
      <alignment horizontal="center" vertical="center" wrapText="1"/>
    </xf>
    <xf numFmtId="0" fontId="20" fillId="0" borderId="11" xfId="0" applyFont="1" applyBorder="1">
      <alignment horizontal="center" vertical="center" wrapText="1"/>
    </xf>
    <xf numFmtId="0" fontId="0" fillId="0" borderId="0" xfId="0" applyFont="1">
      <alignment wrapText="1"/>
    </xf>
    <xf numFmtId="0" fontId="0" fillId="0" borderId="16" xfId="0" applyFont="1" applyBorder="1">
      <alignment vertical="center" wrapText="1"/>
    </xf>
    <xf numFmtId="0" fontId="0" fillId="0" borderId="17" xfId="0" applyFont="1" applyBorder="1">
      <alignment vertical="center" wrapText="1"/>
    </xf>
    <xf numFmtId="171" fontId="22" fillId="0" borderId="12" xfId="0" applyFont="1" applyBorder="1" applyNumberFormat="1">
      <alignment horizontal="center" vertical="center" wrapText="1"/>
    </xf>
    <xf numFmtId="172" fontId="18" fillId="0" borderId="12" xfId="0" applyFont="1" applyBorder="1" applyNumberFormat="1">
      <alignment horizontal="center" vertical="center" wrapText="1"/>
    </xf>
    <xf numFmtId="171" fontId="18" fillId="0" borderId="12" xfId="0" applyFont="1" applyBorder="1" applyNumberFormat="1">
      <alignment horizontal="center" vertical="center" wrapText="1"/>
    </xf>
    <xf numFmtId="0" fontId="0" fillId="0" borderId="0" xfId="0" applyFont="1">
      <alignment wrapText="1"/>
    </xf>
    <xf numFmtId="172" fontId="18" fillId="0" borderId="12" xfId="0" applyFont="1" applyBorder="1" applyNumberFormat="1">
      <alignment horizontal="center" vertical="center" wrapText="1"/>
    </xf>
    <xf numFmtId="171" fontId="18" fillId="0" borderId="10" xfId="0" applyFont="1" applyBorder="1" applyNumberFormat="1">
      <alignment horizontal="center" vertical="center" wrapText="1"/>
    </xf>
    <xf numFmtId="171" fontId="18" fillId="0" borderId="12" xfId="0" applyFont="1" applyBorder="1" applyNumberFormat="1">
      <alignment horizontal="center" vertical="center" wrapText="1"/>
    </xf>
    <xf numFmtId="172" fontId="18" fillId="7" borderId="12" xfId="0" applyFont="1" applyFill="1" applyBorder="1" applyNumberFormat="1">
      <alignment horizontal="center" vertical="center" wrapText="1"/>
    </xf>
    <xf numFmtId="171" fontId="22" fillId="0" borderId="12" xfId="0" applyFont="1" applyBorder="1" applyNumberFormat="1">
      <alignment horizontal="center" vertical="center" wrapText="1"/>
    </xf>
    <xf numFmtId="172" fontId="18" fillId="0" borderId="12" xfId="0" applyFont="1" applyBorder="1" applyNumberFormat="1">
      <alignment horizontal="center" vertical="center" wrapText="1"/>
    </xf>
    <xf numFmtId="171" fontId="18" fillId="0" borderId="12" xfId="0" applyFont="1" applyBorder="1" applyNumberFormat="1">
      <alignment horizontal="center" vertical="center" wrapText="1"/>
    </xf>
    <xf numFmtId="172" fontId="18" fillId="7" borderId="12" xfId="0" applyFont="1" applyFill="1" applyBorder="1" applyNumberFormat="1">
      <alignment horizontal="center" vertical="center" wrapText="1"/>
    </xf>
    <xf numFmtId="172" fontId="18" fillId="0" borderId="12" xfId="0" applyFont="1" applyBorder="1" applyNumberFormat="1">
      <alignment horizontal="center" vertical="center" wrapText="1"/>
    </xf>
    <xf numFmtId="171" fontId="18" fillId="0" borderId="10" xfId="0" applyFont="1" applyBorder="1" applyNumberFormat="1">
      <alignment horizontal="center" vertical="center" wrapText="1"/>
    </xf>
    <xf numFmtId="0" fontId="20" fillId="0" borderId="21" xfId="0" applyFont="1" applyBorder="1">
      <alignment horizontal="center" vertical="center" wrapText="1"/>
    </xf>
    <xf numFmtId="0" fontId="0" fillId="0" borderId="16" xfId="0" applyFont="1" applyBorder="1">
      <alignment horizontal="left" vertical="center" wrapText="1"/>
    </xf>
    <xf numFmtId="0" fontId="0" fillId="0" borderId="17" xfId="0" applyFont="1" applyBorder="1">
      <alignment horizontal="left" vertical="center" wrapText="1"/>
    </xf>
    <xf numFmtId="172" fontId="18" fillId="0" borderId="12" xfId="0" applyFont="1" applyBorder="1" applyNumberFormat="1">
      <alignment horizontal="left" vertical="center" wrapText="1"/>
    </xf>
    <xf numFmtId="0" fontId="0" fillId="0" borderId="0" xfId="0" applyFont="1">
      <alignment wrapText="1"/>
    </xf>
    <xf numFmtId="0" fontId="20" fillId="0" borderId="47" xfId="0" applyFont="1" applyBorder="1">
      <alignment horizontal="center" vertical="center" wrapText="1"/>
    </xf>
    <xf numFmtId="0" fontId="0" fillId="0" borderId="0" xfId="0" applyFont="1">
      <alignment wrapText="1"/>
    </xf>
    <xf numFmtId="0" fontId="20" fillId="0" borderId="48" xfId="0" applyFont="1" applyBorder="1">
      <alignment horizontal="center" vertical="center" wrapText="1"/>
    </xf>
    <xf numFmtId="0" fontId="20" fillId="0" borderId="21" xfId="0" applyFont="1" applyBorder="1">
      <alignment horizontal="left" wrapText="1"/>
    </xf>
    <xf numFmtId="0" fontId="20" fillId="0" borderId="58" xfId="0" applyFont="1" applyBorder="1">
      <alignment horizontal="center" vertical="center" wrapText="1"/>
    </xf>
    <xf numFmtId="0" fontId="20" fillId="0" borderId="16" xfId="0" applyFont="1" applyBorder="1">
      <alignment horizontal="center" vertical="center" wrapText="1"/>
    </xf>
    <xf numFmtId="0" fontId="20" fillId="0" borderId="59" xfId="0" applyFont="1" applyBorder="1">
      <alignment horizontal="center" vertical="center" wrapText="1"/>
    </xf>
    <xf numFmtId="0" fontId="20" fillId="0" borderId="60" xfId="0" applyFont="1" applyBorder="1">
      <alignment horizontal="center" vertical="center" wrapText="1"/>
    </xf>
    <xf numFmtId="0" fontId="20" fillId="0" borderId="18" xfId="0" applyFont="1" applyBorder="1">
      <alignment horizontal="center" vertical="center" wrapText="1"/>
    </xf>
    <xf numFmtId="0" fontId="20" fillId="0" borderId="61" xfId="0" applyFont="1" applyBorder="1">
      <alignment horizontal="center" vertical="center" wrapText="1"/>
    </xf>
    <xf numFmtId="0" fontId="20" fillId="0" borderId="19" xfId="0" applyFont="1" applyBorder="1">
      <alignment horizontal="center" vertical="center" wrapText="1"/>
    </xf>
    <xf numFmtId="0" fontId="21" fillId="0" borderId="12" xfId="0" applyFont="1" applyBorder="1">
      <alignment horizontal="center" vertical="center" wrapText="1"/>
    </xf>
    <xf numFmtId="0" fontId="20" fillId="0" borderId="20" xfId="0" applyFont="1" applyBorder="1">
      <alignment horizontal="center" vertical="center" wrapText="1"/>
    </xf>
    <xf numFmtId="0" fontId="0" fillId="0" borderId="16" xfId="0" applyFont="1" applyBorder="1">
      <alignment horizontal="left" vertical="center" wrapText="1"/>
    </xf>
    <xf numFmtId="0" fontId="0" fillId="0" borderId="17" xfId="0" applyFont="1" applyBorder="1">
      <alignment horizontal="left" vertical="center" wrapText="1"/>
    </xf>
    <xf numFmtId="0" fontId="0" fillId="0" borderId="58" xfId="0" applyFont="1" applyBorder="1">
      <alignment horizontal="left" vertical="center" wrapText="1"/>
    </xf>
    <xf numFmtId="172" fontId="18" fillId="0" borderId="12" xfId="0" applyFont="1" applyBorder="1" applyNumberFormat="1">
      <alignment horizontal="left" vertical="center" wrapText="1"/>
    </xf>
    <xf numFmtId="171" fontId="18" fillId="0" borderId="12" xfId="0" applyFont="1" applyBorder="1" applyNumberFormat="1">
      <alignment horizontal="center" vertical="center" wrapText="1"/>
    </xf>
    <xf numFmtId="172" fontId="18" fillId="0" borderId="12" xfId="0" applyFont="1" applyBorder="1" applyNumberFormat="1">
      <alignment horizontal="center" vertical="center" wrapText="1"/>
    </xf>
    <xf numFmtId="0" fontId="20" fillId="0" borderId="18" xfId="0" applyFont="1" applyBorder="1">
      <alignment horizontal="center" vertical="center" wrapText="1"/>
    </xf>
    <xf numFmtId="0" fontId="20" fillId="0" borderId="20" xfId="0" applyFont="1" applyBorder="1">
      <alignment horizontal="center" vertical="center" wrapText="1"/>
    </xf>
    <xf numFmtId="0" fontId="20" fillId="0" borderId="19" xfId="0" applyFont="1" applyBorder="1">
      <alignment horizontal="center" vertical="center" wrapText="1"/>
    </xf>
    <xf numFmtId="0" fontId="20" fillId="0" borderId="11" xfId="0" applyFont="1" applyBorder="1">
      <alignment horizontal="left" wrapText="1"/>
    </xf>
    <xf numFmtId="0" fontId="20" fillId="0" borderId="12" xfId="0" applyFont="1" applyBorder="1">
      <alignment horizontal="center" vertical="center" wrapText="1"/>
    </xf>
    <xf numFmtId="0" fontId="21" fillId="0" borderId="12" xfId="0" applyFont="1" applyBorder="1">
      <alignment horizontal="center" vertical="center" wrapText="1"/>
    </xf>
    <xf numFmtId="0" fontId="21" fillId="0" borderId="18" xfId="0" applyFont="1" applyBorder="1">
      <alignment horizontal="center" vertical="center" wrapText="1"/>
    </xf>
    <xf numFmtId="0" fontId="21" fillId="0" borderId="61" xfId="0" applyFont="1" applyBorder="1">
      <alignment horizontal="center" vertical="center" wrapText="1"/>
    </xf>
    <xf numFmtId="0" fontId="21" fillId="0" borderId="19" xfId="0" applyFont="1" applyBorder="1">
      <alignment horizontal="center" vertical="center" wrapText="1"/>
    </xf>
    <xf numFmtId="0" fontId="0" fillId="0" borderId="12" xfId="0" applyFont="1" applyBorder="1">
      <alignment wrapText="1"/>
    </xf>
    <xf numFmtId="0" fontId="19" fillId="0" borderId="12" xfId="0" applyFont="1" applyBorder="1">
      <alignment horizontal="center" vertical="center" wrapText="1"/>
    </xf>
    <xf numFmtId="171" fontId="18" fillId="0" borderId="12" xfId="0" applyFont="1" applyBorder="1" applyNumberFormat="1">
      <alignment horizontal="center" vertical="center" wrapText="1"/>
    </xf>
    <xf numFmtId="0" fontId="19" fillId="0" borderId="12" xfId="0" applyFont="1" applyBorder="1">
      <alignment horizontal="center" vertical="center" wrapText="1"/>
    </xf>
    <xf numFmtId="0" fontId="26" fillId="0" borderId="0" xfId="0" applyFont="1">
      <alignment wrapText="1"/>
    </xf>
    <xf numFmtId="171" fontId="22" fillId="0" borderId="12" xfId="0" applyFont="1" applyBorder="1" applyNumberFormat="1">
      <alignment horizontal="center" vertical="center" wrapText="1"/>
    </xf>
    <xf numFmtId="172" fontId="18" fillId="0" borderId="12" xfId="0" applyFont="1" applyBorder="1" applyNumberFormat="1">
      <alignment vertical="center" wrapText="1"/>
    </xf>
    <xf numFmtId="172" fontId="18" fillId="0" borderId="0" xfId="0" applyFont="1" applyNumberFormat="1">
      <alignment horizontal="center" vertical="center" wrapText="1"/>
    </xf>
    <xf numFmtId="0" fontId="21" fillId="0" borderId="18" xfId="0" applyFont="1" applyBorder="1">
      <alignment horizontal="center" vertical="center" wrapText="1"/>
    </xf>
    <xf numFmtId="0" fontId="21" fillId="0" borderId="19" xfId="0" applyFont="1" applyBorder="1">
      <alignment horizontal="center" vertical="center" wrapText="1"/>
    </xf>
    <xf numFmtId="172" fontId="18" fillId="0" borderId="12" xfId="0" applyFont="1" applyBorder="1" applyNumberFormat="1">
      <alignment vertical="center" wrapText="1"/>
    </xf>
    <xf numFmtId="172" fontId="18" fillId="0" borderId="12" xfId="0" applyFont="1" applyBorder="1" applyNumberFormat="1">
      <alignment horizontal="left" vertical="center" wrapText="1"/>
    </xf>
    <xf numFmtId="0" fontId="21" fillId="0" borderId="58" xfId="0" applyFont="1" applyBorder="1">
      <alignment horizontal="center" vertical="center" wrapText="1"/>
    </xf>
    <xf numFmtId="0" fontId="21" fillId="0" borderId="16" xfId="0" applyFont="1" applyBorder="1">
      <alignment horizontal="center" vertical="center" wrapText="1"/>
    </xf>
    <xf numFmtId="0" fontId="21" fillId="0" borderId="59" xfId="0" applyFont="1" applyBorder="1">
      <alignment horizontal="center" vertical="center" wrapText="1"/>
    </xf>
    <xf numFmtId="0" fontId="21" fillId="0" borderId="55" xfId="0" applyFont="1" applyBorder="1">
      <alignment horizontal="center" vertical="center" wrapText="1"/>
    </xf>
    <xf numFmtId="0" fontId="21" fillId="0" borderId="56" xfId="0" applyFont="1" applyBorder="1">
      <alignment horizontal="center" vertical="center" wrapText="1"/>
    </xf>
    <xf numFmtId="0" fontId="21" fillId="0" borderId="60" xfId="0" applyFont="1" applyBorder="1">
      <alignment horizontal="center" vertical="center" wrapText="1"/>
    </xf>
    <xf numFmtId="0" fontId="21" fillId="0" borderId="20" xfId="0" applyFont="1" applyBorder="1">
      <alignment horizontal="center" vertical="center" wrapText="1"/>
    </xf>
    <xf numFmtId="0" fontId="18" fillId="0" borderId="12" xfId="0" applyFont="1" applyBorder="1">
      <alignment horizontal="center" vertical="center" wrapText="1"/>
    </xf>
    <xf numFmtId="0" fontId="19" fillId="0" borderId="18" xfId="0" applyFont="1" applyBorder="1">
      <alignment horizontal="center" vertical="center" wrapText="1"/>
    </xf>
    <xf numFmtId="0" fontId="19" fillId="0" borderId="20" xfId="0" applyFont="1" applyBorder="1">
      <alignment horizontal="center" vertical="center" wrapText="1"/>
    </xf>
    <xf numFmtId="0" fontId="19" fillId="0" borderId="12" xfId="0" applyFont="1" applyBorder="1">
      <alignment wrapText="1"/>
    </xf>
    <xf numFmtId="0" fontId="0" fillId="0" borderId="0" xfId="0" applyFont="1">
      <alignment wrapText="1"/>
    </xf>
    <xf numFmtId="0" fontId="19" fillId="0" borderId="12" xfId="0" applyFont="1" applyBorder="1">
      <alignment horizontal="center" vertical="center" wrapText="1"/>
    </xf>
    <xf numFmtId="171" fontId="19" fillId="0" borderId="12" xfId="0" applyFont="1" applyBorder="1" applyNumberFormat="1">
      <alignment horizontal="center" vertical="center" wrapText="1"/>
    </xf>
    <xf numFmtId="171" fontId="19" fillId="0" borderId="12" xfId="0" applyFont="1" applyBorder="1" applyNumberFormat="1">
      <alignment horizontal="center" vertical="center" wrapText="1"/>
    </xf>
    <xf numFmtId="0" fontId="0" fillId="0" borderId="0" xfId="0" applyFont="1">
      <alignment wrapText="1"/>
    </xf>
    <xf numFmtId="0" fontId="19" fillId="0" borderId="0" xfId="0" applyFont="1">
      <alignment horizontal="center" vertical="center" wrapText="1"/>
    </xf>
    <xf numFmtId="0" fontId="19" fillId="0" borderId="12" xfId="0" applyFont="1" applyBorder="1">
      <alignment horizontal="left" vertical="center" wrapText="1"/>
    </xf>
    <xf numFmtId="0" fontId="19" fillId="0" borderId="18" xfId="0" applyFont="1" applyBorder="1">
      <alignment horizontal="left" vertical="center" wrapText="1"/>
    </xf>
    <xf numFmtId="0" fontId="19" fillId="0" borderId="20" xfId="0" applyFont="1" applyBorder="1">
      <alignment horizontal="left" vertical="center" wrapText="1"/>
    </xf>
    <xf numFmtId="0" fontId="23" fillId="0" borderId="12" xfId="0" applyFont="1" applyBorder="1">
      <alignment horizontal="center" vertical="center" wrapText="1"/>
    </xf>
    <xf numFmtId="0" fontId="23" fillId="0" borderId="18" xfId="0" applyFont="1" applyBorder="1">
      <alignment horizontal="center" vertical="center" wrapText="1"/>
    </xf>
    <xf numFmtId="0" fontId="23" fillId="0" borderId="61" xfId="0" applyFont="1" applyBorder="1">
      <alignment horizontal="center" vertical="center" wrapText="1"/>
    </xf>
    <xf numFmtId="0" fontId="23" fillId="0" borderId="19" xfId="0" applyFont="1" applyBorder="1">
      <alignment horizontal="center" vertical="center" wrapText="1"/>
    </xf>
    <xf numFmtId="0" fontId="23" fillId="0" borderId="58" xfId="0" applyFont="1" applyBorder="1">
      <alignment horizontal="center" vertical="center" wrapText="1"/>
    </xf>
    <xf numFmtId="0" fontId="23" fillId="0" borderId="16" xfId="0" applyFont="1" applyBorder="1">
      <alignment horizontal="center" vertical="center" wrapText="1"/>
    </xf>
    <xf numFmtId="0" fontId="23" fillId="0" borderId="59" xfId="0" applyFont="1" applyBorder="1">
      <alignment horizontal="center" vertical="center" wrapText="1"/>
    </xf>
    <xf numFmtId="0" fontId="23" fillId="0" borderId="18" xfId="0" applyFont="1" applyBorder="1">
      <alignment horizontal="center" vertical="center" wrapText="1"/>
    </xf>
    <xf numFmtId="0" fontId="23" fillId="0" borderId="61" xfId="0" applyFont="1" applyBorder="1">
      <alignment horizontal="center" vertical="center" wrapText="1"/>
    </xf>
    <xf numFmtId="0" fontId="23" fillId="0" borderId="20" xfId="0" applyFont="1" applyBorder="1">
      <alignment horizontal="center" vertical="center" wrapText="1"/>
    </xf>
    <xf numFmtId="0" fontId="23" fillId="0" borderId="62" xfId="0" applyFont="1" applyBorder="1">
      <alignment horizontal="center" vertical="center" wrapText="1"/>
    </xf>
    <xf numFmtId="0" fontId="23" fillId="0" borderId="0" xfId="0" applyFont="1">
      <alignment horizontal="center" vertical="center" wrapText="1"/>
    </xf>
    <xf numFmtId="0" fontId="23" fillId="0" borderId="63" xfId="0" applyFont="1" applyBorder="1">
      <alignment horizontal="center" vertical="center" wrapText="1"/>
    </xf>
    <xf numFmtId="0" fontId="23" fillId="0" borderId="12" xfId="0" applyFont="1" applyBorder="1">
      <alignment horizontal="center" vertical="center" wrapText="1"/>
    </xf>
    <xf numFmtId="0" fontId="0" fillId="0" borderId="12" xfId="0" applyFont="1" applyBorder="1">
      <alignment horizontal="left" vertical="center" wrapText="1"/>
    </xf>
    <xf numFmtId="171" fontId="22" fillId="0" borderId="12" xfId="0" applyFont="1" applyBorder="1" applyNumberFormat="1">
      <alignment horizontal="left" vertical="center" wrapText="1"/>
    </xf>
    <xf numFmtId="0" fontId="22" fillId="0" borderId="12" xfId="0" applyFont="1" applyBorder="1">
      <alignment vertical="center" wrapText="1"/>
    </xf>
    <xf numFmtId="172" fontId="22" fillId="0" borderId="12" xfId="0" applyFont="1" applyBorder="1" applyNumberFormat="1">
      <alignment vertical="center" wrapText="1"/>
    </xf>
    <xf numFmtId="171" fontId="22" fillId="0" borderId="12" xfId="0" applyFont="1" applyBorder="1" applyNumberFormat="1">
      <alignment vertical="center" wrapText="1"/>
    </xf>
    <xf numFmtId="172" fontId="22" fillId="0" borderId="12" xfId="0" applyFont="1" applyBorder="1" applyNumberFormat="1">
      <alignment horizontal="center" vertical="center" wrapText="1"/>
    </xf>
    <xf numFmtId="171" fontId="22" fillId="0" borderId="12" xfId="0" applyFont="1" applyBorder="1" applyNumberFormat="1">
      <alignment horizontal="center" vertical="center" wrapText="1"/>
    </xf>
    <xf numFmtId="171" fontId="18" fillId="0" borderId="12" xfId="0" applyFont="1" applyBorder="1" applyNumberFormat="1">
      <alignment vertical="center" wrapText="1"/>
    </xf>
    <xf numFmtId="172" fontId="22" fillId="0" borderId="12" xfId="0" applyFont="1" applyBorder="1" applyNumberFormat="1">
      <alignment horizontal="center" vertical="center" wrapText="1"/>
    </xf>
    <xf numFmtId="172" fontId="22" fillId="0" borderId="12" xfId="0" applyFont="1" applyBorder="1" applyNumberFormat="1">
      <alignment horizontal="center" vertical="center" wrapText="1"/>
    </xf>
    <xf numFmtId="0" fontId="20" fillId="0" borderId="21" xfId="0" applyFont="1" applyBorder="1">
      <alignment horizontal="center" vertical="center" wrapText="1"/>
    </xf>
    <xf numFmtId="0" fontId="0" fillId="0" borderId="14" xfId="0" applyFont="1" applyBorder="1">
      <alignment horizontal="left" vertical="center" wrapText="1"/>
    </xf>
    <xf numFmtId="171" fontId="22" fillId="0" borderId="22" xfId="0" applyFont="1" applyBorder="1" applyNumberFormat="1">
      <alignment vertical="center" wrapText="1"/>
    </xf>
    <xf numFmtId="0" fontId="0" fillId="0" borderId="15" xfId="0" applyFont="1" applyBorder="1">
      <alignment wrapText="1"/>
    </xf>
    <xf numFmtId="172" fontId="18" fillId="0" borderId="22" xfId="0" applyFont="1" applyBorder="1" applyNumberFormat="1">
      <alignment vertical="center" wrapText="1"/>
    </xf>
    <xf numFmtId="171" fontId="18" fillId="0" borderId="22" xfId="0" applyFont="1" applyBorder="1" applyNumberFormat="1">
      <alignment vertical="center" wrapText="1"/>
    </xf>
    <xf numFmtId="172" fontId="22" fillId="0" borderId="14" xfId="0" applyFont="1" applyBorder="1" applyNumberFormat="1">
      <alignment horizontal="center" vertical="center" wrapText="1"/>
    </xf>
    <xf numFmtId="171" fontId="18" fillId="0" borderId="22" xfId="0" applyFont="1" applyBorder="1" applyNumberFormat="1">
      <alignment horizontal="center" vertical="center" wrapText="1"/>
    </xf>
    <xf numFmtId="172" fontId="18" fillId="0" borderId="22" xfId="0" applyFont="1" applyBorder="1" applyNumberFormat="1">
      <alignment horizontal="center" vertical="center" wrapText="1"/>
    </xf>
    <xf numFmtId="171" fontId="22" fillId="0" borderId="22" xfId="0" applyFont="1" applyBorder="1" applyNumberFormat="1">
      <alignment horizontal="center" vertical="center" wrapText="1"/>
    </xf>
    <xf numFmtId="0" fontId="20" fillId="0" borderId="13" xfId="0" applyFont="1" applyBorder="1">
      <alignment horizontal="center" vertical="center" wrapText="1"/>
    </xf>
    <xf numFmtId="171" fontId="22" fillId="0" borderId="14" xfId="0" applyFont="1" applyBorder="1" applyNumberFormat="1">
      <alignment vertical="center" wrapText="1"/>
    </xf>
    <xf numFmtId="172" fontId="22" fillId="0" borderId="14" xfId="0" applyFont="1" applyBorder="1" applyNumberFormat="1">
      <alignment vertical="center" wrapText="1"/>
    </xf>
    <xf numFmtId="171" fontId="22" fillId="0" borderId="14" xfId="0" applyFont="1" applyBorder="1" applyNumberFormat="1">
      <alignment horizontal="center" vertical="center" wrapText="1"/>
    </xf>
    <xf numFmtId="171" fontId="22" fillId="0" borderId="14" xfId="0" applyFont="1" applyBorder="1" applyNumberFormat="1">
      <alignment horizontal="center" vertical="center" wrapText="1"/>
    </xf>
    <xf numFmtId="0" fontId="23" fillId="0" borderId="64" xfId="0" applyFont="1" applyBorder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65" xfId="0" applyFont="1" applyBorder="1">
      <alignment horizontal="center" vertical="center" wrapText="1"/>
    </xf>
    <xf numFmtId="0" fontId="19" fillId="0" borderId="0" xfId="0" applyFont="1">
      <alignment horizontal="center" vertical="center" wrapText="1"/>
    </xf>
    <xf numFmtId="0" fontId="26" fillId="0" borderId="0" xfId="0" applyFont="1">
      <alignment wrapText="1"/>
    </xf>
    <xf numFmtId="0" fontId="18" fillId="0" borderId="0" xfId="0" applyFont="1">
      <alignment horizontal="center" vertical="center" wrapText="1"/>
    </xf>
    <xf numFmtId="0" fontId="0" fillId="0" borderId="0" xfId="0" applyFont="1">
      <alignment horizontal="left" vertical="center" wrapText="1"/>
    </xf>
    <xf numFmtId="20" fontId="0" fillId="0" borderId="0" xfId="0" applyFont="1" applyNumberForma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172" fontId="22" fillId="0" borderId="14" xfId="0" applyFont="1" applyBorder="1" applyNumberFormat="1">
      <alignment vertical="center" wrapText="1"/>
    </xf>
    <xf numFmtId="0" fontId="20" fillId="0" borderId="36" xfId="0" applyFont="1" applyBorder="1">
      <alignment horizontal="center" vertical="top" wrapText="1"/>
    </xf>
    <xf numFmtId="0" fontId="24" fillId="33" borderId="23" xfId="0" applyFont="1" applyFill="1" applyBorder="1">
      <alignment horizontal="left" vertical="center"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21" fillId="34" borderId="34" xfId="0" applyFont="1" applyFill="1" applyBorder="1">
      <alignment vertical="center" wrapText="1"/>
    </xf>
    <xf numFmtId="0" fontId="21" fillId="34" borderId="34" xfId="0" applyFont="1" applyFill="1" applyBorder="1">
      <alignment vertical="center" wrapText="1"/>
      <protection locked="0"/>
    </xf>
    <xf numFmtId="0" fontId="21" fillId="34" borderId="26" xfId="0" applyFont="1" applyFill="1" applyBorder="1">
      <alignment vertical="center" wrapText="1"/>
      <protection locked="0"/>
    </xf>
    <xf numFmtId="0" fontId="0" fillId="0" borderId="26" xfId="0" applyFont="1" applyBorder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B309A45-3EB8-0D45-76E8-61C7FA9135C8}" mc:Ignorable="x14ac xr xr2 xr3">
  <dimension ref="A1:AT69"/>
  <sheetViews>
    <sheetView defaultGridColor="0" colorId="31" topLeftCell="A1" showGridLines="0" zoomScale="95" workbookViewId="0" tabSelected="1">
      <selection activeCell="A1" sqref="A1"/>
    </sheetView>
  </sheetViews>
  <sheetFormatPr customHeight="1" defaultRowHeight="14.25"/>
  <cols>
    <col min="1" max="1" style="112" width="2.57421875" customWidth="1"/>
    <col min="2" max="2" style="112" width="10.57421875" customWidth="1"/>
    <col min="3" max="3" style="112" width="9.57421875" customWidth="1"/>
    <col min="4" max="5" style="112" width="7.421875" customWidth="1"/>
    <col min="6" max="7" style="112" width="5.140625" customWidth="1"/>
    <col min="8" max="9" style="112" width="7.57421875" customWidth="1"/>
    <col min="10" max="15" style="112" width="5.140625" customWidth="1"/>
    <col min="16" max="16" style="112" width="9.61328125" customWidth="1"/>
    <col min="17" max="17" style="112" width="8.3125" customWidth="1"/>
    <col min="18" max="18" style="112" width="7.140625" customWidth="1"/>
    <col min="19" max="20" style="112" width="5.140625" customWidth="1"/>
    <col min="21" max="22" style="112" width="7.57421875" customWidth="1"/>
    <col min="23" max="23" style="112" width="10.57421875" customWidth="1"/>
    <col min="24" max="25" style="112" width="11.140625" customWidth="1"/>
    <col min="26" max="29" style="112" width="8.7109375" customWidth="1"/>
    <col min="30" max="30" style="112" width="6.23046875" customWidth="1"/>
    <col min="31" max="31" style="112" width="7.2734375" customWidth="1"/>
    <col min="32" max="32" style="112" width="11.68359375" customWidth="1"/>
    <col min="33" max="33" style="112" width="10.140625" customWidth="1"/>
    <col min="34" max="34" style="112" width="12.28125" customWidth="1"/>
    <col min="35" max="35" style="112" width="10.140625" customWidth="1"/>
    <col min="36" max="36" style="112" width="10.421875" customWidth="1"/>
    <col min="37" max="37" style="112" width="21.8125" customWidth="1"/>
    <col min="38" max="38" style="112" width="12.00390625" customWidth="1"/>
    <col min="39" max="40" style="112" width="13.57421875" customWidth="1"/>
    <col min="43" max="43" width="28.83203125" customWidth="1"/>
  </cols>
  <sheetData>
    <row customHeight="1" ht="2.25">
      <c r="A1" s="390"/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390"/>
      <c r="AD1" s="390"/>
      <c r="AE1" s="390"/>
      <c r="AF1" s="390"/>
      <c r="AG1" s="390"/>
      <c r="AH1" s="390"/>
      <c r="AI1" s="390"/>
      <c r="AJ1" s="390"/>
      <c r="AK1" s="390"/>
      <c r="AL1" s="390"/>
      <c r="AM1" s="390"/>
      <c r="AN1" s="390"/>
      <c r="AO1" s="391"/>
      <c r="AP1" s="391"/>
      <c r="AQ1" s="391"/>
      <c r="AR1" s="391"/>
      <c r="AS1" s="391"/>
      <c r="AT1" s="391"/>
    </row>
    <row customHeight="1" ht="15">
      <c r="A2" s="390"/>
      <c r="B2" s="392" t="s">
        <v>0</v>
      </c>
      <c r="C2" s="393"/>
      <c r="D2" s="393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  <c r="Z2" s="393"/>
      <c r="AA2" s="393"/>
      <c r="AB2" s="393"/>
      <c r="AC2" s="393"/>
      <c r="AD2" s="393"/>
      <c r="AE2" s="393"/>
      <c r="AF2" s="393"/>
      <c r="AG2" s="393"/>
      <c r="AH2" s="393"/>
      <c r="AI2" s="393"/>
      <c r="AJ2" s="393"/>
      <c r="AK2" s="393"/>
      <c r="AL2" s="393"/>
      <c r="AM2" s="393"/>
      <c r="AN2" s="393"/>
      <c r="AO2" s="393"/>
      <c r="AP2" s="393"/>
      <c r="AQ2" s="393"/>
      <c r="AR2" s="393"/>
      <c r="AS2" s="393"/>
      <c r="AT2" s="394"/>
    </row>
    <row customHeight="1" ht="36">
      <c r="A3" s="390"/>
      <c r="B3" s="395"/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6"/>
      <c r="Q3" s="396"/>
      <c r="R3" s="396"/>
      <c r="S3" s="396"/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6"/>
      <c r="AJ3" s="396"/>
      <c r="AK3" s="396"/>
      <c r="AL3" s="396"/>
      <c r="AM3" s="396"/>
      <c r="AN3" s="396"/>
      <c r="AO3" s="396"/>
      <c r="AP3" s="396"/>
      <c r="AQ3" s="396"/>
      <c r="AR3" s="396"/>
      <c r="AS3" s="396"/>
      <c r="AT3" s="397"/>
    </row>
    <row customHeight="1" ht="20.25">
      <c r="A4" s="390"/>
      <c r="B4" s="398"/>
      <c r="C4" s="399"/>
      <c r="D4" s="399"/>
      <c r="E4" s="399"/>
      <c r="F4" s="399"/>
      <c r="G4" s="399"/>
      <c r="H4" s="399"/>
      <c r="I4" s="399"/>
      <c r="J4" s="399"/>
      <c r="K4" s="399"/>
      <c r="L4" s="400" t="s">
        <v>1</v>
      </c>
      <c r="M4" s="400"/>
      <c r="N4" s="401" t="s">
        <v>2</v>
      </c>
      <c r="O4" s="401"/>
      <c r="P4" s="401"/>
      <c r="Q4" s="399"/>
      <c r="R4" s="399"/>
      <c r="S4" s="399"/>
      <c r="T4" s="399"/>
      <c r="U4" s="399"/>
      <c r="V4" s="399"/>
      <c r="W4" s="399"/>
      <c r="X4" s="399"/>
      <c r="Y4" s="399"/>
      <c r="Z4" s="399"/>
      <c r="AA4" s="399"/>
      <c r="AB4" s="402"/>
      <c r="AC4" s="402"/>
      <c r="AD4" s="402"/>
      <c r="AE4" s="402"/>
      <c r="AF4" s="402"/>
      <c r="AG4" s="403"/>
      <c r="AH4" s="403"/>
      <c r="AI4" s="404"/>
      <c r="AJ4" s="404"/>
      <c r="AK4" s="404"/>
      <c r="AL4" s="404"/>
      <c r="AM4" s="404"/>
      <c r="AN4" s="405"/>
      <c r="AO4" s="406" t="str">
        <f>取值!A57&amp;取值!B57</f>
        <v>报出日期:2026-01-07</v>
      </c>
      <c r="AP4" s="406"/>
      <c r="AQ4" s="406"/>
      <c r="AR4" s="406"/>
      <c r="AS4" s="406"/>
      <c r="AT4" s="407">
        <v>0.3333333333333333</v>
      </c>
    </row>
    <row s="408" customFormat="1" customHeight="1" ht="41.25">
      <c r="A5" s="409"/>
      <c r="B5" s="192" t="s">
        <v>3</v>
      </c>
      <c r="C5" s="193"/>
      <c r="D5" s="193"/>
      <c r="E5" s="193"/>
      <c r="F5" s="193"/>
      <c r="G5" s="193"/>
      <c r="H5" s="193"/>
      <c r="I5" s="195">
        <v>0.6666666666666666</v>
      </c>
      <c r="J5" s="195"/>
      <c r="K5" s="195">
        <v>0.041666666666666664</v>
      </c>
      <c r="L5" s="195"/>
      <c r="M5" s="195">
        <v>0.2916666666666667</v>
      </c>
      <c r="N5" s="195"/>
      <c r="O5" s="214" t="s">
        <v>4</v>
      </c>
      <c r="P5" s="215"/>
      <c r="Q5" s="215"/>
      <c r="R5" s="216"/>
      <c r="S5" s="416">
        <v>0.6666666666666666</v>
      </c>
      <c r="T5" s="417"/>
      <c r="U5" s="141">
        <v>0.041666666666666664</v>
      </c>
      <c r="V5" s="141">
        <v>0.2916666666666667</v>
      </c>
      <c r="W5" s="217" t="s">
        <v>5</v>
      </c>
      <c r="X5" s="218"/>
      <c r="Y5" s="219"/>
      <c r="Z5" s="141">
        <v>0.6666666666666666</v>
      </c>
      <c r="AA5" s="141">
        <v>0.041666666666666664</v>
      </c>
      <c r="AB5" s="141">
        <v>0.2916666666666667</v>
      </c>
      <c r="AC5" s="214" t="s">
        <v>6</v>
      </c>
      <c r="AD5" s="215"/>
      <c r="AE5" s="215"/>
      <c r="AF5" s="216"/>
      <c r="AG5" s="141">
        <v>0.6666666666666666</v>
      </c>
      <c r="AH5" s="141">
        <v>0.041666666666666664</v>
      </c>
      <c r="AI5" s="141">
        <v>0.2916666666666667</v>
      </c>
      <c r="AJ5" s="193" t="s">
        <v>7</v>
      </c>
      <c r="AK5" s="193"/>
      <c r="AL5" s="141">
        <v>0.6666666666666666</v>
      </c>
      <c r="AM5" s="141">
        <v>0.041666666666666664</v>
      </c>
      <c r="AN5" s="141">
        <v>0.2916666666666667</v>
      </c>
      <c r="AO5" s="328" t="s">
        <v>8</v>
      </c>
      <c r="AP5" s="193"/>
      <c r="AQ5" s="193"/>
      <c r="AR5" s="141">
        <v>0.6666666666666666</v>
      </c>
      <c r="AS5" s="142">
        <v>0.041666666666666664</v>
      </c>
      <c r="AT5" s="143">
        <v>0.2916666666666667</v>
      </c>
    </row>
    <row s="425" customFormat="1" customHeight="1" ht="35.25">
      <c r="A6" s="409"/>
      <c r="B6" s="191" t="s">
        <v>9</v>
      </c>
      <c r="C6" s="194" t="s">
        <v>10</v>
      </c>
      <c r="D6" s="194"/>
      <c r="E6" s="194"/>
      <c r="F6" s="194"/>
      <c r="G6" s="194"/>
      <c r="H6" s="194"/>
      <c r="I6" s="428">
        <v>0.05172424</v>
      </c>
      <c r="J6" s="429"/>
      <c r="K6" s="428">
        <v>0.05067567</v>
      </c>
      <c r="L6" s="429"/>
      <c r="M6" s="428">
        <v>0.04694378</v>
      </c>
      <c r="N6" s="429"/>
      <c r="O6" s="197" t="s">
        <v>11</v>
      </c>
      <c r="P6" s="198" t="s">
        <v>12</v>
      </c>
      <c r="Q6" s="199"/>
      <c r="R6" s="200"/>
      <c r="S6" s="434">
        <v>80.1851</v>
      </c>
      <c r="T6" s="435"/>
      <c r="U6" s="436">
        <v>80.88347</v>
      </c>
      <c r="V6" s="437">
        <v>79.3567</v>
      </c>
      <c r="W6" s="201" t="s">
        <v>13</v>
      </c>
      <c r="X6" s="204" t="s">
        <v>14</v>
      </c>
      <c r="Y6" s="205"/>
      <c r="Z6" s="436" t="str">
        <f>IF(取值1!C38=0,"",取值1!C38)</f>
        <v/>
      </c>
      <c r="AA6" s="436" t="str">
        <f>IF(取值1!D38=0,"",取值1!D38)</f>
        <v/>
      </c>
      <c r="AB6" s="436" t="str">
        <f>IF(取值1!E38=0,"",取值1!E38)</f>
        <v/>
      </c>
      <c r="AC6" s="197" t="s">
        <v>15</v>
      </c>
      <c r="AD6" s="198" t="s">
        <v>16</v>
      </c>
      <c r="AE6" s="199"/>
      <c r="AF6" s="200"/>
      <c r="AG6" s="437">
        <v>1.753871</v>
      </c>
      <c r="AH6" s="441">
        <v>1.754921</v>
      </c>
      <c r="AI6" s="441">
        <v>1.751447</v>
      </c>
      <c r="AJ6" s="194" t="s">
        <v>17</v>
      </c>
      <c r="AK6" s="144" t="s">
        <v>18</v>
      </c>
      <c r="AL6" s="443">
        <v>0.123104</v>
      </c>
      <c r="AM6" s="437">
        <v>0.1245977</v>
      </c>
      <c r="AN6" s="444">
        <v>0.123893</v>
      </c>
      <c r="AO6" s="329"/>
      <c r="AP6" s="200" t="s">
        <v>19</v>
      </c>
      <c r="AQ6" s="144" t="s">
        <v>20</v>
      </c>
      <c r="AR6" s="446">
        <v>882.5236</v>
      </c>
      <c r="AS6" s="446">
        <v>868.1421</v>
      </c>
      <c r="AT6" s="447">
        <v>859.6019</v>
      </c>
    </row>
    <row s="448" customFormat="1" customHeight="1" ht="35.25">
      <c r="A7" s="409"/>
      <c r="B7" s="191"/>
      <c r="C7" s="194" t="s">
        <v>21</v>
      </c>
      <c r="D7" s="194"/>
      <c r="E7" s="194"/>
      <c r="F7" s="194"/>
      <c r="G7" s="194"/>
      <c r="H7" s="194"/>
      <c r="I7" s="428">
        <v>1.099557</v>
      </c>
      <c r="J7" s="429"/>
      <c r="K7" s="428">
        <v>1.098998</v>
      </c>
      <c r="L7" s="429"/>
      <c r="M7" s="428">
        <v>1.093176</v>
      </c>
      <c r="N7" s="429"/>
      <c r="O7" s="197"/>
      <c r="P7" s="198" t="s">
        <v>22</v>
      </c>
      <c r="Q7" s="199"/>
      <c r="R7" s="200"/>
      <c r="S7" s="434">
        <v>168.4544</v>
      </c>
      <c r="T7" s="435"/>
      <c r="U7" s="436">
        <v>168.6084</v>
      </c>
      <c r="V7" s="437">
        <v>168.2898</v>
      </c>
      <c r="W7" s="202"/>
      <c r="X7" s="204" t="s">
        <v>23</v>
      </c>
      <c r="Y7" s="205"/>
      <c r="Z7" s="436">
        <v>0.5605221</v>
      </c>
      <c r="AA7" s="436">
        <v>0.5465196</v>
      </c>
      <c r="AB7" s="436">
        <v>0.5579426</v>
      </c>
      <c r="AC7" s="197"/>
      <c r="AD7" s="198" t="s">
        <v>24</v>
      </c>
      <c r="AE7" s="199"/>
      <c r="AF7" s="200"/>
      <c r="AG7" s="437">
        <v>64.18044</v>
      </c>
      <c r="AH7" s="441">
        <v>63.68192</v>
      </c>
      <c r="AI7" s="441">
        <v>62.99017</v>
      </c>
      <c r="AJ7" s="194"/>
      <c r="AK7" s="144" t="s">
        <v>25</v>
      </c>
      <c r="AL7" s="443">
        <v>621.8397</v>
      </c>
      <c r="AM7" s="437">
        <v>621.9496</v>
      </c>
      <c r="AN7" s="444">
        <v>622.2856</v>
      </c>
      <c r="AO7" s="329"/>
      <c r="AP7" s="200"/>
      <c r="AQ7" s="144" t="s">
        <v>26</v>
      </c>
      <c r="AR7" s="446">
        <v>3.243888</v>
      </c>
      <c r="AS7" s="446">
        <v>3.362279</v>
      </c>
      <c r="AT7" s="447">
        <v>3.353634</v>
      </c>
    </row>
    <row s="450" customFormat="1" customHeight="1" ht="35.25">
      <c r="A8" s="409"/>
      <c r="B8" s="191"/>
      <c r="C8" s="194" t="s">
        <v>27</v>
      </c>
      <c r="D8" s="194"/>
      <c r="E8" s="194"/>
      <c r="F8" s="194"/>
      <c r="G8" s="194"/>
      <c r="H8" s="194"/>
      <c r="I8" s="428">
        <v>512.3381</v>
      </c>
      <c r="J8" s="429"/>
      <c r="K8" s="428">
        <v>512.531</v>
      </c>
      <c r="L8" s="429"/>
      <c r="M8" s="428">
        <v>512.3973</v>
      </c>
      <c r="N8" s="429"/>
      <c r="O8" s="197"/>
      <c r="P8" s="198" t="s">
        <v>28</v>
      </c>
      <c r="Q8" s="199"/>
      <c r="R8" s="200"/>
      <c r="S8" s="434">
        <v>0.06589691</v>
      </c>
      <c r="T8" s="435"/>
      <c r="U8" s="436">
        <v>0.06800033</v>
      </c>
      <c r="V8" s="437">
        <v>0.06085174</v>
      </c>
      <c r="W8" s="202"/>
      <c r="X8" s="204" t="s">
        <v>29</v>
      </c>
      <c r="Y8" s="205"/>
      <c r="Z8" s="436">
        <v>51.85713</v>
      </c>
      <c r="AA8" s="436">
        <v>52.61676</v>
      </c>
      <c r="AB8" s="436">
        <v>51.62971</v>
      </c>
      <c r="AC8" s="197"/>
      <c r="AD8" s="198" t="s">
        <v>30</v>
      </c>
      <c r="AE8" s="199"/>
      <c r="AF8" s="200"/>
      <c r="AG8" s="437">
        <v>0.1504894</v>
      </c>
      <c r="AH8" s="441">
        <v>0.1482544</v>
      </c>
      <c r="AI8" s="441">
        <v>0.1481637</v>
      </c>
      <c r="AJ8" s="194"/>
      <c r="AK8" s="144" t="s">
        <v>31</v>
      </c>
      <c r="AL8" s="443">
        <v>625.3337</v>
      </c>
      <c r="AM8" s="437">
        <v>626.1934</v>
      </c>
      <c r="AN8" s="444">
        <v>626.015</v>
      </c>
      <c r="AO8" s="329"/>
      <c r="AP8" s="200"/>
      <c r="AQ8" s="144" t="s">
        <v>32</v>
      </c>
      <c r="AR8" s="446">
        <v>404.8797</v>
      </c>
      <c r="AS8" s="446">
        <v>416.5627</v>
      </c>
      <c r="AT8" s="447">
        <v>420.5431</v>
      </c>
    </row>
    <row s="451" customFormat="1" customHeight="1" ht="35.25">
      <c r="A9" s="409"/>
      <c r="B9" s="191"/>
      <c r="C9" s="194" t="s">
        <v>33</v>
      </c>
      <c r="D9" s="194"/>
      <c r="E9" s="194"/>
      <c r="F9" s="194"/>
      <c r="G9" s="194"/>
      <c r="H9" s="194"/>
      <c r="I9" s="428">
        <v>512.1147</v>
      </c>
      <c r="J9" s="429"/>
      <c r="K9" s="428">
        <v>512.0168</v>
      </c>
      <c r="L9" s="429"/>
      <c r="M9" s="428">
        <v>512.1044</v>
      </c>
      <c r="N9" s="429"/>
      <c r="O9" s="197"/>
      <c r="P9" s="198" t="s">
        <v>34</v>
      </c>
      <c r="Q9" s="199"/>
      <c r="R9" s="200"/>
      <c r="S9" s="434">
        <v>62.81561</v>
      </c>
      <c r="T9" s="435"/>
      <c r="U9" s="436">
        <v>62.40968</v>
      </c>
      <c r="V9" s="437">
        <v>62.33079</v>
      </c>
      <c r="W9" s="202"/>
      <c r="X9" s="204" t="s">
        <v>35</v>
      </c>
      <c r="Y9" s="205"/>
      <c r="Z9" s="436">
        <v>126.0645</v>
      </c>
      <c r="AA9" s="436">
        <v>126.4014</v>
      </c>
      <c r="AB9" s="436">
        <v>126.3348</v>
      </c>
      <c r="AC9" s="197"/>
      <c r="AD9" s="198" t="s">
        <v>36</v>
      </c>
      <c r="AE9" s="199"/>
      <c r="AF9" s="200"/>
      <c r="AG9" s="437">
        <v>0.02320197</v>
      </c>
      <c r="AH9" s="441">
        <v>0.02013851</v>
      </c>
      <c r="AI9" s="441">
        <v>0.01940982</v>
      </c>
      <c r="AJ9" s="194"/>
      <c r="AK9" s="144" t="s">
        <v>37</v>
      </c>
      <c r="AL9" s="443">
        <v>503.4558</v>
      </c>
      <c r="AM9" s="437">
        <v>503.4438</v>
      </c>
      <c r="AN9" s="444">
        <v>503.4558</v>
      </c>
      <c r="AO9" s="329"/>
      <c r="AP9" s="200"/>
      <c r="AQ9" s="144" t="s">
        <v>38</v>
      </c>
      <c r="AR9" s="446">
        <v>71.82957</v>
      </c>
      <c r="AS9" s="446">
        <v>71.02824</v>
      </c>
      <c r="AT9" s="447">
        <v>70.37158</v>
      </c>
    </row>
    <row s="452" customFormat="1" customHeight="1" ht="35.25">
      <c r="A10" s="409"/>
      <c r="B10" s="191"/>
      <c r="C10" s="194" t="s">
        <v>39</v>
      </c>
      <c r="D10" s="194"/>
      <c r="E10" s="194"/>
      <c r="F10" s="194"/>
      <c r="G10" s="194"/>
      <c r="H10" s="194"/>
      <c r="I10" s="428">
        <v>0.2419407</v>
      </c>
      <c r="J10" s="429"/>
      <c r="K10" s="428">
        <v>0.2416959</v>
      </c>
      <c r="L10" s="429"/>
      <c r="M10" s="428">
        <v>0.2416148</v>
      </c>
      <c r="N10" s="429"/>
      <c r="O10" s="197"/>
      <c r="P10" s="198" t="s">
        <v>40</v>
      </c>
      <c r="Q10" s="199"/>
      <c r="R10" s="200"/>
      <c r="S10" s="434">
        <v>165.8763</v>
      </c>
      <c r="T10" s="435"/>
      <c r="U10" s="436">
        <v>166.1332</v>
      </c>
      <c r="V10" s="437">
        <v>165.4944</v>
      </c>
      <c r="W10" s="202"/>
      <c r="X10" s="204" t="s">
        <v>41</v>
      </c>
      <c r="Y10" s="205"/>
      <c r="Z10" s="436">
        <v>0.5263219</v>
      </c>
      <c r="AA10" s="436">
        <v>0.5395958</v>
      </c>
      <c r="AB10" s="436">
        <v>0.535611</v>
      </c>
      <c r="AC10" s="197"/>
      <c r="AD10" s="198" t="s">
        <v>42</v>
      </c>
      <c r="AE10" s="199"/>
      <c r="AF10" s="200"/>
      <c r="AG10" s="437">
        <v>5.491353</v>
      </c>
      <c r="AH10" s="441">
        <v>4.439972</v>
      </c>
      <c r="AI10" s="441">
        <v>4.254805</v>
      </c>
      <c r="AJ10" s="194"/>
      <c r="AK10" s="144" t="s">
        <v>43</v>
      </c>
      <c r="AL10" s="443">
        <v>65.07428</v>
      </c>
      <c r="AM10" s="437">
        <v>64.60234</v>
      </c>
      <c r="AN10" s="444">
        <v>64.44135</v>
      </c>
      <c r="AO10" s="329"/>
      <c r="AP10" s="200" t="s">
        <v>44</v>
      </c>
      <c r="AQ10" s="144" t="s">
        <v>20</v>
      </c>
      <c r="AR10" s="446">
        <v>886.3918</v>
      </c>
      <c r="AS10" s="446">
        <v>900.5479</v>
      </c>
      <c r="AT10" s="447">
        <v>909.5413</v>
      </c>
    </row>
    <row s="453" customFormat="1" customHeight="1" ht="35.25">
      <c r="A11" s="409"/>
      <c r="B11" s="191"/>
      <c r="C11" s="194" t="s">
        <v>45</v>
      </c>
      <c r="D11" s="194"/>
      <c r="E11" s="194"/>
      <c r="F11" s="194"/>
      <c r="G11" s="194"/>
      <c r="H11" s="194"/>
      <c r="I11" s="428">
        <v>480.0383</v>
      </c>
      <c r="J11" s="429"/>
      <c r="K11" s="428">
        <v>480.0271</v>
      </c>
      <c r="L11" s="429"/>
      <c r="M11" s="428">
        <v>479.9764</v>
      </c>
      <c r="N11" s="429"/>
      <c r="O11" s="197"/>
      <c r="P11" s="198" t="s">
        <v>46</v>
      </c>
      <c r="Q11" s="199"/>
      <c r="R11" s="200"/>
      <c r="S11" s="434">
        <v>-41.69657</v>
      </c>
      <c r="T11" s="435"/>
      <c r="U11" s="436">
        <v>-42.53204</v>
      </c>
      <c r="V11" s="437">
        <v>-42.72856</v>
      </c>
      <c r="W11" s="202"/>
      <c r="X11" s="204" t="s">
        <v>47</v>
      </c>
      <c r="Y11" s="205"/>
      <c r="Z11" s="436">
        <v>50.82442</v>
      </c>
      <c r="AA11" s="436">
        <v>50.82543</v>
      </c>
      <c r="AB11" s="436">
        <v>50.23771</v>
      </c>
      <c r="AC11" s="197"/>
      <c r="AD11" s="198" t="s">
        <v>48</v>
      </c>
      <c r="AE11" s="199"/>
      <c r="AF11" s="200"/>
      <c r="AG11" s="437">
        <v>0.1371</v>
      </c>
      <c r="AH11" s="441">
        <v>0.1377688</v>
      </c>
      <c r="AI11" s="441">
        <v>0.1376447</v>
      </c>
      <c r="AJ11" s="454"/>
      <c r="AK11" s="454"/>
      <c r="AL11" s="454"/>
      <c r="AM11" s="454"/>
      <c r="AN11" s="455"/>
      <c r="AO11" s="329"/>
      <c r="AP11" s="200"/>
      <c r="AQ11" s="144" t="s">
        <v>26</v>
      </c>
      <c r="AR11" s="446">
        <v>5.620328</v>
      </c>
      <c r="AS11" s="446">
        <v>5.197007</v>
      </c>
      <c r="AT11" s="447">
        <v>5.206415</v>
      </c>
    </row>
    <row s="456" customFormat="1" customHeight="1" ht="35.25">
      <c r="A12" s="409"/>
      <c r="B12" s="191"/>
      <c r="C12" s="194" t="s">
        <v>49</v>
      </c>
      <c r="D12" s="194"/>
      <c r="E12" s="194"/>
      <c r="F12" s="194"/>
      <c r="G12" s="194"/>
      <c r="H12" s="194"/>
      <c r="I12" s="428">
        <v>570.467</v>
      </c>
      <c r="J12" s="429"/>
      <c r="K12" s="428">
        <v>569.3619</v>
      </c>
      <c r="L12" s="429"/>
      <c r="M12" s="428">
        <v>569.8109</v>
      </c>
      <c r="N12" s="429"/>
      <c r="O12" s="197" t="s">
        <v>50</v>
      </c>
      <c r="P12" s="198" t="s">
        <v>51</v>
      </c>
      <c r="Q12" s="199"/>
      <c r="R12" s="200"/>
      <c r="S12" s="434">
        <v>48.47912</v>
      </c>
      <c r="T12" s="435"/>
      <c r="U12" s="436">
        <v>48.35229</v>
      </c>
      <c r="V12" s="437">
        <v>48.62885</v>
      </c>
      <c r="W12" s="203"/>
      <c r="X12" s="204" t="s">
        <v>52</v>
      </c>
      <c r="Y12" s="205"/>
      <c r="Z12" s="436">
        <v>0.5531757</v>
      </c>
      <c r="AA12" s="436">
        <v>0.5672817</v>
      </c>
      <c r="AB12" s="436">
        <v>0.5599515</v>
      </c>
      <c r="AC12" s="197"/>
      <c r="AD12" s="198" t="s">
        <v>53</v>
      </c>
      <c r="AE12" s="199"/>
      <c r="AF12" s="200"/>
      <c r="AG12" s="437">
        <v>0.01958309</v>
      </c>
      <c r="AH12" s="441">
        <v>0.01669374</v>
      </c>
      <c r="AI12" s="441">
        <v>0.01615489</v>
      </c>
      <c r="AJ12" s="454"/>
      <c r="AK12" s="454"/>
      <c r="AL12" s="454"/>
      <c r="AM12" s="454"/>
      <c r="AN12" s="455"/>
      <c r="AO12" s="329"/>
      <c r="AP12" s="200"/>
      <c r="AQ12" s="144" t="s">
        <v>32</v>
      </c>
      <c r="AR12" s="446">
        <v>412.791</v>
      </c>
      <c r="AS12" s="446">
        <v>404.7139</v>
      </c>
      <c r="AT12" s="447">
        <v>416.8038</v>
      </c>
    </row>
    <row s="458" customFormat="1" customHeight="1" ht="35.25">
      <c r="A13" s="409"/>
      <c r="B13" s="191"/>
      <c r="C13" s="194" t="s">
        <v>54</v>
      </c>
      <c r="D13" s="194"/>
      <c r="E13" s="194"/>
      <c r="F13" s="194"/>
      <c r="G13" s="194"/>
      <c r="H13" s="194"/>
      <c r="I13" s="428">
        <v>0.2652831</v>
      </c>
      <c r="J13" s="429"/>
      <c r="K13" s="428">
        <v>0.2651369</v>
      </c>
      <c r="L13" s="429"/>
      <c r="M13" s="428">
        <v>0.2643673</v>
      </c>
      <c r="N13" s="429"/>
      <c r="O13" s="197"/>
      <c r="P13" s="198" t="s">
        <v>55</v>
      </c>
      <c r="Q13" s="199"/>
      <c r="R13" s="200"/>
      <c r="S13" s="434">
        <v>1.879918</v>
      </c>
      <c r="T13" s="435"/>
      <c r="U13" s="436">
        <v>1.880965</v>
      </c>
      <c r="V13" s="437">
        <v>1.880938</v>
      </c>
      <c r="W13" s="201" t="s">
        <v>56</v>
      </c>
      <c r="X13" s="204" t="s">
        <v>57</v>
      </c>
      <c r="Y13" s="205"/>
      <c r="Z13" s="436">
        <v>352.2697</v>
      </c>
      <c r="AA13" s="436">
        <v>351.9589</v>
      </c>
      <c r="AB13" s="436">
        <v>351.8729</v>
      </c>
      <c r="AC13" s="197"/>
      <c r="AD13" s="198" t="s">
        <v>58</v>
      </c>
      <c r="AE13" s="199"/>
      <c r="AF13" s="200"/>
      <c r="AG13" s="437">
        <v>46653.15</v>
      </c>
      <c r="AH13" s="441">
        <v>46281.51</v>
      </c>
      <c r="AI13" s="441">
        <v>46332.73</v>
      </c>
      <c r="AJ13" s="454"/>
      <c r="AK13" s="454"/>
      <c r="AL13" s="454"/>
      <c r="AM13" s="454"/>
      <c r="AN13" s="455"/>
      <c r="AO13" s="329"/>
      <c r="AP13" s="200"/>
      <c r="AQ13" s="144" t="s">
        <v>38</v>
      </c>
      <c r="AR13" s="446">
        <v>68.62093</v>
      </c>
      <c r="AS13" s="446">
        <v>69.88447</v>
      </c>
      <c r="AT13" s="447">
        <v>71.13879</v>
      </c>
    </row>
    <row s="459" customFormat="1" customHeight="1" ht="35.25">
      <c r="A14" s="409"/>
      <c r="B14" s="191" t="s">
        <v>59</v>
      </c>
      <c r="C14" s="194" t="s">
        <v>60</v>
      </c>
      <c r="D14" s="194"/>
      <c r="E14" s="194"/>
      <c r="F14" s="194"/>
      <c r="G14" s="194"/>
      <c r="H14" s="194"/>
      <c r="I14" s="428">
        <v>298.0436</v>
      </c>
      <c r="J14" s="429"/>
      <c r="K14" s="428">
        <v>297.7819</v>
      </c>
      <c r="L14" s="429"/>
      <c r="M14" s="428">
        <v>297.5555</v>
      </c>
      <c r="N14" s="429"/>
      <c r="O14" s="197"/>
      <c r="P14" s="198" t="s">
        <v>61</v>
      </c>
      <c r="Q14" s="199"/>
      <c r="R14" s="200"/>
      <c r="S14" s="434">
        <v>57.01244</v>
      </c>
      <c r="T14" s="435"/>
      <c r="U14" s="436">
        <v>55.95622</v>
      </c>
      <c r="V14" s="437">
        <v>55.67295</v>
      </c>
      <c r="W14" s="202"/>
      <c r="X14" s="204" t="s">
        <v>62</v>
      </c>
      <c r="Y14" s="205"/>
      <c r="Z14" s="436">
        <v>6.853453</v>
      </c>
      <c r="AA14" s="436">
        <v>6.879702</v>
      </c>
      <c r="AB14" s="436">
        <v>6.906269</v>
      </c>
      <c r="AC14" s="197"/>
      <c r="AD14" s="198" t="s">
        <v>63</v>
      </c>
      <c r="AE14" s="199"/>
      <c r="AF14" s="200"/>
      <c r="AG14" s="437">
        <v>50662.62</v>
      </c>
      <c r="AH14" s="441">
        <v>50345</v>
      </c>
      <c r="AI14" s="441">
        <v>49927.76</v>
      </c>
      <c r="AJ14" s="454"/>
      <c r="AK14" s="454"/>
      <c r="AL14" s="454"/>
      <c r="AM14" s="454"/>
      <c r="AN14" s="455"/>
      <c r="AO14" s="329"/>
      <c r="AP14" s="200" t="s">
        <v>64</v>
      </c>
      <c r="AQ14" s="144" t="s">
        <v>20</v>
      </c>
      <c r="AR14" s="446">
        <v>915.306</v>
      </c>
      <c r="AS14" s="446">
        <v>907.2817</v>
      </c>
      <c r="AT14" s="447">
        <v>921.6283</v>
      </c>
    </row>
    <row s="460" customFormat="1" customHeight="1" ht="35.25">
      <c r="A15" s="409"/>
      <c r="B15" s="191"/>
      <c r="C15" s="194" t="s">
        <v>65</v>
      </c>
      <c r="D15" s="194"/>
      <c r="E15" s="194"/>
      <c r="F15" s="194"/>
      <c r="G15" s="194"/>
      <c r="H15" s="194"/>
      <c r="I15" s="428">
        <v>6.477001</v>
      </c>
      <c r="J15" s="429"/>
      <c r="K15" s="428">
        <v>6.489275</v>
      </c>
      <c r="L15" s="429"/>
      <c r="M15" s="428">
        <v>6.456166</v>
      </c>
      <c r="N15" s="429"/>
      <c r="O15" s="197"/>
      <c r="P15" s="198" t="s">
        <v>66</v>
      </c>
      <c r="Q15" s="199"/>
      <c r="R15" s="200"/>
      <c r="S15" s="434">
        <v>2.853419</v>
      </c>
      <c r="T15" s="435"/>
      <c r="U15" s="436">
        <v>2.850089</v>
      </c>
      <c r="V15" s="437">
        <v>2.84925</v>
      </c>
      <c r="W15" s="202"/>
      <c r="X15" s="204" t="s">
        <v>67</v>
      </c>
      <c r="Y15" s="205"/>
      <c r="Z15" s="436">
        <v>6.453642</v>
      </c>
      <c r="AA15" s="436">
        <v>6.480742</v>
      </c>
      <c r="AB15" s="436">
        <v>6.508387</v>
      </c>
      <c r="AC15" s="197" t="s">
        <v>68</v>
      </c>
      <c r="AD15" s="198" t="s">
        <v>69</v>
      </c>
      <c r="AE15" s="199"/>
      <c r="AF15" s="200"/>
      <c r="AG15" s="437">
        <v>58.44726</v>
      </c>
      <c r="AH15" s="441">
        <v>57.08833</v>
      </c>
      <c r="AI15" s="441">
        <v>57.81035</v>
      </c>
      <c r="AJ15" s="454"/>
      <c r="AK15" s="454"/>
      <c r="AL15" s="454"/>
      <c r="AM15" s="454"/>
      <c r="AN15" s="455"/>
      <c r="AO15" s="329"/>
      <c r="AP15" s="200"/>
      <c r="AQ15" s="144" t="s">
        <v>26</v>
      </c>
      <c r="AR15" s="446">
        <v>3.272814</v>
      </c>
      <c r="AS15" s="446">
        <v>3.39237</v>
      </c>
      <c r="AT15" s="447">
        <v>3.385144</v>
      </c>
    </row>
    <row s="461" customFormat="1" customHeight="1" ht="35.25">
      <c r="A16" s="409"/>
      <c r="B16" s="191"/>
      <c r="C16" s="194" t="s">
        <v>70</v>
      </c>
      <c r="D16" s="194"/>
      <c r="E16" s="194"/>
      <c r="F16" s="194"/>
      <c r="G16" s="194"/>
      <c r="H16" s="194"/>
      <c r="I16" s="428">
        <v>87.3282</v>
      </c>
      <c r="J16" s="429"/>
      <c r="K16" s="428">
        <v>86.43716</v>
      </c>
      <c r="L16" s="429"/>
      <c r="M16" s="428">
        <v>88.66401</v>
      </c>
      <c r="N16" s="429"/>
      <c r="O16" s="197"/>
      <c r="P16" s="198" t="s">
        <v>71</v>
      </c>
      <c r="Q16" s="199"/>
      <c r="R16" s="200"/>
      <c r="S16" s="434">
        <v>27.90551</v>
      </c>
      <c r="T16" s="435"/>
      <c r="U16" s="436">
        <v>26.925</v>
      </c>
      <c r="V16" s="437">
        <v>27.59036</v>
      </c>
      <c r="W16" s="202"/>
      <c r="X16" s="204" t="s">
        <v>72</v>
      </c>
      <c r="Y16" s="205"/>
      <c r="Z16" s="436">
        <v>137.0691</v>
      </c>
      <c r="AA16" s="436">
        <v>136.7636</v>
      </c>
      <c r="AB16" s="436">
        <v>137.6186</v>
      </c>
      <c r="AC16" s="197"/>
      <c r="AD16" s="198" t="s">
        <v>73</v>
      </c>
      <c r="AE16" s="199"/>
      <c r="AF16" s="200"/>
      <c r="AG16" s="437">
        <v>1.11828</v>
      </c>
      <c r="AH16" s="441">
        <v>1.117362</v>
      </c>
      <c r="AI16" s="441">
        <v>1.117325</v>
      </c>
      <c r="AJ16" s="454"/>
      <c r="AK16" s="454"/>
      <c r="AL16" s="454"/>
      <c r="AM16" s="454"/>
      <c r="AN16" s="455"/>
      <c r="AO16" s="329"/>
      <c r="AP16" s="200"/>
      <c r="AQ16" s="144" t="s">
        <v>32</v>
      </c>
      <c r="AR16" s="446">
        <v>413.4008</v>
      </c>
      <c r="AS16" s="446">
        <v>413.8743</v>
      </c>
      <c r="AT16" s="447">
        <v>407.3294</v>
      </c>
    </row>
    <row s="462" customFormat="1" customHeight="1" ht="35.25">
      <c r="A17" s="409"/>
      <c r="B17" s="191"/>
      <c r="C17" s="194" t="s">
        <v>74</v>
      </c>
      <c r="D17" s="194"/>
      <c r="E17" s="194"/>
      <c r="F17" s="194"/>
      <c r="G17" s="194"/>
      <c r="H17" s="194"/>
      <c r="I17" s="428">
        <v>146.5144</v>
      </c>
      <c r="J17" s="429"/>
      <c r="K17" s="428">
        <v>145.7637</v>
      </c>
      <c r="L17" s="429"/>
      <c r="M17" s="428">
        <v>146.1001</v>
      </c>
      <c r="N17" s="429"/>
      <c r="O17" s="197" t="s">
        <v>75</v>
      </c>
      <c r="P17" s="198" t="s">
        <v>76</v>
      </c>
      <c r="Q17" s="199"/>
      <c r="R17" s="200"/>
      <c r="S17" s="434">
        <v>18.9928</v>
      </c>
      <c r="T17" s="435"/>
      <c r="U17" s="436">
        <v>19.01192</v>
      </c>
      <c r="V17" s="437">
        <v>19.0054</v>
      </c>
      <c r="W17" s="202"/>
      <c r="X17" s="204" t="s">
        <v>77</v>
      </c>
      <c r="Y17" s="205"/>
      <c r="Z17" s="436">
        <v>182.3604</v>
      </c>
      <c r="AA17" s="436">
        <v>182.0957</v>
      </c>
      <c r="AB17" s="436">
        <v>181.7542</v>
      </c>
      <c r="AC17" s="197"/>
      <c r="AD17" s="198" t="s">
        <v>78</v>
      </c>
      <c r="AE17" s="199"/>
      <c r="AF17" s="200"/>
      <c r="AG17" s="437">
        <v>51.95076</v>
      </c>
      <c r="AH17" s="441">
        <v>50.82618</v>
      </c>
      <c r="AI17" s="441">
        <v>51.5266</v>
      </c>
      <c r="AJ17" s="454"/>
      <c r="AK17" s="454"/>
      <c r="AL17" s="454"/>
      <c r="AM17" s="454"/>
      <c r="AN17" s="455"/>
      <c r="AO17" s="329"/>
      <c r="AP17" s="200"/>
      <c r="AQ17" s="144" t="s">
        <v>38</v>
      </c>
      <c r="AR17" s="446">
        <v>68.52834</v>
      </c>
      <c r="AS17" s="446">
        <v>67.63504</v>
      </c>
      <c r="AT17" s="447">
        <v>68.83044</v>
      </c>
    </row>
    <row s="463" customFormat="1" customHeight="1" ht="35.25">
      <c r="A18" s="409"/>
      <c r="B18" s="191"/>
      <c r="C18" s="194" t="s">
        <v>79</v>
      </c>
      <c r="D18" s="194"/>
      <c r="E18" s="194"/>
      <c r="F18" s="194"/>
      <c r="G18" s="194"/>
      <c r="H18" s="194"/>
      <c r="I18" s="428">
        <v>292.7516</v>
      </c>
      <c r="J18" s="429"/>
      <c r="K18" s="428">
        <v>292.2554</v>
      </c>
      <c r="L18" s="429"/>
      <c r="M18" s="428">
        <v>291.6619</v>
      </c>
      <c r="N18" s="429"/>
      <c r="O18" s="197"/>
      <c r="P18" s="198" t="s">
        <v>80</v>
      </c>
      <c r="Q18" s="199"/>
      <c r="R18" s="200"/>
      <c r="S18" s="434">
        <v>3.546564</v>
      </c>
      <c r="T18" s="435"/>
      <c r="U18" s="436">
        <v>3.541105</v>
      </c>
      <c r="V18" s="437">
        <v>3.538326</v>
      </c>
      <c r="W18" s="202"/>
      <c r="X18" s="204" t="s">
        <v>81</v>
      </c>
      <c r="Y18" s="205"/>
      <c r="Z18" s="436">
        <v>0.8018434</v>
      </c>
      <c r="AA18" s="436">
        <v>0.7938417</v>
      </c>
      <c r="AB18" s="436">
        <v>0.8018432</v>
      </c>
      <c r="AC18" s="197"/>
      <c r="AD18" s="198" t="s">
        <v>82</v>
      </c>
      <c r="AE18" s="199"/>
      <c r="AF18" s="200"/>
      <c r="AG18" s="437">
        <v>1.035991</v>
      </c>
      <c r="AH18" s="441">
        <v>1.034592</v>
      </c>
      <c r="AI18" s="441">
        <v>1.034655</v>
      </c>
      <c r="AJ18" s="454"/>
      <c r="AK18" s="454"/>
      <c r="AL18" s="454"/>
      <c r="AM18" s="454"/>
      <c r="AN18" s="455"/>
      <c r="AO18" s="329"/>
      <c r="AP18" s="200" t="s">
        <v>83</v>
      </c>
      <c r="AQ18" s="144" t="s">
        <v>20</v>
      </c>
      <c r="AR18" s="446">
        <v>117.518</v>
      </c>
      <c r="AS18" s="446">
        <v>114.7667</v>
      </c>
      <c r="AT18" s="447">
        <v>115.0448</v>
      </c>
    </row>
    <row s="464" customFormat="1" customHeight="1" ht="35.25">
      <c r="A19" s="409"/>
      <c r="B19" s="191" t="s">
        <v>84</v>
      </c>
      <c r="C19" s="194" t="s">
        <v>85</v>
      </c>
      <c r="D19" s="194"/>
      <c r="E19" s="194"/>
      <c r="F19" s="194"/>
      <c r="G19" s="194"/>
      <c r="H19" s="194"/>
      <c r="I19" s="428">
        <v>410.1113</v>
      </c>
      <c r="J19" s="429"/>
      <c r="K19" s="428">
        <v>407.5627</v>
      </c>
      <c r="L19" s="429"/>
      <c r="M19" s="428">
        <v>408.8253</v>
      </c>
      <c r="N19" s="429"/>
      <c r="O19" s="197"/>
      <c r="P19" s="198" t="s">
        <v>86</v>
      </c>
      <c r="Q19" s="199"/>
      <c r="R19" s="200"/>
      <c r="S19" s="434">
        <v>70.00957</v>
      </c>
      <c r="T19" s="435"/>
      <c r="U19" s="436">
        <v>69.99118</v>
      </c>
      <c r="V19" s="437">
        <v>70.0092</v>
      </c>
      <c r="W19" s="202"/>
      <c r="X19" s="204"/>
      <c r="Y19" s="205"/>
      <c r="Z19" s="465" t="str">
        <f>IF(取值1!C51=0,"",取值1!C51)</f>
        <v/>
      </c>
      <c r="AA19" s="389" t="str">
        <f>IF(取值1!D51=0,"",取值1!D51)</f>
        <v/>
      </c>
      <c r="AB19" s="389" t="str">
        <f>IF(取值1!E51=0,"",取值1!E51)</f>
        <v/>
      </c>
      <c r="AC19" s="197"/>
      <c r="AD19" s="198" t="s">
        <v>87</v>
      </c>
      <c r="AE19" s="199"/>
      <c r="AF19" s="200"/>
      <c r="AG19" s="437">
        <v>49.9668</v>
      </c>
      <c r="AH19" s="441">
        <v>48.6977</v>
      </c>
      <c r="AI19" s="441">
        <v>49.24726</v>
      </c>
      <c r="AJ19" s="454"/>
      <c r="AK19" s="454"/>
      <c r="AL19" s="454"/>
      <c r="AM19" s="454"/>
      <c r="AN19" s="455"/>
      <c r="AO19" s="329"/>
      <c r="AP19" s="200"/>
      <c r="AQ19" s="144" t="s">
        <v>26</v>
      </c>
      <c r="AR19" s="446">
        <v>0.1722002</v>
      </c>
      <c r="AS19" s="446">
        <v>0.116975</v>
      </c>
      <c r="AT19" s="447">
        <v>0.185427</v>
      </c>
    </row>
    <row s="467" customFormat="1" customHeight="1" ht="35.25">
      <c r="A20" s="409"/>
      <c r="B20" s="191"/>
      <c r="C20" s="194" t="s">
        <v>62</v>
      </c>
      <c r="D20" s="194"/>
      <c r="E20" s="194"/>
      <c r="F20" s="194"/>
      <c r="G20" s="194"/>
      <c r="H20" s="194"/>
      <c r="I20" s="428">
        <v>2.356201</v>
      </c>
      <c r="J20" s="429"/>
      <c r="K20" s="428">
        <v>2.358328</v>
      </c>
      <c r="L20" s="429"/>
      <c r="M20" s="428">
        <v>2.352422</v>
      </c>
      <c r="N20" s="429"/>
      <c r="O20" s="197"/>
      <c r="P20" s="198" t="s">
        <v>88</v>
      </c>
      <c r="Q20" s="199"/>
      <c r="R20" s="200"/>
      <c r="S20" s="434">
        <v>3.562305</v>
      </c>
      <c r="T20" s="435"/>
      <c r="U20" s="436">
        <v>3.537084</v>
      </c>
      <c r="V20" s="437">
        <v>3.531636</v>
      </c>
      <c r="W20" s="202"/>
      <c r="X20" s="204"/>
      <c r="Y20" s="205"/>
      <c r="Z20" s="465" t="str">
        <f>IF(取值1!C52=0,"",取值1!C52)</f>
        <v/>
      </c>
      <c r="AA20" s="389" t="str">
        <f>IF(取值1!D52=0,"",取值1!D52)</f>
        <v/>
      </c>
      <c r="AB20" s="389" t="str">
        <f>IF(取值1!E52=0,"",取值1!E52)</f>
        <v/>
      </c>
      <c r="AC20" s="197"/>
      <c r="AD20" s="198" t="s">
        <v>89</v>
      </c>
      <c r="AE20" s="199"/>
      <c r="AF20" s="200"/>
      <c r="AG20" s="437">
        <v>1.02095</v>
      </c>
      <c r="AH20" s="441">
        <v>1.020291</v>
      </c>
      <c r="AI20" s="441">
        <v>1.020147</v>
      </c>
      <c r="AJ20" s="454"/>
      <c r="AK20" s="454"/>
      <c r="AL20" s="454"/>
      <c r="AM20" s="454"/>
      <c r="AN20" s="455"/>
      <c r="AO20" s="329"/>
      <c r="AP20" s="200"/>
      <c r="AQ20" s="144" t="s">
        <v>32</v>
      </c>
      <c r="AR20" s="446">
        <v>338.8067</v>
      </c>
      <c r="AS20" s="446">
        <v>327.2264</v>
      </c>
      <c r="AT20" s="447">
        <v>335.0783</v>
      </c>
    </row>
    <row s="468" customFormat="1" customHeight="1" ht="35.25">
      <c r="A21" s="409"/>
      <c r="B21" s="191"/>
      <c r="C21" s="194" t="s">
        <v>90</v>
      </c>
      <c r="D21" s="194"/>
      <c r="E21" s="194"/>
      <c r="F21" s="194"/>
      <c r="G21" s="194"/>
      <c r="H21" s="194"/>
      <c r="I21" s="428">
        <v>524.8091</v>
      </c>
      <c r="J21" s="429"/>
      <c r="K21" s="428">
        <v>522.1177</v>
      </c>
      <c r="L21" s="429"/>
      <c r="M21" s="428">
        <v>523.14</v>
      </c>
      <c r="N21" s="429"/>
      <c r="O21" s="197"/>
      <c r="P21" s="198" t="s">
        <v>91</v>
      </c>
      <c r="Q21" s="199"/>
      <c r="R21" s="200"/>
      <c r="S21" s="434">
        <v>70.01047</v>
      </c>
      <c r="T21" s="435"/>
      <c r="U21" s="436">
        <v>70.00228</v>
      </c>
      <c r="V21" s="437">
        <v>69.97826</v>
      </c>
      <c r="W21" s="202"/>
      <c r="X21" s="204"/>
      <c r="Y21" s="205"/>
      <c r="Z21" s="465" t="str">
        <f>IF(取值1!C53=0,"",取值1!C53)</f>
        <v/>
      </c>
      <c r="AA21" s="389" t="str">
        <f>IF(取值1!D53=0,"",取值1!D53)</f>
        <v/>
      </c>
      <c r="AB21" s="389" t="str">
        <f>IF(取值1!E53=0,"",取值1!E53)</f>
        <v/>
      </c>
      <c r="AC21" s="197"/>
      <c r="AD21" s="198" t="s">
        <v>92</v>
      </c>
      <c r="AE21" s="199"/>
      <c r="AF21" s="200"/>
      <c r="AG21" s="437">
        <v>141.5255</v>
      </c>
      <c r="AH21" s="441">
        <v>142.2014</v>
      </c>
      <c r="AI21" s="441">
        <v>142.1775</v>
      </c>
      <c r="AJ21" s="454"/>
      <c r="AK21" s="454"/>
      <c r="AL21" s="454"/>
      <c r="AM21" s="454"/>
      <c r="AN21" s="455"/>
      <c r="AO21" s="329"/>
      <c r="AP21" s="200"/>
      <c r="AQ21" s="144" t="s">
        <v>38</v>
      </c>
      <c r="AR21" s="446">
        <v>80.02592</v>
      </c>
      <c r="AS21" s="446">
        <v>82.50062</v>
      </c>
      <c r="AT21" s="447">
        <v>76.49224</v>
      </c>
    </row>
    <row s="469" customFormat="1" customHeight="1" ht="35.25">
      <c r="A22" s="409"/>
      <c r="B22" s="191"/>
      <c r="C22" s="194" t="s">
        <v>93</v>
      </c>
      <c r="D22" s="194"/>
      <c r="E22" s="194"/>
      <c r="F22" s="194"/>
      <c r="G22" s="194"/>
      <c r="H22" s="194"/>
      <c r="I22" s="428">
        <v>0.1185762</v>
      </c>
      <c r="J22" s="429"/>
      <c r="K22" s="428">
        <v>0.1199141</v>
      </c>
      <c r="L22" s="429"/>
      <c r="M22" s="428">
        <v>0.1219955</v>
      </c>
      <c r="N22" s="429"/>
      <c r="O22" s="197"/>
      <c r="P22" s="198" t="s">
        <v>94</v>
      </c>
      <c r="Q22" s="199"/>
      <c r="R22" s="200"/>
      <c r="S22" s="434">
        <v>3.508369</v>
      </c>
      <c r="T22" s="435"/>
      <c r="U22" s="436">
        <v>3.503385</v>
      </c>
      <c r="V22" s="437">
        <v>3.502784</v>
      </c>
      <c r="W22" s="202"/>
      <c r="X22" s="204"/>
      <c r="Y22" s="205"/>
      <c r="Z22" s="465" t="str">
        <f>IF(取值1!C54=0,"",取值1!C54)</f>
        <v/>
      </c>
      <c r="AA22" s="389" t="str">
        <f>IF(取值1!D54=0,"",取值1!D54)</f>
        <v/>
      </c>
      <c r="AB22" s="389" t="str">
        <f>IF(取值1!E54=0,"",取值1!E54)</f>
        <v/>
      </c>
      <c r="AC22" s="197"/>
      <c r="AD22" s="198" t="s">
        <v>95</v>
      </c>
      <c r="AE22" s="199"/>
      <c r="AF22" s="200"/>
      <c r="AG22" s="437">
        <v>0.8024743</v>
      </c>
      <c r="AH22" s="441">
        <v>0.8075014</v>
      </c>
      <c r="AI22" s="441">
        <v>0.8103261</v>
      </c>
      <c r="AJ22" s="454"/>
      <c r="AK22" s="454"/>
      <c r="AL22" s="454"/>
      <c r="AM22" s="454"/>
      <c r="AN22" s="455"/>
      <c r="AO22" s="329"/>
      <c r="AP22" s="200" t="s">
        <v>96</v>
      </c>
      <c r="AQ22" s="144" t="s">
        <v>20</v>
      </c>
      <c r="AR22" s="446" t="str">
        <f>IF(取值1!C95=0,"",取值1!C95)</f>
        <v/>
      </c>
      <c r="AS22" s="446" t="str">
        <f>IF(取值1!D95=0,"",取值1!D95)</f>
        <v/>
      </c>
      <c r="AT22" s="447" t="str">
        <f>IF(取值1!E95=0,"",取值1!E95)</f>
        <v/>
      </c>
    </row>
    <row s="470" customFormat="1" customHeight="1" ht="35.25">
      <c r="A23" s="409"/>
      <c r="B23" s="191"/>
      <c r="C23" s="194" t="s">
        <v>97</v>
      </c>
      <c r="D23" s="194"/>
      <c r="E23" s="194"/>
      <c r="F23" s="194"/>
      <c r="G23" s="194"/>
      <c r="H23" s="194"/>
      <c r="I23" s="428">
        <v>145.8097</v>
      </c>
      <c r="J23" s="429"/>
      <c r="K23" s="428">
        <v>143.8167</v>
      </c>
      <c r="L23" s="429"/>
      <c r="M23" s="428">
        <v>144.3297</v>
      </c>
      <c r="N23" s="429"/>
      <c r="O23" s="197"/>
      <c r="P23" s="198" t="s">
        <v>98</v>
      </c>
      <c r="Q23" s="199"/>
      <c r="R23" s="200"/>
      <c r="S23" s="434">
        <v>3.582441</v>
      </c>
      <c r="T23" s="435"/>
      <c r="U23" s="436">
        <v>3.570594</v>
      </c>
      <c r="V23" s="437">
        <v>3.564552</v>
      </c>
      <c r="W23" s="203"/>
      <c r="X23" s="204"/>
      <c r="Y23" s="205"/>
      <c r="Z23" s="465" t="str">
        <f>IF(取值1!C55=0,"",取值1!C55)</f>
        <v/>
      </c>
      <c r="AA23" s="389" t="str">
        <f>IF(取值1!D55=0,"",取值1!D55)</f>
        <v/>
      </c>
      <c r="AB23" s="389" t="str">
        <f>IF(取值1!E55=0,"",取值1!E55)</f>
        <v/>
      </c>
      <c r="AC23" s="197"/>
      <c r="AD23" s="198" t="s">
        <v>99</v>
      </c>
      <c r="AE23" s="199"/>
      <c r="AF23" s="200"/>
      <c r="AG23" s="437">
        <v>29.08229</v>
      </c>
      <c r="AH23" s="441">
        <v>27.88723</v>
      </c>
      <c r="AI23" s="441">
        <v>27.28493</v>
      </c>
      <c r="AJ23" s="454"/>
      <c r="AK23" s="454"/>
      <c r="AL23" s="454"/>
      <c r="AM23" s="454"/>
      <c r="AN23" s="455"/>
      <c r="AO23" s="329"/>
      <c r="AP23" s="200"/>
      <c r="AQ23" s="144" t="s">
        <v>26</v>
      </c>
      <c r="AR23" s="446" t="str">
        <f>IF(取值1!C96=0,"",取值1!C96)</f>
        <v/>
      </c>
      <c r="AS23" s="446" t="str">
        <f>IF(取值1!D96=0,"",取值1!D96)</f>
        <v/>
      </c>
      <c r="AT23" s="447" t="str">
        <f>IF(取值1!E96=0,"",取值1!E96)</f>
        <v/>
      </c>
    </row>
    <row s="471" customFormat="1" customHeight="1" ht="20.25">
      <c r="A24" s="472"/>
      <c r="B24" s="182" t="s">
        <v>100</v>
      </c>
      <c r="C24" s="172" t="s">
        <v>101</v>
      </c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 t="s">
        <v>102</v>
      </c>
      <c r="AC24" s="206"/>
      <c r="AD24" s="206"/>
      <c r="AE24" s="206"/>
      <c r="AF24" s="206"/>
      <c r="AG24" s="206"/>
      <c r="AH24" s="206"/>
      <c r="AI24" s="206"/>
      <c r="AJ24" s="206"/>
      <c r="AK24" s="206"/>
      <c r="AL24" s="206"/>
      <c r="AM24" s="206"/>
      <c r="AN24" s="318"/>
      <c r="AO24" s="329"/>
      <c r="AP24" s="200"/>
      <c r="AQ24" s="144" t="s">
        <v>32</v>
      </c>
      <c r="AR24" s="446" t="str">
        <f>IF(取值1!C97=0,"",取值1!C97)</f>
        <v/>
      </c>
      <c r="AS24" s="446" t="str">
        <f>IF(取值1!D97=0,"",取值1!D97)</f>
        <v/>
      </c>
      <c r="AT24" s="447" t="str">
        <f>IF(取值1!E97=0,"",取值1!E97)</f>
        <v/>
      </c>
    </row>
    <row s="477" customFormat="1" customHeight="1" ht="20.25">
      <c r="A25" s="472"/>
      <c r="B25" s="18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318"/>
      <c r="AO25" s="329"/>
      <c r="AP25" s="200"/>
      <c r="AQ25" s="144" t="s">
        <v>38</v>
      </c>
      <c r="AR25" s="446" t="str">
        <f>IF(取值1!C98=0,"",取值1!C98)</f>
        <v/>
      </c>
      <c r="AS25" s="446" t="str">
        <f>IF(取值1!D98=0,"",取值1!D98)</f>
        <v/>
      </c>
      <c r="AT25" s="447" t="str">
        <f>IF(取值1!E98=0,"",取值1!E98)</f>
        <v/>
      </c>
    </row>
    <row s="478" customFormat="1" customHeight="1" ht="20.25">
      <c r="A26" s="472"/>
      <c r="B26" s="182"/>
      <c r="C26" s="120" t="s">
        <v>103</v>
      </c>
      <c r="D26" s="172" t="s">
        <v>104</v>
      </c>
      <c r="E26" s="172"/>
      <c r="F26" s="172"/>
      <c r="G26" s="172"/>
      <c r="H26" s="172" t="s">
        <v>105</v>
      </c>
      <c r="I26" s="172"/>
      <c r="J26" s="172"/>
      <c r="K26" s="172"/>
      <c r="L26" s="172" t="s">
        <v>106</v>
      </c>
      <c r="M26" s="172"/>
      <c r="N26" s="172"/>
      <c r="O26" s="172"/>
      <c r="P26" s="172" t="s">
        <v>107</v>
      </c>
      <c r="Q26" s="172"/>
      <c r="R26" s="172"/>
      <c r="S26" s="172"/>
      <c r="T26" s="172" t="s">
        <v>108</v>
      </c>
      <c r="U26" s="172"/>
      <c r="V26" s="172"/>
      <c r="W26" s="172"/>
      <c r="X26" s="172" t="s">
        <v>109</v>
      </c>
      <c r="Y26" s="172"/>
      <c r="Z26" s="172"/>
      <c r="AA26" s="172"/>
      <c r="AB26" s="172" t="s">
        <v>110</v>
      </c>
      <c r="AC26" s="172"/>
      <c r="AD26" s="172" t="s">
        <v>111</v>
      </c>
      <c r="AE26" s="172"/>
      <c r="AF26" s="172"/>
      <c r="AG26" s="172" t="s">
        <v>112</v>
      </c>
      <c r="AH26" s="172"/>
      <c r="AI26" s="172" t="s">
        <v>107</v>
      </c>
      <c r="AJ26" s="172"/>
      <c r="AK26" s="172" t="s">
        <v>108</v>
      </c>
      <c r="AL26" s="172"/>
      <c r="AM26" s="172" t="s">
        <v>109</v>
      </c>
      <c r="AN26" s="319"/>
      <c r="AO26" s="329"/>
      <c r="AP26" s="200" t="s">
        <v>113</v>
      </c>
      <c r="AQ26" s="144" t="s">
        <v>20</v>
      </c>
      <c r="AR26" s="446" t="str">
        <f>IF(取值1!C99=0,"",取值1!C99)</f>
        <v/>
      </c>
      <c r="AS26" s="446" t="str">
        <f>IF(取值1!D99=0,"",取值1!D99)</f>
        <v/>
      </c>
      <c r="AT26" s="447" t="str">
        <f>IF(取值1!E99=0,"",取值1!E99)</f>
        <v/>
      </c>
    </row>
    <row s="481" customFormat="1" customHeight="1" ht="20.25">
      <c r="A27" s="472"/>
      <c r="B27" s="182"/>
      <c r="C27" s="120" t="s">
        <v>114</v>
      </c>
      <c r="D27" s="172" t="s">
        <v>114</v>
      </c>
      <c r="E27" s="172"/>
      <c r="F27" s="183" t="s">
        <v>115</v>
      </c>
      <c r="G27" s="183" t="s">
        <v>115</v>
      </c>
      <c r="H27" s="172" t="s">
        <v>114</v>
      </c>
      <c r="I27" s="172"/>
      <c r="J27" s="172" t="s">
        <v>115</v>
      </c>
      <c r="K27" s="172"/>
      <c r="L27" s="172" t="s">
        <v>114</v>
      </c>
      <c r="M27" s="172"/>
      <c r="N27" s="172" t="s">
        <v>115</v>
      </c>
      <c r="O27" s="172"/>
      <c r="P27" s="172" t="s">
        <v>114</v>
      </c>
      <c r="Q27" s="172"/>
      <c r="R27" s="172" t="s">
        <v>115</v>
      </c>
      <c r="S27" s="172"/>
      <c r="T27" s="172" t="s">
        <v>114</v>
      </c>
      <c r="U27" s="172"/>
      <c r="V27" s="172" t="s">
        <v>115</v>
      </c>
      <c r="W27" s="172"/>
      <c r="X27" s="172" t="s">
        <v>114</v>
      </c>
      <c r="Y27" s="172"/>
      <c r="Z27" s="172" t="s">
        <v>115</v>
      </c>
      <c r="AA27" s="172"/>
      <c r="AB27" s="172" t="s">
        <v>114</v>
      </c>
      <c r="AC27" s="172"/>
      <c r="AD27" s="172" t="s">
        <v>114</v>
      </c>
      <c r="AE27" s="172"/>
      <c r="AF27" s="120" t="s">
        <v>115</v>
      </c>
      <c r="AG27" s="120" t="s">
        <v>114</v>
      </c>
      <c r="AH27" s="120" t="s">
        <v>115</v>
      </c>
      <c r="AI27" s="120" t="s">
        <v>114</v>
      </c>
      <c r="AJ27" s="120" t="s">
        <v>115</v>
      </c>
      <c r="AK27" s="120" t="s">
        <v>114</v>
      </c>
      <c r="AL27" s="120" t="s">
        <v>115</v>
      </c>
      <c r="AM27" s="120" t="s">
        <v>114</v>
      </c>
      <c r="AN27" s="320" t="s">
        <v>115</v>
      </c>
      <c r="AO27" s="329"/>
      <c r="AP27" s="200"/>
      <c r="AQ27" s="144" t="s">
        <v>26</v>
      </c>
      <c r="AR27" s="446" t="str">
        <f>IF(取值1!C100=0,"",取值1!C100)</f>
        <v/>
      </c>
      <c r="AS27" s="446" t="str">
        <f>IF(取值1!D100=0,"",取值1!D100)</f>
        <v/>
      </c>
      <c r="AT27" s="447" t="str">
        <f>IF(取值1!E100=0,"",取值1!E100)</f>
        <v/>
      </c>
    </row>
    <row s="484" customFormat="1" customHeight="1" ht="20.25">
      <c r="A28" s="472"/>
      <c r="B28" s="121" t="s">
        <v>116</v>
      </c>
      <c r="C28" s="486">
        <v>1604</v>
      </c>
      <c r="D28" s="487">
        <v>923</v>
      </c>
      <c r="E28" s="173"/>
      <c r="F28" s="177">
        <f>_xlfn.IFERROR(D28/C28,"error")</f>
        <v>0.575436408977556</v>
      </c>
      <c r="G28" s="177"/>
      <c r="H28" s="487">
        <v>213</v>
      </c>
      <c r="I28" s="173"/>
      <c r="J28" s="177">
        <f>_xlfn.IFERROR(H28/C28,"error")</f>
        <v>0.132793017456359</v>
      </c>
      <c r="K28" s="177"/>
      <c r="L28" s="487">
        <v>288</v>
      </c>
      <c r="M28" s="173"/>
      <c r="N28" s="177">
        <f>_xlfn.IFERROR(L28/C28,"error")</f>
        <v>0.179551122194514</v>
      </c>
      <c r="O28" s="177"/>
      <c r="P28" s="487">
        <v>78</v>
      </c>
      <c r="Q28" s="173"/>
      <c r="R28" s="177">
        <f>_xlfn.IFERROR(P28/C28,"error")</f>
        <v>0.0486284289276808</v>
      </c>
      <c r="S28" s="177"/>
      <c r="T28" s="174">
        <f>_xlfn.IFERROR(SUM(D28,H28,L28),"error")</f>
        <v>1424</v>
      </c>
      <c r="U28" s="174"/>
      <c r="V28" s="177">
        <f>_xlfn.IFERROR(T28/C28,"error")</f>
        <v>0.887780548628429</v>
      </c>
      <c r="W28" s="177"/>
      <c r="X28" s="174">
        <f>_xlfn.IFERROR(C28-P28-T28,"error")</f>
        <v>102</v>
      </c>
      <c r="Y28" s="174"/>
      <c r="Z28" s="177">
        <f>_xlfn.IFERROR(X28/C28,"error")</f>
        <v>0.0635910224438903</v>
      </c>
      <c r="AA28" s="177"/>
      <c r="AB28" s="487">
        <v>801</v>
      </c>
      <c r="AC28" s="173"/>
      <c r="AD28" s="487">
        <v>672</v>
      </c>
      <c r="AE28" s="173"/>
      <c r="AF28" s="123">
        <f>_xlfn.IFERROR(AD28/AB28,"error")</f>
        <v>0.838951310861423</v>
      </c>
      <c r="AG28" s="486">
        <v>138</v>
      </c>
      <c r="AH28" s="123">
        <f>_xlfn.IFERROR(AG28/AB28,"error")</f>
        <v>0.172284644194757</v>
      </c>
      <c r="AI28" s="486">
        <v>46</v>
      </c>
      <c r="AJ28" s="123">
        <f>_xlfn.IFERROR(AI28/AB28,"error")</f>
        <v>0.0574282147315855</v>
      </c>
      <c r="AK28" s="124">
        <f>_xlfn.IFERROR(SUM(AD28,AG28),"error")</f>
        <v>810</v>
      </c>
      <c r="AL28" s="123">
        <f>_xlfn.IFERROR(AK28/AB28,"error")</f>
        <v>1.01123595505618</v>
      </c>
      <c r="AM28" s="124">
        <f>_xlfn.IFERROR(AB28-AI28-AK28,"error")</f>
        <v>-55</v>
      </c>
      <c r="AN28" s="321">
        <f>_xlfn.IFERROR(AM28/AB28,"error")</f>
        <v>-0.0686641697877653</v>
      </c>
      <c r="AO28" s="329"/>
      <c r="AP28" s="200"/>
      <c r="AQ28" s="144" t="s">
        <v>32</v>
      </c>
      <c r="AR28" s="446" t="str">
        <f>IF(取值1!C101=0,"",取值1!C101)</f>
        <v/>
      </c>
      <c r="AS28" s="446" t="str">
        <f>IF(取值1!D101=0,"",取值1!D101)</f>
        <v/>
      </c>
      <c r="AT28" s="447" t="str">
        <f>IF(取值1!E101=0,"",取值1!E101)</f>
        <v/>
      </c>
    </row>
    <row s="494" customFormat="1" customHeight="1" ht="20.25">
      <c r="A29" s="472"/>
      <c r="B29" s="121" t="s">
        <v>117</v>
      </c>
      <c r="C29" s="486">
        <v>1606</v>
      </c>
      <c r="D29" s="487">
        <v>909</v>
      </c>
      <c r="E29" s="173"/>
      <c r="F29" s="177">
        <f>_xlfn.IFERROR(D29/C29,"error")</f>
        <v>0.566002490660025</v>
      </c>
      <c r="G29" s="177"/>
      <c r="H29" s="487">
        <v>208</v>
      </c>
      <c r="I29" s="173"/>
      <c r="J29" s="177">
        <f>_xlfn.IFERROR(H29/C29,"error")</f>
        <v>0.129514321295143</v>
      </c>
      <c r="K29" s="177"/>
      <c r="L29" s="487">
        <v>289</v>
      </c>
      <c r="M29" s="173"/>
      <c r="N29" s="177">
        <f>_xlfn.IFERROR(L29/C29,"error")</f>
        <v>0.179950186799502</v>
      </c>
      <c r="O29" s="177"/>
      <c r="P29" s="487">
        <v>80</v>
      </c>
      <c r="Q29" s="173"/>
      <c r="R29" s="177">
        <f>_xlfn.IFERROR(P29/C29,"error")</f>
        <v>0.049813200498132</v>
      </c>
      <c r="S29" s="177"/>
      <c r="T29" s="174">
        <f>_xlfn.IFERROR(SUM(D29,H29,L29),"error")</f>
        <v>1406</v>
      </c>
      <c r="U29" s="174"/>
      <c r="V29" s="177">
        <f>_xlfn.IFERROR(T29/C29,"error")</f>
        <v>0.87546699875467</v>
      </c>
      <c r="W29" s="177"/>
      <c r="X29" s="174">
        <f>_xlfn.IFERROR(C29-P29-T29,"error")</f>
        <v>120</v>
      </c>
      <c r="Y29" s="174"/>
      <c r="Z29" s="177">
        <f>_xlfn.IFERROR(X29/C29,"error")</f>
        <v>0.074719800747198</v>
      </c>
      <c r="AA29" s="177"/>
      <c r="AB29" s="487">
        <v>812</v>
      </c>
      <c r="AC29" s="173"/>
      <c r="AD29" s="487">
        <v>663</v>
      </c>
      <c r="AE29" s="173"/>
      <c r="AF29" s="123">
        <f>_xlfn.IFERROR(AD29/AB29,"error")</f>
        <v>0.816502463054187</v>
      </c>
      <c r="AG29" s="486">
        <v>142</v>
      </c>
      <c r="AH29" s="123">
        <f>_xlfn.IFERROR(AG29/AB29,"error")</f>
        <v>0.17487684729064</v>
      </c>
      <c r="AI29" s="486">
        <v>48</v>
      </c>
      <c r="AJ29" s="123">
        <f>_xlfn.IFERROR(AI29/AB29,"error")</f>
        <v>0.0591133004926108</v>
      </c>
      <c r="AK29" s="124">
        <f>_xlfn.IFERROR(SUM(AD29,AG29),"error")</f>
        <v>805</v>
      </c>
      <c r="AL29" s="123">
        <f>_xlfn.IFERROR(AK29/AB29,"error")</f>
        <v>0.991379310344828</v>
      </c>
      <c r="AM29" s="124">
        <f>_xlfn.IFERROR(AB29-AI29-AK29,"error")</f>
        <v>-41</v>
      </c>
      <c r="AN29" s="321">
        <f>_xlfn.IFERROR(AM29/AB29,"error")</f>
        <v>-0.0504926108374384</v>
      </c>
      <c r="AO29" s="329"/>
      <c r="AP29" s="200"/>
      <c r="AQ29" s="144" t="s">
        <v>38</v>
      </c>
      <c r="AR29" s="446" t="str">
        <f>IF(取值1!C102=0,"",取值1!C102)</f>
        <v/>
      </c>
      <c r="AS29" s="446" t="str">
        <f>IF(取值1!D102=0,"",取值1!D102)</f>
        <v/>
      </c>
      <c r="AT29" s="447" t="str">
        <f>IF(取值1!E102=0,"",取值1!E102)</f>
        <v/>
      </c>
    </row>
    <row s="495" customFormat="1" customHeight="1" ht="20.25">
      <c r="A30" s="472"/>
      <c r="B30" s="496" t="s">
        <v>118</v>
      </c>
      <c r="C30" s="497">
        <v>1070</v>
      </c>
      <c r="D30" s="498">
        <v>603</v>
      </c>
      <c r="E30" s="499"/>
      <c r="F30" s="500">
        <f>_xlfn.IFERROR(D30/C30,"error")</f>
        <v>0.563551401869159</v>
      </c>
      <c r="G30" s="500"/>
      <c r="H30" s="498">
        <v>138</v>
      </c>
      <c r="I30" s="499"/>
      <c r="J30" s="500">
        <f>_xlfn.IFERROR(H30/C30,"error")</f>
        <v>0.128971962616822</v>
      </c>
      <c r="K30" s="500"/>
      <c r="L30" s="498">
        <v>208</v>
      </c>
      <c r="M30" s="499"/>
      <c r="N30" s="500">
        <f>_xlfn.IFERROR(L30/C30,"error")</f>
        <v>0.194392523364486</v>
      </c>
      <c r="O30" s="500"/>
      <c r="P30" s="498">
        <v>54</v>
      </c>
      <c r="Q30" s="499"/>
      <c r="R30" s="500">
        <f>_xlfn.IFERROR(P30/C30,"error")</f>
        <v>0.0504672897196262</v>
      </c>
      <c r="S30" s="500"/>
      <c r="T30" s="501">
        <f>_xlfn.IFERROR(SUM(D30,H30,L30),"error")</f>
        <v>949</v>
      </c>
      <c r="U30" s="501"/>
      <c r="V30" s="500">
        <f>_xlfn.IFERROR(T30/C30,"error")</f>
        <v>0.886915887850467</v>
      </c>
      <c r="W30" s="500"/>
      <c r="X30" s="501">
        <f>_xlfn.IFERROR(C30-P30-T30,"error")</f>
        <v>67</v>
      </c>
      <c r="Y30" s="501"/>
      <c r="Z30" s="500">
        <f>_xlfn.IFERROR(X30/C30,"error")</f>
        <v>0.0626168224299065</v>
      </c>
      <c r="AA30" s="500"/>
      <c r="AB30" s="498">
        <v>543</v>
      </c>
      <c r="AC30" s="499"/>
      <c r="AD30" s="498">
        <v>450</v>
      </c>
      <c r="AE30" s="499"/>
      <c r="AF30" s="502">
        <f>_xlfn.IFERROR(AD30/AB30,"error")</f>
        <v>0.828729281767956</v>
      </c>
      <c r="AG30" s="497">
        <v>99</v>
      </c>
      <c r="AH30" s="502">
        <f>_xlfn.IFERROR(AG30/AB30,"error")</f>
        <v>0.18232044198895</v>
      </c>
      <c r="AI30" s="497">
        <v>31</v>
      </c>
      <c r="AJ30" s="502">
        <f>_xlfn.IFERROR(AI30/AB30,"error")</f>
        <v>0.0570902394106814</v>
      </c>
      <c r="AK30" s="503">
        <f>_xlfn.IFERROR(SUM(AD30,AG30),"error")</f>
        <v>549</v>
      </c>
      <c r="AL30" s="502">
        <f>_xlfn.IFERROR(AK30/AB30,"error")</f>
        <v>1.01104972375691</v>
      </c>
      <c r="AM30" s="503">
        <f>_xlfn.IFERROR(AB30-AI30-AK30,"error")</f>
        <v>-37</v>
      </c>
      <c r="AN30" s="504">
        <f>_xlfn.IFERROR(AM30/AB30,"error")</f>
        <v>-0.0681399631675875</v>
      </c>
      <c r="AO30" s="329"/>
      <c r="AP30" s="200" t="s">
        <v>119</v>
      </c>
      <c r="AQ30" s="144" t="s">
        <v>20</v>
      </c>
      <c r="AR30" s="446" t="str">
        <f>IF(取值1!C103=0,"",取值1!C103)</f>
        <v/>
      </c>
      <c r="AS30" s="446" t="str">
        <f>IF(取值1!D103=0,"",取值1!D103)</f>
        <v/>
      </c>
      <c r="AT30" s="447" t="str">
        <f>IF(取值1!E103=0,"",取值1!E103)</f>
        <v/>
      </c>
    </row>
    <row s="505" customFormat="1" customHeight="1" ht="20.25">
      <c r="A31" s="472"/>
      <c r="B31" s="121" t="s">
        <v>120</v>
      </c>
      <c r="C31" s="124">
        <f>_xlfn.IFERROR(SUM(C28,C29,C30),"error")</f>
        <v>4280</v>
      </c>
      <c r="D31" s="174">
        <f>_xlfn.IFERROR(SUM(D28,D29,D30),"error")</f>
        <v>2435</v>
      </c>
      <c r="E31" s="174"/>
      <c r="F31" s="177">
        <f>_xlfn.IFERROR(D31/C31,"error")</f>
        <v>0.56892523364486</v>
      </c>
      <c r="G31" s="177"/>
      <c r="H31" s="174">
        <f>_xlfn.IFERROR(SUM(H28,H29,H30),"error")</f>
        <v>559</v>
      </c>
      <c r="I31" s="174"/>
      <c r="J31" s="177">
        <f>_xlfn.IFERROR(H31/C31,"error")</f>
        <v>0.130607476635514</v>
      </c>
      <c r="K31" s="177"/>
      <c r="L31" s="174">
        <f>_xlfn.IFERROR(SUM(L28,L29,L30),"error")</f>
        <v>785</v>
      </c>
      <c r="M31" s="174"/>
      <c r="N31" s="177">
        <f>_xlfn.IFERROR(L31/C31,"error")</f>
        <v>0.183411214953271</v>
      </c>
      <c r="O31" s="177"/>
      <c r="P31" s="174">
        <f>_xlfn.IFERROR(SUM(P28,P29,P30),"error")</f>
        <v>212</v>
      </c>
      <c r="Q31" s="174"/>
      <c r="R31" s="177">
        <f>_xlfn.IFERROR(P31/C31,"error")</f>
        <v>0.0495327102803738</v>
      </c>
      <c r="S31" s="177"/>
      <c r="T31" s="174">
        <f>_xlfn.IFERROR(SUM(T28,T29,T30),"error")</f>
        <v>3779</v>
      </c>
      <c r="U31" s="174"/>
      <c r="V31" s="177">
        <f>_xlfn.IFERROR(T31/C31,"error")</f>
        <v>0.882943925233645</v>
      </c>
      <c r="W31" s="177"/>
      <c r="X31" s="174">
        <f>_xlfn.IFERROR(SUM(X28,X29,X30),"error")</f>
        <v>289</v>
      </c>
      <c r="Y31" s="174"/>
      <c r="Z31" s="177">
        <f>_xlfn.IFERROR(X31/C31,"error")</f>
        <v>0.0675233644859813</v>
      </c>
      <c r="AA31" s="177"/>
      <c r="AB31" s="174">
        <f>_xlfn.IFERROR(SUM(AB28,AB29,AB30),"error")</f>
        <v>2156</v>
      </c>
      <c r="AC31" s="174"/>
      <c r="AD31" s="174">
        <f>_xlfn.IFERROR(SUM(AD28,AD29,AD30),"error")</f>
        <v>1785</v>
      </c>
      <c r="AE31" s="174"/>
      <c r="AF31" s="123">
        <f>_xlfn.IFERROR(AD31/AB31,"error")</f>
        <v>0.827922077922078</v>
      </c>
      <c r="AG31" s="124">
        <f>_xlfn.IFERROR(SUM(AG28,AG29,AG30),"error")</f>
        <v>379</v>
      </c>
      <c r="AH31" s="123">
        <f>_xlfn.IFERROR(AG31/AB31,"error")</f>
        <v>0.175788497217069</v>
      </c>
      <c r="AI31" s="124">
        <f>_xlfn.IFERROR(SUM(AI28,AI29,AI30),"error")</f>
        <v>125</v>
      </c>
      <c r="AJ31" s="123">
        <f>_xlfn.IFERROR(AI31/AB31,"error")</f>
        <v>0.0579777365491651</v>
      </c>
      <c r="AK31" s="124">
        <f>_xlfn.IFERROR(SUM(AK28,AK29,AK30),"error")</f>
        <v>2164</v>
      </c>
      <c r="AL31" s="123">
        <f>_xlfn.IFERROR(AK31/AB31,"error")</f>
        <v>1.00371057513915</v>
      </c>
      <c r="AM31" s="124">
        <f>_xlfn.IFERROR(SUM(AM28,AM29,AM30),"error")</f>
        <v>-133</v>
      </c>
      <c r="AN31" s="321">
        <f>_xlfn.IFERROR(AM31/AB31,"error")</f>
        <v>-0.0616883116883117</v>
      </c>
      <c r="AO31" s="329"/>
      <c r="AP31" s="200"/>
      <c r="AQ31" s="144" t="s">
        <v>26</v>
      </c>
      <c r="AR31" s="446" t="str">
        <f>IF(取值1!C104=0,"",取值1!C104)</f>
        <v/>
      </c>
      <c r="AS31" s="446" t="str">
        <f>IF(取值1!D104=0,"",取值1!D104)</f>
        <v/>
      </c>
      <c r="AT31" s="447" t="str">
        <f>IF(取值1!E104=0,"",取值1!E104)</f>
        <v/>
      </c>
    </row>
    <row s="506" customFormat="1" customHeight="1" ht="20.25">
      <c r="A32" s="472"/>
      <c r="B32" s="121" t="s">
        <v>121</v>
      </c>
      <c r="C32" s="124">
        <f>SUM(C31,取值!B9,取值!B10,取值!B11)</f>
        <v>25678</v>
      </c>
      <c r="D32" s="174">
        <f>SUM(D31,取值!C9,取值!C10,取值!C11)</f>
        <v>14566</v>
      </c>
      <c r="E32" s="174"/>
      <c r="F32" s="177">
        <f>_xlfn.IFERROR(D32/C32,"error")</f>
        <v>0.56725601682374</v>
      </c>
      <c r="G32" s="177"/>
      <c r="H32" s="174">
        <f>SUM(H31,取值!G9,取值!G10,取值!G11)</f>
        <v>3407</v>
      </c>
      <c r="I32" s="174"/>
      <c r="J32" s="177">
        <f>_xlfn.IFERROR(H32/C32,"error")</f>
        <v>0.132681673027494</v>
      </c>
      <c r="K32" s="177"/>
      <c r="L32" s="174">
        <f>SUM(L31,取值!K9,取值!K10,取值!K11)</f>
        <v>4699</v>
      </c>
      <c r="M32" s="174"/>
      <c r="N32" s="177">
        <f>_xlfn.IFERROR(L32/C32,"error")</f>
        <v>0.18299711815562</v>
      </c>
      <c r="O32" s="177"/>
      <c r="P32" s="174">
        <f>SUM(P31,取值!O10,取值!O9,取值!O11)</f>
        <v>1262</v>
      </c>
      <c r="Q32" s="174"/>
      <c r="R32" s="177">
        <f>_xlfn.IFERROR(P32/C32,"error")</f>
        <v>0.0491471298387725</v>
      </c>
      <c r="S32" s="177"/>
      <c r="T32" s="174">
        <f>_xlfn.IFERROR(SUM(D32,H32,L32),"error")</f>
        <v>22672</v>
      </c>
      <c r="U32" s="174"/>
      <c r="V32" s="177">
        <f>_xlfn.IFERROR(T32/C32,"error")</f>
        <v>0.882934808006854</v>
      </c>
      <c r="W32" s="177"/>
      <c r="X32" s="174">
        <f>_xlfn.IFERROR(C32-P32-T32,"error")</f>
        <v>1744</v>
      </c>
      <c r="Y32" s="174"/>
      <c r="Z32" s="177">
        <f>_xlfn.IFERROR(X32/C32,"error")</f>
        <v>0.0679180621543734</v>
      </c>
      <c r="AA32" s="177"/>
      <c r="AB32" s="174">
        <f>SUM(AB31,取值!AA9,取值!AA10,取值!AA11)</f>
        <v>13671</v>
      </c>
      <c r="AC32" s="174"/>
      <c r="AD32" s="174">
        <f>SUM(AD31,取值!AC9,取值!AC10,取值!AC11)</f>
        <v>11545</v>
      </c>
      <c r="AE32" s="174"/>
      <c r="AF32" s="123">
        <f>_xlfn.IFERROR(AD32/AB32,"error")</f>
        <v>0.844488332967596</v>
      </c>
      <c r="AG32" s="124">
        <f>SUM(AG31,取值!AF9,取值!AF10,取值!AF11)</f>
        <v>2232</v>
      </c>
      <c r="AH32" s="123">
        <f>_xlfn.IFERROR(AG32/AB32,"error")</f>
        <v>0.163265306122449</v>
      </c>
      <c r="AI32" s="124">
        <f>SUM(AI31,取值!AH9,取值!AH10,取值!AH11)</f>
        <v>722</v>
      </c>
      <c r="AJ32" s="123">
        <f>_xlfn.IFERROR(AI32/AB32,"error")</f>
        <v>0.0528125228586058</v>
      </c>
      <c r="AK32" s="124">
        <f>_xlfn.IFERROR(SUM(AD32,AG32),"error")</f>
        <v>13777</v>
      </c>
      <c r="AL32" s="123">
        <f>_xlfn.IFERROR(AK32/AB32,"error")</f>
        <v>1.00775363909004</v>
      </c>
      <c r="AM32" s="124">
        <f>_xlfn.IFERROR(AB32-AI32-AK32,"error")</f>
        <v>-828</v>
      </c>
      <c r="AN32" s="321">
        <f>_xlfn.IFERROR(AM32/AB32,"error")</f>
        <v>-0.0605661619486504</v>
      </c>
      <c r="AO32" s="329"/>
      <c r="AP32" s="200"/>
      <c r="AQ32" s="144" t="s">
        <v>32</v>
      </c>
      <c r="AR32" s="446" t="str">
        <f>IF(取值1!C105=0,"",取值1!C105)</f>
        <v/>
      </c>
      <c r="AS32" s="446" t="str">
        <f>IF(取值1!D105=0,"",取值1!D105)</f>
        <v/>
      </c>
      <c r="AT32" s="447" t="str">
        <f>IF(取值1!E105=0,"",取值1!E105)</f>
        <v/>
      </c>
    </row>
    <row s="507" customFormat="1" customHeight="1" ht="20.25">
      <c r="A33" s="472"/>
      <c r="B33" s="182" t="s">
        <v>100</v>
      </c>
      <c r="C33" s="172" t="s">
        <v>122</v>
      </c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 t="s">
        <v>123</v>
      </c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319"/>
      <c r="AO33" s="329"/>
      <c r="AP33" s="200"/>
      <c r="AQ33" s="144" t="s">
        <v>38</v>
      </c>
      <c r="AR33" s="446" t="str">
        <f>IF(取值1!C106=0,"",取值1!C106)</f>
        <v/>
      </c>
      <c r="AS33" s="446" t="str">
        <f>IF(取值1!D106=0,"",取值1!D106)</f>
        <v/>
      </c>
      <c r="AT33" s="447" t="str">
        <f>IF(取值1!E106=0,"",取值1!E106)</f>
        <v/>
      </c>
    </row>
    <row s="508" customFormat="1" customHeight="1" ht="20.25">
      <c r="A34" s="472"/>
      <c r="B34" s="18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319"/>
      <c r="AO34" s="329"/>
      <c r="AP34" s="200" t="s">
        <v>124</v>
      </c>
      <c r="AQ34" s="144" t="s">
        <v>125</v>
      </c>
      <c r="AR34" s="446" t="str">
        <f>_xlfn.IFERROR(IF(取值1!C107=0,"",取值1!C107)/1000,"")</f>
        <v/>
      </c>
      <c r="AS34" s="446" t="str">
        <f>_xlfn.IFERROR(IF(取值1!D107=0,"",取值1!D107)/1000,"")</f>
        <v/>
      </c>
      <c r="AT34" s="447" t="str">
        <f>_xlfn.IFERROR(IF(取值1!E107=0,"",取值1!E107)/1000,"")</f>
        <v/>
      </c>
    </row>
    <row s="509" customFormat="1" customHeight="1" ht="20.25">
      <c r="A35" s="472"/>
      <c r="B35" s="182"/>
      <c r="C35" s="120" t="s">
        <v>126</v>
      </c>
      <c r="D35" s="172" t="s">
        <v>127</v>
      </c>
      <c r="E35" s="172"/>
      <c r="F35" s="172"/>
      <c r="G35" s="172"/>
      <c r="H35" s="172" t="s">
        <v>128</v>
      </c>
      <c r="I35" s="172"/>
      <c r="J35" s="172"/>
      <c r="K35" s="172"/>
      <c r="L35" s="172" t="s">
        <v>129</v>
      </c>
      <c r="M35" s="172"/>
      <c r="N35" s="172"/>
      <c r="O35" s="172"/>
      <c r="P35" s="172" t="s">
        <v>130</v>
      </c>
      <c r="Q35" s="172"/>
      <c r="R35" s="172"/>
      <c r="S35" s="172"/>
      <c r="T35" s="172" t="s">
        <v>131</v>
      </c>
      <c r="U35" s="172"/>
      <c r="V35" s="172"/>
      <c r="W35" s="172"/>
      <c r="X35" s="172" t="s">
        <v>109</v>
      </c>
      <c r="Y35" s="172"/>
      <c r="Z35" s="172"/>
      <c r="AA35" s="172"/>
      <c r="AB35" s="172" t="s">
        <v>103</v>
      </c>
      <c r="AC35" s="172"/>
      <c r="AD35" s="172" t="s">
        <v>132</v>
      </c>
      <c r="AE35" s="172"/>
      <c r="AF35" s="172"/>
      <c r="AG35" s="172" t="s">
        <v>133</v>
      </c>
      <c r="AH35" s="172"/>
      <c r="AI35" s="172" t="s">
        <v>134</v>
      </c>
      <c r="AJ35" s="172"/>
      <c r="AK35" s="172" t="s">
        <v>135</v>
      </c>
      <c r="AL35" s="172"/>
      <c r="AM35" s="172"/>
      <c r="AN35" s="319"/>
      <c r="AO35" s="329"/>
      <c r="AP35" s="200"/>
      <c r="AQ35" s="144" t="s">
        <v>136</v>
      </c>
      <c r="AR35" s="446">
        <v>0.7194629</v>
      </c>
      <c r="AS35" s="446">
        <v>0.7272444</v>
      </c>
      <c r="AT35" s="447">
        <v>0.7187581</v>
      </c>
    </row>
    <row s="510" customFormat="1" customHeight="1" ht="20.25">
      <c r="A36" s="472"/>
      <c r="B36" s="182"/>
      <c r="C36" s="120" t="s">
        <v>114</v>
      </c>
      <c r="D36" s="172" t="s">
        <v>114</v>
      </c>
      <c r="E36" s="172"/>
      <c r="F36" s="183" t="s">
        <v>115</v>
      </c>
      <c r="G36" s="183" t="s">
        <v>115</v>
      </c>
      <c r="H36" s="172" t="s">
        <v>114</v>
      </c>
      <c r="I36" s="172"/>
      <c r="J36" s="172" t="s">
        <v>115</v>
      </c>
      <c r="K36" s="172"/>
      <c r="L36" s="172" t="s">
        <v>114</v>
      </c>
      <c r="M36" s="172"/>
      <c r="N36" s="172" t="s">
        <v>115</v>
      </c>
      <c r="O36" s="172" t="s">
        <v>115</v>
      </c>
      <c r="P36" s="172" t="s">
        <v>114</v>
      </c>
      <c r="Q36" s="172"/>
      <c r="R36" s="172" t="s">
        <v>115</v>
      </c>
      <c r="S36" s="172" t="s">
        <v>115</v>
      </c>
      <c r="T36" s="172" t="s">
        <v>114</v>
      </c>
      <c r="U36" s="172"/>
      <c r="V36" s="172" t="s">
        <v>115</v>
      </c>
      <c r="W36" s="172" t="s">
        <v>115</v>
      </c>
      <c r="X36" s="172" t="s">
        <v>114</v>
      </c>
      <c r="Y36" s="172"/>
      <c r="Z36" s="172" t="s">
        <v>115</v>
      </c>
      <c r="AA36" s="172" t="s">
        <v>115</v>
      </c>
      <c r="AB36" s="511" t="s">
        <v>114</v>
      </c>
      <c r="AC36" s="511"/>
      <c r="AD36" s="172" t="s">
        <v>114</v>
      </c>
      <c r="AE36" s="172"/>
      <c r="AF36" s="120" t="s">
        <v>115</v>
      </c>
      <c r="AG36" s="120" t="s">
        <v>114</v>
      </c>
      <c r="AH36" s="120" t="s">
        <v>115</v>
      </c>
      <c r="AI36" s="120" t="s">
        <v>114</v>
      </c>
      <c r="AJ36" s="120" t="s">
        <v>115</v>
      </c>
      <c r="AK36" s="172" t="s">
        <v>114</v>
      </c>
      <c r="AL36" s="172"/>
      <c r="AM36" s="172" t="s">
        <v>115</v>
      </c>
      <c r="AN36" s="319"/>
      <c r="AO36" s="329"/>
      <c r="AP36" s="200"/>
      <c r="AQ36" s="144" t="s">
        <v>137</v>
      </c>
      <c r="AR36" s="446">
        <v>0.709919</v>
      </c>
      <c r="AS36" s="446">
        <v>0.7079126</v>
      </c>
      <c r="AT36" s="447">
        <v>0.6994255</v>
      </c>
    </row>
    <row s="512" customFormat="1" customHeight="1" ht="20.25">
      <c r="A37" s="472"/>
      <c r="B37" s="121" t="s">
        <v>116</v>
      </c>
      <c r="C37" s="486">
        <v>619</v>
      </c>
      <c r="D37" s="487">
        <v>188</v>
      </c>
      <c r="E37" s="173"/>
      <c r="F37" s="177">
        <f>_xlfn.IFERROR(D37/C37,"error")</f>
        <v>0.303715670436187</v>
      </c>
      <c r="G37" s="177"/>
      <c r="H37" s="487">
        <v>76</v>
      </c>
      <c r="I37" s="173"/>
      <c r="J37" s="177">
        <f>_xlfn.IFERROR(H37/C37,"error")</f>
        <v>0.122778675282714</v>
      </c>
      <c r="K37" s="177"/>
      <c r="L37" s="487">
        <v>338</v>
      </c>
      <c r="M37" s="173"/>
      <c r="N37" s="177">
        <f>_xlfn.IFERROR(L37/C37,"error")</f>
        <v>0.546042003231018</v>
      </c>
      <c r="O37" s="177"/>
      <c r="P37" s="487">
        <v>7</v>
      </c>
      <c r="Q37" s="173"/>
      <c r="R37" s="177">
        <f>_xlfn.IFERROR(P37/C37,"error")</f>
        <v>0.0113085621970921</v>
      </c>
      <c r="S37" s="177"/>
      <c r="T37" s="174">
        <f>_xlfn.IFERROR(SUM(D37,H37,L37,P37),"error")</f>
        <v>609</v>
      </c>
      <c r="U37" s="174"/>
      <c r="V37" s="177">
        <f>_xlfn.IFERROR(T37/C37,"error")</f>
        <v>0.983844911147011</v>
      </c>
      <c r="W37" s="177"/>
      <c r="X37" s="174">
        <f>_xlfn.IFERROR(C37-T37,"error")</f>
        <v>10</v>
      </c>
      <c r="Y37" s="174"/>
      <c r="Z37" s="177">
        <f>_xlfn.IFERROR(X37/C37,"error")</f>
        <v>0.0161550888529887</v>
      </c>
      <c r="AA37" s="177"/>
      <c r="AB37" s="487">
        <v>213</v>
      </c>
      <c r="AC37" s="173"/>
      <c r="AD37" s="487">
        <v>71</v>
      </c>
      <c r="AE37" s="173"/>
      <c r="AF37" s="123">
        <f>_xlfn.IFERROR(AD37/AB37,"error")</f>
        <v>0.333333333333333</v>
      </c>
      <c r="AG37" s="486">
        <v>142</v>
      </c>
      <c r="AH37" s="123">
        <f>_xlfn.IFERROR(AG37/AB37,"error")</f>
        <v>0.666666666666667</v>
      </c>
      <c r="AI37" s="124">
        <f>_xlfn.IFERROR(SUM(AD37,AG37),"error")</f>
        <v>213</v>
      </c>
      <c r="AJ37" s="123">
        <f>_xlfn.IFERROR(AI37/AB37,"error")</f>
        <v>1</v>
      </c>
      <c r="AK37" s="190">
        <f>_xlfn.IFERROR(AB37-AI37,"error")</f>
        <v>0</v>
      </c>
      <c r="AL37" s="190"/>
      <c r="AM37" s="170">
        <f>_xlfn.IFERROR(AK37/AB37,"error")</f>
        <v>0</v>
      </c>
      <c r="AN37" s="323"/>
      <c r="AO37" s="329"/>
      <c r="AP37" s="200"/>
      <c r="AQ37" s="144" t="s">
        <v>138</v>
      </c>
      <c r="AR37" s="446">
        <v>0.8407592</v>
      </c>
      <c r="AS37" s="446">
        <v>0.8401034</v>
      </c>
      <c r="AT37" s="447">
        <v>0.8396519</v>
      </c>
    </row>
    <row s="516" customFormat="1" customHeight="1" ht="20.25">
      <c r="A38" s="472"/>
      <c r="B38" s="121" t="s">
        <v>117</v>
      </c>
      <c r="C38" s="486">
        <v>657</v>
      </c>
      <c r="D38" s="487">
        <v>170</v>
      </c>
      <c r="E38" s="173"/>
      <c r="F38" s="177">
        <f>_xlfn.IFERROR(D38/C38,"error")</f>
        <v>0.258751902587519</v>
      </c>
      <c r="G38" s="177"/>
      <c r="H38" s="487">
        <v>87</v>
      </c>
      <c r="I38" s="173"/>
      <c r="J38" s="177">
        <f>_xlfn.IFERROR(H38/C38,"error")</f>
        <v>0.132420091324201</v>
      </c>
      <c r="K38" s="177"/>
      <c r="L38" s="487">
        <v>377</v>
      </c>
      <c r="M38" s="173"/>
      <c r="N38" s="177">
        <f>_xlfn.IFERROR(L38/C38,"error")</f>
        <v>0.573820395738204</v>
      </c>
      <c r="O38" s="177"/>
      <c r="P38" s="487">
        <v>6</v>
      </c>
      <c r="Q38" s="173"/>
      <c r="R38" s="177">
        <f>_xlfn.IFERROR(P38/C38,"error")</f>
        <v>0.0091324200913242</v>
      </c>
      <c r="S38" s="177"/>
      <c r="T38" s="174">
        <f>_xlfn.IFERROR(SUM(D38,H38,L38,P38),"error")</f>
        <v>640</v>
      </c>
      <c r="U38" s="174"/>
      <c r="V38" s="177">
        <f>_xlfn.IFERROR(T38/C38,"error")</f>
        <v>0.974124809741248</v>
      </c>
      <c r="W38" s="177"/>
      <c r="X38" s="174">
        <f>_xlfn.IFERROR(C38-T38,"error")</f>
        <v>17</v>
      </c>
      <c r="Y38" s="174"/>
      <c r="Z38" s="177">
        <f>_xlfn.IFERROR(X38/C38,"error")</f>
        <v>0.0258751902587519</v>
      </c>
      <c r="AA38" s="177"/>
      <c r="AB38" s="487">
        <v>208</v>
      </c>
      <c r="AC38" s="173"/>
      <c r="AD38" s="487">
        <v>63</v>
      </c>
      <c r="AE38" s="173"/>
      <c r="AF38" s="123">
        <f>_xlfn.IFERROR(AD38/AB38,"error")</f>
        <v>0.302884615384615</v>
      </c>
      <c r="AG38" s="486">
        <v>145</v>
      </c>
      <c r="AH38" s="123">
        <f>_xlfn.IFERROR(AG38/AB38,"error")</f>
        <v>0.697115384615385</v>
      </c>
      <c r="AI38" s="124">
        <f>_xlfn.IFERROR(SUM(AD38,AG38),"error")</f>
        <v>208</v>
      </c>
      <c r="AJ38" s="123">
        <f>_xlfn.IFERROR(AI38/AB38,"error")</f>
        <v>1</v>
      </c>
      <c r="AK38" s="190">
        <f>_xlfn.IFERROR(AB38-AI38,"error")</f>
        <v>0</v>
      </c>
      <c r="AL38" s="190"/>
      <c r="AM38" s="170">
        <f>_xlfn.IFERROR(AK38/AB38,"error")</f>
        <v>0</v>
      </c>
      <c r="AN38" s="323"/>
      <c r="AO38" s="329"/>
      <c r="AP38" s="200"/>
      <c r="AQ38" s="144" t="s">
        <v>139</v>
      </c>
      <c r="AR38" s="446">
        <v>2.399581</v>
      </c>
      <c r="AS38" s="446">
        <v>2.414061</v>
      </c>
      <c r="AT38" s="447">
        <v>2.099747</v>
      </c>
    </row>
    <row s="517" customFormat="1" customHeight="1" ht="20.25">
      <c r="A39" s="472"/>
      <c r="B39" s="496" t="s">
        <v>118</v>
      </c>
      <c r="C39" s="486">
        <v>454</v>
      </c>
      <c r="D39" s="487">
        <v>107</v>
      </c>
      <c r="E39" s="173"/>
      <c r="F39" s="177">
        <f>_xlfn.IFERROR(D39/C39,"error")</f>
        <v>0.23568281938326</v>
      </c>
      <c r="G39" s="177"/>
      <c r="H39" s="487">
        <v>54</v>
      </c>
      <c r="I39" s="173"/>
      <c r="J39" s="177">
        <f>_xlfn.IFERROR(H39/C39,"error")</f>
        <v>0.118942731277533</v>
      </c>
      <c r="K39" s="177"/>
      <c r="L39" s="487">
        <v>278</v>
      </c>
      <c r="M39" s="173"/>
      <c r="N39" s="177">
        <f>_xlfn.IFERROR(L39/C39,"error")</f>
        <v>0.612334801762115</v>
      </c>
      <c r="O39" s="177"/>
      <c r="P39" s="487">
        <v>4</v>
      </c>
      <c r="Q39" s="173"/>
      <c r="R39" s="177">
        <f>_xlfn.IFERROR(P39/C39,"error")</f>
        <v>0.00881057268722467</v>
      </c>
      <c r="S39" s="177"/>
      <c r="T39" s="174">
        <f>_xlfn.IFERROR(SUM(D39,H39,L39,P39),"error")</f>
        <v>443</v>
      </c>
      <c r="U39" s="174"/>
      <c r="V39" s="177">
        <f>_xlfn.IFERROR(T39/C39,"error")</f>
        <v>0.975770925110132</v>
      </c>
      <c r="W39" s="177"/>
      <c r="X39" s="174">
        <f>_xlfn.IFERROR(C39-T39,"error")</f>
        <v>11</v>
      </c>
      <c r="Y39" s="174"/>
      <c r="Z39" s="177">
        <f>_xlfn.IFERROR(X39/C39,"error")</f>
        <v>0.0242290748898678</v>
      </c>
      <c r="AA39" s="177"/>
      <c r="AB39" s="487">
        <v>138</v>
      </c>
      <c r="AC39" s="173"/>
      <c r="AD39" s="487">
        <v>49</v>
      </c>
      <c r="AE39" s="173"/>
      <c r="AF39" s="123">
        <f>_xlfn.IFERROR(AD39/AB39,"error")</f>
        <v>0.355072463768116</v>
      </c>
      <c r="AG39" s="486">
        <v>86</v>
      </c>
      <c r="AH39" s="123">
        <f>_xlfn.IFERROR(AG39/AB39,"error")</f>
        <v>0.623188405797101</v>
      </c>
      <c r="AI39" s="124">
        <f>_xlfn.IFERROR(SUM(AD39,AG39),"error")</f>
        <v>135</v>
      </c>
      <c r="AJ39" s="123">
        <f>_xlfn.IFERROR(AI39/AB39,"error")</f>
        <v>0.978260869565217</v>
      </c>
      <c r="AK39" s="190">
        <f>_xlfn.IFERROR(AB39-AI39,"error")</f>
        <v>3</v>
      </c>
      <c r="AL39" s="190"/>
      <c r="AM39" s="170">
        <f>_xlfn.IFERROR(AK39/AB39,"error")</f>
        <v>0.0217391304347826</v>
      </c>
      <c r="AN39" s="323"/>
      <c r="AO39" s="329"/>
      <c r="AP39" s="200"/>
      <c r="AQ39" s="144" t="s">
        <v>140</v>
      </c>
      <c r="AR39" s="446">
        <v>2.120536</v>
      </c>
      <c r="AS39" s="446">
        <v>2.05733</v>
      </c>
      <c r="AT39" s="447">
        <v>2.017047</v>
      </c>
    </row>
    <row s="518" customFormat="1" customHeight="1" ht="20.25">
      <c r="A40" s="472"/>
      <c r="B40" s="121" t="s">
        <v>120</v>
      </c>
      <c r="C40" s="124">
        <f>_xlfn.IFERROR(SUM(C37,C38,C39),"error")</f>
        <v>1730</v>
      </c>
      <c r="D40" s="174">
        <f>_xlfn.IFERROR(SUM(D37,D38,D39),"error")</f>
        <v>465</v>
      </c>
      <c r="E40" s="174"/>
      <c r="F40" s="177">
        <f>_xlfn.IFERROR(D40/C40,"error")</f>
        <v>0.26878612716763</v>
      </c>
      <c r="G40" s="177"/>
      <c r="H40" s="174">
        <f>_xlfn.IFERROR(SUM(H37,H38,H39),"error")</f>
        <v>217</v>
      </c>
      <c r="I40" s="174"/>
      <c r="J40" s="177">
        <f>_xlfn.IFERROR(H40/C40,"error")</f>
        <v>0.125433526011561</v>
      </c>
      <c r="K40" s="177"/>
      <c r="L40" s="174">
        <f>_xlfn.IFERROR(SUM(L37,L38,L39),"error")</f>
        <v>993</v>
      </c>
      <c r="M40" s="174"/>
      <c r="N40" s="177">
        <f>_xlfn.IFERROR(L40/C40,"error")</f>
        <v>0.573988439306358</v>
      </c>
      <c r="O40" s="177"/>
      <c r="P40" s="174">
        <f>_xlfn.IFERROR(SUM(P37,P38,P39),"error")</f>
        <v>17</v>
      </c>
      <c r="Q40" s="174"/>
      <c r="R40" s="177">
        <f>_xlfn.IFERROR(P40/C40,"error")</f>
        <v>0.00982658959537572</v>
      </c>
      <c r="S40" s="177"/>
      <c r="T40" s="174">
        <f>_xlfn.IFERROR(SUM(T37,T38,T39),"error")</f>
        <v>1692</v>
      </c>
      <c r="U40" s="174"/>
      <c r="V40" s="177">
        <f>_xlfn.IFERROR(T40/C40,"error")</f>
        <v>0.978034682080925</v>
      </c>
      <c r="W40" s="177"/>
      <c r="X40" s="174">
        <f>_xlfn.IFERROR(SUM(X37,X38,X39),"error")</f>
        <v>38</v>
      </c>
      <c r="Y40" s="174"/>
      <c r="Z40" s="177">
        <f>_xlfn.IFERROR(X40/C40,"error")</f>
        <v>0.0219653179190751</v>
      </c>
      <c r="AA40" s="177"/>
      <c r="AB40" s="174">
        <f>_xlfn.IFERROR(SUM(AB37,AB38,AB39),"error")</f>
        <v>559</v>
      </c>
      <c r="AC40" s="174"/>
      <c r="AD40" s="174">
        <f>_xlfn.IFERROR(SUM(AD37,AD38,AD39),"error")</f>
        <v>183</v>
      </c>
      <c r="AE40" s="174"/>
      <c r="AF40" s="123">
        <f>_xlfn.IFERROR(AD40/AB40,"error")</f>
        <v>0.32737030411449</v>
      </c>
      <c r="AG40" s="124">
        <f>_xlfn.IFERROR(SUM(AG37,AG38,AG39),"error")</f>
        <v>373</v>
      </c>
      <c r="AH40" s="123">
        <f>_xlfn.IFERROR(AG40/AB40,"error")</f>
        <v>0.667262969588551</v>
      </c>
      <c r="AI40" s="124">
        <f>_xlfn.IFERROR(SUM(AI37,AI38,AI39),"error")</f>
        <v>556</v>
      </c>
      <c r="AJ40" s="123">
        <f>_xlfn.IFERROR(AI40/AB40,"error")</f>
        <v>0.994633273703041</v>
      </c>
      <c r="AK40" s="190">
        <f>_xlfn.IFERROR(SUM(AK37,AK38,AK39),"error")</f>
        <v>3</v>
      </c>
      <c r="AL40" s="190"/>
      <c r="AM40" s="170">
        <f>_xlfn.IFERROR(AK40/AB40,"error")</f>
        <v>0.00536672629695885</v>
      </c>
      <c r="AN40" s="323"/>
      <c r="AO40" s="329"/>
      <c r="AP40" s="200"/>
      <c r="AQ40" s="144" t="s">
        <v>141</v>
      </c>
      <c r="AR40" s="446">
        <v>2.398019</v>
      </c>
      <c r="AS40" s="446">
        <v>2.4124</v>
      </c>
      <c r="AT40" s="447">
        <v>2.289315</v>
      </c>
    </row>
    <row s="519" customFormat="1" customHeight="1" ht="20.25">
      <c r="A41" s="472"/>
      <c r="B41" s="121" t="s">
        <v>121</v>
      </c>
      <c r="C41" s="124">
        <f>SUM(C40,取值!B20,取值!B21,取值!B22)</f>
        <v>10664</v>
      </c>
      <c r="D41" s="174">
        <f>SUM(D40,取值!C20,取值!C21,取值!C22)</f>
        <v>2894</v>
      </c>
      <c r="E41" s="174"/>
      <c r="F41" s="177">
        <f>_xlfn.IFERROR(D41/C41,"error")</f>
        <v>0.271380345086272</v>
      </c>
      <c r="G41" s="177"/>
      <c r="H41" s="174">
        <f>SUM(H40,取值!G20,取值!G21,取值!G22)</f>
        <v>1406</v>
      </c>
      <c r="I41" s="174"/>
      <c r="J41" s="177">
        <f>_xlfn.IFERROR(H41/C41,"error")</f>
        <v>0.131845461365341</v>
      </c>
      <c r="K41" s="177"/>
      <c r="L41" s="174">
        <f>SUM('延安石油化工厂生产调度工艺台帐(物料平衡） '!L40:M40,取值!K20,取值!K21,取值!K22)</f>
        <v>5988</v>
      </c>
      <c r="M41" s="174"/>
      <c r="N41" s="177">
        <f>_xlfn.IFERROR(L41/C41,"error")</f>
        <v>0.561515378844711</v>
      </c>
      <c r="O41" s="177"/>
      <c r="P41" s="174">
        <f>SUM(P40,取值!O20,取值!O21,取值!O22)</f>
        <v>98</v>
      </c>
      <c r="Q41" s="174"/>
      <c r="R41" s="177">
        <f>_xlfn.IFERROR(P41/C41,"error")</f>
        <v>0.00918979744936234</v>
      </c>
      <c r="S41" s="177"/>
      <c r="T41" s="174">
        <f>_xlfn.IFERROR(SUM(D41,H41,L41,P41),"error")</f>
        <v>10386</v>
      </c>
      <c r="U41" s="174"/>
      <c r="V41" s="177">
        <f>_xlfn.IFERROR(T41/C41,"error")</f>
        <v>0.973930982745686</v>
      </c>
      <c r="W41" s="177"/>
      <c r="X41" s="174">
        <f>_xlfn.IFERROR(C41-T41,"error")</f>
        <v>278</v>
      </c>
      <c r="Y41" s="174"/>
      <c r="Z41" s="177">
        <f>_xlfn.IFERROR(X41/C41,"error")</f>
        <v>0.0260690172543136</v>
      </c>
      <c r="AA41" s="177"/>
      <c r="AB41" s="174">
        <f>SUM(AB40,取值!AA20,取值!AA21,取值!AA22)</f>
        <v>3407</v>
      </c>
      <c r="AC41" s="174"/>
      <c r="AD41" s="174">
        <f>SUM(AD40,取值!AC20,取值!AC21,取值!AC22)</f>
        <v>1120</v>
      </c>
      <c r="AE41" s="174"/>
      <c r="AF41" s="123">
        <f>_xlfn.IFERROR(AD41/AB41,"error")</f>
        <v>0.328734957440564</v>
      </c>
      <c r="AG41" s="124">
        <f>SUM(AG40,取值!AF20,取值!AF21,取值!AF22)</f>
        <v>2269</v>
      </c>
      <c r="AH41" s="123">
        <f>_xlfn.IFERROR(AG41/AB41,"error")</f>
        <v>0.665981802171999</v>
      </c>
      <c r="AI41" s="124">
        <f>_xlfn.IFERROR(SUM(AD41,AG41),"error")</f>
        <v>3389</v>
      </c>
      <c r="AJ41" s="123">
        <f>_xlfn.IFERROR(AI41/AB41,"error")</f>
        <v>0.994716759612562</v>
      </c>
      <c r="AK41" s="190">
        <f>_xlfn.IFERROR(AB41-AI41,"error")</f>
        <v>18</v>
      </c>
      <c r="AL41" s="190"/>
      <c r="AM41" s="170">
        <f>_xlfn.IFERROR(AK41/AB41,"error")</f>
        <v>0.00528324038743763</v>
      </c>
      <c r="AN41" s="323"/>
      <c r="AO41" s="329"/>
      <c r="AP41" s="200"/>
      <c r="AQ41" s="144" t="s">
        <v>142</v>
      </c>
      <c r="AR41" s="446">
        <v>5527.41</v>
      </c>
      <c r="AS41" s="446">
        <v>5753.479</v>
      </c>
      <c r="AT41" s="447">
        <v>5869.393</v>
      </c>
    </row>
    <row s="520" customFormat="1" customHeight="1" ht="20.25">
      <c r="A42" s="472"/>
      <c r="B42" s="182" t="s">
        <v>100</v>
      </c>
      <c r="C42" s="172" t="s">
        <v>143</v>
      </c>
      <c r="D42" s="172"/>
      <c r="E42" s="172"/>
      <c r="F42" s="172"/>
      <c r="G42" s="172"/>
      <c r="H42" s="172" t="s">
        <v>144</v>
      </c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 t="s">
        <v>145</v>
      </c>
      <c r="Y42" s="172"/>
      <c r="Z42" s="172"/>
      <c r="AA42" s="172"/>
      <c r="AB42" s="172"/>
      <c r="AC42" s="172"/>
      <c r="AD42" s="172"/>
      <c r="AE42" s="172"/>
      <c r="AF42" s="172" t="s">
        <v>146</v>
      </c>
      <c r="AG42" s="172"/>
      <c r="AH42" s="172"/>
      <c r="AI42" s="172" t="s">
        <v>147</v>
      </c>
      <c r="AJ42" s="172"/>
      <c r="AK42" s="172"/>
      <c r="AL42" s="172"/>
      <c r="AM42" s="172"/>
      <c r="AN42" s="319"/>
      <c r="AO42" s="329"/>
      <c r="AP42" s="200"/>
      <c r="AQ42" s="144" t="s">
        <v>148</v>
      </c>
      <c r="AR42" s="446">
        <v>365.0865</v>
      </c>
      <c r="AS42" s="446">
        <v>376.98</v>
      </c>
      <c r="AT42" s="447">
        <v>388.8808</v>
      </c>
    </row>
    <row s="521" customFormat="1" customHeight="1" ht="20.25">
      <c r="A43" s="472"/>
      <c r="B43" s="18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319"/>
      <c r="AO43" s="329"/>
      <c r="AP43" s="200"/>
      <c r="AQ43" s="144" t="s">
        <v>149</v>
      </c>
      <c r="AR43" s="446">
        <v>1198.995</v>
      </c>
      <c r="AS43" s="446">
        <v>772.0858</v>
      </c>
      <c r="AT43" s="447">
        <v>592.6473</v>
      </c>
    </row>
    <row s="522" customFormat="1" customHeight="1" ht="20.25">
      <c r="A44" s="472"/>
      <c r="B44" s="182"/>
      <c r="C44" s="120" t="s">
        <v>103</v>
      </c>
      <c r="D44" s="172" t="s">
        <v>150</v>
      </c>
      <c r="E44" s="172"/>
      <c r="F44" s="172"/>
      <c r="G44" s="172"/>
      <c r="H44" s="172" t="s">
        <v>151</v>
      </c>
      <c r="I44" s="172"/>
      <c r="J44" s="172" t="s">
        <v>152</v>
      </c>
      <c r="K44" s="172"/>
      <c r="L44" s="172" t="s">
        <v>153</v>
      </c>
      <c r="M44" s="172"/>
      <c r="N44" s="172"/>
      <c r="O44" s="172"/>
      <c r="P44" s="172" t="s">
        <v>154</v>
      </c>
      <c r="Q44" s="172"/>
      <c r="R44" s="172"/>
      <c r="S44" s="172"/>
      <c r="T44" s="172" t="s">
        <v>135</v>
      </c>
      <c r="U44" s="172"/>
      <c r="V44" s="172"/>
      <c r="W44" s="172"/>
      <c r="X44" s="511" t="s">
        <v>155</v>
      </c>
      <c r="Y44" s="511"/>
      <c r="Z44" s="511"/>
      <c r="AA44" s="511"/>
      <c r="AB44" s="523" t="s">
        <v>156</v>
      </c>
      <c r="AC44" s="523"/>
      <c r="AD44" s="523"/>
      <c r="AE44" s="523"/>
      <c r="AF44" s="524" t="s">
        <v>155</v>
      </c>
      <c r="AG44" s="511" t="s">
        <v>157</v>
      </c>
      <c r="AH44" s="511"/>
      <c r="AI44" s="524" t="s">
        <v>103</v>
      </c>
      <c r="AJ44" s="511" t="s">
        <v>158</v>
      </c>
      <c r="AK44" s="511"/>
      <c r="AL44" s="511" t="s">
        <v>109</v>
      </c>
      <c r="AM44" s="511"/>
      <c r="AN44" s="525"/>
      <c r="AO44" s="329"/>
      <c r="AP44" s="200"/>
      <c r="AQ44" s="144" t="s">
        <v>159</v>
      </c>
      <c r="AR44" s="446">
        <v>15086.18</v>
      </c>
      <c r="AS44" s="446">
        <v>13930.38</v>
      </c>
      <c r="AT44" s="447">
        <v>15134.49</v>
      </c>
    </row>
    <row s="526" customFormat="1" customHeight="1" ht="20.25">
      <c r="A45" s="472"/>
      <c r="B45" s="182"/>
      <c r="C45" s="120" t="s">
        <v>114</v>
      </c>
      <c r="D45" s="172" t="s">
        <v>114</v>
      </c>
      <c r="E45" s="172"/>
      <c r="F45" s="183" t="s">
        <v>115</v>
      </c>
      <c r="G45" s="183" t="s">
        <v>115</v>
      </c>
      <c r="H45" s="172" t="s">
        <v>114</v>
      </c>
      <c r="I45" s="172"/>
      <c r="J45" s="172" t="s">
        <v>114</v>
      </c>
      <c r="K45" s="172"/>
      <c r="L45" s="172" t="s">
        <v>114</v>
      </c>
      <c r="M45" s="172"/>
      <c r="N45" s="172" t="s">
        <v>115</v>
      </c>
      <c r="O45" s="172" t="s">
        <v>115</v>
      </c>
      <c r="P45" s="172" t="s">
        <v>114</v>
      </c>
      <c r="Q45" s="172"/>
      <c r="R45" s="172" t="s">
        <v>115</v>
      </c>
      <c r="S45" s="172" t="s">
        <v>115</v>
      </c>
      <c r="T45" s="172" t="s">
        <v>114</v>
      </c>
      <c r="U45" s="172"/>
      <c r="V45" s="172" t="s">
        <v>115</v>
      </c>
      <c r="W45" s="172" t="s">
        <v>115</v>
      </c>
      <c r="X45" s="511" t="s">
        <v>160</v>
      </c>
      <c r="Y45" s="511"/>
      <c r="Z45" s="511"/>
      <c r="AA45" s="511"/>
      <c r="AB45" s="511" t="s">
        <v>114</v>
      </c>
      <c r="AC45" s="511"/>
      <c r="AD45" s="511" t="s">
        <v>115</v>
      </c>
      <c r="AE45" s="511"/>
      <c r="AF45" s="524" t="s">
        <v>160</v>
      </c>
      <c r="AG45" s="120" t="s">
        <v>114</v>
      </c>
      <c r="AH45" s="524" t="s">
        <v>161</v>
      </c>
      <c r="AI45" s="524" t="s">
        <v>114</v>
      </c>
      <c r="AJ45" s="524" t="s">
        <v>114</v>
      </c>
      <c r="AK45" s="524" t="s">
        <v>115</v>
      </c>
      <c r="AL45" s="524" t="s">
        <v>114</v>
      </c>
      <c r="AM45" s="511" t="s">
        <v>115</v>
      </c>
      <c r="AN45" s="525"/>
      <c r="AO45" s="329"/>
      <c r="AP45" s="200"/>
      <c r="AQ45" s="144" t="s">
        <v>162</v>
      </c>
      <c r="AR45" s="446">
        <v>1906.652</v>
      </c>
      <c r="AS45" s="446">
        <v>1812.144</v>
      </c>
      <c r="AT45" s="447">
        <v>2009.494</v>
      </c>
    </row>
    <row s="527" customFormat="1" customHeight="1" ht="20.25">
      <c r="A46" s="472"/>
      <c r="B46" s="121" t="s">
        <v>116</v>
      </c>
      <c r="C46" s="486">
        <v>234</v>
      </c>
      <c r="D46" s="185"/>
      <c r="E46" s="185"/>
      <c r="F46" s="177">
        <f>_xlfn.IFERROR(D46/C46,"error")</f>
        <v>0</v>
      </c>
      <c r="G46" s="177"/>
      <c r="H46" s="487">
        <v>327</v>
      </c>
      <c r="I46" s="173"/>
      <c r="J46" s="487">
        <v>20</v>
      </c>
      <c r="K46" s="173"/>
      <c r="L46" s="487">
        <v>54</v>
      </c>
      <c r="M46" s="173"/>
      <c r="N46" s="170">
        <f>_xlfn.IFERROR(L46/SUM(H46,J46),"error")</f>
        <v>0.155619596541787</v>
      </c>
      <c r="O46" s="170"/>
      <c r="P46" s="487">
        <v>294</v>
      </c>
      <c r="Q46" s="173"/>
      <c r="R46" s="170">
        <f>_xlfn.IFERROR(P46/SUM(J46,H46),"error")</f>
        <v>0.847262247838617</v>
      </c>
      <c r="S46" s="170"/>
      <c r="T46" s="174">
        <f>_xlfn.IFERROR(H46+J46-L46-P46,"error")</f>
        <v>-1</v>
      </c>
      <c r="U46" s="174"/>
      <c r="V46" s="170">
        <f>_xlfn.IFERROR(T46/SUM(J46,H46),"error")</f>
        <v>-0.00288184438040346</v>
      </c>
      <c r="W46" s="170"/>
      <c r="X46" s="487">
        <v>629</v>
      </c>
      <c r="Y46" s="173"/>
      <c r="Z46" s="173"/>
      <c r="AA46" s="173"/>
      <c r="AB46" s="487">
        <v>619</v>
      </c>
      <c r="AC46" s="173"/>
      <c r="AD46" s="170">
        <f>_xlfn.IFERROR(AB46/X46,"error")</f>
        <v>0.984101748807631</v>
      </c>
      <c r="AE46" s="170"/>
      <c r="AF46" s="486"/>
      <c r="AG46" s="486"/>
      <c r="AH46" s="123" t="str">
        <f>_xlfn.IFERROR(AG46/AF46,"error")</f>
        <v>error</v>
      </c>
      <c r="AI46" s="529">
        <v>1552</v>
      </c>
      <c r="AJ46" s="529">
        <v>1523</v>
      </c>
      <c r="AK46" s="530">
        <f>_xlfn.IFERROR(AJ46/AI46,"error")</f>
        <v>0.981314432989691</v>
      </c>
      <c r="AL46" s="531">
        <f>_xlfn.IFERROR(AI46-AJ46,"error")</f>
        <v>29</v>
      </c>
      <c r="AM46" s="532">
        <f>_xlfn.IFERROR(AL46/AI46,"error")</f>
        <v>0.0186855670103093</v>
      </c>
      <c r="AN46" s="533"/>
      <c r="AO46" s="329"/>
      <c r="AP46" s="200"/>
      <c r="AQ46" s="144" t="s">
        <v>163</v>
      </c>
      <c r="AR46" s="446">
        <v>8.285815</v>
      </c>
      <c r="AS46" s="446">
        <v>7.292578</v>
      </c>
      <c r="AT46" s="447">
        <v>6.834148</v>
      </c>
    </row>
    <row s="534" customFormat="1" customHeight="1" ht="20.25">
      <c r="A47" s="472"/>
      <c r="B47" s="121" t="s">
        <v>117</v>
      </c>
      <c r="C47" s="486">
        <v>236</v>
      </c>
      <c r="D47" s="185"/>
      <c r="E47" s="185"/>
      <c r="F47" s="177">
        <f>_xlfn.IFERROR(D47/C47,"error")</f>
        <v>0</v>
      </c>
      <c r="G47" s="177"/>
      <c r="H47" s="487">
        <v>390</v>
      </c>
      <c r="I47" s="173"/>
      <c r="J47" s="487">
        <v>25</v>
      </c>
      <c r="K47" s="173"/>
      <c r="L47" s="487">
        <v>65</v>
      </c>
      <c r="M47" s="173"/>
      <c r="N47" s="170">
        <f>_xlfn.IFERROR(L47/SUM(H47,J47),"error")</f>
        <v>0.156626506024096</v>
      </c>
      <c r="O47" s="170"/>
      <c r="P47" s="487">
        <v>336</v>
      </c>
      <c r="Q47" s="173"/>
      <c r="R47" s="170">
        <f>_xlfn.IFERROR(P47/SUM(J47,H47),"error")</f>
        <v>0.809638554216867</v>
      </c>
      <c r="S47" s="170"/>
      <c r="T47" s="174">
        <f>_xlfn.IFERROR(H47+J47-L47-P47,"error")</f>
        <v>14</v>
      </c>
      <c r="U47" s="174"/>
      <c r="V47" s="170">
        <f>_xlfn.IFERROR(T47/SUM(J47,H47),"error")</f>
        <v>0.0337349397590361</v>
      </c>
      <c r="W47" s="170"/>
      <c r="X47" s="487">
        <v>674</v>
      </c>
      <c r="Y47" s="173"/>
      <c r="Z47" s="173"/>
      <c r="AA47" s="173"/>
      <c r="AB47" s="487">
        <v>668</v>
      </c>
      <c r="AC47" s="173"/>
      <c r="AD47" s="170">
        <f>_xlfn.IFERROR(AB47/X47,"error")</f>
        <v>0.991097922848665</v>
      </c>
      <c r="AE47" s="170"/>
      <c r="AF47" s="486"/>
      <c r="AG47" s="486"/>
      <c r="AH47" s="123" t="str">
        <f>_xlfn.IFERROR(AG47/AF47,"error")</f>
        <v>error</v>
      </c>
      <c r="AI47" s="529">
        <v>1544</v>
      </c>
      <c r="AJ47" s="529">
        <v>1559</v>
      </c>
      <c r="AK47" s="530">
        <f>_xlfn.IFERROR(AJ47/AI47,"error")</f>
        <v>1.00971502590674</v>
      </c>
      <c r="AL47" s="531">
        <f>_xlfn.IFERROR(AI47-AJ47,"error")</f>
        <v>-15</v>
      </c>
      <c r="AM47" s="532">
        <f>_xlfn.IFERROR(AL47/AI47,"error")</f>
        <v>-0.00971502590673575</v>
      </c>
      <c r="AN47" s="533"/>
      <c r="AO47" s="329"/>
      <c r="AP47" s="200"/>
      <c r="AQ47" s="144" t="s">
        <v>164</v>
      </c>
      <c r="AR47" s="446">
        <v>13.17336</v>
      </c>
      <c r="AS47" s="446">
        <v>12.79573</v>
      </c>
      <c r="AT47" s="447">
        <v>12.76055</v>
      </c>
    </row>
    <row s="535" customFormat="1" customHeight="1" ht="20.25">
      <c r="A48" s="472"/>
      <c r="B48" s="496" t="s">
        <v>118</v>
      </c>
      <c r="C48" s="486">
        <v>157</v>
      </c>
      <c r="D48" s="185"/>
      <c r="E48" s="185"/>
      <c r="F48" s="177">
        <f>_xlfn.IFERROR(D48/C48,"error")</f>
        <v>0</v>
      </c>
      <c r="G48" s="177"/>
      <c r="H48" s="487">
        <v>264</v>
      </c>
      <c r="I48" s="173"/>
      <c r="J48" s="487">
        <v>17</v>
      </c>
      <c r="K48" s="173"/>
      <c r="L48" s="487">
        <v>45</v>
      </c>
      <c r="M48" s="173"/>
      <c r="N48" s="170">
        <f>_xlfn.IFERROR(L48/SUM(H48,J48),"error")</f>
        <v>0.160142348754448</v>
      </c>
      <c r="O48" s="170"/>
      <c r="P48" s="487">
        <v>240</v>
      </c>
      <c r="Q48" s="173"/>
      <c r="R48" s="170">
        <f>_xlfn.IFERROR(P48/SUM(J48,H48),"error")</f>
        <v>0.854092526690391</v>
      </c>
      <c r="S48" s="170"/>
      <c r="T48" s="174">
        <f>_xlfn.IFERROR(H48+J48-L48-P48,"error")</f>
        <v>-4</v>
      </c>
      <c r="U48" s="174"/>
      <c r="V48" s="170">
        <f>_xlfn.IFERROR(T48/SUM(J48,H48),"error")</f>
        <v>-0.0142348754448399</v>
      </c>
      <c r="W48" s="170"/>
      <c r="X48" s="487">
        <v>454</v>
      </c>
      <c r="Y48" s="173"/>
      <c r="Z48" s="173"/>
      <c r="AA48" s="173"/>
      <c r="AB48" s="487">
        <v>449</v>
      </c>
      <c r="AC48" s="173"/>
      <c r="AD48" s="170">
        <f>_xlfn.IFERROR(AB48/X48,"error")</f>
        <v>0.988986784140969</v>
      </c>
      <c r="AE48" s="170"/>
      <c r="AF48" s="486"/>
      <c r="AG48" s="486"/>
      <c r="AH48" s="123" t="str">
        <f>_xlfn.IFERROR(AG48/AF48,"error")</f>
        <v>error</v>
      </c>
      <c r="AI48" s="529">
        <v>1039</v>
      </c>
      <c r="AJ48" s="529">
        <v>1024</v>
      </c>
      <c r="AK48" s="530">
        <f>_xlfn.IFERROR(AJ48/AI48,"error")</f>
        <v>0.985563041385948</v>
      </c>
      <c r="AL48" s="531">
        <f>_xlfn.IFERROR(AI48-AJ48,"error")</f>
        <v>15</v>
      </c>
      <c r="AM48" s="532">
        <f>_xlfn.IFERROR(AL48/AI48,"error")</f>
        <v>0.014436958614052</v>
      </c>
      <c r="AN48" s="533"/>
      <c r="AO48" s="329"/>
      <c r="AP48" s="200"/>
      <c r="AQ48" s="144" t="s">
        <v>165</v>
      </c>
      <c r="AR48" s="446">
        <v>9.617314</v>
      </c>
      <c r="AS48" s="446">
        <v>9.791117</v>
      </c>
      <c r="AT48" s="447">
        <v>9.726758</v>
      </c>
    </row>
    <row s="536" customFormat="1" customHeight="1" ht="18.75">
      <c r="A49" s="472"/>
      <c r="B49" s="121" t="s">
        <v>120</v>
      </c>
      <c r="C49" s="124">
        <f>_xlfn.IFERROR(SUM(C46,C47,C48),"error")</f>
        <v>627</v>
      </c>
      <c r="D49" s="537">
        <v>609.56</v>
      </c>
      <c r="E49" s="174"/>
      <c r="F49" s="177">
        <f>_xlfn.IFERROR(D49/C49,"error")</f>
        <v>0.972185007974482</v>
      </c>
      <c r="G49" s="177"/>
      <c r="H49" s="174">
        <f>_xlfn.IFERROR(SUM(H46,H47,H48),"error")</f>
        <v>981</v>
      </c>
      <c r="I49" s="174"/>
      <c r="J49" s="174">
        <f>_xlfn.IFERROR(SUM(J46,J47,J48),"error")</f>
        <v>62</v>
      </c>
      <c r="K49" s="174"/>
      <c r="L49" s="174">
        <f>_xlfn.IFERROR(SUM(L46,L47,L48),"error")</f>
        <v>164</v>
      </c>
      <c r="M49" s="174"/>
      <c r="N49" s="170">
        <f>_xlfn.IFERROR(L49/SUM(H49,J49),"error")</f>
        <v>0.157238734419942</v>
      </c>
      <c r="O49" s="170"/>
      <c r="P49" s="174">
        <f>_xlfn.IFERROR(SUM(P46,P47,P48),"error")</f>
        <v>870</v>
      </c>
      <c r="Q49" s="174"/>
      <c r="R49" s="170">
        <f>_xlfn.IFERROR(P49/SUM(J49,H49),"error")</f>
        <v>0.834132310642378</v>
      </c>
      <c r="S49" s="170"/>
      <c r="T49" s="174">
        <f>_xlfn.IFERROR(SUM(T46,T47,T48),"error")</f>
        <v>9</v>
      </c>
      <c r="U49" s="174"/>
      <c r="V49" s="170">
        <f>_xlfn.IFERROR(T49/SUM(J49,H49),"error")</f>
        <v>0.00862895493767977</v>
      </c>
      <c r="W49" s="170"/>
      <c r="X49" s="174">
        <f>_xlfn.IFERROR(SUM(X46,X47,X48),"error")</f>
        <v>1757</v>
      </c>
      <c r="Y49" s="174"/>
      <c r="Z49" s="174"/>
      <c r="AA49" s="174"/>
      <c r="AB49" s="174">
        <f>_xlfn.IFERROR(SUM(AB46,AB47,AB48),"error")</f>
        <v>1736</v>
      </c>
      <c r="AC49" s="174"/>
      <c r="AD49" s="170">
        <f>_xlfn.IFERROR(AB49/X49,"error")</f>
        <v>0.98804780876494</v>
      </c>
      <c r="AE49" s="170"/>
      <c r="AF49" s="124">
        <f>_xlfn.IFERROR(SUM(AF46,AF47,AF48),"error")</f>
        <v>0</v>
      </c>
      <c r="AG49" s="124">
        <f>_xlfn.IFERROR(SUM(AG46,AG47,AG48),"error")</f>
        <v>0</v>
      </c>
      <c r="AH49" s="123" t="str">
        <f>_xlfn.IFERROR(AG49/AF49,"error")</f>
        <v>error</v>
      </c>
      <c r="AI49" s="531">
        <f>_xlfn.IFERROR(SUM(AI46,AI47,AI48),"error")</f>
        <v>4135</v>
      </c>
      <c r="AJ49" s="531">
        <f>_xlfn.IFERROR(SUM(AJ46,AJ47,AJ48),"error")</f>
        <v>4106</v>
      </c>
      <c r="AK49" s="530">
        <f>_xlfn.IFERROR(AJ49/AI49,"error")</f>
        <v>0.992986698911729</v>
      </c>
      <c r="AL49" s="531">
        <f>_xlfn.IFERROR(SUM(AL46,AL47,AL48),"error")</f>
        <v>29</v>
      </c>
      <c r="AM49" s="532">
        <f>_xlfn.IFERROR(AL49/AI49,"error")</f>
        <v>0.00701330108827086</v>
      </c>
      <c r="AN49" s="533"/>
      <c r="AO49" s="329"/>
      <c r="AP49" s="325" t="s">
        <v>166</v>
      </c>
      <c r="AQ49" s="144" t="s">
        <v>167</v>
      </c>
      <c r="AR49" s="446" t="str">
        <f>IF(取值1!C122=0,"",取值1!C122)</f>
        <v/>
      </c>
      <c r="AS49" s="446" t="str">
        <f>IF(取值1!D122=0,"",取值1!D122)</f>
        <v/>
      </c>
      <c r="AT49" s="447" t="str">
        <f>IF(取值1!E122=0,"",取值1!E122)</f>
        <v/>
      </c>
    </row>
    <row customHeight="1" ht="18.75">
      <c r="A50" s="390"/>
      <c r="B50" s="121" t="s">
        <v>121</v>
      </c>
      <c r="C50" s="124">
        <f>SUM(C49,取值!B31,取值!B32,取值!B33)</f>
        <v>3773</v>
      </c>
      <c r="D50" s="537">
        <v>4269.56</v>
      </c>
      <c r="E50" s="174"/>
      <c r="F50" s="177">
        <f>_xlfn.IFERROR(D50/C50,"error")</f>
        <v>1.1316087993639</v>
      </c>
      <c r="G50" s="177"/>
      <c r="H50" s="174">
        <f>SUM(H49,取值!G31,取值!G32,取值!G33)</f>
        <v>6040</v>
      </c>
      <c r="I50" s="174"/>
      <c r="J50" s="174">
        <f>SUM(J49,取值!I31,取值!I32,取值!I33)</f>
        <v>370</v>
      </c>
      <c r="K50" s="174"/>
      <c r="L50" s="174">
        <f>SUM(L49,取值!K31,取值!K32,取值!K33)</f>
        <v>1006</v>
      </c>
      <c r="M50" s="174"/>
      <c r="N50" s="170">
        <f>_xlfn.IFERROR(L50/SUM(H50,J50),"error")</f>
        <v>0.156942277691108</v>
      </c>
      <c r="O50" s="170"/>
      <c r="P50" s="174">
        <f>SUM(P49,取值!O31,取值!O32,取值!O33)</f>
        <v>5387</v>
      </c>
      <c r="Q50" s="174"/>
      <c r="R50" s="170">
        <f>_xlfn.IFERROR(P50/SUM(J50,H50),"error")</f>
        <v>0.840405616224649</v>
      </c>
      <c r="S50" s="170"/>
      <c r="T50" s="174">
        <f>_xlfn.IFERROR(H50+J50-L50-P50,"error")</f>
        <v>17</v>
      </c>
      <c r="U50" s="174"/>
      <c r="V50" s="170">
        <f>_xlfn.IFERROR(T50/SUM(J50,H50),"error")</f>
        <v>0.00265210608424337</v>
      </c>
      <c r="W50" s="170"/>
      <c r="X50" s="174">
        <f>SUM(X49,取值!W31,取值!W32,取值!W33)</f>
        <v>10221</v>
      </c>
      <c r="Y50" s="174"/>
      <c r="Z50" s="174"/>
      <c r="AA50" s="174"/>
      <c r="AB50" s="174">
        <f>SUM(AB49,取值!AA31,取值!AA32,取值!AA33)</f>
        <v>10092</v>
      </c>
      <c r="AC50" s="174"/>
      <c r="AD50" s="170">
        <f>_xlfn.IFERROR(AB50/X50,"error")</f>
        <v>0.987378925741121</v>
      </c>
      <c r="AE50" s="170"/>
      <c r="AF50" s="124">
        <f>SUM(AF49,取值!AE31,取值!AE32,取值!AE33)</f>
        <v>0</v>
      </c>
      <c r="AG50" s="124">
        <f>SUM(AG49,取值!AF31,取值!AF32,取值!AF33)</f>
        <v>0</v>
      </c>
      <c r="AH50" s="123" t="str">
        <f>_xlfn.IFERROR(AG50/AF50,"error")</f>
        <v>error</v>
      </c>
      <c r="AI50" s="133">
        <f>SUM(AI49,取值!AH31,取值!AH32,取值!AH33)</f>
        <v>24913</v>
      </c>
      <c r="AJ50" s="133">
        <f>SUM(AJ49,取值!AI31,取值!AI32,取值!AI33)</f>
        <v>24748</v>
      </c>
      <c r="AK50" s="530">
        <f>_xlfn.IFERROR(AJ50/AI50,"error")</f>
        <v>0.993376951792237</v>
      </c>
      <c r="AL50" s="531">
        <f>_xlfn.IFERROR(AI50-AJ50,"error")</f>
        <v>165</v>
      </c>
      <c r="AM50" s="532">
        <f>_xlfn.IFERROR(AL50/AI50,"error")</f>
        <v>0.00662304820776302</v>
      </c>
      <c r="AN50" s="533"/>
      <c r="AO50" s="329"/>
      <c r="AP50" s="326"/>
      <c r="AQ50" s="144" t="s">
        <v>168</v>
      </c>
      <c r="AR50" s="446" t="str">
        <f>IF(取值1!C123=0,"",取值1!C123)</f>
        <v/>
      </c>
      <c r="AS50" s="446" t="str">
        <f>IF(取值1!D123=0,"",取值1!D123)</f>
        <v/>
      </c>
      <c r="AT50" s="447" t="str">
        <f>IF(取值1!E123=0,"",取值1!E123)</f>
        <v/>
      </c>
    </row>
    <row customHeight="1" ht="18.75">
      <c r="A51" s="390"/>
      <c r="B51" s="182" t="s">
        <v>100</v>
      </c>
      <c r="C51" s="172" t="s">
        <v>169</v>
      </c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511" t="s">
        <v>170</v>
      </c>
      <c r="AA51" s="511"/>
      <c r="AB51" s="511"/>
      <c r="AC51" s="511"/>
      <c r="AD51" s="511"/>
      <c r="AE51" s="511"/>
      <c r="AF51" s="511"/>
      <c r="AG51" s="511"/>
      <c r="AH51" s="511"/>
      <c r="AI51" s="511"/>
      <c r="AJ51" s="511"/>
      <c r="AK51" s="511"/>
      <c r="AL51" s="511"/>
      <c r="AM51" s="511"/>
      <c r="AN51" s="525"/>
      <c r="AO51" s="329"/>
      <c r="AP51" s="326"/>
      <c r="AQ51" s="144" t="s">
        <v>171</v>
      </c>
      <c r="AR51" s="446" t="str">
        <f>IF(取值1!C124=0,"",取值1!C124)</f>
        <v/>
      </c>
      <c r="AS51" s="446" t="str">
        <f>IF(取值1!D124=0,"",取值1!D124)</f>
        <v/>
      </c>
      <c r="AT51" s="447" t="str">
        <f>IF(取值1!E124=0,"",取值1!E124)</f>
        <v/>
      </c>
    </row>
    <row customHeight="1" ht="20.25">
      <c r="A52" s="390"/>
      <c r="B52" s="18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511"/>
      <c r="AA52" s="511"/>
      <c r="AB52" s="511"/>
      <c r="AC52" s="511"/>
      <c r="AD52" s="511"/>
      <c r="AE52" s="511"/>
      <c r="AF52" s="511"/>
      <c r="AG52" s="511"/>
      <c r="AH52" s="511"/>
      <c r="AI52" s="511"/>
      <c r="AJ52" s="511"/>
      <c r="AK52" s="511"/>
      <c r="AL52" s="511"/>
      <c r="AM52" s="511"/>
      <c r="AN52" s="525"/>
      <c r="AO52" s="329"/>
      <c r="AP52" s="326"/>
      <c r="AQ52" s="144" t="s">
        <v>172</v>
      </c>
      <c r="AR52" s="446" t="str">
        <f>IF(取值1!C125=0,"",取值1!C125)</f>
        <v/>
      </c>
      <c r="AS52" s="446" t="str">
        <f>IF(取值1!D125=0,"",取值1!D125)</f>
        <v/>
      </c>
      <c r="AT52" s="447" t="str">
        <f>IF(取值1!E125=0,"",取值1!E125)</f>
        <v/>
      </c>
    </row>
    <row customHeight="1" ht="20.25">
      <c r="A53" s="390"/>
      <c r="B53" s="182"/>
      <c r="C53" s="172" t="s">
        <v>173</v>
      </c>
      <c r="D53" s="172"/>
      <c r="E53" s="172" t="s">
        <v>174</v>
      </c>
      <c r="F53" s="172"/>
      <c r="G53" s="172"/>
      <c r="H53" s="172"/>
      <c r="I53" s="172" t="s">
        <v>112</v>
      </c>
      <c r="J53" s="172"/>
      <c r="K53" s="172"/>
      <c r="L53" s="172"/>
      <c r="M53" s="523" t="s">
        <v>175</v>
      </c>
      <c r="N53" s="523"/>
      <c r="O53" s="523"/>
      <c r="P53" s="523"/>
      <c r="Q53" s="523" t="s">
        <v>176</v>
      </c>
      <c r="R53" s="523"/>
      <c r="S53" s="523"/>
      <c r="T53" s="523"/>
      <c r="U53" s="523" t="s">
        <v>108</v>
      </c>
      <c r="V53" s="523"/>
      <c r="W53" s="523"/>
      <c r="X53" s="172" t="s">
        <v>109</v>
      </c>
      <c r="Y53" s="172"/>
      <c r="Z53" s="511" t="s">
        <v>103</v>
      </c>
      <c r="AA53" s="511"/>
      <c r="AB53" s="511" t="s">
        <v>177</v>
      </c>
      <c r="AC53" s="511"/>
      <c r="AD53" s="511"/>
      <c r="AE53" s="511"/>
      <c r="AF53" s="525" t="s">
        <v>178</v>
      </c>
      <c r="AG53" s="541"/>
      <c r="AH53" s="525" t="s">
        <v>179</v>
      </c>
      <c r="AI53" s="541"/>
      <c r="AJ53" s="542" t="s">
        <v>180</v>
      </c>
      <c r="AK53" s="541"/>
      <c r="AL53" s="525" t="s">
        <v>181</v>
      </c>
      <c r="AM53" s="541"/>
      <c r="AN53" s="542" t="s">
        <v>109</v>
      </c>
      <c r="AO53" s="543"/>
      <c r="AP53" s="326"/>
      <c r="AQ53" s="144" t="s">
        <v>182</v>
      </c>
      <c r="AR53" s="446" t="str">
        <f>IF(取值1!C126=0,"",取值1!C126)</f>
        <v/>
      </c>
      <c r="AS53" s="446" t="str">
        <f>IF(取值1!D126=0,"",取值1!D126)</f>
        <v/>
      </c>
      <c r="AT53" s="447" t="str">
        <f>IF(取值1!E126=0,"",取值1!E126)</f>
        <v/>
      </c>
    </row>
    <row customHeight="1" ht="20.25">
      <c r="A54" s="390"/>
      <c r="B54" s="182"/>
      <c r="C54" s="172" t="s">
        <v>114</v>
      </c>
      <c r="D54" s="172"/>
      <c r="E54" s="172" t="s">
        <v>114</v>
      </c>
      <c r="F54" s="172"/>
      <c r="G54" s="172" t="s">
        <v>115</v>
      </c>
      <c r="H54" s="172"/>
      <c r="I54" s="172" t="s">
        <v>114</v>
      </c>
      <c r="J54" s="172"/>
      <c r="K54" s="172" t="s">
        <v>115</v>
      </c>
      <c r="L54" s="172"/>
      <c r="M54" s="172" t="s">
        <v>114</v>
      </c>
      <c r="N54" s="172"/>
      <c r="O54" s="172" t="s">
        <v>115</v>
      </c>
      <c r="P54" s="172"/>
      <c r="Q54" s="172" t="s">
        <v>114</v>
      </c>
      <c r="R54" s="172"/>
      <c r="S54" s="172" t="s">
        <v>115</v>
      </c>
      <c r="T54" s="172"/>
      <c r="U54" s="172" t="s">
        <v>114</v>
      </c>
      <c r="V54" s="172"/>
      <c r="W54" s="120" t="s">
        <v>115</v>
      </c>
      <c r="X54" s="120" t="s">
        <v>114</v>
      </c>
      <c r="Y54" s="120" t="s">
        <v>115</v>
      </c>
      <c r="Z54" s="511" t="s">
        <v>114</v>
      </c>
      <c r="AA54" s="511"/>
      <c r="AB54" s="511" t="s">
        <v>114</v>
      </c>
      <c r="AC54" s="511"/>
      <c r="AD54" s="511" t="s">
        <v>115</v>
      </c>
      <c r="AE54" s="511"/>
      <c r="AF54" s="544" t="s">
        <v>114</v>
      </c>
      <c r="AG54" s="544" t="s">
        <v>115</v>
      </c>
      <c r="AH54" s="544" t="s">
        <v>114</v>
      </c>
      <c r="AI54" s="544" t="s">
        <v>115</v>
      </c>
      <c r="AJ54" s="544" t="s">
        <v>114</v>
      </c>
      <c r="AK54" s="544" t="s">
        <v>115</v>
      </c>
      <c r="AL54" s="524" t="s">
        <v>114</v>
      </c>
      <c r="AM54" s="544" t="s">
        <v>115</v>
      </c>
      <c r="AN54" s="544" t="s">
        <v>114</v>
      </c>
      <c r="AO54" s="544" t="s">
        <v>115</v>
      </c>
      <c r="AP54" s="326"/>
      <c r="AQ54" s="144" t="s">
        <v>183</v>
      </c>
      <c r="AR54" s="446" t="str">
        <f>IF(取值1!C127=0,"",取值1!C127)</f>
        <v/>
      </c>
      <c r="AS54" s="446" t="str">
        <f>IF(取值1!D127=0,"",取值1!D127)</f>
        <v/>
      </c>
      <c r="AT54" s="447" t="str">
        <f>IF(取值1!E127=0,"",取值1!E127)</f>
        <v/>
      </c>
    </row>
    <row customHeight="1" ht="20.25">
      <c r="A55" s="390"/>
      <c r="B55" s="121" t="s">
        <v>116</v>
      </c>
      <c r="C55" s="487">
        <v>1822</v>
      </c>
      <c r="D55" s="173"/>
      <c r="E55" s="487">
        <v>1737</v>
      </c>
      <c r="F55" s="173"/>
      <c r="G55" s="170">
        <f>_xlfn.IFERROR(E55/C55,"error")</f>
        <v>0.953347969264544</v>
      </c>
      <c r="H55" s="170"/>
      <c r="I55" s="487">
        <v>50</v>
      </c>
      <c r="J55" s="173"/>
      <c r="K55" s="170">
        <f>_xlfn.IFERROR(I55/C55,"error")</f>
        <v>0.0274423710208562</v>
      </c>
      <c r="L55" s="170"/>
      <c r="M55" s="487">
        <v>18</v>
      </c>
      <c r="N55" s="173"/>
      <c r="O55" s="170">
        <f>_xlfn.IFERROR(M55/C55,"error")</f>
        <v>0.00987925356750823</v>
      </c>
      <c r="P55" s="170"/>
      <c r="Q55" s="487">
        <v>28</v>
      </c>
      <c r="R55" s="173"/>
      <c r="S55" s="170">
        <f>_xlfn.IFERROR(Q55/C55,"error")</f>
        <v>0.0153677277716795</v>
      </c>
      <c r="T55" s="170"/>
      <c r="U55" s="174">
        <f>_xlfn.IFERROR(SUM(E55,I55),"error")</f>
        <v>1787</v>
      </c>
      <c r="V55" s="174"/>
      <c r="W55" s="123">
        <f>_xlfn.IFERROR(U55/C55,"error")</f>
        <v>0.980790340285401</v>
      </c>
      <c r="X55" s="124">
        <f>_xlfn.IFERROR(C55-M55-Q55-U55,"error")</f>
        <v>-11</v>
      </c>
      <c r="Y55" s="123">
        <f>_xlfn.IFERROR(X55/C55,"error")</f>
        <v>-0.00603732162458836</v>
      </c>
      <c r="Z55" s="545">
        <v>377.0001</v>
      </c>
      <c r="AA55" s="546"/>
      <c r="AB55" s="547">
        <v>86</v>
      </c>
      <c r="AC55" s="169"/>
      <c r="AD55" s="532">
        <f>_xlfn.IFERROR(AB55/Z55,"error")</f>
        <v>0.228116650366936</v>
      </c>
      <c r="AE55" s="532"/>
      <c r="AF55" s="549">
        <v>229</v>
      </c>
      <c r="AG55" s="550">
        <f>_xlfn.IFERROR(AF55/Z55,"error")</f>
        <v>0.607426894581726</v>
      </c>
      <c r="AH55" s="549">
        <v>53</v>
      </c>
      <c r="AI55" s="530">
        <f>_xlfn.IFERROR(AH55/Z55,"error")</f>
        <v>0.1405835170866</v>
      </c>
      <c r="AJ55" s="551">
        <v>0</v>
      </c>
      <c r="AK55" s="552">
        <f>_xlfn.IFERROR(AJ55/Z55,"error")</f>
        <v>0</v>
      </c>
      <c r="AL55" s="529" t="str">
        <f>IF(取值!AK38=0,"",取值!AK38)</f>
        <v/>
      </c>
      <c r="AM55" s="553" t="str">
        <f>_xlfn.IFERROR(AL55/Z55,"error")</f>
        <v>error</v>
      </c>
      <c r="AN55" s="554">
        <f>SUM(Z55)-SUM(AB55,AF55,AH55,AJ55,AL55)</f>
        <v>9.00009999999997</v>
      </c>
      <c r="AO55" s="553">
        <f>_xlfn.IFERROR(AN55/Z55,"error")</f>
        <v>0.0238729379647379</v>
      </c>
      <c r="AP55" s="326"/>
      <c r="AQ55" s="144" t="s">
        <v>184</v>
      </c>
      <c r="AR55" s="446" t="str">
        <f>IF(取值1!C128=0,"",取值1!C128)</f>
        <v/>
      </c>
      <c r="AS55" s="446" t="str">
        <f>IF(取值1!D128=0,"",取值1!D128)</f>
        <v/>
      </c>
      <c r="AT55" s="447" t="str">
        <f>IF(取值1!E128=0,"",取值1!E128)</f>
        <v/>
      </c>
    </row>
    <row customHeight="1" ht="15.75">
      <c r="A56" s="390"/>
      <c r="B56" s="121" t="s">
        <v>117</v>
      </c>
      <c r="C56" s="487">
        <v>1824</v>
      </c>
      <c r="D56" s="173"/>
      <c r="E56" s="487">
        <v>1723</v>
      </c>
      <c r="F56" s="173"/>
      <c r="G56" s="170">
        <f>_xlfn.IFERROR(E56/C56,"error")</f>
        <v>0.944627192982456</v>
      </c>
      <c r="H56" s="170"/>
      <c r="I56" s="487">
        <v>52</v>
      </c>
      <c r="J56" s="173"/>
      <c r="K56" s="170">
        <f>_xlfn.IFERROR(I56/C56,"error")</f>
        <v>0.0285087719298246</v>
      </c>
      <c r="L56" s="170"/>
      <c r="M56" s="487">
        <v>18</v>
      </c>
      <c r="N56" s="173"/>
      <c r="O56" s="170">
        <f>_xlfn.IFERROR(M56/C56,"error")</f>
        <v>0.00986842105263158</v>
      </c>
      <c r="P56" s="170"/>
      <c r="Q56" s="487">
        <v>30</v>
      </c>
      <c r="R56" s="173"/>
      <c r="S56" s="170">
        <f>_xlfn.IFERROR(Q56/C56,"error")</f>
        <v>0.0164473684210526</v>
      </c>
      <c r="T56" s="170"/>
      <c r="U56" s="174">
        <f>_xlfn.IFERROR(SUM(E56,I56),"error")</f>
        <v>1775</v>
      </c>
      <c r="V56" s="174"/>
      <c r="W56" s="123">
        <f>_xlfn.IFERROR(U56/C56,"error")</f>
        <v>0.973135964912281</v>
      </c>
      <c r="X56" s="124">
        <f>_xlfn.IFERROR(C56-M56-Q56-U56,"error")</f>
        <v>1</v>
      </c>
      <c r="Y56" s="123">
        <f>_xlfn.IFERROR(X56/C56,"error")</f>
        <v>0.000548245614035088</v>
      </c>
      <c r="Z56" s="545">
        <v>364</v>
      </c>
      <c r="AA56" s="546"/>
      <c r="AB56" s="547">
        <v>80</v>
      </c>
      <c r="AC56" s="169"/>
      <c r="AD56" s="532">
        <f>_xlfn.IFERROR(AB56/Z56,"error")</f>
        <v>0.21978021978022</v>
      </c>
      <c r="AE56" s="532"/>
      <c r="AF56" s="549">
        <v>223</v>
      </c>
      <c r="AG56" s="550">
        <f>_xlfn.IFERROR(AF56/Z56,"error")</f>
        <v>0.612637362637363</v>
      </c>
      <c r="AH56" s="549">
        <v>52</v>
      </c>
      <c r="AI56" s="530">
        <f>_xlfn.IFERROR(AH56/Z56,"error")</f>
        <v>0.142857142857143</v>
      </c>
      <c r="AJ56" s="551">
        <v>0</v>
      </c>
      <c r="AK56" s="552">
        <f>_xlfn.IFERROR(AJ56/Z56,"error")</f>
        <v>0</v>
      </c>
      <c r="AL56" s="529" t="str">
        <f>IF(取值!AK39=0,"",取值!AK39)</f>
        <v/>
      </c>
      <c r="AM56" s="553" t="str">
        <f>_xlfn.IFERROR(AL56/Z56,"error")</f>
        <v>error</v>
      </c>
      <c r="AN56" s="554">
        <f>SUM(Z56)-SUM(AB56,AF56,AH56,AJ56,AL56)</f>
        <v>9</v>
      </c>
      <c r="AO56" s="553">
        <f>_xlfn.IFERROR(AN56/Z56,"error")</f>
        <v>0.0247252747252747</v>
      </c>
      <c r="AP56" s="327"/>
      <c r="AQ56" s="144" t="s">
        <v>185</v>
      </c>
      <c r="AR56" s="446" t="str">
        <f>IF(取值1!C129=0,"",取值1!C129)</f>
        <v/>
      </c>
      <c r="AS56" s="446" t="str">
        <f>IF(取值1!D129=0,"",取值1!D129)</f>
        <v/>
      </c>
      <c r="AT56" s="447" t="str">
        <f>IF(取值1!E129=0,"",取值1!E129)</f>
        <v/>
      </c>
    </row>
    <row customHeight="1" ht="20.25">
      <c r="A57" s="390"/>
      <c r="B57" s="496" t="s">
        <v>118</v>
      </c>
      <c r="C57" s="487">
        <v>1225</v>
      </c>
      <c r="D57" s="173"/>
      <c r="E57" s="487">
        <v>1160</v>
      </c>
      <c r="F57" s="173"/>
      <c r="G57" s="170">
        <f>_xlfn.IFERROR(E57/C57,"error")</f>
        <v>0.946938775510204</v>
      </c>
      <c r="H57" s="170"/>
      <c r="I57" s="487">
        <v>36</v>
      </c>
      <c r="J57" s="173"/>
      <c r="K57" s="170">
        <f>_xlfn.IFERROR(I57/C57,"error")</f>
        <v>0.0293877551020408</v>
      </c>
      <c r="L57" s="170"/>
      <c r="M57" s="487">
        <v>12</v>
      </c>
      <c r="N57" s="173"/>
      <c r="O57" s="170">
        <f>_xlfn.IFERROR(M57/C57,"error")</f>
        <v>0.00979591836734694</v>
      </c>
      <c r="P57" s="170"/>
      <c r="Q57" s="487">
        <v>21</v>
      </c>
      <c r="R57" s="173"/>
      <c r="S57" s="170">
        <f>_xlfn.IFERROR(Q57/C57,"error")</f>
        <v>0.0171428571428571</v>
      </c>
      <c r="T57" s="170"/>
      <c r="U57" s="174">
        <f>_xlfn.IFERROR(SUM(E57,I57),"error")</f>
        <v>1196</v>
      </c>
      <c r="V57" s="174"/>
      <c r="W57" s="123">
        <f>_xlfn.IFERROR(U57/C57,"error")</f>
        <v>0.976326530612245</v>
      </c>
      <c r="X57" s="124">
        <f>_xlfn.IFERROR(C57-M57-Q57-U57,"error")</f>
        <v>-4</v>
      </c>
      <c r="Y57" s="123">
        <f>_xlfn.IFERROR(X57/C57,"error")</f>
        <v>-0.00326530612244898</v>
      </c>
      <c r="Z57" s="545">
        <v>254</v>
      </c>
      <c r="AA57" s="546"/>
      <c r="AB57" s="547">
        <v>60</v>
      </c>
      <c r="AC57" s="169"/>
      <c r="AD57" s="532">
        <f>_xlfn.IFERROR(AB57/Z57,"error")</f>
        <v>0.236220472440945</v>
      </c>
      <c r="AE57" s="532"/>
      <c r="AF57" s="549">
        <v>152</v>
      </c>
      <c r="AG57" s="550">
        <f>_xlfn.IFERROR(AF57/Z57,"error")</f>
        <v>0.598425196850394</v>
      </c>
      <c r="AH57" s="549">
        <v>36</v>
      </c>
      <c r="AI57" s="530">
        <f>_xlfn.IFERROR(AH57/Z57,"error")</f>
        <v>0.141732283464567</v>
      </c>
      <c r="AJ57" s="551">
        <v>0</v>
      </c>
      <c r="AK57" s="552">
        <f>_xlfn.IFERROR(AJ57/Z57,"error")</f>
        <v>0</v>
      </c>
      <c r="AL57" s="529" t="str">
        <f>IF(取值!AK40=0,"",取值!AK40)</f>
        <v/>
      </c>
      <c r="AM57" s="553" t="str">
        <f>_xlfn.IFERROR(AL57/Z57,"error")</f>
        <v>error</v>
      </c>
      <c r="AN57" s="554">
        <f>SUM(Z57)-SUM(AB57,AF57,AH57,AJ57,AL57)</f>
        <v>6</v>
      </c>
      <c r="AO57" s="553">
        <f>_xlfn.IFERROR(AN57/Z57,"error")</f>
        <v>0.0236220472440945</v>
      </c>
      <c r="AP57" s="144"/>
      <c r="AQ57" s="114"/>
      <c r="AR57" s="115"/>
      <c r="AS57" s="118"/>
      <c r="AT57" s="119"/>
    </row>
    <row customHeight="1" ht="20.25">
      <c r="A58" s="390"/>
      <c r="B58" s="121" t="s">
        <v>120</v>
      </c>
      <c r="C58" s="174">
        <f>_xlfn.IFERROR(SUM(C55,C56,C57),"error")</f>
        <v>4871</v>
      </c>
      <c r="D58" s="174"/>
      <c r="E58" s="174">
        <f>_xlfn.IFERROR(SUM(E55,E56,E57),"error")</f>
        <v>4620</v>
      </c>
      <c r="F58" s="174"/>
      <c r="G58" s="170">
        <f>_xlfn.IFERROR(E58/C58,"error")</f>
        <v>0.948470539930199</v>
      </c>
      <c r="H58" s="170"/>
      <c r="I58" s="174">
        <f>_xlfn.IFERROR(SUM(I55,I56,I57),"error")</f>
        <v>138</v>
      </c>
      <c r="J58" s="174"/>
      <c r="K58" s="170">
        <f>_xlfn.IFERROR(I58/C58,"error")</f>
        <v>0.0283309382057072</v>
      </c>
      <c r="L58" s="170"/>
      <c r="M58" s="174">
        <f>_xlfn.IFERROR(SUM(M55,M56,M57),"error")</f>
        <v>48</v>
      </c>
      <c r="N58" s="174"/>
      <c r="O58" s="170">
        <f>_xlfn.IFERROR(M58/C58,"error")</f>
        <v>0.00985423937589817</v>
      </c>
      <c r="P58" s="170"/>
      <c r="Q58" s="174">
        <f>_xlfn.IFERROR(SUM(Q55,Q56,Q57),"error")</f>
        <v>79</v>
      </c>
      <c r="R58" s="174"/>
      <c r="S58" s="170">
        <f>_xlfn.IFERROR(Q58/C58,"error")</f>
        <v>0.0162184356394991</v>
      </c>
      <c r="T58" s="170"/>
      <c r="U58" s="174">
        <f>_xlfn.IFERROR(SUM(U55,U56,U57),"error")</f>
        <v>4758</v>
      </c>
      <c r="V58" s="174"/>
      <c r="W58" s="123">
        <f>_xlfn.IFERROR(U58/C58,"error")</f>
        <v>0.976801478135906</v>
      </c>
      <c r="X58" s="124">
        <f>_xlfn.IFERROR(SUM(X55,X56,X57),"error")</f>
        <v>-14</v>
      </c>
      <c r="Y58" s="123">
        <f>_xlfn.IFERROR(X58/C58,"error")</f>
        <v>-0.00287415315130363</v>
      </c>
      <c r="Z58" s="560">
        <f>_xlfn.IFERROR(SUM(Z55,Z56,Z57),"error")</f>
        <v>995.0001</v>
      </c>
      <c r="AA58" s="560"/>
      <c r="AB58" s="561">
        <f>_xlfn.IFERROR(SUM(AB55,AB56,AB57),"error")</f>
        <v>226</v>
      </c>
      <c r="AC58" s="561"/>
      <c r="AD58" s="532">
        <f>_xlfn.IFERROR(AB58/Z58,"error")</f>
        <v>0.227135655564256</v>
      </c>
      <c r="AE58" s="532"/>
      <c r="AF58" s="562">
        <f>_xlfn.IFERROR(SUM(AF55,AF56,AF57),"error")</f>
        <v>604</v>
      </c>
      <c r="AG58" s="563">
        <f>_xlfn.IFERROR(AF58/Z58,"error")</f>
        <v>0.607035114870843</v>
      </c>
      <c r="AH58" s="310">
        <f>_xlfn.IFERROR(SUM(AH55,AH56,AH57),"error")</f>
        <v>141</v>
      </c>
      <c r="AI58" s="530">
        <f>_xlfn.IFERROR(AH58/Z58,"error")</f>
        <v>0.141708528471505</v>
      </c>
      <c r="AJ58" s="565">
        <f>SUM(AJ55:AJ57)</f>
        <v>0</v>
      </c>
      <c r="AK58" s="552">
        <f>_xlfn.IFERROR(AJ58/Z58,"error")</f>
        <v>0</v>
      </c>
      <c r="AL58" s="133">
        <f>_xlfn.IFERROR(SUM(AL55,AL56,AL57),"error")</f>
        <v>0</v>
      </c>
      <c r="AM58" s="553">
        <f>_xlfn.IFERROR(AL58/Z58,"error")</f>
        <v>0</v>
      </c>
      <c r="AN58" s="554">
        <f>SUM(Z58)-SUM(AB58,AF58,AH58,AJ58,AL58)</f>
        <v>24.0001</v>
      </c>
      <c r="AO58" s="553">
        <f>_xlfn.IFERROR(AN58/Z58,"error")</f>
        <v>0.0241207010933969</v>
      </c>
      <c r="AP58" s="144"/>
      <c r="AQ58" s="114"/>
      <c r="AR58" s="115"/>
      <c r="AS58" s="118"/>
      <c r="AT58" s="119"/>
    </row>
    <row customHeight="1" ht="20.25">
      <c r="A59" s="390"/>
      <c r="B59" s="121" t="s">
        <v>121</v>
      </c>
      <c r="C59" s="174">
        <f>SUM(C58,取值!B42,取值!B43,取值!B44)</f>
        <v>29379</v>
      </c>
      <c r="D59" s="174"/>
      <c r="E59" s="174">
        <f>SUM(E58,取值!D42,取值!D43,取值!D44)</f>
        <v>27738</v>
      </c>
      <c r="F59" s="174"/>
      <c r="G59" s="170">
        <f>_xlfn.IFERROR(E59/C59,"error")</f>
        <v>0.94414377616665</v>
      </c>
      <c r="H59" s="170"/>
      <c r="I59" s="174">
        <f>SUM(I58,取值!H42,取值!H43,取值!H44)</f>
        <v>811</v>
      </c>
      <c r="J59" s="174"/>
      <c r="K59" s="170">
        <f>_xlfn.IFERROR(I59/C59,"error")</f>
        <v>0.0276047516933864</v>
      </c>
      <c r="L59" s="170"/>
      <c r="M59" s="174">
        <f>SUM(M58,取值!L42,取值!L43,取值!L44)</f>
        <v>289</v>
      </c>
      <c r="N59" s="174"/>
      <c r="O59" s="170">
        <f>_xlfn.IFERROR(M59/C59,"error")</f>
        <v>0.00983695837162599</v>
      </c>
      <c r="P59" s="170"/>
      <c r="Q59" s="174">
        <f>SUM(Q58,取值!P42,取值!P43,取值!P44)</f>
        <v>459</v>
      </c>
      <c r="R59" s="174"/>
      <c r="S59" s="170">
        <f>_xlfn.IFERROR(Q59/C59,"error")</f>
        <v>0.0156234044725825</v>
      </c>
      <c r="T59" s="170"/>
      <c r="U59" s="174">
        <f>_xlfn.IFERROR(SUM(E59,I59),"error")</f>
        <v>28549</v>
      </c>
      <c r="V59" s="174"/>
      <c r="W59" s="123">
        <f>_xlfn.IFERROR(U59/C59,"error")</f>
        <v>0.971748527860036</v>
      </c>
      <c r="X59" s="124">
        <f>_xlfn.IFERROR(C59-M59-Q59-U59,"error")</f>
        <v>82</v>
      </c>
      <c r="Y59" s="123">
        <f>_xlfn.IFERROR(X59/C59,"error")</f>
        <v>0.00279110929575547</v>
      </c>
      <c r="Z59" s="560">
        <f>SUM(Z58,取值!Y42,取值!Y43,取值!Y44)</f>
        <v>6078.0003</v>
      </c>
      <c r="AA59" s="560"/>
      <c r="AB59" s="167">
        <f>SUM(AB58,取值!AA42,取值!AA43,取值!AA44)</f>
        <v>1329</v>
      </c>
      <c r="AC59" s="167"/>
      <c r="AD59" s="532">
        <f>_xlfn.IFERROR(AB59/Z59,"error")</f>
        <v>0.218657442317007</v>
      </c>
      <c r="AE59" s="532"/>
      <c r="AF59" s="310">
        <f>SUM(AF58,取值!AE42,取值!AE43,取值!AE44)</f>
        <v>3750</v>
      </c>
      <c r="AG59" s="567">
        <f>_xlfn.IFERROR(AF59/Z59,"error")</f>
        <v>0.616979239043473</v>
      </c>
      <c r="AH59" s="310">
        <f>SUM(AH58,取值!AH42,取值!AH43,取值!AH44)</f>
        <v>823</v>
      </c>
      <c r="AI59" s="530">
        <f>_xlfn.IFERROR(AH59/Z59,"error")</f>
        <v>0.135406376995408</v>
      </c>
      <c r="AJ59" s="565">
        <f>SUM(取值!AJ42,取值!AJ43,取值!AJ44,'延安石油化工厂生产调度工艺台帐(物料平衡） '!AJ58)</f>
        <v>0</v>
      </c>
      <c r="AK59" s="552">
        <f>_xlfn.IFERROR(AJ59/Z59,"error")</f>
        <v>0</v>
      </c>
      <c r="AL59" s="133">
        <f>SUM(AL58,取值!AK42,取值!AK43,取值!AK44)</f>
        <v>0</v>
      </c>
      <c r="AM59" s="553">
        <f>_xlfn.IFERROR(AL59/Z59,"error")</f>
        <v>0</v>
      </c>
      <c r="AN59" s="554">
        <f>SUM(Z59)-SUM(AB59,AF59,AH59,AJ59,AL59)</f>
        <v>176.0003</v>
      </c>
      <c r="AO59" s="553">
        <f>_xlfn.IFERROR(AN59/Z59,"error")</f>
        <v>0.0289569416441128</v>
      </c>
      <c r="AP59" s="145"/>
      <c r="AQ59" s="114"/>
      <c r="AR59" s="116"/>
      <c r="AS59" s="116"/>
      <c r="AT59" s="117"/>
    </row>
    <row customHeight="1" ht="20.25">
      <c r="A60" s="390"/>
      <c r="B60" s="182" t="s">
        <v>100</v>
      </c>
      <c r="C60" s="355" t="s">
        <v>186</v>
      </c>
      <c r="D60" s="356"/>
      <c r="E60" s="356"/>
      <c r="F60" s="356"/>
      <c r="G60" s="356"/>
      <c r="H60" s="356"/>
      <c r="I60" s="356"/>
      <c r="J60" s="356"/>
      <c r="K60" s="356"/>
      <c r="L60" s="356"/>
      <c r="M60" s="356"/>
      <c r="N60" s="356"/>
      <c r="O60" s="356"/>
      <c r="P60" s="356"/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  <c r="AC60" s="356"/>
      <c r="AD60" s="573" t="s">
        <v>187</v>
      </c>
      <c r="AE60" s="573"/>
      <c r="AF60" s="573"/>
      <c r="AG60" s="573"/>
      <c r="AH60" s="573"/>
      <c r="AI60" s="573"/>
      <c r="AJ60" s="573"/>
      <c r="AK60" s="573"/>
      <c r="AL60" s="573"/>
      <c r="AM60" s="573"/>
      <c r="AN60" s="573"/>
      <c r="AO60" s="573"/>
      <c r="AP60" s="574" t="s">
        <v>188</v>
      </c>
      <c r="AQ60" s="573"/>
      <c r="AR60" s="573"/>
      <c r="AS60" s="573"/>
      <c r="AT60" s="575"/>
    </row>
    <row customHeight="1" ht="20.25">
      <c r="A61" s="390"/>
      <c r="B61" s="182"/>
      <c r="C61" s="357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  <c r="AA61" s="358"/>
      <c r="AB61" s="358"/>
      <c r="AC61" s="358"/>
      <c r="AD61" s="578"/>
      <c r="AE61" s="578"/>
      <c r="AF61" s="578"/>
      <c r="AG61" s="578"/>
      <c r="AH61" s="578"/>
      <c r="AI61" s="578"/>
      <c r="AJ61" s="578"/>
      <c r="AK61" s="578"/>
      <c r="AL61" s="578"/>
      <c r="AM61" s="578"/>
      <c r="AN61" s="578"/>
      <c r="AO61" s="578"/>
      <c r="AP61" s="579"/>
      <c r="AQ61" s="376"/>
      <c r="AR61" s="376"/>
      <c r="AS61" s="376"/>
      <c r="AT61" s="377"/>
    </row>
    <row customHeight="1" ht="20.25">
      <c r="A62" s="390"/>
      <c r="B62" s="182"/>
      <c r="C62" s="337" t="s">
        <v>128</v>
      </c>
      <c r="D62" s="583" t="s">
        <v>189</v>
      </c>
      <c r="E62" s="584"/>
      <c r="F62" s="338" t="s">
        <v>190</v>
      </c>
      <c r="G62" s="339"/>
      <c r="H62" s="338" t="s">
        <v>191</v>
      </c>
      <c r="I62" s="339"/>
      <c r="J62" s="183" t="s">
        <v>127</v>
      </c>
      <c r="K62" s="183"/>
      <c r="L62" s="183"/>
      <c r="M62" s="587"/>
      <c r="N62" s="183" t="s">
        <v>179</v>
      </c>
      <c r="O62" s="183"/>
      <c r="P62" s="183"/>
      <c r="Q62" s="183"/>
      <c r="R62" s="183" t="s">
        <v>192</v>
      </c>
      <c r="S62" s="183"/>
      <c r="T62" s="183"/>
      <c r="U62" s="183"/>
      <c r="V62" s="183" t="s">
        <v>193</v>
      </c>
      <c r="W62" s="183"/>
      <c r="X62" s="183"/>
      <c r="Y62" s="183"/>
      <c r="Z62" s="587" t="s">
        <v>109</v>
      </c>
      <c r="AA62" s="587"/>
      <c r="AB62" s="587"/>
      <c r="AC62" s="587"/>
      <c r="AD62" s="588" t="s">
        <v>194</v>
      </c>
      <c r="AE62" s="589"/>
      <c r="AF62" s="590" t="s">
        <v>195</v>
      </c>
      <c r="AG62" s="590" t="s">
        <v>152</v>
      </c>
      <c r="AH62" s="590" t="s">
        <v>180</v>
      </c>
      <c r="AI62" s="363" t="s">
        <v>196</v>
      </c>
      <c r="AJ62" s="364"/>
      <c r="AK62" s="365"/>
      <c r="AL62" s="183" t="s">
        <v>197</v>
      </c>
      <c r="AM62" s="183"/>
      <c r="AN62" s="362" t="s">
        <v>109</v>
      </c>
      <c r="AO62" s="370"/>
      <c r="AP62" s="373"/>
      <c r="AQ62" s="367"/>
      <c r="AR62" s="367"/>
      <c r="AS62" s="367"/>
      <c r="AT62" s="378"/>
    </row>
    <row customHeight="1" ht="20.25">
      <c r="A63" s="390"/>
      <c r="B63" s="182"/>
      <c r="C63" s="337" t="s">
        <v>114</v>
      </c>
      <c r="D63" s="338" t="s">
        <v>114</v>
      </c>
      <c r="E63" s="339"/>
      <c r="F63" s="338" t="s">
        <v>114</v>
      </c>
      <c r="G63" s="339"/>
      <c r="H63" s="338" t="s">
        <v>114</v>
      </c>
      <c r="I63" s="339" t="s">
        <v>114</v>
      </c>
      <c r="J63" s="172" t="s">
        <v>114</v>
      </c>
      <c r="K63" s="172"/>
      <c r="L63" s="172" t="s">
        <v>115</v>
      </c>
      <c r="M63" s="172" t="s">
        <v>115</v>
      </c>
      <c r="N63" s="172" t="s">
        <v>114</v>
      </c>
      <c r="O63" s="172"/>
      <c r="P63" s="172" t="s">
        <v>115</v>
      </c>
      <c r="Q63" s="172" t="s">
        <v>115</v>
      </c>
      <c r="R63" s="172" t="s">
        <v>114</v>
      </c>
      <c r="S63" s="172"/>
      <c r="T63" s="172" t="s">
        <v>115</v>
      </c>
      <c r="U63" s="172" t="s">
        <v>115</v>
      </c>
      <c r="V63" s="172" t="s">
        <v>114</v>
      </c>
      <c r="W63" s="172"/>
      <c r="X63" s="172" t="s">
        <v>115</v>
      </c>
      <c r="Y63" s="172" t="s">
        <v>115</v>
      </c>
      <c r="Z63" s="172" t="s">
        <v>114</v>
      </c>
      <c r="AA63" s="172"/>
      <c r="AB63" s="172" t="s">
        <v>115</v>
      </c>
      <c r="AC63" s="172"/>
      <c r="AD63" s="588" t="s">
        <v>114</v>
      </c>
      <c r="AE63" s="589"/>
      <c r="AF63" s="361" t="s">
        <v>114</v>
      </c>
      <c r="AG63" s="361" t="s">
        <v>114</v>
      </c>
      <c r="AH63" s="361" t="s">
        <v>114</v>
      </c>
      <c r="AI63" s="172" t="s">
        <v>114</v>
      </c>
      <c r="AJ63" s="172"/>
      <c r="AK63" s="149" t="s">
        <v>115</v>
      </c>
      <c r="AL63" s="149" t="s">
        <v>114</v>
      </c>
      <c r="AM63" s="149" t="s">
        <v>115</v>
      </c>
      <c r="AN63" s="366" t="s">
        <v>114</v>
      </c>
      <c r="AO63" s="371" t="s">
        <v>115</v>
      </c>
      <c r="AP63" s="373"/>
      <c r="AQ63" s="367"/>
      <c r="AR63" s="367"/>
      <c r="AS63" s="367"/>
      <c r="AT63" s="378"/>
    </row>
    <row customHeight="1" ht="18.75">
      <c r="A64" s="390"/>
      <c r="B64" s="121" t="s">
        <v>116</v>
      </c>
      <c r="C64" s="603">
        <v>115</v>
      </c>
      <c r="D64" s="604">
        <v>165</v>
      </c>
      <c r="E64" s="605"/>
      <c r="F64" s="606">
        <v>262</v>
      </c>
      <c r="G64" s="345"/>
      <c r="H64" s="606">
        <v>116</v>
      </c>
      <c r="I64" s="345">
        <f>IF(取值!F49=0,"",取值!F49)</f>
        <v>658</v>
      </c>
      <c r="J64" s="608">
        <v>132</v>
      </c>
      <c r="K64" s="187"/>
      <c r="L64" s="177">
        <f>_xlfn.IFERROR(J64/SUM(C64,D64,F64,H64),"error")</f>
        <v>0.200607902735562</v>
      </c>
      <c r="M64" s="177"/>
      <c r="N64" s="608">
        <v>65</v>
      </c>
      <c r="O64" s="187"/>
      <c r="P64" s="177">
        <f>_xlfn.IFERROR(N64/SUM(C64:I64),"error")</f>
        <v>0.0493920972644377</v>
      </c>
      <c r="Q64" s="177"/>
      <c r="R64" s="608">
        <v>338</v>
      </c>
      <c r="S64" s="187"/>
      <c r="T64" s="177">
        <f>_xlfn.IFERROR(R64/SUM(C64:I64),"error")</f>
        <v>0.256838905775076</v>
      </c>
      <c r="U64" s="177"/>
      <c r="V64" s="608">
        <v>69</v>
      </c>
      <c r="W64" s="187"/>
      <c r="X64" s="177">
        <f>_xlfn.IFERROR(V64/SUM(C64:I64),"error")</f>
        <v>0.0524316109422492</v>
      </c>
      <c r="Y64" s="177"/>
      <c r="Z64" s="188">
        <f>_xlfn.IFERROR(SUM(C64,D64,F64,H64)-SUM(J64,N64,R64,V64),"error")</f>
        <v>54</v>
      </c>
      <c r="AA64" s="188"/>
      <c r="AB64" s="177">
        <f>_xlfn.IFERROR(Z64/SUM(C64:I64),"error")</f>
        <v>0.0410334346504559</v>
      </c>
      <c r="AC64" s="177"/>
      <c r="AD64" s="611">
        <v>69</v>
      </c>
      <c r="AE64" s="612"/>
      <c r="AF64" s="613">
        <v>355</v>
      </c>
      <c r="AG64" s="613">
        <v>89</v>
      </c>
      <c r="AH64" s="613">
        <v>0</v>
      </c>
      <c r="AI64" s="608">
        <v>248</v>
      </c>
      <c r="AJ64" s="187"/>
      <c r="AK64" s="150">
        <f>_xlfn.IFERROR(AI64/SUM(AD64,AF64,AG64,AH64),"error")</f>
        <v>0.483430799220273</v>
      </c>
      <c r="AL64" s="615">
        <v>262</v>
      </c>
      <c r="AM64" s="150">
        <f>_xlfn.IFERROR(AL64/SUM(AD64,AF64,AG64,AH64),"error")</f>
        <v>0.510721247563353</v>
      </c>
      <c r="AN64" s="616">
        <f>SUM(AD64,AF64,AG64,AH64)-SUM(AI64,AL64)</f>
        <v>3</v>
      </c>
      <c r="AO64" s="617">
        <f>_xlfn.IFERROR(AN64/SUM(AD64,AF64,AG64,AH64),0)</f>
        <v>0.00584795321637427</v>
      </c>
      <c r="AP64" s="373"/>
      <c r="AQ64" s="367"/>
      <c r="AR64" s="367"/>
      <c r="AS64" s="367"/>
      <c r="AT64" s="378"/>
    </row>
    <row customHeight="1" ht="18.75">
      <c r="A65" s="390"/>
      <c r="B65" s="121" t="s">
        <v>117</v>
      </c>
      <c r="C65" s="603">
        <v>113</v>
      </c>
      <c r="D65" s="604">
        <v>171</v>
      </c>
      <c r="E65" s="605"/>
      <c r="F65" s="606">
        <v>232</v>
      </c>
      <c r="G65" s="345"/>
      <c r="H65" s="606">
        <v>117</v>
      </c>
      <c r="I65" s="345">
        <f>IF(取值!F50=0,"",取值!F50)</f>
        <v>633</v>
      </c>
      <c r="J65" s="608">
        <v>127</v>
      </c>
      <c r="K65" s="187"/>
      <c r="L65" s="177">
        <f>_xlfn.IFERROR(J65/SUM(C65,D65,F65,H65),"error")</f>
        <v>0.200631911532385</v>
      </c>
      <c r="M65" s="177"/>
      <c r="N65" s="608">
        <v>62</v>
      </c>
      <c r="O65" s="187"/>
      <c r="P65" s="177">
        <f>_xlfn.IFERROR(N65/SUM(C65:I65),"error")</f>
        <v>0.0489731437598736</v>
      </c>
      <c r="Q65" s="177"/>
      <c r="R65" s="608">
        <v>359</v>
      </c>
      <c r="S65" s="187"/>
      <c r="T65" s="177">
        <f>_xlfn.IFERROR(R65/SUM(C65:I65),"error")</f>
        <v>0.283570300157978</v>
      </c>
      <c r="U65" s="177"/>
      <c r="V65" s="608">
        <v>69</v>
      </c>
      <c r="W65" s="187"/>
      <c r="X65" s="177">
        <f>_xlfn.IFERROR(V65/SUM(C65:I65),"error")</f>
        <v>0.0545023696682464</v>
      </c>
      <c r="Y65" s="177"/>
      <c r="Z65" s="188">
        <f>_xlfn.IFERROR(SUM(C65,D65,F65,H65)-SUM(J65,N65,R65,V65),"error")</f>
        <v>16</v>
      </c>
      <c r="AA65" s="188"/>
      <c r="AB65" s="177">
        <f>_xlfn.IFERROR(Z65/SUM(C65:I65),"error")</f>
        <v>0.0126382306477093</v>
      </c>
      <c r="AC65" s="177"/>
      <c r="AD65" s="611">
        <v>69</v>
      </c>
      <c r="AE65" s="612"/>
      <c r="AF65" s="613">
        <v>361</v>
      </c>
      <c r="AG65" s="613">
        <v>89</v>
      </c>
      <c r="AH65" s="613">
        <v>0</v>
      </c>
      <c r="AI65" s="608">
        <v>255</v>
      </c>
      <c r="AJ65" s="187"/>
      <c r="AK65" s="150">
        <f>_xlfn.IFERROR(AI65/SUM(AD65,AF65,AG65,AH65),"error")</f>
        <v>0.491329479768786</v>
      </c>
      <c r="AL65" s="615">
        <v>262</v>
      </c>
      <c r="AM65" s="150">
        <f>_xlfn.IFERROR(AL65/SUM(AD65,AF65,AG65,AH65),"error")</f>
        <v>0.504816955684008</v>
      </c>
      <c r="AN65" s="616">
        <f>SUM(AD65,AF65,AG65,AH65)-SUM(AI65,AL65)</f>
        <v>2</v>
      </c>
      <c r="AO65" s="617">
        <f>_xlfn.IFERROR(AN65/SUM(AD65,AF65,AG65,AH65),0)</f>
        <v>0.00385356454720617</v>
      </c>
      <c r="AP65" s="373"/>
      <c r="AQ65" s="367"/>
      <c r="AR65" s="367"/>
      <c r="AS65" s="367"/>
      <c r="AT65" s="378"/>
    </row>
    <row customHeight="1" ht="18.75">
      <c r="A66" s="390"/>
      <c r="B66" s="496" t="s">
        <v>118</v>
      </c>
      <c r="C66" s="603">
        <v>76</v>
      </c>
      <c r="D66" s="604">
        <v>113</v>
      </c>
      <c r="E66" s="605"/>
      <c r="F66" s="606">
        <v>143</v>
      </c>
      <c r="G66" s="345"/>
      <c r="H66" s="606">
        <v>78</v>
      </c>
      <c r="I66" s="345">
        <f>IF(取值!F51=0,"",取值!F51)</f>
        <v>410</v>
      </c>
      <c r="J66" s="608">
        <v>93</v>
      </c>
      <c r="K66" s="187"/>
      <c r="L66" s="177">
        <f>_xlfn.IFERROR(J66/SUM(C66,D66,F66,H66),"error")</f>
        <v>0.226829268292683</v>
      </c>
      <c r="M66" s="177"/>
      <c r="N66" s="608">
        <v>37</v>
      </c>
      <c r="O66" s="187"/>
      <c r="P66" s="177">
        <f>_xlfn.IFERROR(N66/SUM(C66:I66),"error")</f>
        <v>0.0451219512195122</v>
      </c>
      <c r="Q66" s="177"/>
      <c r="R66" s="608">
        <v>231</v>
      </c>
      <c r="S66" s="187"/>
      <c r="T66" s="177">
        <f>_xlfn.IFERROR(R66/SUM(C66:I66),"error")</f>
        <v>0.281707317073171</v>
      </c>
      <c r="U66" s="177"/>
      <c r="V66" s="608">
        <v>46</v>
      </c>
      <c r="W66" s="187"/>
      <c r="X66" s="177">
        <f>_xlfn.IFERROR(V66/SUM(C66:I66),"error")</f>
        <v>0.0560975609756098</v>
      </c>
      <c r="Y66" s="177"/>
      <c r="Z66" s="188">
        <f>_xlfn.IFERROR(SUM(C66,D66,F66,H66)-SUM(J66,N66,R66,V66),"error")</f>
        <v>3</v>
      </c>
      <c r="AA66" s="188"/>
      <c r="AB66" s="177">
        <f>_xlfn.IFERROR(Z66/SUM(C66:I66),"error")</f>
        <v>0.00365853658536585</v>
      </c>
      <c r="AC66" s="177"/>
      <c r="AD66" s="611">
        <v>46</v>
      </c>
      <c r="AE66" s="612"/>
      <c r="AF66" s="613">
        <v>241</v>
      </c>
      <c r="AG66" s="613">
        <v>63</v>
      </c>
      <c r="AH66" s="613">
        <v>0</v>
      </c>
      <c r="AI66" s="608">
        <v>168</v>
      </c>
      <c r="AJ66" s="187"/>
      <c r="AK66" s="150">
        <f>_xlfn.IFERROR(AI66/SUM(AD66,AF66,AG66,AH66),"error")</f>
        <v>0.48</v>
      </c>
      <c r="AL66" s="615">
        <v>173</v>
      </c>
      <c r="AM66" s="150">
        <f>_xlfn.IFERROR(AL66/SUM(AD66,AF66,AG66,AH66),"error")</f>
        <v>0.494285714285714</v>
      </c>
      <c r="AN66" s="616">
        <f>SUM(AD66,AF66,AG66,AH66)-SUM(AI66,AL66)</f>
        <v>9</v>
      </c>
      <c r="AO66" s="617">
        <f>_xlfn.IFERROR(AN66/SUM(AD66,AF66,AG66,AH66),0)</f>
        <v>0.0257142857142857</v>
      </c>
      <c r="AP66" s="373"/>
      <c r="AQ66" s="367"/>
      <c r="AR66" s="367"/>
      <c r="AS66" s="367"/>
      <c r="AT66" s="378"/>
    </row>
    <row customHeight="1" ht="18.75">
      <c r="A67" s="390"/>
      <c r="B67" s="121" t="s">
        <v>120</v>
      </c>
      <c r="C67" s="346">
        <f>SUM(C64:C66)</f>
        <v>304</v>
      </c>
      <c r="D67" s="347">
        <f>SUM(D64:D66)</f>
        <v>449</v>
      </c>
      <c r="E67" s="348"/>
      <c r="F67" s="347">
        <f>SUM(F64:F66)</f>
        <v>637</v>
      </c>
      <c r="G67" s="348"/>
      <c r="H67" s="347">
        <f>SUM(H64,H65,H66)</f>
        <v>311</v>
      </c>
      <c r="I67" s="348"/>
      <c r="J67" s="174">
        <f>_xlfn.IFERROR(SUM(J64,J65,J66),"error")</f>
        <v>352</v>
      </c>
      <c r="K67" s="174"/>
      <c r="L67" s="177">
        <f>_xlfn.IFERROR(J67/SUM(C67,D67,F67,H67),"error")</f>
        <v>0.206937095825985</v>
      </c>
      <c r="M67" s="177"/>
      <c r="N67" s="174">
        <f>_xlfn.IFERROR(SUM(N64,N65,N66),"error")</f>
        <v>164</v>
      </c>
      <c r="O67" s="174"/>
      <c r="P67" s="177">
        <f>_xlfn.IFERROR(N67/SUM(C67:I67),"error")</f>
        <v>0.096413874191652</v>
      </c>
      <c r="Q67" s="177"/>
      <c r="R67" s="174">
        <f>_xlfn.IFERROR(SUM(R64,R65,R66),"error")</f>
        <v>928</v>
      </c>
      <c r="S67" s="174"/>
      <c r="T67" s="177">
        <f>_xlfn.IFERROR(R67/SUM(C67:I67),"error")</f>
        <v>0.545561434450323</v>
      </c>
      <c r="U67" s="177"/>
      <c r="V67" s="174">
        <f>_xlfn.IFERROR(SUM(V64,V65,V66),"error")</f>
        <v>184</v>
      </c>
      <c r="W67" s="174"/>
      <c r="X67" s="177">
        <f>_xlfn.IFERROR(V67/SUM(C67:I67),"error")</f>
        <v>0.108171663727219</v>
      </c>
      <c r="Y67" s="177"/>
      <c r="Z67" s="188">
        <f>_xlfn.IFERROR(SUM(C67,D67,F67,H67)-SUM(J67,N67,R67,V67),"error")</f>
        <v>73</v>
      </c>
      <c r="AA67" s="188"/>
      <c r="AB67" s="177">
        <f>_xlfn.IFERROR(Z67/SUM(C67:I67),"error")</f>
        <v>0.0429159318048207</v>
      </c>
      <c r="AC67" s="177"/>
      <c r="AD67" s="621">
        <f>SUM(AD64,AD65,AD66)</f>
        <v>184</v>
      </c>
      <c r="AE67" s="622"/>
      <c r="AF67" s="623">
        <f>SUM(AF64,AF65,AF66)</f>
        <v>957</v>
      </c>
      <c r="AG67" s="623">
        <f>SUM(AG64,AG66,AG65)</f>
        <v>241</v>
      </c>
      <c r="AH67" s="623">
        <f>SUM(AH64,AH65,AH66)</f>
        <v>0</v>
      </c>
      <c r="AI67" s="174">
        <f>_xlfn.IFERROR(SUM(AI64,AI65,AI66),"error")</f>
        <v>671</v>
      </c>
      <c r="AJ67" s="174"/>
      <c r="AK67" s="150">
        <f>_xlfn.IFERROR(AI67/SUM(AD67,AF67,AG67,AH67),"error")</f>
        <v>0.485528219971056</v>
      </c>
      <c r="AL67" s="153">
        <f>_xlfn.IFERROR(SUM(AL64,AL65,AL66),"error")</f>
        <v>697</v>
      </c>
      <c r="AM67" s="150">
        <f>_xlfn.IFERROR(AL67/SUM(AD67,AF67,AG67,AH67),"error")</f>
        <v>0.504341534008683</v>
      </c>
      <c r="AN67" s="616">
        <f>SUM(AD67,AF67,AG67,AH67)-SUM(AI67,AL67)</f>
        <v>14</v>
      </c>
      <c r="AO67" s="617">
        <f>_xlfn.IFERROR(AN67/SUM(AD67,AF67,AG67,AH67),0)</f>
        <v>0.0101302460202605</v>
      </c>
      <c r="AP67" s="373"/>
      <c r="AQ67" s="367"/>
      <c r="AR67" s="367"/>
      <c r="AS67" s="367"/>
      <c r="AT67" s="378"/>
    </row>
    <row customHeight="1" ht="18.75">
      <c r="A68" s="390"/>
      <c r="B68" s="137" t="s">
        <v>121</v>
      </c>
      <c r="C68" s="349">
        <f>SUM(C67,取值!B55,取值!B54,取值!B53)</f>
        <v>1711</v>
      </c>
      <c r="D68" s="350">
        <f>SUM(D67,取值!C53,取值!C54,取值!C55)</f>
        <v>2856</v>
      </c>
      <c r="E68" s="351"/>
      <c r="F68" s="350">
        <f>SUM(F67,取值!D53,取值!D54,取值!D55)</f>
        <v>4044</v>
      </c>
      <c r="G68" s="351"/>
      <c r="H68" s="350">
        <f>SUM(H67,取值!E53,取值!E54,取值!E55)</f>
        <v>2353</v>
      </c>
      <c r="I68" s="351"/>
      <c r="J68" s="180">
        <f>SUM(J67,取值!I53,取值!I54,取值!I55)</f>
        <v>2166</v>
      </c>
      <c r="K68" s="180"/>
      <c r="L68" s="177">
        <f>_xlfn.IFERROR(J68/SUM(C68,D68,F68,H68),"error")</f>
        <v>0.197555636628968</v>
      </c>
      <c r="M68" s="177"/>
      <c r="N68" s="180">
        <f>SUM(N67,取值!K53,取值!K54,取值!K55)</f>
        <v>1202</v>
      </c>
      <c r="O68" s="180"/>
      <c r="P68" s="177">
        <f>_xlfn.IFERROR(N68/SUM(C68:I68),"error")</f>
        <v>0.109631521342576</v>
      </c>
      <c r="Q68" s="177"/>
      <c r="R68" s="180">
        <f>SUM(R67,取值!O53,取值!O54,取值!O55)</f>
        <v>5943</v>
      </c>
      <c r="S68" s="180"/>
      <c r="T68" s="177">
        <f>_xlfn.IFERROR(R68/SUM(C68:I68),"error")</f>
        <v>0.542046698285297</v>
      </c>
      <c r="U68" s="177"/>
      <c r="V68" s="180">
        <f>SUM(V67,取值!S53,取值!S54,取值!S55)</f>
        <v>1104</v>
      </c>
      <c r="W68" s="180"/>
      <c r="X68" s="177">
        <f>_xlfn.IFERROR(V68/SUM(C68:I68),"error")</f>
        <v>0.100693177672382</v>
      </c>
      <c r="Y68" s="177"/>
      <c r="Z68" s="188">
        <f>_xlfn.IFERROR(SUM(C68,D68,F68,H68)-SUM(J68,N68,R68,V68),"error")</f>
        <v>549</v>
      </c>
      <c r="AA68" s="188"/>
      <c r="AB68" s="177">
        <f>_xlfn.IFERROR(Z68/SUM(C68:I68),"error")</f>
        <v>0.0500729660707771</v>
      </c>
      <c r="AC68" s="177"/>
      <c r="AD68" s="621">
        <f>SUM(AD67,取值!AA60,取值!AA61,取值!AA62)</f>
        <v>874</v>
      </c>
      <c r="AE68" s="622"/>
      <c r="AF68" s="630">
        <f>SUM(AF67,取值!AB60,取值!AB61,取值!AB62)</f>
        <v>5899</v>
      </c>
      <c r="AG68" s="630">
        <f>SUM(AG67,取值!AC60,取值!AC61,取值!AC62)</f>
        <v>1511</v>
      </c>
      <c r="AH68" s="630">
        <f>SUM(AH67,取值!AD60,取值!AD61,取值!AD62)</f>
        <v>0</v>
      </c>
      <c r="AI68" s="180">
        <f>SUM(AI67,取值!AA53,取值!AA54,取值!AA55)</f>
        <v>4175</v>
      </c>
      <c r="AJ68" s="180"/>
      <c r="AK68" s="150">
        <f>_xlfn.IFERROR(AI68/SUM(AD68,AF68,AG68,AH68),"error")</f>
        <v>0.503983582810237</v>
      </c>
      <c r="AL68" s="153">
        <f>SUM(AL67,取值!AE53,取值!AE54,取值!AE55)</f>
        <v>4279</v>
      </c>
      <c r="AM68" s="150">
        <f>_xlfn.IFERROR(AL68/SUM(AD68,AF68,AG68,AH68),"error")</f>
        <v>0.516537904394013</v>
      </c>
      <c r="AN68" s="616">
        <f>SUM(AD68,AF68,AG68,AH68)-SUM(AI68,AL68)</f>
        <v>-170</v>
      </c>
      <c r="AO68" s="617">
        <f>_xlfn.IFERROR(AN68/SUM(AD68,AF68,AG68,AH68),0)</f>
        <v>-0.0205214872042492</v>
      </c>
      <c r="AP68" s="374"/>
      <c r="AQ68" s="368"/>
      <c r="AR68" s="368"/>
      <c r="AS68" s="368"/>
      <c r="AT68" s="379"/>
    </row>
    <row customHeight="1" ht="33.75">
      <c r="A69" s="390"/>
      <c r="B69" s="634" t="s">
        <v>198</v>
      </c>
      <c r="C69" s="635"/>
      <c r="D69" s="635"/>
      <c r="E69" s="635"/>
      <c r="F69" s="635"/>
      <c r="G69" s="636"/>
      <c r="H69" s="637" t="s">
        <v>199</v>
      </c>
      <c r="I69" s="635"/>
      <c r="J69" s="635"/>
      <c r="K69" s="635"/>
      <c r="L69" s="636"/>
      <c r="M69" s="638" t="s">
        <v>200</v>
      </c>
      <c r="N69" s="635"/>
      <c r="O69" s="635"/>
      <c r="P69" s="635"/>
      <c r="Q69" s="635"/>
      <c r="R69" s="636"/>
      <c r="S69" s="637" t="s">
        <v>201</v>
      </c>
      <c r="T69" s="635"/>
      <c r="U69" s="635"/>
      <c r="V69" s="636"/>
      <c r="W69" s="638" t="s">
        <v>200</v>
      </c>
      <c r="X69" s="635"/>
      <c r="Y69" s="636"/>
      <c r="Z69" s="637" t="s">
        <v>202</v>
      </c>
      <c r="AA69" s="635"/>
      <c r="AB69" s="635"/>
      <c r="AC69" s="636"/>
      <c r="AD69" s="637" t="s">
        <v>199</v>
      </c>
      <c r="AE69" s="635"/>
      <c r="AF69" s="635"/>
      <c r="AG69" s="636"/>
      <c r="AH69" s="638" t="s">
        <v>203</v>
      </c>
      <c r="AI69" s="635"/>
      <c r="AJ69" s="636"/>
      <c r="AK69" s="635" t="s">
        <v>201</v>
      </c>
      <c r="AL69" s="635"/>
      <c r="AM69" s="636"/>
      <c r="AN69" s="638" t="s">
        <v>203</v>
      </c>
      <c r="AO69" s="635"/>
      <c r="AP69" s="635"/>
      <c r="AQ69" s="636"/>
      <c r="AR69" s="639"/>
      <c r="AS69" s="640"/>
      <c r="AT69" s="641"/>
    </row>
  </sheetData>
  <mergeCells count="702">
    <mergeCell ref="AD65:AE65"/>
    <mergeCell ref="AD66:AE66"/>
    <mergeCell ref="AD67:AE67"/>
    <mergeCell ref="AD68:AE68"/>
    <mergeCell ref="AD60:AO61"/>
    <mergeCell ref="AN62:AO62"/>
    <mergeCell ref="AI62:AK62"/>
    <mergeCell ref="AP61:AT68"/>
    <mergeCell ref="AP60:AT60"/>
    <mergeCell ref="D66:E66"/>
    <mergeCell ref="D67:E67"/>
    <mergeCell ref="D68:E68"/>
    <mergeCell ref="H62:I62"/>
    <mergeCell ref="H63:I63"/>
    <mergeCell ref="H64:I64"/>
    <mergeCell ref="H65:I65"/>
    <mergeCell ref="H66:I66"/>
    <mergeCell ref="F63:G63"/>
    <mergeCell ref="F64:G64"/>
    <mergeCell ref="F65:G65"/>
    <mergeCell ref="F66:G66"/>
    <mergeCell ref="F67:G67"/>
    <mergeCell ref="F68:G68"/>
    <mergeCell ref="H67:I67"/>
    <mergeCell ref="H68:I68"/>
    <mergeCell ref="X23:Y23"/>
    <mergeCell ref="M23:N23"/>
    <mergeCell ref="I23:J23"/>
    <mergeCell ref="K23:L23"/>
    <mergeCell ref="AD32:AE32"/>
    <mergeCell ref="AD36:AE36"/>
    <mergeCell ref="AL53:AM53"/>
    <mergeCell ref="AF53:AG53"/>
    <mergeCell ref="AP49:AP56"/>
    <mergeCell ref="AH53:AI53"/>
    <mergeCell ref="AJ53:AK53"/>
    <mergeCell ref="AN53:AO53"/>
    <mergeCell ref="B69:G69"/>
    <mergeCell ref="H69:L69"/>
    <mergeCell ref="M69:R69"/>
    <mergeCell ref="S69:V69"/>
    <mergeCell ref="W69:Y69"/>
    <mergeCell ref="Z69:AC69"/>
    <mergeCell ref="AD69:AG69"/>
    <mergeCell ref="AN69:AQ69"/>
    <mergeCell ref="AH69:AJ69"/>
    <mergeCell ref="AK69:AM69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AD11:AF11"/>
    <mergeCell ref="AD12:AF12"/>
    <mergeCell ref="AD13:AF13"/>
    <mergeCell ref="AD14:AF14"/>
    <mergeCell ref="S9:T9"/>
    <mergeCell ref="S10:T10"/>
    <mergeCell ref="S11:T11"/>
    <mergeCell ref="S12:T12"/>
    <mergeCell ref="S13:T13"/>
    <mergeCell ref="S14:T14"/>
    <mergeCell ref="X20:Y20"/>
    <mergeCell ref="X21:Y21"/>
    <mergeCell ref="X22:Y22"/>
    <mergeCell ref="AD15:AF15"/>
    <mergeCell ref="AD16:AF16"/>
    <mergeCell ref="AD17:AF17"/>
    <mergeCell ref="AD18:AF18"/>
    <mergeCell ref="AD19:AF19"/>
    <mergeCell ref="AD20:AF20"/>
    <mergeCell ref="AD21:AF21"/>
    <mergeCell ref="AD22:AF22"/>
    <mergeCell ref="B2:AT3"/>
    <mergeCell ref="AO4:AS4"/>
    <mergeCell ref="P6:R6"/>
    <mergeCell ref="P7:R7"/>
    <mergeCell ref="P8:R8"/>
    <mergeCell ref="P9:R9"/>
    <mergeCell ref="P10:R10"/>
    <mergeCell ref="P11:R11"/>
    <mergeCell ref="P12:R12"/>
    <mergeCell ref="W6:W12"/>
    <mergeCell ref="X6:Y6"/>
    <mergeCell ref="X7:Y7"/>
    <mergeCell ref="X8:Y8"/>
    <mergeCell ref="X9:Y9"/>
    <mergeCell ref="X10:Y10"/>
    <mergeCell ref="X11:Y11"/>
    <mergeCell ref="X12:Y12"/>
    <mergeCell ref="AC5:AF5"/>
    <mergeCell ref="W5:Y5"/>
    <mergeCell ref="O5:R5"/>
    <mergeCell ref="S5:T5"/>
    <mergeCell ref="S6:T6"/>
    <mergeCell ref="S7:T7"/>
    <mergeCell ref="S8:T8"/>
    <mergeCell ref="AJ5:AK5"/>
    <mergeCell ref="AJ6:AJ10"/>
    <mergeCell ref="AO5:AQ5"/>
    <mergeCell ref="AP6:AP9"/>
    <mergeCell ref="AP10:AP13"/>
    <mergeCell ref="AP14:AP17"/>
    <mergeCell ref="AP18:AP21"/>
    <mergeCell ref="AP22:AP25"/>
    <mergeCell ref="AP26:AP29"/>
    <mergeCell ref="AP30:AP33"/>
    <mergeCell ref="AP34:AP48"/>
    <mergeCell ref="AK26:AL26"/>
    <mergeCell ref="AI35:AJ35"/>
    <mergeCell ref="AM26:AN26"/>
    <mergeCell ref="AB24:AN25"/>
    <mergeCell ref="AG35:AH35"/>
    <mergeCell ref="AD23:AF23"/>
    <mergeCell ref="AD6:AF6"/>
    <mergeCell ref="AD7:AF7"/>
    <mergeCell ref="AD8:AF8"/>
    <mergeCell ref="AD9:AF9"/>
    <mergeCell ref="AD10:AF10"/>
    <mergeCell ref="O6:O11"/>
    <mergeCell ref="O12:O16"/>
    <mergeCell ref="O17:O23"/>
    <mergeCell ref="AC6:AC14"/>
    <mergeCell ref="AC15:AC23"/>
    <mergeCell ref="P13:R13"/>
    <mergeCell ref="P14:R14"/>
    <mergeCell ref="P15:R15"/>
    <mergeCell ref="P16:R16"/>
    <mergeCell ref="P17:R17"/>
    <mergeCell ref="P18:R18"/>
    <mergeCell ref="P19:R19"/>
    <mergeCell ref="P20:R20"/>
    <mergeCell ref="P21:R21"/>
    <mergeCell ref="P22:R22"/>
    <mergeCell ref="P23:R23"/>
    <mergeCell ref="W13:W23"/>
    <mergeCell ref="X13:Y13"/>
    <mergeCell ref="X14:Y14"/>
    <mergeCell ref="X15:Y15"/>
    <mergeCell ref="X16:Y16"/>
    <mergeCell ref="X17:Y17"/>
    <mergeCell ref="X18:Y18"/>
    <mergeCell ref="X19:Y19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B6:B13"/>
    <mergeCell ref="B14:B18"/>
    <mergeCell ref="B19:B23"/>
    <mergeCell ref="B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O58:P58"/>
    <mergeCell ref="O59:P59"/>
    <mergeCell ref="Q58:R58"/>
    <mergeCell ref="Q59:R59"/>
    <mergeCell ref="AD39:AE39"/>
    <mergeCell ref="AD40:AE40"/>
    <mergeCell ref="AD41:AE41"/>
    <mergeCell ref="AD46:AE46"/>
    <mergeCell ref="AD47:AE47"/>
    <mergeCell ref="AD48:AE48"/>
    <mergeCell ref="AD49:AE49"/>
    <mergeCell ref="AD50:AE50"/>
    <mergeCell ref="AB50:AC50"/>
    <mergeCell ref="S54:T54"/>
    <mergeCell ref="S55:T55"/>
    <mergeCell ref="S59:T59"/>
    <mergeCell ref="AI63:AJ63"/>
    <mergeCell ref="AI64:AJ64"/>
    <mergeCell ref="AI65:AJ65"/>
    <mergeCell ref="AI66:AJ66"/>
    <mergeCell ref="AB63:AC63"/>
    <mergeCell ref="AB64:AC64"/>
    <mergeCell ref="AB65:AC65"/>
    <mergeCell ref="AB66:AC66"/>
    <mergeCell ref="AB67:AC67"/>
    <mergeCell ref="Z63:AA63"/>
    <mergeCell ref="Z64:AA64"/>
    <mergeCell ref="AB68:AC68"/>
    <mergeCell ref="AL62:AM62"/>
    <mergeCell ref="Z62:AC62"/>
    <mergeCell ref="D62:E62"/>
    <mergeCell ref="V68:W68"/>
    <mergeCell ref="Q53:T53"/>
    <mergeCell ref="Q54:R54"/>
    <mergeCell ref="Q55:R55"/>
    <mergeCell ref="Q56:R56"/>
    <mergeCell ref="Q57:R57"/>
    <mergeCell ref="AB47:AC47"/>
    <mergeCell ref="AB48:AC48"/>
    <mergeCell ref="AB49:AC49"/>
    <mergeCell ref="X68:Y68"/>
    <mergeCell ref="X64:Y64"/>
    <mergeCell ref="V65:W65"/>
    <mergeCell ref="AI67:AJ67"/>
    <mergeCell ref="AI68:AJ68"/>
    <mergeCell ref="U53:W53"/>
    <mergeCell ref="U54:V54"/>
    <mergeCell ref="U55:V55"/>
    <mergeCell ref="U56:V56"/>
    <mergeCell ref="U57:V57"/>
    <mergeCell ref="U58:V58"/>
    <mergeCell ref="U59:V59"/>
    <mergeCell ref="S58:T58"/>
    <mergeCell ref="AK36:AL36"/>
    <mergeCell ref="AK37:AL37"/>
    <mergeCell ref="AK38:AL38"/>
    <mergeCell ref="AK39:AL39"/>
    <mergeCell ref="AK40:AL40"/>
    <mergeCell ref="AK41:AL41"/>
    <mergeCell ref="AM36:AN36"/>
    <mergeCell ref="V67:W67"/>
    <mergeCell ref="X67:Y67"/>
    <mergeCell ref="AD37:AE37"/>
    <mergeCell ref="AD38:AE38"/>
    <mergeCell ref="T37:U37"/>
    <mergeCell ref="V37:W37"/>
    <mergeCell ref="C60:AC61"/>
    <mergeCell ref="AD62:AE62"/>
    <mergeCell ref="AD63:AE63"/>
    <mergeCell ref="AD64:AE64"/>
    <mergeCell ref="S56:T56"/>
    <mergeCell ref="S57:T57"/>
    <mergeCell ref="V62:Y62"/>
    <mergeCell ref="N66:O66"/>
    <mergeCell ref="P66:Q66"/>
    <mergeCell ref="P65:Q65"/>
    <mergeCell ref="T66:U66"/>
    <mergeCell ref="AB29:AC29"/>
    <mergeCell ref="X30:Y30"/>
    <mergeCell ref="AB30:AC30"/>
    <mergeCell ref="X31:Y31"/>
    <mergeCell ref="AB31:AC31"/>
    <mergeCell ref="X32:Y32"/>
    <mergeCell ref="AB32:AC32"/>
    <mergeCell ref="Z36:AA36"/>
    <mergeCell ref="AB46:AC46"/>
    <mergeCell ref="X42:AE43"/>
    <mergeCell ref="AB44:AE44"/>
    <mergeCell ref="AB45:AC45"/>
    <mergeCell ref="X44:AA44"/>
    <mergeCell ref="X45:AA45"/>
    <mergeCell ref="X46:AA46"/>
    <mergeCell ref="AB33:AN34"/>
    <mergeCell ref="AK35:AN35"/>
    <mergeCell ref="M55:N55"/>
    <mergeCell ref="K56:L56"/>
    <mergeCell ref="M56:N56"/>
    <mergeCell ref="K57:L57"/>
    <mergeCell ref="M57:N57"/>
    <mergeCell ref="K58:L58"/>
    <mergeCell ref="M58:N58"/>
    <mergeCell ref="K59:L59"/>
    <mergeCell ref="M59:N59"/>
    <mergeCell ref="R67:S67"/>
    <mergeCell ref="V39:W39"/>
    <mergeCell ref="M53:P53"/>
    <mergeCell ref="O54:P54"/>
    <mergeCell ref="O55:P55"/>
    <mergeCell ref="O56:P56"/>
    <mergeCell ref="O57:P57"/>
    <mergeCell ref="T46:U46"/>
    <mergeCell ref="V46:W46"/>
    <mergeCell ref="T47:U47"/>
    <mergeCell ref="V47:W47"/>
    <mergeCell ref="T48:U48"/>
    <mergeCell ref="V48:W48"/>
    <mergeCell ref="T49:U49"/>
    <mergeCell ref="V49:W49"/>
    <mergeCell ref="T50:U50"/>
    <mergeCell ref="V50:W50"/>
    <mergeCell ref="X65:Y65"/>
    <mergeCell ref="V66:W66"/>
    <mergeCell ref="T67:U67"/>
    <mergeCell ref="L48:M48"/>
    <mergeCell ref="X66:Y66"/>
    <mergeCell ref="K54:L54"/>
    <mergeCell ref="M54:N54"/>
    <mergeCell ref="R68:S68"/>
    <mergeCell ref="T68:U68"/>
    <mergeCell ref="I53:L53"/>
    <mergeCell ref="L49:M49"/>
    <mergeCell ref="N49:O49"/>
    <mergeCell ref="L50:M50"/>
    <mergeCell ref="N50:O50"/>
    <mergeCell ref="N64:O64"/>
    <mergeCell ref="P64:Q64"/>
    <mergeCell ref="N65:O65"/>
    <mergeCell ref="I56:J56"/>
    <mergeCell ref="I57:J57"/>
    <mergeCell ref="I58:J58"/>
    <mergeCell ref="I59:J59"/>
    <mergeCell ref="R64:S64"/>
    <mergeCell ref="P49:Q49"/>
    <mergeCell ref="R49:S49"/>
    <mergeCell ref="P50:Q50"/>
    <mergeCell ref="R50:S50"/>
    <mergeCell ref="T64:U64"/>
    <mergeCell ref="R65:S65"/>
    <mergeCell ref="T65:U65"/>
    <mergeCell ref="R66:S66"/>
    <mergeCell ref="J49:K49"/>
    <mergeCell ref="I54:J54"/>
    <mergeCell ref="G55:H55"/>
    <mergeCell ref="I55:J55"/>
    <mergeCell ref="E53:H53"/>
    <mergeCell ref="N67:O67"/>
    <mergeCell ref="P67:Q67"/>
    <mergeCell ref="N68:O68"/>
    <mergeCell ref="P68:Q68"/>
    <mergeCell ref="G57:H57"/>
    <mergeCell ref="G58:H58"/>
    <mergeCell ref="G54:H54"/>
    <mergeCell ref="G59:H59"/>
    <mergeCell ref="J64:K64"/>
    <mergeCell ref="L64:M64"/>
    <mergeCell ref="J65:K65"/>
    <mergeCell ref="L65:M65"/>
    <mergeCell ref="J66:K66"/>
    <mergeCell ref="L66:M66"/>
    <mergeCell ref="L67:M67"/>
    <mergeCell ref="K55:L55"/>
    <mergeCell ref="H41:I41"/>
    <mergeCell ref="J41:K41"/>
    <mergeCell ref="P41:Q41"/>
    <mergeCell ref="P45:Q45"/>
    <mergeCell ref="P46:Q46"/>
    <mergeCell ref="P47:Q47"/>
    <mergeCell ref="P48:Q48"/>
    <mergeCell ref="J45:K45"/>
    <mergeCell ref="H45:I45"/>
    <mergeCell ref="H46:I46"/>
    <mergeCell ref="J46:K46"/>
    <mergeCell ref="H47:I47"/>
    <mergeCell ref="J47:K47"/>
    <mergeCell ref="H48:I48"/>
    <mergeCell ref="J48:K48"/>
    <mergeCell ref="L47:M47"/>
    <mergeCell ref="N47:O47"/>
    <mergeCell ref="N41:O41"/>
    <mergeCell ref="L45:M45"/>
    <mergeCell ref="N45:O45"/>
    <mergeCell ref="L36:M36"/>
    <mergeCell ref="N36:O36"/>
    <mergeCell ref="L37:M37"/>
    <mergeCell ref="N37:O37"/>
    <mergeCell ref="L38:M38"/>
    <mergeCell ref="N38:O38"/>
    <mergeCell ref="L39:M39"/>
    <mergeCell ref="N39:O39"/>
    <mergeCell ref="N48:O48"/>
    <mergeCell ref="C56:D56"/>
    <mergeCell ref="E56:F56"/>
    <mergeCell ref="C57:D57"/>
    <mergeCell ref="E57:F57"/>
    <mergeCell ref="C58:D58"/>
    <mergeCell ref="E58:F58"/>
    <mergeCell ref="C59:D59"/>
    <mergeCell ref="E59:F59"/>
    <mergeCell ref="G56:H56"/>
    <mergeCell ref="F62:G62"/>
    <mergeCell ref="D63:E63"/>
    <mergeCell ref="D64:E64"/>
    <mergeCell ref="D65:E65"/>
    <mergeCell ref="F39:G39"/>
    <mergeCell ref="F40:G40"/>
    <mergeCell ref="F41:G41"/>
    <mergeCell ref="F27:G27"/>
    <mergeCell ref="F28:G28"/>
    <mergeCell ref="F29:G29"/>
    <mergeCell ref="F30:G30"/>
    <mergeCell ref="F31:G31"/>
    <mergeCell ref="F32:G32"/>
    <mergeCell ref="C33:AA34"/>
    <mergeCell ref="L40:M40"/>
    <mergeCell ref="N40:O40"/>
    <mergeCell ref="J36:K36"/>
    <mergeCell ref="H37:I37"/>
    <mergeCell ref="J37:K37"/>
    <mergeCell ref="H38:I38"/>
    <mergeCell ref="J38:K38"/>
    <mergeCell ref="H39:I39"/>
    <mergeCell ref="J39:K39"/>
    <mergeCell ref="L27:M27"/>
    <mergeCell ref="N27:O27"/>
    <mergeCell ref="L28:M28"/>
    <mergeCell ref="N28:O28"/>
    <mergeCell ref="L29:M29"/>
    <mergeCell ref="D41:E41"/>
    <mergeCell ref="D44:G44"/>
    <mergeCell ref="D45:E45"/>
    <mergeCell ref="D46:E46"/>
    <mergeCell ref="D47:E47"/>
    <mergeCell ref="C54:D54"/>
    <mergeCell ref="E54:F54"/>
    <mergeCell ref="C55:D55"/>
    <mergeCell ref="E55:F55"/>
    <mergeCell ref="C53:D53"/>
    <mergeCell ref="D30:E30"/>
    <mergeCell ref="D31:E31"/>
    <mergeCell ref="D32:E32"/>
    <mergeCell ref="D35:G35"/>
    <mergeCell ref="B24:B27"/>
    <mergeCell ref="H27:I27"/>
    <mergeCell ref="J27:K27"/>
    <mergeCell ref="H28:I28"/>
    <mergeCell ref="J28:K28"/>
    <mergeCell ref="H29:I29"/>
    <mergeCell ref="J29:K29"/>
    <mergeCell ref="C24:AA25"/>
    <mergeCell ref="T28:U28"/>
    <mergeCell ref="V28:W28"/>
    <mergeCell ref="T29:U29"/>
    <mergeCell ref="V29:W29"/>
    <mergeCell ref="T30:U30"/>
    <mergeCell ref="V30:W30"/>
    <mergeCell ref="T31:U31"/>
    <mergeCell ref="V31:W31"/>
    <mergeCell ref="T32:U32"/>
    <mergeCell ref="V32:W32"/>
    <mergeCell ref="L32:M32"/>
    <mergeCell ref="N32:O32"/>
    <mergeCell ref="P27:Q27"/>
    <mergeCell ref="R27:S27"/>
    <mergeCell ref="P28:Q28"/>
    <mergeCell ref="R28:S28"/>
    <mergeCell ref="P29:Q29"/>
    <mergeCell ref="R29:S29"/>
    <mergeCell ref="AD26:AF26"/>
    <mergeCell ref="AD27:AE27"/>
    <mergeCell ref="AI26:AJ26"/>
    <mergeCell ref="P26:S26"/>
    <mergeCell ref="T26:W26"/>
    <mergeCell ref="AB26:AC26"/>
    <mergeCell ref="P30:Q30"/>
    <mergeCell ref="R30:S30"/>
    <mergeCell ref="F45:G45"/>
    <mergeCell ref="F37:G37"/>
    <mergeCell ref="F38:G38"/>
    <mergeCell ref="B33:B36"/>
    <mergeCell ref="H35:K35"/>
    <mergeCell ref="L35:O35"/>
    <mergeCell ref="F36:G36"/>
    <mergeCell ref="P37:Q37"/>
    <mergeCell ref="R37:S37"/>
    <mergeCell ref="P38:Q38"/>
    <mergeCell ref="R38:S38"/>
    <mergeCell ref="P39:Q39"/>
    <mergeCell ref="R39:S39"/>
    <mergeCell ref="P40:Q40"/>
    <mergeCell ref="R41:S41"/>
    <mergeCell ref="R45:S45"/>
    <mergeCell ref="D36:E36"/>
    <mergeCell ref="D37:E37"/>
    <mergeCell ref="D38:E38"/>
    <mergeCell ref="D39:E39"/>
    <mergeCell ref="D40:E40"/>
    <mergeCell ref="H36:I36"/>
    <mergeCell ref="P36:Q36"/>
    <mergeCell ref="R36:S36"/>
    <mergeCell ref="B42:B45"/>
    <mergeCell ref="C42:G43"/>
    <mergeCell ref="X53:Y53"/>
    <mergeCell ref="B51:B54"/>
    <mergeCell ref="C51:Y52"/>
    <mergeCell ref="L44:O44"/>
    <mergeCell ref="P44:S44"/>
    <mergeCell ref="T44:W44"/>
    <mergeCell ref="D48:E48"/>
    <mergeCell ref="D49:E49"/>
    <mergeCell ref="D50:E50"/>
    <mergeCell ref="F46:G46"/>
    <mergeCell ref="F47:G47"/>
    <mergeCell ref="F48:G48"/>
    <mergeCell ref="F49:G49"/>
    <mergeCell ref="F50:G50"/>
    <mergeCell ref="H49:I49"/>
    <mergeCell ref="R46:S46"/>
    <mergeCell ref="R47:S47"/>
    <mergeCell ref="R48:S48"/>
    <mergeCell ref="L46:M46"/>
    <mergeCell ref="N46:O46"/>
    <mergeCell ref="B60:B63"/>
    <mergeCell ref="J62:M62"/>
    <mergeCell ref="N62:Q62"/>
    <mergeCell ref="J63:K63"/>
    <mergeCell ref="L63:M63"/>
    <mergeCell ref="V63:W63"/>
    <mergeCell ref="X63:Y63"/>
    <mergeCell ref="R63:S63"/>
    <mergeCell ref="T63:U63"/>
    <mergeCell ref="N63:O63"/>
    <mergeCell ref="P63:Q63"/>
    <mergeCell ref="R62:U62"/>
    <mergeCell ref="L68:M68"/>
    <mergeCell ref="J68:K68"/>
    <mergeCell ref="J67:K67"/>
    <mergeCell ref="AG26:AH26"/>
    <mergeCell ref="D28:E28"/>
    <mergeCell ref="D29:E29"/>
    <mergeCell ref="AD28:AE28"/>
    <mergeCell ref="AD29:AE29"/>
    <mergeCell ref="AD30:AE30"/>
    <mergeCell ref="AD31:AE31"/>
    <mergeCell ref="L30:M30"/>
    <mergeCell ref="N30:O30"/>
    <mergeCell ref="L31:M31"/>
    <mergeCell ref="N31:O31"/>
    <mergeCell ref="H30:I30"/>
    <mergeCell ref="J30:K30"/>
    <mergeCell ref="H31:I31"/>
    <mergeCell ref="J31:K31"/>
    <mergeCell ref="D26:G26"/>
    <mergeCell ref="D27:E27"/>
    <mergeCell ref="N29:O29"/>
    <mergeCell ref="H50:I50"/>
    <mergeCell ref="J50:K50"/>
    <mergeCell ref="H44:I44"/>
    <mergeCell ref="J44:K44"/>
    <mergeCell ref="X26:AA26"/>
    <mergeCell ref="X27:Y27"/>
    <mergeCell ref="AB27:AC27"/>
    <mergeCell ref="X28:Y28"/>
    <mergeCell ref="AB28:AC28"/>
    <mergeCell ref="X29:Y29"/>
    <mergeCell ref="Z27:AA27"/>
    <mergeCell ref="Z28:AA28"/>
    <mergeCell ref="Z29:AA29"/>
    <mergeCell ref="H40:I40"/>
    <mergeCell ref="J40:K40"/>
    <mergeCell ref="H32:I32"/>
    <mergeCell ref="J32:K32"/>
    <mergeCell ref="P31:Q31"/>
    <mergeCell ref="R31:S31"/>
    <mergeCell ref="P32:Q32"/>
    <mergeCell ref="R32:S32"/>
    <mergeCell ref="T27:U27"/>
    <mergeCell ref="V27:W27"/>
    <mergeCell ref="L41:M41"/>
    <mergeCell ref="T45:U45"/>
    <mergeCell ref="V45:W45"/>
    <mergeCell ref="X36:Y36"/>
    <mergeCell ref="X37:Y37"/>
    <mergeCell ref="X38:Y38"/>
    <mergeCell ref="X39:Y39"/>
    <mergeCell ref="X40:Y40"/>
    <mergeCell ref="X41:Y41"/>
    <mergeCell ref="Z37:AA37"/>
    <mergeCell ref="Z38:AA38"/>
    <mergeCell ref="Z39:AA39"/>
    <mergeCell ref="Z40:AA40"/>
    <mergeCell ref="Z41:AA41"/>
    <mergeCell ref="T36:U36"/>
    <mergeCell ref="V36:W36"/>
    <mergeCell ref="T38:U38"/>
    <mergeCell ref="V38:W38"/>
    <mergeCell ref="T39:U39"/>
    <mergeCell ref="R40:S40"/>
    <mergeCell ref="Z30:AA30"/>
    <mergeCell ref="AB4:AF4"/>
    <mergeCell ref="AD45:AE45"/>
    <mergeCell ref="X35:AA35"/>
    <mergeCell ref="AB35:AC35"/>
    <mergeCell ref="AD35:AF35"/>
    <mergeCell ref="H42:W43"/>
    <mergeCell ref="AB36:AC36"/>
    <mergeCell ref="T35:W35"/>
    <mergeCell ref="T40:U40"/>
    <mergeCell ref="V40:W40"/>
    <mergeCell ref="V41:W41"/>
    <mergeCell ref="AB37:AC37"/>
    <mergeCell ref="AB38:AC38"/>
    <mergeCell ref="AB39:AC39"/>
    <mergeCell ref="AB40:AC40"/>
    <mergeCell ref="AB41:AC41"/>
    <mergeCell ref="T41:U41"/>
    <mergeCell ref="P35:S35"/>
    <mergeCell ref="Z32:AA32"/>
    <mergeCell ref="Z31:AA31"/>
    <mergeCell ref="H26:K26"/>
    <mergeCell ref="L26:O26"/>
    <mergeCell ref="Z57:AA57"/>
    <mergeCell ref="AB57:AC57"/>
    <mergeCell ref="AD57:AE57"/>
    <mergeCell ref="Z55:AA55"/>
    <mergeCell ref="Z56:AA56"/>
    <mergeCell ref="AB55:AC55"/>
    <mergeCell ref="AB56:AC56"/>
    <mergeCell ref="AD55:AE55"/>
    <mergeCell ref="AD56:AE56"/>
    <mergeCell ref="Z59:AA59"/>
    <mergeCell ref="AB59:AC59"/>
    <mergeCell ref="AD59:AE59"/>
    <mergeCell ref="Z58:AA58"/>
    <mergeCell ref="AB58:AC58"/>
    <mergeCell ref="AD58:AE58"/>
    <mergeCell ref="AD54:AE54"/>
    <mergeCell ref="AB53:AE53"/>
    <mergeCell ref="AF42:AH43"/>
    <mergeCell ref="AG44:AH44"/>
    <mergeCell ref="X47:AA47"/>
    <mergeCell ref="X48:AA48"/>
    <mergeCell ref="X49:AA49"/>
    <mergeCell ref="X50:AA50"/>
    <mergeCell ref="AJ44:AK44"/>
    <mergeCell ref="AM49:AN49"/>
    <mergeCell ref="L4:M4"/>
    <mergeCell ref="N4:P4"/>
    <mergeCell ref="AI4:AM4"/>
    <mergeCell ref="AM37:AN37"/>
    <mergeCell ref="AM38:AN38"/>
    <mergeCell ref="AM39:AN39"/>
    <mergeCell ref="AM40:AN40"/>
    <mergeCell ref="AM41:AN41"/>
    <mergeCell ref="AM48:AN48"/>
    <mergeCell ref="AM50:AN50"/>
    <mergeCell ref="AI42:AN43"/>
    <mergeCell ref="AL44:AN44"/>
    <mergeCell ref="AM45:AN45"/>
    <mergeCell ref="AM46:AN46"/>
    <mergeCell ref="AM47:AN47"/>
    <mergeCell ref="Z51:AN52"/>
    <mergeCell ref="Z53:AA53"/>
    <mergeCell ref="Z54:AA54"/>
    <mergeCell ref="AB54:AC54"/>
    <mergeCell ref="V64:W64"/>
    <mergeCell ref="Z65:AA65"/>
    <mergeCell ref="Z66:AA66"/>
    <mergeCell ref="Z67:AA67"/>
    <mergeCell ref="Z68:AA68"/>
  </mergeCells>
  <pageMargins left="0.70" right="0.70" top="0.75" bottom="0.75" header="0.30" footer="0.30"/>
  <pageSetup paperSize="9"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3E1AC58-5516-D0D8-71B8-45E79EA85F48}" mc:Ignorable="x14ac xr xr2 xr3">
  <dimension ref="A1:AM65"/>
  <sheetViews>
    <sheetView topLeftCell="A1" zoomScale="70" workbookViewId="0">
      <selection activeCell="E5" sqref="E5:F5"/>
    </sheetView>
  </sheetViews>
  <sheetFormatPr customHeight="1" defaultRowHeight="14.002500000000003"/>
  <sheetData>
    <row customHeight="1" ht="14.25">
      <c r="A1" s="246" t="s">
        <v>100</v>
      </c>
      <c r="B1" s="249" t="s">
        <v>101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1"/>
      <c r="AA1" s="240" t="s">
        <v>102</v>
      </c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2"/>
    </row>
    <row customHeight="1" ht="14.25">
      <c r="A2" s="247"/>
      <c r="B2" s="252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4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4"/>
    </row>
    <row customHeight="1" ht="14.25">
      <c r="A3" s="247"/>
      <c r="B3" s="53" t="s">
        <v>103</v>
      </c>
      <c r="C3" s="239" t="s">
        <v>104</v>
      </c>
      <c r="D3" s="239"/>
      <c r="E3" s="239"/>
      <c r="F3" s="239"/>
      <c r="G3" s="239" t="s">
        <v>105</v>
      </c>
      <c r="H3" s="239"/>
      <c r="I3" s="239"/>
      <c r="J3" s="239"/>
      <c r="K3" s="239" t="s">
        <v>106</v>
      </c>
      <c r="L3" s="239"/>
      <c r="M3" s="239"/>
      <c r="N3" s="239"/>
      <c r="O3" s="239" t="s">
        <v>107</v>
      </c>
      <c r="P3" s="239"/>
      <c r="Q3" s="239"/>
      <c r="R3" s="239"/>
      <c r="S3" s="239" t="s">
        <v>108</v>
      </c>
      <c r="T3" s="239"/>
      <c r="U3" s="239"/>
      <c r="V3" s="239"/>
      <c r="W3" s="239" t="s">
        <v>109</v>
      </c>
      <c r="X3" s="239"/>
      <c r="Y3" s="239"/>
      <c r="Z3" s="239"/>
      <c r="AA3" s="239" t="s">
        <v>110</v>
      </c>
      <c r="AB3" s="239"/>
      <c r="AC3" s="239" t="s">
        <v>111</v>
      </c>
      <c r="AD3" s="239"/>
      <c r="AE3" s="239"/>
      <c r="AF3" s="239" t="s">
        <v>112</v>
      </c>
      <c r="AG3" s="239"/>
      <c r="AH3" s="239" t="s">
        <v>107</v>
      </c>
      <c r="AI3" s="239"/>
      <c r="AJ3" s="239" t="s">
        <v>108</v>
      </c>
      <c r="AK3" s="239"/>
      <c r="AL3" s="239" t="s">
        <v>109</v>
      </c>
      <c r="AM3" s="245"/>
    </row>
    <row customHeight="1" ht="14.25">
      <c r="A4" s="248"/>
      <c r="B4" s="53" t="s">
        <v>114</v>
      </c>
      <c r="C4" s="239" t="s">
        <v>114</v>
      </c>
      <c r="D4" s="239"/>
      <c r="E4" s="255" t="s">
        <v>115</v>
      </c>
      <c r="F4" s="255" t="s">
        <v>115</v>
      </c>
      <c r="G4" s="239" t="s">
        <v>114</v>
      </c>
      <c r="H4" s="239"/>
      <c r="I4" s="239" t="s">
        <v>115</v>
      </c>
      <c r="J4" s="239"/>
      <c r="K4" s="239" t="s">
        <v>114</v>
      </c>
      <c r="L4" s="239"/>
      <c r="M4" s="239" t="s">
        <v>115</v>
      </c>
      <c r="N4" s="239"/>
      <c r="O4" s="239" t="s">
        <v>114</v>
      </c>
      <c r="P4" s="239"/>
      <c r="Q4" s="239" t="s">
        <v>115</v>
      </c>
      <c r="R4" s="239"/>
      <c r="S4" s="239" t="s">
        <v>114</v>
      </c>
      <c r="T4" s="239"/>
      <c r="U4" s="239" t="s">
        <v>115</v>
      </c>
      <c r="V4" s="239"/>
      <c r="W4" s="239" t="s">
        <v>114</v>
      </c>
      <c r="X4" s="239"/>
      <c r="Y4" s="239" t="s">
        <v>115</v>
      </c>
      <c r="Z4" s="239"/>
      <c r="AA4" s="239" t="s">
        <v>114</v>
      </c>
      <c r="AB4" s="239"/>
      <c r="AC4" s="239" t="s">
        <v>114</v>
      </c>
      <c r="AD4" s="239"/>
      <c r="AE4" s="53" t="s">
        <v>115</v>
      </c>
      <c r="AF4" s="53" t="s">
        <v>114</v>
      </c>
      <c r="AG4" s="53" t="s">
        <v>115</v>
      </c>
      <c r="AH4" s="53" t="s">
        <v>114</v>
      </c>
      <c r="AI4" s="53" t="s">
        <v>115</v>
      </c>
      <c r="AJ4" s="53" t="s">
        <v>114</v>
      </c>
      <c r="AK4" s="53" t="s">
        <v>115</v>
      </c>
      <c r="AL4" s="53" t="s">
        <v>114</v>
      </c>
      <c r="AM4" s="58" t="s">
        <v>115</v>
      </c>
    </row>
    <row customHeight="1" ht="92.25">
      <c r="A5" s="49" t="s">
        <v>116</v>
      </c>
      <c r="B5" s="662">
        <v>1604</v>
      </c>
      <c r="C5" s="663">
        <v>1065</v>
      </c>
      <c r="D5" s="664">
        <f>SUM(C5,E5)-SUM(AF16)</f>
        <v>923</v>
      </c>
      <c r="E5" s="238"/>
      <c r="F5" s="238"/>
      <c r="G5" s="231">
        <v>213</v>
      </c>
      <c r="H5" s="231"/>
      <c r="I5" s="238"/>
      <c r="J5" s="238"/>
      <c r="K5" s="231">
        <v>288</v>
      </c>
      <c r="L5" s="231"/>
      <c r="M5" s="238"/>
      <c r="N5" s="238"/>
      <c r="O5" s="231">
        <v>78</v>
      </c>
      <c r="P5" s="231"/>
      <c r="Q5" s="238"/>
      <c r="R5" s="238"/>
      <c r="S5" s="231"/>
      <c r="T5" s="231"/>
      <c r="U5" s="238"/>
      <c r="V5" s="238"/>
      <c r="W5" s="231"/>
      <c r="X5" s="231"/>
      <c r="Y5" s="238"/>
      <c r="Z5" s="238"/>
      <c r="AA5" s="231">
        <v>801</v>
      </c>
      <c r="AB5" s="231"/>
      <c r="AC5" s="231">
        <v>672</v>
      </c>
      <c r="AD5" s="231"/>
      <c r="AE5" s="56"/>
      <c r="AF5" s="668">
        <v>138</v>
      </c>
      <c r="AG5" s="56"/>
      <c r="AH5" s="668">
        <v>46</v>
      </c>
      <c r="AI5" s="56"/>
      <c r="AJ5" s="54"/>
      <c r="AK5" s="56"/>
      <c r="AL5" s="54"/>
      <c r="AM5" s="47"/>
    </row>
    <row customHeight="1" ht="14.25">
      <c r="A6" s="49" t="s">
        <v>117</v>
      </c>
      <c r="B6" s="662">
        <v>1606</v>
      </c>
      <c r="C6" s="663">
        <v>1054</v>
      </c>
      <c r="D6" s="664">
        <f>SUM(C6,E6)-SUM(AF17)</f>
        <v>909</v>
      </c>
      <c r="E6" s="238"/>
      <c r="F6" s="238"/>
      <c r="G6" s="231">
        <v>208</v>
      </c>
      <c r="H6" s="231"/>
      <c r="I6" s="238"/>
      <c r="J6" s="238"/>
      <c r="K6" s="231">
        <v>289</v>
      </c>
      <c r="L6" s="231"/>
      <c r="M6" s="238"/>
      <c r="N6" s="238"/>
      <c r="O6" s="231">
        <v>80</v>
      </c>
      <c r="P6" s="231"/>
      <c r="Q6" s="256"/>
      <c r="R6" s="256"/>
      <c r="S6" s="231"/>
      <c r="T6" s="231"/>
      <c r="U6" s="256"/>
      <c r="V6" s="256"/>
      <c r="W6" s="231"/>
      <c r="X6" s="231"/>
      <c r="Y6" s="256"/>
      <c r="Z6" s="256"/>
      <c r="AA6" s="231">
        <v>812</v>
      </c>
      <c r="AB6" s="231"/>
      <c r="AC6" s="231">
        <v>663</v>
      </c>
      <c r="AD6" s="231"/>
      <c r="AE6" s="56"/>
      <c r="AF6" s="668">
        <v>142</v>
      </c>
      <c r="AG6" s="56"/>
      <c r="AH6" s="668">
        <v>48</v>
      </c>
      <c r="AI6" s="56"/>
      <c r="AJ6" s="54"/>
      <c r="AK6" s="56"/>
      <c r="AL6" s="54"/>
      <c r="AM6" s="47"/>
    </row>
    <row customHeight="1" ht="14.25">
      <c r="A7" s="49" t="s">
        <v>204</v>
      </c>
      <c r="B7" s="662">
        <v>1070</v>
      </c>
      <c r="C7" s="663">
        <v>689</v>
      </c>
      <c r="D7" s="664">
        <f>SUM(C7,E7)-SUM(AF18)</f>
        <v>603</v>
      </c>
      <c r="E7" s="238"/>
      <c r="F7" s="238"/>
      <c r="G7" s="231">
        <v>138</v>
      </c>
      <c r="H7" s="231"/>
      <c r="I7" s="238"/>
      <c r="J7" s="238"/>
      <c r="K7" s="231">
        <v>208</v>
      </c>
      <c r="L7" s="231"/>
      <c r="M7" s="238"/>
      <c r="N7" s="238"/>
      <c r="O7" s="231">
        <v>54</v>
      </c>
      <c r="P7" s="231"/>
      <c r="Q7" s="256"/>
      <c r="R7" s="256"/>
      <c r="S7" s="231"/>
      <c r="T7" s="231"/>
      <c r="U7" s="256"/>
      <c r="V7" s="256"/>
      <c r="W7" s="231"/>
      <c r="X7" s="231"/>
      <c r="Y7" s="256"/>
      <c r="Z7" s="256"/>
      <c r="AA7" s="231">
        <v>543</v>
      </c>
      <c r="AB7" s="231"/>
      <c r="AC7" s="231">
        <v>450</v>
      </c>
      <c r="AD7" s="231"/>
      <c r="AE7" s="56"/>
      <c r="AF7" s="668">
        <v>99</v>
      </c>
      <c r="AG7" s="56"/>
      <c r="AH7" s="668">
        <v>31</v>
      </c>
      <c r="AI7" s="56"/>
      <c r="AJ7" s="54"/>
      <c r="AK7" s="56"/>
      <c r="AL7" s="54"/>
      <c r="AM7" s="47"/>
    </row>
    <row customHeight="1" ht="14.25">
      <c r="A8" s="49" t="s">
        <v>120</v>
      </c>
      <c r="B8" s="391"/>
      <c r="C8" s="672"/>
      <c r="D8" s="672"/>
      <c r="E8" s="673"/>
      <c r="F8" s="673"/>
      <c r="G8" s="672"/>
      <c r="H8" s="672"/>
      <c r="I8" s="673"/>
      <c r="J8" s="673"/>
      <c r="K8" s="672"/>
      <c r="L8" s="672"/>
      <c r="M8" s="673"/>
      <c r="N8" s="673"/>
      <c r="O8" s="672"/>
      <c r="P8" s="672"/>
      <c r="Q8" s="673"/>
      <c r="R8" s="673"/>
      <c r="S8" s="674"/>
      <c r="T8" s="674"/>
      <c r="U8" s="673"/>
      <c r="V8" s="673"/>
      <c r="W8" s="674"/>
      <c r="X8" s="674"/>
      <c r="Y8" s="673"/>
      <c r="Z8" s="673"/>
      <c r="AA8" s="672"/>
      <c r="AB8" s="672"/>
      <c r="AC8" s="672"/>
      <c r="AD8" s="672"/>
      <c r="AE8" s="675"/>
      <c r="AF8" s="676"/>
      <c r="AG8" s="675"/>
      <c r="AH8" s="676"/>
      <c r="AI8" s="675"/>
      <c r="AJ8" s="677"/>
      <c r="AK8" s="675"/>
      <c r="AL8" s="677"/>
      <c r="AM8" s="678"/>
    </row>
    <row customHeight="1" ht="14.25">
      <c r="A9" s="235" t="s">
        <v>121</v>
      </c>
      <c r="B9" s="662">
        <v>8026</v>
      </c>
      <c r="C9" s="680">
        <v>4558</v>
      </c>
      <c r="D9" s="681"/>
      <c r="E9" s="673"/>
      <c r="F9" s="673"/>
      <c r="G9" s="231">
        <v>1073</v>
      </c>
      <c r="H9" s="231"/>
      <c r="I9" s="673"/>
      <c r="J9" s="673"/>
      <c r="K9" s="231">
        <v>1460</v>
      </c>
      <c r="L9" s="231"/>
      <c r="M9" s="673"/>
      <c r="N9" s="673"/>
      <c r="O9" s="231">
        <v>391</v>
      </c>
      <c r="P9" s="231"/>
      <c r="Q9" s="673"/>
      <c r="R9" s="673"/>
      <c r="S9" s="674"/>
      <c r="T9" s="674"/>
      <c r="U9" s="673"/>
      <c r="V9" s="673"/>
      <c r="W9" s="674"/>
      <c r="X9" s="674"/>
      <c r="Y9" s="673"/>
      <c r="Z9" s="673"/>
      <c r="AA9" s="231">
        <v>4314</v>
      </c>
      <c r="AB9" s="231"/>
      <c r="AC9" s="682">
        <v>3666</v>
      </c>
      <c r="AD9" s="677"/>
      <c r="AE9" s="675"/>
      <c r="AF9" s="683">
        <v>694</v>
      </c>
      <c r="AG9" s="675"/>
      <c r="AH9" s="683">
        <v>226</v>
      </c>
      <c r="AI9" s="675"/>
      <c r="AJ9" s="677"/>
      <c r="AK9" s="675"/>
      <c r="AL9" s="677"/>
      <c r="AM9" s="678"/>
    </row>
    <row customHeight="1" ht="14.25">
      <c r="A10" s="236"/>
      <c r="B10" s="685">
        <v>5350</v>
      </c>
      <c r="C10" s="680">
        <v>4513</v>
      </c>
      <c r="D10" s="681"/>
      <c r="E10" s="673"/>
      <c r="F10" s="673"/>
      <c r="G10" s="231">
        <v>1063</v>
      </c>
      <c r="H10" s="231"/>
      <c r="I10" s="673"/>
      <c r="J10" s="673"/>
      <c r="K10" s="231">
        <v>1477</v>
      </c>
      <c r="L10" s="231"/>
      <c r="M10" s="673"/>
      <c r="N10" s="673"/>
      <c r="O10" s="231">
        <v>398</v>
      </c>
      <c r="P10" s="231"/>
      <c r="Q10" s="673"/>
      <c r="R10" s="673"/>
      <c r="S10" s="674"/>
      <c r="T10" s="674"/>
      <c r="U10" s="673"/>
      <c r="V10" s="673"/>
      <c r="W10" s="674"/>
      <c r="X10" s="674"/>
      <c r="Y10" s="673"/>
      <c r="Z10" s="673"/>
      <c r="AA10" s="231">
        <v>4323</v>
      </c>
      <c r="AB10" s="231"/>
      <c r="AC10" s="682">
        <v>3652</v>
      </c>
      <c r="AD10" s="677"/>
      <c r="AE10" s="675"/>
      <c r="AF10" s="683">
        <v>691</v>
      </c>
      <c r="AG10" s="675"/>
      <c r="AH10" s="683">
        <v>218</v>
      </c>
      <c r="AI10" s="675"/>
      <c r="AJ10" s="677"/>
      <c r="AK10" s="675"/>
      <c r="AL10" s="677"/>
      <c r="AM10" s="678"/>
    </row>
    <row customHeight="1" ht="14.25">
      <c r="A11" s="237"/>
      <c r="B11" s="685">
        <v>8022</v>
      </c>
      <c r="C11" s="680">
        <v>3060</v>
      </c>
      <c r="D11" s="681"/>
      <c r="E11" s="238"/>
      <c r="F11" s="238"/>
      <c r="G11" s="231">
        <v>712</v>
      </c>
      <c r="H11" s="231"/>
      <c r="I11" s="238"/>
      <c r="J11" s="238"/>
      <c r="K11" s="231">
        <v>977</v>
      </c>
      <c r="L11" s="231"/>
      <c r="M11" s="238"/>
      <c r="N11" s="238"/>
      <c r="O11" s="231">
        <v>261</v>
      </c>
      <c r="P11" s="231"/>
      <c r="Q11" s="238"/>
      <c r="R11" s="238"/>
      <c r="S11" s="231"/>
      <c r="T11" s="231"/>
      <c r="U11" s="238"/>
      <c r="V11" s="238"/>
      <c r="W11" s="231"/>
      <c r="X11" s="231"/>
      <c r="Y11" s="238"/>
      <c r="Z11" s="238"/>
      <c r="AA11" s="231">
        <v>2878</v>
      </c>
      <c r="AB11" s="231"/>
      <c r="AC11" s="682">
        <v>2442</v>
      </c>
      <c r="AD11" s="677"/>
      <c r="AE11" s="56"/>
      <c r="AF11" s="683">
        <v>468</v>
      </c>
      <c r="AG11" s="56"/>
      <c r="AH11" s="683">
        <v>153</v>
      </c>
      <c r="AI11" s="56"/>
      <c r="AJ11" s="54"/>
      <c r="AK11" s="56"/>
      <c r="AL11" s="54"/>
      <c r="AM11" s="47"/>
    </row>
    <row customHeight="1" ht="14.25">
      <c r="A12" s="268" t="s">
        <v>100</v>
      </c>
      <c r="B12" s="239" t="s">
        <v>122</v>
      </c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  <c r="AA12" s="258" t="s">
        <v>123</v>
      </c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60"/>
    </row>
    <row customHeight="1" ht="14.25">
      <c r="A13" s="247"/>
      <c r="B13" s="239"/>
      <c r="C13" s="239"/>
      <c r="D13" s="239"/>
      <c r="E13" s="239"/>
      <c r="F13" s="239"/>
      <c r="G13" s="239"/>
      <c r="H13" s="239"/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52"/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  <c r="AL13" s="253"/>
      <c r="AM13" s="261"/>
    </row>
    <row customHeight="1" ht="14.25">
      <c r="A14" s="247"/>
      <c r="B14" s="53" t="s">
        <v>126</v>
      </c>
      <c r="C14" s="239" t="s">
        <v>127</v>
      </c>
      <c r="D14" s="239"/>
      <c r="E14" s="239"/>
      <c r="F14" s="239"/>
      <c r="G14" s="239" t="s">
        <v>128</v>
      </c>
      <c r="H14" s="239"/>
      <c r="I14" s="239"/>
      <c r="J14" s="239"/>
      <c r="K14" s="239" t="s">
        <v>129</v>
      </c>
      <c r="L14" s="239"/>
      <c r="M14" s="239"/>
      <c r="N14" s="239"/>
      <c r="O14" s="239" t="s">
        <v>130</v>
      </c>
      <c r="P14" s="239"/>
      <c r="Q14" s="239"/>
      <c r="R14" s="239"/>
      <c r="S14" s="239" t="s">
        <v>131</v>
      </c>
      <c r="T14" s="239"/>
      <c r="U14" s="239"/>
      <c r="V14" s="239"/>
      <c r="W14" s="239" t="s">
        <v>109</v>
      </c>
      <c r="X14" s="239"/>
      <c r="Y14" s="239"/>
      <c r="Z14" s="239"/>
      <c r="AA14" s="239" t="s">
        <v>103</v>
      </c>
      <c r="AB14" s="239"/>
      <c r="AC14" s="239" t="s">
        <v>132</v>
      </c>
      <c r="AD14" s="239"/>
      <c r="AE14" s="239"/>
      <c r="AF14" s="239" t="s">
        <v>133</v>
      </c>
      <c r="AG14" s="239"/>
      <c r="AH14" s="239" t="s">
        <v>134</v>
      </c>
      <c r="AI14" s="239"/>
      <c r="AJ14" s="262" t="s">
        <v>135</v>
      </c>
      <c r="AK14" s="263"/>
      <c r="AL14" s="263"/>
      <c r="AM14" s="264"/>
    </row>
    <row customHeight="1" ht="14.25">
      <c r="A15" s="248"/>
      <c r="B15" s="53" t="s">
        <v>114</v>
      </c>
      <c r="C15" s="239" t="s">
        <v>114</v>
      </c>
      <c r="D15" s="239"/>
      <c r="E15" s="255" t="s">
        <v>115</v>
      </c>
      <c r="F15" s="255" t="s">
        <v>115</v>
      </c>
      <c r="G15" s="239" t="s">
        <v>114</v>
      </c>
      <c r="H15" s="239"/>
      <c r="I15" s="239" t="s">
        <v>115</v>
      </c>
      <c r="J15" s="239"/>
      <c r="K15" s="239" t="s">
        <v>114</v>
      </c>
      <c r="L15" s="239"/>
      <c r="M15" s="239" t="s">
        <v>115</v>
      </c>
      <c r="N15" s="239" t="s">
        <v>115</v>
      </c>
      <c r="O15" s="239" t="s">
        <v>114</v>
      </c>
      <c r="P15" s="239"/>
      <c r="Q15" s="239" t="s">
        <v>115</v>
      </c>
      <c r="R15" s="239" t="s">
        <v>115</v>
      </c>
      <c r="S15" s="239" t="s">
        <v>114</v>
      </c>
      <c r="T15" s="239"/>
      <c r="U15" s="239" t="s">
        <v>115</v>
      </c>
      <c r="V15" s="239" t="s">
        <v>115</v>
      </c>
      <c r="W15" s="239" t="s">
        <v>114</v>
      </c>
      <c r="X15" s="239"/>
      <c r="Y15" s="239" t="s">
        <v>115</v>
      </c>
      <c r="Z15" s="239" t="s">
        <v>115</v>
      </c>
      <c r="AA15" s="695" t="s">
        <v>114</v>
      </c>
      <c r="AB15" s="695"/>
      <c r="AC15" s="239" t="s">
        <v>114</v>
      </c>
      <c r="AD15" s="239"/>
      <c r="AE15" s="53" t="s">
        <v>115</v>
      </c>
      <c r="AF15" s="53" t="s">
        <v>114</v>
      </c>
      <c r="AG15" s="53" t="s">
        <v>115</v>
      </c>
      <c r="AH15" s="53" t="s">
        <v>114</v>
      </c>
      <c r="AI15" s="53" t="s">
        <v>115</v>
      </c>
      <c r="AJ15" s="262" t="s">
        <v>114</v>
      </c>
      <c r="AK15" s="265"/>
      <c r="AL15" s="262" t="s">
        <v>115</v>
      </c>
      <c r="AM15" s="264"/>
    </row>
    <row customHeight="1" ht="92.25">
      <c r="A16" s="49" t="s">
        <v>116</v>
      </c>
      <c r="B16" s="668">
        <v>619</v>
      </c>
      <c r="C16" s="697">
        <v>188</v>
      </c>
      <c r="D16" s="698"/>
      <c r="E16" s="238"/>
      <c r="F16" s="238"/>
      <c r="G16" s="699">
        <v>76</v>
      </c>
      <c r="H16" s="698"/>
      <c r="I16" s="238"/>
      <c r="J16" s="238"/>
      <c r="K16" s="668">
        <v>338</v>
      </c>
      <c r="L16" s="668"/>
      <c r="M16" s="238"/>
      <c r="N16" s="238"/>
      <c r="O16" s="668">
        <v>7</v>
      </c>
      <c r="P16" s="668"/>
      <c r="Q16" s="238"/>
      <c r="R16" s="238"/>
      <c r="S16" s="231"/>
      <c r="T16" s="231"/>
      <c r="U16" s="238"/>
      <c r="V16" s="238"/>
      <c r="W16" s="231"/>
      <c r="X16" s="231"/>
      <c r="Y16" s="238"/>
      <c r="Z16" s="238"/>
      <c r="AA16" s="231">
        <v>213</v>
      </c>
      <c r="AB16" s="231"/>
      <c r="AC16" s="668">
        <v>71</v>
      </c>
      <c r="AD16" s="668"/>
      <c r="AE16" s="56"/>
      <c r="AF16" s="668">
        <v>142</v>
      </c>
      <c r="AG16" s="56"/>
      <c r="AH16" s="54"/>
      <c r="AI16" s="56"/>
      <c r="AJ16" s="262"/>
      <c r="AK16" s="265"/>
      <c r="AL16" s="262"/>
      <c r="AM16" s="264"/>
    </row>
    <row customHeight="1" ht="14.25">
      <c r="A17" s="49" t="s">
        <v>117</v>
      </c>
      <c r="B17" s="668">
        <v>657</v>
      </c>
      <c r="C17" s="697">
        <v>170</v>
      </c>
      <c r="D17" s="698"/>
      <c r="E17" s="238"/>
      <c r="F17" s="238"/>
      <c r="G17" s="699">
        <v>87</v>
      </c>
      <c r="H17" s="698"/>
      <c r="I17" s="256"/>
      <c r="J17" s="256"/>
      <c r="K17" s="668">
        <v>377</v>
      </c>
      <c r="L17" s="668"/>
      <c r="M17" s="256"/>
      <c r="N17" s="256"/>
      <c r="O17" s="668">
        <v>6</v>
      </c>
      <c r="P17" s="668"/>
      <c r="Q17" s="256"/>
      <c r="R17" s="256"/>
      <c r="S17" s="231"/>
      <c r="T17" s="231"/>
      <c r="U17" s="256"/>
      <c r="V17" s="256"/>
      <c r="W17" s="231"/>
      <c r="X17" s="231"/>
      <c r="Y17" s="256"/>
      <c r="Z17" s="256"/>
      <c r="AA17" s="231">
        <v>208</v>
      </c>
      <c r="AB17" s="231"/>
      <c r="AC17" s="668">
        <v>63</v>
      </c>
      <c r="AD17" s="668"/>
      <c r="AE17" s="56"/>
      <c r="AF17" s="668">
        <v>145</v>
      </c>
      <c r="AG17" s="56"/>
      <c r="AH17" s="54"/>
      <c r="AI17" s="56"/>
      <c r="AJ17" s="262"/>
      <c r="AK17" s="265"/>
      <c r="AL17" s="262"/>
      <c r="AM17" s="264"/>
    </row>
    <row customHeight="1" ht="14.25">
      <c r="A18" s="49" t="s">
        <v>204</v>
      </c>
      <c r="B18" s="668">
        <v>454</v>
      </c>
      <c r="C18" s="697">
        <v>107</v>
      </c>
      <c r="D18" s="698"/>
      <c r="E18" s="238"/>
      <c r="F18" s="238"/>
      <c r="G18" s="699">
        <v>54</v>
      </c>
      <c r="H18" s="698"/>
      <c r="I18" s="256"/>
      <c r="J18" s="256"/>
      <c r="K18" s="668">
        <v>278</v>
      </c>
      <c r="L18" s="668"/>
      <c r="M18" s="256"/>
      <c r="N18" s="256"/>
      <c r="O18" s="668">
        <v>4</v>
      </c>
      <c r="P18" s="668"/>
      <c r="Q18" s="256"/>
      <c r="R18" s="256"/>
      <c r="S18" s="231"/>
      <c r="T18" s="231"/>
      <c r="U18" s="256"/>
      <c r="V18" s="256"/>
      <c r="W18" s="231"/>
      <c r="X18" s="231"/>
      <c r="Y18" s="256"/>
      <c r="Z18" s="256"/>
      <c r="AA18" s="231">
        <v>138</v>
      </c>
      <c r="AB18" s="231"/>
      <c r="AC18" s="668">
        <v>49</v>
      </c>
      <c r="AD18" s="668"/>
      <c r="AE18" s="56"/>
      <c r="AF18" s="668">
        <v>86</v>
      </c>
      <c r="AG18" s="56"/>
      <c r="AH18" s="54"/>
      <c r="AI18" s="56"/>
      <c r="AJ18" s="262"/>
      <c r="AK18" s="265"/>
      <c r="AL18" s="262"/>
      <c r="AM18" s="264"/>
    </row>
    <row customHeight="1" ht="14.25">
      <c r="A19" s="49" t="s">
        <v>120</v>
      </c>
      <c r="B19" s="676"/>
      <c r="C19" s="672"/>
      <c r="D19" s="672"/>
      <c r="E19" s="673"/>
      <c r="F19" s="673"/>
      <c r="G19" s="672"/>
      <c r="H19" s="672"/>
      <c r="I19" s="673"/>
      <c r="J19" s="673"/>
      <c r="K19" s="672"/>
      <c r="L19" s="672"/>
      <c r="M19" s="673"/>
      <c r="N19" s="673"/>
      <c r="O19" s="672"/>
      <c r="P19" s="672"/>
      <c r="Q19" s="673"/>
      <c r="R19" s="673"/>
      <c r="S19" s="674"/>
      <c r="T19" s="674"/>
      <c r="U19" s="673"/>
      <c r="V19" s="673"/>
      <c r="W19" s="674"/>
      <c r="X19" s="674"/>
      <c r="Y19" s="673"/>
      <c r="Z19" s="673"/>
      <c r="AA19" s="672"/>
      <c r="AB19" s="672"/>
      <c r="AC19" s="672"/>
      <c r="AD19" s="672"/>
      <c r="AE19" s="675"/>
      <c r="AF19" s="676"/>
      <c r="AG19" s="56"/>
      <c r="AH19" s="54"/>
      <c r="AI19" s="56"/>
      <c r="AJ19" s="262"/>
      <c r="AK19" s="265"/>
      <c r="AL19" s="262"/>
      <c r="AM19" s="264"/>
    </row>
    <row customHeight="1" ht="14.25">
      <c r="A20" s="49"/>
      <c r="B20" s="683">
        <v>3436</v>
      </c>
      <c r="C20" s="233">
        <v>956</v>
      </c>
      <c r="D20" s="233"/>
      <c r="E20" s="673"/>
      <c r="F20" s="673"/>
      <c r="G20" s="231">
        <v>473</v>
      </c>
      <c r="H20" s="231"/>
      <c r="I20" s="673"/>
      <c r="J20" s="673"/>
      <c r="K20" s="231">
        <v>1966</v>
      </c>
      <c r="L20" s="231"/>
      <c r="M20" s="673"/>
      <c r="N20" s="673"/>
      <c r="O20" s="231">
        <v>31</v>
      </c>
      <c r="P20" s="231"/>
      <c r="Q20" s="673"/>
      <c r="R20" s="673"/>
      <c r="S20" s="674"/>
      <c r="T20" s="674"/>
      <c r="U20" s="673"/>
      <c r="V20" s="673"/>
      <c r="W20" s="674"/>
      <c r="X20" s="674"/>
      <c r="Y20" s="673"/>
      <c r="Z20" s="673"/>
      <c r="AA20" s="231">
        <v>1073</v>
      </c>
      <c r="AB20" s="231"/>
      <c r="AC20" s="231">
        <v>357</v>
      </c>
      <c r="AD20" s="231"/>
      <c r="AE20" s="675"/>
      <c r="AF20" s="683">
        <v>716</v>
      </c>
      <c r="AG20" s="77"/>
      <c r="AH20" s="76"/>
      <c r="AI20" s="77"/>
      <c r="AJ20" s="81"/>
      <c r="AK20" s="83"/>
      <c r="AL20" s="81"/>
      <c r="AM20" s="82"/>
    </row>
    <row customHeight="1" ht="14.25">
      <c r="A21" s="49"/>
      <c r="B21" s="683">
        <v>3305</v>
      </c>
      <c r="C21" s="233">
        <v>883</v>
      </c>
      <c r="D21" s="233"/>
      <c r="E21" s="673"/>
      <c r="F21" s="673"/>
      <c r="G21" s="231">
        <v>281</v>
      </c>
      <c r="H21" s="231"/>
      <c r="I21" s="673"/>
      <c r="J21" s="673"/>
      <c r="K21" s="231">
        <v>1158</v>
      </c>
      <c r="L21" s="231"/>
      <c r="M21" s="673"/>
      <c r="N21" s="673"/>
      <c r="O21" s="231">
        <v>30</v>
      </c>
      <c r="P21" s="231"/>
      <c r="Q21" s="673"/>
      <c r="R21" s="673"/>
      <c r="S21" s="674"/>
      <c r="T21" s="674"/>
      <c r="U21" s="673"/>
      <c r="V21" s="673"/>
      <c r="W21" s="674"/>
      <c r="X21" s="674"/>
      <c r="Y21" s="673"/>
      <c r="Z21" s="673"/>
      <c r="AA21" s="231">
        <v>1063</v>
      </c>
      <c r="AB21" s="231"/>
      <c r="AC21" s="231">
        <v>331</v>
      </c>
      <c r="AD21" s="231"/>
      <c r="AE21" s="675"/>
      <c r="AF21" s="683">
        <v>732</v>
      </c>
      <c r="AG21" s="77"/>
      <c r="AH21" s="76"/>
      <c r="AI21" s="77"/>
      <c r="AJ21" s="81"/>
      <c r="AK21" s="83"/>
      <c r="AL21" s="81"/>
      <c r="AM21" s="82"/>
    </row>
    <row customHeight="1" ht="14.25">
      <c r="A22" s="49" t="s">
        <v>121</v>
      </c>
      <c r="B22" s="683">
        <v>2193</v>
      </c>
      <c r="C22" s="233">
        <v>590</v>
      </c>
      <c r="D22" s="233"/>
      <c r="E22" s="238"/>
      <c r="F22" s="238"/>
      <c r="G22" s="231">
        <v>435</v>
      </c>
      <c r="H22" s="231"/>
      <c r="I22" s="238"/>
      <c r="J22" s="238"/>
      <c r="K22" s="231">
        <v>1871</v>
      </c>
      <c r="L22" s="231"/>
      <c r="M22" s="238"/>
      <c r="N22" s="238"/>
      <c r="O22" s="231">
        <v>20</v>
      </c>
      <c r="P22" s="231"/>
      <c r="Q22" s="238"/>
      <c r="R22" s="238"/>
      <c r="S22" s="231"/>
      <c r="T22" s="231"/>
      <c r="U22" s="238"/>
      <c r="V22" s="238"/>
      <c r="W22" s="231"/>
      <c r="X22" s="231"/>
      <c r="Y22" s="238"/>
      <c r="Z22" s="238"/>
      <c r="AA22" s="231">
        <v>712</v>
      </c>
      <c r="AB22" s="231"/>
      <c r="AC22" s="231">
        <v>249</v>
      </c>
      <c r="AD22" s="231"/>
      <c r="AE22" s="56"/>
      <c r="AF22" s="683">
        <v>448</v>
      </c>
      <c r="AG22" s="56"/>
      <c r="AH22" s="54"/>
      <c r="AI22" s="56"/>
      <c r="AJ22" s="262"/>
      <c r="AK22" s="265"/>
      <c r="AL22" s="262"/>
      <c r="AM22" s="264"/>
    </row>
    <row customHeight="1" ht="14.25">
      <c r="A23" s="271" t="s">
        <v>100</v>
      </c>
      <c r="B23" s="239" t="s">
        <v>143</v>
      </c>
      <c r="C23" s="239"/>
      <c r="D23" s="239"/>
      <c r="E23" s="239"/>
      <c r="F23" s="239"/>
      <c r="G23" s="239" t="s">
        <v>144</v>
      </c>
      <c r="H23" s="239"/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 t="s">
        <v>145</v>
      </c>
      <c r="X23" s="239"/>
      <c r="Y23" s="239"/>
      <c r="Z23" s="239"/>
      <c r="AA23" s="239"/>
      <c r="AB23" s="239"/>
      <c r="AC23" s="239"/>
      <c r="AD23" s="239"/>
      <c r="AE23" s="239" t="s">
        <v>146</v>
      </c>
      <c r="AF23" s="239"/>
      <c r="AG23" s="239"/>
      <c r="AH23" s="258" t="s">
        <v>147</v>
      </c>
      <c r="AI23" s="259"/>
      <c r="AJ23" s="259"/>
      <c r="AK23" s="259"/>
      <c r="AL23" s="259"/>
      <c r="AM23" s="260"/>
    </row>
    <row customHeight="1" ht="14.25">
      <c r="A24" s="271"/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39"/>
      <c r="AE24" s="239"/>
      <c r="AF24" s="239"/>
      <c r="AG24" s="239"/>
      <c r="AH24" s="252"/>
      <c r="AI24" s="253"/>
      <c r="AJ24" s="253"/>
      <c r="AK24" s="253"/>
      <c r="AL24" s="253"/>
      <c r="AM24" s="261"/>
    </row>
    <row customHeight="1" ht="14.25">
      <c r="A25" s="271"/>
      <c r="B25" s="53" t="s">
        <v>103</v>
      </c>
      <c r="C25" s="239" t="s">
        <v>150</v>
      </c>
      <c r="D25" s="239"/>
      <c r="E25" s="239"/>
      <c r="F25" s="239"/>
      <c r="G25" s="239" t="s">
        <v>151</v>
      </c>
      <c r="H25" s="239"/>
      <c r="I25" s="239" t="s">
        <v>152</v>
      </c>
      <c r="J25" s="239"/>
      <c r="K25" s="239" t="s">
        <v>153</v>
      </c>
      <c r="L25" s="239"/>
      <c r="M25" s="239"/>
      <c r="N25" s="239"/>
      <c r="O25" s="239" t="s">
        <v>154</v>
      </c>
      <c r="P25" s="239"/>
      <c r="Q25" s="239"/>
      <c r="R25" s="239"/>
      <c r="S25" s="239" t="s">
        <v>135</v>
      </c>
      <c r="T25" s="239"/>
      <c r="U25" s="239"/>
      <c r="V25" s="239"/>
      <c r="W25" s="695" t="s">
        <v>155</v>
      </c>
      <c r="X25" s="695"/>
      <c r="Y25" s="695"/>
      <c r="Z25" s="695"/>
      <c r="AA25" s="707" t="s">
        <v>156</v>
      </c>
      <c r="AB25" s="707"/>
      <c r="AC25" s="707"/>
      <c r="AD25" s="707"/>
      <c r="AE25" s="708" t="s">
        <v>155</v>
      </c>
      <c r="AF25" s="695" t="s">
        <v>157</v>
      </c>
      <c r="AG25" s="695"/>
      <c r="AH25" s="708" t="s">
        <v>103</v>
      </c>
      <c r="AI25" s="695" t="s">
        <v>158</v>
      </c>
      <c r="AJ25" s="695"/>
      <c r="AK25" s="709" t="s">
        <v>109</v>
      </c>
      <c r="AL25" s="710"/>
      <c r="AM25" s="711"/>
    </row>
    <row customHeight="1" ht="14.25">
      <c r="A26" s="271"/>
      <c r="B26" s="53" t="s">
        <v>114</v>
      </c>
      <c r="C26" s="239" t="s">
        <v>114</v>
      </c>
      <c r="D26" s="239"/>
      <c r="E26" s="255" t="s">
        <v>115</v>
      </c>
      <c r="F26" s="255" t="s">
        <v>115</v>
      </c>
      <c r="G26" s="239" t="s">
        <v>114</v>
      </c>
      <c r="H26" s="239"/>
      <c r="I26" s="239" t="s">
        <v>114</v>
      </c>
      <c r="J26" s="239"/>
      <c r="K26" s="239" t="s">
        <v>114</v>
      </c>
      <c r="L26" s="239"/>
      <c r="M26" s="239" t="s">
        <v>115</v>
      </c>
      <c r="N26" s="239" t="s">
        <v>115</v>
      </c>
      <c r="O26" s="239" t="s">
        <v>114</v>
      </c>
      <c r="P26" s="239"/>
      <c r="Q26" s="239" t="s">
        <v>115</v>
      </c>
      <c r="R26" s="239" t="s">
        <v>115</v>
      </c>
      <c r="S26" s="239" t="s">
        <v>114</v>
      </c>
      <c r="T26" s="239"/>
      <c r="U26" s="239" t="s">
        <v>115</v>
      </c>
      <c r="V26" s="239" t="s">
        <v>115</v>
      </c>
      <c r="W26" s="695" t="s">
        <v>160</v>
      </c>
      <c r="X26" s="695"/>
      <c r="Y26" s="695"/>
      <c r="Z26" s="695"/>
      <c r="AA26" s="695" t="s">
        <v>114</v>
      </c>
      <c r="AB26" s="695"/>
      <c r="AC26" s="695" t="s">
        <v>115</v>
      </c>
      <c r="AD26" s="695"/>
      <c r="AE26" s="708" t="s">
        <v>160</v>
      </c>
      <c r="AF26" s="53" t="s">
        <v>114</v>
      </c>
      <c r="AG26" s="708" t="s">
        <v>161</v>
      </c>
      <c r="AH26" s="708" t="s">
        <v>114</v>
      </c>
      <c r="AI26" s="708" t="s">
        <v>114</v>
      </c>
      <c r="AJ26" s="708" t="s">
        <v>115</v>
      </c>
      <c r="AK26" s="708" t="s">
        <v>114</v>
      </c>
      <c r="AL26" s="709" t="s">
        <v>115</v>
      </c>
      <c r="AM26" s="711"/>
    </row>
    <row customHeight="1" ht="14.25">
      <c r="A27" s="49" t="s">
        <v>116</v>
      </c>
      <c r="B27" s="668">
        <v>234</v>
      </c>
      <c r="C27" s="231"/>
      <c r="D27" s="231"/>
      <c r="E27" s="668"/>
      <c r="F27" s="668"/>
      <c r="G27" s="668">
        <v>327</v>
      </c>
      <c r="H27" s="668"/>
      <c r="I27" s="668">
        <v>20</v>
      </c>
      <c r="J27" s="668"/>
      <c r="K27" s="668">
        <v>54</v>
      </c>
      <c r="L27" s="668"/>
      <c r="M27" s="256"/>
      <c r="N27" s="256"/>
      <c r="O27" s="668">
        <v>294</v>
      </c>
      <c r="P27" s="668"/>
      <c r="Q27" s="256"/>
      <c r="R27" s="256"/>
      <c r="S27" s="231"/>
      <c r="T27" s="231"/>
      <c r="U27" s="256"/>
      <c r="V27" s="256"/>
      <c r="W27" s="712">
        <v>583</v>
      </c>
      <c r="X27" s="668">
        <v>46</v>
      </c>
      <c r="Y27" s="712">
        <f>SUM(W27,X27)</f>
        <v>629</v>
      </c>
      <c r="Z27" s="712"/>
      <c r="AA27" s="668">
        <v>619</v>
      </c>
      <c r="AB27" s="668"/>
      <c r="AC27" s="256"/>
      <c r="AD27" s="256"/>
      <c r="AE27" s="54"/>
      <c r="AF27" s="54"/>
      <c r="AG27" s="56"/>
      <c r="AH27" s="668">
        <v>1552</v>
      </c>
      <c r="AI27" s="668">
        <v>1523</v>
      </c>
      <c r="AJ27" s="713"/>
      <c r="AK27" s="713"/>
      <c r="AL27" s="709" t="s">
        <v>205</v>
      </c>
      <c r="AM27" s="711"/>
    </row>
    <row customHeight="1" ht="14.25">
      <c r="A28" s="49" t="s">
        <v>117</v>
      </c>
      <c r="B28" s="668">
        <v>236</v>
      </c>
      <c r="C28" s="231"/>
      <c r="D28" s="231"/>
      <c r="E28" s="668"/>
      <c r="F28" s="668"/>
      <c r="G28" s="668">
        <v>390</v>
      </c>
      <c r="H28" s="668"/>
      <c r="I28" s="668">
        <v>25</v>
      </c>
      <c r="J28" s="668"/>
      <c r="K28" s="668">
        <v>65</v>
      </c>
      <c r="L28" s="668"/>
      <c r="M28" s="256"/>
      <c r="N28" s="256"/>
      <c r="O28" s="668">
        <v>336</v>
      </c>
      <c r="P28" s="668"/>
      <c r="Q28" s="256"/>
      <c r="R28" s="256"/>
      <c r="S28" s="231"/>
      <c r="T28" s="231"/>
      <c r="U28" s="256"/>
      <c r="V28" s="256"/>
      <c r="W28" s="712">
        <v>626</v>
      </c>
      <c r="X28" s="668">
        <v>48</v>
      </c>
      <c r="Y28" s="712">
        <f>SUM(W28,X28)</f>
        <v>674</v>
      </c>
      <c r="Z28" s="712"/>
      <c r="AA28" s="668">
        <v>668</v>
      </c>
      <c r="AB28" s="668"/>
      <c r="AC28" s="256"/>
      <c r="AD28" s="256"/>
      <c r="AE28" s="54"/>
      <c r="AF28" s="54"/>
      <c r="AG28" s="56"/>
      <c r="AH28" s="668">
        <v>1544</v>
      </c>
      <c r="AI28" s="668">
        <v>1559</v>
      </c>
      <c r="AJ28" s="713"/>
      <c r="AK28" s="713"/>
      <c r="AL28" s="709"/>
      <c r="AM28" s="711"/>
    </row>
    <row customHeight="1" ht="14.25">
      <c r="A29" s="49" t="s">
        <v>204</v>
      </c>
      <c r="B29" s="668">
        <v>157</v>
      </c>
      <c r="C29" s="231"/>
      <c r="D29" s="231"/>
      <c r="E29" s="668"/>
      <c r="F29" s="668"/>
      <c r="G29" s="668">
        <v>264</v>
      </c>
      <c r="H29" s="668"/>
      <c r="I29" s="668">
        <v>17</v>
      </c>
      <c r="J29" s="668"/>
      <c r="K29" s="668">
        <v>45</v>
      </c>
      <c r="L29" s="668"/>
      <c r="M29" s="256"/>
      <c r="N29" s="256"/>
      <c r="O29" s="668">
        <v>240</v>
      </c>
      <c r="P29" s="668"/>
      <c r="Q29" s="256"/>
      <c r="R29" s="256"/>
      <c r="S29" s="231"/>
      <c r="T29" s="231"/>
      <c r="U29" s="256"/>
      <c r="V29" s="256"/>
      <c r="W29" s="712">
        <v>423</v>
      </c>
      <c r="X29" s="668">
        <v>31</v>
      </c>
      <c r="Y29" s="712">
        <f>SUM(W29,X29)</f>
        <v>454</v>
      </c>
      <c r="Z29" s="712"/>
      <c r="AA29" s="668">
        <v>449</v>
      </c>
      <c r="AB29" s="668"/>
      <c r="AC29" s="256"/>
      <c r="AD29" s="256"/>
      <c r="AE29" s="54"/>
      <c r="AF29" s="54"/>
      <c r="AG29" s="56"/>
      <c r="AH29" s="668">
        <v>1039</v>
      </c>
      <c r="AI29" s="668">
        <v>1024</v>
      </c>
      <c r="AJ29" s="713"/>
      <c r="AK29" s="713"/>
      <c r="AL29" s="709"/>
      <c r="AM29" s="711"/>
    </row>
    <row customHeight="1" ht="14.25">
      <c r="A30" s="49" t="s">
        <v>120</v>
      </c>
      <c r="B30" s="677"/>
      <c r="C30" s="674"/>
      <c r="D30" s="674"/>
      <c r="E30" s="673"/>
      <c r="F30" s="673"/>
      <c r="G30" s="674"/>
      <c r="H30" s="674"/>
      <c r="I30" s="674"/>
      <c r="J30" s="674"/>
      <c r="K30" s="674"/>
      <c r="L30" s="674"/>
      <c r="M30" s="714"/>
      <c r="N30" s="714"/>
      <c r="O30" s="674"/>
      <c r="P30" s="674"/>
      <c r="Q30" s="714"/>
      <c r="R30" s="714"/>
      <c r="S30" s="674"/>
      <c r="T30" s="674"/>
      <c r="U30" s="714"/>
      <c r="V30" s="714"/>
      <c r="W30" s="674"/>
      <c r="X30" s="674"/>
      <c r="Y30" s="674"/>
      <c r="Z30" s="674"/>
      <c r="AA30" s="674"/>
      <c r="AB30" s="674"/>
      <c r="AC30" s="714"/>
      <c r="AD30" s="714"/>
      <c r="AE30" s="677"/>
      <c r="AF30" s="677"/>
      <c r="AG30" s="675"/>
      <c r="AH30" s="715"/>
      <c r="AI30" s="715"/>
      <c r="AJ30" s="713"/>
      <c r="AK30" s="713"/>
      <c r="AL30" s="709"/>
      <c r="AM30" s="711"/>
    </row>
    <row customHeight="1" ht="14.25">
      <c r="A31" s="49"/>
      <c r="B31" s="683">
        <v>1176</v>
      </c>
      <c r="C31" s="231"/>
      <c r="D31" s="231"/>
      <c r="E31" s="716">
        <v>592</v>
      </c>
      <c r="F31" s="78"/>
      <c r="G31" s="231">
        <v>1936</v>
      </c>
      <c r="H31" s="231"/>
      <c r="I31" s="231">
        <v>115</v>
      </c>
      <c r="J31" s="231"/>
      <c r="K31" s="231">
        <v>322</v>
      </c>
      <c r="L31" s="231"/>
      <c r="M31" s="77"/>
      <c r="N31" s="77"/>
      <c r="O31" s="231">
        <v>1748</v>
      </c>
      <c r="P31" s="231"/>
      <c r="Q31" s="77"/>
      <c r="R31" s="77"/>
      <c r="S31" s="76"/>
      <c r="T31" s="76"/>
      <c r="U31" s="77"/>
      <c r="V31" s="77"/>
      <c r="W31" s="718">
        <v>3205</v>
      </c>
      <c r="X31" s="88"/>
      <c r="Y31" s="76"/>
      <c r="Z31" s="76"/>
      <c r="AA31" s="231">
        <v>3160</v>
      </c>
      <c r="AB31" s="231"/>
      <c r="AC31" s="77"/>
      <c r="AD31" s="77"/>
      <c r="AE31" s="682"/>
      <c r="AF31" s="682"/>
      <c r="AG31" s="77"/>
      <c r="AH31" s="683">
        <v>7827</v>
      </c>
      <c r="AI31" s="683">
        <v>7777</v>
      </c>
      <c r="AJ31" s="715"/>
      <c r="AK31" s="715"/>
      <c r="AL31" s="720"/>
      <c r="AM31" s="721"/>
    </row>
    <row customHeight="1" ht="14.25">
      <c r="A32" s="49"/>
      <c r="B32" s="683">
        <v>1183</v>
      </c>
      <c r="C32" s="231"/>
      <c r="D32" s="231"/>
      <c r="E32" s="716">
        <v>3640</v>
      </c>
      <c r="F32" s="78"/>
      <c r="G32" s="231">
        <v>1885</v>
      </c>
      <c r="H32" s="231"/>
      <c r="I32" s="231">
        <v>119</v>
      </c>
      <c r="J32" s="231"/>
      <c r="K32" s="231">
        <v>316</v>
      </c>
      <c r="L32" s="231"/>
      <c r="M32" s="77"/>
      <c r="N32" s="77"/>
      <c r="O32" s="231">
        <v>1679</v>
      </c>
      <c r="P32" s="231"/>
      <c r="Q32" s="77"/>
      <c r="R32" s="77"/>
      <c r="S32" s="76"/>
      <c r="T32" s="76"/>
      <c r="U32" s="77"/>
      <c r="V32" s="77"/>
      <c r="W32" s="718">
        <v>3178</v>
      </c>
      <c r="X32" s="88"/>
      <c r="Y32" s="76"/>
      <c r="Z32" s="76"/>
      <c r="AA32" s="231">
        <v>3132</v>
      </c>
      <c r="AB32" s="231"/>
      <c r="AC32" s="77"/>
      <c r="AD32" s="77"/>
      <c r="AE32" s="682"/>
      <c r="AF32" s="682"/>
      <c r="AG32" s="77"/>
      <c r="AH32" s="683">
        <v>7789</v>
      </c>
      <c r="AI32" s="683">
        <v>7713</v>
      </c>
      <c r="AJ32" s="715"/>
      <c r="AK32" s="715"/>
      <c r="AL32" s="720"/>
      <c r="AM32" s="721"/>
    </row>
    <row customHeight="1" ht="14.25">
      <c r="A33" s="49" t="s">
        <v>121</v>
      </c>
      <c r="B33" s="683">
        <v>787</v>
      </c>
      <c r="C33" s="231"/>
      <c r="D33" s="231"/>
      <c r="E33" s="238"/>
      <c r="F33" s="238"/>
      <c r="G33" s="231">
        <v>1238</v>
      </c>
      <c r="H33" s="231"/>
      <c r="I33" s="231">
        <v>74</v>
      </c>
      <c r="J33" s="231"/>
      <c r="K33" s="231">
        <v>204</v>
      </c>
      <c r="L33" s="231"/>
      <c r="M33" s="256"/>
      <c r="N33" s="256"/>
      <c r="O33" s="231">
        <v>1090</v>
      </c>
      <c r="P33" s="231"/>
      <c r="Q33" s="256"/>
      <c r="R33" s="256"/>
      <c r="S33" s="231"/>
      <c r="T33" s="231"/>
      <c r="U33" s="256"/>
      <c r="V33" s="256"/>
      <c r="W33" s="62">
        <v>2081</v>
      </c>
      <c r="X33" s="668"/>
      <c r="Y33" s="62"/>
      <c r="Z33" s="62"/>
      <c r="AA33" s="231">
        <v>2064</v>
      </c>
      <c r="AB33" s="231"/>
      <c r="AC33" s="256"/>
      <c r="AD33" s="256"/>
      <c r="AE33" s="84"/>
      <c r="AF33" s="84"/>
      <c r="AG33" s="56"/>
      <c r="AH33" s="683">
        <v>5162</v>
      </c>
      <c r="AI33" s="683">
        <v>5152</v>
      </c>
      <c r="AJ33" s="713"/>
      <c r="AK33" s="713"/>
      <c r="AL33" s="709" t="s">
        <v>205</v>
      </c>
      <c r="AM33" s="711"/>
    </row>
    <row customHeight="1" ht="14.25">
      <c r="A34" s="271" t="s">
        <v>100</v>
      </c>
      <c r="B34" s="239" t="s">
        <v>169</v>
      </c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  <c r="Y34" s="724" t="s">
        <v>170</v>
      </c>
      <c r="Z34" s="725"/>
      <c r="AA34" s="725"/>
      <c r="AB34" s="725"/>
      <c r="AC34" s="725"/>
      <c r="AD34" s="725"/>
      <c r="AE34" s="725"/>
      <c r="AF34" s="725"/>
      <c r="AG34" s="725"/>
      <c r="AH34" s="725"/>
      <c r="AI34" s="725"/>
      <c r="AJ34" s="725"/>
      <c r="AK34" s="725"/>
      <c r="AL34" s="725"/>
      <c r="AM34" s="726"/>
    </row>
    <row customHeight="1" ht="14.25">
      <c r="A35" s="271"/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727"/>
      <c r="Z35" s="728"/>
      <c r="AA35" s="728"/>
      <c r="AB35" s="728"/>
      <c r="AC35" s="728"/>
      <c r="AD35" s="728"/>
      <c r="AE35" s="728"/>
      <c r="AF35" s="728"/>
      <c r="AG35" s="728"/>
      <c r="AH35" s="728"/>
      <c r="AI35" s="728"/>
      <c r="AJ35" s="728"/>
      <c r="AK35" s="728"/>
      <c r="AL35" s="728"/>
      <c r="AM35" s="729"/>
    </row>
    <row customHeight="1" ht="14.25">
      <c r="A36" s="271"/>
      <c r="B36" s="239" t="s">
        <v>173</v>
      </c>
      <c r="C36" s="239"/>
      <c r="D36" s="239" t="s">
        <v>174</v>
      </c>
      <c r="E36" s="239"/>
      <c r="F36" s="239"/>
      <c r="G36" s="239"/>
      <c r="H36" s="239" t="s">
        <v>112</v>
      </c>
      <c r="I36" s="239"/>
      <c r="J36" s="239"/>
      <c r="K36" s="239"/>
      <c r="L36" s="707" t="s">
        <v>175</v>
      </c>
      <c r="M36" s="707"/>
      <c r="N36" s="707"/>
      <c r="O36" s="707"/>
      <c r="P36" s="707" t="s">
        <v>176</v>
      </c>
      <c r="Q36" s="707"/>
      <c r="R36" s="707"/>
      <c r="S36" s="707"/>
      <c r="T36" s="707" t="s">
        <v>108</v>
      </c>
      <c r="U36" s="707"/>
      <c r="V36" s="707"/>
      <c r="W36" s="239" t="s">
        <v>109</v>
      </c>
      <c r="X36" s="239"/>
      <c r="Y36" s="695" t="s">
        <v>103</v>
      </c>
      <c r="Z36" s="695"/>
      <c r="AA36" s="695" t="s">
        <v>177</v>
      </c>
      <c r="AB36" s="695"/>
      <c r="AC36" s="695"/>
      <c r="AD36" s="695"/>
      <c r="AE36" s="709" t="s">
        <v>178</v>
      </c>
      <c r="AF36" s="710"/>
      <c r="AG36" s="730"/>
      <c r="AH36" s="709" t="s">
        <v>179</v>
      </c>
      <c r="AI36" s="710"/>
      <c r="AJ36" s="730"/>
      <c r="AK36" s="709" t="s">
        <v>181</v>
      </c>
      <c r="AL36" s="710"/>
      <c r="AM36" s="711"/>
    </row>
    <row customHeight="1" ht="14.25">
      <c r="A37" s="271"/>
      <c r="B37" s="239" t="s">
        <v>114</v>
      </c>
      <c r="C37" s="239"/>
      <c r="D37" s="239" t="s">
        <v>114</v>
      </c>
      <c r="E37" s="239"/>
      <c r="F37" s="239" t="s">
        <v>115</v>
      </c>
      <c r="G37" s="239"/>
      <c r="H37" s="239" t="s">
        <v>114</v>
      </c>
      <c r="I37" s="239"/>
      <c r="J37" s="239" t="s">
        <v>115</v>
      </c>
      <c r="K37" s="239"/>
      <c r="L37" s="239" t="s">
        <v>114</v>
      </c>
      <c r="M37" s="239"/>
      <c r="N37" s="239" t="s">
        <v>115</v>
      </c>
      <c r="O37" s="239"/>
      <c r="P37" s="239" t="s">
        <v>114</v>
      </c>
      <c r="Q37" s="239"/>
      <c r="R37" s="239" t="s">
        <v>115</v>
      </c>
      <c r="S37" s="239"/>
      <c r="T37" s="239" t="s">
        <v>114</v>
      </c>
      <c r="U37" s="239"/>
      <c r="V37" s="53" t="s">
        <v>115</v>
      </c>
      <c r="W37" s="53" t="s">
        <v>114</v>
      </c>
      <c r="X37" s="53" t="s">
        <v>115</v>
      </c>
      <c r="Y37" s="695" t="s">
        <v>114</v>
      </c>
      <c r="Z37" s="695"/>
      <c r="AA37" s="695" t="s">
        <v>114</v>
      </c>
      <c r="AB37" s="695"/>
      <c r="AC37" s="695" t="s">
        <v>115</v>
      </c>
      <c r="AD37" s="695"/>
      <c r="AE37" s="709" t="s">
        <v>114</v>
      </c>
      <c r="AF37" s="730"/>
      <c r="AG37" s="708" t="s">
        <v>115</v>
      </c>
      <c r="AH37" s="709" t="s">
        <v>114</v>
      </c>
      <c r="AI37" s="730"/>
      <c r="AJ37" s="708" t="s">
        <v>115</v>
      </c>
      <c r="AK37" s="708" t="s">
        <v>114</v>
      </c>
      <c r="AL37" s="709" t="s">
        <v>115</v>
      </c>
      <c r="AM37" s="711"/>
    </row>
    <row customHeight="1" ht="14.25">
      <c r="A38" s="49" t="s">
        <v>116</v>
      </c>
      <c r="B38" s="668">
        <v>1822</v>
      </c>
      <c r="C38" s="668"/>
      <c r="D38" s="231">
        <v>1737</v>
      </c>
      <c r="E38" s="231"/>
      <c r="F38" s="256"/>
      <c r="G38" s="256"/>
      <c r="H38" s="668">
        <v>50</v>
      </c>
      <c r="I38" s="668"/>
      <c r="J38" s="256"/>
      <c r="K38" s="256"/>
      <c r="L38" s="668">
        <v>18</v>
      </c>
      <c r="M38" s="668"/>
      <c r="N38" s="256"/>
      <c r="O38" s="256"/>
      <c r="P38" s="668">
        <v>28</v>
      </c>
      <c r="Q38" s="668"/>
      <c r="R38" s="256"/>
      <c r="S38" s="256"/>
      <c r="T38" s="231"/>
      <c r="U38" s="231"/>
      <c r="V38" s="56"/>
      <c r="W38" s="54"/>
      <c r="X38" s="75">
        <f>SUM(Y38,Z38)</f>
        <v>377.0001</v>
      </c>
      <c r="Y38" s="668">
        <v>377</v>
      </c>
      <c r="Z38" s="668">
        <v>0.0001</v>
      </c>
      <c r="AA38" s="668">
        <v>86</v>
      </c>
      <c r="AB38" s="668"/>
      <c r="AC38" s="732"/>
      <c r="AD38" s="733"/>
      <c r="AE38" s="668">
        <v>229</v>
      </c>
      <c r="AF38" s="668"/>
      <c r="AG38" s="734"/>
      <c r="AH38" s="668">
        <v>53</v>
      </c>
      <c r="AI38" s="668"/>
      <c r="AJ38" s="735">
        <v>0</v>
      </c>
      <c r="AK38" s="668"/>
      <c r="AL38" s="709"/>
      <c r="AM38" s="711"/>
    </row>
    <row customHeight="1" ht="14.25">
      <c r="A39" s="49" t="s">
        <v>117</v>
      </c>
      <c r="B39" s="668">
        <v>1824</v>
      </c>
      <c r="C39" s="668"/>
      <c r="D39" s="668">
        <v>1723</v>
      </c>
      <c r="E39" s="668"/>
      <c r="F39" s="256"/>
      <c r="G39" s="256"/>
      <c r="H39" s="668">
        <v>52</v>
      </c>
      <c r="I39" s="668"/>
      <c r="J39" s="256"/>
      <c r="K39" s="256"/>
      <c r="L39" s="668">
        <v>18</v>
      </c>
      <c r="M39" s="668"/>
      <c r="N39" s="256"/>
      <c r="O39" s="256"/>
      <c r="P39" s="668">
        <v>30</v>
      </c>
      <c r="Q39" s="668"/>
      <c r="R39" s="256"/>
      <c r="S39" s="256"/>
      <c r="T39" s="231"/>
      <c r="U39" s="231"/>
      <c r="V39" s="56"/>
      <c r="W39" s="54"/>
      <c r="X39" s="75">
        <f>SUM(Y39,Z39)</f>
        <v>364</v>
      </c>
      <c r="Y39" s="668">
        <v>364</v>
      </c>
      <c r="Z39" s="668">
        <v>0</v>
      </c>
      <c r="AA39" s="668">
        <v>80</v>
      </c>
      <c r="AB39" s="668"/>
      <c r="AC39" s="732"/>
      <c r="AD39" s="733"/>
      <c r="AE39" s="668">
        <v>223</v>
      </c>
      <c r="AF39" s="668"/>
      <c r="AG39" s="734"/>
      <c r="AH39" s="668">
        <v>52</v>
      </c>
      <c r="AI39" s="668"/>
      <c r="AJ39" s="735">
        <v>0</v>
      </c>
      <c r="AK39" s="668"/>
      <c r="AL39" s="709"/>
      <c r="AM39" s="711"/>
    </row>
    <row customHeight="1" ht="14.25">
      <c r="A40" s="49" t="s">
        <v>204</v>
      </c>
      <c r="B40" s="668">
        <v>1225</v>
      </c>
      <c r="C40" s="668"/>
      <c r="D40" s="668">
        <v>1160</v>
      </c>
      <c r="E40" s="668"/>
      <c r="F40" s="256"/>
      <c r="G40" s="256"/>
      <c r="H40" s="668">
        <v>36</v>
      </c>
      <c r="I40" s="668"/>
      <c r="J40" s="256"/>
      <c r="K40" s="256"/>
      <c r="L40" s="668">
        <v>12</v>
      </c>
      <c r="M40" s="668"/>
      <c r="N40" s="256"/>
      <c r="O40" s="256"/>
      <c r="P40" s="668">
        <v>21</v>
      </c>
      <c r="Q40" s="668"/>
      <c r="R40" s="256"/>
      <c r="S40" s="256"/>
      <c r="T40" s="231"/>
      <c r="U40" s="231"/>
      <c r="V40" s="56"/>
      <c r="W40" s="54"/>
      <c r="X40" s="75">
        <f>SUM(Y40,Z40)</f>
        <v>254</v>
      </c>
      <c r="Y40" s="668">
        <v>254</v>
      </c>
      <c r="Z40" s="668">
        <v>0</v>
      </c>
      <c r="AA40" s="668">
        <v>60</v>
      </c>
      <c r="AB40" s="668"/>
      <c r="AC40" s="732"/>
      <c r="AD40" s="733"/>
      <c r="AE40" s="668">
        <v>152</v>
      </c>
      <c r="AF40" s="668"/>
      <c r="AG40" s="734"/>
      <c r="AH40" s="668">
        <v>36</v>
      </c>
      <c r="AI40" s="668"/>
      <c r="AJ40" s="735">
        <v>0</v>
      </c>
      <c r="AK40" s="668"/>
      <c r="AL40" s="709"/>
      <c r="AM40" s="711"/>
    </row>
    <row customHeight="1" ht="14.25">
      <c r="A41" s="49" t="s">
        <v>120</v>
      </c>
      <c r="B41" s="674"/>
      <c r="C41" s="674"/>
      <c r="D41" s="674"/>
      <c r="E41" s="674"/>
      <c r="F41" s="714"/>
      <c r="G41" s="714"/>
      <c r="H41" s="674"/>
      <c r="I41" s="674"/>
      <c r="J41" s="714"/>
      <c r="K41" s="714"/>
      <c r="L41" s="674"/>
      <c r="M41" s="674"/>
      <c r="N41" s="714"/>
      <c r="O41" s="714"/>
      <c r="P41" s="674"/>
      <c r="Q41" s="674"/>
      <c r="R41" s="714"/>
      <c r="S41" s="714"/>
      <c r="T41" s="674"/>
      <c r="U41" s="674"/>
      <c r="V41" s="675"/>
      <c r="W41" s="677"/>
      <c r="X41" s="675"/>
      <c r="Y41" s="736"/>
      <c r="Z41" s="736"/>
      <c r="AA41" s="736"/>
      <c r="AB41" s="736"/>
      <c r="AC41" s="737"/>
      <c r="AD41" s="737"/>
      <c r="AE41" s="736"/>
      <c r="AF41" s="736"/>
      <c r="AG41" s="738"/>
      <c r="AH41" s="736"/>
      <c r="AI41" s="736"/>
      <c r="AJ41" s="738"/>
      <c r="AK41" s="715"/>
      <c r="AL41" s="709"/>
      <c r="AM41" s="711"/>
    </row>
    <row customHeight="1" ht="14.25">
      <c r="A42" s="49"/>
      <c r="B42" s="231">
        <v>9202</v>
      </c>
      <c r="C42" s="231"/>
      <c r="D42" s="231">
        <v>8677</v>
      </c>
      <c r="E42" s="231"/>
      <c r="F42" s="77"/>
      <c r="G42" s="77"/>
      <c r="H42" s="231">
        <v>254</v>
      </c>
      <c r="I42" s="231"/>
      <c r="J42" s="77"/>
      <c r="K42" s="77"/>
      <c r="L42" s="231">
        <v>90</v>
      </c>
      <c r="M42" s="231"/>
      <c r="N42" s="77"/>
      <c r="O42" s="77"/>
      <c r="P42" s="231">
        <v>140</v>
      </c>
      <c r="Q42" s="231"/>
      <c r="R42" s="77"/>
      <c r="S42" s="77"/>
      <c r="T42" s="76"/>
      <c r="U42" s="76"/>
      <c r="V42" s="77"/>
      <c r="W42" s="76"/>
      <c r="X42" s="77"/>
      <c r="Y42" s="739">
        <v>1917</v>
      </c>
      <c r="Z42" s="740"/>
      <c r="AA42" s="741">
        <v>420</v>
      </c>
      <c r="AB42" s="741"/>
      <c r="AC42" s="715"/>
      <c r="AD42" s="715"/>
      <c r="AE42" s="742">
        <v>1195</v>
      </c>
      <c r="AF42" s="743"/>
      <c r="AG42" s="734"/>
      <c r="AH42" s="742">
        <v>255</v>
      </c>
      <c r="AI42" s="743"/>
      <c r="AJ42" s="735">
        <v>0</v>
      </c>
      <c r="AK42" s="683"/>
      <c r="AL42" s="720"/>
      <c r="AM42" s="721"/>
    </row>
    <row customHeight="1" ht="14.25">
      <c r="A43" s="49"/>
      <c r="B43" s="231">
        <v>9178</v>
      </c>
      <c r="C43" s="231"/>
      <c r="D43" s="231">
        <v>8658</v>
      </c>
      <c r="E43" s="231"/>
      <c r="F43" s="77"/>
      <c r="G43" s="77"/>
      <c r="H43" s="231">
        <v>253</v>
      </c>
      <c r="I43" s="231"/>
      <c r="J43" s="77"/>
      <c r="K43" s="77"/>
      <c r="L43" s="231">
        <v>91</v>
      </c>
      <c r="M43" s="231"/>
      <c r="N43" s="77"/>
      <c r="O43" s="77"/>
      <c r="P43" s="231">
        <v>144</v>
      </c>
      <c r="Q43" s="231"/>
      <c r="R43" s="77"/>
      <c r="S43" s="77"/>
      <c r="T43" s="76"/>
      <c r="U43" s="76"/>
      <c r="V43" s="77"/>
      <c r="W43" s="76"/>
      <c r="X43" s="77"/>
      <c r="Y43" s="683">
        <v>1852.0002</v>
      </c>
      <c r="Z43" s="740"/>
      <c r="AA43" s="741">
        <v>379</v>
      </c>
      <c r="AB43" s="741"/>
      <c r="AC43" s="715"/>
      <c r="AD43" s="715"/>
      <c r="AE43" s="742">
        <v>1171</v>
      </c>
      <c r="AF43" s="743"/>
      <c r="AG43" s="734"/>
      <c r="AH43" s="742">
        <v>257</v>
      </c>
      <c r="AI43" s="743"/>
      <c r="AJ43" s="735">
        <v>0</v>
      </c>
      <c r="AK43" s="683"/>
      <c r="AL43" s="720"/>
      <c r="AM43" s="721"/>
    </row>
    <row customHeight="1" ht="14.25">
      <c r="A44" s="49" t="s">
        <v>121</v>
      </c>
      <c r="B44" s="231">
        <v>6128</v>
      </c>
      <c r="C44" s="231"/>
      <c r="D44" s="231">
        <v>5783</v>
      </c>
      <c r="E44" s="231"/>
      <c r="F44" s="256"/>
      <c r="G44" s="256"/>
      <c r="H44" s="231">
        <v>166</v>
      </c>
      <c r="I44" s="231"/>
      <c r="J44" s="256"/>
      <c r="K44" s="256"/>
      <c r="L44" s="231">
        <v>60</v>
      </c>
      <c r="M44" s="231"/>
      <c r="N44" s="256"/>
      <c r="O44" s="256"/>
      <c r="P44" s="231">
        <v>96</v>
      </c>
      <c r="Q44" s="231"/>
      <c r="R44" s="256"/>
      <c r="S44" s="256"/>
      <c r="T44" s="231"/>
      <c r="U44" s="231"/>
      <c r="V44" s="56"/>
      <c r="W44" s="54"/>
      <c r="X44" s="56"/>
      <c r="Y44" s="683">
        <v>1314</v>
      </c>
      <c r="Z44" s="668"/>
      <c r="AA44" s="741">
        <v>304</v>
      </c>
      <c r="AB44" s="741"/>
      <c r="AC44" s="736"/>
      <c r="AD44" s="736"/>
      <c r="AE44" s="742">
        <v>780</v>
      </c>
      <c r="AF44" s="743"/>
      <c r="AG44" s="734"/>
      <c r="AH44" s="742">
        <v>170</v>
      </c>
      <c r="AI44" s="743"/>
      <c r="AJ44" s="735">
        <v>0</v>
      </c>
      <c r="AK44" s="683"/>
      <c r="AL44" s="709"/>
      <c r="AM44" s="711"/>
    </row>
    <row customHeight="1" ht="14.25">
      <c r="A45" s="271" t="s">
        <v>100</v>
      </c>
      <c r="B45" s="255" t="s">
        <v>186</v>
      </c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744" t="s">
        <v>187</v>
      </c>
      <c r="AB45" s="744"/>
      <c r="AC45" s="744"/>
      <c r="AD45" s="744"/>
      <c r="AE45" s="744"/>
      <c r="AF45" s="744"/>
      <c r="AG45" s="745" t="s">
        <v>188</v>
      </c>
      <c r="AH45" s="746"/>
      <c r="AI45" s="746"/>
      <c r="AJ45" s="746"/>
      <c r="AK45" s="746"/>
      <c r="AL45" s="746"/>
      <c r="AM45" s="747"/>
    </row>
    <row customHeight="1" ht="14.25">
      <c r="A46" s="271"/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55"/>
      <c r="T46" s="255"/>
      <c r="U46" s="255"/>
      <c r="V46" s="255"/>
      <c r="W46" s="255"/>
      <c r="X46" s="255"/>
      <c r="Y46" s="255"/>
      <c r="Z46" s="255"/>
      <c r="AA46" s="744"/>
      <c r="AB46" s="744"/>
      <c r="AC46" s="744"/>
      <c r="AD46" s="744"/>
      <c r="AE46" s="744"/>
      <c r="AF46" s="744"/>
      <c r="AG46" s="748"/>
      <c r="AH46" s="749"/>
      <c r="AI46" s="749"/>
      <c r="AJ46" s="749"/>
      <c r="AK46" s="749"/>
      <c r="AL46" s="749"/>
      <c r="AM46" s="750"/>
    </row>
    <row customHeight="1" ht="14.25">
      <c r="A47" s="271"/>
      <c r="B47" s="288" t="s">
        <v>173</v>
      </c>
      <c r="C47" s="289"/>
      <c r="D47" s="289"/>
      <c r="E47" s="289"/>
      <c r="F47" s="290"/>
      <c r="G47" s="288" t="s">
        <v>206</v>
      </c>
      <c r="H47" s="290"/>
      <c r="I47" s="288" t="s">
        <v>127</v>
      </c>
      <c r="J47" s="290"/>
      <c r="K47" s="255" t="s">
        <v>179</v>
      </c>
      <c r="L47" s="255"/>
      <c r="M47" s="255"/>
      <c r="N47" s="255"/>
      <c r="O47" s="255" t="s">
        <v>192</v>
      </c>
      <c r="P47" s="255"/>
      <c r="Q47" s="255"/>
      <c r="R47" s="255"/>
      <c r="S47" s="255" t="s">
        <v>193</v>
      </c>
      <c r="T47" s="255"/>
      <c r="U47" s="255"/>
      <c r="V47" s="255"/>
      <c r="W47" s="744" t="s">
        <v>109</v>
      </c>
      <c r="X47" s="744"/>
      <c r="Y47" s="744"/>
      <c r="Z47" s="744"/>
      <c r="AA47" s="255" t="s">
        <v>196</v>
      </c>
      <c r="AB47" s="255"/>
      <c r="AC47" s="255"/>
      <c r="AD47" s="255"/>
      <c r="AE47" s="255" t="s">
        <v>197</v>
      </c>
      <c r="AF47" s="255"/>
      <c r="AG47" s="754"/>
      <c r="AH47" s="755"/>
      <c r="AI47" s="755"/>
      <c r="AJ47" s="755"/>
      <c r="AK47" s="755"/>
      <c r="AL47" s="755"/>
      <c r="AM47" s="756"/>
    </row>
    <row customHeight="1" ht="14.25">
      <c r="A48" s="271"/>
      <c r="B48" s="288" t="s">
        <v>114</v>
      </c>
      <c r="C48" s="289"/>
      <c r="D48" s="289"/>
      <c r="E48" s="289"/>
      <c r="F48" s="290"/>
      <c r="G48" s="60" t="s">
        <v>114</v>
      </c>
      <c r="H48" s="60" t="s">
        <v>115</v>
      </c>
      <c r="I48" s="53" t="s">
        <v>114</v>
      </c>
      <c r="J48" s="53" t="s">
        <v>115</v>
      </c>
      <c r="K48" s="239" t="s">
        <v>114</v>
      </c>
      <c r="L48" s="239"/>
      <c r="M48" s="239" t="s">
        <v>115</v>
      </c>
      <c r="N48" s="239" t="s">
        <v>115</v>
      </c>
      <c r="O48" s="239" t="s">
        <v>114</v>
      </c>
      <c r="P48" s="239"/>
      <c r="Q48" s="239" t="s">
        <v>115</v>
      </c>
      <c r="R48" s="239" t="s">
        <v>115</v>
      </c>
      <c r="S48" s="239" t="s">
        <v>114</v>
      </c>
      <c r="T48" s="239"/>
      <c r="U48" s="239" t="s">
        <v>115</v>
      </c>
      <c r="V48" s="239" t="s">
        <v>115</v>
      </c>
      <c r="W48" s="239" t="s">
        <v>114</v>
      </c>
      <c r="X48" s="239"/>
      <c r="Y48" s="239" t="s">
        <v>115</v>
      </c>
      <c r="Z48" s="239"/>
      <c r="AA48" s="239" t="s">
        <v>114</v>
      </c>
      <c r="AB48" s="239"/>
      <c r="AC48" s="255" t="s">
        <v>115</v>
      </c>
      <c r="AD48" s="255"/>
      <c r="AE48" s="60" t="s">
        <v>114</v>
      </c>
      <c r="AF48" s="60" t="s">
        <v>115</v>
      </c>
      <c r="AG48" s="754"/>
      <c r="AH48" s="755"/>
      <c r="AI48" s="755"/>
      <c r="AJ48" s="755"/>
      <c r="AK48" s="755"/>
      <c r="AL48" s="755"/>
      <c r="AM48" s="756"/>
    </row>
    <row customHeight="1" ht="14.25">
      <c r="A49" s="49" t="s">
        <v>116</v>
      </c>
      <c r="B49" s="758">
        <v>115</v>
      </c>
      <c r="C49" s="758">
        <v>165</v>
      </c>
      <c r="D49" s="758">
        <v>262</v>
      </c>
      <c r="E49" s="759">
        <v>116</v>
      </c>
      <c r="F49" s="105">
        <f>SUM(B49,C49,D49,E49)</f>
        <v>658</v>
      </c>
      <c r="G49" s="668">
        <v>0.04</v>
      </c>
      <c r="H49" s="65"/>
      <c r="I49" s="668">
        <v>132</v>
      </c>
      <c r="J49" s="67"/>
      <c r="K49" s="668">
        <v>65</v>
      </c>
      <c r="L49" s="668"/>
      <c r="M49" s="238"/>
      <c r="N49" s="238"/>
      <c r="O49" s="668">
        <v>338</v>
      </c>
      <c r="P49" s="668"/>
      <c r="Q49" s="238"/>
      <c r="R49" s="238"/>
      <c r="S49" s="668">
        <v>69</v>
      </c>
      <c r="T49" s="668"/>
      <c r="U49" s="238"/>
      <c r="V49" s="238"/>
      <c r="W49" s="304"/>
      <c r="X49" s="304"/>
      <c r="Y49" s="238"/>
      <c r="Z49" s="238"/>
      <c r="AA49" s="668">
        <v>248</v>
      </c>
      <c r="AB49" s="668"/>
      <c r="AC49" s="238"/>
      <c r="AD49" s="238"/>
      <c r="AE49" s="668">
        <v>262</v>
      </c>
      <c r="AF49" s="57"/>
      <c r="AG49" s="754"/>
      <c r="AH49" s="755"/>
      <c r="AI49" s="755"/>
      <c r="AJ49" s="755"/>
      <c r="AK49" s="755"/>
      <c r="AL49" s="755"/>
      <c r="AM49" s="756"/>
    </row>
    <row customHeight="1" ht="14.25">
      <c r="A50" s="49" t="s">
        <v>117</v>
      </c>
      <c r="B50" s="758">
        <v>113</v>
      </c>
      <c r="C50" s="758">
        <v>171</v>
      </c>
      <c r="D50" s="758">
        <v>232</v>
      </c>
      <c r="E50" s="759">
        <v>117</v>
      </c>
      <c r="F50" s="105">
        <f>SUM(B50,C50,D50,E50)</f>
        <v>633</v>
      </c>
      <c r="G50" s="668">
        <v>0.04</v>
      </c>
      <c r="H50" s="62"/>
      <c r="I50" s="668">
        <v>127</v>
      </c>
      <c r="J50" s="61"/>
      <c r="K50" s="668">
        <v>62</v>
      </c>
      <c r="L50" s="668"/>
      <c r="M50" s="256"/>
      <c r="N50" s="256"/>
      <c r="O50" s="668">
        <v>359</v>
      </c>
      <c r="P50" s="668"/>
      <c r="Q50" s="256"/>
      <c r="R50" s="256"/>
      <c r="S50" s="668">
        <v>69</v>
      </c>
      <c r="T50" s="668"/>
      <c r="U50" s="256"/>
      <c r="V50" s="256"/>
      <c r="W50" s="231"/>
      <c r="X50" s="231"/>
      <c r="Y50" s="256"/>
      <c r="Z50" s="256"/>
      <c r="AA50" s="739">
        <v>255</v>
      </c>
      <c r="AB50" s="668"/>
      <c r="AC50" s="238"/>
      <c r="AD50" s="238"/>
      <c r="AE50" s="668">
        <v>262</v>
      </c>
      <c r="AF50" s="57"/>
      <c r="AG50" s="754"/>
      <c r="AH50" s="755"/>
      <c r="AI50" s="755"/>
      <c r="AJ50" s="755"/>
      <c r="AK50" s="755"/>
      <c r="AL50" s="755"/>
      <c r="AM50" s="756"/>
    </row>
    <row customHeight="1" ht="14.25">
      <c r="A51" s="49" t="s">
        <v>204</v>
      </c>
      <c r="B51" s="758">
        <v>76</v>
      </c>
      <c r="C51" s="758">
        <v>113</v>
      </c>
      <c r="D51" s="758">
        <v>143</v>
      </c>
      <c r="E51" s="759">
        <v>78</v>
      </c>
      <c r="F51" s="105">
        <f>SUM(B51,C51,D51,E51)</f>
        <v>410</v>
      </c>
      <c r="G51" s="668">
        <v>0.03</v>
      </c>
      <c r="H51" s="62"/>
      <c r="I51" s="668">
        <v>93</v>
      </c>
      <c r="J51" s="61"/>
      <c r="K51" s="668">
        <v>37</v>
      </c>
      <c r="L51" s="668"/>
      <c r="M51" s="256"/>
      <c r="N51" s="256"/>
      <c r="O51" s="668">
        <v>231</v>
      </c>
      <c r="P51" s="668"/>
      <c r="Q51" s="256"/>
      <c r="R51" s="256"/>
      <c r="S51" s="668">
        <v>46</v>
      </c>
      <c r="T51" s="668"/>
      <c r="U51" s="256"/>
      <c r="V51" s="256"/>
      <c r="W51" s="231"/>
      <c r="X51" s="231"/>
      <c r="Y51" s="256"/>
      <c r="Z51" s="256"/>
      <c r="AA51" s="739">
        <v>168</v>
      </c>
      <c r="AB51" s="668"/>
      <c r="AC51" s="238"/>
      <c r="AD51" s="238"/>
      <c r="AE51" s="668">
        <v>173</v>
      </c>
      <c r="AF51" s="57"/>
      <c r="AG51" s="754"/>
      <c r="AH51" s="755"/>
      <c r="AI51" s="755"/>
      <c r="AJ51" s="755"/>
      <c r="AK51" s="755"/>
      <c r="AL51" s="755"/>
      <c r="AM51" s="756"/>
    </row>
    <row customHeight="1" ht="14.25">
      <c r="A52" s="49" t="s">
        <v>120</v>
      </c>
      <c r="B52" s="677"/>
      <c r="C52" s="766"/>
      <c r="D52" s="766"/>
      <c r="E52" s="673"/>
      <c r="F52" s="673"/>
      <c r="G52" s="766"/>
      <c r="H52" s="766"/>
      <c r="I52" s="673"/>
      <c r="J52" s="673"/>
      <c r="K52" s="766"/>
      <c r="L52" s="766"/>
      <c r="M52" s="673"/>
      <c r="N52" s="673"/>
      <c r="O52" s="766"/>
      <c r="P52" s="766"/>
      <c r="Q52" s="673"/>
      <c r="R52" s="673"/>
      <c r="S52" s="766"/>
      <c r="T52" s="766"/>
      <c r="U52" s="673"/>
      <c r="V52" s="673"/>
      <c r="W52" s="766"/>
      <c r="X52" s="766"/>
      <c r="Y52" s="673"/>
      <c r="Z52" s="673"/>
      <c r="AA52" s="766"/>
      <c r="AB52" s="766"/>
      <c r="AC52" s="673"/>
      <c r="AD52" s="673"/>
      <c r="AE52" s="767"/>
      <c r="AF52" s="57"/>
      <c r="AG52" s="754"/>
      <c r="AH52" s="755"/>
      <c r="AI52" s="755"/>
      <c r="AJ52" s="755"/>
      <c r="AK52" s="755"/>
      <c r="AL52" s="755"/>
      <c r="AM52" s="756"/>
    </row>
    <row customHeight="1" ht="14.25">
      <c r="A53" s="96"/>
      <c r="B53" s="769">
        <v>516</v>
      </c>
      <c r="C53" s="769">
        <v>900</v>
      </c>
      <c r="D53" s="769">
        <v>1346</v>
      </c>
      <c r="E53" s="769">
        <v>774</v>
      </c>
      <c r="F53" s="97"/>
      <c r="G53" s="771"/>
      <c r="H53" s="98"/>
      <c r="I53" s="771">
        <v>677</v>
      </c>
      <c r="J53" s="99"/>
      <c r="K53" s="228">
        <v>400</v>
      </c>
      <c r="L53" s="228"/>
      <c r="M53" s="101"/>
      <c r="N53" s="101"/>
      <c r="O53" s="228">
        <v>1879</v>
      </c>
      <c r="P53" s="228"/>
      <c r="Q53" s="101"/>
      <c r="R53" s="101"/>
      <c r="S53" s="228">
        <v>345</v>
      </c>
      <c r="T53" s="228"/>
      <c r="U53" s="101"/>
      <c r="V53" s="101"/>
      <c r="W53" s="100"/>
      <c r="X53" s="100"/>
      <c r="Y53" s="101"/>
      <c r="Z53" s="101"/>
      <c r="AA53" s="228">
        <v>1309</v>
      </c>
      <c r="AB53" s="228"/>
      <c r="AC53" s="102"/>
      <c r="AD53" s="102"/>
      <c r="AE53" s="771">
        <v>1346</v>
      </c>
      <c r="AF53" s="102"/>
      <c r="AG53" s="754"/>
      <c r="AH53" s="755"/>
      <c r="AI53" s="755"/>
      <c r="AJ53" s="755"/>
      <c r="AK53" s="755"/>
      <c r="AL53" s="755"/>
      <c r="AM53" s="756"/>
    </row>
    <row customHeight="1" ht="14.25">
      <c r="A54" s="96"/>
      <c r="B54" s="769">
        <v>534</v>
      </c>
      <c r="C54" s="769">
        <v>907</v>
      </c>
      <c r="D54" s="769">
        <v>1276</v>
      </c>
      <c r="E54" s="769">
        <v>765</v>
      </c>
      <c r="F54" s="97"/>
      <c r="G54" s="771"/>
      <c r="H54" s="98"/>
      <c r="I54" s="771">
        <v>679</v>
      </c>
      <c r="J54" s="99"/>
      <c r="K54" s="228">
        <v>393</v>
      </c>
      <c r="L54" s="228"/>
      <c r="M54" s="101"/>
      <c r="N54" s="101"/>
      <c r="O54" s="228">
        <v>1877</v>
      </c>
      <c r="P54" s="228"/>
      <c r="Q54" s="101"/>
      <c r="R54" s="101"/>
      <c r="S54" s="228">
        <v>345</v>
      </c>
      <c r="T54" s="228"/>
      <c r="U54" s="101"/>
      <c r="V54" s="101"/>
      <c r="W54" s="100"/>
      <c r="X54" s="100"/>
      <c r="Y54" s="101"/>
      <c r="Z54" s="101"/>
      <c r="AA54" s="228">
        <v>1316</v>
      </c>
      <c r="AB54" s="228"/>
      <c r="AC54" s="102"/>
      <c r="AD54" s="102"/>
      <c r="AE54" s="771">
        <v>1336</v>
      </c>
      <c r="AF54" s="102"/>
      <c r="AG54" s="754"/>
      <c r="AH54" s="755"/>
      <c r="AI54" s="755"/>
      <c r="AJ54" s="755"/>
      <c r="AK54" s="755"/>
      <c r="AL54" s="755"/>
      <c r="AM54" s="756"/>
    </row>
    <row customHeight="1" ht="14.25">
      <c r="A55" s="51" t="s">
        <v>121</v>
      </c>
      <c r="B55" s="769">
        <v>357</v>
      </c>
      <c r="C55" s="769">
        <v>600</v>
      </c>
      <c r="D55" s="769">
        <v>785</v>
      </c>
      <c r="E55" s="769">
        <v>503</v>
      </c>
      <c r="F55" s="66"/>
      <c r="G55" s="771"/>
      <c r="H55" s="64"/>
      <c r="I55" s="771">
        <v>458</v>
      </c>
      <c r="J55" s="66"/>
      <c r="K55" s="228">
        <v>245</v>
      </c>
      <c r="L55" s="228"/>
      <c r="M55" s="305"/>
      <c r="N55" s="305"/>
      <c r="O55" s="228">
        <v>1259</v>
      </c>
      <c r="P55" s="228"/>
      <c r="Q55" s="305"/>
      <c r="R55" s="305"/>
      <c r="S55" s="228">
        <v>230</v>
      </c>
      <c r="T55" s="228"/>
      <c r="U55" s="305"/>
      <c r="V55" s="305"/>
      <c r="W55" s="228"/>
      <c r="X55" s="228"/>
      <c r="Y55" s="305"/>
      <c r="Z55" s="305"/>
      <c r="AA55" s="228">
        <v>879</v>
      </c>
      <c r="AB55" s="228"/>
      <c r="AC55" s="305"/>
      <c r="AD55" s="305"/>
      <c r="AE55" s="771">
        <v>900</v>
      </c>
      <c r="AF55" s="59"/>
      <c r="AG55" s="783"/>
      <c r="AH55" s="784"/>
      <c r="AI55" s="784"/>
      <c r="AJ55" s="784"/>
      <c r="AK55" s="784"/>
      <c r="AL55" s="784"/>
      <c r="AM55" s="785"/>
    </row>
    <row customHeight="1" ht="14.25">
      <c r="A56" s="786"/>
      <c r="B56" s="786"/>
      <c r="C56" s="786"/>
      <c r="D56" s="786"/>
      <c r="E56" s="787"/>
      <c r="F56" s="787">
        <v>0</v>
      </c>
      <c r="G56" s="787">
        <v>0</v>
      </c>
      <c r="H56" s="786"/>
      <c r="I56" s="786"/>
      <c r="J56" s="786"/>
      <c r="K56" s="786"/>
      <c r="L56" s="786"/>
      <c r="M56" s="786"/>
      <c r="N56" s="786"/>
      <c r="O56" s="786"/>
      <c r="P56" s="786"/>
      <c r="Q56" s="786"/>
      <c r="R56" s="786"/>
      <c r="S56" s="786"/>
      <c r="T56" s="786"/>
      <c r="U56" s="786"/>
      <c r="V56" s="786"/>
      <c r="W56" s="786"/>
      <c r="X56" s="786"/>
      <c r="Y56" s="786"/>
      <c r="Z56" s="786">
        <f>SUM(AA56,AB56,AC56,AA57,AB57,AC57,AA58,AB58,AC58)</f>
        <v>1382</v>
      </c>
      <c r="AA56" s="685">
        <v>69</v>
      </c>
      <c r="AB56" s="739">
        <v>355</v>
      </c>
      <c r="AC56" s="739">
        <v>89</v>
      </c>
      <c r="AD56" s="735"/>
      <c r="AE56" s="786"/>
      <c r="AF56" s="786"/>
      <c r="AG56" s="786"/>
      <c r="AH56" s="786"/>
      <c r="AI56" s="786"/>
      <c r="AJ56" s="786"/>
      <c r="AK56" s="786"/>
      <c r="AL56" s="786"/>
      <c r="AM56" s="786"/>
    </row>
    <row customHeight="1" ht="14.25">
      <c r="A57" s="788" t="s">
        <v>207</v>
      </c>
      <c r="B57" s="789" t="s">
        <v>208</v>
      </c>
      <c r="C57" s="790"/>
      <c r="D57" s="791"/>
      <c r="E57" s="787">
        <v>17.56</v>
      </c>
      <c r="F57" s="787">
        <v>20</v>
      </c>
      <c r="G57" s="787">
        <v>0</v>
      </c>
      <c r="H57" s="391"/>
      <c r="I57" s="391"/>
      <c r="J57" s="391"/>
      <c r="K57" s="391"/>
      <c r="L57" s="391"/>
      <c r="M57" s="391"/>
      <c r="N57" s="391"/>
      <c r="O57" s="391"/>
      <c r="P57" s="391"/>
      <c r="Q57" s="391"/>
      <c r="R57" s="391"/>
      <c r="S57" s="391"/>
      <c r="T57" s="391"/>
      <c r="U57" s="391"/>
      <c r="V57" s="391"/>
      <c r="W57" s="391"/>
      <c r="X57" s="391"/>
      <c r="Y57" s="391"/>
      <c r="Z57" s="685"/>
      <c r="AA57" s="739">
        <v>69</v>
      </c>
      <c r="AB57" s="739">
        <v>361</v>
      </c>
      <c r="AC57" s="739">
        <v>89</v>
      </c>
      <c r="AD57" s="735">
        <v>0</v>
      </c>
      <c r="AE57" s="391"/>
      <c r="AF57" s="391"/>
      <c r="AG57" s="391"/>
      <c r="AH57" s="391"/>
      <c r="AI57" s="391"/>
      <c r="AJ57" s="391"/>
      <c r="AK57" s="391"/>
      <c r="AL57" s="391"/>
      <c r="AM57" s="391"/>
    </row>
    <row customHeight="1" ht="14.25">
      <c r="A58" s="391"/>
      <c r="B58" s="391"/>
      <c r="C58" s="391"/>
      <c r="D58" s="391"/>
      <c r="E58" s="787"/>
      <c r="F58" s="787">
        <v>0</v>
      </c>
      <c r="G58" s="391"/>
      <c r="H58" s="391"/>
      <c r="I58" s="391"/>
      <c r="J58" s="391"/>
      <c r="K58" s="391"/>
      <c r="L58" s="391"/>
      <c r="M58" s="391"/>
      <c r="N58" s="391"/>
      <c r="O58" s="391"/>
      <c r="P58" s="391"/>
      <c r="Q58" s="391"/>
      <c r="R58" s="391"/>
      <c r="S58" s="391"/>
      <c r="T58" s="391"/>
      <c r="U58" s="391"/>
      <c r="V58" s="391"/>
      <c r="W58" s="391"/>
      <c r="X58" s="391"/>
      <c r="Y58" s="391"/>
      <c r="Z58" s="391"/>
      <c r="AA58" s="792">
        <v>46</v>
      </c>
      <c r="AB58" s="739">
        <v>241</v>
      </c>
      <c r="AC58" s="739">
        <v>63</v>
      </c>
      <c r="AD58" s="735"/>
      <c r="AE58" s="391"/>
      <c r="AF58" s="391"/>
      <c r="AG58" s="391"/>
      <c r="AH58" s="391"/>
      <c r="AI58" s="391"/>
      <c r="AJ58" s="391"/>
      <c r="AK58" s="391"/>
      <c r="AL58" s="391"/>
      <c r="AM58" s="391"/>
    </row>
    <row customHeight="1" ht="14.25">
      <c r="A59" s="391"/>
      <c r="B59" s="391"/>
      <c r="C59" s="391"/>
      <c r="D59" s="391"/>
      <c r="E59" s="787"/>
      <c r="F59" s="787">
        <v>0</v>
      </c>
      <c r="G59" s="391"/>
      <c r="H59" s="391"/>
      <c r="I59" s="391"/>
      <c r="J59" s="391"/>
      <c r="K59" s="391"/>
      <c r="L59" s="391"/>
      <c r="M59" s="391"/>
      <c r="N59" s="391"/>
      <c r="O59" s="391"/>
      <c r="P59" s="391"/>
      <c r="Q59" s="391"/>
      <c r="R59" s="391"/>
      <c r="S59" s="391"/>
      <c r="T59" s="391"/>
      <c r="U59" s="391"/>
      <c r="V59" s="391"/>
      <c r="W59" s="391"/>
      <c r="X59" s="391"/>
      <c r="Y59" s="391"/>
      <c r="Z59" s="391"/>
      <c r="AA59" s="792"/>
      <c r="AB59" s="739"/>
      <c r="AC59" s="739"/>
      <c r="AD59" s="793"/>
      <c r="AE59" s="391"/>
      <c r="AF59" s="391"/>
      <c r="AG59" s="391"/>
      <c r="AH59" s="391"/>
      <c r="AI59" s="391"/>
      <c r="AJ59" s="391"/>
      <c r="AK59" s="391"/>
      <c r="AL59" s="391"/>
      <c r="AM59" s="391"/>
    </row>
    <row customHeight="1" ht="14.25">
      <c r="A60" s="391"/>
      <c r="B60" s="391"/>
      <c r="C60" s="391"/>
      <c r="D60" s="391"/>
      <c r="E60" s="787"/>
      <c r="F60" s="787">
        <v>0</v>
      </c>
      <c r="G60" s="391"/>
      <c r="H60" s="391"/>
      <c r="I60" s="391"/>
      <c r="J60" s="391"/>
      <c r="K60" s="391"/>
      <c r="L60" s="391"/>
      <c r="M60" s="391"/>
      <c r="N60" s="391"/>
      <c r="O60" s="391"/>
      <c r="P60" s="391"/>
      <c r="Q60" s="391"/>
      <c r="R60" s="391"/>
      <c r="S60" s="391"/>
      <c r="T60" s="391"/>
      <c r="U60" s="391"/>
      <c r="V60" s="391"/>
      <c r="W60" s="391"/>
      <c r="X60" s="391"/>
      <c r="Y60" s="391"/>
      <c r="Z60" s="391"/>
      <c r="AA60" s="385">
        <v>345</v>
      </c>
      <c r="AB60" s="385">
        <v>1864</v>
      </c>
      <c r="AC60" s="385">
        <v>478</v>
      </c>
      <c r="AD60" s="385">
        <v>0</v>
      </c>
      <c r="AE60" s="391"/>
      <c r="AF60" s="391"/>
      <c r="AG60" s="391"/>
      <c r="AH60" s="391"/>
      <c r="AI60" s="391"/>
      <c r="AJ60" s="391"/>
      <c r="AK60" s="391"/>
      <c r="AL60" s="391"/>
      <c r="AM60" s="391"/>
    </row>
    <row customHeight="1" ht="15.75">
      <c r="A61" s="391"/>
      <c r="B61" s="337" t="s">
        <v>128</v>
      </c>
      <c r="C61" s="583"/>
      <c r="D61" s="584"/>
      <c r="E61" s="787"/>
      <c r="F61" s="795"/>
      <c r="G61" s="338"/>
      <c r="H61" s="339"/>
      <c r="I61" s="391"/>
      <c r="J61" s="391"/>
      <c r="K61" s="391"/>
      <c r="L61" s="391"/>
      <c r="M61" s="391"/>
      <c r="N61" s="391"/>
      <c r="O61" s="391"/>
      <c r="P61" s="391"/>
      <c r="Q61" s="391"/>
      <c r="R61" s="391"/>
      <c r="S61" s="391"/>
      <c r="T61" s="391"/>
      <c r="U61" s="391"/>
      <c r="V61" s="391"/>
      <c r="W61" s="391"/>
      <c r="X61" s="391"/>
      <c r="Y61" s="391"/>
      <c r="Z61" s="391"/>
      <c r="AA61" s="385">
        <v>345</v>
      </c>
      <c r="AB61" s="385">
        <v>1848</v>
      </c>
      <c r="AC61" s="385">
        <v>472</v>
      </c>
      <c r="AD61" s="385">
        <v>0</v>
      </c>
      <c r="AE61" s="391"/>
      <c r="AF61" s="391"/>
      <c r="AG61" s="391"/>
      <c r="AH61" s="391"/>
      <c r="AI61" s="391"/>
      <c r="AJ61" s="391"/>
      <c r="AK61" s="391"/>
      <c r="AL61" s="391"/>
      <c r="AM61" s="391"/>
    </row>
    <row customHeight="1" ht="14.25">
      <c r="A62" s="391"/>
      <c r="B62" s="391"/>
      <c r="C62" s="391"/>
      <c r="D62" s="391"/>
      <c r="E62" s="787"/>
      <c r="F62" s="391"/>
      <c r="G62" s="391"/>
      <c r="H62" s="391"/>
      <c r="I62" s="391"/>
      <c r="J62" s="391"/>
      <c r="K62" s="391"/>
      <c r="L62" s="391"/>
      <c r="M62" s="391"/>
      <c r="N62" s="391"/>
      <c r="O62" s="391"/>
      <c r="P62" s="391"/>
      <c r="Q62" s="391"/>
      <c r="R62" s="391"/>
      <c r="S62" s="391"/>
      <c r="T62" s="391"/>
      <c r="U62" s="391"/>
      <c r="V62" s="391"/>
      <c r="W62" s="391"/>
      <c r="X62" s="391"/>
      <c r="Y62" s="391"/>
      <c r="Z62" s="391"/>
      <c r="AA62" s="385">
        <v>0</v>
      </c>
      <c r="AB62" s="385">
        <v>1230</v>
      </c>
      <c r="AC62" s="385">
        <v>320</v>
      </c>
      <c r="AD62" s="385"/>
      <c r="AE62" s="391"/>
      <c r="AF62" s="391"/>
      <c r="AG62" s="391"/>
      <c r="AH62" s="391"/>
      <c r="AI62" s="391"/>
      <c r="AJ62" s="391"/>
      <c r="AK62" s="391"/>
      <c r="AL62" s="391"/>
      <c r="AM62" s="391"/>
    </row>
    <row customHeight="1" ht="14.002500000000003">
      <c r="A63" s="391"/>
      <c r="B63" s="391"/>
      <c r="C63" s="391"/>
      <c r="D63" s="391"/>
      <c r="E63" s="391"/>
      <c r="F63" s="391"/>
      <c r="G63" s="391"/>
      <c r="H63" s="391"/>
      <c r="I63" s="391"/>
      <c r="J63" s="391"/>
      <c r="K63" s="391"/>
      <c r="L63" s="391"/>
      <c r="M63" s="391"/>
      <c r="N63" s="391"/>
      <c r="O63" s="391"/>
      <c r="P63" s="391"/>
      <c r="Q63" s="391"/>
      <c r="R63" s="391"/>
      <c r="S63" s="391"/>
      <c r="T63" s="391"/>
      <c r="U63" s="391"/>
      <c r="V63" s="391"/>
      <c r="W63" s="391"/>
      <c r="X63" s="391"/>
      <c r="Y63" s="391"/>
      <c r="Z63" s="391"/>
      <c r="AA63" s="391"/>
      <c r="AB63" s="391"/>
      <c r="AC63" s="391"/>
      <c r="AD63" s="391"/>
      <c r="AE63" s="391"/>
      <c r="AF63" s="391"/>
      <c r="AG63" s="391"/>
      <c r="AH63" s="391"/>
      <c r="AI63" s="391"/>
      <c r="AJ63" s="391"/>
      <c r="AK63" s="391"/>
      <c r="AL63" s="391"/>
      <c r="AM63" s="391"/>
    </row>
    <row customHeight="1" ht="14.002500000000003">
      <c r="A64" s="391"/>
      <c r="B64" s="391"/>
      <c r="C64" s="391"/>
      <c r="D64" s="391"/>
      <c r="E64" s="391"/>
      <c r="F64" s="391"/>
      <c r="G64" s="391"/>
      <c r="H64" s="391"/>
      <c r="I64" s="391"/>
      <c r="J64" s="391"/>
      <c r="K64" s="391"/>
      <c r="L64" s="391"/>
      <c r="M64" s="391"/>
      <c r="N64" s="391"/>
      <c r="O64" s="391"/>
      <c r="P64" s="391"/>
      <c r="Q64" s="391"/>
      <c r="R64" s="391"/>
      <c r="S64" s="391"/>
      <c r="T64" s="391"/>
      <c r="U64" s="391"/>
      <c r="V64" s="391"/>
      <c r="W64" s="391"/>
      <c r="X64" s="391"/>
      <c r="Y64" s="391"/>
      <c r="Z64" s="391"/>
      <c r="AA64" s="391"/>
      <c r="AB64" s="391"/>
      <c r="AC64" s="391"/>
      <c r="AD64" s="391"/>
      <c r="AE64" s="391"/>
      <c r="AF64" s="391"/>
      <c r="AG64" s="391"/>
      <c r="AH64" s="391"/>
      <c r="AI64" s="391"/>
      <c r="AJ64" s="391"/>
      <c r="AK64" s="391"/>
      <c r="AL64" s="391"/>
      <c r="AM64" s="391"/>
    </row>
    <row customHeight="1" ht="14.25">
      <c r="A65" s="391"/>
      <c r="B65" s="391"/>
      <c r="C65" s="391"/>
      <c r="D65" s="391"/>
      <c r="E65" s="391"/>
      <c r="F65" s="391"/>
      <c r="G65" s="391"/>
      <c r="H65" s="391"/>
      <c r="I65" s="391"/>
      <c r="J65" s="391"/>
      <c r="K65" s="391"/>
      <c r="L65" s="391"/>
      <c r="M65" s="391"/>
      <c r="N65" s="391"/>
      <c r="O65" s="391"/>
      <c r="P65" s="391"/>
      <c r="Q65" s="391"/>
      <c r="R65" s="391"/>
      <c r="S65" s="391"/>
      <c r="T65" s="391"/>
      <c r="U65" s="391"/>
      <c r="V65" s="391"/>
      <c r="W65" s="107"/>
      <c r="X65" s="792"/>
      <c r="Y65" s="391"/>
      <c r="Z65" s="391"/>
      <c r="AA65" s="792"/>
      <c r="AB65" s="391"/>
      <c r="AC65" s="793"/>
      <c r="AD65" s="391"/>
      <c r="AE65" s="391"/>
      <c r="AF65" s="391"/>
      <c r="AG65" s="391"/>
      <c r="AH65" s="391"/>
      <c r="AI65" s="391"/>
      <c r="AJ65" s="391"/>
      <c r="AK65" s="391"/>
      <c r="AL65" s="391"/>
      <c r="AM65" s="391"/>
    </row>
  </sheetData>
  <mergeCells count="516">
    <mergeCell ref="C61:D61"/>
    <mergeCell ref="G61:H61"/>
    <mergeCell ref="B48:F48"/>
    <mergeCell ref="AA55:AB55"/>
    <mergeCell ref="AC55:AD55"/>
    <mergeCell ref="G47:H47"/>
    <mergeCell ref="I47:J47"/>
    <mergeCell ref="O55:P55"/>
    <mergeCell ref="Q55:R55"/>
    <mergeCell ref="S55:T55"/>
    <mergeCell ref="U55:V55"/>
    <mergeCell ref="W55:X55"/>
    <mergeCell ref="Y55:Z55"/>
    <mergeCell ref="K55:L55"/>
    <mergeCell ref="M55:N55"/>
    <mergeCell ref="S52:T52"/>
    <mergeCell ref="U52:V52"/>
    <mergeCell ref="W52:X52"/>
    <mergeCell ref="Y52:Z52"/>
    <mergeCell ref="AA52:AB52"/>
    <mergeCell ref="AC52:AD52"/>
    <mergeCell ref="AC51:AD51"/>
    <mergeCell ref="K52:L52"/>
    <mergeCell ref="M52:N52"/>
    <mergeCell ref="O52:P52"/>
    <mergeCell ref="Q52:R52"/>
    <mergeCell ref="AA48:AB48"/>
    <mergeCell ref="AC48:AD48"/>
    <mergeCell ref="Q51:R51"/>
    <mergeCell ref="U51:V51"/>
    <mergeCell ref="W51:X51"/>
    <mergeCell ref="Y51:Z51"/>
    <mergeCell ref="M51:N51"/>
    <mergeCell ref="U50:V50"/>
    <mergeCell ref="W50:X50"/>
    <mergeCell ref="Y50:Z50"/>
    <mergeCell ref="AC50:AD50"/>
    <mergeCell ref="Q49:R49"/>
    <mergeCell ref="U49:V49"/>
    <mergeCell ref="W49:X49"/>
    <mergeCell ref="Y49:Z49"/>
    <mergeCell ref="M49:N49"/>
    <mergeCell ref="S48:T48"/>
    <mergeCell ref="U48:V48"/>
    <mergeCell ref="W48:X48"/>
    <mergeCell ref="Y48:Z48"/>
    <mergeCell ref="AL44:AM44"/>
    <mergeCell ref="A45:A48"/>
    <mergeCell ref="B45:Z46"/>
    <mergeCell ref="AA45:AF46"/>
    <mergeCell ref="AG45:AM45"/>
    <mergeCell ref="AG46:AM55"/>
    <mergeCell ref="L44:M44"/>
    <mergeCell ref="N44:O44"/>
    <mergeCell ref="P44:Q44"/>
    <mergeCell ref="R44:S44"/>
    <mergeCell ref="T44:U44"/>
    <mergeCell ref="AA47:AD47"/>
    <mergeCell ref="AE47:AF47"/>
    <mergeCell ref="K48:L48"/>
    <mergeCell ref="M48:N48"/>
    <mergeCell ref="O48:P48"/>
    <mergeCell ref="Q48:R48"/>
    <mergeCell ref="K47:N47"/>
    <mergeCell ref="O47:R47"/>
    <mergeCell ref="S47:V47"/>
    <mergeCell ref="W47:Z47"/>
    <mergeCell ref="AC49:AD49"/>
    <mergeCell ref="M50:N50"/>
    <mergeCell ref="Q50:R50"/>
    <mergeCell ref="B47:F47"/>
    <mergeCell ref="AA44:AB44"/>
    <mergeCell ref="AC44:AD44"/>
    <mergeCell ref="AE44:AF44"/>
    <mergeCell ref="AH44:AI44"/>
    <mergeCell ref="B44:C44"/>
    <mergeCell ref="D44:E44"/>
    <mergeCell ref="F44:G44"/>
    <mergeCell ref="H44:I44"/>
    <mergeCell ref="J44:K44"/>
    <mergeCell ref="B41:C41"/>
    <mergeCell ref="D41:E41"/>
    <mergeCell ref="F41:G41"/>
    <mergeCell ref="H41:I41"/>
    <mergeCell ref="J41:K41"/>
    <mergeCell ref="AE42:AF42"/>
    <mergeCell ref="AE43:AF43"/>
    <mergeCell ref="AH42:AI42"/>
    <mergeCell ref="AH43:AI43"/>
    <mergeCell ref="AE41:AF41"/>
    <mergeCell ref="AH41:AI41"/>
    <mergeCell ref="AL41:AM41"/>
    <mergeCell ref="T41:U41"/>
    <mergeCell ref="Y41:Z41"/>
    <mergeCell ref="F39:G39"/>
    <mergeCell ref="J39:K39"/>
    <mergeCell ref="L41:M41"/>
    <mergeCell ref="N41:O41"/>
    <mergeCell ref="P41:Q41"/>
    <mergeCell ref="R41:S41"/>
    <mergeCell ref="AC40:AD40"/>
    <mergeCell ref="AL40:AM40"/>
    <mergeCell ref="N40:O40"/>
    <mergeCell ref="R40:S40"/>
    <mergeCell ref="T40:U40"/>
    <mergeCell ref="AL37:AM37"/>
    <mergeCell ref="AC38:AD38"/>
    <mergeCell ref="AL38:AM38"/>
    <mergeCell ref="AA41:AB41"/>
    <mergeCell ref="AC39:AD39"/>
    <mergeCell ref="AL39:AM39"/>
    <mergeCell ref="D38:E38"/>
    <mergeCell ref="F38:G38"/>
    <mergeCell ref="J38:K38"/>
    <mergeCell ref="L37:M37"/>
    <mergeCell ref="N37:O37"/>
    <mergeCell ref="P37:Q37"/>
    <mergeCell ref="R37:S37"/>
    <mergeCell ref="T37:U37"/>
    <mergeCell ref="Y37:Z37"/>
    <mergeCell ref="N38:O38"/>
    <mergeCell ref="R38:S38"/>
    <mergeCell ref="T38:U38"/>
    <mergeCell ref="F40:G40"/>
    <mergeCell ref="J40:K40"/>
    <mergeCell ref="N39:O39"/>
    <mergeCell ref="R39:S39"/>
    <mergeCell ref="T39:U39"/>
    <mergeCell ref="AC41:AD41"/>
    <mergeCell ref="A34:A37"/>
    <mergeCell ref="B34:X35"/>
    <mergeCell ref="Y34:AM35"/>
    <mergeCell ref="B36:C36"/>
    <mergeCell ref="D36:G36"/>
    <mergeCell ref="H36:K36"/>
    <mergeCell ref="L36:O36"/>
    <mergeCell ref="P36:S36"/>
    <mergeCell ref="T36:V36"/>
    <mergeCell ref="W36:X36"/>
    <mergeCell ref="Y36:Z36"/>
    <mergeCell ref="AA36:AD36"/>
    <mergeCell ref="AE36:AG36"/>
    <mergeCell ref="AH36:AJ36"/>
    <mergeCell ref="AK36:AM36"/>
    <mergeCell ref="B37:C37"/>
    <mergeCell ref="D37:E37"/>
    <mergeCell ref="F37:G37"/>
    <mergeCell ref="H37:I37"/>
    <mergeCell ref="J37:K37"/>
    <mergeCell ref="AA37:AB37"/>
    <mergeCell ref="AC37:AD37"/>
    <mergeCell ref="AE37:AF37"/>
    <mergeCell ref="AH37:AI37"/>
    <mergeCell ref="S33:T33"/>
    <mergeCell ref="U33:V33"/>
    <mergeCell ref="AA33:AB33"/>
    <mergeCell ref="AC33:AD33"/>
    <mergeCell ref="AL33:AM33"/>
    <mergeCell ref="AC30:AD30"/>
    <mergeCell ref="AL30:AM30"/>
    <mergeCell ref="C33:D33"/>
    <mergeCell ref="E33:F33"/>
    <mergeCell ref="G33:H33"/>
    <mergeCell ref="I33:J33"/>
    <mergeCell ref="K33:L33"/>
    <mergeCell ref="M33:N33"/>
    <mergeCell ref="O33:P33"/>
    <mergeCell ref="Q33:R33"/>
    <mergeCell ref="O30:P30"/>
    <mergeCell ref="Q30:R30"/>
    <mergeCell ref="S30:T30"/>
    <mergeCell ref="U30:V30"/>
    <mergeCell ref="W30:Z30"/>
    <mergeCell ref="AA30:AB30"/>
    <mergeCell ref="C30:D30"/>
    <mergeCell ref="E30:F30"/>
    <mergeCell ref="I30:J30"/>
    <mergeCell ref="K30:L30"/>
    <mergeCell ref="M30:N30"/>
    <mergeCell ref="S29:T29"/>
    <mergeCell ref="U29:V29"/>
    <mergeCell ref="AC29:AD29"/>
    <mergeCell ref="AL29:AM29"/>
    <mergeCell ref="AC28:AD28"/>
    <mergeCell ref="AL28:AM28"/>
    <mergeCell ref="C29:D29"/>
    <mergeCell ref="M29:N29"/>
    <mergeCell ref="Q29:R29"/>
    <mergeCell ref="Q28:R28"/>
    <mergeCell ref="S28:T28"/>
    <mergeCell ref="U28:V28"/>
    <mergeCell ref="C28:D28"/>
    <mergeCell ref="M28:N28"/>
    <mergeCell ref="G30:H30"/>
    <mergeCell ref="AL27:AM27"/>
    <mergeCell ref="AC26:AD26"/>
    <mergeCell ref="AL26:AM26"/>
    <mergeCell ref="C27:D27"/>
    <mergeCell ref="M27:N27"/>
    <mergeCell ref="Q27:R27"/>
    <mergeCell ref="O26:P26"/>
    <mergeCell ref="Q26:R26"/>
    <mergeCell ref="S26:T26"/>
    <mergeCell ref="U26:V26"/>
    <mergeCell ref="W26:Z26"/>
    <mergeCell ref="AA26:AB26"/>
    <mergeCell ref="K26:L26"/>
    <mergeCell ref="M26:N26"/>
    <mergeCell ref="I25:J25"/>
    <mergeCell ref="K25:N25"/>
    <mergeCell ref="O25:R25"/>
    <mergeCell ref="S25:V25"/>
    <mergeCell ref="W25:Z25"/>
    <mergeCell ref="S27:T27"/>
    <mergeCell ref="U27:V27"/>
    <mergeCell ref="AC22:AD22"/>
    <mergeCell ref="AC27:AD27"/>
    <mergeCell ref="AL22:AM22"/>
    <mergeCell ref="A23:A26"/>
    <mergeCell ref="B23:F24"/>
    <mergeCell ref="G23:V24"/>
    <mergeCell ref="W23:AD24"/>
    <mergeCell ref="AE23:AG24"/>
    <mergeCell ref="AH23:AM24"/>
    <mergeCell ref="C25:F25"/>
    <mergeCell ref="Q22:R22"/>
    <mergeCell ref="S22:T22"/>
    <mergeCell ref="U22:V22"/>
    <mergeCell ref="W22:X22"/>
    <mergeCell ref="Y22:Z22"/>
    <mergeCell ref="AA22:AB22"/>
    <mergeCell ref="AA25:AD25"/>
    <mergeCell ref="AF25:AG25"/>
    <mergeCell ref="AI25:AJ25"/>
    <mergeCell ref="AK25:AM25"/>
    <mergeCell ref="C26:D26"/>
    <mergeCell ref="E26:F26"/>
    <mergeCell ref="G26:H26"/>
    <mergeCell ref="I26:J26"/>
    <mergeCell ref="C22:D22"/>
    <mergeCell ref="G25:H25"/>
    <mergeCell ref="E22:F22"/>
    <mergeCell ref="G22:H22"/>
    <mergeCell ref="I22:J22"/>
    <mergeCell ref="K22:L22"/>
    <mergeCell ref="M22:N22"/>
    <mergeCell ref="O22:P22"/>
    <mergeCell ref="Q19:R19"/>
    <mergeCell ref="S19:T19"/>
    <mergeCell ref="AJ18:AK18"/>
    <mergeCell ref="I18:J18"/>
    <mergeCell ref="M18:N18"/>
    <mergeCell ref="S20:T20"/>
    <mergeCell ref="U20:V20"/>
    <mergeCell ref="W20:X20"/>
    <mergeCell ref="Y20:Z20"/>
    <mergeCell ref="AA20:AB20"/>
    <mergeCell ref="AC20:AD20"/>
    <mergeCell ref="U21:V21"/>
    <mergeCell ref="W21:X21"/>
    <mergeCell ref="Y21:Z21"/>
    <mergeCell ref="AA21:AB21"/>
    <mergeCell ref="AC21:AD21"/>
    <mergeCell ref="AJ22:AK22"/>
    <mergeCell ref="AL18:AM18"/>
    <mergeCell ref="C19:D19"/>
    <mergeCell ref="E19:F19"/>
    <mergeCell ref="G19:H19"/>
    <mergeCell ref="I19:J19"/>
    <mergeCell ref="K19:L19"/>
    <mergeCell ref="M19:N19"/>
    <mergeCell ref="O19:P19"/>
    <mergeCell ref="Q18:R18"/>
    <mergeCell ref="S18:T18"/>
    <mergeCell ref="U18:V18"/>
    <mergeCell ref="W18:X18"/>
    <mergeCell ref="Y18:Z18"/>
    <mergeCell ref="AA18:AB18"/>
    <mergeCell ref="AC19:AD19"/>
    <mergeCell ref="AJ19:AK19"/>
    <mergeCell ref="AL19:AM19"/>
    <mergeCell ref="U19:V19"/>
    <mergeCell ref="W19:X19"/>
    <mergeCell ref="Y19:Z19"/>
    <mergeCell ref="AA19:AB19"/>
    <mergeCell ref="C18:D18"/>
    <mergeCell ref="E18:F18"/>
    <mergeCell ref="G18:H18"/>
    <mergeCell ref="Q17:R17"/>
    <mergeCell ref="S17:T17"/>
    <mergeCell ref="U17:V17"/>
    <mergeCell ref="W17:X17"/>
    <mergeCell ref="Y15:Z15"/>
    <mergeCell ref="AA15:AB15"/>
    <mergeCell ref="AJ16:AK16"/>
    <mergeCell ref="AL16:AM16"/>
    <mergeCell ref="C17:D17"/>
    <mergeCell ref="E17:F17"/>
    <mergeCell ref="G17:H17"/>
    <mergeCell ref="I17:J17"/>
    <mergeCell ref="M17:N17"/>
    <mergeCell ref="Q16:R16"/>
    <mergeCell ref="S16:T16"/>
    <mergeCell ref="U16:V16"/>
    <mergeCell ref="W16:X16"/>
    <mergeCell ref="Y16:Z16"/>
    <mergeCell ref="AA16:AB16"/>
    <mergeCell ref="AJ17:AK17"/>
    <mergeCell ref="AL17:AM17"/>
    <mergeCell ref="Y17:Z17"/>
    <mergeCell ref="AA17:AB17"/>
    <mergeCell ref="C16:D16"/>
    <mergeCell ref="G16:H16"/>
    <mergeCell ref="I16:J16"/>
    <mergeCell ref="M16:N16"/>
    <mergeCell ref="Q15:R15"/>
    <mergeCell ref="S15:T15"/>
    <mergeCell ref="U15:V15"/>
    <mergeCell ref="W15:X15"/>
    <mergeCell ref="A12:A15"/>
    <mergeCell ref="B12:Z13"/>
    <mergeCell ref="AA12:AM13"/>
    <mergeCell ref="C14:F14"/>
    <mergeCell ref="G14:J14"/>
    <mergeCell ref="AF14:AG14"/>
    <mergeCell ref="AH14:AI14"/>
    <mergeCell ref="AJ14:AM14"/>
    <mergeCell ref="C15:D15"/>
    <mergeCell ref="E15:F15"/>
    <mergeCell ref="G15:H15"/>
    <mergeCell ref="I15:J15"/>
    <mergeCell ref="K15:L15"/>
    <mergeCell ref="M15:N15"/>
    <mergeCell ref="O15:P15"/>
    <mergeCell ref="K14:N14"/>
    <mergeCell ref="O14:R14"/>
    <mergeCell ref="S14:V14"/>
    <mergeCell ref="W14:Z14"/>
    <mergeCell ref="AA14:AB14"/>
    <mergeCell ref="AC14:AE14"/>
    <mergeCell ref="AC15:AD15"/>
    <mergeCell ref="AJ15:AK15"/>
    <mergeCell ref="AL15:AM15"/>
    <mergeCell ref="AC8:AD8"/>
    <mergeCell ref="Q8:R8"/>
    <mergeCell ref="S8:T8"/>
    <mergeCell ref="S11:T11"/>
    <mergeCell ref="U8:V8"/>
    <mergeCell ref="W8:X8"/>
    <mergeCell ref="Y8:Z8"/>
    <mergeCell ref="AA8:AB8"/>
    <mergeCell ref="U11:V11"/>
    <mergeCell ref="W11:X11"/>
    <mergeCell ref="Y11:Z11"/>
    <mergeCell ref="AA11:AB11"/>
    <mergeCell ref="U9:V9"/>
    <mergeCell ref="W9:X9"/>
    <mergeCell ref="Y9:Z9"/>
    <mergeCell ref="AA9:AB9"/>
    <mergeCell ref="U10:V10"/>
    <mergeCell ref="W10:X10"/>
    <mergeCell ref="Y10:Z10"/>
    <mergeCell ref="AA10:AB10"/>
    <mergeCell ref="C8:D8"/>
    <mergeCell ref="E8:F8"/>
    <mergeCell ref="G8:H8"/>
    <mergeCell ref="I8:J8"/>
    <mergeCell ref="K8:L8"/>
    <mergeCell ref="M8:N8"/>
    <mergeCell ref="O8:P8"/>
    <mergeCell ref="M7:N7"/>
    <mergeCell ref="O7:P7"/>
    <mergeCell ref="AA5:AB5"/>
    <mergeCell ref="U6:V6"/>
    <mergeCell ref="W6:X6"/>
    <mergeCell ref="Y6:Z6"/>
    <mergeCell ref="AA6:AB6"/>
    <mergeCell ref="AC6:AD6"/>
    <mergeCell ref="E5:F5"/>
    <mergeCell ref="G5:H5"/>
    <mergeCell ref="E7:F7"/>
    <mergeCell ref="G7:H7"/>
    <mergeCell ref="I7:J7"/>
    <mergeCell ref="K7:L7"/>
    <mergeCell ref="Y7:Z7"/>
    <mergeCell ref="AA7:AB7"/>
    <mergeCell ref="AC7:AD7"/>
    <mergeCell ref="Q7:R7"/>
    <mergeCell ref="S7:T7"/>
    <mergeCell ref="U7:V7"/>
    <mergeCell ref="W7:X7"/>
    <mergeCell ref="M6:N6"/>
    <mergeCell ref="O6:P6"/>
    <mergeCell ref="Q6:R6"/>
    <mergeCell ref="S6:T6"/>
    <mergeCell ref="Q5:R5"/>
    <mergeCell ref="S5:T5"/>
    <mergeCell ref="U5:V5"/>
    <mergeCell ref="W5:X5"/>
    <mergeCell ref="Y5:Z5"/>
    <mergeCell ref="A1:A4"/>
    <mergeCell ref="B1:Z2"/>
    <mergeCell ref="C4:D4"/>
    <mergeCell ref="E4:F4"/>
    <mergeCell ref="G4:H4"/>
    <mergeCell ref="I4:J4"/>
    <mergeCell ref="K4:L4"/>
    <mergeCell ref="Y4:Z4"/>
    <mergeCell ref="U4:V4"/>
    <mergeCell ref="W4:X4"/>
    <mergeCell ref="AA1:AM2"/>
    <mergeCell ref="C3:F3"/>
    <mergeCell ref="G3:J3"/>
    <mergeCell ref="K3:N3"/>
    <mergeCell ref="O3:R3"/>
    <mergeCell ref="S3:V3"/>
    <mergeCell ref="W3:Z3"/>
    <mergeCell ref="AA3:AB3"/>
    <mergeCell ref="AC3:AE3"/>
    <mergeCell ref="AF3:AG3"/>
    <mergeCell ref="AH3:AI3"/>
    <mergeCell ref="AJ3:AK3"/>
    <mergeCell ref="AL3:AM3"/>
    <mergeCell ref="AA4:AB4"/>
    <mergeCell ref="AC4:AD4"/>
    <mergeCell ref="Q4:R4"/>
    <mergeCell ref="S10:T10"/>
    <mergeCell ref="E9:F9"/>
    <mergeCell ref="G9:H9"/>
    <mergeCell ref="I9:J9"/>
    <mergeCell ref="K9:L9"/>
    <mergeCell ref="M9:N9"/>
    <mergeCell ref="O9:P9"/>
    <mergeCell ref="Q9:R9"/>
    <mergeCell ref="S9:T9"/>
    <mergeCell ref="I5:J5"/>
    <mergeCell ref="K5:L5"/>
    <mergeCell ref="M5:N5"/>
    <mergeCell ref="O5:P5"/>
    <mergeCell ref="M4:N4"/>
    <mergeCell ref="O4:P4"/>
    <mergeCell ref="S4:T4"/>
    <mergeCell ref="AC5:AD5"/>
    <mergeCell ref="E6:F6"/>
    <mergeCell ref="G6:H6"/>
    <mergeCell ref="I6:J6"/>
    <mergeCell ref="K6:L6"/>
    <mergeCell ref="A9:A11"/>
    <mergeCell ref="C20:D20"/>
    <mergeCell ref="E20:F20"/>
    <mergeCell ref="G20:H20"/>
    <mergeCell ref="I20:J20"/>
    <mergeCell ref="K20:L20"/>
    <mergeCell ref="M20:N20"/>
    <mergeCell ref="O20:P20"/>
    <mergeCell ref="Q20:R20"/>
    <mergeCell ref="E10:F10"/>
    <mergeCell ref="G10:H10"/>
    <mergeCell ref="I10:J10"/>
    <mergeCell ref="K10:L10"/>
    <mergeCell ref="M10:N10"/>
    <mergeCell ref="O10:P10"/>
    <mergeCell ref="Q10:R10"/>
    <mergeCell ref="E11:F11"/>
    <mergeCell ref="G11:H11"/>
    <mergeCell ref="I11:J11"/>
    <mergeCell ref="K11:L11"/>
    <mergeCell ref="M11:N11"/>
    <mergeCell ref="O11:P11"/>
    <mergeCell ref="Q11:R11"/>
    <mergeCell ref="E16:F16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AA31:AB31"/>
    <mergeCell ref="AA32:AB32"/>
    <mergeCell ref="B42:C42"/>
    <mergeCell ref="B43:C43"/>
    <mergeCell ref="D42:E42"/>
    <mergeCell ref="D43:E43"/>
    <mergeCell ref="H42:I42"/>
    <mergeCell ref="H43:I43"/>
    <mergeCell ref="L42:M42"/>
    <mergeCell ref="L43:M43"/>
    <mergeCell ref="P42:Q42"/>
    <mergeCell ref="P43:Q43"/>
    <mergeCell ref="AA42:AB42"/>
    <mergeCell ref="AA43:AB43"/>
    <mergeCell ref="C31:D31"/>
    <mergeCell ref="C32:D32"/>
    <mergeCell ref="G31:H31"/>
    <mergeCell ref="G32:H32"/>
    <mergeCell ref="I31:J31"/>
    <mergeCell ref="I32:J32"/>
    <mergeCell ref="K31:L31"/>
    <mergeCell ref="K32:L32"/>
    <mergeCell ref="O31:P31"/>
    <mergeCell ref="O32:P32"/>
    <mergeCell ref="AA53:AB53"/>
    <mergeCell ref="AA54:AB54"/>
    <mergeCell ref="C52:D52"/>
    <mergeCell ref="E52:F52"/>
    <mergeCell ref="G52:H52"/>
    <mergeCell ref="I52:J52"/>
    <mergeCell ref="K53:L53"/>
    <mergeCell ref="K54:L54"/>
    <mergeCell ref="O53:P53"/>
    <mergeCell ref="O54:P54"/>
    <mergeCell ref="S53:T53"/>
    <mergeCell ref="S54:T54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2B5DE69-6152-3418-F6F8-D442A7DD8855}" mc:Ignorable="x14ac xr xr2 xr3">
  <dimension ref="A1:G129"/>
  <sheetViews>
    <sheetView topLeftCell="A32" workbookViewId="0">
      <selection activeCell="D18" sqref="D18"/>
    </sheetView>
  </sheetViews>
  <sheetFormatPr customHeight="1" defaultRowHeight="14.002500000000003"/>
  <cols>
    <col min="2" max="2" width="25.28125" customWidth="1"/>
  </cols>
  <sheetData>
    <row customHeight="1" ht="14.002500000000003">
      <c r="A1" s="391"/>
      <c r="B1" s="391"/>
      <c r="C1" s="391"/>
      <c r="D1" s="391"/>
      <c r="E1" s="391"/>
      <c r="F1" s="391"/>
      <c r="G1" s="391"/>
    </row>
    <row customHeight="1" ht="14.25">
      <c r="A2" s="191" t="s">
        <v>9</v>
      </c>
      <c r="B2" s="145" t="s">
        <v>10</v>
      </c>
      <c r="C2" s="797">
        <v>0.05172424</v>
      </c>
      <c r="D2" s="797">
        <v>0.05067567</v>
      </c>
      <c r="E2" s="798">
        <v>0.04694378</v>
      </c>
      <c r="F2" s="145"/>
      <c r="G2" s="145"/>
    </row>
    <row customHeight="1" ht="14.25">
      <c r="A3" s="191"/>
      <c r="B3" s="145" t="s">
        <v>21</v>
      </c>
      <c r="C3" s="798">
        <v>1.099557</v>
      </c>
      <c r="D3" s="798">
        <v>1.098998</v>
      </c>
      <c r="E3" s="798">
        <v>1.093176</v>
      </c>
      <c r="F3" s="145"/>
      <c r="G3" s="145"/>
    </row>
    <row customHeight="1" ht="14.25">
      <c r="A4" s="191"/>
      <c r="B4" s="145" t="s">
        <v>27</v>
      </c>
      <c r="C4" s="798">
        <v>512.3381</v>
      </c>
      <c r="D4" s="798">
        <v>512.531</v>
      </c>
      <c r="E4" s="798">
        <v>512.3973</v>
      </c>
      <c r="F4" s="145"/>
      <c r="G4" s="145"/>
    </row>
    <row customHeight="1" ht="14.25">
      <c r="A5" s="191"/>
      <c r="B5" s="145" t="s">
        <v>33</v>
      </c>
      <c r="C5" s="798">
        <v>512.1147</v>
      </c>
      <c r="D5" s="798">
        <v>512.0168</v>
      </c>
      <c r="E5" s="798">
        <v>512.1044</v>
      </c>
      <c r="F5" s="145"/>
      <c r="G5" s="145"/>
    </row>
    <row customHeight="1" ht="14.25">
      <c r="A6" s="191"/>
      <c r="B6" s="145" t="s">
        <v>39</v>
      </c>
      <c r="C6" s="798">
        <v>0.2419407</v>
      </c>
      <c r="D6" s="798">
        <v>0.2416959</v>
      </c>
      <c r="E6" s="798">
        <v>0.2416148</v>
      </c>
      <c r="F6" s="145"/>
      <c r="G6" s="145"/>
    </row>
    <row customHeight="1" ht="14.25">
      <c r="A7" s="191"/>
      <c r="B7" s="145" t="s">
        <v>45</v>
      </c>
      <c r="C7" s="798">
        <v>480.0383</v>
      </c>
      <c r="D7" s="798">
        <v>480.0271</v>
      </c>
      <c r="E7" s="798">
        <v>479.9764</v>
      </c>
      <c r="F7" s="145"/>
      <c r="G7" s="145"/>
    </row>
    <row customHeight="1" ht="14.25">
      <c r="A8" s="191"/>
      <c r="B8" s="145" t="s">
        <v>49</v>
      </c>
      <c r="C8" s="798">
        <v>570.467</v>
      </c>
      <c r="D8" s="798">
        <v>569.3619</v>
      </c>
      <c r="E8" s="798">
        <v>569.8109</v>
      </c>
      <c r="F8" s="145"/>
      <c r="G8" s="145"/>
    </row>
    <row customHeight="1" ht="14.25">
      <c r="A9" s="191"/>
      <c r="B9" s="145" t="s">
        <v>54</v>
      </c>
      <c r="C9" s="798">
        <v>0.2652831</v>
      </c>
      <c r="D9" s="798">
        <v>0.2651369</v>
      </c>
      <c r="E9" s="798">
        <v>0.2643673</v>
      </c>
      <c r="F9" s="145"/>
      <c r="G9" s="145"/>
    </row>
    <row customHeight="1" ht="14.25">
      <c r="A10" s="191" t="s">
        <v>59</v>
      </c>
      <c r="B10" s="145" t="s">
        <v>60</v>
      </c>
      <c r="C10" s="798">
        <v>298.0436</v>
      </c>
      <c r="D10" s="798">
        <v>297.7819</v>
      </c>
      <c r="E10" s="798">
        <v>297.5555</v>
      </c>
      <c r="F10" s="145"/>
      <c r="G10" s="145"/>
    </row>
    <row customHeight="1" ht="14.25">
      <c r="A11" s="191"/>
      <c r="B11" s="145" t="s">
        <v>65</v>
      </c>
      <c r="C11" s="798">
        <v>6.477001</v>
      </c>
      <c r="D11" s="798">
        <v>6.489275</v>
      </c>
      <c r="E11" s="798">
        <v>6.456166</v>
      </c>
      <c r="F11" s="145"/>
      <c r="G11" s="145"/>
    </row>
    <row customHeight="1" ht="14.25">
      <c r="A12" s="191"/>
      <c r="B12" s="145" t="s">
        <v>70</v>
      </c>
      <c r="C12" s="798">
        <v>87.3282</v>
      </c>
      <c r="D12" s="798">
        <v>86.43716</v>
      </c>
      <c r="E12" s="798">
        <v>88.66401</v>
      </c>
      <c r="F12" s="145"/>
      <c r="G12" s="145"/>
    </row>
    <row customHeight="1" ht="14.25">
      <c r="A13" s="191"/>
      <c r="B13" s="145" t="s">
        <v>74</v>
      </c>
      <c r="C13" s="798">
        <v>146.5144</v>
      </c>
      <c r="D13" s="798">
        <v>145.7637</v>
      </c>
      <c r="E13" s="798">
        <v>146.1001</v>
      </c>
      <c r="F13" s="145"/>
      <c r="G13" s="145"/>
    </row>
    <row customHeight="1" ht="14.25">
      <c r="A14" s="191"/>
      <c r="B14" s="145" t="s">
        <v>79</v>
      </c>
      <c r="C14" s="797">
        <v>292.7516</v>
      </c>
      <c r="D14" s="797">
        <v>292.2554</v>
      </c>
      <c r="E14" s="797">
        <v>291.6619</v>
      </c>
      <c r="F14" s="145"/>
      <c r="G14" s="145"/>
    </row>
    <row customHeight="1" ht="14.25">
      <c r="A15" s="191" t="s">
        <v>84</v>
      </c>
      <c r="B15" s="145" t="s">
        <v>209</v>
      </c>
      <c r="C15" s="797">
        <v>410.1113</v>
      </c>
      <c r="D15" s="797">
        <v>407.5627</v>
      </c>
      <c r="E15" s="797">
        <v>408.8253</v>
      </c>
      <c r="F15" s="145"/>
      <c r="G15" s="145"/>
    </row>
    <row customHeight="1" ht="14.25">
      <c r="A16" s="191"/>
      <c r="B16" s="145" t="s">
        <v>210</v>
      </c>
      <c r="C16" s="798">
        <v>2.356201</v>
      </c>
      <c r="D16" s="798">
        <v>2.358328</v>
      </c>
      <c r="E16" s="798">
        <v>2.352422</v>
      </c>
      <c r="F16" s="145"/>
      <c r="G16" s="145"/>
    </row>
    <row customHeight="1" ht="14.25">
      <c r="A17" s="191"/>
      <c r="B17" s="145" t="s">
        <v>211</v>
      </c>
      <c r="C17" s="798">
        <v>524.8091</v>
      </c>
      <c r="D17" s="798">
        <v>522.1177</v>
      </c>
      <c r="E17" s="798">
        <v>523.14</v>
      </c>
      <c r="F17" s="145"/>
      <c r="G17" s="145"/>
    </row>
    <row customHeight="1" ht="14.25">
      <c r="A18" s="191"/>
      <c r="B18" s="145" t="s">
        <v>212</v>
      </c>
      <c r="C18" s="798">
        <v>0.1185762</v>
      </c>
      <c r="D18" s="798">
        <v>0.1199141</v>
      </c>
      <c r="E18" s="798">
        <v>0.1219955</v>
      </c>
      <c r="F18" s="145"/>
      <c r="G18" s="145"/>
    </row>
    <row customHeight="1" ht="14.25">
      <c r="A19" s="191"/>
      <c r="B19" s="145" t="s">
        <v>213</v>
      </c>
      <c r="C19" s="798">
        <v>145.8097</v>
      </c>
      <c r="D19" s="798">
        <v>143.8167</v>
      </c>
      <c r="E19" s="798">
        <v>144.3297</v>
      </c>
      <c r="F19" s="145"/>
      <c r="G19" s="145"/>
    </row>
    <row customHeight="1" ht="14.25">
      <c r="A20" s="197" t="s">
        <v>11</v>
      </c>
      <c r="B20" s="146" t="s">
        <v>12</v>
      </c>
      <c r="C20" s="798">
        <v>80.1851</v>
      </c>
      <c r="D20" s="798">
        <v>80.88347</v>
      </c>
      <c r="E20" s="798">
        <v>79.3567</v>
      </c>
      <c r="F20" s="391"/>
      <c r="G20" s="391"/>
    </row>
    <row customHeight="1" ht="14.25">
      <c r="A21" s="197"/>
      <c r="B21" s="146" t="s">
        <v>22</v>
      </c>
      <c r="C21" s="798">
        <v>168.4544</v>
      </c>
      <c r="D21" s="798">
        <v>168.6084</v>
      </c>
      <c r="E21" s="798">
        <v>168.2898</v>
      </c>
      <c r="F21" s="391"/>
      <c r="G21" s="391"/>
    </row>
    <row customHeight="1" ht="14.25">
      <c r="A22" s="197"/>
      <c r="B22" s="146" t="s">
        <v>28</v>
      </c>
      <c r="C22" s="798">
        <v>0.06589691</v>
      </c>
      <c r="D22" s="798">
        <v>0.06800033</v>
      </c>
      <c r="E22" s="798">
        <v>0.06085174</v>
      </c>
      <c r="F22" s="391"/>
      <c r="G22" s="391"/>
    </row>
    <row customHeight="1" ht="14.25">
      <c r="A23" s="197"/>
      <c r="B23" s="146" t="s">
        <v>34</v>
      </c>
      <c r="C23" s="798">
        <v>62.81561</v>
      </c>
      <c r="D23" s="798">
        <v>62.40968</v>
      </c>
      <c r="E23" s="798">
        <v>62.33079</v>
      </c>
      <c r="F23" s="391"/>
      <c r="G23" s="391"/>
    </row>
    <row customHeight="1" ht="14.25">
      <c r="A24" s="197"/>
      <c r="B24" s="146" t="s">
        <v>40</v>
      </c>
      <c r="C24" s="798">
        <v>165.8763</v>
      </c>
      <c r="D24" s="798">
        <v>166.1332</v>
      </c>
      <c r="E24" s="798">
        <v>165.4944</v>
      </c>
      <c r="F24" s="391"/>
      <c r="G24" s="391"/>
    </row>
    <row customHeight="1" ht="14.25">
      <c r="A25" s="197"/>
      <c r="B25" s="146" t="s">
        <v>46</v>
      </c>
      <c r="C25" s="798">
        <v>-41.69657</v>
      </c>
      <c r="D25" s="798">
        <v>-42.53204</v>
      </c>
      <c r="E25" s="798">
        <v>-42.72856</v>
      </c>
      <c r="F25" s="391"/>
      <c r="G25" s="391"/>
    </row>
    <row customHeight="1" ht="14.25">
      <c r="A26" s="197" t="s">
        <v>50</v>
      </c>
      <c r="B26" s="146" t="s">
        <v>51</v>
      </c>
      <c r="C26" s="798">
        <v>48.47912</v>
      </c>
      <c r="D26" s="798">
        <v>48.35229</v>
      </c>
      <c r="E26" s="798">
        <v>48.62885</v>
      </c>
      <c r="F26" s="391"/>
      <c r="G26" s="391"/>
    </row>
    <row customHeight="1" ht="14.25">
      <c r="A27" s="197"/>
      <c r="B27" s="146" t="s">
        <v>55</v>
      </c>
      <c r="C27" s="798">
        <v>1.879918</v>
      </c>
      <c r="D27" s="798">
        <v>1.880965</v>
      </c>
      <c r="E27" s="798">
        <v>1.880938</v>
      </c>
      <c r="F27" s="391"/>
      <c r="G27" s="391"/>
    </row>
    <row customHeight="1" ht="14.25">
      <c r="A28" s="197"/>
      <c r="B28" s="146" t="s">
        <v>61</v>
      </c>
      <c r="C28" s="798">
        <v>57.01244</v>
      </c>
      <c r="D28" s="798">
        <v>55.95622</v>
      </c>
      <c r="E28" s="798">
        <v>55.67295</v>
      </c>
      <c r="F28" s="391"/>
      <c r="G28" s="391"/>
    </row>
    <row customHeight="1" ht="14.25">
      <c r="A29" s="197"/>
      <c r="B29" s="146" t="s">
        <v>66</v>
      </c>
      <c r="C29" s="798">
        <v>2.853419</v>
      </c>
      <c r="D29" s="798">
        <v>2.850089</v>
      </c>
      <c r="E29" s="798">
        <v>2.84925</v>
      </c>
      <c r="F29" s="391"/>
      <c r="G29" s="391"/>
    </row>
    <row customHeight="1" ht="14.25">
      <c r="A30" s="197"/>
      <c r="B30" s="146" t="s">
        <v>71</v>
      </c>
      <c r="C30" s="798">
        <v>27.90551</v>
      </c>
      <c r="D30" s="798">
        <v>26.925</v>
      </c>
      <c r="E30" s="798">
        <v>27.59036</v>
      </c>
      <c r="F30" s="391"/>
      <c r="G30" s="391"/>
    </row>
    <row customHeight="1" ht="14.25">
      <c r="A31" s="197" t="s">
        <v>75</v>
      </c>
      <c r="B31" s="146" t="s">
        <v>76</v>
      </c>
      <c r="C31" s="798">
        <v>18.9928</v>
      </c>
      <c r="D31" s="798">
        <v>19.01192</v>
      </c>
      <c r="E31" s="798">
        <v>19.0054</v>
      </c>
      <c r="F31" s="391"/>
      <c r="G31" s="391"/>
    </row>
    <row customHeight="1" ht="14.25">
      <c r="A32" s="197"/>
      <c r="B32" s="146" t="s">
        <v>80</v>
      </c>
      <c r="C32" s="798">
        <v>3.546564</v>
      </c>
      <c r="D32" s="798">
        <v>3.541105</v>
      </c>
      <c r="E32" s="798">
        <v>3.538326</v>
      </c>
      <c r="F32" s="391"/>
      <c r="G32" s="391"/>
    </row>
    <row customHeight="1" ht="14.25">
      <c r="A33" s="197"/>
      <c r="B33" s="146" t="s">
        <v>86</v>
      </c>
      <c r="C33" s="798">
        <v>70.00957</v>
      </c>
      <c r="D33" s="798">
        <v>69.99118</v>
      </c>
      <c r="E33" s="798">
        <v>70.0092</v>
      </c>
      <c r="F33" s="391"/>
      <c r="G33" s="391"/>
    </row>
    <row customHeight="1" ht="14.25">
      <c r="A34" s="197"/>
      <c r="B34" s="146" t="s">
        <v>88</v>
      </c>
      <c r="C34" s="798">
        <v>3.562305</v>
      </c>
      <c r="D34" s="798">
        <v>3.537084</v>
      </c>
      <c r="E34" s="798">
        <v>3.531636</v>
      </c>
      <c r="F34" s="391"/>
      <c r="G34" s="391"/>
    </row>
    <row customHeight="1" ht="14.25">
      <c r="A35" s="197"/>
      <c r="B35" s="146" t="s">
        <v>91</v>
      </c>
      <c r="C35" s="798">
        <v>70.01047</v>
      </c>
      <c r="D35" s="798">
        <v>70.00228</v>
      </c>
      <c r="E35" s="798">
        <v>69.97826</v>
      </c>
      <c r="F35" s="391"/>
      <c r="G35" s="391"/>
    </row>
    <row customHeight="1" ht="14.25">
      <c r="A36" s="197"/>
      <c r="B36" s="146" t="s">
        <v>94</v>
      </c>
      <c r="C36" s="798">
        <v>3.508369</v>
      </c>
      <c r="D36" s="798">
        <v>3.503385</v>
      </c>
      <c r="E36" s="798">
        <v>3.502784</v>
      </c>
      <c r="F36" s="391"/>
      <c r="G36" s="391"/>
    </row>
    <row customHeight="1" ht="14.25">
      <c r="A37" s="197"/>
      <c r="B37" s="146" t="s">
        <v>98</v>
      </c>
      <c r="C37" s="798">
        <v>3.582441</v>
      </c>
      <c r="D37" s="798">
        <v>3.570594</v>
      </c>
      <c r="E37" s="798">
        <v>3.564552</v>
      </c>
      <c r="F37" s="391"/>
      <c r="G37" s="391"/>
    </row>
    <row customHeight="1" ht="14.25">
      <c r="A38" s="201" t="s">
        <v>13</v>
      </c>
      <c r="B38" s="147" t="s">
        <v>14</v>
      </c>
      <c r="C38" s="798">
        <v>0</v>
      </c>
      <c r="D38" s="798">
        <v>0</v>
      </c>
      <c r="E38" s="798">
        <v>0</v>
      </c>
      <c r="F38" s="391"/>
      <c r="G38" s="391"/>
    </row>
    <row customHeight="1" ht="14.25">
      <c r="A39" s="202"/>
      <c r="B39" s="147" t="s">
        <v>23</v>
      </c>
      <c r="C39" s="798">
        <v>0.5605221</v>
      </c>
      <c r="D39" s="798">
        <v>0.5465196</v>
      </c>
      <c r="E39" s="798">
        <v>0.5579426</v>
      </c>
      <c r="F39" s="391"/>
      <c r="G39" s="391"/>
    </row>
    <row customHeight="1" ht="14.25">
      <c r="A40" s="202"/>
      <c r="B40" s="147" t="s">
        <v>29</v>
      </c>
      <c r="C40" s="798">
        <v>51.85713</v>
      </c>
      <c r="D40" s="798">
        <v>52.61676</v>
      </c>
      <c r="E40" s="798">
        <v>51.62971</v>
      </c>
      <c r="F40" s="391"/>
      <c r="G40" s="391"/>
    </row>
    <row customHeight="1" ht="14.25">
      <c r="A41" s="202"/>
      <c r="B41" s="147" t="s">
        <v>35</v>
      </c>
      <c r="C41" s="798">
        <v>126.0645</v>
      </c>
      <c r="D41" s="798">
        <v>126.4014</v>
      </c>
      <c r="E41" s="798">
        <v>126.3348</v>
      </c>
      <c r="F41" s="391"/>
      <c r="G41" s="391"/>
    </row>
    <row customHeight="1" ht="14.25">
      <c r="A42" s="202"/>
      <c r="B42" s="147" t="s">
        <v>41</v>
      </c>
      <c r="C42" s="798">
        <v>0.5263219</v>
      </c>
      <c r="D42" s="798">
        <v>0.5395958</v>
      </c>
      <c r="E42" s="798">
        <v>0.535611</v>
      </c>
      <c r="F42" s="391"/>
      <c r="G42" s="391"/>
    </row>
    <row customHeight="1" ht="14.25">
      <c r="A43" s="202"/>
      <c r="B43" s="147" t="s">
        <v>47</v>
      </c>
      <c r="C43" s="798">
        <v>50.82442</v>
      </c>
      <c r="D43" s="798">
        <v>50.82543</v>
      </c>
      <c r="E43" s="798">
        <v>50.23771</v>
      </c>
      <c r="F43" s="391"/>
      <c r="G43" s="391"/>
    </row>
    <row customHeight="1" ht="14.25">
      <c r="A44" s="203"/>
      <c r="B44" s="147" t="s">
        <v>52</v>
      </c>
      <c r="C44" s="798">
        <v>0.5531757</v>
      </c>
      <c r="D44" s="798">
        <v>0.5672817</v>
      </c>
      <c r="E44" s="798">
        <v>0.5599515</v>
      </c>
      <c r="F44" s="391"/>
      <c r="G44" s="391"/>
    </row>
    <row customHeight="1" ht="14.25">
      <c r="A45" s="201" t="s">
        <v>56</v>
      </c>
      <c r="B45" s="147" t="s">
        <v>57</v>
      </c>
      <c r="C45" s="798">
        <v>352.2697</v>
      </c>
      <c r="D45" s="798">
        <v>351.9589</v>
      </c>
      <c r="E45" s="798">
        <v>351.8729</v>
      </c>
      <c r="F45" s="391"/>
      <c r="G45" s="391"/>
    </row>
    <row customHeight="1" ht="14.25">
      <c r="A46" s="202"/>
      <c r="B46" s="147" t="s">
        <v>62</v>
      </c>
      <c r="C46" s="798">
        <v>6.853453</v>
      </c>
      <c r="D46" s="798">
        <v>6.879702</v>
      </c>
      <c r="E46" s="798">
        <v>6.906269</v>
      </c>
      <c r="F46" s="391"/>
      <c r="G46" s="391"/>
    </row>
    <row customHeight="1" ht="14.25">
      <c r="A47" s="202"/>
      <c r="B47" s="147" t="s">
        <v>67</v>
      </c>
      <c r="C47" s="798">
        <v>6.453642</v>
      </c>
      <c r="D47" s="798">
        <v>6.480742</v>
      </c>
      <c r="E47" s="798">
        <v>6.508387</v>
      </c>
      <c r="F47" s="391"/>
      <c r="G47" s="391"/>
    </row>
    <row customHeight="1" ht="14.25">
      <c r="A48" s="202"/>
      <c r="B48" s="147" t="s">
        <v>72</v>
      </c>
      <c r="C48" s="798">
        <v>137.0691</v>
      </c>
      <c r="D48" s="798">
        <v>136.7636</v>
      </c>
      <c r="E48" s="798">
        <v>137.6186</v>
      </c>
      <c r="F48" s="391"/>
      <c r="G48" s="391"/>
    </row>
    <row customHeight="1" ht="14.25">
      <c r="A49" s="202"/>
      <c r="B49" s="147" t="s">
        <v>77</v>
      </c>
      <c r="C49" s="798">
        <v>182.3604</v>
      </c>
      <c r="D49" s="798">
        <v>182.0957</v>
      </c>
      <c r="E49" s="798">
        <v>181.7542</v>
      </c>
      <c r="F49" s="391"/>
      <c r="G49" s="391"/>
    </row>
    <row customHeight="1" ht="14.25">
      <c r="A50" s="202"/>
      <c r="B50" s="147" t="s">
        <v>81</v>
      </c>
      <c r="C50" s="798">
        <v>0.8018434</v>
      </c>
      <c r="D50" s="798">
        <v>0.7938417</v>
      </c>
      <c r="E50" s="798">
        <v>0.8018432</v>
      </c>
      <c r="F50" s="391"/>
      <c r="G50" s="391"/>
    </row>
    <row customHeight="1" ht="14.25">
      <c r="A51" s="202"/>
      <c r="B51" s="147" t="s">
        <v>85</v>
      </c>
      <c r="C51" s="148"/>
      <c r="D51" s="148"/>
      <c r="E51" s="148"/>
      <c r="F51" s="391"/>
      <c r="G51" s="391"/>
    </row>
    <row customHeight="1" ht="14.25">
      <c r="A52" s="202"/>
      <c r="B52" s="147" t="s">
        <v>62</v>
      </c>
      <c r="C52" s="148"/>
      <c r="D52" s="148"/>
      <c r="E52" s="148"/>
      <c r="F52" s="391"/>
      <c r="G52" s="391"/>
    </row>
    <row customHeight="1" ht="14.25">
      <c r="A53" s="202"/>
      <c r="B53" s="147" t="s">
        <v>90</v>
      </c>
      <c r="C53" s="148"/>
      <c r="D53" s="148"/>
      <c r="E53" s="148"/>
      <c r="F53" s="391"/>
      <c r="G53" s="391"/>
    </row>
    <row customHeight="1" ht="14.25">
      <c r="A54" s="202"/>
      <c r="B54" s="147" t="s">
        <v>93</v>
      </c>
      <c r="C54" s="148"/>
      <c r="D54" s="148"/>
      <c r="E54" s="148"/>
      <c r="F54" s="391"/>
      <c r="G54" s="391"/>
    </row>
    <row customHeight="1" ht="14.25">
      <c r="A55" s="203"/>
      <c r="B55" s="147" t="s">
        <v>214</v>
      </c>
      <c r="C55" s="148"/>
      <c r="D55" s="148"/>
      <c r="E55" s="148"/>
      <c r="F55" s="391"/>
      <c r="G55" s="391"/>
    </row>
    <row customHeight="1" ht="14.25">
      <c r="A56" s="197" t="s">
        <v>15</v>
      </c>
      <c r="B56" s="146" t="s">
        <v>16</v>
      </c>
      <c r="C56" s="798">
        <v>1.753871</v>
      </c>
      <c r="D56" s="798">
        <v>1.754921</v>
      </c>
      <c r="E56" s="798">
        <v>1.751447</v>
      </c>
      <c r="F56" s="391"/>
      <c r="G56" s="391"/>
    </row>
    <row customHeight="1" ht="14.25">
      <c r="A57" s="197"/>
      <c r="B57" s="146" t="s">
        <v>24</v>
      </c>
      <c r="C57" s="798">
        <v>64.18044</v>
      </c>
      <c r="D57" s="798">
        <v>63.68192</v>
      </c>
      <c r="E57" s="798">
        <v>62.99017</v>
      </c>
      <c r="F57" s="391"/>
      <c r="G57" s="391"/>
    </row>
    <row customHeight="1" ht="14.25">
      <c r="A58" s="197"/>
      <c r="B58" s="146" t="s">
        <v>30</v>
      </c>
      <c r="C58" s="798">
        <v>0.1504894</v>
      </c>
      <c r="D58" s="798">
        <v>0.1482544</v>
      </c>
      <c r="E58" s="798">
        <v>0.1481637</v>
      </c>
      <c r="F58" s="391"/>
      <c r="G58" s="391"/>
    </row>
    <row customHeight="1" ht="14.25">
      <c r="A59" s="197"/>
      <c r="B59" s="146" t="s">
        <v>36</v>
      </c>
      <c r="C59" s="798">
        <v>0.02320197</v>
      </c>
      <c r="D59" s="798">
        <v>0.02013851</v>
      </c>
      <c r="E59" s="798">
        <v>0.01940982</v>
      </c>
      <c r="F59" s="391"/>
      <c r="G59" s="391"/>
    </row>
    <row customHeight="1" ht="14.25">
      <c r="A60" s="197"/>
      <c r="B60" s="146" t="s">
        <v>42</v>
      </c>
      <c r="C60" s="798">
        <v>5.491353</v>
      </c>
      <c r="D60" s="798">
        <v>4.439972</v>
      </c>
      <c r="E60" s="798">
        <v>4.254805</v>
      </c>
      <c r="F60" s="391"/>
      <c r="G60" s="391"/>
    </row>
    <row customHeight="1" ht="14.25">
      <c r="A61" s="197"/>
      <c r="B61" s="146" t="s">
        <v>48</v>
      </c>
      <c r="C61" s="798">
        <v>0.1371</v>
      </c>
      <c r="D61" s="798">
        <v>0.1377688</v>
      </c>
      <c r="E61" s="798">
        <v>0.1376447</v>
      </c>
      <c r="F61" s="391"/>
      <c r="G61" s="391"/>
    </row>
    <row customHeight="1" ht="14.25">
      <c r="A62" s="197"/>
      <c r="B62" s="146" t="s">
        <v>53</v>
      </c>
      <c r="C62" s="798">
        <v>0.01958309</v>
      </c>
      <c r="D62" s="798">
        <v>0.01669374</v>
      </c>
      <c r="E62" s="798">
        <v>0.01615489</v>
      </c>
      <c r="F62" s="391"/>
      <c r="G62" s="391"/>
    </row>
    <row customHeight="1" ht="14.25">
      <c r="A63" s="197"/>
      <c r="B63" s="146" t="s">
        <v>58</v>
      </c>
      <c r="C63" s="798">
        <v>46653.15</v>
      </c>
      <c r="D63" s="798">
        <v>46281.51</v>
      </c>
      <c r="E63" s="798">
        <v>46332.73</v>
      </c>
      <c r="F63" s="391"/>
      <c r="G63" s="391"/>
    </row>
    <row customHeight="1" ht="14.25">
      <c r="A64" s="197"/>
      <c r="B64" s="146" t="s">
        <v>63</v>
      </c>
      <c r="C64" s="798">
        <v>50662.62</v>
      </c>
      <c r="D64" s="798">
        <v>50345</v>
      </c>
      <c r="E64" s="798">
        <v>49927.76</v>
      </c>
      <c r="F64" s="391"/>
      <c r="G64" s="391"/>
    </row>
    <row customHeight="1" ht="14.25">
      <c r="A65" s="197" t="s">
        <v>68</v>
      </c>
      <c r="B65" s="146" t="s">
        <v>69</v>
      </c>
      <c r="C65" s="798">
        <v>58.44726</v>
      </c>
      <c r="D65" s="798">
        <v>57.08833</v>
      </c>
      <c r="E65" s="798">
        <v>57.81035</v>
      </c>
      <c r="F65" s="391"/>
      <c r="G65" s="391"/>
    </row>
    <row customHeight="1" ht="14.25">
      <c r="A66" s="197"/>
      <c r="B66" s="146" t="s">
        <v>73</v>
      </c>
      <c r="C66" s="798">
        <v>1.11828</v>
      </c>
      <c r="D66" s="798">
        <v>1.117362</v>
      </c>
      <c r="E66" s="798">
        <v>1.117325</v>
      </c>
      <c r="F66" s="391"/>
      <c r="G66" s="391"/>
    </row>
    <row customHeight="1" ht="14.25">
      <c r="A67" s="197"/>
      <c r="B67" s="146" t="s">
        <v>78</v>
      </c>
      <c r="C67" s="798">
        <v>51.95076</v>
      </c>
      <c r="D67" s="798">
        <v>50.82618</v>
      </c>
      <c r="E67" s="798">
        <v>51.5266</v>
      </c>
      <c r="F67" s="391"/>
      <c r="G67" s="391"/>
    </row>
    <row customHeight="1" ht="14.25">
      <c r="A68" s="197"/>
      <c r="B68" s="146" t="s">
        <v>82</v>
      </c>
      <c r="C68" s="798">
        <v>1.035991</v>
      </c>
      <c r="D68" s="798">
        <v>1.034592</v>
      </c>
      <c r="E68" s="798">
        <v>1.034655</v>
      </c>
      <c r="F68" s="391"/>
      <c r="G68" s="391"/>
    </row>
    <row customHeight="1" ht="14.25">
      <c r="A69" s="197"/>
      <c r="B69" s="146" t="s">
        <v>87</v>
      </c>
      <c r="C69" s="798">
        <v>49.9668</v>
      </c>
      <c r="D69" s="798">
        <v>48.6977</v>
      </c>
      <c r="E69" s="798">
        <v>49.24726</v>
      </c>
      <c r="F69" s="391"/>
      <c r="G69" s="391"/>
    </row>
    <row customHeight="1" ht="14.25">
      <c r="A70" s="197"/>
      <c r="B70" s="146" t="s">
        <v>89</v>
      </c>
      <c r="C70" s="798">
        <v>1.02095</v>
      </c>
      <c r="D70" s="798">
        <v>1.020291</v>
      </c>
      <c r="E70" s="798">
        <v>1.020147</v>
      </c>
      <c r="F70" s="391"/>
      <c r="G70" s="391"/>
    </row>
    <row customHeight="1" ht="14.25">
      <c r="A71" s="197"/>
      <c r="B71" s="146" t="s">
        <v>92</v>
      </c>
      <c r="C71" s="798">
        <v>141.5255</v>
      </c>
      <c r="D71" s="798">
        <v>142.2014</v>
      </c>
      <c r="E71" s="798">
        <v>142.1775</v>
      </c>
      <c r="F71" s="391"/>
      <c r="G71" s="391"/>
    </row>
    <row customHeight="1" ht="14.25">
      <c r="A72" s="197"/>
      <c r="B72" s="146" t="s">
        <v>95</v>
      </c>
      <c r="C72" s="798">
        <v>0.8024743</v>
      </c>
      <c r="D72" s="798">
        <v>0.8075014</v>
      </c>
      <c r="E72" s="798">
        <v>0.8103261</v>
      </c>
      <c r="F72" s="391"/>
      <c r="G72" s="391"/>
    </row>
    <row customHeight="1" ht="14.25">
      <c r="A73" s="197"/>
      <c r="B73" s="146" t="s">
        <v>99</v>
      </c>
      <c r="C73" s="798">
        <v>29.08229</v>
      </c>
      <c r="D73" s="798">
        <v>27.88723</v>
      </c>
      <c r="E73" s="798">
        <v>27.28493</v>
      </c>
      <c r="F73" s="391"/>
      <c r="G73" s="391"/>
    </row>
    <row customHeight="1" ht="27.75">
      <c r="A74" s="194" t="s">
        <v>17</v>
      </c>
      <c r="B74" s="144" t="s">
        <v>18</v>
      </c>
      <c r="C74" s="798">
        <v>0.123104</v>
      </c>
      <c r="D74" s="798">
        <v>0.1245977</v>
      </c>
      <c r="E74" s="798">
        <v>0.123893</v>
      </c>
      <c r="F74" s="391"/>
      <c r="G74" s="391"/>
    </row>
    <row customHeight="1" ht="14.25">
      <c r="A75" s="194"/>
      <c r="B75" s="144" t="s">
        <v>25</v>
      </c>
      <c r="C75" s="798">
        <v>621.8397</v>
      </c>
      <c r="D75" s="798">
        <v>621.9496</v>
      </c>
      <c r="E75" s="798">
        <v>622.2856</v>
      </c>
      <c r="F75" s="391"/>
      <c r="G75" s="391"/>
    </row>
    <row customHeight="1" ht="14.25">
      <c r="A76" s="194"/>
      <c r="B76" s="144" t="s">
        <v>31</v>
      </c>
      <c r="C76" s="798">
        <v>625.3337</v>
      </c>
      <c r="D76" s="798">
        <v>626.1934</v>
      </c>
      <c r="E76" s="798">
        <v>626.015</v>
      </c>
      <c r="F76" s="391"/>
      <c r="G76" s="391"/>
    </row>
    <row customHeight="1" ht="14.25">
      <c r="A77" s="194"/>
      <c r="B77" s="144" t="s">
        <v>37</v>
      </c>
      <c r="C77" s="798">
        <v>503.4558</v>
      </c>
      <c r="D77" s="798">
        <v>503.4438</v>
      </c>
      <c r="E77" s="798">
        <v>503.4558</v>
      </c>
      <c r="F77" s="391"/>
      <c r="G77" s="391"/>
    </row>
    <row customHeight="1" ht="14.25">
      <c r="A78" s="194"/>
      <c r="B78" s="144" t="s">
        <v>43</v>
      </c>
      <c r="C78" s="798">
        <v>65.07428</v>
      </c>
      <c r="D78" s="798">
        <v>64.60234</v>
      </c>
      <c r="E78" s="798">
        <v>64.44135</v>
      </c>
      <c r="F78" s="391"/>
      <c r="G78" s="391"/>
    </row>
    <row customHeight="1" ht="14.25">
      <c r="A79" s="194" t="s">
        <v>19</v>
      </c>
      <c r="B79" s="144" t="s">
        <v>20</v>
      </c>
      <c r="C79" s="798">
        <v>882.5236</v>
      </c>
      <c r="D79" s="798">
        <v>868.1421</v>
      </c>
      <c r="E79" s="798">
        <v>859.6019</v>
      </c>
      <c r="F79" s="391"/>
      <c r="G79" s="391"/>
    </row>
    <row customHeight="1" ht="14.25">
      <c r="A80" s="194"/>
      <c r="B80" s="144" t="s">
        <v>26</v>
      </c>
      <c r="C80" s="798">
        <v>3.243888</v>
      </c>
      <c r="D80" s="798">
        <v>3.362279</v>
      </c>
      <c r="E80" s="798">
        <v>3.353634</v>
      </c>
      <c r="F80" s="391"/>
      <c r="G80" s="391"/>
    </row>
    <row customHeight="1" ht="14.25">
      <c r="A81" s="194"/>
      <c r="B81" s="144" t="s">
        <v>32</v>
      </c>
      <c r="C81" s="798">
        <v>404.8797</v>
      </c>
      <c r="D81" s="798">
        <v>416.5627</v>
      </c>
      <c r="E81" s="798">
        <v>420.5431</v>
      </c>
      <c r="F81" s="391"/>
      <c r="G81" s="391"/>
    </row>
    <row customHeight="1" ht="16.5">
      <c r="A82" s="194"/>
      <c r="B82" s="144" t="s">
        <v>38</v>
      </c>
      <c r="C82" s="798">
        <v>71.82957</v>
      </c>
      <c r="D82" s="798">
        <v>71.02824</v>
      </c>
      <c r="E82" s="798">
        <v>70.37158</v>
      </c>
      <c r="F82" s="391"/>
      <c r="G82" s="391"/>
    </row>
    <row customHeight="1" ht="14.25">
      <c r="A83" s="194" t="s">
        <v>44</v>
      </c>
      <c r="B83" s="144" t="s">
        <v>20</v>
      </c>
      <c r="C83" s="798">
        <v>886.3918</v>
      </c>
      <c r="D83" s="798">
        <v>900.5479</v>
      </c>
      <c r="E83" s="798">
        <v>909.5413</v>
      </c>
      <c r="F83" s="391"/>
      <c r="G83" s="391"/>
    </row>
    <row customHeight="1" ht="14.25">
      <c r="A84" s="194"/>
      <c r="B84" s="144" t="s">
        <v>26</v>
      </c>
      <c r="C84" s="798">
        <v>5.620328</v>
      </c>
      <c r="D84" s="798">
        <v>5.197007</v>
      </c>
      <c r="E84" s="798">
        <v>5.206415</v>
      </c>
      <c r="F84" s="391"/>
      <c r="G84" s="391"/>
    </row>
    <row customHeight="1" ht="14.25">
      <c r="A85" s="194"/>
      <c r="B85" s="144" t="s">
        <v>32</v>
      </c>
      <c r="C85" s="798">
        <v>412.791</v>
      </c>
      <c r="D85" s="798">
        <v>404.7139</v>
      </c>
      <c r="E85" s="798">
        <v>416.8038</v>
      </c>
      <c r="F85" s="391"/>
      <c r="G85" s="391"/>
    </row>
    <row customHeight="1" ht="16.5">
      <c r="A86" s="194"/>
      <c r="B86" s="144" t="s">
        <v>38</v>
      </c>
      <c r="C86" s="798">
        <v>68.62093</v>
      </c>
      <c r="D86" s="798">
        <v>69.88447</v>
      </c>
      <c r="E86" s="798">
        <v>71.13879</v>
      </c>
      <c r="F86" s="391"/>
      <c r="G86" s="391"/>
    </row>
    <row customHeight="1" ht="14.25">
      <c r="A87" s="194" t="s">
        <v>64</v>
      </c>
      <c r="B87" s="144" t="s">
        <v>20</v>
      </c>
      <c r="C87" s="798">
        <v>915.306</v>
      </c>
      <c r="D87" s="798">
        <v>907.2817</v>
      </c>
      <c r="E87" s="798">
        <v>921.6283</v>
      </c>
      <c r="F87" s="391"/>
      <c r="G87" s="391"/>
    </row>
    <row customHeight="1" ht="14.25">
      <c r="A88" s="194"/>
      <c r="B88" s="144" t="s">
        <v>26</v>
      </c>
      <c r="C88" s="798">
        <v>3.272814</v>
      </c>
      <c r="D88" s="798">
        <v>3.39237</v>
      </c>
      <c r="E88" s="798">
        <v>3.385144</v>
      </c>
      <c r="F88" s="391"/>
      <c r="G88" s="391"/>
    </row>
    <row customHeight="1" ht="14.25">
      <c r="A89" s="194"/>
      <c r="B89" s="144" t="s">
        <v>32</v>
      </c>
      <c r="C89" s="798">
        <v>413.4008</v>
      </c>
      <c r="D89" s="798">
        <v>413.8743</v>
      </c>
      <c r="E89" s="798">
        <v>407.3294</v>
      </c>
      <c r="F89" s="391"/>
      <c r="G89" s="391"/>
    </row>
    <row customHeight="1" ht="16.5">
      <c r="A90" s="194"/>
      <c r="B90" s="144" t="s">
        <v>38</v>
      </c>
      <c r="C90" s="798">
        <v>68.52834</v>
      </c>
      <c r="D90" s="798">
        <v>67.63504</v>
      </c>
      <c r="E90" s="798">
        <v>68.83044</v>
      </c>
      <c r="F90" s="391"/>
      <c r="G90" s="391"/>
    </row>
    <row customHeight="1" ht="14.25">
      <c r="A91" s="194" t="s">
        <v>83</v>
      </c>
      <c r="B91" s="144" t="s">
        <v>20</v>
      </c>
      <c r="C91" s="798">
        <v>117.518</v>
      </c>
      <c r="D91" s="798">
        <v>114.7667</v>
      </c>
      <c r="E91" s="798">
        <v>115.0448</v>
      </c>
      <c r="F91" s="391"/>
      <c r="G91" s="391"/>
    </row>
    <row customHeight="1" ht="14.25">
      <c r="A92" s="194"/>
      <c r="B92" s="144" t="s">
        <v>26</v>
      </c>
      <c r="C92" s="798">
        <v>0.1722002</v>
      </c>
      <c r="D92" s="798">
        <v>0.116975</v>
      </c>
      <c r="E92" s="798">
        <v>0.185427</v>
      </c>
      <c r="F92" s="391"/>
      <c r="G92" s="391"/>
    </row>
    <row customHeight="1" ht="14.25">
      <c r="A93" s="194"/>
      <c r="B93" s="144" t="s">
        <v>32</v>
      </c>
      <c r="C93" s="798">
        <v>338.8067</v>
      </c>
      <c r="D93" s="798">
        <v>327.2264</v>
      </c>
      <c r="E93" s="798">
        <v>335.0783</v>
      </c>
      <c r="F93" s="391"/>
      <c r="G93" s="391"/>
    </row>
    <row customHeight="1" ht="16.5">
      <c r="A94" s="194"/>
      <c r="B94" s="144" t="s">
        <v>38</v>
      </c>
      <c r="C94" s="798">
        <v>80.02592</v>
      </c>
      <c r="D94" s="798">
        <v>82.50062</v>
      </c>
      <c r="E94" s="798">
        <v>76.49224</v>
      </c>
      <c r="F94" s="391"/>
      <c r="G94" s="391"/>
    </row>
    <row customHeight="1" ht="14.25">
      <c r="A95" s="194" t="s">
        <v>96</v>
      </c>
      <c r="B95" s="144" t="s">
        <v>20</v>
      </c>
      <c r="C95" s="802"/>
      <c r="D95" s="802"/>
      <c r="E95" s="802"/>
      <c r="F95" s="391"/>
      <c r="G95" s="391"/>
    </row>
    <row customHeight="1" ht="14.25">
      <c r="A96" s="194"/>
      <c r="B96" s="144" t="s">
        <v>26</v>
      </c>
      <c r="C96" s="802"/>
      <c r="D96" s="802"/>
      <c r="E96" s="802"/>
      <c r="F96" s="391"/>
      <c r="G96" s="391"/>
    </row>
    <row customHeight="1" ht="14.25">
      <c r="A97" s="194"/>
      <c r="B97" s="144" t="s">
        <v>32</v>
      </c>
      <c r="C97" s="802"/>
      <c r="D97" s="802"/>
      <c r="E97" s="802"/>
      <c r="F97" s="391"/>
      <c r="G97" s="391"/>
    </row>
    <row customHeight="1" ht="16.5">
      <c r="A98" s="194"/>
      <c r="B98" s="144" t="s">
        <v>38</v>
      </c>
      <c r="C98" s="802"/>
      <c r="D98" s="802"/>
      <c r="E98" s="802"/>
      <c r="F98" s="391"/>
      <c r="G98" s="391"/>
    </row>
    <row customHeight="1" ht="14.25">
      <c r="A99" s="194" t="s">
        <v>113</v>
      </c>
      <c r="B99" s="144" t="s">
        <v>20</v>
      </c>
      <c r="C99" s="802"/>
      <c r="D99" s="802"/>
      <c r="E99" s="802"/>
      <c r="F99" s="391"/>
      <c r="G99" s="391"/>
    </row>
    <row customHeight="1" ht="14.25">
      <c r="A100" s="194"/>
      <c r="B100" s="144" t="s">
        <v>26</v>
      </c>
      <c r="C100" s="802"/>
      <c r="D100" s="802"/>
      <c r="E100" s="802"/>
      <c r="F100" s="391"/>
      <c r="G100" s="391"/>
    </row>
    <row customHeight="1" ht="14.25">
      <c r="A101" s="194"/>
      <c r="B101" s="144" t="s">
        <v>32</v>
      </c>
      <c r="C101" s="802"/>
      <c r="D101" s="802"/>
      <c r="E101" s="802"/>
      <c r="F101" s="391"/>
      <c r="G101" s="391"/>
    </row>
    <row customHeight="1" ht="16.5">
      <c r="A102" s="194"/>
      <c r="B102" s="144" t="s">
        <v>38</v>
      </c>
      <c r="C102" s="802"/>
      <c r="D102" s="802"/>
      <c r="E102" s="802"/>
      <c r="F102" s="391"/>
      <c r="G102" s="391"/>
    </row>
    <row customHeight="1" ht="14.25">
      <c r="A103" s="194" t="s">
        <v>119</v>
      </c>
      <c r="B103" s="144" t="s">
        <v>20</v>
      </c>
      <c r="C103" s="802"/>
      <c r="D103" s="802"/>
      <c r="E103" s="802"/>
      <c r="F103" s="391"/>
      <c r="G103" s="391"/>
    </row>
    <row customHeight="1" ht="14.25">
      <c r="A104" s="194"/>
      <c r="B104" s="144" t="s">
        <v>26</v>
      </c>
      <c r="C104" s="802"/>
      <c r="D104" s="802"/>
      <c r="E104" s="802"/>
      <c r="F104" s="391"/>
      <c r="G104" s="391"/>
    </row>
    <row customHeight="1" ht="14.25">
      <c r="A105" s="194"/>
      <c r="B105" s="144" t="s">
        <v>32</v>
      </c>
      <c r="C105" s="802"/>
      <c r="D105" s="802"/>
      <c r="E105" s="802"/>
      <c r="F105" s="391"/>
      <c r="G105" s="391"/>
    </row>
    <row customHeight="1" ht="16.5">
      <c r="A106" s="194"/>
      <c r="B106" s="144" t="s">
        <v>38</v>
      </c>
      <c r="C106" s="802"/>
      <c r="D106" s="802"/>
      <c r="E106" s="802"/>
      <c r="F106" s="391"/>
      <c r="G106" s="391"/>
    </row>
    <row customHeight="1" ht="14.25">
      <c r="A107" s="194" t="s">
        <v>124</v>
      </c>
      <c r="B107" s="144" t="s">
        <v>125</v>
      </c>
      <c r="C107" s="798"/>
      <c r="D107" s="798"/>
      <c r="E107" s="798"/>
      <c r="F107" s="391"/>
      <c r="G107" s="391"/>
    </row>
    <row customHeight="1" ht="14.25">
      <c r="A108" s="194"/>
      <c r="B108" s="144" t="s">
        <v>136</v>
      </c>
      <c r="C108" s="798">
        <v>719.4629</v>
      </c>
      <c r="D108" s="798">
        <v>727.2444</v>
      </c>
      <c r="E108" s="798">
        <v>718.7581</v>
      </c>
      <c r="F108" s="391"/>
      <c r="G108" s="391"/>
    </row>
    <row customHeight="1" ht="14.25">
      <c r="A109" s="194"/>
      <c r="B109" s="144" t="s">
        <v>137</v>
      </c>
      <c r="C109" s="798">
        <v>0.709919</v>
      </c>
      <c r="D109" s="798">
        <v>0.7079126</v>
      </c>
      <c r="E109" s="798">
        <v>0.6994255</v>
      </c>
      <c r="F109" s="391"/>
      <c r="G109" s="391"/>
    </row>
    <row customHeight="1" ht="14.25">
      <c r="A110" s="194"/>
      <c r="B110" s="144" t="s">
        <v>138</v>
      </c>
      <c r="C110" s="798">
        <v>0.8407592</v>
      </c>
      <c r="D110" s="798">
        <v>0.8401034</v>
      </c>
      <c r="E110" s="798">
        <v>0.8396519</v>
      </c>
      <c r="F110" s="391"/>
      <c r="G110" s="391"/>
    </row>
    <row customHeight="1" ht="14.25">
      <c r="A111" s="194"/>
      <c r="B111" s="144" t="s">
        <v>139</v>
      </c>
      <c r="C111" s="798">
        <v>2.399581</v>
      </c>
      <c r="D111" s="798">
        <v>2.414061</v>
      </c>
      <c r="E111" s="798">
        <v>2.099747</v>
      </c>
      <c r="F111" s="391"/>
      <c r="G111" s="391"/>
    </row>
    <row customHeight="1" ht="14.25">
      <c r="A112" s="194"/>
      <c r="B112" s="144" t="s">
        <v>140</v>
      </c>
      <c r="C112" s="798">
        <v>2120.536</v>
      </c>
      <c r="D112" s="798">
        <v>2057.33</v>
      </c>
      <c r="E112" s="798">
        <v>2017.047</v>
      </c>
      <c r="F112" s="391"/>
      <c r="G112" s="391"/>
    </row>
    <row customHeight="1" ht="14.25">
      <c r="A113" s="194"/>
      <c r="B113" s="144" t="s">
        <v>141</v>
      </c>
      <c r="C113" s="798">
        <v>2.398019</v>
      </c>
      <c r="D113" s="798">
        <v>2.4124</v>
      </c>
      <c r="E113" s="798">
        <v>2.289315</v>
      </c>
      <c r="F113" s="391"/>
      <c r="G113" s="391"/>
    </row>
    <row customHeight="1" ht="16.5">
      <c r="A114" s="194"/>
      <c r="B114" s="144" t="s">
        <v>142</v>
      </c>
      <c r="C114" s="798">
        <v>5527.41</v>
      </c>
      <c r="D114" s="798">
        <v>5753.479</v>
      </c>
      <c r="E114" s="798">
        <v>5869.393</v>
      </c>
      <c r="F114" s="391"/>
      <c r="G114" s="391"/>
    </row>
    <row customHeight="1" ht="16.5">
      <c r="A115" s="194"/>
      <c r="B115" s="144" t="s">
        <v>148</v>
      </c>
      <c r="C115" s="798">
        <v>365.0865</v>
      </c>
      <c r="D115" s="798">
        <v>376.98</v>
      </c>
      <c r="E115" s="798">
        <v>388.8808</v>
      </c>
      <c r="F115" s="391"/>
      <c r="G115" s="391"/>
    </row>
    <row customHeight="1" ht="16.5">
      <c r="A116" s="194"/>
      <c r="B116" s="144" t="s">
        <v>149</v>
      </c>
      <c r="C116" s="798">
        <v>1198.995</v>
      </c>
      <c r="D116" s="798">
        <v>772.0858</v>
      </c>
      <c r="E116" s="798">
        <v>592.6473</v>
      </c>
      <c r="F116" s="391"/>
      <c r="G116" s="391"/>
    </row>
    <row customHeight="1" ht="16.5">
      <c r="A117" s="194"/>
      <c r="B117" s="144" t="s">
        <v>159</v>
      </c>
      <c r="C117" s="798">
        <v>15086.18</v>
      </c>
      <c r="D117" s="798">
        <v>13930.38</v>
      </c>
      <c r="E117" s="798">
        <v>15134.49</v>
      </c>
      <c r="F117" s="391"/>
      <c r="G117" s="391"/>
    </row>
    <row customHeight="1" ht="16.5">
      <c r="A118" s="194"/>
      <c r="B118" s="144" t="s">
        <v>162</v>
      </c>
      <c r="C118" s="798">
        <v>1906.652</v>
      </c>
      <c r="D118" s="798">
        <v>1812.144</v>
      </c>
      <c r="E118" s="798">
        <v>2009.494</v>
      </c>
      <c r="F118" s="391"/>
      <c r="G118" s="391"/>
    </row>
    <row customHeight="1" ht="14.25">
      <c r="A119" s="194"/>
      <c r="B119" s="144" t="s">
        <v>163</v>
      </c>
      <c r="C119" s="798">
        <v>8285.815</v>
      </c>
      <c r="D119" s="798">
        <v>7292.578</v>
      </c>
      <c r="E119" s="798">
        <v>6834.148</v>
      </c>
      <c r="F119" s="391"/>
      <c r="G119" s="391"/>
    </row>
    <row customHeight="1" ht="14.25">
      <c r="A120" s="194"/>
      <c r="B120" s="144" t="s">
        <v>164</v>
      </c>
      <c r="C120" s="798">
        <v>13173.36</v>
      </c>
      <c r="D120" s="798">
        <v>12795.73</v>
      </c>
      <c r="E120" s="798">
        <v>12760.55</v>
      </c>
      <c r="F120" s="391"/>
      <c r="G120" s="391"/>
    </row>
    <row customHeight="1" ht="14.25">
      <c r="A121" s="194"/>
      <c r="B121" s="144" t="s">
        <v>165</v>
      </c>
      <c r="C121" s="798">
        <v>9617.314</v>
      </c>
      <c r="D121" s="798">
        <v>9791.117</v>
      </c>
      <c r="E121" s="798">
        <v>9726.758</v>
      </c>
      <c r="F121" s="391"/>
      <c r="G121" s="391"/>
    </row>
    <row customHeight="1" ht="14.25">
      <c r="A122" s="194" t="s">
        <v>166</v>
      </c>
      <c r="B122" s="144" t="s">
        <v>167</v>
      </c>
      <c r="C122" s="802"/>
      <c r="D122" s="802"/>
      <c r="E122" s="802"/>
      <c r="F122" s="391"/>
      <c r="G122" s="391"/>
    </row>
    <row customHeight="1" ht="14.25">
      <c r="A123" s="194"/>
      <c r="B123" s="144" t="s">
        <v>168</v>
      </c>
      <c r="C123" s="802"/>
      <c r="D123" s="802"/>
      <c r="E123" s="802"/>
      <c r="F123" s="391"/>
      <c r="G123" s="391"/>
    </row>
    <row customHeight="1" ht="14.25">
      <c r="A124" s="194"/>
      <c r="B124" s="144" t="s">
        <v>171</v>
      </c>
      <c r="C124" s="802"/>
      <c r="D124" s="802"/>
      <c r="E124" s="802"/>
      <c r="F124" s="391"/>
      <c r="G124" s="391"/>
    </row>
    <row customHeight="1" ht="14.25">
      <c r="A125" s="194"/>
      <c r="B125" s="144" t="s">
        <v>172</v>
      </c>
      <c r="C125" s="802"/>
      <c r="D125" s="802"/>
      <c r="E125" s="802"/>
      <c r="F125" s="391"/>
      <c r="G125" s="391"/>
    </row>
    <row customHeight="1" ht="14.25">
      <c r="A126" s="194"/>
      <c r="B126" s="144" t="s">
        <v>182</v>
      </c>
      <c r="C126" s="802"/>
      <c r="D126" s="802"/>
      <c r="E126" s="802"/>
      <c r="F126" s="391"/>
      <c r="G126" s="391"/>
    </row>
    <row customHeight="1" ht="14.25">
      <c r="A127" s="194"/>
      <c r="B127" s="144" t="s">
        <v>183</v>
      </c>
      <c r="C127" s="802"/>
      <c r="D127" s="802"/>
      <c r="E127" s="802"/>
      <c r="F127" s="391"/>
      <c r="G127" s="391"/>
    </row>
    <row customHeight="1" ht="14.25">
      <c r="A128" s="194"/>
      <c r="B128" s="144" t="s">
        <v>184</v>
      </c>
      <c r="C128" s="802"/>
      <c r="D128" s="802"/>
      <c r="E128" s="802"/>
      <c r="F128" s="391"/>
      <c r="G128" s="391"/>
    </row>
    <row customHeight="1" ht="14.25">
      <c r="A129" s="194"/>
      <c r="B129" s="144" t="s">
        <v>185</v>
      </c>
      <c r="C129" s="802"/>
      <c r="D129" s="802"/>
      <c r="E129" s="802"/>
      <c r="F129" s="391"/>
      <c r="G129" s="391"/>
    </row>
  </sheetData>
  <mergeCells count="20">
    <mergeCell ref="A103:A106"/>
    <mergeCell ref="A107:A121"/>
    <mergeCell ref="A122:A129"/>
    <mergeCell ref="A74:A78"/>
    <mergeCell ref="A79:A82"/>
    <mergeCell ref="A83:A86"/>
    <mergeCell ref="A87:A90"/>
    <mergeCell ref="A91:A94"/>
    <mergeCell ref="A95:A98"/>
    <mergeCell ref="A99:A102"/>
    <mergeCell ref="A65:A73"/>
    <mergeCell ref="A56:A64"/>
    <mergeCell ref="A45:A55"/>
    <mergeCell ref="A38:A44"/>
    <mergeCell ref="A31:A37"/>
    <mergeCell ref="A26:A30"/>
    <mergeCell ref="A20:A25"/>
    <mergeCell ref="A15:A19"/>
    <mergeCell ref="A10:A14"/>
    <mergeCell ref="A2:A9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延安石油化工厂生产调度工艺台帐(物料平衡） </vt:lpstr>
      <vt:lpstr>取值</vt:lpstr>
      <vt:lpstr>取值1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dhc</dc:creator>
  <cp:lastModifiedBy>DELL</cp:lastModifiedBy>
  <dcterms:created xsi:type="dcterms:W3CDTF">2015-06-05T18:19:34Z</dcterms:created>
  <dcterms:modified xsi:type="dcterms:W3CDTF">2022-04-13T08:06:28Z</dcterms:modified>
</cp:coreProperties>
</file>