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油田气化工科技公司生产日报表" sheetId="1" r:id="rId2"/>
    <sheet name="Sheet2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E5" authorId="0">
      <text>
        <r>
          <rPr>
            <b/>
            <sz val="9"/>
            <color indexed="81"/>
            <rFont val="宋体"/>
            <family val="2"/>
          </rPr>
          <t>#Input("油田气科技公司_生产日报表一_乙炔装置_天然气_本日",":key{{dw}}",":read")</t>
        </r>
      </text>
    </comment>
    <comment ref="L5" authorId="0">
      <text>
        <r>
          <rPr>
            <b/>
            <sz val="9"/>
            <color indexed="81"/>
            <rFont val="宋体"/>
            <family val="2"/>
          </rPr>
          <t>#Input("油田气科技公司_生产日报表一_乙炔装置_天然气_单耗_本日",":key{{dw}}",":read")</t>
        </r>
      </text>
    </comment>
    <comment ref="E6" authorId="0">
      <text>
        <r>
          <rPr>
            <b/>
            <sz val="9"/>
            <color indexed="81"/>
            <rFont val="宋体"/>
            <family val="2"/>
          </rPr>
          <t>#Input("油田气科技公司_生产日报表一_甲醛装置_甲醇_本日",":key{{dw}}",":read")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#Input("油田气科技公司_生产日报表一_甲醛装置_甲醇_单耗_本日",":key{{dw}}",":read")</t>
        </r>
      </text>
    </comment>
    <comment ref="E7" authorId="0">
      <text>
        <r>
          <rPr>
            <sz val="9"/>
            <color indexed="81"/>
            <rFont val="Arial"/>
            <family val="2"/>
          </rPr>
          <t>#Input("油田气科技公司_生产日报表一_BDO装置_甲醛_本日",":key{{dw}}",":read")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#Input("油田气科技公司_生产日报表一_BDO装置_BDO_本日",":key{{dw}}",":read")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>#Input("油田气科技公司_生产日报表一_PTMEG装置_BDO_本日",":key{{dw}}",":read")</t>
        </r>
      </text>
    </comment>
    <comment ref="L8" authorId="0">
      <text>
        <r>
          <rPr>
            <b/>
            <sz val="9"/>
            <color indexed="81"/>
            <rFont val="宋体"/>
            <family val="2"/>
          </rPr>
          <t>#Input("油田气科技公司_生产日报表一_PTMEG装置_BDO_单耗_本日",":key{{dw}}",":read")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>#Input("油田气科技公司_生产计划部日报表二_EG装置_一氧化碳_本日",":key{{dw}}",":read")</t>
        </r>
      </text>
    </comment>
    <comment ref="L9" authorId="0">
      <text>
        <r>
          <rPr>
            <b/>
            <sz val="9"/>
            <color indexed="81"/>
            <rFont val="宋体"/>
            <family val="2"/>
          </rPr>
          <t>#Input("油田气科技公司_生产计划部日报表二_EG装置_一氧化碳_单耗_本日",":key{{dw}}",":read")</t>
        </r>
      </text>
    </comment>
    <comment ref="O14" authorId="0">
      <text>
        <r>
          <rPr>
            <b/>
            <sz val="9"/>
            <color indexed="81"/>
            <rFont val="宋体"/>
            <family val="2"/>
          </rPr>
          <t>#Input("油田气科技公司_生产日报表_备注",":key{{dw}}"</t>
        </r>
      </text>
    </comment>
  </commentList>
</comments>
</file>

<file path=xl/sharedStrings.xml><?xml version="1.0" encoding="utf-8"?>
<sst xmlns="http://schemas.openxmlformats.org/spreadsheetml/2006/main" count="204" uniqueCount="83">
  <si>
    <t>油田气化工科技公司生产日报表</t>
  </si>
  <si>
    <t>填报单位：油田气化工科技公司</t>
  </si>
  <si>
    <t/>
  </si>
  <si>
    <t>填报日期：</t>
  </si>
  <si>
    <t>单位：吨/标方</t>
  </si>
  <si>
    <t>指  标  名  称</t>
  </si>
  <si>
    <t>单位</t>
  </si>
  <si>
    <t>月计划</t>
  </si>
  <si>
    <t>加  工  量</t>
  </si>
  <si>
    <t>月完    成率%</t>
  </si>
  <si>
    <t>单    耗</t>
  </si>
  <si>
    <t>当日</t>
  </si>
  <si>
    <t>月累计</t>
  </si>
  <si>
    <t>年累计</t>
  </si>
  <si>
    <t>月平均</t>
  </si>
  <si>
    <t>年平均</t>
  </si>
  <si>
    <t>1、乙炔装置天然气加工量</t>
  </si>
  <si>
    <t>Nm3</t>
  </si>
  <si>
    <t>1、生产吨乙炔耗原料天然气</t>
  </si>
  <si>
    <t>Nm3/t</t>
  </si>
  <si>
    <t>2、甲醛装置甲醇加工量</t>
  </si>
  <si>
    <t>t</t>
  </si>
  <si>
    <t>2、生产吨甲醛耗原料甲醇</t>
  </si>
  <si>
    <t>t/t</t>
  </si>
  <si>
    <t>3、BDO装置甲醛加工量</t>
  </si>
  <si>
    <t>3、生产吨BDO耗原料乙炔</t>
  </si>
  <si>
    <t>4、PTMEG装置BDO加工量</t>
  </si>
  <si>
    <t>4、生产吨PTMEG耗BDO</t>
  </si>
  <si>
    <t>5、乙二醇装置CO加工量</t>
  </si>
  <si>
    <t>5、生产吨乙二醇耗CO</t>
  </si>
  <si>
    <t>6、乙炔收率</t>
  </si>
  <si>
    <t>%</t>
  </si>
  <si>
    <t>成  品  产  量、销  售  及  库  存  量</t>
  </si>
  <si>
    <t>外购</t>
  </si>
  <si>
    <t>备  注</t>
  </si>
  <si>
    <t>期初库存</t>
  </si>
  <si>
    <t>外购/产量</t>
  </si>
  <si>
    <t>加工量/销售量</t>
  </si>
  <si>
    <t>期末库存</t>
  </si>
  <si>
    <t>名  称</t>
  </si>
  <si>
    <t>本月</t>
  </si>
  <si>
    <t>1.乙炔气</t>
  </si>
  <si>
    <t>1.天然气</t>
  </si>
  <si>
    <t>2.甲醛</t>
  </si>
  <si>
    <t>2.煤</t>
  </si>
  <si>
    <t>3.BDO</t>
  </si>
  <si>
    <t>3.甲醇</t>
  </si>
  <si>
    <t>4.正丁醇</t>
  </si>
  <si>
    <t>4.醋酐</t>
  </si>
  <si>
    <t>5.焦油</t>
  </si>
  <si>
    <t>库存动态</t>
  </si>
  <si>
    <t>6.四氢呋喃</t>
  </si>
  <si>
    <t>7.PTMEG</t>
  </si>
  <si>
    <t>煤</t>
  </si>
  <si>
    <t>8.副产油</t>
  </si>
  <si>
    <t>甲醇</t>
  </si>
  <si>
    <t>9. 聚四氢呋喃过渡料</t>
  </si>
  <si>
    <t>BDO</t>
  </si>
  <si>
    <t>10.四氢呋喃过渡料</t>
  </si>
  <si>
    <t>液氮</t>
  </si>
  <si>
    <t>11.聚酯级乙二醇</t>
  </si>
  <si>
    <t>甲醛</t>
  </si>
  <si>
    <t>12.工业级乙二醇</t>
  </si>
  <si>
    <t>聚酯级乙二醇</t>
  </si>
  <si>
    <t>13.轻质多元醇</t>
  </si>
  <si>
    <t>PTMEG</t>
  </si>
  <si>
    <t>14.重质多元醇</t>
  </si>
  <si>
    <t>醋酐</t>
  </si>
  <si>
    <t>15.混合醇</t>
  </si>
  <si>
    <t>16.粗乙醇</t>
  </si>
  <si>
    <t>17.碳酸二甲酯</t>
  </si>
  <si>
    <t>18.液氮</t>
  </si>
  <si>
    <t>单位负责人：</t>
  </si>
  <si>
    <t>李刚</t>
  </si>
  <si>
    <t>填表人：</t>
  </si>
  <si>
    <t>霍宇</t>
  </si>
  <si>
    <t>2026-01-06</t>
  </si>
  <si>
    <t>单位：吨</t>
  </si>
  <si>
    <t>吨</t>
  </si>
  <si>
    <t>产量</t>
  </si>
  <si>
    <t>销售量</t>
  </si>
  <si>
    <t>获取数据失败</t>
  </si>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</sst>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1" formatCode="yyyy&quot;年&quot;m&quot;月&quot;d&quot;日&quot;;@"/>
    <numFmt numFmtId="172" formatCode="0.0000"/>
    <numFmt numFmtId="173" formatCode="0.00_ "/>
    <numFmt numFmtId="174" formatCode="0.000"/>
    <numFmt numFmtId="175" formatCode="0;\-0"/>
    <numFmt numFmtId="176" formatCode="0.00_);[Red]\(0.00\)"/>
    <numFmt numFmtId="177" formatCode="_(* #,##0.00_);_(* \(#,##0.00\);_(* &quot;-&quot;??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</numFmts>
  <fonts count="33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6"/>
      <color rgb="FF000000"/>
      <name val="Arial"/>
    </font>
    <font>
      <sz val="9"/>
      <color rgb="FF000000"/>
      <name val="Arial"/>
    </font>
    <font>
      <sz val="10"/>
      <color rgb="FF000000"/>
      <name val="Arial"/>
    </font>
    <font>
      <sz val="12"/>
      <color theme="1"/>
      <name val="Calibri"/>
      <scheme val="minor"/>
    </font>
    <font>
      <b/>
      <sz val="16"/>
      <color rgb="FF000000"/>
      <name val="等线"/>
    </font>
    <font>
      <sz val="11"/>
      <color rgb="FF000000"/>
      <name val="等线"/>
    </font>
    <font>
      <sz val="11"/>
      <color theme="1"/>
      <name val="等线"/>
    </font>
    <font>
      <b/>
      <sz val="11"/>
      <color rgb="FF000000"/>
      <name val="等线"/>
    </font>
    <font>
      <b/>
      <sz val="20"/>
      <color rgb="FF000000"/>
      <name val="等线"/>
    </font>
    <font>
      <sz val="16"/>
      <color rgb="FF000000"/>
      <name val="等线"/>
    </font>
    <font>
      <sz val="12"/>
      <color rgb="FF000000"/>
      <name val="等线"/>
    </font>
    <font>
      <sz val="16"/>
      <color theme="1"/>
      <name val="等线"/>
    </font>
    <font>
      <b/>
      <sz val="12"/>
      <color rgb="FF000000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45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/>
      <bottom/>
    </border>
  </borders>
  <cellStyleXfs count="49">
    <xf numFmtId="0" fontId="0" fillId="0" borderId="0" applyFont="1" applyFill="0" applyBorder="0">
      <alignment vertical="center"/>
    </xf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177" fontId="5" fillId="0" borderId="0" applyFont="0" applyFill="0" applyBorder="0" applyNumberFormat="1">
      <alignment vertical="top"/>
    </xf>
    <xf numFmtId="178" fontId="5" fillId="0" borderId="0" applyFont="0" applyFill="0" applyBorder="0" applyNumberFormat="1">
      <alignment vertical="top"/>
    </xf>
    <xf numFmtId="179" fontId="5" fillId="0" borderId="0" applyFont="0" applyFill="0" applyBorder="0" applyNumberFormat="1">
      <alignment vertical="top"/>
    </xf>
    <xf numFmtId="180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</cellStyleXfs>
  <cellXfs count="420">
    <xf numFmtId="0" fontId="0" fillId="0" borderId="0" xfId="0" applyFont="1">
      <alignment vertical="center"/>
    </xf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177" fontId="5" fillId="0" borderId="0" xfId="28" applyFont="0" applyNumberFormat="1">
      <alignment vertical="top"/>
    </xf>
    <xf numFmtId="178" fontId="5" fillId="0" borderId="0" xfId="29" applyFont="0" applyNumberFormat="1">
      <alignment vertical="top"/>
    </xf>
    <xf numFmtId="179" fontId="5" fillId="0" borderId="0" xfId="30" applyFont="0" applyNumberFormat="1">
      <alignment vertical="top"/>
    </xf>
    <xf numFmtId="180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0" fontId="20" fillId="0" borderId="0" xfId="0" applyFont="1"/>
    <xf numFmtId="0" fontId="21" fillId="0" borderId="0" xfId="0" applyFont="1"/>
    <xf numFmtId="0" fontId="21" fillId="0" borderId="0" xfId="0" applyFont="1">
      <alignment horizontal="center"/>
    </xf>
    <xf numFmtId="0" fontId="22" fillId="0" borderId="0" xfId="0" applyFont="1">
      <alignment horizontal="center"/>
    </xf>
    <xf numFmtId="0" fontId="22" fillId="0" borderId="0" xfId="0" applyFont="1"/>
    <xf numFmtId="0" fontId="23" fillId="0" borderId="0" xfId="0" applyFont="1">
      <alignment vertical="center"/>
    </xf>
    <xf numFmtId="2" fontId="24" fillId="0" borderId="0" xfId="0" applyFont="1" applyNumberFormat="1">
      <alignment horizontal="center" vertical="center"/>
    </xf>
    <xf numFmtId="2" fontId="25" fillId="0" borderId="0" xfId="0" applyFont="1" applyNumberFormat="1">
      <alignment horizontal="left" vertical="center"/>
    </xf>
    <xf numFmtId="2" fontId="26" fillId="0" borderId="10" xfId="0" applyFont="1" applyBorder="1" applyNumberFormat="1">
      <alignment horizontal="right" vertical="center"/>
    </xf>
    <xf numFmtId="171" fontId="25" fillId="0" borderId="0" xfId="0" applyFont="1" applyNumberFormat="1">
      <alignment horizontal="center" vertical="center"/>
    </xf>
    <xf numFmtId="2" fontId="27" fillId="0" borderId="11" xfId="0" applyFont="1" applyBorder="1" applyNumberFormat="1">
      <alignment horizontal="center" vertical="center"/>
    </xf>
    <xf numFmtId="2" fontId="25" fillId="0" borderId="12" xfId="0" applyFont="1" applyBorder="1" applyNumberFormat="1">
      <alignment horizontal="center" vertical="center"/>
    </xf>
    <xf numFmtId="2" fontId="25" fillId="0" borderId="13" xfId="0" applyFont="1" applyBorder="1" applyNumberFormat="1">
      <alignment horizontal="center" vertical="center" wrapText="1"/>
    </xf>
    <xf numFmtId="2" fontId="27" fillId="0" borderId="14" xfId="0" applyFont="1" applyBorder="1" applyNumberFormat="1">
      <alignment horizontal="center" vertical="center"/>
    </xf>
    <xf numFmtId="2" fontId="25" fillId="0" borderId="15" xfId="0" applyFont="1" applyBorder="1" applyNumberFormat="1">
      <alignment horizontal="center" vertical="center"/>
    </xf>
    <xf numFmtId="2" fontId="25" fillId="33" borderId="15" xfId="0" applyFont="1" applyFill="1" applyBorder="1" applyNumberFormat="1">
      <alignment horizontal="center" vertical="center"/>
    </xf>
    <xf numFmtId="2" fontId="25" fillId="0" borderId="16" xfId="0" applyFont="1" applyBorder="1" applyNumberFormat="1">
      <alignment horizontal="center" vertical="center" wrapText="1"/>
    </xf>
    <xf numFmtId="2" fontId="25" fillId="0" borderId="14" xfId="0" applyFont="1" applyBorder="1" applyNumberFormat="1">
      <alignment horizontal="left" vertical="center"/>
    </xf>
    <xf numFmtId="1" fontId="25" fillId="0" borderId="15" xfId="0" applyFont="1" applyBorder="1" applyNumberFormat="1">
      <alignment horizontal="right" vertical="center"/>
    </xf>
    <xf numFmtId="0" fontId="0" fillId="0" borderId="0" xfId="0" applyFont="1"/>
    <xf numFmtId="172" fontId="25" fillId="0" borderId="15" xfId="0" applyFont="1" applyBorder="1" applyNumberFormat="1">
      <alignment horizontal="right" vertical="center"/>
    </xf>
    <xf numFmtId="2" fontId="25" fillId="0" borderId="15" xfId="0" applyFont="1" applyBorder="1" applyNumberFormat="1">
      <alignment horizontal="right" vertical="center"/>
    </xf>
    <xf numFmtId="2" fontId="25" fillId="34" borderId="14" xfId="0" applyFont="1" applyFill="1" applyBorder="1" applyNumberFormat="1">
      <alignment horizontal="left" vertical="center"/>
    </xf>
    <xf numFmtId="1" fontId="25" fillId="33" borderId="15" xfId="0" applyFont="1" applyFill="1" applyBorder="1" applyNumberFormat="1">
      <alignment horizontal="right" vertical="center"/>
    </xf>
    <xf numFmtId="2" fontId="27" fillId="0" borderId="15" xfId="0" applyFont="1" applyBorder="1" applyNumberFormat="1">
      <alignment horizontal="center" vertical="center"/>
    </xf>
    <xf numFmtId="2" fontId="27" fillId="0" borderId="17" xfId="0" applyFont="1" applyBorder="1" applyNumberFormat="1">
      <alignment horizontal="center" vertical="center"/>
    </xf>
    <xf numFmtId="2" fontId="25" fillId="0" borderId="14" xfId="0" applyFont="1" applyBorder="1" applyNumberFormat="1">
      <alignment horizontal="center" vertical="center"/>
    </xf>
    <xf numFmtId="2" fontId="25" fillId="0" borderId="18" xfId="0" applyFont="1" applyBorder="1" applyNumberFormat="1">
      <alignment horizontal="center" vertical="center"/>
    </xf>
    <xf numFmtId="2" fontId="25" fillId="0" borderId="19" xfId="0" applyFont="1" applyBorder="1" applyNumberFormat="1">
      <alignment horizontal="center" vertical="center"/>
    </xf>
    <xf numFmtId="2" fontId="25" fillId="0" borderId="15" xfId="0" applyFont="1" applyBorder="1" applyNumberFormat="1">
      <alignment horizontal="center" vertical="center" wrapText="1"/>
    </xf>
    <xf numFmtId="2" fontId="25" fillId="0" borderId="20" xfId="0" applyFont="1" applyBorder="1" applyNumberFormat="1">
      <alignment horizontal="center" vertical="center"/>
    </xf>
    <xf numFmtId="2" fontId="25" fillId="34" borderId="15" xfId="0" applyFont="1" applyFill="1" applyBorder="1" applyNumberFormat="1">
      <alignment horizontal="center" vertical="center"/>
    </xf>
    <xf numFmtId="173" fontId="0" fillId="0" borderId="0" xfId="0" applyFont="1" applyNumberFormat="1"/>
    <xf numFmtId="173" fontId="25" fillId="35" borderId="15" xfId="0" applyFont="1" applyFill="1" applyBorder="1" applyNumberFormat="1">
      <alignment horizontal="right" vertical="center"/>
    </xf>
    <xf numFmtId="173" fontId="25" fillId="35" borderId="15" xfId="0" applyFont="1" applyFill="1" applyBorder="1" applyNumberFormat="1">
      <alignment horizontal="center" vertical="center"/>
    </xf>
    <xf numFmtId="173" fontId="25" fillId="35" borderId="21" xfId="0" applyFont="1" applyFill="1" applyBorder="1" applyNumberFormat="1">
      <alignment horizontal="center" vertical="center"/>
    </xf>
    <xf numFmtId="2" fontId="25" fillId="0" borderId="22" xfId="0" applyFont="1" applyBorder="1" applyNumberFormat="1">
      <alignment horizontal="left" vertical="center"/>
    </xf>
    <xf numFmtId="173" fontId="25" fillId="35" borderId="23" xfId="0" applyFont="1" applyFill="1" applyBorder="1" applyNumberFormat="1">
      <alignment horizontal="center" vertical="center"/>
    </xf>
    <xf numFmtId="2" fontId="25" fillId="0" borderId="0" xfId="0" applyFont="1" applyNumberFormat="1">
      <alignment horizontal="right" vertical="center"/>
    </xf>
    <xf numFmtId="173" fontId="25" fillId="0" borderId="0" xfId="0" applyFont="1" applyNumberFormat="1">
      <alignment horizontal="left" vertical="center"/>
    </xf>
    <xf numFmtId="173" fontId="25" fillId="0" borderId="0" xfId="0" applyFont="1" applyNumberFormat="1"/>
    <xf numFmtId="173" fontId="22" fillId="0" borderId="0" xfId="0" applyFont="1" applyNumberFormat="1"/>
    <xf numFmtId="0" fontId="25" fillId="0" borderId="0" xfId="0" applyFont="1">
      <alignment vertical="center"/>
    </xf>
    <xf numFmtId="2" fontId="25" fillId="0" borderId="0" xfId="0" applyFont="1" applyNumberFormat="1">
      <alignment horizontal="center" vertical="center"/>
    </xf>
    <xf numFmtId="2" fontId="27" fillId="0" borderId="12" xfId="0" applyFont="1" applyBorder="1" applyNumberFormat="1">
      <alignment horizontal="center" vertical="center"/>
    </xf>
    <xf numFmtId="2" fontId="25" fillId="0" borderId="24" xfId="0" applyFont="1" applyBorder="1" applyNumberFormat="1">
      <alignment horizontal="center" vertical="center"/>
    </xf>
    <xf numFmtId="2" fontId="25" fillId="0" borderId="25" xfId="0" applyFont="1" applyBorder="1" applyNumberFormat="1">
      <alignment horizontal="center" vertical="center"/>
    </xf>
    <xf numFmtId="2" fontId="25" fillId="0" borderId="26" xfId="0" applyFont="1" applyBorder="1" applyNumberFormat="1">
      <alignment horizontal="center" vertical="center"/>
    </xf>
    <xf numFmtId="2" fontId="25" fillId="0" borderId="27" xfId="0" applyFont="1" applyBorder="1" applyNumberFormat="1">
      <alignment horizontal="center" vertical="center"/>
    </xf>
    <xf numFmtId="2" fontId="25" fillId="0" borderId="15" xfId="0" applyFont="1" applyBorder="1" applyNumberFormat="1">
      <alignment horizontal="left" vertical="center"/>
    </xf>
    <xf numFmtId="2" fontId="25" fillId="0" borderId="15" xfId="0" applyFont="1" applyBorder="1" applyNumberFormat="1">
      <alignment horizontal="center"/>
    </xf>
    <xf numFmtId="174" fontId="25" fillId="0" borderId="15" xfId="0" applyFont="1" applyBorder="1" applyNumberFormat="1">
      <alignment horizontal="center" vertical="center"/>
    </xf>
    <xf numFmtId="2" fontId="25" fillId="0" borderId="18" xfId="0" applyFont="1" applyBorder="1" applyNumberFormat="1">
      <alignment horizontal="left" vertical="center"/>
    </xf>
    <xf numFmtId="2" fontId="25" fillId="0" borderId="21" xfId="0" applyFont="1" applyBorder="1" applyNumberFormat="1">
      <alignment horizontal="left" vertical="center"/>
    </xf>
    <xf numFmtId="2" fontId="27" fillId="0" borderId="16" xfId="0" applyFont="1" applyBorder="1" applyNumberFormat="1">
      <alignment horizontal="center" vertical="center"/>
    </xf>
    <xf numFmtId="2" fontId="27" fillId="0" borderId="28" xfId="0" applyFont="1" applyBorder="1" applyNumberFormat="1">
      <alignment horizontal="center" vertical="center"/>
    </xf>
    <xf numFmtId="2" fontId="25" fillId="0" borderId="21" xfId="0" applyFont="1" applyBorder="1" applyNumberFormat="1">
      <alignment horizontal="center" vertical="center"/>
    </xf>
    <xf numFmtId="2" fontId="25" fillId="0" borderId="17" xfId="0" applyFont="1" applyBorder="1" applyNumberFormat="1">
      <alignment horizontal="center" vertical="center"/>
    </xf>
    <xf numFmtId="2" fontId="27" fillId="0" borderId="29" xfId="0" applyFont="1" applyBorder="1" applyNumberFormat="1">
      <alignment horizontal="center" vertical="center"/>
    </xf>
    <xf numFmtId="2" fontId="27" fillId="0" borderId="30" xfId="0" applyFont="1" applyBorder="1" applyNumberFormat="1">
      <alignment horizontal="center" vertical="center"/>
    </xf>
    <xf numFmtId="173" fontId="25" fillId="35" borderId="18" xfId="0" applyFont="1" applyFill="1" applyBorder="1" applyNumberFormat="1">
      <alignment horizontal="right" vertical="center"/>
    </xf>
    <xf numFmtId="2" fontId="25" fillId="33" borderId="15" xfId="0" applyFont="1" applyFill="1" applyBorder="1" applyNumberFormat="1">
      <alignment horizontal="left" vertical="center"/>
    </xf>
    <xf numFmtId="0" fontId="27" fillId="0" borderId="28" xfId="0" applyFont="1" applyBorder="1">
      <alignment horizontal="center"/>
    </xf>
    <xf numFmtId="0" fontId="27" fillId="0" borderId="29" xfId="0" applyFont="1" applyBorder="1">
      <alignment horizontal="center"/>
    </xf>
    <xf numFmtId="2" fontId="27" fillId="0" borderId="31" xfId="0" applyFont="1" applyBorder="1" applyNumberFormat="1">
      <alignment horizontal="center" vertical="center"/>
    </xf>
    <xf numFmtId="2" fontId="27" fillId="0" borderId="32" xfId="0" applyFont="1" applyBorder="1" applyNumberFormat="1">
      <alignment horizontal="center" vertical="center"/>
    </xf>
    <xf numFmtId="2" fontId="25" fillId="33" borderId="18" xfId="0" applyFont="1" applyFill="1" applyBorder="1" applyNumberFormat="1">
      <alignment horizontal="center" vertical="center"/>
    </xf>
    <xf numFmtId="2" fontId="25" fillId="0" borderId="33" xfId="0" applyFont="1" applyBorder="1" applyNumberFormat="1">
      <alignment horizontal="center" vertical="center"/>
    </xf>
    <xf numFmtId="0" fontId="25" fillId="0" borderId="15" xfId="0" applyFont="1" applyBorder="1"/>
    <xf numFmtId="173" fontId="0" fillId="34" borderId="0" xfId="0" applyFont="1" applyFill="1" applyNumberFormat="1"/>
    <xf numFmtId="1" fontId="25" fillId="0" borderId="31" xfId="0" applyFont="1" applyBorder="1" applyNumberFormat="1">
      <alignment horizontal="right" vertical="center"/>
    </xf>
    <xf numFmtId="1" fontId="25" fillId="0" borderId="18" xfId="0" applyFont="1" applyBorder="1" applyNumberFormat="1">
      <alignment horizontal="right" vertical="center"/>
    </xf>
    <xf numFmtId="1" fontId="25" fillId="0" borderId="33" xfId="0" applyFont="1" applyBorder="1" applyNumberFormat="1">
      <alignment horizontal="right" vertical="center"/>
    </xf>
    <xf numFmtId="0" fontId="21" fillId="0" borderId="15" xfId="0" applyFont="1" applyBorder="1"/>
    <xf numFmtId="173" fontId="25" fillId="35" borderId="18" xfId="0" applyFont="1" applyFill="1" applyBorder="1" applyNumberFormat="1">
      <alignment horizontal="center" vertical="center"/>
    </xf>
    <xf numFmtId="2" fontId="25" fillId="0" borderId="16" xfId="0" applyFont="1" applyBorder="1" applyNumberFormat="1">
      <alignment horizontal="center" vertical="center"/>
    </xf>
    <xf numFmtId="1" fontId="25" fillId="0" borderId="34" xfId="0" applyFont="1" applyBorder="1" applyNumberFormat="1">
      <alignment horizontal="right" vertical="center"/>
    </xf>
    <xf numFmtId="2" fontId="25" fillId="0" borderId="23" xfId="0" applyFont="1" applyBorder="1" applyNumberFormat="1">
      <alignment horizontal="center" vertical="center"/>
    </xf>
    <xf numFmtId="1" fontId="25" fillId="0" borderId="35" xfId="0" applyFont="1" applyBorder="1" applyNumberFormat="1">
      <alignment horizontal="right" vertical="center"/>
    </xf>
    <xf numFmtId="0" fontId="27" fillId="0" borderId="36" xfId="0" applyFont="1" applyBorder="1">
      <alignment horizontal="center"/>
    </xf>
    <xf numFmtId="2" fontId="25" fillId="0" borderId="0" xfId="0" applyFont="1" applyNumberFormat="1">
      <alignment vertical="center"/>
    </xf>
    <xf numFmtId="2" fontId="28" fillId="0" borderId="0" xfId="0" applyFont="1" applyNumberFormat="1">
      <alignment horizontal="center" vertical="center"/>
    </xf>
    <xf numFmtId="2" fontId="29" fillId="0" borderId="0" xfId="0" applyFont="1" applyNumberFormat="1">
      <alignment horizontal="left" vertical="center"/>
    </xf>
    <xf numFmtId="2" fontId="30" fillId="0" borderId="0" xfId="0" applyFont="1" applyNumberFormat="1">
      <alignment horizontal="left" vertical="center"/>
    </xf>
    <xf numFmtId="2" fontId="31" fillId="0" borderId="0" xfId="0" applyFont="1" applyNumberFormat="1">
      <alignment horizontal="right" vertical="center"/>
    </xf>
    <xf numFmtId="171" fontId="29" fillId="0" borderId="0" xfId="0" applyFont="1" applyNumberFormat="1">
      <alignment horizontal="center" vertical="center"/>
    </xf>
    <xf numFmtId="2" fontId="24" fillId="4" borderId="11" xfId="0" applyFont="1" applyFill="1" applyBorder="1" applyNumberFormat="1">
      <alignment horizontal="center" vertical="center"/>
    </xf>
    <xf numFmtId="2" fontId="29" fillId="4" borderId="12" xfId="0" applyFont="1" applyFill="1" applyBorder="1" applyNumberFormat="1">
      <alignment horizontal="center" vertical="center"/>
    </xf>
    <xf numFmtId="2" fontId="29" fillId="4" borderId="13" xfId="0" applyFont="1" applyFill="1" applyBorder="1" applyNumberFormat="1">
      <alignment horizontal="center" vertical="center" wrapText="1"/>
    </xf>
    <xf numFmtId="2" fontId="24" fillId="4" borderId="14" xfId="0" applyFont="1" applyFill="1" applyBorder="1" applyNumberFormat="1">
      <alignment horizontal="center" vertical="center"/>
    </xf>
    <xf numFmtId="2" fontId="29" fillId="4" borderId="15" xfId="0" applyFont="1" applyFill="1" applyBorder="1" applyNumberFormat="1">
      <alignment horizontal="center" vertical="center"/>
    </xf>
    <xf numFmtId="2" fontId="29" fillId="4" borderId="16" xfId="0" applyFont="1" applyFill="1" applyBorder="1" applyNumberFormat="1">
      <alignment horizontal="center" vertical="center" wrapText="1"/>
    </xf>
    <xf numFmtId="2" fontId="29" fillId="0" borderId="14" xfId="0" applyFont="1" applyBorder="1" applyNumberFormat="1">
      <alignment horizontal="left" vertical="center"/>
    </xf>
    <xf numFmtId="2" fontId="29" fillId="0" borderId="15" xfId="0" applyFont="1" applyBorder="1" applyNumberFormat="1">
      <alignment horizontal="center" vertical="center"/>
    </xf>
    <xf numFmtId="1" fontId="29" fillId="33" borderId="15" xfId="0" applyFont="1" applyFill="1" applyBorder="1" applyNumberFormat="1">
      <alignment horizontal="right" vertical="center"/>
    </xf>
    <xf numFmtId="1" fontId="29" fillId="0" borderId="15" xfId="0" applyFont="1" applyBorder="1" applyNumberFormat="1">
      <alignment horizontal="right" vertical="center"/>
    </xf>
    <xf numFmtId="172" fontId="29" fillId="0" borderId="15" xfId="0" applyFont="1" applyBorder="1" applyNumberFormat="1">
      <alignment horizontal="right" vertical="center"/>
    </xf>
    <xf numFmtId="173" fontId="29" fillId="0" borderId="15" xfId="0" applyFont="1" applyBorder="1" applyNumberFormat="1">
      <alignment horizontal="right" vertical="center"/>
    </xf>
    <xf numFmtId="2" fontId="29" fillId="0" borderId="15" xfId="0" applyFont="1" applyBorder="1" applyNumberFormat="1">
      <alignment horizontal="right" vertical="center"/>
    </xf>
    <xf numFmtId="173" fontId="29" fillId="33" borderId="15" xfId="0" applyFont="1" applyFill="1" applyBorder="1" applyNumberFormat="1">
      <alignment horizontal="right" vertical="center"/>
    </xf>
    <xf numFmtId="2" fontId="29" fillId="0" borderId="22" xfId="0" applyFont="1" applyBorder="1" applyNumberFormat="1">
      <alignment horizontal="left" vertical="center"/>
    </xf>
    <xf numFmtId="2" fontId="29" fillId="0" borderId="23" xfId="0" applyFont="1" applyBorder="1" applyNumberFormat="1">
      <alignment horizontal="center" vertical="center"/>
    </xf>
    <xf numFmtId="1" fontId="29" fillId="0" borderId="23" xfId="0" applyFont="1" applyBorder="1" applyNumberFormat="1">
      <alignment horizontal="right" vertical="center"/>
    </xf>
    <xf numFmtId="1" fontId="29" fillId="33" borderId="23" xfId="0" applyFont="1" applyFill="1" applyBorder="1" applyNumberFormat="1">
      <alignment horizontal="right" vertical="center"/>
    </xf>
    <xf numFmtId="2" fontId="29" fillId="0" borderId="23" xfId="0" applyFont="1" applyBorder="1" applyNumberFormat="1">
      <alignment horizontal="right" vertical="center"/>
    </xf>
    <xf numFmtId="2" fontId="24" fillId="4" borderId="12" xfId="0" applyFont="1" applyFill="1" applyBorder="1" applyNumberFormat="1">
      <alignment horizontal="center" vertical="center"/>
    </xf>
    <xf numFmtId="2" fontId="24" fillId="4" borderId="13" xfId="0" applyFont="1" applyFill="1" applyBorder="1" applyNumberFormat="1">
      <alignment horizontal="center" vertical="center"/>
    </xf>
    <xf numFmtId="2" fontId="24" fillId="4" borderId="15" xfId="0" applyFont="1" applyFill="1" applyBorder="1" applyNumberFormat="1">
      <alignment horizontal="center" vertical="center"/>
    </xf>
    <xf numFmtId="2" fontId="24" fillId="4" borderId="18" xfId="0" applyFont="1" applyFill="1" applyBorder="1" applyNumberFormat="1">
      <alignment horizontal="center" vertical="center"/>
    </xf>
    <xf numFmtId="2" fontId="24" fillId="4" borderId="19" xfId="0" applyFont="1" applyFill="1" applyBorder="1" applyNumberFormat="1">
      <alignment horizontal="center" vertical="center"/>
    </xf>
    <xf numFmtId="2" fontId="24" fillId="4" borderId="15" xfId="0" applyFont="1" applyFill="1" applyBorder="1" applyNumberFormat="1">
      <alignment horizontal="center" vertical="center" wrapText="1"/>
    </xf>
    <xf numFmtId="2" fontId="24" fillId="4" borderId="20" xfId="0" applyFont="1" applyFill="1" applyBorder="1" applyNumberFormat="1">
      <alignment horizontal="center" vertical="center"/>
    </xf>
    <xf numFmtId="2" fontId="29" fillId="33" borderId="14" xfId="0" applyFont="1" applyFill="1" applyBorder="1" applyNumberFormat="1">
      <alignment horizontal="left" vertical="center"/>
    </xf>
    <xf numFmtId="173" fontId="29" fillId="33" borderId="21" xfId="0" applyFont="1" applyFill="1" applyBorder="1" applyNumberFormat="1">
      <alignment horizontal="right" vertical="center"/>
    </xf>
    <xf numFmtId="175" fontId="29" fillId="33" borderId="21" xfId="0" applyFont="1" applyFill="1" applyBorder="1" applyNumberFormat="1">
      <alignment horizontal="right" vertical="center"/>
    </xf>
    <xf numFmtId="176" fontId="29" fillId="33" borderId="21" xfId="0" applyFont="1" applyFill="1" applyBorder="1" applyNumberFormat="1">
      <alignment horizontal="right" vertical="center"/>
    </xf>
    <xf numFmtId="173" fontId="29" fillId="35" borderId="21" xfId="0" applyFont="1" applyFill="1" applyBorder="1" applyNumberFormat="1">
      <alignment horizontal="right" vertical="center"/>
    </xf>
    <xf numFmtId="176" fontId="29" fillId="35" borderId="21" xfId="0" applyFont="1" applyFill="1" applyBorder="1" applyNumberFormat="1">
      <alignment horizontal="right" vertical="center"/>
    </xf>
    <xf numFmtId="2" fontId="29" fillId="0" borderId="20" xfId="0" applyFont="1" applyBorder="1" applyNumberFormat="1">
      <alignment horizontal="left" vertical="center"/>
    </xf>
    <xf numFmtId="173" fontId="29" fillId="35" borderId="37" xfId="0" applyFont="1" applyFill="1" applyBorder="1" applyNumberFormat="1">
      <alignment horizontal="right" vertical="center"/>
    </xf>
    <xf numFmtId="175" fontId="29" fillId="33" borderId="37" xfId="0" applyFont="1" applyFill="1" applyBorder="1" applyNumberFormat="1">
      <alignment horizontal="right" vertical="center"/>
    </xf>
    <xf numFmtId="176" fontId="29" fillId="35" borderId="37" xfId="0" applyFont="1" applyFill="1" applyBorder="1" applyNumberFormat="1">
      <alignment horizontal="right" vertical="center"/>
    </xf>
    <xf numFmtId="175" fontId="31" fillId="0" borderId="15" xfId="0" applyFont="1" applyBorder="1" applyNumberFormat="1"/>
    <xf numFmtId="176" fontId="29" fillId="35" borderId="15" xfId="0" applyFont="1" applyFill="1" applyBorder="1" applyNumberFormat="1">
      <alignment horizontal="right" vertical="center"/>
    </xf>
    <xf numFmtId="2" fontId="29" fillId="0" borderId="38" xfId="0" applyFont="1" applyBorder="1" applyNumberFormat="1">
      <alignment horizontal="left" vertical="center"/>
    </xf>
    <xf numFmtId="173" fontId="29" fillId="35" borderId="32" xfId="0" applyFont="1" applyFill="1" applyBorder="1" applyNumberFormat="1">
      <alignment horizontal="right" vertical="center"/>
    </xf>
    <xf numFmtId="175" fontId="29" fillId="33" borderId="32" xfId="0" applyFont="1" applyFill="1" applyBorder="1" applyNumberFormat="1">
      <alignment horizontal="right" vertical="center"/>
    </xf>
    <xf numFmtId="176" fontId="29" fillId="35" borderId="32" xfId="0" applyFont="1" applyFill="1" applyBorder="1" applyNumberFormat="1">
      <alignment horizontal="right" vertical="center"/>
    </xf>
    <xf numFmtId="173" fontId="29" fillId="35" borderId="19" xfId="0" applyFont="1" applyFill="1" applyBorder="1" applyNumberFormat="1">
      <alignment horizontal="right" vertical="center"/>
    </xf>
    <xf numFmtId="175" fontId="31" fillId="0" borderId="15" xfId="0" applyFont="1" applyBorder="1" applyNumberFormat="1">
      <alignment vertical="center"/>
    </xf>
    <xf numFmtId="173" fontId="29" fillId="35" borderId="15" xfId="0" applyFont="1" applyFill="1" applyBorder="1" applyNumberFormat="1">
      <alignment vertical="center"/>
    </xf>
    <xf numFmtId="173" fontId="29" fillId="35" borderId="15" xfId="0" applyFont="1" applyFill="1" applyBorder="1" applyNumberFormat="1">
      <alignment vertical="center"/>
    </xf>
    <xf numFmtId="175" fontId="31" fillId="0" borderId="16" xfId="0" applyFont="1" applyBorder="1" applyNumberFormat="1">
      <alignment horizontal="right" vertical="top"/>
    </xf>
    <xf numFmtId="173" fontId="29" fillId="35" borderId="16" xfId="0" applyFont="1" applyFill="1" applyBorder="1" applyNumberFormat="1">
      <alignment horizontal="right" vertical="top"/>
    </xf>
    <xf numFmtId="173" fontId="29" fillId="35" borderId="39" xfId="0" applyFont="1" applyFill="1" applyBorder="1" applyNumberFormat="1">
      <alignment horizontal="right" vertical="center"/>
    </xf>
    <xf numFmtId="175" fontId="29" fillId="33" borderId="39" xfId="0" applyFont="1" applyFill="1" applyBorder="1" applyNumberFormat="1">
      <alignment horizontal="right" vertical="center"/>
    </xf>
    <xf numFmtId="176" fontId="29" fillId="35" borderId="39" xfId="0" applyFont="1" applyFill="1" applyBorder="1" applyNumberFormat="1">
      <alignment horizontal="right" vertical="center"/>
    </xf>
    <xf numFmtId="2" fontId="30" fillId="0" borderId="0" xfId="0" applyFont="1" applyNumberFormat="1">
      <alignment horizontal="right" vertical="center"/>
    </xf>
    <xf numFmtId="0" fontId="30" fillId="0" borderId="0" xfId="0" applyFont="1">
      <alignment horizontal="right"/>
    </xf>
    <xf numFmtId="2" fontId="30" fillId="0" borderId="0" xfId="0" applyFont="1" applyNumberFormat="1">
      <alignment horizontal="center" vertical="center"/>
    </xf>
    <xf numFmtId="171" fontId="29" fillId="0" borderId="0" xfId="0" applyFont="1" applyNumberFormat="1">
      <alignment vertical="center"/>
    </xf>
    <xf numFmtId="2" fontId="29" fillId="0" borderId="10" xfId="0" applyFont="1" applyBorder="1" applyNumberFormat="1">
      <alignment horizontal="center" vertical="center"/>
    </xf>
    <xf numFmtId="2" fontId="29" fillId="4" borderId="24" xfId="0" applyFont="1" applyFill="1" applyBorder="1" applyNumberFormat="1">
      <alignment horizontal="center" vertical="center"/>
    </xf>
    <xf numFmtId="2" fontId="29" fillId="4" borderId="25" xfId="0" applyFont="1" applyFill="1" applyBorder="1" applyNumberFormat="1">
      <alignment horizontal="center" vertical="center"/>
    </xf>
    <xf numFmtId="2" fontId="29" fillId="4" borderId="26" xfId="0" applyFont="1" applyFill="1" applyBorder="1" applyNumberFormat="1">
      <alignment horizontal="center" vertical="center"/>
    </xf>
    <xf numFmtId="2" fontId="29" fillId="4" borderId="18" xfId="0" applyFont="1" applyFill="1" applyBorder="1" applyNumberFormat="1">
      <alignment horizontal="center" vertical="center"/>
    </xf>
    <xf numFmtId="2" fontId="29" fillId="4" borderId="27" xfId="0" applyFont="1" applyFill="1" applyBorder="1" applyNumberFormat="1">
      <alignment horizontal="center" vertical="center"/>
    </xf>
    <xf numFmtId="2" fontId="29" fillId="33" borderId="18" xfId="0" applyFont="1" applyFill="1" applyBorder="1" applyNumberFormat="1">
      <alignment horizontal="left" vertical="center"/>
    </xf>
    <xf numFmtId="2" fontId="29" fillId="33" borderId="21" xfId="0" applyFont="1" applyFill="1" applyBorder="1" applyNumberFormat="1">
      <alignment horizontal="left" vertical="center"/>
    </xf>
    <xf numFmtId="2" fontId="29" fillId="0" borderId="27" xfId="0" applyFont="1" applyBorder="1" applyNumberFormat="1">
      <alignment horizontal="center" vertical="center"/>
    </xf>
    <xf numFmtId="2" fontId="29" fillId="0" borderId="18" xfId="0" applyFont="1" applyBorder="1" applyNumberFormat="1">
      <alignment horizontal="left" vertical="center"/>
    </xf>
    <xf numFmtId="2" fontId="29" fillId="0" borderId="21" xfId="0" applyFont="1" applyBorder="1" applyNumberFormat="1">
      <alignment horizontal="left" vertical="center"/>
    </xf>
    <xf numFmtId="174" fontId="29" fillId="0" borderId="15" xfId="0" applyFont="1" applyBorder="1" applyNumberFormat="1">
      <alignment horizontal="center" vertical="center"/>
    </xf>
    <xf numFmtId="2" fontId="29" fillId="0" borderId="40" xfId="0" applyFont="1" applyBorder="1" applyNumberFormat="1">
      <alignment horizontal="left" vertical="center"/>
    </xf>
    <xf numFmtId="2" fontId="29" fillId="0" borderId="39" xfId="0" applyFont="1" applyBorder="1" applyNumberFormat="1">
      <alignment horizontal="left" vertical="center"/>
    </xf>
    <xf numFmtId="2" fontId="29" fillId="0" borderId="41" xfId="0" applyFont="1" applyBorder="1" applyNumberFormat="1">
      <alignment horizontal="center" vertical="center"/>
    </xf>
    <xf numFmtId="2" fontId="24" fillId="4" borderId="42" xfId="0" applyFont="1" applyFill="1" applyBorder="1" applyNumberFormat="1">
      <alignment horizontal="center" vertical="center"/>
    </xf>
    <xf numFmtId="2" fontId="24" fillId="4" borderId="21" xfId="0" applyFont="1" applyFill="1" applyBorder="1" applyNumberFormat="1">
      <alignment horizontal="center" vertical="center"/>
    </xf>
    <xf numFmtId="2" fontId="24" fillId="4" borderId="17" xfId="0" applyFont="1" applyFill="1" applyBorder="1" applyNumberFormat="1">
      <alignment horizontal="center" vertical="center"/>
    </xf>
    <xf numFmtId="2" fontId="24" fillId="4" borderId="29" xfId="0" applyFont="1" applyFill="1" applyBorder="1" applyNumberFormat="1">
      <alignment horizontal="center" vertical="center"/>
    </xf>
    <xf numFmtId="2" fontId="24" fillId="4" borderId="30" xfId="0" applyFont="1" applyFill="1" applyBorder="1" applyNumberFormat="1">
      <alignment horizontal="center" vertical="center"/>
    </xf>
    <xf numFmtId="173" fontId="29" fillId="33" borderId="19" xfId="0" applyFont="1" applyFill="1" applyBorder="1" applyNumberFormat="1">
      <alignment horizontal="right" vertical="center"/>
    </xf>
    <xf numFmtId="2" fontId="29" fillId="33" borderId="15" xfId="0" applyFont="1" applyFill="1" applyBorder="1" applyNumberFormat="1">
      <alignment horizontal="left" vertical="center"/>
    </xf>
    <xf numFmtId="0" fontId="32" fillId="0" borderId="43" xfId="0" applyFont="1" applyBorder="1">
      <alignment horizontal="center"/>
    </xf>
    <xf numFmtId="0" fontId="32" fillId="0" borderId="44" xfId="0" applyFont="1" applyBorder="1">
      <alignment horizontal="center"/>
    </xf>
    <xf numFmtId="2" fontId="24" fillId="0" borderId="31" xfId="0" applyFont="1" applyBorder="1" applyNumberFormat="1">
      <alignment horizontal="center" vertical="center"/>
    </xf>
    <xf numFmtId="2" fontId="24" fillId="0" borderId="32" xfId="0" applyFont="1" applyBorder="1" applyNumberFormat="1">
      <alignment horizontal="center" vertical="center"/>
    </xf>
    <xf numFmtId="0" fontId="32" fillId="0" borderId="29" xfId="0" applyFont="1" applyBorder="1">
      <alignment horizontal="center"/>
    </xf>
    <xf numFmtId="2" fontId="29" fillId="0" borderId="17" xfId="0" applyFont="1" applyBorder="1" applyNumberFormat="1">
      <alignment horizontal="center" vertical="center"/>
    </xf>
    <xf numFmtId="2" fontId="29" fillId="0" borderId="18" xfId="0" applyFont="1" applyBorder="1" applyNumberFormat="1">
      <alignment horizontal="center" vertical="center"/>
    </xf>
    <xf numFmtId="2" fontId="29" fillId="33" borderId="18" xfId="0" applyFont="1" applyFill="1" applyBorder="1" applyNumberFormat="1">
      <alignment horizontal="center" vertical="center"/>
    </xf>
    <xf numFmtId="173" fontId="29" fillId="0" borderId="33" xfId="0" applyFont="1" applyBorder="1" applyNumberFormat="1">
      <alignment horizontal="right" vertical="center"/>
    </xf>
    <xf numFmtId="173" fontId="29" fillId="33" borderId="15" xfId="0" applyFont="1" applyFill="1" applyBorder="1" applyNumberFormat="1">
      <alignment vertical="center"/>
    </xf>
    <xf numFmtId="173" fontId="29" fillId="0" borderId="15" xfId="0" applyFont="1" applyBorder="1" applyNumberFormat="1">
      <alignment vertical="center"/>
    </xf>
    <xf numFmtId="173" fontId="29" fillId="0" borderId="31" xfId="0" applyFont="1" applyBorder="1" applyNumberFormat="1">
      <alignment horizontal="right" vertical="center"/>
    </xf>
    <xf numFmtId="2" fontId="29" fillId="33" borderId="15" xfId="0" applyFont="1" applyFill="1" applyBorder="1" applyNumberFormat="1">
      <alignment horizontal="center" vertical="center"/>
    </xf>
    <xf numFmtId="173" fontId="29" fillId="33" borderId="18" xfId="0" applyFont="1" applyFill="1" applyBorder="1" applyNumberFormat="1">
      <alignment horizontal="right" vertical="center"/>
    </xf>
    <xf numFmtId="173" fontId="29" fillId="0" borderId="18" xfId="0" applyFont="1" applyBorder="1" applyNumberFormat="1">
      <alignment horizontal="right" vertical="center"/>
    </xf>
    <xf numFmtId="0" fontId="29" fillId="0" borderId="15" xfId="0" applyFont="1" applyBorder="1"/>
    <xf numFmtId="2" fontId="29" fillId="0" borderId="16" xfId="0" applyFont="1" applyBorder="1" applyNumberFormat="1">
      <alignment horizontal="center" vertical="center"/>
    </xf>
    <xf numFmtId="1" fontId="29" fillId="0" borderId="34" xfId="0" applyFont="1" applyBorder="1" applyNumberFormat="1">
      <alignment horizontal="right" vertical="center"/>
    </xf>
    <xf numFmtId="1" fontId="29" fillId="0" borderId="35" xfId="0" applyFont="1" applyBorder="1" applyNumberFormat="1">
      <alignment horizontal="right" vertical="center"/>
    </xf>
    <xf numFmtId="0" fontId="32" fillId="0" borderId="36" xfId="0" applyFont="1" applyBorder="1">
      <alignment horizontal="center"/>
    </xf>
    <xf numFmtId="2" fontId="30" fillId="0" borderId="0" xfId="0" applyFont="1" applyNumberFormat="1">
      <alignment vertical="center"/>
    </xf>
    <xf numFmtId="0" fontId="20" fillId="0" borderId="0" xfId="0" applyFont="1">
      <alignment wrapText="1"/>
    </xf>
    <xf numFmtId="2" fontId="28" fillId="0" borderId="0" xfId="0" applyFont="1" applyNumberFormat="1">
      <alignment horizontal="center" vertical="center" wrapText="1"/>
    </xf>
    <xf numFmtId="0" fontId="21" fillId="0" borderId="0" xfId="0" applyFont="1">
      <alignment wrapText="1"/>
    </xf>
    <xf numFmtId="2" fontId="29" fillId="0" borderId="0" xfId="0" applyFont="1" applyNumberFormat="1">
      <alignment horizontal="left" vertical="center" wrapText="1"/>
    </xf>
    <xf numFmtId="2" fontId="30" fillId="0" borderId="0" xfId="0" applyFont="1" applyNumberFormat="1">
      <alignment horizontal="left" vertical="center" wrapText="1"/>
    </xf>
    <xf numFmtId="2" fontId="31" fillId="0" borderId="0" xfId="0" applyFont="1" applyNumberFormat="1">
      <alignment horizontal="right" vertical="center" wrapText="1"/>
    </xf>
    <xf numFmtId="171" fontId="29" fillId="0" borderId="0" xfId="0" applyFont="1" applyNumberFormat="1">
      <alignment horizontal="center" vertical="center" wrapText="1"/>
    </xf>
    <xf numFmtId="171" fontId="29" fillId="0" borderId="0" xfId="0" applyFont="1" applyNumberFormat="1">
      <alignment vertical="center" wrapText="1"/>
    </xf>
    <xf numFmtId="2" fontId="29" fillId="0" borderId="10" xfId="0" applyFont="1" applyBorder="1" applyNumberFormat="1">
      <alignment horizontal="center" vertical="center" wrapText="1"/>
    </xf>
    <xf numFmtId="2" fontId="30" fillId="0" borderId="0" xfId="0" applyFont="1" applyNumberFormat="1">
      <alignment horizontal="center" vertical="center" wrapText="1"/>
    </xf>
    <xf numFmtId="0" fontId="21" fillId="0" borderId="0" xfId="0" applyFont="1">
      <alignment horizontal="center" wrapText="1"/>
    </xf>
    <xf numFmtId="2" fontId="24" fillId="4" borderId="11" xfId="0" applyFont="1" applyFill="1" applyBorder="1" applyNumberFormat="1">
      <alignment horizontal="center" vertical="center" wrapText="1"/>
    </xf>
    <xf numFmtId="2" fontId="29" fillId="4" borderId="12" xfId="0" applyFont="1" applyFill="1" applyBorder="1" applyNumberFormat="1">
      <alignment horizontal="center" vertical="center" wrapText="1"/>
    </xf>
    <xf numFmtId="2" fontId="29" fillId="4" borderId="13" xfId="0" applyFont="1" applyFill="1" applyBorder="1" applyNumberFormat="1">
      <alignment horizontal="center" vertical="center" wrapText="1"/>
    </xf>
    <xf numFmtId="2" fontId="24" fillId="4" borderId="12" xfId="0" applyFont="1" applyFill="1" applyBorder="1" applyNumberFormat="1">
      <alignment horizontal="center" vertical="center" wrapText="1"/>
    </xf>
    <xf numFmtId="2" fontId="29" fillId="4" borderId="24" xfId="0" applyFont="1" applyFill="1" applyBorder="1" applyNumberFormat="1">
      <alignment horizontal="center" vertical="center" wrapText="1"/>
    </xf>
    <xf numFmtId="2" fontId="29" fillId="4" borderId="25" xfId="0" applyFont="1" applyFill="1" applyBorder="1" applyNumberFormat="1">
      <alignment horizontal="center" vertical="center" wrapText="1"/>
    </xf>
    <xf numFmtId="2" fontId="29" fillId="4" borderId="26" xfId="0" applyFont="1" applyFill="1" applyBorder="1" applyNumberFormat="1">
      <alignment horizontal="center" vertical="center" wrapText="1"/>
    </xf>
    <xf numFmtId="2" fontId="24" fillId="4" borderId="14" xfId="0" applyFont="1" applyFill="1" applyBorder="1" applyNumberFormat="1">
      <alignment horizontal="center" vertical="center" wrapText="1"/>
    </xf>
    <xf numFmtId="2" fontId="29" fillId="4" borderId="15" xfId="0" applyFont="1" applyFill="1" applyBorder="1" applyNumberFormat="1">
      <alignment horizontal="center" vertical="center" wrapText="1"/>
    </xf>
    <xf numFmtId="2" fontId="29" fillId="4" borderId="16" xfId="0" applyFont="1" applyFill="1" applyBorder="1" applyNumberFormat="1">
      <alignment horizontal="center" vertical="center" wrapText="1"/>
    </xf>
    <xf numFmtId="2" fontId="24" fillId="4" borderId="15" xfId="0" applyFont="1" applyFill="1" applyBorder="1" applyNumberFormat="1">
      <alignment horizontal="center" vertical="center" wrapText="1"/>
    </xf>
    <xf numFmtId="2" fontId="29" fillId="4" borderId="18" xfId="0" applyFont="1" applyFill="1" applyBorder="1" applyNumberFormat="1">
      <alignment horizontal="center" vertical="center" wrapText="1"/>
    </xf>
    <xf numFmtId="2" fontId="29" fillId="4" borderId="27" xfId="0" applyFont="1" applyFill="1" applyBorder="1" applyNumberFormat="1">
      <alignment horizontal="center" vertical="center" wrapText="1"/>
    </xf>
    <xf numFmtId="2" fontId="29" fillId="0" borderId="14" xfId="0" applyFont="1" applyBorder="1" applyNumberFormat="1">
      <alignment horizontal="left" vertical="center" wrapText="1"/>
    </xf>
    <xf numFmtId="2" fontId="29" fillId="0" borderId="15" xfId="0" applyFont="1" applyBorder="1" applyNumberFormat="1">
      <alignment horizontal="center" vertical="center" wrapText="1"/>
    </xf>
    <xf numFmtId="1" fontId="29" fillId="33" borderId="15" xfId="0" applyFont="1" applyFill="1" applyBorder="1" applyNumberFormat="1">
      <alignment horizontal="right" vertical="center" wrapText="1"/>
    </xf>
    <xf numFmtId="1" fontId="29" fillId="0" borderId="15" xfId="0" applyFont="1" applyBorder="1" applyNumberFormat="1">
      <alignment horizontal="right" vertical="center" wrapText="1"/>
    </xf>
    <xf numFmtId="172" fontId="29" fillId="0" borderId="15" xfId="0" applyFont="1" applyBorder="1" applyNumberFormat="1">
      <alignment horizontal="right" vertical="center" wrapText="1"/>
    </xf>
    <xf numFmtId="2" fontId="29" fillId="33" borderId="18" xfId="0" applyFont="1" applyFill="1" applyBorder="1" applyNumberFormat="1">
      <alignment horizontal="left" vertical="center" wrapText="1"/>
    </xf>
    <xf numFmtId="2" fontId="29" fillId="33" borderId="21" xfId="0" applyFont="1" applyFill="1" applyBorder="1" applyNumberFormat="1">
      <alignment horizontal="left" vertical="center" wrapText="1"/>
    </xf>
    <xf numFmtId="2" fontId="29" fillId="0" borderId="27" xfId="0" applyFont="1" applyBorder="1" applyNumberFormat="1">
      <alignment horizontal="center" vertical="center" wrapText="1"/>
    </xf>
    <xf numFmtId="173" fontId="29" fillId="0" borderId="15" xfId="0" applyFont="1" applyBorder="1" applyNumberFormat="1">
      <alignment horizontal="right" vertical="center" wrapText="1"/>
    </xf>
    <xf numFmtId="2" fontId="29" fillId="0" borderId="15" xfId="0" applyFont="1" applyBorder="1" applyNumberFormat="1">
      <alignment horizontal="right" vertical="center" wrapText="1"/>
    </xf>
    <xf numFmtId="2" fontId="29" fillId="0" borderId="18" xfId="0" applyFont="1" applyBorder="1" applyNumberFormat="1">
      <alignment horizontal="left" vertical="center" wrapText="1"/>
    </xf>
    <xf numFmtId="2" fontId="29" fillId="0" borderId="21" xfId="0" applyFont="1" applyBorder="1" applyNumberFormat="1">
      <alignment horizontal="left" vertical="center" wrapText="1"/>
    </xf>
    <xf numFmtId="174" fontId="29" fillId="0" borderId="15" xfId="0" applyFont="1" applyBorder="1" applyNumberFormat="1">
      <alignment horizontal="center" vertical="center" wrapText="1"/>
    </xf>
    <xf numFmtId="173" fontId="29" fillId="33" borderId="15" xfId="0" applyFont="1" applyFill="1" applyBorder="1" applyNumberFormat="1">
      <alignment horizontal="right" vertical="center" wrapText="1"/>
    </xf>
    <xf numFmtId="2" fontId="29" fillId="0" borderId="22" xfId="0" applyFont="1" applyBorder="1" applyNumberFormat="1">
      <alignment horizontal="left" vertical="center" wrapText="1"/>
    </xf>
    <xf numFmtId="2" fontId="29" fillId="0" borderId="23" xfId="0" applyFont="1" applyBorder="1" applyNumberFormat="1">
      <alignment horizontal="center" vertical="center" wrapText="1"/>
    </xf>
    <xf numFmtId="1" fontId="29" fillId="0" borderId="23" xfId="0" applyFont="1" applyBorder="1" applyNumberFormat="1">
      <alignment horizontal="right" vertical="center" wrapText="1"/>
    </xf>
    <xf numFmtId="1" fontId="29" fillId="33" borderId="23" xfId="0" applyFont="1" applyFill="1" applyBorder="1" applyNumberFormat="1">
      <alignment horizontal="right" vertical="center" wrapText="1"/>
    </xf>
    <xf numFmtId="2" fontId="29" fillId="0" borderId="23" xfId="0" applyFont="1" applyBorder="1" applyNumberFormat="1">
      <alignment horizontal="right" vertical="center" wrapText="1"/>
    </xf>
    <xf numFmtId="2" fontId="29" fillId="0" borderId="40" xfId="0" applyFont="1" applyBorder="1" applyNumberFormat="1">
      <alignment horizontal="left" vertical="center" wrapText="1"/>
    </xf>
    <xf numFmtId="2" fontId="29" fillId="0" borderId="39" xfId="0" applyFont="1" applyBorder="1" applyNumberFormat="1">
      <alignment horizontal="left" vertical="center" wrapText="1"/>
    </xf>
    <xf numFmtId="2" fontId="29" fillId="0" borderId="41" xfId="0" applyFont="1" applyBorder="1" applyNumberFormat="1">
      <alignment horizontal="center" vertical="center" wrapText="1"/>
    </xf>
    <xf numFmtId="0" fontId="22" fillId="0" borderId="0" xfId="0" applyFont="1">
      <alignment horizontal="center" wrapText="1"/>
    </xf>
    <xf numFmtId="2" fontId="24" fillId="4" borderId="13" xfId="0" applyFont="1" applyFill="1" applyBorder="1" applyNumberFormat="1">
      <alignment horizontal="center" vertical="center" wrapText="1"/>
    </xf>
    <xf numFmtId="2" fontId="24" fillId="4" borderId="42" xfId="0" applyFont="1" applyFill="1" applyBorder="1" applyNumberFormat="1">
      <alignment horizontal="center" vertical="center" wrapText="1"/>
    </xf>
    <xf numFmtId="2" fontId="24" fillId="4" borderId="18" xfId="0" applyFont="1" applyFill="1" applyBorder="1" applyNumberFormat="1">
      <alignment horizontal="center" vertical="center" wrapText="1"/>
    </xf>
    <xf numFmtId="2" fontId="24" fillId="4" borderId="19" xfId="0" applyFont="1" applyFill="1" applyBorder="1" applyNumberFormat="1">
      <alignment horizontal="center" vertical="center" wrapText="1"/>
    </xf>
    <xf numFmtId="2" fontId="24" fillId="4" borderId="15" xfId="0" applyFont="1" applyFill="1" applyBorder="1" applyNumberFormat="1">
      <alignment horizontal="center" vertical="center" wrapText="1"/>
    </xf>
    <xf numFmtId="2" fontId="24" fillId="4" borderId="21" xfId="0" applyFont="1" applyFill="1" applyBorder="1" applyNumberFormat="1">
      <alignment horizontal="center" vertical="center" wrapText="1"/>
    </xf>
    <xf numFmtId="2" fontId="24" fillId="4" borderId="17" xfId="0" applyFont="1" applyFill="1" applyBorder="1" applyNumberFormat="1">
      <alignment horizontal="center" vertical="center" wrapText="1"/>
    </xf>
    <xf numFmtId="2" fontId="24" fillId="4" borderId="29" xfId="0" applyFont="1" applyFill="1" applyBorder="1" applyNumberFormat="1">
      <alignment horizontal="center" vertical="center" wrapText="1"/>
    </xf>
    <xf numFmtId="2" fontId="24" fillId="4" borderId="20" xfId="0" applyFont="1" applyFill="1" applyBorder="1" applyNumberFormat="1">
      <alignment horizontal="center" vertical="center" wrapText="1"/>
    </xf>
    <xf numFmtId="2" fontId="24" fillId="4" borderId="30" xfId="0" applyFont="1" applyFill="1" applyBorder="1" applyNumberFormat="1">
      <alignment horizontal="center" vertical="center" wrapText="1"/>
    </xf>
    <xf numFmtId="2" fontId="29" fillId="33" borderId="14" xfId="0" applyFont="1" applyFill="1" applyBorder="1" applyNumberFormat="1">
      <alignment horizontal="left" vertical="center" wrapText="1"/>
    </xf>
    <xf numFmtId="173" fontId="29" fillId="33" borderId="21" xfId="0" applyFont="1" applyFill="1" applyBorder="1" applyNumberFormat="1">
      <alignment horizontal="right" vertical="center" wrapText="1"/>
    </xf>
    <xf numFmtId="175" fontId="29" fillId="33" borderId="21" xfId="0" applyFont="1" applyFill="1" applyBorder="1" applyNumberFormat="1">
      <alignment horizontal="right" vertical="center" wrapText="1"/>
    </xf>
    <xf numFmtId="176" fontId="29" fillId="33" borderId="21" xfId="0" applyFont="1" applyFill="1" applyBorder="1" applyNumberFormat="1">
      <alignment horizontal="right" vertical="center" wrapText="1"/>
    </xf>
    <xf numFmtId="173" fontId="29" fillId="33" borderId="19" xfId="0" applyFont="1" applyFill="1" applyBorder="1" applyNumberFormat="1">
      <alignment horizontal="right" vertical="center" wrapText="1"/>
    </xf>
    <xf numFmtId="2" fontId="29" fillId="33" borderId="15" xfId="0" applyFont="1" applyFill="1" applyBorder="1" applyNumberFormat="1">
      <alignment horizontal="left" vertical="center" wrapText="1"/>
    </xf>
    <xf numFmtId="0" fontId="32" fillId="0" borderId="43" xfId="0" applyFont="1" applyBorder="1">
      <alignment horizontal="center" wrapText="1"/>
    </xf>
    <xf numFmtId="173" fontId="29" fillId="35" borderId="21" xfId="0" applyFont="1" applyFill="1" applyBorder="1" applyNumberFormat="1">
      <alignment horizontal="right" vertical="center" wrapText="1"/>
    </xf>
    <xf numFmtId="176" fontId="29" fillId="35" borderId="21" xfId="0" applyFont="1" applyFill="1" applyBorder="1" applyNumberFormat="1">
      <alignment horizontal="right" vertical="center" wrapText="1"/>
    </xf>
    <xf numFmtId="173" fontId="29" fillId="35" borderId="19" xfId="0" applyFont="1" applyFill="1" applyBorder="1" applyNumberFormat="1">
      <alignment horizontal="right" vertical="center" wrapText="1"/>
    </xf>
    <xf numFmtId="0" fontId="32" fillId="0" borderId="44" xfId="0" applyFont="1" applyBorder="1">
      <alignment horizontal="center" wrapText="1"/>
    </xf>
    <xf numFmtId="2" fontId="24" fillId="0" borderId="31" xfId="0" applyFont="1" applyBorder="1" applyNumberFormat="1">
      <alignment horizontal="center" vertical="center" wrapText="1"/>
    </xf>
    <xf numFmtId="2" fontId="24" fillId="0" borderId="32" xfId="0" applyFont="1" applyBorder="1" applyNumberFormat="1">
      <alignment horizontal="center" vertical="center" wrapText="1"/>
    </xf>
    <xf numFmtId="0" fontId="32" fillId="0" borderId="29" xfId="0" applyFont="1" applyBorder="1">
      <alignment horizontal="center" wrapText="1"/>
    </xf>
    <xf numFmtId="2" fontId="29" fillId="0" borderId="20" xfId="0" applyFont="1" applyBorder="1" applyNumberFormat="1">
      <alignment horizontal="left" vertical="center" wrapText="1"/>
    </xf>
    <xf numFmtId="173" fontId="29" fillId="35" borderId="37" xfId="0" applyFont="1" applyFill="1" applyBorder="1" applyNumberFormat="1">
      <alignment horizontal="right" vertical="center" wrapText="1"/>
    </xf>
    <xf numFmtId="175" fontId="29" fillId="33" borderId="37" xfId="0" applyFont="1" applyFill="1" applyBorder="1" applyNumberFormat="1">
      <alignment horizontal="right" vertical="center" wrapText="1"/>
    </xf>
    <xf numFmtId="176" fontId="29" fillId="35" borderId="37" xfId="0" applyFont="1" applyFill="1" applyBorder="1" applyNumberFormat="1">
      <alignment horizontal="right" vertical="center" wrapText="1"/>
    </xf>
    <xf numFmtId="2" fontId="29" fillId="0" borderId="17" xfId="0" applyFont="1" applyBorder="1" applyNumberFormat="1">
      <alignment horizontal="center" vertical="center" wrapText="1"/>
    </xf>
    <xf numFmtId="2" fontId="29" fillId="0" borderId="18" xfId="0" applyFont="1" applyBorder="1" applyNumberFormat="1">
      <alignment horizontal="center" vertical="center" wrapText="1"/>
    </xf>
    <xf numFmtId="175" fontId="31" fillId="0" borderId="15" xfId="0" applyFont="1" applyBorder="1" applyNumberFormat="1">
      <alignment wrapText="1"/>
    </xf>
    <xf numFmtId="176" fontId="29" fillId="35" borderId="15" xfId="0" applyFont="1" applyFill="1" applyBorder="1" applyNumberFormat="1">
      <alignment horizontal="right" vertical="center" wrapText="1"/>
    </xf>
    <xf numFmtId="2" fontId="29" fillId="33" borderId="18" xfId="0" applyFont="1" applyFill="1" applyBorder="1" applyNumberFormat="1">
      <alignment horizontal="center" vertical="center" wrapText="1"/>
    </xf>
    <xf numFmtId="173" fontId="29" fillId="0" borderId="33" xfId="0" applyFont="1" applyBorder="1" applyNumberFormat="1">
      <alignment horizontal="right" vertical="center" wrapText="1"/>
    </xf>
    <xf numFmtId="2" fontId="29" fillId="0" borderId="38" xfId="0" applyFont="1" applyBorder="1" applyNumberFormat="1">
      <alignment horizontal="left" vertical="center" wrapText="1"/>
    </xf>
    <xf numFmtId="173" fontId="29" fillId="35" borderId="32" xfId="0" applyFont="1" applyFill="1" applyBorder="1" applyNumberFormat="1">
      <alignment horizontal="right" vertical="center" wrapText="1"/>
    </xf>
    <xf numFmtId="175" fontId="29" fillId="33" borderId="32" xfId="0" applyFont="1" applyFill="1" applyBorder="1" applyNumberFormat="1">
      <alignment horizontal="right" vertical="center" wrapText="1"/>
    </xf>
    <xf numFmtId="176" fontId="29" fillId="35" borderId="32" xfId="0" applyFont="1" applyFill="1" applyBorder="1" applyNumberFormat="1">
      <alignment horizontal="right" vertical="center" wrapText="1"/>
    </xf>
    <xf numFmtId="173" fontId="29" fillId="33" borderId="15" xfId="0" applyFont="1" applyFill="1" applyBorder="1" applyNumberFormat="1">
      <alignment vertical="center" wrapText="1"/>
    </xf>
    <xf numFmtId="173" fontId="29" fillId="0" borderId="15" xfId="0" applyFont="1" applyBorder="1" applyNumberFormat="1">
      <alignment vertical="center" wrapText="1"/>
    </xf>
    <xf numFmtId="175" fontId="31" fillId="0" borderId="15" xfId="0" applyFont="1" applyBorder="1" applyNumberFormat="1">
      <alignment vertical="center" wrapText="1"/>
    </xf>
    <xf numFmtId="173" fontId="29" fillId="35" borderId="15" xfId="0" applyFont="1" applyFill="1" applyBorder="1" applyNumberFormat="1">
      <alignment vertical="center" wrapText="1"/>
    </xf>
    <xf numFmtId="173" fontId="29" fillId="0" borderId="31" xfId="0" applyFont="1" applyBorder="1" applyNumberFormat="1">
      <alignment horizontal="right" vertical="center" wrapText="1"/>
    </xf>
    <xf numFmtId="173" fontId="29" fillId="35" borderId="15" xfId="0" applyFont="1" applyFill="1" applyBorder="1" applyNumberFormat="1">
      <alignment vertical="center" wrapText="1"/>
    </xf>
    <xf numFmtId="2" fontId="29" fillId="33" borderId="15" xfId="0" applyFont="1" applyFill="1" applyBorder="1" applyNumberFormat="1">
      <alignment horizontal="center" vertical="center" wrapText="1"/>
    </xf>
    <xf numFmtId="173" fontId="29" fillId="33" borderId="18" xfId="0" applyFont="1" applyFill="1" applyBorder="1" applyNumberFormat="1">
      <alignment horizontal="right" vertical="center" wrapText="1"/>
    </xf>
    <xf numFmtId="173" fontId="29" fillId="0" borderId="18" xfId="0" applyFont="1" applyBorder="1" applyNumberFormat="1">
      <alignment horizontal="right" vertical="center" wrapText="1"/>
    </xf>
    <xf numFmtId="175" fontId="31" fillId="0" borderId="16" xfId="0" applyFont="1" applyBorder="1" applyNumberFormat="1">
      <alignment horizontal="right" vertical="top" wrapText="1"/>
    </xf>
    <xf numFmtId="173" fontId="29" fillId="35" borderId="16" xfId="0" applyFont="1" applyFill="1" applyBorder="1" applyNumberFormat="1">
      <alignment horizontal="right" vertical="top" wrapText="1"/>
    </xf>
    <xf numFmtId="0" fontId="29" fillId="0" borderId="15" xfId="0" applyFont="1" applyBorder="1">
      <alignment wrapText="1"/>
    </xf>
    <xf numFmtId="2" fontId="29" fillId="0" borderId="16" xfId="0" applyFont="1" applyBorder="1" applyNumberFormat="1">
      <alignment horizontal="center" vertical="center" wrapText="1"/>
    </xf>
    <xf numFmtId="1" fontId="29" fillId="0" borderId="34" xfId="0" applyFont="1" applyBorder="1" applyNumberFormat="1">
      <alignment horizontal="right" vertical="center" wrapText="1"/>
    </xf>
    <xf numFmtId="173" fontId="29" fillId="35" borderId="39" xfId="0" applyFont="1" applyFill="1" applyBorder="1" applyNumberFormat="1">
      <alignment horizontal="right" vertical="center" wrapText="1"/>
    </xf>
    <xf numFmtId="175" fontId="29" fillId="33" borderId="39" xfId="0" applyFont="1" applyFill="1" applyBorder="1" applyNumberFormat="1">
      <alignment horizontal="right" vertical="center" wrapText="1"/>
    </xf>
    <xf numFmtId="176" fontId="29" fillId="35" borderId="39" xfId="0" applyFont="1" applyFill="1" applyBorder="1" applyNumberFormat="1">
      <alignment horizontal="right" vertical="center" wrapText="1"/>
    </xf>
    <xf numFmtId="1" fontId="29" fillId="0" borderId="35" xfId="0" applyFont="1" applyBorder="1" applyNumberFormat="1">
      <alignment horizontal="right" vertical="center" wrapText="1"/>
    </xf>
    <xf numFmtId="0" fontId="32" fillId="0" borderId="36" xfId="0" applyFont="1" applyBorder="1">
      <alignment horizontal="center" wrapText="1"/>
    </xf>
    <xf numFmtId="0" fontId="22" fillId="0" borderId="0" xfId="0" applyFont="1">
      <alignment wrapText="1"/>
    </xf>
    <xf numFmtId="2" fontId="30" fillId="0" borderId="0" xfId="0" applyFont="1" applyNumberFormat="1">
      <alignment horizontal="right" vertical="center" wrapText="1"/>
    </xf>
    <xf numFmtId="0" fontId="30" fillId="0" borderId="0" xfId="0" applyFont="1">
      <alignment horizontal="right" wrapText="1"/>
    </xf>
    <xf numFmtId="2" fontId="30" fillId="0" borderId="0" xfId="0" applyFont="1" applyNumberFormat="1">
      <alignment vertical="center" wrapText="1"/>
    </xf>
    <xf numFmtId="0" fontId="20" fillId="0" borderId="0" xfId="0" applyFont="1">
      <alignment wrapText="1"/>
    </xf>
    <xf numFmtId="2" fontId="24" fillId="0" borderId="0" xfId="0" applyFont="1" applyNumberFormat="1">
      <alignment horizontal="center" vertical="center" wrapText="1"/>
    </xf>
    <xf numFmtId="2" fontId="25" fillId="0" borderId="0" xfId="0" applyFont="1" applyNumberFormat="1">
      <alignment horizontal="left" vertical="center" wrapText="1"/>
    </xf>
    <xf numFmtId="2" fontId="26" fillId="0" borderId="10" xfId="0" applyFont="1" applyBorder="1" applyNumberFormat="1">
      <alignment horizontal="right" vertical="center" wrapText="1"/>
    </xf>
    <xf numFmtId="171" fontId="25" fillId="0" borderId="0" xfId="0" applyFont="1" applyNumberFormat="1">
      <alignment horizontal="center" vertical="center" wrapText="1"/>
    </xf>
    <xf numFmtId="0" fontId="25" fillId="0" borderId="0" xfId="0" applyFont="1">
      <alignment vertical="center" wrapText="1"/>
    </xf>
    <xf numFmtId="2" fontId="25" fillId="0" borderId="0" xfId="0" applyFont="1" applyNumberFormat="1">
      <alignment horizontal="center" vertical="center" wrapText="1"/>
    </xf>
    <xf numFmtId="0" fontId="0" fillId="0" borderId="0" xfId="0" applyFont="1">
      <alignment wrapText="1"/>
    </xf>
    <xf numFmtId="2" fontId="27" fillId="0" borderId="11" xfId="0" applyFont="1" applyBorder="1" applyNumberFormat="1">
      <alignment horizontal="center" vertical="center" wrapText="1"/>
    </xf>
    <xf numFmtId="2" fontId="25" fillId="0" borderId="12" xfId="0" applyFont="1" applyBorder="1" applyNumberFormat="1">
      <alignment horizontal="center" vertical="center" wrapText="1"/>
    </xf>
    <xf numFmtId="2" fontId="25" fillId="0" borderId="13" xfId="0" applyFont="1" applyBorder="1" applyNumberFormat="1">
      <alignment horizontal="center" vertical="center" wrapText="1"/>
    </xf>
    <xf numFmtId="2" fontId="27" fillId="0" borderId="12" xfId="0" applyFont="1" applyBorder="1" applyNumberFormat="1">
      <alignment horizontal="center" vertical="center" wrapText="1"/>
    </xf>
    <xf numFmtId="2" fontId="25" fillId="0" borderId="24" xfId="0" applyFont="1" applyBorder="1" applyNumberFormat="1">
      <alignment horizontal="center" vertical="center" wrapText="1"/>
    </xf>
    <xf numFmtId="2" fontId="25" fillId="0" borderId="25" xfId="0" applyFont="1" applyBorder="1" applyNumberFormat="1">
      <alignment horizontal="center" vertical="center" wrapText="1"/>
    </xf>
    <xf numFmtId="2" fontId="25" fillId="0" borderId="26" xfId="0" applyFont="1" applyBorder="1" applyNumberFormat="1">
      <alignment horizontal="center" vertical="center" wrapText="1"/>
    </xf>
    <xf numFmtId="2" fontId="27" fillId="0" borderId="14" xfId="0" applyFont="1" applyBorder="1" applyNumberFormat="1">
      <alignment horizontal="center" vertical="center" wrapText="1"/>
    </xf>
    <xf numFmtId="2" fontId="25" fillId="0" borderId="15" xfId="0" applyFont="1" applyBorder="1" applyNumberFormat="1">
      <alignment horizontal="center" vertical="center" wrapText="1"/>
    </xf>
    <xf numFmtId="2" fontId="25" fillId="33" borderId="15" xfId="0" applyFont="1" applyFill="1" applyBorder="1" applyNumberFormat="1">
      <alignment horizontal="center" vertical="center" wrapText="1"/>
    </xf>
    <xf numFmtId="2" fontId="25" fillId="0" borderId="16" xfId="0" applyFont="1" applyBorder="1" applyNumberFormat="1">
      <alignment horizontal="center" vertical="center" wrapText="1"/>
    </xf>
    <xf numFmtId="2" fontId="27" fillId="0" borderId="15" xfId="0" applyFont="1" applyBorder="1" applyNumberFormat="1">
      <alignment horizontal="center" vertical="center" wrapText="1"/>
    </xf>
    <xf numFmtId="2" fontId="25" fillId="0" borderId="18" xfId="0" applyFont="1" applyBorder="1" applyNumberFormat="1">
      <alignment horizontal="center" vertical="center" wrapText="1"/>
    </xf>
    <xf numFmtId="2" fontId="25" fillId="0" borderId="27" xfId="0" applyFont="1" applyBorder="1" applyNumberFormat="1">
      <alignment horizontal="center" vertical="center" wrapText="1"/>
    </xf>
    <xf numFmtId="2" fontId="25" fillId="0" borderId="14" xfId="0" applyFont="1" applyBorder="1" applyNumberFormat="1">
      <alignment horizontal="left" vertical="center" wrapText="1"/>
    </xf>
    <xf numFmtId="1" fontId="25" fillId="0" borderId="15" xfId="0" applyFont="1" applyBorder="1" applyNumberFormat="1">
      <alignment horizontal="right" vertical="center" wrapText="1"/>
    </xf>
    <xf numFmtId="172" fontId="25" fillId="0" borderId="15" xfId="0" applyFont="1" applyBorder="1" applyNumberFormat="1">
      <alignment horizontal="right" vertical="center" wrapText="1"/>
    </xf>
    <xf numFmtId="2" fontId="25" fillId="0" borderId="15" xfId="0" applyFont="1" applyBorder="1" applyNumberFormat="1">
      <alignment horizontal="left" vertical="center" wrapText="1"/>
    </xf>
    <xf numFmtId="2" fontId="25" fillId="0" borderId="15" xfId="0" applyFont="1" applyBorder="1" applyNumberFormat="1">
      <alignment horizontal="center" wrapText="1"/>
    </xf>
    <xf numFmtId="2" fontId="25" fillId="0" borderId="15" xfId="0" applyFont="1" applyBorder="1" applyNumberFormat="1">
      <alignment horizontal="right" vertical="center" wrapText="1"/>
    </xf>
    <xf numFmtId="174" fontId="25" fillId="0" borderId="15" xfId="0" applyFont="1" applyBorder="1" applyNumberFormat="1">
      <alignment horizontal="center" vertical="center" wrapText="1"/>
    </xf>
    <xf numFmtId="2" fontId="25" fillId="34" borderId="14" xfId="0" applyFont="1" applyFill="1" applyBorder="1" applyNumberFormat="1">
      <alignment horizontal="left" vertical="center" wrapText="1"/>
    </xf>
    <xf numFmtId="1" fontId="25" fillId="33" borderId="15" xfId="0" applyFont="1" applyFill="1" applyBorder="1" applyNumberFormat="1">
      <alignment horizontal="right" vertical="center" wrapText="1"/>
    </xf>
    <xf numFmtId="2" fontId="25" fillId="0" borderId="18" xfId="0" applyFont="1" applyBorder="1" applyNumberFormat="1">
      <alignment horizontal="left" vertical="center" wrapText="1"/>
    </xf>
    <xf numFmtId="2" fontId="25" fillId="0" borderId="21" xfId="0" applyFont="1" applyBorder="1" applyNumberFormat="1">
      <alignment horizontal="left" vertical="center" wrapText="1"/>
    </xf>
    <xf numFmtId="2" fontId="27" fillId="0" borderId="17" xfId="0" applyFont="1" applyBorder="1" applyNumberFormat="1">
      <alignment horizontal="center" vertical="center" wrapText="1"/>
    </xf>
    <xf numFmtId="2" fontId="27" fillId="0" borderId="16" xfId="0" applyFont="1" applyBorder="1" applyNumberFormat="1">
      <alignment horizontal="center" vertical="center" wrapText="1"/>
    </xf>
    <xf numFmtId="2" fontId="27" fillId="0" borderId="28" xfId="0" applyFont="1" applyBorder="1" applyNumberFormat="1">
      <alignment horizontal="center" vertical="center" wrapText="1"/>
    </xf>
    <xf numFmtId="2" fontId="25" fillId="0" borderId="14" xfId="0" applyFont="1" applyBorder="1" applyNumberFormat="1">
      <alignment horizontal="center" vertical="center" wrapText="1"/>
    </xf>
    <xf numFmtId="2" fontId="25" fillId="0" borderId="19" xfId="0" applyFont="1" applyBorder="1" applyNumberFormat="1">
      <alignment horizontal="center" vertical="center" wrapText="1"/>
    </xf>
    <xf numFmtId="2" fontId="25" fillId="0" borderId="15" xfId="0" applyFont="1" applyBorder="1" applyNumberFormat="1">
      <alignment horizontal="center" vertical="center" wrapText="1"/>
    </xf>
    <xf numFmtId="2" fontId="25" fillId="0" borderId="21" xfId="0" applyFont="1" applyBorder="1" applyNumberFormat="1">
      <alignment horizontal="center" vertical="center" wrapText="1"/>
    </xf>
    <xf numFmtId="2" fontId="25" fillId="0" borderId="17" xfId="0" applyFont="1" applyBorder="1" applyNumberFormat="1">
      <alignment horizontal="center" vertical="center" wrapText="1"/>
    </xf>
    <xf numFmtId="2" fontId="27" fillId="0" borderId="29" xfId="0" applyFont="1" applyBorder="1" applyNumberFormat="1">
      <alignment horizontal="center" vertical="center" wrapText="1"/>
    </xf>
    <xf numFmtId="2" fontId="25" fillId="0" borderId="20" xfId="0" applyFont="1" applyBorder="1" applyNumberFormat="1">
      <alignment horizontal="center" vertical="center" wrapText="1"/>
    </xf>
    <xf numFmtId="2" fontId="25" fillId="34" borderId="15" xfId="0" applyFont="1" applyFill="1" applyBorder="1" applyNumberFormat="1">
      <alignment horizontal="center" vertical="center" wrapText="1"/>
    </xf>
    <xf numFmtId="2" fontId="27" fillId="0" borderId="30" xfId="0" applyFont="1" applyBorder="1" applyNumberFormat="1">
      <alignment horizontal="center" vertical="center" wrapText="1"/>
    </xf>
    <xf numFmtId="173" fontId="0" fillId="0" borderId="0" xfId="0" applyFont="1" applyNumberFormat="1">
      <alignment wrapText="1"/>
    </xf>
    <xf numFmtId="173" fontId="25" fillId="35" borderId="15" xfId="0" applyFont="1" applyFill="1" applyBorder="1" applyNumberFormat="1">
      <alignment horizontal="right" vertical="center" wrapText="1"/>
    </xf>
    <xf numFmtId="173" fontId="25" fillId="35" borderId="18" xfId="0" applyFont="1" applyFill="1" applyBorder="1" applyNumberFormat="1">
      <alignment horizontal="right" vertical="center" wrapText="1"/>
    </xf>
    <xf numFmtId="2" fontId="25" fillId="33" borderId="15" xfId="0" applyFont="1" applyFill="1" applyBorder="1" applyNumberFormat="1">
      <alignment horizontal="left" vertical="center" wrapText="1"/>
    </xf>
    <xf numFmtId="0" fontId="27" fillId="0" borderId="28" xfId="0" applyFont="1" applyBorder="1">
      <alignment horizontal="center" wrapText="1"/>
    </xf>
    <xf numFmtId="0" fontId="27" fillId="0" borderId="29" xfId="0" applyFont="1" applyBorder="1">
      <alignment horizontal="center" wrapText="1"/>
    </xf>
    <xf numFmtId="0" fontId="21" fillId="0" borderId="0" xfId="0" applyFont="1">
      <alignment wrapText="1"/>
    </xf>
    <xf numFmtId="173" fontId="25" fillId="35" borderId="15" xfId="0" applyFont="1" applyFill="1" applyBorder="1" applyNumberFormat="1">
      <alignment horizontal="center" vertical="center" wrapText="1"/>
    </xf>
    <xf numFmtId="2" fontId="27" fillId="0" borderId="31" xfId="0" applyFont="1" applyBorder="1" applyNumberFormat="1">
      <alignment horizontal="center" vertical="center" wrapText="1"/>
    </xf>
    <xf numFmtId="2" fontId="27" fillId="0" borderId="32" xfId="0" applyFont="1" applyBorder="1" applyNumberFormat="1">
      <alignment horizontal="center" vertical="center" wrapText="1"/>
    </xf>
    <xf numFmtId="2" fontId="25" fillId="33" borderId="18" xfId="0" applyFont="1" applyFill="1" applyBorder="1" applyNumberFormat="1">
      <alignment horizontal="center" vertical="center" wrapText="1"/>
    </xf>
    <xf numFmtId="2" fontId="25" fillId="0" borderId="33" xfId="0" applyFont="1" applyBorder="1" applyNumberFormat="1">
      <alignment horizontal="center" vertical="center" wrapText="1"/>
    </xf>
    <xf numFmtId="173" fontId="25" fillId="35" borderId="21" xfId="0" applyFont="1" applyFill="1" applyBorder="1" applyNumberFormat="1">
      <alignment horizontal="center" vertical="center" wrapText="1"/>
    </xf>
    <xf numFmtId="0" fontId="25" fillId="0" borderId="15" xfId="0" applyFont="1" applyBorder="1">
      <alignment wrapText="1"/>
    </xf>
    <xf numFmtId="173" fontId="0" fillId="34" borderId="0" xfId="0" applyFont="1" applyFill="1" applyNumberFormat="1">
      <alignment wrapText="1"/>
    </xf>
    <xf numFmtId="1" fontId="25" fillId="0" borderId="31" xfId="0" applyFont="1" applyBorder="1" applyNumberFormat="1">
      <alignment horizontal="right" vertical="center" wrapText="1"/>
    </xf>
    <xf numFmtId="1" fontId="25" fillId="0" borderId="18" xfId="0" applyFont="1" applyBorder="1" applyNumberFormat="1">
      <alignment horizontal="right" vertical="center" wrapText="1"/>
    </xf>
    <xf numFmtId="1" fontId="25" fillId="0" borderId="33" xfId="0" applyFont="1" applyBorder="1" applyNumberFormat="1">
      <alignment horizontal="right" vertical="center" wrapText="1"/>
    </xf>
    <xf numFmtId="0" fontId="21" fillId="0" borderId="15" xfId="0" applyFont="1" applyBorder="1">
      <alignment wrapText="1"/>
    </xf>
    <xf numFmtId="173" fontId="25" fillId="35" borderId="18" xfId="0" applyFont="1" applyFill="1" applyBorder="1" applyNumberFormat="1">
      <alignment horizontal="center" vertical="center" wrapText="1"/>
    </xf>
    <xf numFmtId="2" fontId="25" fillId="0" borderId="16" xfId="0" applyFont="1" applyBorder="1" applyNumberFormat="1">
      <alignment horizontal="center" vertical="center" wrapText="1"/>
    </xf>
    <xf numFmtId="1" fontId="25" fillId="0" borderId="34" xfId="0" applyFont="1" applyBorder="1" applyNumberFormat="1">
      <alignment horizontal="right" vertical="center" wrapText="1"/>
    </xf>
    <xf numFmtId="2" fontId="25" fillId="0" borderId="22" xfId="0" applyFont="1" applyBorder="1" applyNumberFormat="1">
      <alignment horizontal="left" vertical="center" wrapText="1"/>
    </xf>
    <xf numFmtId="173" fontId="25" fillId="35" borderId="23" xfId="0" applyFont="1" applyFill="1" applyBorder="1" applyNumberFormat="1">
      <alignment horizontal="center" vertical="center" wrapText="1"/>
    </xf>
    <xf numFmtId="2" fontId="25" fillId="0" borderId="23" xfId="0" applyFont="1" applyBorder="1" applyNumberFormat="1">
      <alignment horizontal="center" vertical="center" wrapText="1"/>
    </xf>
    <xf numFmtId="1" fontId="25" fillId="0" borderId="35" xfId="0" applyFont="1" applyBorder="1" applyNumberFormat="1">
      <alignment horizontal="right" vertical="center" wrapText="1"/>
    </xf>
    <xf numFmtId="0" fontId="27" fillId="0" borderId="36" xfId="0" applyFont="1" applyBorder="1">
      <alignment horizontal="center" wrapText="1"/>
    </xf>
    <xf numFmtId="2" fontId="25" fillId="0" borderId="0" xfId="0" applyFont="1" applyNumberFormat="1">
      <alignment horizontal="right" vertical="center" wrapText="1"/>
    </xf>
    <xf numFmtId="173" fontId="25" fillId="0" borderId="0" xfId="0" applyFont="1" applyNumberFormat="1">
      <alignment horizontal="left" vertical="center" wrapText="1"/>
    </xf>
    <xf numFmtId="173" fontId="25" fillId="0" borderId="0" xfId="0" applyFont="1" applyNumberFormat="1">
      <alignment wrapText="1"/>
    </xf>
    <xf numFmtId="2" fontId="25" fillId="0" borderId="0" xfId="0" applyFont="1" applyNumberFormat="1">
      <alignment vertical="center" wrapText="1"/>
    </xf>
    <xf numFmtId="0" fontId="23" fillId="0" borderId="0" xfId="0" applyFont="1">
      <alignment vertical="center" wrapText="1"/>
    </xf>
    <xf numFmtId="173" fontId="22" fillId="0" borderId="0" xfId="0" applyFont="1" applyNumberFormat="1">
      <alignment wrapText="1"/>
    </xf>
    <xf numFmtId="0" fontId="22" fillId="0" borderId="0" xfId="0" applyFont="1">
      <alignment wrapText="1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71EEF8-24E8-2B58-B8A1-AE511D594BF8}" mc:Ignorable="x14ac xr xr2 xr3">
  <dimension ref="A1:O32"/>
  <sheetViews>
    <sheetView topLeftCell="A1" showGridLines="0" zoomScale="60" workbookViewId="0" tabSelected="1">
      <selection activeCell="A1" sqref="A1"/>
    </sheetView>
  </sheetViews>
  <sheetFormatPr defaultColWidth="8.00390625" customHeight="1" defaultRowHeight="13.5"/>
  <cols>
    <col min="1" max="1" style="54" width="2.7109375" customWidth="1"/>
    <col min="2" max="2" style="53" width="37.7109375" customWidth="1"/>
    <col min="3" max="3" style="53" width="14.7109375" customWidth="1"/>
    <col min="4" max="4" style="53" width="10.7109375" customWidth="1"/>
    <col min="5" max="6" style="53" width="14.7109375" customWidth="1"/>
    <col min="7" max="7" style="53" width="18.57421875" customWidth="1"/>
    <col min="8" max="8" style="53" width="12.140625" customWidth="1"/>
    <col min="9" max="9" style="53" width="20.421875" customWidth="1"/>
    <col min="10" max="10" style="53" width="19.57421875" customWidth="1"/>
    <col min="11" max="11" style="53" width="19.7109375" customWidth="1"/>
    <col min="12" max="12" style="53" width="14.7109375" customWidth="1"/>
    <col min="13" max="13" style="53" width="22.7109375" customWidth="1"/>
    <col min="14" max="15" style="53" width="14.7109375" customWidth="1"/>
  </cols>
  <sheetData>
    <row s="49" customFormat="1" customHeight="1" ht="26.25">
      <c r="A1" s="233"/>
      <c r="B1" s="234" t="s">
        <v>0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</row>
    <row s="50" customFormat="1" customHeight="1" ht="26.25">
      <c r="A2" s="235"/>
      <c r="B2" s="236" t="s">
        <v>1</v>
      </c>
      <c r="C2" s="236"/>
      <c r="D2" s="237" t="s">
        <v>2</v>
      </c>
      <c r="E2" s="237" t="s">
        <v>2</v>
      </c>
      <c r="F2" s="238" t="s">
        <v>3</v>
      </c>
      <c r="G2" s="238"/>
      <c r="H2" s="239">
        <f>Sheet2!A1+1</f>
        <v>46029.3333333333</v>
      </c>
      <c r="I2" s="239"/>
      <c r="J2" s="240"/>
      <c r="K2" s="236" t="s">
        <v>2</v>
      </c>
      <c r="L2" s="241" t="s">
        <v>4</v>
      </c>
      <c r="M2" s="241"/>
      <c r="N2" s="242"/>
      <c r="O2" s="242"/>
    </row>
    <row s="51" customFormat="1" customHeight="1" ht="26.25">
      <c r="A3" s="243"/>
      <c r="B3" s="244" t="s">
        <v>5</v>
      </c>
      <c r="C3" s="245" t="s">
        <v>6</v>
      </c>
      <c r="D3" s="245" t="s">
        <v>7</v>
      </c>
      <c r="E3" s="245" t="s">
        <v>8</v>
      </c>
      <c r="F3" s="245"/>
      <c r="G3" s="245"/>
      <c r="H3" s="137" t="s">
        <v>9</v>
      </c>
      <c r="I3" s="247" t="s">
        <v>5</v>
      </c>
      <c r="J3" s="247"/>
      <c r="K3" s="245" t="s">
        <v>6</v>
      </c>
      <c r="L3" s="248" t="s">
        <v>10</v>
      </c>
      <c r="M3" s="249"/>
      <c r="N3" s="249"/>
      <c r="O3" s="250"/>
    </row>
    <row s="51" customFormat="1" customHeight="1" ht="26.25">
      <c r="A4" s="243"/>
      <c r="B4" s="251"/>
      <c r="C4" s="252"/>
      <c r="D4" s="252"/>
      <c r="E4" s="252" t="s">
        <v>11</v>
      </c>
      <c r="F4" s="252" t="s">
        <v>12</v>
      </c>
      <c r="G4" s="252" t="s">
        <v>13</v>
      </c>
      <c r="H4" s="140"/>
      <c r="I4" s="254"/>
      <c r="J4" s="254"/>
      <c r="K4" s="252"/>
      <c r="L4" s="252" t="s">
        <v>11</v>
      </c>
      <c r="M4" s="252" t="s">
        <v>14</v>
      </c>
      <c r="N4" s="255" t="s">
        <v>15</v>
      </c>
      <c r="O4" s="256" t="s">
        <v>7</v>
      </c>
    </row>
    <row s="50" customFormat="1" customHeight="1" ht="26.25">
      <c r="A5" s="235"/>
      <c r="B5" s="257" t="s">
        <v>16</v>
      </c>
      <c r="C5" s="258" t="s">
        <v>17</v>
      </c>
      <c r="D5" s="259"/>
      <c r="E5" s="260">
        <f>Sheet2!E5</f>
        <v>575296</v>
      </c>
      <c r="F5" s="260">
        <f>_xlfn.IFERROR(Sheet2!F5+E5,"")</f>
        <v>4105176</v>
      </c>
      <c r="G5" s="260">
        <f>_xlfn.IFERROR(Sheet2!G5+E5,"")</f>
        <v>4105176</v>
      </c>
      <c r="H5" s="261"/>
      <c r="I5" s="262" t="s">
        <v>18</v>
      </c>
      <c r="J5" s="263"/>
      <c r="K5" s="258" t="s">
        <v>19</v>
      </c>
      <c r="L5" s="258">
        <f>Sheet2!L5</f>
        <v>7058.84662576687</v>
      </c>
      <c r="M5" s="258">
        <f>Sheet2!M5</f>
        <v>7053.56701030928</v>
      </c>
      <c r="N5" s="258">
        <f>Sheet2!N5</f>
        <v>7053.56701030928</v>
      </c>
      <c r="O5" s="264" t="s">
        <v>2</v>
      </c>
    </row>
    <row s="50" customFormat="1" customHeight="1" ht="26.25">
      <c r="A6" s="235"/>
      <c r="B6" s="257" t="s">
        <v>20</v>
      </c>
      <c r="C6" s="258" t="s">
        <v>21</v>
      </c>
      <c r="D6" s="259"/>
      <c r="E6" s="265">
        <f>Sheet2!E6</f>
        <v>174.5</v>
      </c>
      <c r="F6" s="265">
        <f>_xlfn.IFERROR(Sheet2!F6+E6,"")</f>
        <v>1448.2</v>
      </c>
      <c r="G6" s="265">
        <f>_xlfn.IFERROR(Sheet2!G6+E6,"")</f>
        <v>1448.2</v>
      </c>
      <c r="H6" s="266"/>
      <c r="I6" s="267" t="s">
        <v>22</v>
      </c>
      <c r="J6" s="268"/>
      <c r="K6" s="258" t="s">
        <v>23</v>
      </c>
      <c r="L6" s="269">
        <f>Sheet2!L6</f>
        <v>0.413801280531183</v>
      </c>
      <c r="M6" s="269">
        <f>Sheet2!M6</f>
        <v>0.409577356441468</v>
      </c>
      <c r="N6" s="269">
        <f>Sheet2!N6</f>
        <v>0.409577356441468</v>
      </c>
      <c r="O6" s="264"/>
    </row>
    <row s="50" customFormat="1" customHeight="1" ht="26.25">
      <c r="A7" s="235"/>
      <c r="B7" s="257" t="s">
        <v>24</v>
      </c>
      <c r="C7" s="258" t="s">
        <v>21</v>
      </c>
      <c r="D7" s="259"/>
      <c r="E7" s="265">
        <f>Sheet2!E7</f>
        <v>449.59</v>
      </c>
      <c r="F7" s="265">
        <f>_xlfn.IFERROR(Sheet2!F7+E7,"")</f>
        <v>3293.53</v>
      </c>
      <c r="G7" s="265">
        <f>_xlfn.IFERROR(Sheet2!G7+E7,"")</f>
        <v>3293.53</v>
      </c>
      <c r="H7" s="266"/>
      <c r="I7" s="267" t="s">
        <v>25</v>
      </c>
      <c r="J7" s="268"/>
      <c r="K7" s="258" t="s">
        <v>23</v>
      </c>
      <c r="L7" s="258">
        <f>Sheet2!L7</f>
        <v>0.403465346534653</v>
      </c>
      <c r="M7" s="258">
        <f>Sheet2!M7</f>
        <v>0.399045581701497</v>
      </c>
      <c r="N7" s="258">
        <f>Sheet2!N7</f>
        <v>0.399045581701497</v>
      </c>
      <c r="O7" s="264"/>
    </row>
    <row s="50" customFormat="1" customHeight="1" ht="26.25">
      <c r="A8" s="235"/>
      <c r="B8" s="257" t="s">
        <v>26</v>
      </c>
      <c r="C8" s="258" t="s">
        <v>21</v>
      </c>
      <c r="D8" s="259"/>
      <c r="E8" s="265">
        <f>Sheet2!E8</f>
        <v>0</v>
      </c>
      <c r="F8" s="265">
        <f>_xlfn.IFERROR(Sheet2!F8+E8,"")</f>
        <v>0</v>
      </c>
      <c r="G8" s="270">
        <f>_xlfn.IFERROR(Sheet2!G8+E8,"")</f>
        <v>0</v>
      </c>
      <c r="H8" s="266"/>
      <c r="I8" s="267" t="s">
        <v>27</v>
      </c>
      <c r="J8" s="268"/>
      <c r="K8" s="258" t="s">
        <v>23</v>
      </c>
      <c r="L8" s="258" t="str">
        <f>Sheet2!L8</f>
        <v/>
      </c>
      <c r="M8" s="258" t="str">
        <f>Sheet2!M8</f>
        <v/>
      </c>
      <c r="N8" s="258" t="str">
        <f>Sheet2!N8</f>
        <v/>
      </c>
      <c r="O8" s="264"/>
    </row>
    <row s="50" customFormat="1" customHeight="1" ht="26.25">
      <c r="A9" s="235"/>
      <c r="B9" s="257" t="s">
        <v>28</v>
      </c>
      <c r="C9" s="258" t="s">
        <v>17</v>
      </c>
      <c r="D9" s="259"/>
      <c r="E9" s="260">
        <f>Sheet2!E9</f>
        <v>149920</v>
      </c>
      <c r="F9" s="260">
        <f>_xlfn.IFERROR(Sheet2!F9+E9,"")</f>
        <v>1203992</v>
      </c>
      <c r="G9" s="260">
        <f>_xlfn.IFERROR(Sheet2!G9+E9,"")</f>
        <v>1203992</v>
      </c>
      <c r="H9" s="266"/>
      <c r="I9" s="267" t="s">
        <v>29</v>
      </c>
      <c r="J9" s="268"/>
      <c r="K9" s="258" t="s">
        <v>19</v>
      </c>
      <c r="L9" s="258">
        <f>Sheet2!L9</f>
        <v>789.052631578947</v>
      </c>
      <c r="M9" s="258">
        <f>Sheet2!M9</f>
        <v>750.618453865337</v>
      </c>
      <c r="N9" s="258">
        <f>Sheet2!N9</f>
        <v>750.618453865337</v>
      </c>
      <c r="O9" s="264"/>
    </row>
    <row s="50" customFormat="1" customHeight="1" ht="26.25" hidden="1">
      <c r="A10" s="235"/>
      <c r="B10" s="271"/>
      <c r="C10" s="272"/>
      <c r="D10" s="273"/>
      <c r="E10" s="273"/>
      <c r="F10" s="273"/>
      <c r="G10" s="274"/>
      <c r="H10" s="275"/>
      <c r="I10" s="276" t="s">
        <v>30</v>
      </c>
      <c r="J10" s="277"/>
      <c r="K10" s="272" t="s">
        <v>31</v>
      </c>
      <c r="L10" s="272"/>
      <c r="M10" s="272"/>
      <c r="N10" s="272"/>
      <c r="O10" s="278"/>
    </row>
    <row s="52" customFormat="1" customHeight="1" ht="26.25">
      <c r="A11" s="279"/>
      <c r="B11" s="244" t="s">
        <v>32</v>
      </c>
      <c r="C11" s="247"/>
      <c r="D11" s="247"/>
      <c r="E11" s="247"/>
      <c r="F11" s="247"/>
      <c r="G11" s="247"/>
      <c r="H11" s="280"/>
      <c r="I11" s="247"/>
      <c r="J11" s="247"/>
      <c r="K11" s="247"/>
      <c r="L11" s="247"/>
      <c r="M11" s="247" t="s">
        <v>33</v>
      </c>
      <c r="N11" s="247"/>
      <c r="O11" s="281" t="s">
        <v>34</v>
      </c>
    </row>
    <row s="51" customFormat="1" customHeight="1" ht="26.25">
      <c r="A12" s="243"/>
      <c r="B12" s="251" t="s">
        <v>5</v>
      </c>
      <c r="C12" s="254" t="s">
        <v>35</v>
      </c>
      <c r="D12" s="282" t="s">
        <v>36</v>
      </c>
      <c r="E12" s="283"/>
      <c r="F12" s="283"/>
      <c r="G12" s="283"/>
      <c r="H12" s="159" t="s">
        <v>9</v>
      </c>
      <c r="I12" s="285" t="s">
        <v>37</v>
      </c>
      <c r="J12" s="254"/>
      <c r="K12" s="254"/>
      <c r="L12" s="254" t="s">
        <v>38</v>
      </c>
      <c r="M12" s="286" t="s">
        <v>39</v>
      </c>
      <c r="N12" s="254" t="s">
        <v>40</v>
      </c>
      <c r="O12" s="287"/>
    </row>
    <row s="51" customFormat="1" customHeight="1" ht="26.25">
      <c r="A13" s="243"/>
      <c r="B13" s="288"/>
      <c r="C13" s="254"/>
      <c r="D13" s="254" t="s">
        <v>7</v>
      </c>
      <c r="E13" s="254" t="s">
        <v>11</v>
      </c>
      <c r="F13" s="254" t="s">
        <v>12</v>
      </c>
      <c r="G13" s="282" t="s">
        <v>13</v>
      </c>
      <c r="H13" s="159"/>
      <c r="I13" s="285" t="s">
        <v>11</v>
      </c>
      <c r="J13" s="254" t="s">
        <v>12</v>
      </c>
      <c r="K13" s="254" t="s">
        <v>13</v>
      </c>
      <c r="L13" s="254"/>
      <c r="M13" s="286"/>
      <c r="N13" s="286"/>
      <c r="O13" s="289"/>
    </row>
    <row s="50" customFormat="1" customHeight="1" ht="26.25">
      <c r="A14" s="235"/>
      <c r="B14" s="290" t="s">
        <v>41</v>
      </c>
      <c r="C14" s="291"/>
      <c r="D14" s="292">
        <f>Sheet2!D14</f>
        <v>0</v>
      </c>
      <c r="E14" s="293">
        <f>Sheet2!E14</f>
        <v>81.5</v>
      </c>
      <c r="F14" s="293">
        <f>Sheet2!F14+E14</f>
        <v>582</v>
      </c>
      <c r="G14" s="293">
        <f>Sheet2!G14+E14</f>
        <v>582</v>
      </c>
      <c r="H14" s="291" t="str">
        <f>_xlfn.IFERROR(SUM(F14/D14)*100,"")</f>
        <v/>
      </c>
      <c r="I14" s="291"/>
      <c r="J14" s="291"/>
      <c r="K14" s="291"/>
      <c r="L14" s="294"/>
      <c r="M14" s="295" t="s">
        <v>42</v>
      </c>
      <c r="N14" s="260">
        <f>Sheet2!N14+Sheet2!P11</f>
        <v>4386000</v>
      </c>
      <c r="O14" s="296"/>
    </row>
    <row s="50" customFormat="1" customHeight="1" ht="26.25">
      <c r="A15" s="235"/>
      <c r="B15" s="257" t="s">
        <v>43</v>
      </c>
      <c r="C15" s="297">
        <f>Sheet2!C15</f>
        <v>958.78</v>
      </c>
      <c r="D15" s="292"/>
      <c r="E15" s="298">
        <f>Sheet2!E15</f>
        <v>421.7</v>
      </c>
      <c r="F15" s="298">
        <f>Sheet2!F15+E15</f>
        <v>3535.84</v>
      </c>
      <c r="G15" s="298">
        <f>Sheet2!G15+E15</f>
        <v>3535.84</v>
      </c>
      <c r="H15" s="297"/>
      <c r="I15" s="297">
        <f>Sheet2!I15</f>
        <v>449.59</v>
      </c>
      <c r="J15" s="297">
        <f>Sheet2!J15+I15</f>
        <v>3293.53</v>
      </c>
      <c r="K15" s="297">
        <f>Sheet2!K15+I15</f>
        <v>3293.53</v>
      </c>
      <c r="L15" s="299">
        <f>Sheet2!L15</f>
        <v>930.89</v>
      </c>
      <c r="M15" s="295" t="s">
        <v>44</v>
      </c>
      <c r="N15" s="265">
        <f>Sheet2!N15+Sheet2!P12</f>
        <v>11647.98</v>
      </c>
      <c r="O15" s="300"/>
    </row>
    <row s="50" customFormat="1" customHeight="1" ht="26.25">
      <c r="A16" s="235"/>
      <c r="B16" s="257" t="s">
        <v>45</v>
      </c>
      <c r="C16" s="297">
        <f>Sheet2!C16</f>
        <v>2939.52</v>
      </c>
      <c r="D16" s="292">
        <f>Sheet2!D16</f>
        <v>5000</v>
      </c>
      <c r="E16" s="298">
        <f>Sheet2!E16</f>
        <v>201</v>
      </c>
      <c r="F16" s="298">
        <f>Sheet2!F16+E16</f>
        <v>1403.2</v>
      </c>
      <c r="G16" s="298">
        <f>Sheet2!G16+E16</f>
        <v>1403.2</v>
      </c>
      <c r="H16" s="297">
        <f>_xlfn.IFERROR(SUM(F16/D16)*100,"")</f>
        <v>28.064</v>
      </c>
      <c r="I16" s="297">
        <f>Sheet2!I16</f>
        <v>226.98</v>
      </c>
      <c r="J16" s="297">
        <f>Sheet2!J16+I16</f>
        <v>1824.14</v>
      </c>
      <c r="K16" s="297">
        <f>Sheet2!K16+I16</f>
        <v>1824.14</v>
      </c>
      <c r="L16" s="299">
        <f>Sheet2!L16</f>
        <v>2913.54</v>
      </c>
      <c r="M16" s="295" t="s">
        <v>46</v>
      </c>
      <c r="N16" s="265">
        <f>Sheet2!N16+Sheet2!P13</f>
        <v>293.18</v>
      </c>
      <c r="O16" s="300"/>
    </row>
    <row s="50" customFormat="1" customHeight="1" ht="26.25">
      <c r="A17" s="235"/>
      <c r="B17" s="257" t="s">
        <v>47</v>
      </c>
      <c r="C17" s="297">
        <f>Sheet2!C17</f>
        <v>196.21</v>
      </c>
      <c r="D17" s="292"/>
      <c r="E17" s="298">
        <f>Sheet2!E17</f>
        <v>0</v>
      </c>
      <c r="F17" s="298">
        <f>Sheet2!F17+E17</f>
        <v>2.92</v>
      </c>
      <c r="G17" s="298">
        <f>Sheet2!G17+E17</f>
        <v>2.92</v>
      </c>
      <c r="H17" s="297"/>
      <c r="I17" s="297">
        <f>Sheet2!I17</f>
        <v>0</v>
      </c>
      <c r="J17" s="297">
        <f>Sheet2!J17+I17</f>
        <v>0</v>
      </c>
      <c r="K17" s="297">
        <f>Sheet2!K17+I17</f>
        <v>0</v>
      </c>
      <c r="L17" s="299">
        <f>Sheet2!L17</f>
        <v>196.21</v>
      </c>
      <c r="M17" s="295" t="s">
        <v>48</v>
      </c>
      <c r="N17" s="265">
        <f>Sheet2!B45+Sheet2!B46</f>
        <v>0</v>
      </c>
      <c r="O17" s="300"/>
    </row>
    <row s="50" customFormat="1" customHeight="1" ht="26.25">
      <c r="A18" s="235"/>
      <c r="B18" s="257" t="s">
        <v>49</v>
      </c>
      <c r="C18" s="297">
        <f>Sheet2!C18</f>
        <v>48.44</v>
      </c>
      <c r="D18" s="292"/>
      <c r="E18" s="298">
        <f>Sheet2!E18</f>
        <v>0</v>
      </c>
      <c r="F18" s="298">
        <f>Sheet2!F18+E18</f>
        <v>0</v>
      </c>
      <c r="G18" s="298">
        <f>Sheet2!G18+E18</f>
        <v>0</v>
      </c>
      <c r="H18" s="297"/>
      <c r="I18" s="297">
        <f>Sheet2!I18</f>
        <v>0</v>
      </c>
      <c r="J18" s="297">
        <f>Sheet2!J18+I18</f>
        <v>0</v>
      </c>
      <c r="K18" s="297">
        <f>Sheet2!K18+I18</f>
        <v>0</v>
      </c>
      <c r="L18" s="297">
        <f>Sheet2!L18</f>
        <v>48.44</v>
      </c>
      <c r="M18" s="301" t="s">
        <v>50</v>
      </c>
      <c r="N18" s="302"/>
      <c r="O18" s="303"/>
    </row>
    <row s="50" customFormat="1" customHeight="1" ht="26.25">
      <c r="A19" s="235"/>
      <c r="B19" s="304" t="s">
        <v>51</v>
      </c>
      <c r="C19" s="305">
        <f>Sheet2!C19</f>
        <v>1073.48</v>
      </c>
      <c r="D19" s="306"/>
      <c r="E19" s="307">
        <f>Sheet2!E19</f>
        <v>0</v>
      </c>
      <c r="F19" s="307">
        <f>Sheet2!F19+E19</f>
        <v>0</v>
      </c>
      <c r="G19" s="298">
        <f>Sheet2!G19+E19</f>
        <v>0</v>
      </c>
      <c r="H19" s="297"/>
      <c r="I19" s="297">
        <f>Sheet2!I19</f>
        <v>0</v>
      </c>
      <c r="J19" s="297">
        <f>Sheet2!J19+I19</f>
        <v>0</v>
      </c>
      <c r="K19" s="297">
        <f>Sheet2!K19+I19</f>
        <v>0</v>
      </c>
      <c r="L19" s="297">
        <f>Sheet2!L19</f>
        <v>1073.48</v>
      </c>
      <c r="M19" s="308" t="s">
        <v>39</v>
      </c>
      <c r="N19" s="309" t="s">
        <v>38</v>
      </c>
      <c r="O19" s="303"/>
    </row>
    <row s="50" customFormat="1" customHeight="1" ht="26.25">
      <c r="A20" s="235"/>
      <c r="B20" s="257" t="s">
        <v>52</v>
      </c>
      <c r="C20" s="270">
        <f>Sheet2!B39+Sheet2!B40+Sheet2!B41+Sheet2!B42</f>
        <v>5820.96</v>
      </c>
      <c r="D20" s="310">
        <v>0</v>
      </c>
      <c r="E20" s="311">
        <f>Sheet2!E20</f>
        <v>0</v>
      </c>
      <c r="F20" s="311">
        <f>Sheet2!F20+E20</f>
        <v>0</v>
      </c>
      <c r="G20" s="298">
        <f>Sheet2!G20+E20</f>
        <v>0</v>
      </c>
      <c r="H20" s="297" t="str">
        <f>_xlfn.IFERROR(SUM(F20/D20)*100,"")</f>
        <v/>
      </c>
      <c r="I20" s="297">
        <f>Sheet2!I20</f>
        <v>0</v>
      </c>
      <c r="J20" s="297">
        <f>Sheet2!J20+I20</f>
        <v>62.64</v>
      </c>
      <c r="K20" s="297">
        <f>Sheet2!K20+I20</f>
        <v>62.64</v>
      </c>
      <c r="L20" s="297">
        <f>Sheet2!L20</f>
        <v>5820.96</v>
      </c>
      <c r="M20" s="312" t="s">
        <v>53</v>
      </c>
      <c r="N20" s="313">
        <v>5856.32</v>
      </c>
      <c r="O20" s="303"/>
    </row>
    <row s="50" customFormat="1" customHeight="1" ht="26.25">
      <c r="A21" s="235"/>
      <c r="B21" s="314" t="s">
        <v>54</v>
      </c>
      <c r="C21" s="315">
        <f>Sheet2!C21</f>
        <v>177.04</v>
      </c>
      <c r="D21" s="316"/>
      <c r="E21" s="317">
        <f>Sheet2!E21</f>
        <v>0</v>
      </c>
      <c r="F21" s="317">
        <f>Sheet2!F21+E21</f>
        <v>0</v>
      </c>
      <c r="G21" s="298">
        <f>Sheet2!G21+E21</f>
        <v>0</v>
      </c>
      <c r="H21" s="297"/>
      <c r="I21" s="297">
        <f>Sheet2!I21</f>
        <v>0</v>
      </c>
      <c r="J21" s="297">
        <f>Sheet2!J21+I21</f>
        <v>0</v>
      </c>
      <c r="K21" s="297">
        <f>Sheet2!K21+I21</f>
        <v>0</v>
      </c>
      <c r="L21" s="297">
        <f>Sheet2!L21</f>
        <v>177.04</v>
      </c>
      <c r="M21" s="312" t="s">
        <v>55</v>
      </c>
      <c r="N21" s="318">
        <v>2195.51</v>
      </c>
      <c r="O21" s="303"/>
    </row>
    <row s="50" customFormat="1" customHeight="1" ht="26.25">
      <c r="A22" s="235"/>
      <c r="B22" s="257" t="s">
        <v>56</v>
      </c>
      <c r="C22" s="297">
        <f>Sheet2!C22</f>
        <v>0</v>
      </c>
      <c r="D22" s="292"/>
      <c r="E22" s="298">
        <f>Sheet2!E22</f>
        <v>0</v>
      </c>
      <c r="F22" s="298">
        <f>Sheet2!F22+E22</f>
        <v>0</v>
      </c>
      <c r="G22" s="298">
        <f>Sheet2!G22+E22</f>
        <v>0</v>
      </c>
      <c r="H22" s="297"/>
      <c r="I22" s="297">
        <f>Sheet2!I22</f>
        <v>0</v>
      </c>
      <c r="J22" s="297">
        <f>Sheet2!J22+I22</f>
        <v>0</v>
      </c>
      <c r="K22" s="297">
        <f>Sheet2!K22+I22</f>
        <v>0</v>
      </c>
      <c r="L22" s="297">
        <f>Sheet2!L22</f>
        <v>0</v>
      </c>
      <c r="M22" s="312" t="s">
        <v>57</v>
      </c>
      <c r="N22" s="319">
        <f>L16</f>
        <v>2913.54</v>
      </c>
      <c r="O22" s="303"/>
    </row>
    <row s="50" customFormat="1" customHeight="1" ht="26.25">
      <c r="A23" s="235"/>
      <c r="B23" s="257" t="s">
        <v>58</v>
      </c>
      <c r="C23" s="297">
        <f>Sheet2!C23</f>
        <v>0</v>
      </c>
      <c r="D23" s="306"/>
      <c r="E23" s="298">
        <f>Sheet2!E23</f>
        <v>0</v>
      </c>
      <c r="F23" s="298">
        <f>Sheet2!F23+E23</f>
        <v>0</v>
      </c>
      <c r="G23" s="298">
        <f>Sheet2!G23+E23</f>
        <v>0</v>
      </c>
      <c r="H23" s="297"/>
      <c r="I23" s="297">
        <f>Sheet2!I23</f>
        <v>0</v>
      </c>
      <c r="J23" s="297">
        <f>Sheet2!J23+I23</f>
        <v>0</v>
      </c>
      <c r="K23" s="297">
        <f>Sheet2!K23+I23</f>
        <v>0</v>
      </c>
      <c r="L23" s="297">
        <f>Sheet2!L23</f>
        <v>0</v>
      </c>
      <c r="M23" s="258" t="s">
        <v>59</v>
      </c>
      <c r="N23" s="319">
        <f>L31</f>
        <v>0</v>
      </c>
      <c r="O23" s="303"/>
    </row>
    <row s="50" customFormat="1" customHeight="1" ht="26.25">
      <c r="A24" s="235"/>
      <c r="B24" s="257" t="s">
        <v>60</v>
      </c>
      <c r="C24" s="299">
        <f>Sheet2!C24</f>
        <v>3044.28</v>
      </c>
      <c r="D24" s="320">
        <v>5000</v>
      </c>
      <c r="E24" s="298">
        <f>Sheet2!E24</f>
        <v>246</v>
      </c>
      <c r="F24" s="298">
        <f>Sheet2!F24+E24</f>
        <v>1356</v>
      </c>
      <c r="G24" s="298">
        <f>Sheet2!G24+E24</f>
        <v>1356</v>
      </c>
      <c r="H24" s="321">
        <f>_xlfn.IFERROR(SUM((F24+F25+F26)/D24)*100,"")</f>
        <v>28.898</v>
      </c>
      <c r="I24" s="297">
        <f>Sheet2!I24</f>
        <v>223.72</v>
      </c>
      <c r="J24" s="297">
        <f>Sheet2!J24+I24</f>
        <v>1297.38</v>
      </c>
      <c r="K24" s="297">
        <f>Sheet2!K24+I24</f>
        <v>1297.38</v>
      </c>
      <c r="L24" s="297">
        <f>Sheet2!L24</f>
        <v>3066.56</v>
      </c>
      <c r="M24" s="258" t="s">
        <v>61</v>
      </c>
      <c r="N24" s="322">
        <f>L15</f>
        <v>930.89</v>
      </c>
      <c r="O24" s="303"/>
    </row>
    <row s="50" customFormat="1" customHeight="1" ht="26.25">
      <c r="A25" s="235"/>
      <c r="B25" s="257" t="s">
        <v>62</v>
      </c>
      <c r="C25" s="299">
        <f>Sheet2!C25</f>
        <v>0</v>
      </c>
      <c r="D25" s="320"/>
      <c r="E25" s="298">
        <f>Sheet2!E25</f>
        <v>0</v>
      </c>
      <c r="F25" s="298">
        <f>Sheet2!F25+E25</f>
        <v>0</v>
      </c>
      <c r="G25" s="298">
        <f>Sheet2!G25+E25</f>
        <v>0</v>
      </c>
      <c r="H25" s="323"/>
      <c r="I25" s="297">
        <f>Sheet2!I25</f>
        <v>0</v>
      </c>
      <c r="J25" s="297">
        <f>Sheet2!J25+I25</f>
        <v>0</v>
      </c>
      <c r="K25" s="297">
        <f>Sheet2!K25+I25</f>
        <v>0</v>
      </c>
      <c r="L25" s="297">
        <f>Sheet2!L25</f>
        <v>0</v>
      </c>
      <c r="M25" s="324" t="s">
        <v>63</v>
      </c>
      <c r="N25" s="325">
        <f>L24</f>
        <v>3066.56</v>
      </c>
      <c r="O25" s="303"/>
    </row>
    <row s="50" customFormat="1" customHeight="1" ht="26.25">
      <c r="A26" s="235"/>
      <c r="B26" s="257" t="s">
        <v>64</v>
      </c>
      <c r="C26" s="299">
        <f>Sheet2!C26</f>
        <v>498.23</v>
      </c>
      <c r="D26" s="320"/>
      <c r="E26" s="298">
        <f>Sheet2!E26</f>
        <v>0</v>
      </c>
      <c r="F26" s="298">
        <f>Sheet2!F26+E26</f>
        <v>88.9</v>
      </c>
      <c r="G26" s="298">
        <f>Sheet2!G26+E26</f>
        <v>88.9</v>
      </c>
      <c r="H26" s="323"/>
      <c r="I26" s="297">
        <f>Sheet2!I26</f>
        <v>32.68</v>
      </c>
      <c r="J26" s="297">
        <f>Sheet2!J26+I26</f>
        <v>163.46</v>
      </c>
      <c r="K26" s="297">
        <f>Sheet2!K26+I26</f>
        <v>163.46</v>
      </c>
      <c r="L26" s="297">
        <f>Sheet2!L26</f>
        <v>465.55</v>
      </c>
      <c r="M26" s="308" t="s">
        <v>65</v>
      </c>
      <c r="N26" s="326">
        <f>L20</f>
        <v>5820.96</v>
      </c>
      <c r="O26" s="303"/>
    </row>
    <row s="50" customFormat="1" customHeight="1" ht="26.25">
      <c r="A27" s="235"/>
      <c r="B27" s="257" t="s">
        <v>66</v>
      </c>
      <c r="C27" s="299">
        <f>Sheet2!C27</f>
        <v>234.14</v>
      </c>
      <c r="D27" s="327"/>
      <c r="E27" s="298">
        <f>Sheet2!E27</f>
        <v>0</v>
      </c>
      <c r="F27" s="298">
        <f>Sheet2!F27+E27</f>
        <v>107</v>
      </c>
      <c r="G27" s="298">
        <f>Sheet2!G27+E27</f>
        <v>107</v>
      </c>
      <c r="H27" s="328"/>
      <c r="I27" s="297">
        <f>Sheet2!I27</f>
        <v>0</v>
      </c>
      <c r="J27" s="297">
        <f>Sheet2!J27+I27</f>
        <v>130.46</v>
      </c>
      <c r="K27" s="297">
        <f>Sheet2!K27+I27</f>
        <v>130.46</v>
      </c>
      <c r="L27" s="297">
        <f>Sheet2!L27</f>
        <v>234.14</v>
      </c>
      <c r="M27" s="258" t="s">
        <v>67</v>
      </c>
      <c r="N27" s="318">
        <v>144.38</v>
      </c>
      <c r="O27" s="303"/>
    </row>
    <row s="50" customFormat="1" customHeight="1" ht="26.25">
      <c r="A28" s="235"/>
      <c r="B28" s="257" t="s">
        <v>68</v>
      </c>
      <c r="C28" s="297">
        <f>Sheet2!C28</f>
        <v>76.86</v>
      </c>
      <c r="D28" s="316"/>
      <c r="E28" s="298">
        <f>Sheet2!E28</f>
        <v>11.8</v>
      </c>
      <c r="F28" s="298">
        <f>Sheet2!F28+E28</f>
        <v>84.8</v>
      </c>
      <c r="G28" s="298">
        <f>Sheet2!G28+E28</f>
        <v>84.8</v>
      </c>
      <c r="H28" s="297"/>
      <c r="I28" s="297">
        <f>Sheet2!I28</f>
        <v>32.64</v>
      </c>
      <c r="J28" s="297">
        <f>Sheet2!J28+I28</f>
        <v>97.88</v>
      </c>
      <c r="K28" s="297">
        <f>Sheet2!K28+I28</f>
        <v>97.88</v>
      </c>
      <c r="L28" s="297">
        <f>Sheet2!L28</f>
        <v>56.02</v>
      </c>
      <c r="M28" s="329"/>
      <c r="N28" s="329"/>
      <c r="O28" s="303"/>
    </row>
    <row s="50" customFormat="1" customHeight="1" ht="26.25">
      <c r="A29" s="235"/>
      <c r="B29" s="290" t="s">
        <v>69</v>
      </c>
      <c r="C29" s="291">
        <v>0</v>
      </c>
      <c r="D29" s="292"/>
      <c r="E29" s="293">
        <v>0</v>
      </c>
      <c r="F29" s="293">
        <v>0</v>
      </c>
      <c r="G29" s="293">
        <v>0</v>
      </c>
      <c r="H29" s="291"/>
      <c r="I29" s="291">
        <f>Sheet2!I29</f>
        <v>0</v>
      </c>
      <c r="J29" s="291">
        <f>Sheet2!J29</f>
        <v>0</v>
      </c>
      <c r="K29" s="291">
        <f>Sheet2!K29</f>
        <v>0</v>
      </c>
      <c r="L29" s="291">
        <v>0</v>
      </c>
      <c r="M29" s="329"/>
      <c r="N29" s="260"/>
      <c r="O29" s="303"/>
    </row>
    <row s="50" customFormat="1" customHeight="1" ht="26.25">
      <c r="A30" s="235"/>
      <c r="B30" s="257" t="s">
        <v>70</v>
      </c>
      <c r="C30" s="297">
        <f>Sheet2!C30</f>
        <v>268.88</v>
      </c>
      <c r="D30" s="292"/>
      <c r="E30" s="298">
        <f>Sheet2!E30</f>
        <v>17.3</v>
      </c>
      <c r="F30" s="298">
        <f>Sheet2!F30+E30</f>
        <v>93.1</v>
      </c>
      <c r="G30" s="298">
        <f>Sheet2!G30+E30</f>
        <v>93.1</v>
      </c>
      <c r="H30" s="297"/>
      <c r="I30" s="297">
        <f>Sheet2!I30</f>
        <v>65.2</v>
      </c>
      <c r="J30" s="297">
        <f>Sheet2!J30+I30</f>
        <v>130.46</v>
      </c>
      <c r="K30" s="297">
        <f>Sheet2!K30+I30</f>
        <v>130.46</v>
      </c>
      <c r="L30" s="297">
        <f>Sheet2!L30</f>
        <v>220.98</v>
      </c>
      <c r="M30" s="330"/>
      <c r="N30" s="331"/>
      <c r="O30" s="303"/>
    </row>
    <row s="50" customFormat="1" customHeight="1" ht="26.25">
      <c r="A31" s="235"/>
      <c r="B31" s="271" t="s">
        <v>71</v>
      </c>
      <c r="C31" s="332">
        <f>Sheet2!C31</f>
        <v>0</v>
      </c>
      <c r="D31" s="333"/>
      <c r="E31" s="334">
        <f>Sheet2!E31</f>
        <v>0</v>
      </c>
      <c r="F31" s="334">
        <f>Sheet2!F31+E31</f>
        <v>0</v>
      </c>
      <c r="G31" s="334">
        <f>Sheet2!G31+E31</f>
        <v>0</v>
      </c>
      <c r="H31" s="332"/>
      <c r="I31" s="332">
        <f>Sheet2!I31</f>
        <v>0</v>
      </c>
      <c r="J31" s="332">
        <f>Sheet2!J31+I31</f>
        <v>0</v>
      </c>
      <c r="K31" s="332">
        <f>Sheet2!K31+I31</f>
        <v>0</v>
      </c>
      <c r="L31" s="332">
        <f>Sheet2!L31</f>
        <v>0</v>
      </c>
      <c r="M31" s="272"/>
      <c r="N31" s="335"/>
      <c r="O31" s="336"/>
    </row>
    <row s="53" customFormat="1" customHeight="1" ht="26.25">
      <c r="A32" s="337"/>
      <c r="B32" s="338" t="s">
        <v>72</v>
      </c>
      <c r="C32" s="237" t="s">
        <v>73</v>
      </c>
      <c r="D32" s="237"/>
      <c r="E32" s="237"/>
      <c r="F32" s="338" t="s">
        <v>2</v>
      </c>
      <c r="G32" s="339"/>
      <c r="H32" s="242" t="s">
        <v>2</v>
      </c>
      <c r="I32" s="242"/>
      <c r="J32" s="242"/>
      <c r="K32" s="338" t="s">
        <v>2</v>
      </c>
      <c r="L32" s="237" t="s">
        <v>2</v>
      </c>
      <c r="M32" s="338"/>
      <c r="N32" s="338" t="s">
        <v>74</v>
      </c>
      <c r="O32" s="340" t="s">
        <v>75</v>
      </c>
    </row>
  </sheetData>
  <mergeCells count="37">
    <mergeCell ref="B1:O1"/>
    <mergeCell ref="B2:C2"/>
    <mergeCell ref="F2:G2"/>
    <mergeCell ref="H2:I2"/>
    <mergeCell ref="L2:M2"/>
    <mergeCell ref="N2:O2"/>
    <mergeCell ref="E3:G3"/>
    <mergeCell ref="L3:O3"/>
    <mergeCell ref="I5:J5"/>
    <mergeCell ref="I6:J6"/>
    <mergeCell ref="I7:J7"/>
    <mergeCell ref="I8:J8"/>
    <mergeCell ref="I9:J9"/>
    <mergeCell ref="I10:J10"/>
    <mergeCell ref="B11:L11"/>
    <mergeCell ref="M11:N11"/>
    <mergeCell ref="D12:G12"/>
    <mergeCell ref="I12:K12"/>
    <mergeCell ref="M18:N18"/>
    <mergeCell ref="C32:E32"/>
    <mergeCell ref="H32:J32"/>
    <mergeCell ref="B3:B4"/>
    <mergeCell ref="B12:B13"/>
    <mergeCell ref="C3:C4"/>
    <mergeCell ref="C12:C13"/>
    <mergeCell ref="D3:D4"/>
    <mergeCell ref="D24:D26"/>
    <mergeCell ref="H3:H4"/>
    <mergeCell ref="H12:H13"/>
    <mergeCell ref="H24:H26"/>
    <mergeCell ref="K3:K4"/>
    <mergeCell ref="L12:L13"/>
    <mergeCell ref="M12:M13"/>
    <mergeCell ref="N12:N13"/>
    <mergeCell ref="O11:O13"/>
    <mergeCell ref="O14:O31"/>
    <mergeCell ref="I3:J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6892A78-CEFA-B157-EF38-6C9306B76C75}" mc:Ignorable="x14ac xr xr2 xr3">
  <dimension ref="A1:R46"/>
  <sheetViews>
    <sheetView topLeftCell="H1" workbookViewId="0">
      <selection activeCell="N6" sqref="N6"/>
    </sheetView>
  </sheetViews>
  <sheetFormatPr defaultColWidth="8.00390625" customHeight="1" defaultRowHeight="15.600000000000001"/>
  <cols>
    <col min="1" max="1" style="54" width="2.7109375" customWidth="1"/>
    <col min="2" max="2" style="53" width="23.7109375" customWidth="1"/>
    <col min="3" max="3" style="53" width="8.7109375" customWidth="1"/>
    <col min="4" max="4" style="53" width="6.7109375" customWidth="1"/>
    <col min="5" max="5" style="53" width="29.57421875" customWidth="1"/>
    <col min="6" max="6" style="53" width="32.28125" customWidth="1"/>
    <col min="7" max="7" style="53" width="25.00390625" customWidth="1"/>
    <col min="8" max="8" style="53" width="7.7109375" customWidth="1"/>
    <col min="9" max="10" style="53" width="23.7109375" customWidth="1"/>
    <col min="11" max="11" style="53" width="7.7109375" customWidth="1"/>
    <col min="12" max="14" style="53" width="11.421875" customWidth="1"/>
    <col min="15" max="15" style="53" width="14.28125" customWidth="1"/>
    <col min="16" max="18" style="53" width="12.00390625" customWidth="1"/>
  </cols>
  <sheetData>
    <row s="49" customFormat="1" customHeight="1" ht="26.25">
      <c r="A1" s="341" t="s">
        <v>76</v>
      </c>
      <c r="B1" s="342" t="s">
        <v>0</v>
      </c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233"/>
      <c r="Q1" s="233"/>
      <c r="R1" s="233"/>
    </row>
    <row s="50" customFormat="1" customHeight="1" ht="17.25">
      <c r="A2" s="235"/>
      <c r="B2" s="343" t="s">
        <v>1</v>
      </c>
      <c r="C2" s="343"/>
      <c r="D2" s="343" t="s">
        <v>2</v>
      </c>
      <c r="E2" s="343" t="s">
        <v>2</v>
      </c>
      <c r="F2" s="344" t="s">
        <v>3</v>
      </c>
      <c r="G2" s="344"/>
      <c r="H2" s="345" t="s">
        <v>76</v>
      </c>
      <c r="I2" s="345"/>
      <c r="J2" s="346"/>
      <c r="K2" s="343" t="s">
        <v>2</v>
      </c>
      <c r="L2" s="347" t="s">
        <v>77</v>
      </c>
      <c r="M2" s="347"/>
      <c r="N2" s="347"/>
      <c r="O2" s="347"/>
      <c r="P2" s="348"/>
      <c r="Q2" s="348"/>
      <c r="R2" s="348"/>
    </row>
    <row s="51" customFormat="1" customHeight="1" ht="15">
      <c r="A3" s="243"/>
      <c r="B3" s="349" t="s">
        <v>5</v>
      </c>
      <c r="C3" s="350" t="s">
        <v>6</v>
      </c>
      <c r="D3" s="350" t="s">
        <v>7</v>
      </c>
      <c r="E3" s="350" t="s">
        <v>8</v>
      </c>
      <c r="F3" s="350"/>
      <c r="G3" s="350"/>
      <c r="H3" s="61" t="s">
        <v>9</v>
      </c>
      <c r="I3" s="352" t="s">
        <v>5</v>
      </c>
      <c r="J3" s="352"/>
      <c r="K3" s="350" t="s">
        <v>6</v>
      </c>
      <c r="L3" s="353" t="s">
        <v>10</v>
      </c>
      <c r="M3" s="354"/>
      <c r="N3" s="354"/>
      <c r="O3" s="355"/>
      <c r="P3" s="348">
        <v>81.5</v>
      </c>
      <c r="Q3" s="348">
        <v>500.5</v>
      </c>
      <c r="R3" s="348">
        <v>500.5</v>
      </c>
    </row>
    <row s="51" customFormat="1" customHeight="1" ht="15">
      <c r="A4" s="243"/>
      <c r="B4" s="356"/>
      <c r="C4" s="357"/>
      <c r="D4" s="357"/>
      <c r="E4" s="357" t="s">
        <v>11</v>
      </c>
      <c r="F4" s="357" t="s">
        <v>12</v>
      </c>
      <c r="G4" s="358" t="s">
        <v>13</v>
      </c>
      <c r="H4" s="65"/>
      <c r="I4" s="360"/>
      <c r="J4" s="360"/>
      <c r="K4" s="357"/>
      <c r="L4" s="357" t="s">
        <v>11</v>
      </c>
      <c r="M4" s="357" t="s">
        <v>14</v>
      </c>
      <c r="N4" s="361" t="s">
        <v>15</v>
      </c>
      <c r="O4" s="362" t="s">
        <v>7</v>
      </c>
      <c r="P4" s="348">
        <v>421.7</v>
      </c>
      <c r="Q4" s="348">
        <v>3114.14</v>
      </c>
      <c r="R4" s="348">
        <v>3114.14</v>
      </c>
    </row>
    <row s="50" customFormat="1" customHeight="1" ht="18">
      <c r="A5" s="235"/>
      <c r="B5" s="363" t="s">
        <v>16</v>
      </c>
      <c r="C5" s="357" t="s">
        <v>78</v>
      </c>
      <c r="D5" s="364"/>
      <c r="E5" s="348">
        <v>575296</v>
      </c>
      <c r="F5" s="348">
        <v>3529880</v>
      </c>
      <c r="G5" s="348">
        <v>3529880</v>
      </c>
      <c r="H5" s="365"/>
      <c r="I5" s="366" t="s">
        <v>18</v>
      </c>
      <c r="J5" s="366"/>
      <c r="K5" s="367" t="s">
        <v>19</v>
      </c>
      <c r="L5" s="357">
        <f>_xlfn.IFERROR(SUM(E5)/P3,"")</f>
        <v>7058.84662576687</v>
      </c>
      <c r="M5" s="357">
        <f>_xlfn.IFERROR(SUM(油田气化工科技公司生产日报表!F5)/(P3+Q3),"")</f>
        <v>7053.56701030928</v>
      </c>
      <c r="N5" s="357">
        <f>_xlfn.IFERROR(SUM(油田气化工科技公司生产日报表!G5)/(P3+R3),"")</f>
        <v>7053.56701030928</v>
      </c>
      <c r="O5" s="362" t="s">
        <v>2</v>
      </c>
      <c r="P5" s="348">
        <v>202</v>
      </c>
      <c r="Q5" s="348">
        <v>1256.48</v>
      </c>
      <c r="R5" s="348">
        <v>1256.48</v>
      </c>
    </row>
    <row s="50" customFormat="1" customHeight="1" ht="18">
      <c r="A6" s="235"/>
      <c r="B6" s="363" t="s">
        <v>20</v>
      </c>
      <c r="C6" s="357" t="s">
        <v>78</v>
      </c>
      <c r="D6" s="348"/>
      <c r="E6" s="348">
        <v>174.5</v>
      </c>
      <c r="F6" s="348">
        <v>1273.7</v>
      </c>
      <c r="G6" s="348">
        <v>1273.7</v>
      </c>
      <c r="H6" s="368"/>
      <c r="I6" s="366" t="s">
        <v>22</v>
      </c>
      <c r="J6" s="366"/>
      <c r="K6" s="367" t="s">
        <v>23</v>
      </c>
      <c r="L6" s="369">
        <f>_xlfn.IFERROR(油田气化工科技公司生产日报表!E6/P4,"")</f>
        <v>0.413801280531183</v>
      </c>
      <c r="M6" s="369">
        <f>_xlfn.IFERROR(油田气化工科技公司生产日报表!F6/(Sheet2!P4+Sheet2!Q4),"")</f>
        <v>0.409577356441468</v>
      </c>
      <c r="N6" s="369">
        <f>_xlfn.IFERROR(油田气化工科技公司生产日报表!G6/(P4+Sheet2!R4),"")</f>
        <v>0.409577356441468</v>
      </c>
      <c r="O6" s="362"/>
      <c r="P6" s="348">
        <v>81.5</v>
      </c>
      <c r="Q6" s="348">
        <v>500.5</v>
      </c>
      <c r="R6" s="348">
        <v>500.5</v>
      </c>
    </row>
    <row s="50" customFormat="1" customHeight="1" ht="18">
      <c r="A7" s="235"/>
      <c r="B7" s="363" t="s">
        <v>24</v>
      </c>
      <c r="C7" s="357" t="s">
        <v>78</v>
      </c>
      <c r="D7" s="348"/>
      <c r="E7" s="348">
        <v>449.59</v>
      </c>
      <c r="F7" s="348">
        <v>2843.94</v>
      </c>
      <c r="G7" s="348">
        <v>2843.94</v>
      </c>
      <c r="H7" s="368"/>
      <c r="I7" s="366" t="s">
        <v>25</v>
      </c>
      <c r="J7" s="366"/>
      <c r="K7" s="367" t="s">
        <v>23</v>
      </c>
      <c r="L7" s="369">
        <f>_xlfn.IFERROR(P6/P5,"")</f>
        <v>0.403465346534653</v>
      </c>
      <c r="M7" s="369">
        <f>_xlfn.IFERROR((Sheet2!P6+Sheet2!Q6)/(Sheet2!P5+Sheet2!Q5),"")</f>
        <v>0.399045581701497</v>
      </c>
      <c r="N7" s="369">
        <f>_xlfn.IFERROR((Sheet2!P6+Sheet2!R6)/(Sheet2!P5+Sheet2!R5),"")</f>
        <v>0.399045581701497</v>
      </c>
      <c r="O7" s="362"/>
      <c r="P7" s="235"/>
      <c r="Q7" s="235"/>
      <c r="R7" s="235"/>
    </row>
    <row s="50" customFormat="1" customHeight="1" ht="18">
      <c r="A8" s="235"/>
      <c r="B8" s="363" t="s">
        <v>26</v>
      </c>
      <c r="C8" s="357" t="s">
        <v>78</v>
      </c>
      <c r="D8" s="348"/>
      <c r="E8" s="348">
        <v>0</v>
      </c>
      <c r="F8" s="348">
        <v>0</v>
      </c>
      <c r="G8" s="348">
        <v>0</v>
      </c>
      <c r="H8" s="368"/>
      <c r="I8" s="366" t="s">
        <v>27</v>
      </c>
      <c r="J8" s="366"/>
      <c r="K8" s="367" t="s">
        <v>23</v>
      </c>
      <c r="L8" s="369" t="str">
        <f>_xlfn.IFERROR(油田气化工科技公司生产日报表!E8/P15,"")</f>
        <v/>
      </c>
      <c r="M8" s="369" t="str">
        <f>_xlfn.IFERROR(油田气化工科技公司生产日报表!F8/(Q15+P15),"")</f>
        <v/>
      </c>
      <c r="N8" s="369" t="str">
        <f>_xlfn.IFERROR(油田气化工科技公司生产日报表!G8/(R15+P15),"")</f>
        <v/>
      </c>
      <c r="O8" s="362"/>
      <c r="P8" s="235"/>
      <c r="Q8" s="235"/>
      <c r="R8" s="235"/>
    </row>
    <row s="50" customFormat="1" customHeight="1" ht="18">
      <c r="A9" s="235"/>
      <c r="B9" s="370" t="s">
        <v>28</v>
      </c>
      <c r="C9" s="357" t="s">
        <v>78</v>
      </c>
      <c r="D9" s="348"/>
      <c r="E9" s="348">
        <v>149920</v>
      </c>
      <c r="F9" s="348">
        <v>1054072</v>
      </c>
      <c r="G9" s="348">
        <v>1054072</v>
      </c>
      <c r="H9" s="368"/>
      <c r="I9" s="366" t="s">
        <v>29</v>
      </c>
      <c r="J9" s="366"/>
      <c r="K9" s="367" t="s">
        <v>19</v>
      </c>
      <c r="L9" s="369">
        <f>_xlfn.IFERROR(油田气化工科技公司生产日报表!E9/P20,"")</f>
        <v>789.052631578947</v>
      </c>
      <c r="M9" s="369">
        <f>_xlfn.IFERROR(油田气化工科技公司生产日报表!F9/(Q20+P20),"")</f>
        <v>750.618453865337</v>
      </c>
      <c r="N9" s="369">
        <f>_xlfn.IFERROR(油田气化工科技公司生产日报表!G9/(R20+P20),"")</f>
        <v>750.618453865337</v>
      </c>
      <c r="O9" s="362"/>
      <c r="P9" s="235"/>
      <c r="Q9" s="235"/>
      <c r="R9" s="235"/>
    </row>
    <row s="50" customFormat="1" customHeight="1" ht="18">
      <c r="A10" s="235"/>
      <c r="B10" s="363"/>
      <c r="C10" s="357"/>
      <c r="D10" s="364"/>
      <c r="E10" s="364"/>
      <c r="F10" s="364"/>
      <c r="G10" s="371"/>
      <c r="H10" s="368"/>
      <c r="I10" s="372" t="s">
        <v>30</v>
      </c>
      <c r="J10" s="373"/>
      <c r="K10" s="367" t="s">
        <v>31</v>
      </c>
      <c r="L10" s="357"/>
      <c r="M10" s="357"/>
      <c r="N10" s="357"/>
      <c r="O10" s="362"/>
      <c r="P10" s="235"/>
      <c r="Q10" s="235"/>
      <c r="R10" s="235"/>
    </row>
    <row s="52" customFormat="1" customHeight="1" ht="21.75">
      <c r="A11" s="279"/>
      <c r="B11" s="356" t="s">
        <v>32</v>
      </c>
      <c r="C11" s="360"/>
      <c r="D11" s="360"/>
      <c r="E11" s="360"/>
      <c r="F11" s="360"/>
      <c r="G11" s="360"/>
      <c r="H11" s="374"/>
      <c r="I11" s="375"/>
      <c r="J11" s="375"/>
      <c r="K11" s="360"/>
      <c r="L11" s="360"/>
      <c r="M11" s="360" t="s">
        <v>33</v>
      </c>
      <c r="N11" s="360"/>
      <c r="O11" s="376" t="s">
        <v>34</v>
      </c>
      <c r="P11" s="348">
        <v>3742000</v>
      </c>
      <c r="Q11" s="279"/>
      <c r="R11" s="279"/>
    </row>
    <row s="51" customFormat="1" customHeight="1" ht="15.75">
      <c r="A12" s="243"/>
      <c r="B12" s="377" t="s">
        <v>5</v>
      </c>
      <c r="C12" s="357" t="s">
        <v>35</v>
      </c>
      <c r="D12" s="361" t="s">
        <v>79</v>
      </c>
      <c r="E12" s="378"/>
      <c r="F12" s="378"/>
      <c r="G12" s="378"/>
      <c r="H12" s="78" t="s">
        <v>9</v>
      </c>
      <c r="I12" s="380" t="s">
        <v>80</v>
      </c>
      <c r="J12" s="357"/>
      <c r="K12" s="357"/>
      <c r="L12" s="357" t="s">
        <v>38</v>
      </c>
      <c r="M12" s="381" t="s">
        <v>39</v>
      </c>
      <c r="N12" s="357" t="s">
        <v>40</v>
      </c>
      <c r="O12" s="382"/>
      <c r="P12" s="348">
        <v>9694.98</v>
      </c>
      <c r="Q12" s="243"/>
      <c r="R12" s="243"/>
    </row>
    <row s="51" customFormat="1" customHeight="1" ht="15.75">
      <c r="A13" s="243"/>
      <c r="B13" s="383"/>
      <c r="C13" s="357"/>
      <c r="D13" s="384" t="s">
        <v>7</v>
      </c>
      <c r="E13" s="357" t="s">
        <v>11</v>
      </c>
      <c r="F13" s="357" t="s">
        <v>12</v>
      </c>
      <c r="G13" s="361" t="s">
        <v>13</v>
      </c>
      <c r="H13" s="78"/>
      <c r="I13" s="380" t="s">
        <v>11</v>
      </c>
      <c r="J13" s="357" t="s">
        <v>12</v>
      </c>
      <c r="K13" s="357" t="s">
        <v>13</v>
      </c>
      <c r="L13" s="357"/>
      <c r="M13" s="381"/>
      <c r="N13" s="381"/>
      <c r="O13" s="385"/>
      <c r="P13" s="348">
        <v>0</v>
      </c>
      <c r="Q13" s="243"/>
      <c r="R13" s="243"/>
    </row>
    <row s="50" customFormat="1" customHeight="1" ht="17.25">
      <c r="A14" s="235"/>
      <c r="B14" s="370" t="s">
        <v>41</v>
      </c>
      <c r="C14" s="386"/>
      <c r="D14" s="387"/>
      <c r="E14" s="387">
        <v>81.5</v>
      </c>
      <c r="F14" s="387">
        <v>500.5</v>
      </c>
      <c r="G14" s="386">
        <v>500.5</v>
      </c>
      <c r="H14" s="387"/>
      <c r="I14" s="387" t="s">
        <v>81</v>
      </c>
      <c r="J14" s="387">
        <v>500.5</v>
      </c>
      <c r="K14" s="387"/>
      <c r="L14" s="388"/>
      <c r="M14" s="389" t="s">
        <v>42</v>
      </c>
      <c r="N14" s="348">
        <v>644000</v>
      </c>
      <c r="O14" s="390"/>
      <c r="P14" s="235"/>
      <c r="Q14" s="235"/>
      <c r="R14" s="235"/>
    </row>
    <row s="50" customFormat="1" customHeight="1" ht="17.25">
      <c r="A15" s="235"/>
      <c r="B15" s="363" t="s">
        <v>43</v>
      </c>
      <c r="C15" s="386">
        <v>958.78</v>
      </c>
      <c r="D15" s="387"/>
      <c r="E15" s="386">
        <v>421.7</v>
      </c>
      <c r="F15" s="386">
        <v>3114.14</v>
      </c>
      <c r="G15" s="386">
        <v>3114.14</v>
      </c>
      <c r="H15" s="387"/>
      <c r="I15" s="386">
        <v>449.59</v>
      </c>
      <c r="J15" s="386">
        <v>2843.94</v>
      </c>
      <c r="K15" s="386">
        <v>2843.94</v>
      </c>
      <c r="L15" s="388">
        <v>930.89</v>
      </c>
      <c r="M15" s="389" t="s">
        <v>44</v>
      </c>
      <c r="N15" s="348">
        <v>1953</v>
      </c>
      <c r="O15" s="391"/>
      <c r="P15" s="392">
        <f>P16+P17+P18+P19</f>
        <v>0</v>
      </c>
      <c r="Q15" s="392">
        <f>Q16+Q17+Q18+Q19</f>
        <v>0</v>
      </c>
      <c r="R15" s="392">
        <f>R16+R17+R18+R19</f>
        <v>0</v>
      </c>
    </row>
    <row s="50" customFormat="1" customHeight="1" ht="17.25">
      <c r="A16" s="235"/>
      <c r="B16" s="363" t="s">
        <v>45</v>
      </c>
      <c r="C16" s="386">
        <v>2939.52</v>
      </c>
      <c r="D16" s="348">
        <v>5000</v>
      </c>
      <c r="E16" s="386">
        <v>201</v>
      </c>
      <c r="F16" s="386">
        <v>1202.2</v>
      </c>
      <c r="G16" s="386">
        <v>1202.2</v>
      </c>
      <c r="H16" s="387"/>
      <c r="I16" s="386">
        <v>226.98</v>
      </c>
      <c r="J16" s="386">
        <v>1597.16</v>
      </c>
      <c r="K16" s="386">
        <v>1597.16</v>
      </c>
      <c r="L16" s="386">
        <v>2913.54</v>
      </c>
      <c r="M16" s="389" t="s">
        <v>46</v>
      </c>
      <c r="N16" s="348">
        <v>293.18</v>
      </c>
      <c r="O16" s="391"/>
      <c r="P16" s="348"/>
      <c r="Q16" s="348"/>
      <c r="R16" s="348"/>
    </row>
    <row s="50" customFormat="1" customHeight="1" ht="17.25">
      <c r="A17" s="235"/>
      <c r="B17" s="363" t="s">
        <v>47</v>
      </c>
      <c r="C17" s="386">
        <v>196.21</v>
      </c>
      <c r="D17" s="393"/>
      <c r="E17" s="386">
        <v>0</v>
      </c>
      <c r="F17" s="386">
        <v>2.92</v>
      </c>
      <c r="G17" s="386">
        <v>2.92</v>
      </c>
      <c r="H17" s="393"/>
      <c r="I17" s="386">
        <v>0</v>
      </c>
      <c r="J17" s="386">
        <v>0</v>
      </c>
      <c r="K17" s="386">
        <v>0</v>
      </c>
      <c r="L17" s="386">
        <v>196.21</v>
      </c>
      <c r="M17" s="394" t="s">
        <v>50</v>
      </c>
      <c r="N17" s="395"/>
      <c r="O17" s="391"/>
      <c r="P17" s="348">
        <v>0</v>
      </c>
      <c r="Q17" s="348">
        <v>0</v>
      </c>
      <c r="R17" s="348">
        <v>0</v>
      </c>
    </row>
    <row s="50" customFormat="1" customHeight="1" ht="17.25">
      <c r="A18" s="235"/>
      <c r="B18" s="363" t="s">
        <v>49</v>
      </c>
      <c r="C18" s="386">
        <v>48.44</v>
      </c>
      <c r="D18" s="393"/>
      <c r="E18" s="386">
        <v>0</v>
      </c>
      <c r="F18" s="386">
        <v>0</v>
      </c>
      <c r="G18" s="386">
        <v>0</v>
      </c>
      <c r="H18" s="393"/>
      <c r="I18" s="386">
        <v>0</v>
      </c>
      <c r="J18" s="386">
        <v>0</v>
      </c>
      <c r="K18" s="386">
        <v>0</v>
      </c>
      <c r="L18" s="386">
        <v>48.44</v>
      </c>
      <c r="M18" s="381" t="s">
        <v>39</v>
      </c>
      <c r="N18" s="361" t="s">
        <v>38</v>
      </c>
      <c r="O18" s="391"/>
      <c r="P18" s="348">
        <v>0</v>
      </c>
      <c r="Q18" s="348">
        <v>0</v>
      </c>
      <c r="R18" s="348">
        <v>0</v>
      </c>
    </row>
    <row s="50" customFormat="1" customHeight="1" ht="17.25">
      <c r="A19" s="235"/>
      <c r="B19" s="363" t="s">
        <v>51</v>
      </c>
      <c r="C19" s="386">
        <v>1073.48</v>
      </c>
      <c r="D19" s="393"/>
      <c r="E19" s="386">
        <v>0</v>
      </c>
      <c r="F19" s="386">
        <v>0</v>
      </c>
      <c r="G19" s="386">
        <v>0</v>
      </c>
      <c r="H19" s="393"/>
      <c r="I19" s="386">
        <v>0</v>
      </c>
      <c r="J19" s="386">
        <v>0</v>
      </c>
      <c r="K19" s="386">
        <v>0</v>
      </c>
      <c r="L19" s="386">
        <v>1073.48</v>
      </c>
      <c r="M19" s="396" t="s">
        <v>53</v>
      </c>
      <c r="N19" s="397"/>
      <c r="O19" s="391"/>
      <c r="P19" s="348"/>
      <c r="Q19" s="348"/>
      <c r="R19" s="348"/>
    </row>
    <row s="50" customFormat="1" customHeight="1" ht="17.25">
      <c r="A20" s="235"/>
      <c r="B20" s="370" t="s">
        <v>52</v>
      </c>
      <c r="C20" s="398"/>
      <c r="D20" s="393"/>
      <c r="E20" s="393">
        <f>E32+E33+E34+E35</f>
        <v>0</v>
      </c>
      <c r="F20" s="393">
        <f>F32+F33+F34+F35</f>
        <v>0</v>
      </c>
      <c r="G20" s="393">
        <f>G32+G33+G34+G35</f>
        <v>0</v>
      </c>
      <c r="H20" s="393"/>
      <c r="I20" s="393">
        <f>I32+I33+I34+I35</f>
        <v>0</v>
      </c>
      <c r="J20" s="393">
        <f>J32+J33+J34+J35</f>
        <v>62.64</v>
      </c>
      <c r="K20" s="393">
        <f>K32+K33+K34+K35</f>
        <v>62.64</v>
      </c>
      <c r="L20" s="393">
        <f>L32+L33+L34+L35</f>
        <v>5820.96</v>
      </c>
      <c r="M20" s="396" t="s">
        <v>55</v>
      </c>
      <c r="N20" s="399"/>
      <c r="O20" s="391"/>
      <c r="P20" s="392">
        <f>P21+P22+P23+P24</f>
        <v>190</v>
      </c>
      <c r="Q20" s="392">
        <f>Q21+Q22+Q23+Q24</f>
        <v>1414</v>
      </c>
      <c r="R20" s="392">
        <f>R21+R22+R23+R24</f>
        <v>1414</v>
      </c>
    </row>
    <row s="50" customFormat="1" customHeight="1" ht="17.25">
      <c r="A21" s="235"/>
      <c r="B21" s="363" t="s">
        <v>54</v>
      </c>
      <c r="C21" s="386">
        <v>177.04</v>
      </c>
      <c r="D21" s="393"/>
      <c r="E21" s="386">
        <v>0</v>
      </c>
      <c r="F21" s="386">
        <v>0</v>
      </c>
      <c r="G21" s="386">
        <v>0</v>
      </c>
      <c r="H21" s="393"/>
      <c r="I21" s="386">
        <v>0</v>
      </c>
      <c r="J21" s="386">
        <v>0</v>
      </c>
      <c r="K21" s="386">
        <v>0</v>
      </c>
      <c r="L21" s="400">
        <v>177.04</v>
      </c>
      <c r="M21" s="396" t="s">
        <v>57</v>
      </c>
      <c r="N21" s="399"/>
      <c r="O21" s="391"/>
      <c r="P21" s="348">
        <v>178</v>
      </c>
      <c r="Q21" s="348">
        <v>1213</v>
      </c>
      <c r="R21" s="348">
        <v>1213</v>
      </c>
    </row>
    <row s="50" customFormat="1" customHeight="1" ht="17.25">
      <c r="A22" s="235"/>
      <c r="B22" s="363" t="s">
        <v>56</v>
      </c>
      <c r="C22" s="386">
        <v>0</v>
      </c>
      <c r="D22" s="393"/>
      <c r="E22" s="386">
        <v>0</v>
      </c>
      <c r="F22" s="386">
        <v>0</v>
      </c>
      <c r="G22" s="386">
        <v>0</v>
      </c>
      <c r="H22" s="393"/>
      <c r="I22" s="386">
        <v>0</v>
      </c>
      <c r="J22" s="386">
        <v>0</v>
      </c>
      <c r="K22" s="386">
        <v>0</v>
      </c>
      <c r="L22" s="400">
        <v>0</v>
      </c>
      <c r="M22" s="357" t="s">
        <v>59</v>
      </c>
      <c r="N22" s="399"/>
      <c r="O22" s="391"/>
      <c r="P22" s="348">
        <v>0</v>
      </c>
      <c r="Q22" s="348">
        <v>0</v>
      </c>
      <c r="R22" s="348">
        <v>0</v>
      </c>
    </row>
    <row s="50" customFormat="1" customHeight="1" ht="17.25">
      <c r="A23" s="235"/>
      <c r="B23" s="363" t="s">
        <v>58</v>
      </c>
      <c r="C23" s="386">
        <v>0</v>
      </c>
      <c r="D23" s="393"/>
      <c r="E23" s="386">
        <v>0</v>
      </c>
      <c r="F23" s="386">
        <v>0</v>
      </c>
      <c r="G23" s="386">
        <v>0</v>
      </c>
      <c r="H23" s="393"/>
      <c r="I23" s="386">
        <v>0</v>
      </c>
      <c r="J23" s="386">
        <v>0</v>
      </c>
      <c r="K23" s="386">
        <v>0</v>
      </c>
      <c r="L23" s="400">
        <v>0</v>
      </c>
      <c r="M23" s="357" t="s">
        <v>61</v>
      </c>
      <c r="N23" s="401"/>
      <c r="O23" s="391"/>
      <c r="P23" s="348">
        <v>12</v>
      </c>
      <c r="Q23" s="348">
        <v>85</v>
      </c>
      <c r="R23" s="348">
        <v>85</v>
      </c>
    </row>
    <row s="50" customFormat="1" customHeight="1" ht="17.25">
      <c r="A24" s="235"/>
      <c r="B24" s="363" t="s">
        <v>60</v>
      </c>
      <c r="C24" s="386">
        <v>3044.28</v>
      </c>
      <c r="D24" s="393"/>
      <c r="E24" s="386">
        <v>246</v>
      </c>
      <c r="F24" s="386">
        <v>1110</v>
      </c>
      <c r="G24" s="386">
        <v>1110</v>
      </c>
      <c r="H24" s="393"/>
      <c r="I24" s="386">
        <v>223.72</v>
      </c>
      <c r="J24" s="386">
        <v>1073.66</v>
      </c>
      <c r="K24" s="386">
        <v>1073.66</v>
      </c>
      <c r="L24" s="400">
        <v>3066.56</v>
      </c>
      <c r="M24" s="357" t="s">
        <v>82</v>
      </c>
      <c r="N24" s="402"/>
      <c r="O24" s="391"/>
      <c r="P24" s="348">
        <v>0</v>
      </c>
      <c r="Q24" s="348">
        <v>116</v>
      </c>
      <c r="R24" s="348">
        <v>116</v>
      </c>
    </row>
    <row s="50" customFormat="1" customHeight="1" ht="17.25">
      <c r="A25" s="235"/>
      <c r="B25" s="363" t="s">
        <v>62</v>
      </c>
      <c r="C25" s="386">
        <v>0</v>
      </c>
      <c r="D25" s="393"/>
      <c r="E25" s="386"/>
      <c r="F25" s="386"/>
      <c r="G25" s="386"/>
      <c r="H25" s="393"/>
      <c r="I25" s="386">
        <v>0</v>
      </c>
      <c r="J25" s="386">
        <v>0</v>
      </c>
      <c r="K25" s="386">
        <v>0</v>
      </c>
      <c r="L25" s="400"/>
      <c r="M25" s="381" t="s">
        <v>65</v>
      </c>
      <c r="N25" s="402"/>
      <c r="O25" s="391"/>
      <c r="P25" s="235"/>
      <c r="Q25" s="235"/>
      <c r="R25" s="235"/>
    </row>
    <row s="50" customFormat="1" customHeight="1" ht="17.25">
      <c r="A26" s="235"/>
      <c r="B26" s="363" t="s">
        <v>64</v>
      </c>
      <c r="C26" s="386">
        <v>498.23</v>
      </c>
      <c r="D26" s="393"/>
      <c r="E26" s="386">
        <v>0</v>
      </c>
      <c r="F26" s="386">
        <v>88.9</v>
      </c>
      <c r="G26" s="386">
        <v>88.9</v>
      </c>
      <c r="H26" s="393"/>
      <c r="I26" s="386">
        <v>32.68</v>
      </c>
      <c r="J26" s="386">
        <v>130.78</v>
      </c>
      <c r="K26" s="386">
        <v>130.78</v>
      </c>
      <c r="L26" s="400">
        <v>465.55</v>
      </c>
      <c r="M26" s="235"/>
      <c r="N26" s="403"/>
      <c r="O26" s="391"/>
      <c r="P26" s="235"/>
      <c r="Q26" s="235"/>
      <c r="R26" s="235"/>
    </row>
    <row s="50" customFormat="1" customHeight="1" ht="17.25">
      <c r="A27" s="235"/>
      <c r="B27" s="363" t="s">
        <v>66</v>
      </c>
      <c r="C27" s="386">
        <v>234.14</v>
      </c>
      <c r="D27" s="393"/>
      <c r="E27" s="386">
        <v>0</v>
      </c>
      <c r="F27" s="386">
        <v>107</v>
      </c>
      <c r="G27" s="386">
        <v>107</v>
      </c>
      <c r="H27" s="393"/>
      <c r="I27" s="386">
        <v>0</v>
      </c>
      <c r="J27" s="386">
        <v>130.46</v>
      </c>
      <c r="K27" s="386">
        <v>130.46</v>
      </c>
      <c r="L27" s="400">
        <v>234.14</v>
      </c>
      <c r="M27" s="404"/>
      <c r="N27" s="404"/>
      <c r="O27" s="391"/>
      <c r="P27" s="235"/>
      <c r="Q27" s="235"/>
      <c r="R27" s="235"/>
    </row>
    <row s="50" customFormat="1" customHeight="1" ht="17.25">
      <c r="A28" s="235"/>
      <c r="B28" s="363" t="s">
        <v>68</v>
      </c>
      <c r="C28" s="386">
        <v>76.86</v>
      </c>
      <c r="D28" s="393"/>
      <c r="E28" s="386">
        <v>11.8</v>
      </c>
      <c r="F28" s="386">
        <v>73</v>
      </c>
      <c r="G28" s="386">
        <v>73</v>
      </c>
      <c r="H28" s="393"/>
      <c r="I28" s="386">
        <v>32.64</v>
      </c>
      <c r="J28" s="386">
        <v>65.24</v>
      </c>
      <c r="K28" s="386">
        <v>65.24</v>
      </c>
      <c r="L28" s="400">
        <v>56.02</v>
      </c>
      <c r="M28" s="404"/>
      <c r="N28" s="404"/>
      <c r="O28" s="391"/>
      <c r="P28" s="235"/>
      <c r="Q28" s="235"/>
      <c r="R28" s="235"/>
    </row>
    <row s="50" customFormat="1" customHeight="1" ht="17.25">
      <c r="A29" s="235"/>
      <c r="B29" s="370" t="s">
        <v>69</v>
      </c>
      <c r="C29" s="398"/>
      <c r="D29" s="393"/>
      <c r="E29" s="393">
        <v>11.8</v>
      </c>
      <c r="F29" s="393"/>
      <c r="G29" s="393">
        <v>73.5</v>
      </c>
      <c r="H29" s="393"/>
      <c r="I29" s="393"/>
      <c r="J29" s="393"/>
      <c r="K29" s="393"/>
      <c r="L29" s="405">
        <v>57.014188</v>
      </c>
      <c r="M29" s="399"/>
      <c r="N29" s="364"/>
      <c r="O29" s="391"/>
      <c r="P29" s="235"/>
      <c r="Q29" s="235"/>
      <c r="R29" s="235"/>
    </row>
    <row s="50" customFormat="1" customHeight="1" ht="17.25">
      <c r="A30" s="235"/>
      <c r="B30" s="363" t="s">
        <v>70</v>
      </c>
      <c r="C30" s="386">
        <v>268.88</v>
      </c>
      <c r="D30" s="393"/>
      <c r="E30" s="386">
        <v>17.3</v>
      </c>
      <c r="F30" s="386">
        <v>75.8</v>
      </c>
      <c r="G30" s="386">
        <v>75.8</v>
      </c>
      <c r="H30" s="393"/>
      <c r="I30" s="386">
        <v>65.2</v>
      </c>
      <c r="J30" s="386">
        <v>65.26</v>
      </c>
      <c r="K30" s="386">
        <v>65.26</v>
      </c>
      <c r="L30" s="400">
        <v>220.98</v>
      </c>
      <c r="M30" s="406"/>
      <c r="N30" s="407"/>
      <c r="O30" s="391"/>
      <c r="P30" s="235"/>
      <c r="Q30" s="235"/>
      <c r="R30" s="235"/>
    </row>
    <row s="50" customFormat="1" customHeight="1" ht="17.25">
      <c r="A31" s="235"/>
      <c r="B31" s="408" t="s">
        <v>71</v>
      </c>
      <c r="C31" s="386">
        <v>0</v>
      </c>
      <c r="D31" s="409"/>
      <c r="E31" s="386"/>
      <c r="F31" s="386"/>
      <c r="G31" s="386"/>
      <c r="H31" s="409"/>
      <c r="I31" s="386">
        <v>0</v>
      </c>
      <c r="J31" s="386">
        <v>0</v>
      </c>
      <c r="K31" s="386">
        <v>0</v>
      </c>
      <c r="L31" s="400"/>
      <c r="M31" s="410"/>
      <c r="N31" s="411"/>
      <c r="O31" s="412"/>
      <c r="P31" s="235"/>
      <c r="Q31" s="235"/>
      <c r="R31" s="235"/>
    </row>
    <row s="53" customFormat="1" customHeight="1" ht="20.25">
      <c r="A32" s="337"/>
      <c r="B32" s="413" t="s">
        <v>72</v>
      </c>
      <c r="C32" s="414"/>
      <c r="D32" s="414" t="s">
        <v>2</v>
      </c>
      <c r="E32" s="386">
        <v>0</v>
      </c>
      <c r="F32" s="386">
        <v>0</v>
      </c>
      <c r="G32" s="386">
        <v>0</v>
      </c>
      <c r="H32" s="415"/>
      <c r="I32" s="386">
        <v>0</v>
      </c>
      <c r="J32" s="386">
        <v>62.64</v>
      </c>
      <c r="K32" s="386">
        <v>62.64</v>
      </c>
      <c r="L32" s="386">
        <v>5820.96</v>
      </c>
      <c r="M32" s="413"/>
      <c r="N32" s="413" t="s">
        <v>74</v>
      </c>
      <c r="O32" s="416"/>
      <c r="P32" s="337"/>
      <c r="Q32" s="337"/>
      <c r="R32" s="337"/>
    </row>
    <row customHeight="1" ht="13.5">
      <c r="A33" s="417"/>
      <c r="B33" s="337"/>
      <c r="C33" s="418"/>
      <c r="D33" s="418"/>
      <c r="E33" s="386"/>
      <c r="F33" s="386"/>
      <c r="G33" s="386"/>
      <c r="H33" s="418"/>
      <c r="I33" s="386"/>
      <c r="J33" s="386"/>
      <c r="K33" s="386"/>
      <c r="L33" s="386"/>
      <c r="M33" s="337"/>
      <c r="N33" s="337"/>
      <c r="O33" s="337"/>
      <c r="P33" s="337"/>
      <c r="Q33" s="337"/>
      <c r="R33" s="337"/>
    </row>
    <row customHeight="1" ht="13.5">
      <c r="A34" s="417"/>
      <c r="B34" s="337"/>
      <c r="C34" s="418"/>
      <c r="D34" s="418"/>
      <c r="E34" s="386">
        <v>0</v>
      </c>
      <c r="F34" s="386">
        <v>0</v>
      </c>
      <c r="G34" s="386">
        <v>0</v>
      </c>
      <c r="H34" s="418"/>
      <c r="I34" s="386">
        <v>0</v>
      </c>
      <c r="J34" s="386">
        <v>0</v>
      </c>
      <c r="K34" s="386">
        <v>0</v>
      </c>
      <c r="L34" s="386"/>
      <c r="M34" s="337"/>
      <c r="N34" s="337"/>
      <c r="O34" s="337"/>
      <c r="P34" s="337"/>
      <c r="Q34" s="337"/>
      <c r="R34" s="337"/>
    </row>
    <row customHeight="1" ht="13.5">
      <c r="A35" s="417"/>
      <c r="B35" s="337"/>
      <c r="C35" s="418"/>
      <c r="D35" s="418"/>
      <c r="E35" s="386"/>
      <c r="F35" s="386"/>
      <c r="G35" s="386"/>
      <c r="H35" s="418"/>
      <c r="I35" s="386"/>
      <c r="J35" s="386"/>
      <c r="K35" s="386"/>
      <c r="L35" s="386"/>
      <c r="M35" s="337"/>
      <c r="N35" s="337"/>
      <c r="O35" s="337"/>
      <c r="P35" s="337"/>
      <c r="Q35" s="337"/>
      <c r="R35" s="337"/>
    </row>
    <row customHeight="1" ht="13.5">
      <c r="A36" s="417"/>
      <c r="B36" s="337"/>
      <c r="C36" s="337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</row>
    <row customHeight="1" ht="15.600000000000001">
      <c r="A37" s="417"/>
      <c r="B37" s="337"/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/>
    </row>
    <row customHeight="1" ht="15.600000000000001">
      <c r="A38" s="417"/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</row>
    <row customHeight="1" ht="15.75">
      <c r="A39" s="417"/>
      <c r="B39" s="348">
        <v>5820.96</v>
      </c>
      <c r="C39" s="337"/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</row>
    <row customHeight="1" ht="15.75">
      <c r="A40" s="417"/>
      <c r="B40" s="348">
        <v>0</v>
      </c>
      <c r="C40" s="337"/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</row>
    <row customHeight="1" ht="15.75">
      <c r="A41" s="417"/>
      <c r="B41" s="348">
        <v>0</v>
      </c>
      <c r="C41" s="337"/>
      <c r="D41" s="337"/>
      <c r="E41" s="337"/>
      <c r="F41" s="337"/>
      <c r="G41" s="337"/>
      <c r="H41" s="337"/>
      <c r="I41" s="337"/>
      <c r="J41" s="337"/>
      <c r="K41" s="337"/>
      <c r="L41" s="337"/>
      <c r="M41" s="337"/>
      <c r="N41" s="337"/>
      <c r="O41" s="337"/>
      <c r="P41" s="337"/>
      <c r="Q41" s="337"/>
      <c r="R41" s="337"/>
    </row>
    <row customHeight="1" ht="15.75">
      <c r="A42" s="417"/>
      <c r="B42" s="348">
        <v>0</v>
      </c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</row>
    <row customHeight="1" ht="15.600000000000001">
      <c r="A43" s="417"/>
      <c r="B43" s="337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</row>
    <row customHeight="1" ht="15.600000000000001">
      <c r="A44" s="417"/>
      <c r="B44" s="337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</row>
    <row customHeight="1" ht="15.75">
      <c r="A45" s="417"/>
      <c r="B45" s="419">
        <v>0</v>
      </c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</row>
    <row customHeight="1" ht="15.75">
      <c r="A46" s="417"/>
      <c r="B46" s="419">
        <v>0</v>
      </c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</row>
  </sheetData>
  <mergeCells count="27">
    <mergeCell ref="B1:O1"/>
    <mergeCell ref="B2:C2"/>
    <mergeCell ref="F2:G2"/>
    <mergeCell ref="H2:I2"/>
    <mergeCell ref="N2:O2"/>
    <mergeCell ref="E3:G3"/>
    <mergeCell ref="L3:O3"/>
    <mergeCell ref="I10:J10"/>
    <mergeCell ref="B11:L11"/>
    <mergeCell ref="M11:N11"/>
    <mergeCell ref="D12:G12"/>
    <mergeCell ref="I12:K12"/>
    <mergeCell ref="M17:N17"/>
    <mergeCell ref="B3:B4"/>
    <mergeCell ref="B12:B13"/>
    <mergeCell ref="C3:C4"/>
    <mergeCell ref="C12:C13"/>
    <mergeCell ref="D3:D4"/>
    <mergeCell ref="H3:H4"/>
    <mergeCell ref="H12:H13"/>
    <mergeCell ref="K3:K4"/>
    <mergeCell ref="L12:L13"/>
    <mergeCell ref="M12:M13"/>
    <mergeCell ref="N12:N13"/>
    <mergeCell ref="O11:O13"/>
    <mergeCell ref="O14:O31"/>
    <mergeCell ref="I3:J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油田气化工科技公司生产日报表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</dc:creator>
  <cp:lastModifiedBy>梦太晚.</cp:lastModifiedBy>
  <dcterms:created xsi:type="dcterms:W3CDTF">2024-05-16T01:38:00Z</dcterms:created>
  <cp:lastPrinted>2024-07-03T02:03:00Z</cp:lastPrinted>
  <dcterms:modified xsi:type="dcterms:W3CDTF">2024-09-30T07:59:10Z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2B00B1FC2AA548F495B2EED14B0FF41C_12</vt:lpwstr>
  </property>
</Properties>
</file>