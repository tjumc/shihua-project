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  <sheet name="公式" sheetId="2" state="hidden" r:id="rId3"/>
    <sheet name="取值" sheetId="3" r:id="rId4"/>
    <sheet name="Sheet2" sheetId="4" r:id="rId5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7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#Input("榆炼_生产计划部_调运月报_调入_车次_1#渣油_永坪炼油厂",":key{{dw}}")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#Input("榆炼_生产计划部_调运月报_调入_调运量_1#渣油_永坪炼油厂",":key{{dw}}")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#Input("榆炼_生产计划部_调运月报_调出_车次_1#渣油_永坪炼油厂",":key{{dw}}")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#Input("榆炼_生产计划部_调运月报_调出_调运量_1#渣油_永坪炼油厂",":key{{dw}}")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#Input("榆炼_生产计划部_调运月报_调入_车次_1#渣油_延安炼油厂",":key{{dw}}")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#Input("榆炼_生产计划部_调运月报_调入_调运量_1#渣油_延安炼油厂",":key{{dw}}")</t>
        </r>
      </text>
    </comment>
    <comment ref="H8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#Input("榆炼_生产计划部_调运月报_调出_车次_1#渣油_延安炼油厂",":key{{dw}}")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#Input("榆炼_生产计划部_调运月报_调出_调运量_1#渣油_延安炼油厂",":key{{dw}}")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#Input("榆炼_生产计划部_调运月报_调入_车次_原料液化气_延安炼油厂",":key{{dw}}")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#Input("榆炼_生产计划部_调运月报_调入_调运量_原料液化气_延安炼油厂",":key{{dw}}")</t>
        </r>
      </text>
    </comment>
    <comment ref="H9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#Input("榆炼_生产计划部_调运月报_调出_车次_原料液化气_延安炼油厂",":key{{dw}}")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#Input("榆炼_生产计划部_调运月报_调出_调运量_原料液化气_延安炼油厂",":key{{dw}}")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#Input("榆炼_生产计划部_调运月报_调入_车次_饱和液化气_延安炼油厂",":key{{dw}}")</t>
        </r>
      </text>
    </comment>
    <comment ref="F10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#Input("榆炼_生产计划部_调运月报_调入_调运量_饱和液化气_延安炼油厂",":key{{dw}}")</t>
        </r>
      </text>
    </comment>
    <comment ref="H10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#Input("榆炼_生产计划部_调运月报_调出_车次_饱和液化气_延安炼油厂",":key{{dw}}")</t>
        </r>
      </text>
    </comment>
    <comment ref="J10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#Input("榆炼_生产计划部_调运月报_调出_调运量_饱和液化气_延安炼油厂",":key{{dw}}")</t>
        </r>
      </text>
    </comment>
    <comment ref="D11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#Input("榆炼_生产计划部_调运月报_调入_车次_二甲苯_延安炼油厂",":key{{dw}}")</t>
        </r>
      </text>
    </comment>
    <comment ref="F11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#Input("榆炼_生产计划部_调运月报_调入_调运量_二甲苯_延安炼油厂",":key{{dw}}")</t>
        </r>
      </text>
    </comment>
    <comment ref="H11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#Input("榆炼_生产计划部_调运月报_调出_车次_二甲苯_延安炼油厂",":key{{dw}}")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#Input("榆炼_生产计划部_调运月报_调出_调运量_二甲苯_延安炼油厂",":key{{dw}}")</t>
        </r>
      </text>
    </comment>
    <comment ref="D12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#Input("榆炼_生产计划部_调运月报_调入_车次_二甲苯_永坪炼油厂",":key{{dw}}")</t>
        </r>
      </text>
    </comment>
    <comment ref="F12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#Input("榆炼_生产计划部_调运月报_调入_调运量_二甲苯_永坪炼油厂",":key{{dw}}")</t>
        </r>
      </text>
    </comment>
    <comment ref="H12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#Input("榆炼_生产计划部_调运月报_调出_车次_二甲苯_永坪炼油厂",":key{{dw}}")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#Input("榆炼_生产计划部_调运月报_调出_调运量_二甲苯_永坪炼油厂",":key{{dw}}")</t>
        </r>
      </text>
    </comment>
    <comment ref="D13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#Input("榆炼_生产计划部_调运月报_调入_车次_常压柴油_永坪炼油厂",":key{{dw}}")</t>
        </r>
      </text>
    </comment>
    <comment ref="F13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#Input("榆炼_生产计划部_调运月报_调入_调运量_常压柴油_永坪炼油厂",":key{{dw}}")</t>
        </r>
      </text>
    </comment>
    <comment ref="H13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#Input("榆炼_生产计划部_调运月报_调出_车次_常压柴油_永坪炼油厂",":key{{dw}}")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#Input("榆炼_生产计划部_调运月报_调出_调运量_常压柴油_永坪炼油厂",":key{{dw}}")</t>
        </r>
      </text>
    </comment>
    <comment ref="D14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#Input("榆炼_生产计划部_调运月报_调入_车次_烷基化油_延安石化厂",":key{{dw}}")</t>
        </r>
      </text>
    </comment>
    <comment ref="F14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#Input("榆炼_生产计划部_调运月报_调入_调运量_烷基化油_延安石化厂",":key{{dw}}")</t>
        </r>
      </text>
    </comment>
    <comment ref="H14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#Input("榆炼_生产计划部_调运月报_调出_车次_烷基化油_延安石化厂",":key{{dw}}")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#Input("榆炼_生产计划部_调运月报_调出_调运量_烷基化油_延安石化厂",":key{{dw}}")</t>
        </r>
      </text>
    </comment>
    <comment ref="D15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#Input("榆炼_生产计划部_调运月报_调入_车次_MTBE_延安石化厂",":key{{dw}}")</t>
        </r>
      </text>
    </comment>
    <comment ref="F15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#Input("榆炼_生产计划部_调运月报_调入_调运量_MTBE_延安石化厂",":key{{dw}}")</t>
        </r>
      </text>
    </comment>
    <comment ref="H15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#Input("榆炼_生产计划部_调运月报_调出_车次_MTBE_延安石化厂",":key{{dw}}")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#Input("榆炼_生产计划部_调运月报_调出_调运量_MTBE_延安石化厂",":key{{dw}}")</t>
        </r>
      </text>
    </comment>
    <comment ref="D16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#Input("榆炼_生产计划部_调运月报_调入_车次_石脑油_永坪炼油厂",":key{{dw}}")</t>
        </r>
      </text>
    </comment>
    <comment ref="F16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#Input("榆炼_生产计划部_调运月报_调入_调运量_石脑油_永坪炼油厂",":key{{dw}}")</t>
        </r>
      </text>
    </comment>
    <comment ref="H16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#Input("榆炼_生产计划部_调运月报_调出_车次_石脑油_永坪炼油厂",":key{{dw}}")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#Input("榆炼_生产计划部_调运月报_调出_调运量_石脑油_永坪炼油厂",":key{{dw}}")</t>
        </r>
      </text>
    </comment>
    <comment ref="D17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#Input("榆炼_生产计划部_调运月报_调入_车次_2#渣油_永坪炼油厂",":key{{dw}}")</t>
        </r>
      </text>
    </comment>
    <comment ref="F17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#Input("榆炼_生产计划部_调运月报_调入_调运量_2#渣油_永坪炼油厂",":key{{dw}}")</t>
        </r>
      </text>
    </comment>
    <comment ref="H17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#Input("榆炼_生产计划部_调运月报_调出_车次_2#渣油_永坪炼油厂",":key{{dw}}")</t>
        </r>
      </text>
    </comment>
    <comment ref="J17" authorId="0">
      <text>
        <r>
          <rPr>
            <sz val="9"/>
            <color indexed="81"/>
            <rFont val="Arial"/>
            <family val="2"/>
          </rPr>
          <t xml:space="preserve">#Input("榆炼_生产计划部_调运月报_调出_调运量_2#渣油_永坪炼油厂",":key{{dw}}")
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#Input("榆炼_生产计划部_调运月报_调入_车次_2#渣油_延安炼油厂",":key{{dw}}")</t>
        </r>
      </text>
    </comment>
    <comment ref="F18" authorId="0">
      <text>
        <r>
          <rPr>
            <sz val="9"/>
            <color indexed="81"/>
            <rFont val="Arial"/>
            <family val="2"/>
          </rPr>
          <t xml:space="preserve">#Input("榆炼_生产计划部_调运月报_调入_调运量_2#渣油_延安炼油厂",":key{{dw}}")
</t>
        </r>
      </text>
    </comment>
    <comment ref="H18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#Input("榆炼_生产计划部_调运月报_调出_车次_2#渣油_延安炼油厂",":key{{dw}}")</t>
        </r>
      </text>
    </comment>
    <comment ref="J18" authorId="0">
      <text>
        <r>
          <rPr>
            <sz val="9"/>
            <color indexed="81"/>
            <rFont val="Arial"/>
            <family val="2"/>
          </rPr>
          <t xml:space="preserve">#Input("榆炼_生产计划部_调运月报_调出_调运量_2#渣油_延安炼油厂",":key{{dw}}")
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#Input("榆炼_生产计划部_调运月报_调入_车次_次品石脑油_延安石化厂",":key{{dw}}")</t>
        </r>
      </text>
    </comment>
    <comment ref="F19" authorId="0">
      <text>
        <r>
          <rPr>
            <b/>
            <sz val="9"/>
            <color indexed="81"/>
            <rFont val="宋体"/>
            <family val="2"/>
          </rPr>
          <t>#Input("榆炼_生产计划部_调运月报_调入_调运量_次品石脑油_延安石化厂",":key{{dw}}")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#Input("榆炼_生产计划部_调运月报_调出_车次_次品石脑油_延安石化厂",":key{{dw}}")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#Input("榆炼_生产计划部_调运月报_调出_调运量_次品石脑油_延安石化厂",":key{{dw}}")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>#Input("榆炼_生产计划部_调运月报_单位负责人",":key{{dw}}")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#Input("榆炼_生产计划部_调运月报_统计负责人",":key{{dw}}")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#Input("榆炼_生产计划部_调运月报_填报人",":key{{dw}}")</t>
        </r>
      </text>
    </comment>
  </commentList>
</comments>
</file>

<file path=xl/sharedStrings.xml><?xml version="1.0" encoding="utf-8"?>
<sst xmlns="http://schemas.openxmlformats.org/spreadsheetml/2006/main" count="728" uniqueCount="126">
  <si>
    <t>榆林炼油厂调运月报</t>
  </si>
  <si>
    <t>时间</t>
  </si>
  <si>
    <t>2025-12</t>
  </si>
  <si>
    <t>物料名称</t>
  </si>
  <si>
    <t>调运单位</t>
  </si>
  <si>
    <t>调入</t>
  </si>
  <si>
    <t>调出</t>
  </si>
  <si>
    <t>车次</t>
  </si>
  <si>
    <t>调运量</t>
  </si>
  <si>
    <t>本月</t>
  </si>
  <si>
    <t>累计</t>
  </si>
  <si>
    <t>1#渣油</t>
  </si>
  <si>
    <t>永坪炼油厂</t>
  </si>
  <si>
    <t>延安炼油厂</t>
  </si>
  <si>
    <t>原料液化气</t>
  </si>
  <si>
    <t>饱和液化气</t>
  </si>
  <si>
    <t>二甲苯</t>
  </si>
  <si>
    <t>常压柴油</t>
  </si>
  <si>
    <t>烷基化油</t>
  </si>
  <si>
    <t>延安石化厂</t>
  </si>
  <si>
    <t>MTBE</t>
  </si>
  <si>
    <t>石脑油</t>
  </si>
  <si>
    <t>2#渣油</t>
  </si>
  <si>
    <t>次品石脑油</t>
  </si>
  <si>
    <t>单位负责人：</t>
  </si>
  <si>
    <t>统计负责人：</t>
  </si>
  <si>
    <t>填报人：</t>
  </si>
  <si>
    <t>公式类型</t>
  </si>
  <si>
    <t>数据源</t>
  </si>
  <si>
    <t>取值</t>
  </si>
  <si>
    <t>计量点名称</t>
  </si>
  <si>
    <t>取值条件</t>
  </si>
  <si>
    <t>#SQL</t>
  </si>
  <si>
    <t>("</t>
  </si>
  <si>
    <t>Yul_Trans_ByMonth</t>
  </si>
  <si>
    <t>","</t>
  </si>
  <si>
    <t>VALUE</t>
  </si>
  <si>
    <t>",":where{NAME=</t>
  </si>
  <si>
    <t>榆炼_油气储运车间日报表_1#渣油1_内调车数</t>
  </si>
  <si>
    <t>}")</t>
  </si>
  <si>
    <t>榆炼_油气储运车间日报表_1#渣油2_内调车数</t>
  </si>
  <si>
    <t>榆炼_油气储运车间日报表_原料液化气1_内调车数</t>
  </si>
  <si>
    <t>榆炼_油气储运车间日报表_液化石油气1_内调车数</t>
  </si>
  <si>
    <t>榆炼_油气储运车间日报表_二甲苯内调1_内调车数</t>
  </si>
  <si>
    <t>榆炼_油气储运车间日报表_二甲苯内调2_内调车数</t>
  </si>
  <si>
    <t>榆炼_油气储运车间日报表_常柴_内调车数</t>
  </si>
  <si>
    <t>榆炼_油气储运车间日报表_异辛烷_内调车数</t>
  </si>
  <si>
    <t>榆炼_油气储运车间日报表_MTBE1_内调车数</t>
  </si>
  <si>
    <t>榆炼_油气储运车间日报表_石脑油_内调车数</t>
  </si>
  <si>
    <t>榆炼_油气储运车间日报表_1#渣油1_内调吨位</t>
  </si>
  <si>
    <t>榆炼_油气储运车间日报表_1#渣油2_内调吨位</t>
  </si>
  <si>
    <t>榆炼_油气储运车间日报表_原料液化气1_内调吨位</t>
  </si>
  <si>
    <t>榆炼_油气储运车间日报表_液化石油气1_内调吨位</t>
  </si>
  <si>
    <t>榆炼_油气储运车间日报表_二甲苯内调1_内调吨位</t>
  </si>
  <si>
    <t>榆炼_油气储运车间日报表_二甲苯内调2_内调吨位</t>
  </si>
  <si>
    <t>榆炼_油气储运车间日报表_常柴_内调吨位</t>
  </si>
  <si>
    <t>榆炼_油气储运车间日报表_异辛烷_内调吨位</t>
  </si>
  <si>
    <t>榆炼_油气储运车间日报表_MTBE1_内调吨位</t>
  </si>
  <si>
    <t>榆炼_油气储运车间日报表_石脑油_内调吨位</t>
  </si>
  <si>
    <t>榆炼_油气储运车间日报表_1#渣油1_外销车数</t>
  </si>
  <si>
    <t>榆炼_油气储运车间日报表_1#渣油2_外销车数</t>
  </si>
  <si>
    <t>榆炼_油气储运车间日报表_原料液化气1_外销车数</t>
  </si>
  <si>
    <t>榆炼_油气储运车间日报表_液化石油气1_外销车数</t>
  </si>
  <si>
    <t>榆炼_油气储运车间日报表_二甲苯内调1_外销车数</t>
  </si>
  <si>
    <t>榆炼_油气储运车间日报表_二甲苯内调2_外销车数</t>
  </si>
  <si>
    <t>榆炼_油气储运车间日报表_常柴_外销车数</t>
  </si>
  <si>
    <t>榆炼_油气储运车间日报表_异辛烷_外销车数</t>
  </si>
  <si>
    <t>榆炼_油气储运车间日报表_MTBE1_外销车数</t>
  </si>
  <si>
    <t>榆炼_油气储运车间日报表_石脑油_外销车数</t>
  </si>
  <si>
    <t>榆炼_油气储运车间日报表_1#渣油1_外销吨位</t>
  </si>
  <si>
    <t>榆炼_油气储运车间日报表_1#渣油2_外销吨位</t>
  </si>
  <si>
    <t>榆炼_油气储运车间日报表_原料液化气1_外销吨位</t>
  </si>
  <si>
    <t>榆炼_油气储运车间日报表_液化石油气1_外销吨位</t>
  </si>
  <si>
    <t>榆炼_油气储运车间日报表_二甲苯内调1_外销吨位</t>
  </si>
  <si>
    <t>榆炼_油气储运车间日报表_二甲苯内调2_外销吨位</t>
  </si>
  <si>
    <t>榆炼_油气储运车间日报表_常柴_外销吨位</t>
  </si>
  <si>
    <t>榆炼_油气储运车间日报表_异辛烷_外销吨位</t>
  </si>
  <si>
    <t>榆炼_油气储运车间日报表_MTBE1_外销吨位</t>
  </si>
  <si>
    <t>榆炼_油气储运车间日报表_石脑油_外销吨位</t>
  </si>
  <si>
    <t>Yul_Trans_ByMonth_SUM</t>
  </si>
  <si>
    <t>榆炼_生产计划部_调运月报_调入_车次_1#渣油_永坪炼油厂</t>
  </si>
  <si>
    <t>榆炼_生产计划部_调运月报_调入_车次_1#渣油_延安炼油厂</t>
  </si>
  <si>
    <t>榆炼_生产计划部_调运月报_调入_车次_原料液化气_延安炼油厂</t>
  </si>
  <si>
    <t>榆炼_生产计划部_调运月报_调入_车次_饱和液化气_延安炼油厂</t>
  </si>
  <si>
    <t>榆炼_生产计划部_调运月报_调入_车次_二甲苯_延安炼油厂</t>
  </si>
  <si>
    <t>榆炼_生产计划部_调运月报_调入_车次_二甲苯_永坪炼油厂</t>
  </si>
  <si>
    <t>榆炼_生产计划部_调运月报_调入_车次_常压柴油_永坪炼油厂</t>
  </si>
  <si>
    <t>榆炼_生产计划部_调运月报_调入_车次_烷基化油_延安石化厂</t>
  </si>
  <si>
    <t>榆炼_生产计划部_调运月报_调入_车次_MTBE_延安石化厂</t>
  </si>
  <si>
    <t>榆炼_生产计划部_调运月报_调入_车次_石脑油_永坪炼油厂</t>
  </si>
  <si>
    <t>榆炼_生产计划部_调运月报_调入_车次_次品石脑油_延安石化厂</t>
  </si>
  <si>
    <t>榆炼_生产计划部_调运月报_调入_调运量_1#渣油_永坪炼油厂</t>
  </si>
  <si>
    <t>榆炼_生产计划部_调运月报_调入_调运量_1#渣油_延安炼油厂</t>
  </si>
  <si>
    <t>榆炼_生产计划部_调运月报_调入_调运量_原料液化气_延安炼油厂</t>
  </si>
  <si>
    <t>榆炼_生产计划部_调运月报_调入_调运量_饱和液化气_延安炼油厂</t>
  </si>
  <si>
    <t>榆炼_生产计划部_调运月报_调入_调运量_二甲苯_延安炼油厂</t>
  </si>
  <si>
    <t>榆炼_生产计划部_调运月报_调入_调运量_二甲苯_永坪炼油厂</t>
  </si>
  <si>
    <t>榆炼_生产计划部_调运月报_调入_调运量_常压柴油_永坪炼油厂</t>
  </si>
  <si>
    <t>榆炼_生产计划部_调运月报_调入_调运量_烷基化油_延安石化厂</t>
  </si>
  <si>
    <t>榆炼_生产计划部_调运月报_调入_调运量_MTBE_延安石化厂</t>
  </si>
  <si>
    <t>榆炼_生产计划部_调运月报_调入_调运量_石脑油_永坪炼油厂</t>
  </si>
  <si>
    <t>榆炼_生产计划部_调运月报_调入_调运量_次品石脑油_延安石化厂</t>
  </si>
  <si>
    <t>榆炼_生产计划部_调运月报_调出_车次_1#渣油_永坪炼油厂</t>
  </si>
  <si>
    <t>榆炼_生产计划部_调运月报_调出_车次_1#渣油_延安炼油厂</t>
  </si>
  <si>
    <t>榆炼_生产计划部_调运月报_调出_车次_原料液化气_延安炼油厂</t>
  </si>
  <si>
    <t>榆炼_生产计划部_调运月报_调出_车次_饱和液化气_延安炼油厂</t>
  </si>
  <si>
    <t>榆炼_生产计划部_调运月报_调出_车次_二甲苯_延安炼油厂</t>
  </si>
  <si>
    <t>榆炼_生产计划部_调运月报_调出_车次_二甲苯_永坪炼油厂</t>
  </si>
  <si>
    <t>榆炼_生产计划部_调运月报_调出_车次_常压柴油_永坪炼油厂</t>
  </si>
  <si>
    <t>榆炼_生产计划部_调运月报_调出_车次_烷基化油_延安石化厂</t>
  </si>
  <si>
    <t>榆炼_生产计划部_调运月报_调出_车次_MTBE_延安石化厂</t>
  </si>
  <si>
    <t>榆炼_生产计划部_调运月报_调出_车次_石脑油_永坪炼油厂</t>
  </si>
  <si>
    <t>榆炼_生产计划部_调运月报_调出_车次_次品石脑油_延安石化厂</t>
  </si>
  <si>
    <t>榆炼_生产计划部_调运月报_调出_调运量_1#渣油_永坪炼油厂</t>
  </si>
  <si>
    <t>榆炼_生产计划部_调运月报_调出_调运量_1#渣油_延安炼油厂</t>
  </si>
  <si>
    <t>榆炼_生产计划部_调运月报_调出_调运量_原料液化气_延安炼油厂</t>
  </si>
  <si>
    <t>榆炼_生产计划部_调运月报_调出_调运量_饱和液化气_延安炼油厂</t>
  </si>
  <si>
    <t>榆炼_生产计划部_调运月报_调出_调运量_二甲苯_延安炼油厂</t>
  </si>
  <si>
    <t>榆炼_生产计划部_调运月报_调出_调运量_二甲苯_永坪炼油厂</t>
  </si>
  <si>
    <t>榆炼_生产计划部_调运月报_调出_调运量_常压柴油_永坪炼油厂</t>
  </si>
  <si>
    <t>榆炼_生产计划部_调运月报_调出_调运量_烷基化油_延安石化厂</t>
  </si>
  <si>
    <t>榆炼_生产计划部_调运月报_调出_调运量_MTBE_延安石化厂</t>
  </si>
  <si>
    <t>榆炼_生产计划部_调运月报_调出_调运量_石脑油_永坪炼油厂</t>
  </si>
  <si>
    <t>榆炼_生产计划部_调运月报_调出_调运量_次品石脑油_延安石化厂</t>
  </si>
  <si>
    <t>报表生成时间：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</si>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</sst>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.00_ "/>
  </numFmts>
  <fonts count="22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Calibri"/>
    </font>
    <font>
      <sz val="14"/>
      <color rgb="FF000000"/>
      <name val="宋体"/>
    </font>
    <font>
      <sz val="11"/>
      <color theme="1"/>
      <name val="等线"/>
    </font>
    <font>
      <sz val="18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5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35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43" fontId="18" fillId="0" borderId="0" xfId="28" applyFont="1" applyNumberFormat="1">
      <alignment vertical="top"/>
    </xf>
    <xf numFmtId="41" fontId="18" fillId="0" borderId="0" xfId="29" applyFont="1" applyNumberFormat="1">
      <alignment vertical="top"/>
    </xf>
    <xf numFmtId="44" fontId="18" fillId="0" borderId="0" xfId="30" applyFont="1" applyNumberFormat="1">
      <alignment vertical="top"/>
    </xf>
    <xf numFmtId="42" fontId="18" fillId="0" borderId="0" xfId="31" applyFont="1" applyNumberFormat="1">
      <alignment vertical="top"/>
    </xf>
    <xf numFmtId="0" fontId="18" fillId="32" borderId="7" xfId="41" applyFont="1" applyFill="1" applyBorder="1">
      <alignment vertical="top"/>
    </xf>
    <xf numFmtId="9" fontId="18" fillId="0" borderId="0" xfId="43" applyFont="1" applyNumberFormat="1">
      <alignment vertical="top"/>
    </xf>
    <xf numFmtId="0" fontId="19" fillId="0" borderId="10" xfId="0" applyFont="1" applyBorder="1">
      <alignment horizontal="center" vertical="center"/>
    </xf>
    <xf numFmtId="0" fontId="0" fillId="0" borderId="10" xfId="0" applyFont="1" applyBorder="1">
      <alignment vertical="center"/>
    </xf>
    <xf numFmtId="20" fontId="0" fillId="0" borderId="0" xfId="0" applyFont="1" applyNumberFormat="1"/>
    <xf numFmtId="0" fontId="19" fillId="0" borderId="11" xfId="0" applyFont="1" applyBorder="1">
      <alignment horizontal="center" vertical="center"/>
    </xf>
    <xf numFmtId="0" fontId="0" fillId="0" borderId="12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13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6" xfId="0" applyFont="1" applyBorder="1">
      <alignment vertical="center"/>
    </xf>
    <xf numFmtId="0" fontId="0" fillId="0" borderId="17" xfId="0" applyFont="1" applyBorder="1">
      <alignment horizontal="right" vertical="center"/>
    </xf>
    <xf numFmtId="0" fontId="0" fillId="0" borderId="18" xfId="0" applyFont="1" applyBorder="1">
      <alignment vertical="center"/>
    </xf>
    <xf numFmtId="0" fontId="0" fillId="0" borderId="19" xfId="0" applyFont="1" applyBorder="1">
      <alignment vertical="center"/>
    </xf>
    <xf numFmtId="171" fontId="0" fillId="7" borderId="14" xfId="0" applyFont="1" applyFill="1" applyBorder="1" applyNumberFormat="1">
      <alignment vertical="center"/>
    </xf>
    <xf numFmtId="172" fontId="0" fillId="7" borderId="14" xfId="0" applyFont="1" applyFill="1" applyBorder="1" applyNumberFormat="1">
      <alignment vertical="center"/>
    </xf>
    <xf numFmtId="0" fontId="20" fillId="0" borderId="0" xfId="0" applyFont="1"/>
    <xf numFmtId="171" fontId="0" fillId="7" borderId="10" xfId="0" applyFont="1" applyFill="1" applyBorder="1" applyNumberFormat="1">
      <alignment horizontal="right" vertical="center"/>
    </xf>
    <xf numFmtId="172" fontId="0" fillId="7" borderId="10" xfId="0" applyFont="1" applyFill="1" applyBorder="1" applyNumberFormat="1">
      <alignment horizontal="right" vertical="center"/>
    </xf>
    <xf numFmtId="0" fontId="0" fillId="0" borderId="12" xfId="0" applyFont="1" applyBorder="1">
      <alignment vertical="center"/>
    </xf>
    <xf numFmtId="0" fontId="0" fillId="0" borderId="20" xfId="0" applyFont="1" applyBorder="1">
      <alignment vertical="center"/>
    </xf>
    <xf numFmtId="171" fontId="0" fillId="7" borderId="20" xfId="0" applyFont="1" applyFill="1" applyBorder="1" applyNumberFormat="1">
      <alignment horizontal="right" vertical="center"/>
    </xf>
    <xf numFmtId="172" fontId="0" fillId="7" borderId="20" xfId="0" applyFont="1" applyFill="1" applyBorder="1" applyNumberFormat="1">
      <alignment horizontal="right" vertical="center"/>
    </xf>
    <xf numFmtId="0" fontId="0" fillId="0" borderId="21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0" xfId="0" applyFont="1">
      <alignment horizontal="right"/>
    </xf>
    <xf numFmtId="0" fontId="0" fillId="7" borderId="0" xfId="0" applyFont="1" applyFill="1">
      <alignment horizontal="left"/>
    </xf>
    <xf numFmtId="0" fontId="0" fillId="0" borderId="10" xfId="0" applyFont="1" applyBorder="1">
      <alignment horizontal="left" vertical="center"/>
    </xf>
    <xf numFmtId="0" fontId="0" fillId="0" borderId="11" xfId="0" applyFont="1" applyBorder="1">
      <alignment horizontal="left" vertical="center"/>
    </xf>
    <xf numFmtId="14" fontId="21" fillId="0" borderId="22" xfId="0" applyFont="1" applyBorder="1" applyNumberFormat="1">
      <alignment horizontal="center" vertical="center"/>
    </xf>
    <xf numFmtId="14" fontId="21" fillId="0" borderId="23" xfId="0" applyFont="1" applyBorder="1" applyNumberFormat="1">
      <alignment horizontal="center" vertical="center"/>
    </xf>
    <xf numFmtId="14" fontId="21" fillId="0" borderId="24" xfId="0" applyFont="1" applyBorder="1" applyNumberFormat="1">
      <alignment horizontal="center" vertical="center"/>
    </xf>
    <xf numFmtId="0" fontId="19" fillId="0" borderId="12" xfId="0" applyFont="1" applyBorder="1">
      <alignment horizontal="center" vertical="center"/>
    </xf>
    <xf numFmtId="0" fontId="19" fillId="0" borderId="10" xfId="0" applyFont="1" applyBorder="1">
      <alignment horizontal="center" vertical="center"/>
    </xf>
    <xf numFmtId="0" fontId="19" fillId="0" borderId="11" xfId="0" applyFont="1" applyBorder="1">
      <alignment horizontal="center" vertical="center"/>
    </xf>
    <xf numFmtId="0" fontId="0" fillId="0" borderId="10" xfId="0" applyFont="1" applyBorder="1">
      <alignment vertical="center"/>
    </xf>
    <xf numFmtId="171" fontId="0" fillId="0" borderId="20" xfId="0" applyFont="1" applyBorder="1" applyNumberFormat="1">
      <alignment vertical="center"/>
    </xf>
    <xf numFmtId="172" fontId="0" fillId="0" borderId="21" xfId="0" applyFont="1" applyBorder="1" applyNumberFormat="1">
      <alignment vertical="center"/>
    </xf>
    <xf numFmtId="0" fontId="0" fillId="0" borderId="0" xfId="0" applyFont="1">
      <alignment wrapText="1"/>
    </xf>
    <xf numFmtId="14" fontId="21" fillId="0" borderId="22" xfId="0" applyFont="1" applyBorder="1" applyNumberFormat="1">
      <alignment horizontal="center" vertical="center" wrapText="1"/>
    </xf>
    <xf numFmtId="14" fontId="21" fillId="0" borderId="23" xfId="0" applyFont="1" applyBorder="1" applyNumberFormat="1">
      <alignment horizontal="center" vertical="center" wrapText="1"/>
    </xf>
    <xf numFmtId="14" fontId="21" fillId="0" borderId="24" xfId="0" applyFont="1" applyBorder="1" applyNumberFormat="1">
      <alignment horizontal="center" vertical="center" wrapText="1"/>
    </xf>
    <xf numFmtId="0" fontId="0" fillId="0" borderId="17" xfId="0" applyFont="1" applyBorder="1">
      <alignment horizontal="right" vertical="center" wrapText="1"/>
    </xf>
    <xf numFmtId="0" fontId="0" fillId="0" borderId="16" xfId="0" applyFont="1" applyBorder="1">
      <alignment vertical="center" wrapText="1"/>
    </xf>
    <xf numFmtId="0" fontId="0" fillId="0" borderId="18" xfId="0" applyFont="1" applyBorder="1">
      <alignment vertical="center" wrapText="1"/>
    </xf>
    <xf numFmtId="0" fontId="0" fillId="0" borderId="19" xfId="0" applyFont="1" applyBorder="1">
      <alignment vertical="center" wrapText="1"/>
    </xf>
    <xf numFmtId="0" fontId="0" fillId="0" borderId="10" xfId="0" applyFont="1" applyBorder="1">
      <alignment horizontal="left" vertical="center" wrapText="1"/>
    </xf>
    <xf numFmtId="0" fontId="0" fillId="0" borderId="11" xfId="0" applyFont="1" applyBorder="1">
      <alignment horizontal="left" vertical="center" wrapText="1"/>
    </xf>
    <xf numFmtId="0" fontId="19" fillId="0" borderId="12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1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1" xfId="0" applyFont="1" applyBorder="1">
      <alignment horizontal="center" vertical="center" wrapText="1"/>
    </xf>
    <xf numFmtId="0" fontId="0" fillId="0" borderId="12" xfId="0" applyFont="1" applyBorder="1">
      <alignment vertical="center" wrapText="1"/>
    </xf>
    <xf numFmtId="0" fontId="0" fillId="0" borderId="10" xfId="0" applyFont="1" applyBorder="1">
      <alignment vertical="center" wrapText="1"/>
    </xf>
    <xf numFmtId="171" fontId="0" fillId="7" borderId="10" xfId="0" applyFont="1" applyFill="1" applyBorder="1" applyNumberFormat="1">
      <alignment horizontal="right" vertical="center" wrapText="1"/>
      <protection locked="0"/>
    </xf>
    <xf numFmtId="172" fontId="0" fillId="7" borderId="10" xfId="0" applyFont="1" applyFill="1" applyBorder="1" applyNumberFormat="1">
      <alignment horizontal="right" vertical="center" wrapText="1"/>
      <protection locked="0"/>
    </xf>
    <xf numFmtId="0" fontId="0" fillId="0" borderId="11" xfId="0" applyFont="1" applyBorder="1">
      <alignment vertical="center" wrapText="1"/>
    </xf>
    <xf numFmtId="0" fontId="0" fillId="0" borderId="10" xfId="0" applyFont="1" applyBorder="1">
      <alignment vertical="center" wrapText="1"/>
    </xf>
    <xf numFmtId="0" fontId="0" fillId="0" borderId="0" xfId="0" applyFont="1"/>
    <xf numFmtId="0" fontId="0" fillId="0" borderId="12" xfId="0" applyFont="1" applyBorder="1">
      <alignment vertical="center" wrapText="1"/>
    </xf>
    <xf numFmtId="0" fontId="0" fillId="0" borderId="10" xfId="0" applyFont="1" applyBorder="1">
      <alignment vertical="center" wrapText="1"/>
    </xf>
    <xf numFmtId="171" fontId="0" fillId="7" borderId="20" xfId="0" applyFont="1" applyFill="1" applyBorder="1" applyNumberFormat="1">
      <alignment horizontal="right" vertical="center" wrapText="1"/>
      <protection locked="0"/>
    </xf>
    <xf numFmtId="0" fontId="0" fillId="0" borderId="20" xfId="0" applyFont="1" applyBorder="1">
      <alignment vertical="center" wrapText="1"/>
    </xf>
    <xf numFmtId="172" fontId="0" fillId="7" borderId="20" xfId="0" applyFont="1" applyFill="1" applyBorder="1" applyNumberFormat="1">
      <alignment horizontal="right" vertical="center" wrapText="1"/>
      <protection locked="0"/>
    </xf>
    <xf numFmtId="171" fontId="0" fillId="0" borderId="20" xfId="0" applyFont="1" applyBorder="1" applyNumberFormat="1">
      <alignment vertical="center" wrapText="1"/>
    </xf>
    <xf numFmtId="172" fontId="0" fillId="0" borderId="21" xfId="0" applyFont="1" applyBorder="1" applyNumberFormat="1">
      <alignment vertical="center" wrapText="1"/>
    </xf>
    <xf numFmtId="0" fontId="0" fillId="0" borderId="0" xfId="0" applyFont="1"/>
    <xf numFmtId="0" fontId="0" fillId="0" borderId="21" xfId="0" applyFont="1" applyBorder="1">
      <alignment vertical="center" wrapText="1"/>
    </xf>
    <xf numFmtId="0" fontId="0" fillId="0" borderId="13" xfId="0" applyFont="1" applyBorder="1">
      <alignment vertical="center" wrapText="1"/>
    </xf>
    <xf numFmtId="0" fontId="0" fillId="0" borderId="14" xfId="0" applyFont="1" applyBorder="1">
      <alignment vertical="center" wrapText="1"/>
    </xf>
    <xf numFmtId="171" fontId="0" fillId="7" borderId="14" xfId="0" applyFont="1" applyFill="1" applyBorder="1" applyNumberFormat="1">
      <alignment vertical="center" wrapText="1"/>
      <protection locked="0"/>
    </xf>
    <xf numFmtId="172" fontId="0" fillId="7" borderId="14" xfId="0" applyFont="1" applyFill="1" applyBorder="1" applyNumberFormat="1">
      <alignment vertical="center" wrapText="1"/>
      <protection locked="0"/>
    </xf>
    <xf numFmtId="0" fontId="0" fillId="0" borderId="15" xfId="0" applyFont="1" applyBorder="1">
      <alignment vertical="center" wrapText="1"/>
    </xf>
    <xf numFmtId="0" fontId="0" fillId="0" borderId="0" xfId="0" applyFont="1">
      <alignment horizontal="right" wrapText="1"/>
    </xf>
    <xf numFmtId="0" fontId="0" fillId="7" borderId="0" xfId="0" applyFont="1" applyFill="1">
      <alignment horizontal="left" wrapText="1"/>
      <protection locked="0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>
      <alignment wrapText="1"/>
    </xf>
    <xf numFmtId="0" fontId="2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218EC68-8A76-07B7-4CA8-973717B18116}" mc:Ignorable="x14ac xr xr2 xr3">
  <dimension ref="A1:K20"/>
  <sheetViews>
    <sheetView topLeftCell="A1" showGridLines="0" workbookViewId="0" tabSelected="1">
      <selection activeCell="A1" sqref="A1"/>
    </sheetView>
  </sheetViews>
  <sheetFormatPr customHeight="1" defaultRowHeight="13.799999999999999"/>
  <cols>
    <col min="1" max="1" style="129" width="2.57421875" customWidth="1"/>
    <col min="2" max="11" style="129" width="15.57421875" customWidth="1"/>
  </cols>
  <sheetData>
    <row customHeight="1" ht="2.2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</row>
    <row customHeight="1" ht="27">
      <c r="A2" s="90"/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3"/>
    </row>
    <row customHeight="1" ht="20.25">
      <c r="A3" s="90"/>
      <c r="B3" s="94" t="s">
        <v>1</v>
      </c>
      <c r="C3" s="95" t="s">
        <v>2</v>
      </c>
      <c r="D3" s="96"/>
      <c r="E3" s="97"/>
      <c r="F3" s="95"/>
      <c r="G3" s="98" t="str">
        <f>Sheet2!A2&amp;Sheet2!B2&amp;Sheet2!C2</f>
        <v>报表生成时间：2025-12 8:00:00</v>
      </c>
      <c r="H3" s="98"/>
      <c r="I3" s="98"/>
      <c r="J3" s="98"/>
      <c r="K3" s="99"/>
    </row>
    <row customHeight="1" ht="20.25">
      <c r="A4" s="90"/>
      <c r="B4" s="100" t="s">
        <v>3</v>
      </c>
      <c r="C4" s="101" t="s">
        <v>4</v>
      </c>
      <c r="D4" s="101" t="s">
        <v>5</v>
      </c>
      <c r="E4" s="101"/>
      <c r="F4" s="101"/>
      <c r="G4" s="101"/>
      <c r="H4" s="101" t="s">
        <v>6</v>
      </c>
      <c r="I4" s="101"/>
      <c r="J4" s="101"/>
      <c r="K4" s="102"/>
    </row>
    <row customHeight="1" ht="20.25">
      <c r="A5" s="90"/>
      <c r="B5" s="100"/>
      <c r="C5" s="101"/>
      <c r="D5" s="101" t="s">
        <v>7</v>
      </c>
      <c r="E5" s="101"/>
      <c r="F5" s="101" t="s">
        <v>8</v>
      </c>
      <c r="G5" s="101"/>
      <c r="H5" s="101" t="s">
        <v>7</v>
      </c>
      <c r="I5" s="101"/>
      <c r="J5" s="101" t="s">
        <v>8</v>
      </c>
      <c r="K5" s="102"/>
    </row>
    <row customHeight="1" ht="20.25">
      <c r="A6" s="90"/>
      <c r="B6" s="100"/>
      <c r="C6" s="101"/>
      <c r="D6" s="103" t="s">
        <v>9</v>
      </c>
      <c r="E6" s="103" t="s">
        <v>10</v>
      </c>
      <c r="F6" s="103" t="s">
        <v>9</v>
      </c>
      <c r="G6" s="103" t="s">
        <v>10</v>
      </c>
      <c r="H6" s="103" t="s">
        <v>9</v>
      </c>
      <c r="I6" s="103" t="s">
        <v>10</v>
      </c>
      <c r="J6" s="103" t="s">
        <v>9</v>
      </c>
      <c r="K6" s="104" t="s">
        <v>10</v>
      </c>
    </row>
    <row customHeight="1" ht="20.25">
      <c r="A7" s="90"/>
      <c r="B7" s="105" t="s">
        <v>11</v>
      </c>
      <c r="C7" s="106" t="s">
        <v>12</v>
      </c>
      <c r="D7" s="107">
        <v>0</v>
      </c>
      <c r="E7" s="106">
        <f>_xlfn.IFERROR(取值!A42+D7,"")</f>
        <v>3529</v>
      </c>
      <c r="F7" s="108">
        <v>0</v>
      </c>
      <c r="G7" s="106">
        <f>_xlfn.IFERROR(取值!A53+F7,"")</f>
        <v>113273.91</v>
      </c>
      <c r="H7" s="107"/>
      <c r="I7" s="106">
        <f>_xlfn.IFERROR(取值!A64+H7,"")</f>
        <v>0</v>
      </c>
      <c r="J7" s="108"/>
      <c r="K7" s="109">
        <f>_xlfn.IFERROR(取值!A75+J7,"")</f>
        <v>0</v>
      </c>
    </row>
    <row customHeight="1" ht="20.25">
      <c r="A8" s="90"/>
      <c r="B8" s="105" t="s">
        <v>11</v>
      </c>
      <c r="C8" s="106" t="s">
        <v>13</v>
      </c>
      <c r="D8" s="107"/>
      <c r="E8" s="106">
        <f>_xlfn.IFERROR(取值!A43+D8,"")</f>
        <v>0</v>
      </c>
      <c r="F8" s="108"/>
      <c r="G8" s="106">
        <f>_xlfn.IFERROR(取值!A54+F8,"")</f>
        <v>0</v>
      </c>
      <c r="H8" s="107"/>
      <c r="I8" s="106">
        <f>_xlfn.IFERROR(取值!A65+H8,"")</f>
        <v>0</v>
      </c>
      <c r="J8" s="108"/>
      <c r="K8" s="109">
        <f>_xlfn.IFERROR(取值!A76+J8,"")</f>
        <v>0</v>
      </c>
    </row>
    <row customHeight="1" ht="20.25">
      <c r="A9" s="90"/>
      <c r="B9" s="105" t="s">
        <v>14</v>
      </c>
      <c r="C9" s="106" t="s">
        <v>13</v>
      </c>
      <c r="D9" s="107"/>
      <c r="E9" s="106">
        <f>_xlfn.IFERROR(取值!A44+D9,"")</f>
        <v>0</v>
      </c>
      <c r="F9" s="108"/>
      <c r="G9" s="106">
        <f>_xlfn.IFERROR(取值!A55+F9,"")</f>
        <v>0</v>
      </c>
      <c r="H9" s="107">
        <v>715</v>
      </c>
      <c r="I9" s="106">
        <f>_xlfn.IFERROR(取值!A66+H9,"")</f>
        <v>7593</v>
      </c>
      <c r="J9" s="108">
        <v>17489.08</v>
      </c>
      <c r="K9" s="109">
        <f>_xlfn.IFERROR(取值!A77+J9,"")</f>
        <v>184966.38</v>
      </c>
    </row>
    <row customHeight="1" ht="20.25">
      <c r="A10" s="90"/>
      <c r="B10" s="105" t="s">
        <v>15</v>
      </c>
      <c r="C10" s="106" t="s">
        <v>13</v>
      </c>
      <c r="D10" s="107"/>
      <c r="E10" s="106">
        <f>_xlfn.IFERROR(取值!A45+D10,"")</f>
        <v>0</v>
      </c>
      <c r="F10" s="108"/>
      <c r="G10" s="106">
        <f>_xlfn.IFERROR(取值!A56+F10,"")</f>
        <v>0</v>
      </c>
      <c r="H10" s="107">
        <v>269</v>
      </c>
      <c r="I10" s="106">
        <f>_xlfn.IFERROR(取值!A67+H10,"")</f>
        <v>2130</v>
      </c>
      <c r="J10" s="108">
        <v>6729.26</v>
      </c>
      <c r="K10" s="109">
        <f>_xlfn.IFERROR(取值!A78+J10,"")</f>
        <v>52639.14</v>
      </c>
    </row>
    <row customHeight="1" ht="20.25">
      <c r="A11" s="90"/>
      <c r="B11" s="105" t="s">
        <v>16</v>
      </c>
      <c r="C11" s="106" t="s">
        <v>13</v>
      </c>
      <c r="D11" s="107"/>
      <c r="E11" s="106">
        <f>_xlfn.IFERROR(取值!A46+D11,"")</f>
        <v>0</v>
      </c>
      <c r="F11" s="108"/>
      <c r="G11" s="106">
        <f>_xlfn.IFERROR(取值!A57+F11,"")</f>
        <v>0</v>
      </c>
      <c r="H11" s="107">
        <v>18</v>
      </c>
      <c r="I11" s="106">
        <f>_xlfn.IFERROR(取值!A68+H11,"")</f>
        <v>452</v>
      </c>
      <c r="J11" s="108">
        <v>574.8</v>
      </c>
      <c r="K11" s="109">
        <f>_xlfn.IFERROR(取值!A79+J11,"")</f>
        <v>14651.72</v>
      </c>
    </row>
    <row customHeight="1" ht="20.25">
      <c r="A12" s="90"/>
      <c r="B12" s="105" t="s">
        <v>16</v>
      </c>
      <c r="C12" s="106" t="s">
        <v>12</v>
      </c>
      <c r="D12" s="107"/>
      <c r="E12" s="106">
        <f>_xlfn.IFERROR(取值!A47+D12,"")</f>
        <v>0</v>
      </c>
      <c r="F12" s="108"/>
      <c r="G12" s="106">
        <f>_xlfn.IFERROR(取值!A58+F12,"")</f>
        <v>0</v>
      </c>
      <c r="H12" s="107">
        <v>69</v>
      </c>
      <c r="I12" s="106">
        <f>_xlfn.IFERROR(取值!A69+H12,"")</f>
        <v>930</v>
      </c>
      <c r="J12" s="108">
        <v>2214.1</v>
      </c>
      <c r="K12" s="109">
        <f>_xlfn.IFERROR(取值!A80+J12,"")</f>
        <v>30187.72</v>
      </c>
    </row>
    <row customHeight="1" ht="20.25">
      <c r="A13" s="90"/>
      <c r="B13" s="105" t="s">
        <v>17</v>
      </c>
      <c r="C13" s="106" t="s">
        <v>12</v>
      </c>
      <c r="D13" s="107"/>
      <c r="E13" s="106">
        <f>_xlfn.IFERROR(取值!A48+D13,"")</f>
        <v>0</v>
      </c>
      <c r="F13" s="108"/>
      <c r="G13" s="106">
        <f>_xlfn.IFERROR(取值!A59+F13,"")</f>
        <v>0</v>
      </c>
      <c r="H13" s="107">
        <v>274</v>
      </c>
      <c r="I13" s="106">
        <f>_xlfn.IFERROR(取值!A70+H13,"")</f>
        <v>651</v>
      </c>
      <c r="J13" s="108">
        <v>8859.64</v>
      </c>
      <c r="K13" s="109">
        <f>_xlfn.IFERROR(取值!A81+J13,"")</f>
        <v>20988.42</v>
      </c>
    </row>
    <row customHeight="1" ht="20.25">
      <c r="A14" s="90"/>
      <c r="B14" s="105" t="s">
        <v>18</v>
      </c>
      <c r="C14" s="106" t="s">
        <v>19</v>
      </c>
      <c r="D14" s="107">
        <v>156</v>
      </c>
      <c r="E14" s="106">
        <f>_xlfn.IFERROR(取值!A49+D14,"")</f>
        <v>1788</v>
      </c>
      <c r="F14" s="108">
        <v>4803.36</v>
      </c>
      <c r="G14" s="106">
        <f>_xlfn.IFERROR(取值!A60+F14,"")</f>
        <v>55620.16</v>
      </c>
      <c r="H14" s="107"/>
      <c r="I14" s="106">
        <f>_xlfn.IFERROR(取值!A71+H14,"")</f>
        <v>0</v>
      </c>
      <c r="J14" s="108"/>
      <c r="K14" s="109">
        <f>_xlfn.IFERROR(取值!A82+J14,"")</f>
        <v>0</v>
      </c>
    </row>
    <row customHeight="1" ht="20.25">
      <c r="A15" s="90"/>
      <c r="B15" s="105" t="s">
        <v>20</v>
      </c>
      <c r="C15" s="106" t="s">
        <v>19</v>
      </c>
      <c r="D15" s="107">
        <v>0</v>
      </c>
      <c r="E15" s="106">
        <f>_xlfn.IFERROR(取值!A50+D15,"")</f>
        <v>388</v>
      </c>
      <c r="F15" s="108">
        <v>0</v>
      </c>
      <c r="G15" s="106">
        <f>_xlfn.IFERROR(取值!A61+F15,"")</f>
        <v>12183.98</v>
      </c>
      <c r="H15" s="107"/>
      <c r="I15" s="106">
        <f>_xlfn.IFERROR(取值!A72+H15,"")</f>
        <v>0</v>
      </c>
      <c r="J15" s="108"/>
      <c r="K15" s="109">
        <f>_xlfn.IFERROR(取值!A83+J15,"")</f>
        <v>0</v>
      </c>
    </row>
    <row customHeight="1" ht="20.25">
      <c r="A16" s="90"/>
      <c r="B16" s="105" t="s">
        <v>21</v>
      </c>
      <c r="C16" s="110" t="s">
        <v>19</v>
      </c>
      <c r="D16" s="107">
        <v>0</v>
      </c>
      <c r="E16" s="106">
        <f>_xlfn.IFERROR(取值!A51+D16,"")</f>
        <v>0</v>
      </c>
      <c r="F16" s="108">
        <v>0</v>
      </c>
      <c r="G16" s="106">
        <f>_xlfn.IFERROR(取值!A62+F16,"")</f>
        <v>0</v>
      </c>
      <c r="H16" s="107">
        <v>475</v>
      </c>
      <c r="I16" s="106">
        <f>_xlfn.IFERROR(取值!A73+H16,"")</f>
        <v>1549</v>
      </c>
      <c r="J16" s="108">
        <v>15169.68</v>
      </c>
      <c r="K16" s="109">
        <f>_xlfn.IFERROR(取值!A84+J16,"")</f>
        <v>49520.26</v>
      </c>
    </row>
    <row s="111" customFormat="1" customHeight="1" ht="20.25">
      <c r="A17" s="90"/>
      <c r="B17" s="112" t="s">
        <v>22</v>
      </c>
      <c r="C17" s="113" t="s">
        <v>12</v>
      </c>
      <c r="D17" s="114">
        <v>0</v>
      </c>
      <c r="E17" s="115">
        <f>_xlfn.IFERROR(取值!A90+D17,"")</f>
        <v>0</v>
      </c>
      <c r="F17" s="116">
        <v>0</v>
      </c>
      <c r="G17" s="115">
        <f>_xlfn.IFERROR(取值!A92+F17,"")</f>
        <v>0</v>
      </c>
      <c r="H17" s="114">
        <v>0</v>
      </c>
      <c r="I17" s="117">
        <f>取值!B102+H17</f>
        <v>0</v>
      </c>
      <c r="J17" s="116">
        <v>0</v>
      </c>
      <c r="K17" s="118">
        <f>J17+取值!B103</f>
        <v>0</v>
      </c>
    </row>
    <row s="119" customFormat="1" customHeight="1" ht="20.25">
      <c r="A18" s="90"/>
      <c r="B18" s="112" t="s">
        <v>22</v>
      </c>
      <c r="C18" s="113" t="s">
        <v>13</v>
      </c>
      <c r="D18" s="114">
        <v>0</v>
      </c>
      <c r="E18" s="115">
        <f>_xlfn.IFERROR(取值!A91+D18,"")</f>
        <v>0</v>
      </c>
      <c r="F18" s="116">
        <v>0</v>
      </c>
      <c r="G18" s="115">
        <f>_xlfn.IFERROR(取值!A93+F18,"")</f>
        <v>0</v>
      </c>
      <c r="H18" s="114"/>
      <c r="I18" s="115">
        <f>_xlfn.IFERROR(取值!A99+H18,"")</f>
        <v>0</v>
      </c>
      <c r="J18" s="116"/>
      <c r="K18" s="120">
        <f>_xlfn.IFERROR(取值!A101+J18,"")</f>
        <v>0</v>
      </c>
    </row>
    <row customHeight="1" ht="20.25">
      <c r="A19" s="90"/>
      <c r="B19" s="121" t="s">
        <v>23</v>
      </c>
      <c r="C19" s="122" t="s">
        <v>19</v>
      </c>
      <c r="D19" s="123"/>
      <c r="E19" s="122">
        <f>_xlfn.IFERROR(取值!A52+D19,"")</f>
        <v>0</v>
      </c>
      <c r="F19" s="124"/>
      <c r="G19" s="122">
        <f>_xlfn.IFERROR(取值!A63+F19,"")</f>
        <v>0</v>
      </c>
      <c r="H19" s="123"/>
      <c r="I19" s="122">
        <f>_xlfn.IFERROR(取值!A74+H19,"")</f>
        <v>0</v>
      </c>
      <c r="J19" s="124"/>
      <c r="K19" s="125">
        <f>_xlfn.IFERROR(取值!A85+J19,"")</f>
        <v>0</v>
      </c>
    </row>
    <row customHeight="1" ht="13.5">
      <c r="A20" s="90"/>
      <c r="B20" s="90"/>
      <c r="C20" s="126" t="s">
        <v>24</v>
      </c>
      <c r="D20" s="127">
        <v>0</v>
      </c>
      <c r="E20" s="128"/>
      <c r="F20" s="126" t="s">
        <v>25</v>
      </c>
      <c r="G20" s="127">
        <v>0</v>
      </c>
      <c r="H20" s="90"/>
      <c r="I20" s="126" t="s">
        <v>26</v>
      </c>
      <c r="J20" s="127">
        <v>0</v>
      </c>
      <c r="K20" s="90"/>
    </row>
  </sheetData>
  <mergeCells count="10">
    <mergeCell ref="G3:K3"/>
    <mergeCell ref="B2:K2"/>
    <mergeCell ref="B4:B6"/>
    <mergeCell ref="C4:C6"/>
    <mergeCell ref="D4:G4"/>
    <mergeCell ref="H4:K4"/>
    <mergeCell ref="D5:E5"/>
    <mergeCell ref="F5:G5"/>
    <mergeCell ref="H5:I5"/>
    <mergeCell ref="J5:K5"/>
  </mergeCells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E4061FB-5CA8-0678-24C3-7EBC45F7756D}" mc:Ignorable="x14ac xr xr2 xr3">
  <dimension ref="A1:I85"/>
  <sheetViews>
    <sheetView topLeftCell="A52" workbookViewId="0">
      <selection activeCell="I42" sqref="I42:I85"/>
    </sheetView>
  </sheetViews>
  <sheetFormatPr customHeight="1" defaultRowHeight="13.799999999999999"/>
  <cols>
    <col min="3" max="3" style="129" width="22.7109375" customWidth="1"/>
    <col min="6" max="6" style="129" width="15.8515625" customWidth="1"/>
    <col min="7" max="7" style="129" width="56.8515625" customWidth="1"/>
  </cols>
  <sheetData>
    <row customHeight="1" ht="14.25">
      <c r="A1" s="130" t="s">
        <v>27</v>
      </c>
      <c r="B1" s="131"/>
      <c r="C1" s="131" t="s">
        <v>28</v>
      </c>
      <c r="D1" s="131"/>
      <c r="E1" s="131" t="s">
        <v>29</v>
      </c>
      <c r="F1" s="131"/>
      <c r="G1" s="131" t="s">
        <v>30</v>
      </c>
      <c r="H1" s="131"/>
      <c r="I1" s="131" t="s">
        <v>31</v>
      </c>
    </row>
    <row customHeight="1" ht="14.25">
      <c r="A2" s="130" t="s">
        <v>32</v>
      </c>
      <c r="B2" s="131" t="s">
        <v>33</v>
      </c>
      <c r="C2" s="131" t="s">
        <v>34</v>
      </c>
      <c r="D2" s="131" t="s">
        <v>35</v>
      </c>
      <c r="E2" s="131" t="s">
        <v>36</v>
      </c>
      <c r="F2" s="131" t="s">
        <v>37</v>
      </c>
      <c r="G2" s="131" t="s">
        <v>38</v>
      </c>
      <c r="H2" s="131" t="s">
        <v>39</v>
      </c>
      <c r="I2" s="130" t="str">
        <f>A2&amp;B2&amp;C2&amp;D2&amp;E2&amp;F2&amp;G2&amp;H2</f>
        <v>#SQL("Yul_Trans_ByMonth","VALUE",":where{NAME=榆炼_油气储运车间日报表_1#渣油1_内调车数}")</v>
      </c>
    </row>
    <row customHeight="1" ht="14.25">
      <c r="A3" s="132" t="s">
        <v>32</v>
      </c>
      <c r="B3" s="131" t="s">
        <v>33</v>
      </c>
      <c r="C3" s="131" t="s">
        <v>34</v>
      </c>
      <c r="D3" s="131" t="s">
        <v>35</v>
      </c>
      <c r="E3" s="131" t="s">
        <v>36</v>
      </c>
      <c r="F3" s="131" t="s">
        <v>37</v>
      </c>
      <c r="G3" s="132" t="s">
        <v>40</v>
      </c>
      <c r="H3" s="131" t="s">
        <v>39</v>
      </c>
      <c r="I3" s="132" t="str">
        <f>A3&amp;B3&amp;C3&amp;D3&amp;E3&amp;F3&amp;G3&amp;H3</f>
        <v>#SQL("Yul_Trans_ByMonth","VALUE",":where{NAME=榆炼_油气储运车间日报表_1#渣油2_内调车数}")</v>
      </c>
    </row>
    <row customHeight="1" ht="14.25">
      <c r="A4" s="130" t="s">
        <v>32</v>
      </c>
      <c r="B4" s="131" t="s">
        <v>33</v>
      </c>
      <c r="C4" s="131" t="s">
        <v>34</v>
      </c>
      <c r="D4" s="131" t="s">
        <v>35</v>
      </c>
      <c r="E4" s="131" t="s">
        <v>36</v>
      </c>
      <c r="F4" s="131" t="s">
        <v>37</v>
      </c>
      <c r="G4" s="90" t="s">
        <v>41</v>
      </c>
      <c r="H4" s="131" t="s">
        <v>39</v>
      </c>
      <c r="I4" s="130" t="str">
        <f>A4&amp;B4&amp;C4&amp;D4&amp;E4&amp;F4&amp;G4&amp;H4</f>
        <v>#SQL("Yul_Trans_ByMonth","VALUE",":where{NAME=榆炼_油气储运车间日报表_原料液化气1_内调车数}")</v>
      </c>
    </row>
    <row customHeight="1" ht="14.25">
      <c r="A5" s="130" t="s">
        <v>32</v>
      </c>
      <c r="B5" s="131" t="s">
        <v>33</v>
      </c>
      <c r="C5" s="131" t="s">
        <v>34</v>
      </c>
      <c r="D5" s="131" t="s">
        <v>35</v>
      </c>
      <c r="E5" s="131" t="s">
        <v>36</v>
      </c>
      <c r="F5" s="131" t="s">
        <v>37</v>
      </c>
      <c r="G5" s="90" t="s">
        <v>42</v>
      </c>
      <c r="H5" s="131" t="s">
        <v>39</v>
      </c>
      <c r="I5" s="130" t="str">
        <f>A5&amp;B5&amp;C5&amp;D5&amp;E5&amp;F5&amp;G5&amp;H5</f>
        <v>#SQL("Yul_Trans_ByMonth","VALUE",":where{NAME=榆炼_油气储运车间日报表_液化石油气1_内调车数}")</v>
      </c>
    </row>
    <row customHeight="1" ht="14.25">
      <c r="A6" s="132" t="s">
        <v>32</v>
      </c>
      <c r="B6" s="131" t="s">
        <v>33</v>
      </c>
      <c r="C6" s="131" t="s">
        <v>34</v>
      </c>
      <c r="D6" s="131" t="s">
        <v>35</v>
      </c>
      <c r="E6" s="131" t="s">
        <v>36</v>
      </c>
      <c r="F6" s="131" t="s">
        <v>37</v>
      </c>
      <c r="G6" s="132" t="s">
        <v>43</v>
      </c>
      <c r="H6" s="131" t="s">
        <v>39</v>
      </c>
      <c r="I6" s="132" t="str">
        <f>A6&amp;B6&amp;C6&amp;D6&amp;E6&amp;F6&amp;G6&amp;H6</f>
        <v>#SQL("Yul_Trans_ByMonth","VALUE",":where{NAME=榆炼_油气储运车间日报表_二甲苯内调1_内调车数}")</v>
      </c>
    </row>
    <row customHeight="1" ht="14.25">
      <c r="A7" s="132" t="s">
        <v>32</v>
      </c>
      <c r="B7" s="131" t="s">
        <v>33</v>
      </c>
      <c r="C7" s="131" t="s">
        <v>34</v>
      </c>
      <c r="D7" s="131" t="s">
        <v>35</v>
      </c>
      <c r="E7" s="131" t="s">
        <v>36</v>
      </c>
      <c r="F7" s="131" t="s">
        <v>37</v>
      </c>
      <c r="G7" s="132" t="s">
        <v>44</v>
      </c>
      <c r="H7" s="131" t="s">
        <v>39</v>
      </c>
      <c r="I7" s="132" t="str">
        <f>A7&amp;B7&amp;C7&amp;D7&amp;E7&amp;F7&amp;G7&amp;H7</f>
        <v>#SQL("Yul_Trans_ByMonth","VALUE",":where{NAME=榆炼_油气储运车间日报表_二甲苯内调2_内调车数}")</v>
      </c>
    </row>
    <row customHeight="1" ht="14.25">
      <c r="A8" s="130" t="s">
        <v>32</v>
      </c>
      <c r="B8" s="131" t="s">
        <v>33</v>
      </c>
      <c r="C8" s="131" t="s">
        <v>34</v>
      </c>
      <c r="D8" s="131" t="s">
        <v>35</v>
      </c>
      <c r="E8" s="131" t="s">
        <v>36</v>
      </c>
      <c r="F8" s="131" t="s">
        <v>37</v>
      </c>
      <c r="G8" s="90" t="s">
        <v>45</v>
      </c>
      <c r="H8" s="131" t="s">
        <v>39</v>
      </c>
      <c r="I8" s="130" t="str">
        <f>A8&amp;B8&amp;C8&amp;D8&amp;E8&amp;F8&amp;G8&amp;H8</f>
        <v>#SQL("Yul_Trans_ByMonth","VALUE",":where{NAME=榆炼_油气储运车间日报表_常柴_内调车数}")</v>
      </c>
    </row>
    <row customHeight="1" ht="14.25">
      <c r="A9" s="130" t="s">
        <v>32</v>
      </c>
      <c r="B9" s="131" t="s">
        <v>33</v>
      </c>
      <c r="C9" s="131" t="s">
        <v>34</v>
      </c>
      <c r="D9" s="131" t="s">
        <v>35</v>
      </c>
      <c r="E9" s="131" t="s">
        <v>36</v>
      </c>
      <c r="F9" s="131" t="s">
        <v>37</v>
      </c>
      <c r="G9" s="90" t="s">
        <v>46</v>
      </c>
      <c r="H9" s="131" t="s">
        <v>39</v>
      </c>
      <c r="I9" s="130" t="str">
        <f>A9&amp;B9&amp;C9&amp;D9&amp;E9&amp;F9&amp;G9&amp;H9</f>
        <v>#SQL("Yul_Trans_ByMonth","VALUE",":where{NAME=榆炼_油气储运车间日报表_异辛烷_内调车数}")</v>
      </c>
    </row>
    <row customHeight="1" ht="14.25">
      <c r="A10" s="130" t="s">
        <v>32</v>
      </c>
      <c r="B10" s="131" t="s">
        <v>33</v>
      </c>
      <c r="C10" s="131" t="s">
        <v>34</v>
      </c>
      <c r="D10" s="131" t="s">
        <v>35</v>
      </c>
      <c r="E10" s="131" t="s">
        <v>36</v>
      </c>
      <c r="F10" s="131" t="s">
        <v>37</v>
      </c>
      <c r="G10" s="90" t="s">
        <v>47</v>
      </c>
      <c r="H10" s="131" t="s">
        <v>39</v>
      </c>
      <c r="I10" s="130" t="str">
        <f>A10&amp;B10&amp;C10&amp;D10&amp;E10&amp;F10&amp;G10&amp;H10</f>
        <v>#SQL("Yul_Trans_ByMonth","VALUE",":where{NAME=榆炼_油气储运车间日报表_MTBE1_内调车数}")</v>
      </c>
    </row>
    <row customHeight="1" ht="14.25">
      <c r="A11" s="130" t="s">
        <v>32</v>
      </c>
      <c r="B11" s="131" t="s">
        <v>33</v>
      </c>
      <c r="C11" s="131" t="s">
        <v>34</v>
      </c>
      <c r="D11" s="131" t="s">
        <v>35</v>
      </c>
      <c r="E11" s="131" t="s">
        <v>36</v>
      </c>
      <c r="F11" s="131" t="s">
        <v>37</v>
      </c>
      <c r="G11" s="90" t="s">
        <v>48</v>
      </c>
      <c r="H11" s="131" t="s">
        <v>39</v>
      </c>
      <c r="I11" s="130" t="str">
        <f>A11&amp;B11&amp;C11&amp;D11&amp;E11&amp;F11&amp;G11&amp;H11</f>
        <v>#SQL("Yul_Trans_ByMonth","VALUE",":where{NAME=榆炼_油气储运车间日报表_石脑油_内调车数}")</v>
      </c>
    </row>
    <row customHeight="1" ht="14.25">
      <c r="A12" s="130" t="s">
        <v>32</v>
      </c>
      <c r="B12" s="131" t="s">
        <v>33</v>
      </c>
      <c r="C12" s="131" t="s">
        <v>34</v>
      </c>
      <c r="D12" s="131" t="s">
        <v>35</v>
      </c>
      <c r="E12" s="131" t="s">
        <v>36</v>
      </c>
      <c r="F12" s="131" t="s">
        <v>37</v>
      </c>
      <c r="G12" s="131" t="s">
        <v>49</v>
      </c>
      <c r="H12" s="131" t="s">
        <v>39</v>
      </c>
      <c r="I12" s="130" t="str">
        <f>A12&amp;B12&amp;C12&amp;D12&amp;E12&amp;F12&amp;G12&amp;H12</f>
        <v>#SQL("Yul_Trans_ByMonth","VALUE",":where{NAME=榆炼_油气储运车间日报表_1#渣油1_内调吨位}")</v>
      </c>
    </row>
    <row customHeight="1" ht="14.25">
      <c r="A13" s="130" t="s">
        <v>32</v>
      </c>
      <c r="B13" s="131" t="s">
        <v>33</v>
      </c>
      <c r="C13" s="131" t="s">
        <v>34</v>
      </c>
      <c r="D13" s="131" t="s">
        <v>35</v>
      </c>
      <c r="E13" s="131" t="s">
        <v>36</v>
      </c>
      <c r="F13" s="131" t="s">
        <v>37</v>
      </c>
      <c r="G13" s="90" t="s">
        <v>50</v>
      </c>
      <c r="H13" s="131" t="s">
        <v>39</v>
      </c>
      <c r="I13" s="130" t="str">
        <f>A13&amp;B13&amp;C13&amp;D13&amp;E13&amp;F13&amp;G13&amp;H13</f>
        <v>#SQL("Yul_Trans_ByMonth","VALUE",":where{NAME=榆炼_油气储运车间日报表_1#渣油2_内调吨位}")</v>
      </c>
    </row>
    <row customHeight="1" ht="14.25">
      <c r="A14" s="130" t="s">
        <v>32</v>
      </c>
      <c r="B14" s="131" t="s">
        <v>33</v>
      </c>
      <c r="C14" s="131" t="s">
        <v>34</v>
      </c>
      <c r="D14" s="131" t="s">
        <v>35</v>
      </c>
      <c r="E14" s="131" t="s">
        <v>36</v>
      </c>
      <c r="F14" s="131" t="s">
        <v>37</v>
      </c>
      <c r="G14" s="90" t="s">
        <v>51</v>
      </c>
      <c r="H14" s="131" t="s">
        <v>39</v>
      </c>
      <c r="I14" s="130" t="str">
        <f>A14&amp;B14&amp;C14&amp;D14&amp;E14&amp;F14&amp;G14&amp;H14</f>
        <v>#SQL("Yul_Trans_ByMonth","VALUE",":where{NAME=榆炼_油气储运车间日报表_原料液化气1_内调吨位}")</v>
      </c>
    </row>
    <row customHeight="1" ht="14.25">
      <c r="A15" s="130" t="s">
        <v>32</v>
      </c>
      <c r="B15" s="131" t="s">
        <v>33</v>
      </c>
      <c r="C15" s="131" t="s">
        <v>34</v>
      </c>
      <c r="D15" s="131" t="s">
        <v>35</v>
      </c>
      <c r="E15" s="131" t="s">
        <v>36</v>
      </c>
      <c r="F15" s="131" t="s">
        <v>37</v>
      </c>
      <c r="G15" s="90" t="s">
        <v>52</v>
      </c>
      <c r="H15" s="131" t="s">
        <v>39</v>
      </c>
      <c r="I15" s="130" t="str">
        <f>A15&amp;B15&amp;C15&amp;D15&amp;E15&amp;F15&amp;G15&amp;H15</f>
        <v>#SQL("Yul_Trans_ByMonth","VALUE",":where{NAME=榆炼_油气储运车间日报表_液化石油气1_内调吨位}")</v>
      </c>
    </row>
    <row customHeight="1" ht="14.25">
      <c r="A16" s="130" t="s">
        <v>32</v>
      </c>
      <c r="B16" s="131" t="s">
        <v>33</v>
      </c>
      <c r="C16" s="131" t="s">
        <v>34</v>
      </c>
      <c r="D16" s="131" t="s">
        <v>35</v>
      </c>
      <c r="E16" s="131" t="s">
        <v>36</v>
      </c>
      <c r="F16" s="131" t="s">
        <v>37</v>
      </c>
      <c r="G16" s="90" t="s">
        <v>53</v>
      </c>
      <c r="H16" s="131" t="s">
        <v>39</v>
      </c>
      <c r="I16" s="130" t="str">
        <f>A16&amp;B16&amp;C16&amp;D16&amp;E16&amp;F16&amp;G16&amp;H16</f>
        <v>#SQL("Yul_Trans_ByMonth","VALUE",":where{NAME=榆炼_油气储运车间日报表_二甲苯内调1_内调吨位}")</v>
      </c>
    </row>
    <row customHeight="1" ht="14.25">
      <c r="A17" s="130" t="s">
        <v>32</v>
      </c>
      <c r="B17" s="131" t="s">
        <v>33</v>
      </c>
      <c r="C17" s="131" t="s">
        <v>34</v>
      </c>
      <c r="D17" s="131" t="s">
        <v>35</v>
      </c>
      <c r="E17" s="131" t="s">
        <v>36</v>
      </c>
      <c r="F17" s="131" t="s">
        <v>37</v>
      </c>
      <c r="G17" s="90" t="s">
        <v>54</v>
      </c>
      <c r="H17" s="131" t="s">
        <v>39</v>
      </c>
      <c r="I17" s="130" t="str">
        <f>A17&amp;B17&amp;C17&amp;D17&amp;E17&amp;F17&amp;G17&amp;H17</f>
        <v>#SQL("Yul_Trans_ByMonth","VALUE",":where{NAME=榆炼_油气储运车间日报表_二甲苯内调2_内调吨位}")</v>
      </c>
    </row>
    <row customHeight="1" ht="14.25">
      <c r="A18" s="130" t="s">
        <v>32</v>
      </c>
      <c r="B18" s="131" t="s">
        <v>33</v>
      </c>
      <c r="C18" s="131" t="s">
        <v>34</v>
      </c>
      <c r="D18" s="131" t="s">
        <v>35</v>
      </c>
      <c r="E18" s="131" t="s">
        <v>36</v>
      </c>
      <c r="F18" s="131" t="s">
        <v>37</v>
      </c>
      <c r="G18" s="90" t="s">
        <v>55</v>
      </c>
      <c r="H18" s="131" t="s">
        <v>39</v>
      </c>
      <c r="I18" s="130" t="str">
        <f>A18&amp;B18&amp;C18&amp;D18&amp;E18&amp;F18&amp;G18&amp;H18</f>
        <v>#SQL("Yul_Trans_ByMonth","VALUE",":where{NAME=榆炼_油气储运车间日报表_常柴_内调吨位}")</v>
      </c>
    </row>
    <row customHeight="1" ht="14.25">
      <c r="A19" s="130" t="s">
        <v>32</v>
      </c>
      <c r="B19" s="131" t="s">
        <v>33</v>
      </c>
      <c r="C19" s="131" t="s">
        <v>34</v>
      </c>
      <c r="D19" s="131" t="s">
        <v>35</v>
      </c>
      <c r="E19" s="131" t="s">
        <v>36</v>
      </c>
      <c r="F19" s="131" t="s">
        <v>37</v>
      </c>
      <c r="G19" s="90" t="s">
        <v>56</v>
      </c>
      <c r="H19" s="131" t="s">
        <v>39</v>
      </c>
      <c r="I19" s="130" t="str">
        <f>A19&amp;B19&amp;C19&amp;D19&amp;E19&amp;F19&amp;G19&amp;H19</f>
        <v>#SQL("Yul_Trans_ByMonth","VALUE",":where{NAME=榆炼_油气储运车间日报表_异辛烷_内调吨位}")</v>
      </c>
    </row>
    <row customHeight="1" ht="14.25">
      <c r="A20" s="130" t="s">
        <v>32</v>
      </c>
      <c r="B20" s="131" t="s">
        <v>33</v>
      </c>
      <c r="C20" s="131" t="s">
        <v>34</v>
      </c>
      <c r="D20" s="131" t="s">
        <v>35</v>
      </c>
      <c r="E20" s="131" t="s">
        <v>36</v>
      </c>
      <c r="F20" s="131" t="s">
        <v>37</v>
      </c>
      <c r="G20" s="90" t="s">
        <v>57</v>
      </c>
      <c r="H20" s="131" t="s">
        <v>39</v>
      </c>
      <c r="I20" s="130" t="str">
        <f>A20&amp;B20&amp;C20&amp;D20&amp;E20&amp;F20&amp;G20&amp;H20</f>
        <v>#SQL("Yul_Trans_ByMonth","VALUE",":where{NAME=榆炼_油气储运车间日报表_MTBE1_内调吨位}")</v>
      </c>
    </row>
    <row customHeight="1" ht="14.25">
      <c r="A21" s="130" t="s">
        <v>32</v>
      </c>
      <c r="B21" s="131" t="s">
        <v>33</v>
      </c>
      <c r="C21" s="131" t="s">
        <v>34</v>
      </c>
      <c r="D21" s="131" t="s">
        <v>35</v>
      </c>
      <c r="E21" s="131" t="s">
        <v>36</v>
      </c>
      <c r="F21" s="131" t="s">
        <v>37</v>
      </c>
      <c r="G21" s="90" t="s">
        <v>58</v>
      </c>
      <c r="H21" s="131" t="s">
        <v>39</v>
      </c>
      <c r="I21" s="130" t="str">
        <f>A21&amp;B21&amp;C21&amp;D21&amp;E21&amp;F21&amp;G21&amp;H21</f>
        <v>#SQL("Yul_Trans_ByMonth","VALUE",":where{NAME=榆炼_油气储运车间日报表_石脑油_内调吨位}")</v>
      </c>
    </row>
    <row customHeight="1" ht="14.25">
      <c r="A22" s="130" t="s">
        <v>32</v>
      </c>
      <c r="B22" s="131" t="s">
        <v>33</v>
      </c>
      <c r="C22" s="131" t="s">
        <v>34</v>
      </c>
      <c r="D22" s="131" t="s">
        <v>35</v>
      </c>
      <c r="E22" s="131" t="s">
        <v>36</v>
      </c>
      <c r="F22" s="131" t="s">
        <v>37</v>
      </c>
      <c r="G22" s="131" t="s">
        <v>59</v>
      </c>
      <c r="H22" s="131" t="s">
        <v>39</v>
      </c>
      <c r="I22" s="130" t="str">
        <f>A22&amp;B22&amp;C22&amp;D22&amp;E22&amp;F22&amp;G22&amp;H22</f>
        <v>#SQL("Yul_Trans_ByMonth","VALUE",":where{NAME=榆炼_油气储运车间日报表_1#渣油1_外销车数}")</v>
      </c>
    </row>
    <row customHeight="1" ht="14.25">
      <c r="A23" s="130" t="s">
        <v>32</v>
      </c>
      <c r="B23" s="131" t="s">
        <v>33</v>
      </c>
      <c r="C23" s="131" t="s">
        <v>34</v>
      </c>
      <c r="D23" s="131" t="s">
        <v>35</v>
      </c>
      <c r="E23" s="131" t="s">
        <v>36</v>
      </c>
      <c r="F23" s="131" t="s">
        <v>37</v>
      </c>
      <c r="G23" s="90" t="s">
        <v>60</v>
      </c>
      <c r="H23" s="131" t="s">
        <v>39</v>
      </c>
      <c r="I23" s="130" t="str">
        <f>A23&amp;B23&amp;C23&amp;D23&amp;E23&amp;F23&amp;G23&amp;H23</f>
        <v>#SQL("Yul_Trans_ByMonth","VALUE",":where{NAME=榆炼_油气储运车间日报表_1#渣油2_外销车数}")</v>
      </c>
    </row>
    <row customHeight="1" ht="14.25">
      <c r="A24" s="130" t="s">
        <v>32</v>
      </c>
      <c r="B24" s="131" t="s">
        <v>33</v>
      </c>
      <c r="C24" s="131" t="s">
        <v>34</v>
      </c>
      <c r="D24" s="131" t="s">
        <v>35</v>
      </c>
      <c r="E24" s="131" t="s">
        <v>36</v>
      </c>
      <c r="F24" s="131" t="s">
        <v>37</v>
      </c>
      <c r="G24" s="90" t="s">
        <v>61</v>
      </c>
      <c r="H24" s="131" t="s">
        <v>39</v>
      </c>
      <c r="I24" s="130" t="str">
        <f>A24&amp;B24&amp;C24&amp;D24&amp;E24&amp;F24&amp;G24&amp;H24</f>
        <v>#SQL("Yul_Trans_ByMonth","VALUE",":where{NAME=榆炼_油气储运车间日报表_原料液化气1_外销车数}")</v>
      </c>
    </row>
    <row customHeight="1" ht="14.25">
      <c r="A25" s="130" t="s">
        <v>32</v>
      </c>
      <c r="B25" s="131" t="s">
        <v>33</v>
      </c>
      <c r="C25" s="131" t="s">
        <v>34</v>
      </c>
      <c r="D25" s="131" t="s">
        <v>35</v>
      </c>
      <c r="E25" s="131" t="s">
        <v>36</v>
      </c>
      <c r="F25" s="131" t="s">
        <v>37</v>
      </c>
      <c r="G25" s="90" t="s">
        <v>62</v>
      </c>
      <c r="H25" s="131" t="s">
        <v>39</v>
      </c>
      <c r="I25" s="130" t="str">
        <f>A25&amp;B25&amp;C25&amp;D25&amp;E25&amp;F25&amp;G25&amp;H25</f>
        <v>#SQL("Yul_Trans_ByMonth","VALUE",":where{NAME=榆炼_油气储运车间日报表_液化石油气1_外销车数}")</v>
      </c>
    </row>
    <row customHeight="1" ht="14.25">
      <c r="A26" s="130" t="s">
        <v>32</v>
      </c>
      <c r="B26" s="131" t="s">
        <v>33</v>
      </c>
      <c r="C26" s="131" t="s">
        <v>34</v>
      </c>
      <c r="D26" s="131" t="s">
        <v>35</v>
      </c>
      <c r="E26" s="131" t="s">
        <v>36</v>
      </c>
      <c r="F26" s="131" t="s">
        <v>37</v>
      </c>
      <c r="G26" s="90" t="s">
        <v>63</v>
      </c>
      <c r="H26" s="131" t="s">
        <v>39</v>
      </c>
      <c r="I26" s="130" t="str">
        <f>A26&amp;B26&amp;C26&amp;D26&amp;E26&amp;F26&amp;G26&amp;H26</f>
        <v>#SQL("Yul_Trans_ByMonth","VALUE",":where{NAME=榆炼_油气储运车间日报表_二甲苯内调1_外销车数}")</v>
      </c>
    </row>
    <row customHeight="1" ht="14.25">
      <c r="A27" s="130" t="s">
        <v>32</v>
      </c>
      <c r="B27" s="131" t="s">
        <v>33</v>
      </c>
      <c r="C27" s="131" t="s">
        <v>34</v>
      </c>
      <c r="D27" s="131" t="s">
        <v>35</v>
      </c>
      <c r="E27" s="131" t="s">
        <v>36</v>
      </c>
      <c r="F27" s="131" t="s">
        <v>37</v>
      </c>
      <c r="G27" s="90" t="s">
        <v>64</v>
      </c>
      <c r="H27" s="131" t="s">
        <v>39</v>
      </c>
      <c r="I27" s="130" t="str">
        <f>A27&amp;B27&amp;C27&amp;D27&amp;E27&amp;F27&amp;G27&amp;H27</f>
        <v>#SQL("Yul_Trans_ByMonth","VALUE",":where{NAME=榆炼_油气储运车间日报表_二甲苯内调2_外销车数}")</v>
      </c>
    </row>
    <row customHeight="1" ht="14.25">
      <c r="A28" s="130" t="s">
        <v>32</v>
      </c>
      <c r="B28" s="131" t="s">
        <v>33</v>
      </c>
      <c r="C28" s="131" t="s">
        <v>34</v>
      </c>
      <c r="D28" s="131" t="s">
        <v>35</v>
      </c>
      <c r="E28" s="131" t="s">
        <v>36</v>
      </c>
      <c r="F28" s="131" t="s">
        <v>37</v>
      </c>
      <c r="G28" s="90" t="s">
        <v>65</v>
      </c>
      <c r="H28" s="131" t="s">
        <v>39</v>
      </c>
      <c r="I28" s="130" t="str">
        <f>A28&amp;B28&amp;C28&amp;D28&amp;E28&amp;F28&amp;G28&amp;H28</f>
        <v>#SQL("Yul_Trans_ByMonth","VALUE",":where{NAME=榆炼_油气储运车间日报表_常柴_外销车数}")</v>
      </c>
    </row>
    <row customHeight="1" ht="14.25">
      <c r="A29" s="130" t="s">
        <v>32</v>
      </c>
      <c r="B29" s="131" t="s">
        <v>33</v>
      </c>
      <c r="C29" s="131" t="s">
        <v>34</v>
      </c>
      <c r="D29" s="131" t="s">
        <v>35</v>
      </c>
      <c r="E29" s="131" t="s">
        <v>36</v>
      </c>
      <c r="F29" s="131" t="s">
        <v>37</v>
      </c>
      <c r="G29" s="90" t="s">
        <v>66</v>
      </c>
      <c r="H29" s="131" t="s">
        <v>39</v>
      </c>
      <c r="I29" s="130" t="str">
        <f>A29&amp;B29&amp;C29&amp;D29&amp;E29&amp;F29&amp;G29&amp;H29</f>
        <v>#SQL("Yul_Trans_ByMonth","VALUE",":where{NAME=榆炼_油气储运车间日报表_异辛烷_外销车数}")</v>
      </c>
    </row>
    <row customHeight="1" ht="14.25">
      <c r="A30" s="130" t="s">
        <v>32</v>
      </c>
      <c r="B30" s="131" t="s">
        <v>33</v>
      </c>
      <c r="C30" s="131" t="s">
        <v>34</v>
      </c>
      <c r="D30" s="131" t="s">
        <v>35</v>
      </c>
      <c r="E30" s="131" t="s">
        <v>36</v>
      </c>
      <c r="F30" s="131" t="s">
        <v>37</v>
      </c>
      <c r="G30" s="90" t="s">
        <v>67</v>
      </c>
      <c r="H30" s="131" t="s">
        <v>39</v>
      </c>
      <c r="I30" s="130" t="str">
        <f>A30&amp;B30&amp;C30&amp;D30&amp;E30&amp;F30&amp;G30&amp;H30</f>
        <v>#SQL("Yul_Trans_ByMonth","VALUE",":where{NAME=榆炼_油气储运车间日报表_MTBE1_外销车数}")</v>
      </c>
    </row>
    <row customHeight="1" ht="14.25">
      <c r="A31" s="130" t="s">
        <v>32</v>
      </c>
      <c r="B31" s="131" t="s">
        <v>33</v>
      </c>
      <c r="C31" s="131" t="s">
        <v>34</v>
      </c>
      <c r="D31" s="131" t="s">
        <v>35</v>
      </c>
      <c r="E31" s="131" t="s">
        <v>36</v>
      </c>
      <c r="F31" s="131" t="s">
        <v>37</v>
      </c>
      <c r="G31" s="90" t="s">
        <v>68</v>
      </c>
      <c r="H31" s="131" t="s">
        <v>39</v>
      </c>
      <c r="I31" s="130" t="str">
        <f>A31&amp;B31&amp;C31&amp;D31&amp;E31&amp;F31&amp;G31&amp;H31</f>
        <v>#SQL("Yul_Trans_ByMonth","VALUE",":where{NAME=榆炼_油气储运车间日报表_石脑油_外销车数}")</v>
      </c>
    </row>
    <row customHeight="1" ht="14.25">
      <c r="A32" s="130" t="s">
        <v>32</v>
      </c>
      <c r="B32" s="131" t="s">
        <v>33</v>
      </c>
      <c r="C32" s="131" t="s">
        <v>34</v>
      </c>
      <c r="D32" s="131" t="s">
        <v>35</v>
      </c>
      <c r="E32" s="131" t="s">
        <v>36</v>
      </c>
      <c r="F32" s="131" t="s">
        <v>37</v>
      </c>
      <c r="G32" s="131" t="s">
        <v>69</v>
      </c>
      <c r="H32" s="131" t="s">
        <v>39</v>
      </c>
      <c r="I32" s="130" t="str">
        <f>A32&amp;B32&amp;C32&amp;D32&amp;E32&amp;F32&amp;G32&amp;H32</f>
        <v>#SQL("Yul_Trans_ByMonth","VALUE",":where{NAME=榆炼_油气储运车间日报表_1#渣油1_外销吨位}")</v>
      </c>
    </row>
    <row customHeight="1" ht="14.25">
      <c r="A33" s="130" t="s">
        <v>32</v>
      </c>
      <c r="B33" s="131" t="s">
        <v>33</v>
      </c>
      <c r="C33" s="131" t="s">
        <v>34</v>
      </c>
      <c r="D33" s="131" t="s">
        <v>35</v>
      </c>
      <c r="E33" s="131" t="s">
        <v>36</v>
      </c>
      <c r="F33" s="131" t="s">
        <v>37</v>
      </c>
      <c r="G33" s="90" t="s">
        <v>70</v>
      </c>
      <c r="H33" s="131" t="s">
        <v>39</v>
      </c>
      <c r="I33" s="130" t="str">
        <f>A33&amp;B33&amp;C33&amp;D33&amp;E33&amp;F33&amp;G33&amp;H33</f>
        <v>#SQL("Yul_Trans_ByMonth","VALUE",":where{NAME=榆炼_油气储运车间日报表_1#渣油2_外销吨位}")</v>
      </c>
    </row>
    <row customHeight="1" ht="14.25">
      <c r="A34" s="130" t="s">
        <v>32</v>
      </c>
      <c r="B34" s="131" t="s">
        <v>33</v>
      </c>
      <c r="C34" s="131" t="s">
        <v>34</v>
      </c>
      <c r="D34" s="131" t="s">
        <v>35</v>
      </c>
      <c r="E34" s="131" t="s">
        <v>36</v>
      </c>
      <c r="F34" s="131" t="s">
        <v>37</v>
      </c>
      <c r="G34" s="90" t="s">
        <v>71</v>
      </c>
      <c r="H34" s="131" t="s">
        <v>39</v>
      </c>
      <c r="I34" s="130" t="str">
        <f>A34&amp;B34&amp;C34&amp;D34&amp;E34&amp;F34&amp;G34&amp;H34</f>
        <v>#SQL("Yul_Trans_ByMonth","VALUE",":where{NAME=榆炼_油气储运车间日报表_原料液化气1_外销吨位}")</v>
      </c>
    </row>
    <row customHeight="1" ht="14.25">
      <c r="A35" s="130" t="s">
        <v>32</v>
      </c>
      <c r="B35" s="131" t="s">
        <v>33</v>
      </c>
      <c r="C35" s="131" t="s">
        <v>34</v>
      </c>
      <c r="D35" s="131" t="s">
        <v>35</v>
      </c>
      <c r="E35" s="131" t="s">
        <v>36</v>
      </c>
      <c r="F35" s="131" t="s">
        <v>37</v>
      </c>
      <c r="G35" s="90" t="s">
        <v>72</v>
      </c>
      <c r="H35" s="131" t="s">
        <v>39</v>
      </c>
      <c r="I35" s="130" t="str">
        <f>A35&amp;B35&amp;C35&amp;D35&amp;E35&amp;F35&amp;G35&amp;H35</f>
        <v>#SQL("Yul_Trans_ByMonth","VALUE",":where{NAME=榆炼_油气储运车间日报表_液化石油气1_外销吨位}")</v>
      </c>
    </row>
    <row customHeight="1" ht="14.25">
      <c r="A36" s="130" t="s">
        <v>32</v>
      </c>
      <c r="B36" s="131" t="s">
        <v>33</v>
      </c>
      <c r="C36" s="131" t="s">
        <v>34</v>
      </c>
      <c r="D36" s="131" t="s">
        <v>35</v>
      </c>
      <c r="E36" s="131" t="s">
        <v>36</v>
      </c>
      <c r="F36" s="131" t="s">
        <v>37</v>
      </c>
      <c r="G36" s="90" t="s">
        <v>73</v>
      </c>
      <c r="H36" s="131" t="s">
        <v>39</v>
      </c>
      <c r="I36" s="130" t="str">
        <f>A36&amp;B36&amp;C36&amp;D36&amp;E36&amp;F36&amp;G36&amp;H36</f>
        <v>#SQL("Yul_Trans_ByMonth","VALUE",":where{NAME=榆炼_油气储运车间日报表_二甲苯内调1_外销吨位}")</v>
      </c>
    </row>
    <row customHeight="1" ht="14.25">
      <c r="A37" s="130" t="s">
        <v>32</v>
      </c>
      <c r="B37" s="131" t="s">
        <v>33</v>
      </c>
      <c r="C37" s="131" t="s">
        <v>34</v>
      </c>
      <c r="D37" s="131" t="s">
        <v>35</v>
      </c>
      <c r="E37" s="131" t="s">
        <v>36</v>
      </c>
      <c r="F37" s="131" t="s">
        <v>37</v>
      </c>
      <c r="G37" s="90" t="s">
        <v>74</v>
      </c>
      <c r="H37" s="131" t="s">
        <v>39</v>
      </c>
      <c r="I37" s="130" t="str">
        <f>A37&amp;B37&amp;C37&amp;D37&amp;E37&amp;F37&amp;G37&amp;H37</f>
        <v>#SQL("Yul_Trans_ByMonth","VALUE",":where{NAME=榆炼_油气储运车间日报表_二甲苯内调2_外销吨位}")</v>
      </c>
    </row>
    <row customHeight="1" ht="14.25">
      <c r="A38" s="130" t="s">
        <v>32</v>
      </c>
      <c r="B38" s="131" t="s">
        <v>33</v>
      </c>
      <c r="C38" s="131" t="s">
        <v>34</v>
      </c>
      <c r="D38" s="131" t="s">
        <v>35</v>
      </c>
      <c r="E38" s="131" t="s">
        <v>36</v>
      </c>
      <c r="F38" s="131" t="s">
        <v>37</v>
      </c>
      <c r="G38" s="90" t="s">
        <v>75</v>
      </c>
      <c r="H38" s="131" t="s">
        <v>39</v>
      </c>
      <c r="I38" s="130" t="str">
        <f>A38&amp;B38&amp;C38&amp;D38&amp;E38&amp;F38&amp;G38&amp;H38</f>
        <v>#SQL("Yul_Trans_ByMonth","VALUE",":where{NAME=榆炼_油气储运车间日报表_常柴_外销吨位}")</v>
      </c>
    </row>
    <row customHeight="1" ht="14.25">
      <c r="A39" s="130" t="s">
        <v>32</v>
      </c>
      <c r="B39" s="131" t="s">
        <v>33</v>
      </c>
      <c r="C39" s="131" t="s">
        <v>34</v>
      </c>
      <c r="D39" s="131" t="s">
        <v>35</v>
      </c>
      <c r="E39" s="131" t="s">
        <v>36</v>
      </c>
      <c r="F39" s="131" t="s">
        <v>37</v>
      </c>
      <c r="G39" s="90" t="s">
        <v>76</v>
      </c>
      <c r="H39" s="131" t="s">
        <v>39</v>
      </c>
      <c r="I39" s="130" t="str">
        <f>A39&amp;B39&amp;C39&amp;D39&amp;E39&amp;F39&amp;G39&amp;H39</f>
        <v>#SQL("Yul_Trans_ByMonth","VALUE",":where{NAME=榆炼_油气储运车间日报表_异辛烷_外销吨位}")</v>
      </c>
    </row>
    <row customHeight="1" ht="14.25">
      <c r="A40" s="130" t="s">
        <v>32</v>
      </c>
      <c r="B40" s="131" t="s">
        <v>33</v>
      </c>
      <c r="C40" s="131" t="s">
        <v>34</v>
      </c>
      <c r="D40" s="131" t="s">
        <v>35</v>
      </c>
      <c r="E40" s="131" t="s">
        <v>36</v>
      </c>
      <c r="F40" s="131" t="s">
        <v>37</v>
      </c>
      <c r="G40" s="90" t="s">
        <v>77</v>
      </c>
      <c r="H40" s="131" t="s">
        <v>39</v>
      </c>
      <c r="I40" s="130" t="str">
        <f>A40&amp;B40&amp;C40&amp;D40&amp;E40&amp;F40&amp;G40&amp;H40</f>
        <v>#SQL("Yul_Trans_ByMonth","VALUE",":where{NAME=榆炼_油气储运车间日报表_MTBE1_外销吨位}")</v>
      </c>
    </row>
    <row customHeight="1" ht="14.25">
      <c r="A41" s="130" t="s">
        <v>32</v>
      </c>
      <c r="B41" s="131" t="s">
        <v>33</v>
      </c>
      <c r="C41" s="131" t="s">
        <v>34</v>
      </c>
      <c r="D41" s="131" t="s">
        <v>35</v>
      </c>
      <c r="E41" s="131" t="s">
        <v>36</v>
      </c>
      <c r="F41" s="131" t="s">
        <v>37</v>
      </c>
      <c r="G41" s="90" t="s">
        <v>78</v>
      </c>
      <c r="H41" s="131" t="s">
        <v>39</v>
      </c>
      <c r="I41" s="130" t="str">
        <f>A41&amp;B41&amp;C41&amp;D41&amp;E41&amp;F41&amp;G41&amp;H41</f>
        <v>#SQL("Yul_Trans_ByMonth","VALUE",":where{NAME=榆炼_油气储运车间日报表_石脑油_外销吨位}")</v>
      </c>
    </row>
    <row customHeight="1" ht="14.25">
      <c r="A42" s="130" t="s">
        <v>32</v>
      </c>
      <c r="B42" s="131" t="s">
        <v>33</v>
      </c>
      <c r="C42" s="131" t="s">
        <v>79</v>
      </c>
      <c r="D42" s="131" t="s">
        <v>35</v>
      </c>
      <c r="E42" s="131" t="s">
        <v>36</v>
      </c>
      <c r="F42" s="131" t="s">
        <v>37</v>
      </c>
      <c r="G42" s="131" t="s">
        <v>80</v>
      </c>
      <c r="H42" s="131" t="s">
        <v>39</v>
      </c>
      <c r="I42" s="130" t="str">
        <f>A42&amp;B42&amp;C42&amp;D42&amp;E42&amp;F42&amp;G42&amp;H42</f>
        <v>#SQL("Yul_Trans_ByMonth_SUM","VALUE",":where{NAME=榆炼_生产计划部_调运月报_调入_车次_1#渣油_永坪炼油厂}")</v>
      </c>
    </row>
    <row customHeight="1" ht="14.25">
      <c r="A43" s="130" t="s">
        <v>32</v>
      </c>
      <c r="B43" s="131" t="s">
        <v>33</v>
      </c>
      <c r="C43" s="131" t="s">
        <v>79</v>
      </c>
      <c r="D43" s="131" t="s">
        <v>35</v>
      </c>
      <c r="E43" s="131" t="s">
        <v>36</v>
      </c>
      <c r="F43" s="131" t="s">
        <v>37</v>
      </c>
      <c r="G43" s="131" t="s">
        <v>81</v>
      </c>
      <c r="H43" s="131" t="s">
        <v>39</v>
      </c>
      <c r="I43" s="130" t="str">
        <f>A43&amp;B43&amp;C43&amp;D43&amp;E43&amp;F43&amp;G43&amp;H43</f>
        <v>#SQL("Yul_Trans_ByMonth_SUM","VALUE",":where{NAME=榆炼_生产计划部_调运月报_调入_车次_1#渣油_延安炼油厂}")</v>
      </c>
    </row>
    <row customHeight="1" ht="14.25">
      <c r="A44" s="130" t="s">
        <v>32</v>
      </c>
      <c r="B44" s="131" t="s">
        <v>33</v>
      </c>
      <c r="C44" s="131" t="s">
        <v>79</v>
      </c>
      <c r="D44" s="131" t="s">
        <v>35</v>
      </c>
      <c r="E44" s="131" t="s">
        <v>36</v>
      </c>
      <c r="F44" s="131" t="s">
        <v>37</v>
      </c>
      <c r="G44" s="131" t="s">
        <v>82</v>
      </c>
      <c r="H44" s="131" t="s">
        <v>39</v>
      </c>
      <c r="I44" s="130" t="str">
        <f>A44&amp;B44&amp;C44&amp;D44&amp;E44&amp;F44&amp;G44&amp;H44</f>
        <v>#SQL("Yul_Trans_ByMonth_SUM","VALUE",":where{NAME=榆炼_生产计划部_调运月报_调入_车次_原料液化气_延安炼油厂}")</v>
      </c>
    </row>
    <row customHeight="1" ht="14.25">
      <c r="A45" s="130" t="s">
        <v>32</v>
      </c>
      <c r="B45" s="131" t="s">
        <v>33</v>
      </c>
      <c r="C45" s="131" t="s">
        <v>79</v>
      </c>
      <c r="D45" s="131" t="s">
        <v>35</v>
      </c>
      <c r="E45" s="131" t="s">
        <v>36</v>
      </c>
      <c r="F45" s="131" t="s">
        <v>37</v>
      </c>
      <c r="G45" s="131" t="s">
        <v>83</v>
      </c>
      <c r="H45" s="131" t="s">
        <v>39</v>
      </c>
      <c r="I45" s="130" t="str">
        <f>A45&amp;B45&amp;C45&amp;D45&amp;E45&amp;F45&amp;G45&amp;H45</f>
        <v>#SQL("Yul_Trans_ByMonth_SUM","VALUE",":where{NAME=榆炼_生产计划部_调运月报_调入_车次_饱和液化气_延安炼油厂}")</v>
      </c>
    </row>
    <row customHeight="1" ht="14.25">
      <c r="A46" s="130" t="s">
        <v>32</v>
      </c>
      <c r="B46" s="131" t="s">
        <v>33</v>
      </c>
      <c r="C46" s="131" t="s">
        <v>79</v>
      </c>
      <c r="D46" s="131" t="s">
        <v>35</v>
      </c>
      <c r="E46" s="131" t="s">
        <v>36</v>
      </c>
      <c r="F46" s="131" t="s">
        <v>37</v>
      </c>
      <c r="G46" s="131" t="s">
        <v>84</v>
      </c>
      <c r="H46" s="131" t="s">
        <v>39</v>
      </c>
      <c r="I46" s="130" t="str">
        <f>A46&amp;B46&amp;C46&amp;D46&amp;E46&amp;F46&amp;G46&amp;H46</f>
        <v>#SQL("Yul_Trans_ByMonth_SUM","VALUE",":where{NAME=榆炼_生产计划部_调运月报_调入_车次_二甲苯_延安炼油厂}")</v>
      </c>
    </row>
    <row customHeight="1" ht="14.25">
      <c r="A47" s="130" t="s">
        <v>32</v>
      </c>
      <c r="B47" s="131" t="s">
        <v>33</v>
      </c>
      <c r="C47" s="131" t="s">
        <v>79</v>
      </c>
      <c r="D47" s="131" t="s">
        <v>35</v>
      </c>
      <c r="E47" s="131" t="s">
        <v>36</v>
      </c>
      <c r="F47" s="131" t="s">
        <v>37</v>
      </c>
      <c r="G47" s="131" t="s">
        <v>85</v>
      </c>
      <c r="H47" s="131" t="s">
        <v>39</v>
      </c>
      <c r="I47" s="130" t="str">
        <f>A47&amp;B47&amp;C47&amp;D47&amp;E47&amp;F47&amp;G47&amp;H47</f>
        <v>#SQL("Yul_Trans_ByMonth_SUM","VALUE",":where{NAME=榆炼_生产计划部_调运月报_调入_车次_二甲苯_永坪炼油厂}")</v>
      </c>
    </row>
    <row customHeight="1" ht="14.25">
      <c r="A48" s="130" t="s">
        <v>32</v>
      </c>
      <c r="B48" s="131" t="s">
        <v>33</v>
      </c>
      <c r="C48" s="131" t="s">
        <v>79</v>
      </c>
      <c r="D48" s="131" t="s">
        <v>35</v>
      </c>
      <c r="E48" s="131" t="s">
        <v>36</v>
      </c>
      <c r="F48" s="131" t="s">
        <v>37</v>
      </c>
      <c r="G48" s="131" t="s">
        <v>86</v>
      </c>
      <c r="H48" s="131" t="s">
        <v>39</v>
      </c>
      <c r="I48" s="130" t="str">
        <f>A48&amp;B48&amp;C48&amp;D48&amp;E48&amp;F48&amp;G48&amp;H48</f>
        <v>#SQL("Yul_Trans_ByMonth_SUM","VALUE",":where{NAME=榆炼_生产计划部_调运月报_调入_车次_常压柴油_永坪炼油厂}")</v>
      </c>
    </row>
    <row customHeight="1" ht="14.25">
      <c r="A49" s="130" t="s">
        <v>32</v>
      </c>
      <c r="B49" s="131" t="s">
        <v>33</v>
      </c>
      <c r="C49" s="131" t="s">
        <v>79</v>
      </c>
      <c r="D49" s="131" t="s">
        <v>35</v>
      </c>
      <c r="E49" s="131" t="s">
        <v>36</v>
      </c>
      <c r="F49" s="131" t="s">
        <v>37</v>
      </c>
      <c r="G49" s="131" t="s">
        <v>87</v>
      </c>
      <c r="H49" s="131" t="s">
        <v>39</v>
      </c>
      <c r="I49" s="130" t="str">
        <f>A49&amp;B49&amp;C49&amp;D49&amp;E49&amp;F49&amp;G49&amp;H49</f>
        <v>#SQL("Yul_Trans_ByMonth_SUM","VALUE",":where{NAME=榆炼_生产计划部_调运月报_调入_车次_烷基化油_延安石化厂}")</v>
      </c>
    </row>
    <row customHeight="1" ht="14.25">
      <c r="A50" s="130" t="s">
        <v>32</v>
      </c>
      <c r="B50" s="131" t="s">
        <v>33</v>
      </c>
      <c r="C50" s="131" t="s">
        <v>79</v>
      </c>
      <c r="D50" s="131" t="s">
        <v>35</v>
      </c>
      <c r="E50" s="131" t="s">
        <v>36</v>
      </c>
      <c r="F50" s="131" t="s">
        <v>37</v>
      </c>
      <c r="G50" s="131" t="s">
        <v>88</v>
      </c>
      <c r="H50" s="131" t="s">
        <v>39</v>
      </c>
      <c r="I50" s="130" t="str">
        <f>A50&amp;B50&amp;C50&amp;D50&amp;E50&amp;F50&amp;G50&amp;H50</f>
        <v>#SQL("Yul_Trans_ByMonth_SUM","VALUE",":where{NAME=榆炼_生产计划部_调运月报_调入_车次_MTBE_延安石化厂}")</v>
      </c>
    </row>
    <row customHeight="1" ht="14.25">
      <c r="A51" s="130" t="s">
        <v>32</v>
      </c>
      <c r="B51" s="131" t="s">
        <v>33</v>
      </c>
      <c r="C51" s="131" t="s">
        <v>79</v>
      </c>
      <c r="D51" s="131" t="s">
        <v>35</v>
      </c>
      <c r="E51" s="131" t="s">
        <v>36</v>
      </c>
      <c r="F51" s="131" t="s">
        <v>37</v>
      </c>
      <c r="G51" s="131" t="s">
        <v>89</v>
      </c>
      <c r="H51" s="131" t="s">
        <v>39</v>
      </c>
      <c r="I51" s="130" t="str">
        <f>A51&amp;B51&amp;C51&amp;D51&amp;E51&amp;F51&amp;G51&amp;H51</f>
        <v>#SQL("Yul_Trans_ByMonth_SUM","VALUE",":where{NAME=榆炼_生产计划部_调运月报_调入_车次_石脑油_永坪炼油厂}")</v>
      </c>
    </row>
    <row customHeight="1" ht="14.25">
      <c r="A52" s="130" t="s">
        <v>32</v>
      </c>
      <c r="B52" s="131" t="s">
        <v>33</v>
      </c>
      <c r="C52" s="131" t="s">
        <v>79</v>
      </c>
      <c r="D52" s="131" t="s">
        <v>35</v>
      </c>
      <c r="E52" s="131" t="s">
        <v>36</v>
      </c>
      <c r="F52" s="131" t="s">
        <v>37</v>
      </c>
      <c r="G52" s="131" t="s">
        <v>90</v>
      </c>
      <c r="H52" s="131" t="s">
        <v>39</v>
      </c>
      <c r="I52" s="130" t="str">
        <f>A52&amp;B52&amp;C52&amp;D52&amp;E52&amp;F52&amp;G52&amp;H52</f>
        <v>#SQL("Yul_Trans_ByMonth_SUM","VALUE",":where{NAME=榆炼_生产计划部_调运月报_调入_车次_次品石脑油_延安石化厂}")</v>
      </c>
    </row>
    <row customHeight="1" ht="14.25">
      <c r="A53" s="130" t="s">
        <v>32</v>
      </c>
      <c r="B53" s="131" t="s">
        <v>33</v>
      </c>
      <c r="C53" s="131" t="s">
        <v>79</v>
      </c>
      <c r="D53" s="131" t="s">
        <v>35</v>
      </c>
      <c r="E53" s="131" t="s">
        <v>36</v>
      </c>
      <c r="F53" s="131" t="s">
        <v>37</v>
      </c>
      <c r="G53" s="131" t="s">
        <v>91</v>
      </c>
      <c r="H53" s="131" t="s">
        <v>39</v>
      </c>
      <c r="I53" s="130" t="str">
        <f>A53&amp;B53&amp;C53&amp;D53&amp;E53&amp;F53&amp;G53&amp;H53</f>
        <v>#SQL("Yul_Trans_ByMonth_SUM","VALUE",":where{NAME=榆炼_生产计划部_调运月报_调入_调运量_1#渣油_永坪炼油厂}")</v>
      </c>
    </row>
    <row customHeight="1" ht="14.25">
      <c r="A54" s="130" t="s">
        <v>32</v>
      </c>
      <c r="B54" s="131" t="s">
        <v>33</v>
      </c>
      <c r="C54" s="131" t="s">
        <v>79</v>
      </c>
      <c r="D54" s="131" t="s">
        <v>35</v>
      </c>
      <c r="E54" s="131" t="s">
        <v>36</v>
      </c>
      <c r="F54" s="131" t="s">
        <v>37</v>
      </c>
      <c r="G54" s="131" t="s">
        <v>92</v>
      </c>
      <c r="H54" s="131" t="s">
        <v>39</v>
      </c>
      <c r="I54" s="130" t="str">
        <f>A54&amp;B54&amp;C54&amp;D54&amp;E54&amp;F54&amp;G54&amp;H54</f>
        <v>#SQL("Yul_Trans_ByMonth_SUM","VALUE",":where{NAME=榆炼_生产计划部_调运月报_调入_调运量_1#渣油_延安炼油厂}")</v>
      </c>
    </row>
    <row customHeight="1" ht="14.25">
      <c r="A55" s="130" t="s">
        <v>32</v>
      </c>
      <c r="B55" s="131" t="s">
        <v>33</v>
      </c>
      <c r="C55" s="131" t="s">
        <v>79</v>
      </c>
      <c r="D55" s="131" t="s">
        <v>35</v>
      </c>
      <c r="E55" s="131" t="s">
        <v>36</v>
      </c>
      <c r="F55" s="131" t="s">
        <v>37</v>
      </c>
      <c r="G55" s="131" t="s">
        <v>93</v>
      </c>
      <c r="H55" s="131" t="s">
        <v>39</v>
      </c>
      <c r="I55" s="130" t="str">
        <f>A55&amp;B55&amp;C55&amp;D55&amp;E55&amp;F55&amp;G55&amp;H55</f>
        <v>#SQL("Yul_Trans_ByMonth_SUM","VALUE",":where{NAME=榆炼_生产计划部_调运月报_调入_调运量_原料液化气_延安炼油厂}")</v>
      </c>
    </row>
    <row customHeight="1" ht="14.25">
      <c r="A56" s="130" t="s">
        <v>32</v>
      </c>
      <c r="B56" s="131" t="s">
        <v>33</v>
      </c>
      <c r="C56" s="131" t="s">
        <v>79</v>
      </c>
      <c r="D56" s="131" t="s">
        <v>35</v>
      </c>
      <c r="E56" s="131" t="s">
        <v>36</v>
      </c>
      <c r="F56" s="131" t="s">
        <v>37</v>
      </c>
      <c r="G56" s="131" t="s">
        <v>94</v>
      </c>
      <c r="H56" s="131" t="s">
        <v>39</v>
      </c>
      <c r="I56" s="130" t="str">
        <f>A56&amp;B56&amp;C56&amp;D56&amp;E56&amp;F56&amp;G56&amp;H56</f>
        <v>#SQL("Yul_Trans_ByMonth_SUM","VALUE",":where{NAME=榆炼_生产计划部_调运月报_调入_调运量_饱和液化气_延安炼油厂}")</v>
      </c>
    </row>
    <row customHeight="1" ht="14.25">
      <c r="A57" s="130" t="s">
        <v>32</v>
      </c>
      <c r="B57" s="131" t="s">
        <v>33</v>
      </c>
      <c r="C57" s="131" t="s">
        <v>79</v>
      </c>
      <c r="D57" s="131" t="s">
        <v>35</v>
      </c>
      <c r="E57" s="131" t="s">
        <v>36</v>
      </c>
      <c r="F57" s="131" t="s">
        <v>37</v>
      </c>
      <c r="G57" s="131" t="s">
        <v>95</v>
      </c>
      <c r="H57" s="131" t="s">
        <v>39</v>
      </c>
      <c r="I57" s="130" t="str">
        <f>A57&amp;B57&amp;C57&amp;D57&amp;E57&amp;F57&amp;G57&amp;H57</f>
        <v>#SQL("Yul_Trans_ByMonth_SUM","VALUE",":where{NAME=榆炼_生产计划部_调运月报_调入_调运量_二甲苯_延安炼油厂}")</v>
      </c>
    </row>
    <row customHeight="1" ht="14.25">
      <c r="A58" s="130" t="s">
        <v>32</v>
      </c>
      <c r="B58" s="131" t="s">
        <v>33</v>
      </c>
      <c r="C58" s="131" t="s">
        <v>79</v>
      </c>
      <c r="D58" s="131" t="s">
        <v>35</v>
      </c>
      <c r="E58" s="131" t="s">
        <v>36</v>
      </c>
      <c r="F58" s="131" t="s">
        <v>37</v>
      </c>
      <c r="G58" s="131" t="s">
        <v>96</v>
      </c>
      <c r="H58" s="131" t="s">
        <v>39</v>
      </c>
      <c r="I58" s="130" t="str">
        <f>A58&amp;B58&amp;C58&amp;D58&amp;E58&amp;F58&amp;G58&amp;H58</f>
        <v>#SQL("Yul_Trans_ByMonth_SUM","VALUE",":where{NAME=榆炼_生产计划部_调运月报_调入_调运量_二甲苯_永坪炼油厂}")</v>
      </c>
    </row>
    <row customHeight="1" ht="14.25">
      <c r="A59" s="130" t="s">
        <v>32</v>
      </c>
      <c r="B59" s="131" t="s">
        <v>33</v>
      </c>
      <c r="C59" s="131" t="s">
        <v>79</v>
      </c>
      <c r="D59" s="131" t="s">
        <v>35</v>
      </c>
      <c r="E59" s="131" t="s">
        <v>36</v>
      </c>
      <c r="F59" s="131" t="s">
        <v>37</v>
      </c>
      <c r="G59" s="131" t="s">
        <v>97</v>
      </c>
      <c r="H59" s="131" t="s">
        <v>39</v>
      </c>
      <c r="I59" s="130" t="str">
        <f>A59&amp;B59&amp;C59&amp;D59&amp;E59&amp;F59&amp;G59&amp;H59</f>
        <v>#SQL("Yul_Trans_ByMonth_SUM","VALUE",":where{NAME=榆炼_生产计划部_调运月报_调入_调运量_常压柴油_永坪炼油厂}")</v>
      </c>
    </row>
    <row customHeight="1" ht="14.25">
      <c r="A60" s="130" t="s">
        <v>32</v>
      </c>
      <c r="B60" s="131" t="s">
        <v>33</v>
      </c>
      <c r="C60" s="131" t="s">
        <v>79</v>
      </c>
      <c r="D60" s="131" t="s">
        <v>35</v>
      </c>
      <c r="E60" s="131" t="s">
        <v>36</v>
      </c>
      <c r="F60" s="131" t="s">
        <v>37</v>
      </c>
      <c r="G60" s="131" t="s">
        <v>98</v>
      </c>
      <c r="H60" s="131" t="s">
        <v>39</v>
      </c>
      <c r="I60" s="130" t="str">
        <f>A60&amp;B60&amp;C60&amp;D60&amp;E60&amp;F60&amp;G60&amp;H60</f>
        <v>#SQL("Yul_Trans_ByMonth_SUM","VALUE",":where{NAME=榆炼_生产计划部_调运月报_调入_调运量_烷基化油_延安石化厂}")</v>
      </c>
    </row>
    <row customHeight="1" ht="14.25">
      <c r="A61" s="130" t="s">
        <v>32</v>
      </c>
      <c r="B61" s="131" t="s">
        <v>33</v>
      </c>
      <c r="C61" s="131" t="s">
        <v>79</v>
      </c>
      <c r="D61" s="131" t="s">
        <v>35</v>
      </c>
      <c r="E61" s="131" t="s">
        <v>36</v>
      </c>
      <c r="F61" s="131" t="s">
        <v>37</v>
      </c>
      <c r="G61" s="131" t="s">
        <v>99</v>
      </c>
      <c r="H61" s="131" t="s">
        <v>39</v>
      </c>
      <c r="I61" s="130" t="str">
        <f>A61&amp;B61&amp;C61&amp;D61&amp;E61&amp;F61&amp;G61&amp;H61</f>
        <v>#SQL("Yul_Trans_ByMonth_SUM","VALUE",":where{NAME=榆炼_生产计划部_调运月报_调入_调运量_MTBE_延安石化厂}")</v>
      </c>
    </row>
    <row customHeight="1" ht="14.25">
      <c r="A62" s="130" t="s">
        <v>32</v>
      </c>
      <c r="B62" s="131" t="s">
        <v>33</v>
      </c>
      <c r="C62" s="131" t="s">
        <v>79</v>
      </c>
      <c r="D62" s="131" t="s">
        <v>35</v>
      </c>
      <c r="E62" s="131" t="s">
        <v>36</v>
      </c>
      <c r="F62" s="131" t="s">
        <v>37</v>
      </c>
      <c r="G62" s="131" t="s">
        <v>100</v>
      </c>
      <c r="H62" s="131" t="s">
        <v>39</v>
      </c>
      <c r="I62" s="130" t="str">
        <f>A62&amp;B62&amp;C62&amp;D62&amp;E62&amp;F62&amp;G62&amp;H62</f>
        <v>#SQL("Yul_Trans_ByMonth_SUM","VALUE",":where{NAME=榆炼_生产计划部_调运月报_调入_调运量_石脑油_永坪炼油厂}")</v>
      </c>
    </row>
    <row customHeight="1" ht="14.25">
      <c r="A63" s="130" t="s">
        <v>32</v>
      </c>
      <c r="B63" s="131" t="s">
        <v>33</v>
      </c>
      <c r="C63" s="131" t="s">
        <v>79</v>
      </c>
      <c r="D63" s="131" t="s">
        <v>35</v>
      </c>
      <c r="E63" s="131" t="s">
        <v>36</v>
      </c>
      <c r="F63" s="131" t="s">
        <v>37</v>
      </c>
      <c r="G63" s="131" t="s">
        <v>101</v>
      </c>
      <c r="H63" s="131" t="s">
        <v>39</v>
      </c>
      <c r="I63" s="130" t="str">
        <f>A63&amp;B63&amp;C63&amp;D63&amp;E63&amp;F63&amp;G63&amp;H63</f>
        <v>#SQL("Yul_Trans_ByMonth_SUM","VALUE",":where{NAME=榆炼_生产计划部_调运月报_调入_调运量_次品石脑油_延安石化厂}")</v>
      </c>
    </row>
    <row customHeight="1" ht="14.25">
      <c r="A64" s="130" t="s">
        <v>32</v>
      </c>
      <c r="B64" s="131" t="s">
        <v>33</v>
      </c>
      <c r="C64" s="131" t="s">
        <v>79</v>
      </c>
      <c r="D64" s="131" t="s">
        <v>35</v>
      </c>
      <c r="E64" s="131" t="s">
        <v>36</v>
      </c>
      <c r="F64" s="131" t="s">
        <v>37</v>
      </c>
      <c r="G64" s="131" t="s">
        <v>102</v>
      </c>
      <c r="H64" s="131" t="s">
        <v>39</v>
      </c>
      <c r="I64" s="130" t="str">
        <f>A64&amp;B64&amp;C64&amp;D64&amp;E64&amp;F64&amp;G64&amp;H64</f>
        <v>#SQL("Yul_Trans_ByMonth_SUM","VALUE",":where{NAME=榆炼_生产计划部_调运月报_调出_车次_1#渣油_永坪炼油厂}")</v>
      </c>
    </row>
    <row customHeight="1" ht="14.25">
      <c r="A65" s="130" t="s">
        <v>32</v>
      </c>
      <c r="B65" s="131" t="s">
        <v>33</v>
      </c>
      <c r="C65" s="131" t="s">
        <v>79</v>
      </c>
      <c r="D65" s="131" t="s">
        <v>35</v>
      </c>
      <c r="E65" s="131" t="s">
        <v>36</v>
      </c>
      <c r="F65" s="131" t="s">
        <v>37</v>
      </c>
      <c r="G65" s="131" t="s">
        <v>103</v>
      </c>
      <c r="H65" s="131" t="s">
        <v>39</v>
      </c>
      <c r="I65" s="130" t="str">
        <f>A65&amp;B65&amp;C65&amp;D65&amp;E65&amp;F65&amp;G65&amp;H65</f>
        <v>#SQL("Yul_Trans_ByMonth_SUM","VALUE",":where{NAME=榆炼_生产计划部_调运月报_调出_车次_1#渣油_延安炼油厂}")</v>
      </c>
    </row>
    <row customHeight="1" ht="14.25">
      <c r="A66" s="130" t="s">
        <v>32</v>
      </c>
      <c r="B66" s="131" t="s">
        <v>33</v>
      </c>
      <c r="C66" s="131" t="s">
        <v>79</v>
      </c>
      <c r="D66" s="131" t="s">
        <v>35</v>
      </c>
      <c r="E66" s="131" t="s">
        <v>36</v>
      </c>
      <c r="F66" s="131" t="s">
        <v>37</v>
      </c>
      <c r="G66" s="131" t="s">
        <v>104</v>
      </c>
      <c r="H66" s="131" t="s">
        <v>39</v>
      </c>
      <c r="I66" s="130" t="str">
        <f>A66&amp;B66&amp;C66&amp;D66&amp;E66&amp;F66&amp;G66&amp;H66</f>
        <v>#SQL("Yul_Trans_ByMonth_SUM","VALUE",":where{NAME=榆炼_生产计划部_调运月报_调出_车次_原料液化气_延安炼油厂}")</v>
      </c>
    </row>
    <row customHeight="1" ht="14.25">
      <c r="A67" s="130" t="s">
        <v>32</v>
      </c>
      <c r="B67" s="131" t="s">
        <v>33</v>
      </c>
      <c r="C67" s="131" t="s">
        <v>79</v>
      </c>
      <c r="D67" s="131" t="s">
        <v>35</v>
      </c>
      <c r="E67" s="131" t="s">
        <v>36</v>
      </c>
      <c r="F67" s="131" t="s">
        <v>37</v>
      </c>
      <c r="G67" s="131" t="s">
        <v>105</v>
      </c>
      <c r="H67" s="131" t="s">
        <v>39</v>
      </c>
      <c r="I67" s="130" t="str">
        <f>A67&amp;B67&amp;C67&amp;D67&amp;E67&amp;F67&amp;G67&amp;H67</f>
        <v>#SQL("Yul_Trans_ByMonth_SUM","VALUE",":where{NAME=榆炼_生产计划部_调运月报_调出_车次_饱和液化气_延安炼油厂}")</v>
      </c>
    </row>
    <row customHeight="1" ht="14.25">
      <c r="A68" s="130" t="s">
        <v>32</v>
      </c>
      <c r="B68" s="131" t="s">
        <v>33</v>
      </c>
      <c r="C68" s="131" t="s">
        <v>79</v>
      </c>
      <c r="D68" s="131" t="s">
        <v>35</v>
      </c>
      <c r="E68" s="131" t="s">
        <v>36</v>
      </c>
      <c r="F68" s="131" t="s">
        <v>37</v>
      </c>
      <c r="G68" s="131" t="s">
        <v>106</v>
      </c>
      <c r="H68" s="131" t="s">
        <v>39</v>
      </c>
      <c r="I68" s="130" t="str">
        <f>A68&amp;B68&amp;C68&amp;D68&amp;E68&amp;F68&amp;G68&amp;H68</f>
        <v>#SQL("Yul_Trans_ByMonth_SUM","VALUE",":where{NAME=榆炼_生产计划部_调运月报_调出_车次_二甲苯_延安炼油厂}")</v>
      </c>
    </row>
    <row customHeight="1" ht="14.25">
      <c r="A69" s="130" t="s">
        <v>32</v>
      </c>
      <c r="B69" s="131" t="s">
        <v>33</v>
      </c>
      <c r="C69" s="131" t="s">
        <v>79</v>
      </c>
      <c r="D69" s="131" t="s">
        <v>35</v>
      </c>
      <c r="E69" s="131" t="s">
        <v>36</v>
      </c>
      <c r="F69" s="131" t="s">
        <v>37</v>
      </c>
      <c r="G69" s="131" t="s">
        <v>107</v>
      </c>
      <c r="H69" s="131" t="s">
        <v>39</v>
      </c>
      <c r="I69" s="130" t="str">
        <f>A69&amp;B69&amp;C69&amp;D69&amp;E69&amp;F69&amp;G69&amp;H69</f>
        <v>#SQL("Yul_Trans_ByMonth_SUM","VALUE",":where{NAME=榆炼_生产计划部_调运月报_调出_车次_二甲苯_永坪炼油厂}")</v>
      </c>
    </row>
    <row customHeight="1" ht="14.25">
      <c r="A70" s="130" t="s">
        <v>32</v>
      </c>
      <c r="B70" s="131" t="s">
        <v>33</v>
      </c>
      <c r="C70" s="131" t="s">
        <v>79</v>
      </c>
      <c r="D70" s="131" t="s">
        <v>35</v>
      </c>
      <c r="E70" s="131" t="s">
        <v>36</v>
      </c>
      <c r="F70" s="131" t="s">
        <v>37</v>
      </c>
      <c r="G70" s="131" t="s">
        <v>108</v>
      </c>
      <c r="H70" s="131" t="s">
        <v>39</v>
      </c>
      <c r="I70" s="130" t="str">
        <f>A70&amp;B70&amp;C70&amp;D70&amp;E70&amp;F70&amp;G70&amp;H70</f>
        <v>#SQL("Yul_Trans_ByMonth_SUM","VALUE",":where{NAME=榆炼_生产计划部_调运月报_调出_车次_常压柴油_永坪炼油厂}")</v>
      </c>
    </row>
    <row customHeight="1" ht="14.25">
      <c r="A71" s="130" t="s">
        <v>32</v>
      </c>
      <c r="B71" s="131" t="s">
        <v>33</v>
      </c>
      <c r="C71" s="131" t="s">
        <v>79</v>
      </c>
      <c r="D71" s="131" t="s">
        <v>35</v>
      </c>
      <c r="E71" s="131" t="s">
        <v>36</v>
      </c>
      <c r="F71" s="131" t="s">
        <v>37</v>
      </c>
      <c r="G71" s="131" t="s">
        <v>109</v>
      </c>
      <c r="H71" s="131" t="s">
        <v>39</v>
      </c>
      <c r="I71" s="130" t="str">
        <f>A71&amp;B71&amp;C71&amp;D71&amp;E71&amp;F71&amp;G71&amp;H71</f>
        <v>#SQL("Yul_Trans_ByMonth_SUM","VALUE",":where{NAME=榆炼_生产计划部_调运月报_调出_车次_烷基化油_延安石化厂}")</v>
      </c>
    </row>
    <row customHeight="1" ht="14.25">
      <c r="A72" s="130" t="s">
        <v>32</v>
      </c>
      <c r="B72" s="131" t="s">
        <v>33</v>
      </c>
      <c r="C72" s="131" t="s">
        <v>79</v>
      </c>
      <c r="D72" s="131" t="s">
        <v>35</v>
      </c>
      <c r="E72" s="131" t="s">
        <v>36</v>
      </c>
      <c r="F72" s="131" t="s">
        <v>37</v>
      </c>
      <c r="G72" s="131" t="s">
        <v>110</v>
      </c>
      <c r="H72" s="131" t="s">
        <v>39</v>
      </c>
      <c r="I72" s="130" t="str">
        <f>A72&amp;B72&amp;C72&amp;D72&amp;E72&amp;F72&amp;G72&amp;H72</f>
        <v>#SQL("Yul_Trans_ByMonth_SUM","VALUE",":where{NAME=榆炼_生产计划部_调运月报_调出_车次_MTBE_延安石化厂}")</v>
      </c>
    </row>
    <row customHeight="1" ht="14.25">
      <c r="A73" s="130" t="s">
        <v>32</v>
      </c>
      <c r="B73" s="131" t="s">
        <v>33</v>
      </c>
      <c r="C73" s="131" t="s">
        <v>79</v>
      </c>
      <c r="D73" s="131" t="s">
        <v>35</v>
      </c>
      <c r="E73" s="131" t="s">
        <v>36</v>
      </c>
      <c r="F73" s="131" t="s">
        <v>37</v>
      </c>
      <c r="G73" s="131" t="s">
        <v>111</v>
      </c>
      <c r="H73" s="131" t="s">
        <v>39</v>
      </c>
      <c r="I73" s="130" t="str">
        <f>A73&amp;B73&amp;C73&amp;D73&amp;E73&amp;F73&amp;G73&amp;H73</f>
        <v>#SQL("Yul_Trans_ByMonth_SUM","VALUE",":where{NAME=榆炼_生产计划部_调运月报_调出_车次_石脑油_永坪炼油厂}")</v>
      </c>
    </row>
    <row customHeight="1" ht="14.25">
      <c r="A74" s="130" t="s">
        <v>32</v>
      </c>
      <c r="B74" s="131" t="s">
        <v>33</v>
      </c>
      <c r="C74" s="131" t="s">
        <v>79</v>
      </c>
      <c r="D74" s="131" t="s">
        <v>35</v>
      </c>
      <c r="E74" s="131" t="s">
        <v>36</v>
      </c>
      <c r="F74" s="131" t="s">
        <v>37</v>
      </c>
      <c r="G74" s="131" t="s">
        <v>112</v>
      </c>
      <c r="H74" s="131" t="s">
        <v>39</v>
      </c>
      <c r="I74" s="130" t="str">
        <f>A74&amp;B74&amp;C74&amp;D74&amp;E74&amp;F74&amp;G74&amp;H74</f>
        <v>#SQL("Yul_Trans_ByMonth_SUM","VALUE",":where{NAME=榆炼_生产计划部_调运月报_调出_车次_次品石脑油_延安石化厂}")</v>
      </c>
    </row>
    <row customHeight="1" ht="14.25">
      <c r="A75" s="130" t="s">
        <v>32</v>
      </c>
      <c r="B75" s="131" t="s">
        <v>33</v>
      </c>
      <c r="C75" s="131" t="s">
        <v>79</v>
      </c>
      <c r="D75" s="131" t="s">
        <v>35</v>
      </c>
      <c r="E75" s="131" t="s">
        <v>36</v>
      </c>
      <c r="F75" s="131" t="s">
        <v>37</v>
      </c>
      <c r="G75" s="131" t="s">
        <v>113</v>
      </c>
      <c r="H75" s="131" t="s">
        <v>39</v>
      </c>
      <c r="I75" s="130" t="str">
        <f>A75&amp;B75&amp;C75&amp;D75&amp;E75&amp;F75&amp;G75&amp;H75</f>
        <v>#SQL("Yul_Trans_ByMonth_SUM","VALUE",":where{NAME=榆炼_生产计划部_调运月报_调出_调运量_1#渣油_永坪炼油厂}")</v>
      </c>
    </row>
    <row customHeight="1" ht="14.25">
      <c r="A76" s="130" t="s">
        <v>32</v>
      </c>
      <c r="B76" s="131" t="s">
        <v>33</v>
      </c>
      <c r="C76" s="131" t="s">
        <v>79</v>
      </c>
      <c r="D76" s="131" t="s">
        <v>35</v>
      </c>
      <c r="E76" s="131" t="s">
        <v>36</v>
      </c>
      <c r="F76" s="131" t="s">
        <v>37</v>
      </c>
      <c r="G76" s="131" t="s">
        <v>114</v>
      </c>
      <c r="H76" s="131" t="s">
        <v>39</v>
      </c>
      <c r="I76" s="130" t="str">
        <f>A76&amp;B76&amp;C76&amp;D76&amp;E76&amp;F76&amp;G76&amp;H76</f>
        <v>#SQL("Yul_Trans_ByMonth_SUM","VALUE",":where{NAME=榆炼_生产计划部_调运月报_调出_调运量_1#渣油_延安炼油厂}")</v>
      </c>
    </row>
    <row customHeight="1" ht="14.25">
      <c r="A77" s="130" t="s">
        <v>32</v>
      </c>
      <c r="B77" s="131" t="s">
        <v>33</v>
      </c>
      <c r="C77" s="131" t="s">
        <v>79</v>
      </c>
      <c r="D77" s="131" t="s">
        <v>35</v>
      </c>
      <c r="E77" s="131" t="s">
        <v>36</v>
      </c>
      <c r="F77" s="131" t="s">
        <v>37</v>
      </c>
      <c r="G77" s="131" t="s">
        <v>115</v>
      </c>
      <c r="H77" s="131" t="s">
        <v>39</v>
      </c>
      <c r="I77" s="130" t="str">
        <f>A77&amp;B77&amp;C77&amp;D77&amp;E77&amp;F77&amp;G77&amp;H77</f>
        <v>#SQL("Yul_Trans_ByMonth_SUM","VALUE",":where{NAME=榆炼_生产计划部_调运月报_调出_调运量_原料液化气_延安炼油厂}")</v>
      </c>
    </row>
    <row customHeight="1" ht="14.25">
      <c r="A78" s="130" t="s">
        <v>32</v>
      </c>
      <c r="B78" s="131" t="s">
        <v>33</v>
      </c>
      <c r="C78" s="131" t="s">
        <v>79</v>
      </c>
      <c r="D78" s="131" t="s">
        <v>35</v>
      </c>
      <c r="E78" s="131" t="s">
        <v>36</v>
      </c>
      <c r="F78" s="131" t="s">
        <v>37</v>
      </c>
      <c r="G78" s="131" t="s">
        <v>116</v>
      </c>
      <c r="H78" s="131" t="s">
        <v>39</v>
      </c>
      <c r="I78" s="130" t="str">
        <f>A78&amp;B78&amp;C78&amp;D78&amp;E78&amp;F78&amp;G78&amp;H78</f>
        <v>#SQL("Yul_Trans_ByMonth_SUM","VALUE",":where{NAME=榆炼_生产计划部_调运月报_调出_调运量_饱和液化气_延安炼油厂}")</v>
      </c>
    </row>
    <row customHeight="1" ht="14.25">
      <c r="A79" s="130" t="s">
        <v>32</v>
      </c>
      <c r="B79" s="131" t="s">
        <v>33</v>
      </c>
      <c r="C79" s="131" t="s">
        <v>79</v>
      </c>
      <c r="D79" s="131" t="s">
        <v>35</v>
      </c>
      <c r="E79" s="131" t="s">
        <v>36</v>
      </c>
      <c r="F79" s="131" t="s">
        <v>37</v>
      </c>
      <c r="G79" s="131" t="s">
        <v>117</v>
      </c>
      <c r="H79" s="131" t="s">
        <v>39</v>
      </c>
      <c r="I79" s="130" t="str">
        <f>A79&amp;B79&amp;C79&amp;D79&amp;E79&amp;F79&amp;G79&amp;H79</f>
        <v>#SQL("Yul_Trans_ByMonth_SUM","VALUE",":where{NAME=榆炼_生产计划部_调运月报_调出_调运量_二甲苯_延安炼油厂}")</v>
      </c>
    </row>
    <row customHeight="1" ht="14.25">
      <c r="A80" s="130" t="s">
        <v>32</v>
      </c>
      <c r="B80" s="131" t="s">
        <v>33</v>
      </c>
      <c r="C80" s="131" t="s">
        <v>79</v>
      </c>
      <c r="D80" s="131" t="s">
        <v>35</v>
      </c>
      <c r="E80" s="131" t="s">
        <v>36</v>
      </c>
      <c r="F80" s="131" t="s">
        <v>37</v>
      </c>
      <c r="G80" s="131" t="s">
        <v>118</v>
      </c>
      <c r="H80" s="131" t="s">
        <v>39</v>
      </c>
      <c r="I80" s="130" t="str">
        <f>A80&amp;B80&amp;C80&amp;D80&amp;E80&amp;F80&amp;G80&amp;H80</f>
        <v>#SQL("Yul_Trans_ByMonth_SUM","VALUE",":where{NAME=榆炼_生产计划部_调运月报_调出_调运量_二甲苯_永坪炼油厂}")</v>
      </c>
    </row>
    <row customHeight="1" ht="14.25">
      <c r="A81" s="130" t="s">
        <v>32</v>
      </c>
      <c r="B81" s="131" t="s">
        <v>33</v>
      </c>
      <c r="C81" s="131" t="s">
        <v>79</v>
      </c>
      <c r="D81" s="131" t="s">
        <v>35</v>
      </c>
      <c r="E81" s="131" t="s">
        <v>36</v>
      </c>
      <c r="F81" s="131" t="s">
        <v>37</v>
      </c>
      <c r="G81" s="131" t="s">
        <v>119</v>
      </c>
      <c r="H81" s="131" t="s">
        <v>39</v>
      </c>
      <c r="I81" s="130" t="str">
        <f>A81&amp;B81&amp;C81&amp;D81&amp;E81&amp;F81&amp;G81&amp;H81</f>
        <v>#SQL("Yul_Trans_ByMonth_SUM","VALUE",":where{NAME=榆炼_生产计划部_调运月报_调出_调运量_常压柴油_永坪炼油厂}")</v>
      </c>
    </row>
    <row customHeight="1" ht="14.25">
      <c r="A82" s="130" t="s">
        <v>32</v>
      </c>
      <c r="B82" s="131" t="s">
        <v>33</v>
      </c>
      <c r="C82" s="131" t="s">
        <v>79</v>
      </c>
      <c r="D82" s="131" t="s">
        <v>35</v>
      </c>
      <c r="E82" s="131" t="s">
        <v>36</v>
      </c>
      <c r="F82" s="131" t="s">
        <v>37</v>
      </c>
      <c r="G82" s="131" t="s">
        <v>120</v>
      </c>
      <c r="H82" s="131" t="s">
        <v>39</v>
      </c>
      <c r="I82" s="130" t="str">
        <f>A82&amp;B82&amp;C82&amp;D82&amp;E82&amp;F82&amp;G82&amp;H82</f>
        <v>#SQL("Yul_Trans_ByMonth_SUM","VALUE",":where{NAME=榆炼_生产计划部_调运月报_调出_调运量_烷基化油_延安石化厂}")</v>
      </c>
    </row>
    <row customHeight="1" ht="14.25">
      <c r="A83" s="130" t="s">
        <v>32</v>
      </c>
      <c r="B83" s="131" t="s">
        <v>33</v>
      </c>
      <c r="C83" s="131" t="s">
        <v>79</v>
      </c>
      <c r="D83" s="131" t="s">
        <v>35</v>
      </c>
      <c r="E83" s="131" t="s">
        <v>36</v>
      </c>
      <c r="F83" s="131" t="s">
        <v>37</v>
      </c>
      <c r="G83" s="131" t="s">
        <v>121</v>
      </c>
      <c r="H83" s="131" t="s">
        <v>39</v>
      </c>
      <c r="I83" s="130" t="str">
        <f>A83&amp;B83&amp;C83&amp;D83&amp;E83&amp;F83&amp;G83&amp;H83</f>
        <v>#SQL("Yul_Trans_ByMonth_SUM","VALUE",":where{NAME=榆炼_生产计划部_调运月报_调出_调运量_MTBE_延安石化厂}")</v>
      </c>
    </row>
    <row customHeight="1" ht="14.25">
      <c r="A84" s="130" t="s">
        <v>32</v>
      </c>
      <c r="B84" s="131" t="s">
        <v>33</v>
      </c>
      <c r="C84" s="131" t="s">
        <v>79</v>
      </c>
      <c r="D84" s="131" t="s">
        <v>35</v>
      </c>
      <c r="E84" s="131" t="s">
        <v>36</v>
      </c>
      <c r="F84" s="131" t="s">
        <v>37</v>
      </c>
      <c r="G84" s="131" t="s">
        <v>122</v>
      </c>
      <c r="H84" s="131" t="s">
        <v>39</v>
      </c>
      <c r="I84" s="130" t="str">
        <f>A84&amp;B84&amp;C84&amp;D84&amp;E84&amp;F84&amp;G84&amp;H84</f>
        <v>#SQL("Yul_Trans_ByMonth_SUM","VALUE",":where{NAME=榆炼_生产计划部_调运月报_调出_调运量_石脑油_永坪炼油厂}")</v>
      </c>
    </row>
    <row customHeight="1" ht="14.25">
      <c r="A85" s="130" t="s">
        <v>32</v>
      </c>
      <c r="B85" s="131" t="s">
        <v>33</v>
      </c>
      <c r="C85" s="131" t="s">
        <v>79</v>
      </c>
      <c r="D85" s="131" t="s">
        <v>35</v>
      </c>
      <c r="E85" s="131" t="s">
        <v>36</v>
      </c>
      <c r="F85" s="131" t="s">
        <v>37</v>
      </c>
      <c r="G85" s="131" t="s">
        <v>123</v>
      </c>
      <c r="H85" s="131" t="s">
        <v>39</v>
      </c>
      <c r="I85" s="130" t="str">
        <f>A85&amp;B85&amp;C85&amp;D85&amp;E85&amp;F85&amp;G85&amp;H85</f>
        <v>#SQL("Yul_Trans_ByMonth_SUM","VALUE",":where{NAME=榆炼_生产计划部_调运月报_调出_调运量_次品石脑油_延安石化厂}")</v>
      </c>
    </row>
  </sheetData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8F3141B-A228-CC33-6DBF-3EA914383F34}" mc:Ignorable="x14ac xr xr2 xr3">
  <dimension ref="A1:Q105"/>
  <sheetViews>
    <sheetView topLeftCell="A4" workbookViewId="0">
      <selection activeCell="A20" sqref="A20"/>
    </sheetView>
  </sheetViews>
  <sheetFormatPr customHeight="1" defaultRowHeight="13.799999999999999"/>
  <sheetData>
    <row customHeight="1" ht="13.799999999999999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</row>
    <row customHeight="1" ht="14.25">
      <c r="A2" s="130">
        <v>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>
        <v>0</v>
      </c>
      <c r="N2" s="130"/>
      <c r="O2" s="130"/>
      <c r="P2" s="130"/>
      <c r="Q2" s="130"/>
    </row>
    <row customHeight="1" ht="14.25">
      <c r="A3" s="130">
        <v>0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>
        <v>0</v>
      </c>
      <c r="N3" s="130"/>
      <c r="O3" s="130"/>
      <c r="P3" s="130"/>
      <c r="Q3" s="130"/>
    </row>
    <row customHeight="1" ht="14.25">
      <c r="A4" s="130">
        <v>715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>
        <v>0</v>
      </c>
      <c r="N4" s="130"/>
      <c r="O4" s="130"/>
      <c r="P4" s="130"/>
      <c r="Q4" s="130"/>
    </row>
    <row customHeight="1" ht="14.25">
      <c r="A5" s="130">
        <v>269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customHeight="1" ht="14.25">
      <c r="A6" s="130">
        <v>18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>
        <v>4</v>
      </c>
      <c r="N6" s="130"/>
      <c r="O6" s="130"/>
      <c r="P6" s="130"/>
      <c r="Q6" s="130"/>
    </row>
    <row customHeight="1" ht="14.25">
      <c r="A7" s="130">
        <v>69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customHeight="1" ht="14.25">
      <c r="A8" s="130">
        <v>0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</row>
    <row customHeight="1" ht="14.25">
      <c r="A9" s="130">
        <v>156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</row>
    <row customHeight="1" ht="14.2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customHeight="1" ht="14.25">
      <c r="A11" s="130">
        <v>0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</row>
    <row customHeight="1" ht="14.25">
      <c r="A12" s="130">
        <v>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customHeight="1" ht="14.25">
      <c r="A13" s="130">
        <v>0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customHeight="1" ht="14.25">
      <c r="A14" s="130">
        <v>17489.08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</row>
    <row customHeight="1" ht="14.25">
      <c r="A15" s="130">
        <v>6729.26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</row>
    <row customHeight="1" ht="14.25">
      <c r="A16" s="130">
        <v>574.8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</row>
    <row customHeight="1" ht="14.25">
      <c r="A17" s="130">
        <v>2214.1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</row>
    <row customHeight="1" ht="14.25">
      <c r="A18" s="130">
        <v>0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</row>
    <row customHeight="1" ht="14.25">
      <c r="A19" s="130">
        <v>4803.36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</row>
    <row customHeight="1" ht="14.25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</row>
    <row customHeight="1" ht="14.25">
      <c r="A21" s="130">
        <v>0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</row>
    <row customHeight="1" ht="14.25">
      <c r="A22" s="130">
        <v>0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customHeight="1" ht="14.25">
      <c r="A23" s="130">
        <v>0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  <row customHeight="1" ht="14.25">
      <c r="A24" s="130">
        <v>715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customHeight="1" ht="14.25">
      <c r="A25" s="130">
        <v>269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customHeight="1" ht="14.25">
      <c r="A26" s="130">
        <v>0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</row>
    <row customHeight="1" ht="14.25">
      <c r="A27" s="130">
        <v>69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</row>
    <row customHeight="1" ht="14.25">
      <c r="A28" s="130">
        <v>0</v>
      </c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</row>
    <row customHeight="1" ht="14.25">
      <c r="A29" s="130">
        <v>0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</row>
    <row customHeight="1" ht="14.25">
      <c r="A30" s="130">
        <v>0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</row>
    <row customHeight="1" ht="14.25">
      <c r="A31" s="130">
        <v>0</v>
      </c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</row>
    <row customHeight="1" ht="14.25">
      <c r="A32" s="130">
        <v>0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</row>
    <row customHeight="1" ht="14.25">
      <c r="A33" s="130">
        <v>0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</row>
    <row customHeight="1" ht="14.25">
      <c r="A34" s="130">
        <v>17489.08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</row>
    <row customHeight="1" ht="14.25">
      <c r="A35" s="130">
        <v>6729.26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</row>
    <row customHeight="1" ht="14.25">
      <c r="A36" s="130">
        <v>0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</row>
    <row customHeight="1" ht="14.25">
      <c r="A37" s="130">
        <v>2214.1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</row>
    <row customHeight="1" ht="14.25">
      <c r="A38" s="130">
        <v>0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</row>
    <row customHeight="1" ht="14.25">
      <c r="A39" s="130">
        <v>0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</row>
    <row customHeight="1" ht="14.25">
      <c r="A40" s="130">
        <v>0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</row>
    <row customHeight="1" ht="14.25">
      <c r="A41" s="130">
        <v>0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</row>
    <row customHeight="1" ht="14.25">
      <c r="A42" s="130">
        <v>3529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</row>
    <row customHeight="1" ht="14.25">
      <c r="A43" s="130">
        <v>0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</row>
    <row customHeight="1" ht="14.25">
      <c r="A44" s="130">
        <v>0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</row>
    <row customHeight="1" ht="14.25">
      <c r="A45" s="130">
        <v>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</row>
    <row customHeight="1" ht="14.25">
      <c r="A46" s="130">
        <v>0</v>
      </c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</row>
    <row customHeight="1" ht="14.25">
      <c r="A47" s="130">
        <v>0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</row>
    <row customHeight="1" ht="14.25">
      <c r="A48" s="130">
        <v>0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</row>
    <row customHeight="1" ht="14.25">
      <c r="A49" s="130">
        <v>1632</v>
      </c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</row>
    <row customHeight="1" ht="14.25">
      <c r="A50" s="130">
        <v>388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</row>
    <row customHeight="1" ht="14.25">
      <c r="A51" s="130">
        <v>0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</row>
    <row customHeight="1" ht="14.25">
      <c r="A52" s="130">
        <v>0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</row>
    <row customHeight="1" ht="14.25">
      <c r="A53" s="130">
        <v>113273.91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</row>
    <row customHeight="1" ht="14.25">
      <c r="A54" s="130">
        <v>0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</row>
    <row customHeight="1" ht="14.25">
      <c r="A55" s="130">
        <v>0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</row>
    <row customHeight="1" ht="14.25">
      <c r="A56" s="130">
        <v>0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</row>
    <row customHeight="1" ht="14.25">
      <c r="A57" s="130">
        <v>0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</row>
    <row customHeight="1" ht="14.25">
      <c r="A58" s="130">
        <v>0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</row>
    <row customHeight="1" ht="14.25">
      <c r="A59" s="130">
        <v>0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</row>
    <row customHeight="1" ht="14.25">
      <c r="A60" s="130">
        <v>50816.8</v>
      </c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</row>
    <row customHeight="1" ht="14.25">
      <c r="A61" s="130">
        <v>12183.98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</row>
    <row customHeight="1" ht="14.25">
      <c r="A62" s="130">
        <v>0</v>
      </c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</row>
    <row customHeight="1" ht="14.25">
      <c r="A63" s="130">
        <v>0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</row>
    <row customHeight="1" ht="14.25">
      <c r="A64" s="130">
        <v>0</v>
      </c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</row>
    <row customHeight="1" ht="14.25">
      <c r="A65" s="130">
        <v>0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</row>
    <row customHeight="1" ht="14.25">
      <c r="A66" s="130">
        <v>6878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</row>
    <row customHeight="1" ht="14.25">
      <c r="A67" s="130">
        <v>1861</v>
      </c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</row>
    <row customHeight="1" ht="14.25">
      <c r="A68" s="130">
        <v>434</v>
      </c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</row>
    <row customHeight="1" ht="14.25">
      <c r="A69" s="130">
        <v>861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</row>
    <row customHeight="1" ht="14.25">
      <c r="A70" s="130">
        <v>377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</row>
    <row customHeight="1" ht="14.25">
      <c r="A71" s="130">
        <v>0</v>
      </c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</row>
    <row customHeight="1" ht="14.25">
      <c r="A72" s="130">
        <v>0</v>
      </c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</row>
    <row customHeight="1" ht="14.25">
      <c r="A73" s="130">
        <v>1074</v>
      </c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</row>
    <row customHeight="1" ht="14.25">
      <c r="A74" s="130">
        <v>0</v>
      </c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</row>
    <row customHeight="1" ht="14.25">
      <c r="A75" s="130">
        <v>0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</row>
    <row customHeight="1" ht="14.25">
      <c r="A76" s="130">
        <v>0</v>
      </c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</row>
    <row customHeight="1" ht="14.25">
      <c r="A77" s="130">
        <v>167477.3</v>
      </c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</row>
    <row customHeight="1" ht="14.25">
      <c r="A78" s="130">
        <v>45909.88</v>
      </c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</row>
    <row customHeight="1" ht="14.25">
      <c r="A79" s="130">
        <v>14076.92</v>
      </c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</row>
    <row customHeight="1" ht="14.25">
      <c r="A80" s="130">
        <v>27973.62</v>
      </c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</row>
    <row customHeight="1" ht="14.25">
      <c r="A81" s="130">
        <v>12128.78</v>
      </c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</row>
    <row customHeight="1" ht="14.25">
      <c r="A82" s="130">
        <v>0</v>
      </c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</row>
    <row customHeight="1" ht="14.25">
      <c r="A83" s="130">
        <v>0</v>
      </c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</row>
    <row customHeight="1" ht="14.25">
      <c r="A84" s="130">
        <v>34350.58</v>
      </c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</row>
    <row customHeight="1" ht="14.25">
      <c r="A85" s="130">
        <v>0</v>
      </c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</row>
    <row customHeight="1" ht="14.25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</row>
    <row customHeight="1" ht="14.25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</row>
    <row customHeight="1" ht="14.25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</row>
    <row customHeight="1" ht="14.25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</row>
    <row customHeight="1" ht="14.25">
      <c r="A90" s="130">
        <v>0</v>
      </c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</row>
    <row customHeight="1" ht="14.25">
      <c r="A91" s="130">
        <v>0</v>
      </c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</row>
    <row customHeight="1" ht="14.25">
      <c r="A92" s="130">
        <v>0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</row>
    <row customHeight="1" ht="14.25">
      <c r="A93" s="130">
        <v>0</v>
      </c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</row>
    <row customHeight="1" ht="14.25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</row>
    <row customHeight="1" ht="14.25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</row>
    <row customHeight="1" ht="14.25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</row>
    <row customHeight="1" ht="14.25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</row>
    <row customHeight="1" ht="14.25">
      <c r="A98" s="130">
        <v>0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</row>
    <row customHeight="1" ht="14.25">
      <c r="A99" s="130">
        <v>0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</row>
    <row customHeight="1" ht="14.25">
      <c r="A100" s="130">
        <v>0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</row>
    <row customHeight="1" ht="14.25">
      <c r="A101" s="130">
        <v>0</v>
      </c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</row>
    <row customHeight="1" ht="13.5">
      <c r="A102" s="130">
        <v>475</v>
      </c>
      <c r="B102" s="130">
        <v>0</v>
      </c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</row>
    <row customHeight="1" ht="13.5">
      <c r="A103" s="130">
        <v>15169.68</v>
      </c>
      <c r="B103" s="130">
        <v>0</v>
      </c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3"/>
      <c r="O103" s="130"/>
      <c r="P103" s="130"/>
      <c r="Q103" s="130"/>
    </row>
    <row customHeight="1" ht="13.5">
      <c r="A104" s="130">
        <v>0</v>
      </c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</row>
    <row customHeight="1" ht="13.5">
      <c r="A105" s="133">
        <v>0</v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</row>
  </sheetData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6A5148-E148-8108-F561-0B64097CD1F8}" mc:Ignorable="x14ac xr xr2 xr3">
  <dimension ref="A1:D11"/>
  <sheetViews>
    <sheetView topLeftCell="A1" workbookViewId="0">
      <selection activeCell="D11" sqref="D11"/>
    </sheetView>
  </sheetViews>
  <sheetFormatPr customHeight="1" defaultRowHeight="13.799999999999999"/>
  <sheetData>
    <row customHeight="1" ht="13.799999999999999">
      <c r="A1" s="130"/>
      <c r="B1" s="130"/>
      <c r="C1" s="130"/>
      <c r="D1" s="130"/>
    </row>
    <row customHeight="1" ht="14.25">
      <c r="A2" s="130" t="s">
        <v>124</v>
      </c>
      <c r="B2" s="130" t="s">
        <v>2</v>
      </c>
      <c r="C2" s="134" t="s">
        <v>125</v>
      </c>
      <c r="D2" s="130"/>
    </row>
    <row customHeight="1" ht="13.799999999999999">
      <c r="A3" s="130"/>
      <c r="B3" s="130"/>
      <c r="C3" s="130"/>
      <c r="D3" s="130"/>
    </row>
    <row customHeight="1" ht="13.799999999999999">
      <c r="A4" s="130"/>
      <c r="B4" s="130"/>
      <c r="C4" s="130"/>
      <c r="D4" s="130"/>
    </row>
    <row customHeight="1" ht="13.799999999999999">
      <c r="A5" s="130"/>
      <c r="B5" s="130"/>
      <c r="C5" s="130"/>
      <c r="D5" s="130"/>
    </row>
    <row customHeight="1" ht="13.799999999999999">
      <c r="A6" s="130"/>
      <c r="B6" s="130"/>
      <c r="C6" s="130"/>
      <c r="D6" s="130"/>
    </row>
    <row customHeight="1" ht="13.799999999999999">
      <c r="A7" s="130"/>
      <c r="B7" s="130"/>
      <c r="C7" s="130"/>
      <c r="D7" s="130"/>
    </row>
    <row customHeight="1" ht="13.799999999999999">
      <c r="A8" s="130"/>
      <c r="B8" s="130"/>
      <c r="C8" s="130"/>
      <c r="D8" s="130"/>
    </row>
    <row customHeight="1" ht="13.799999999999999">
      <c r="A9" s="130"/>
      <c r="B9" s="130"/>
      <c r="C9" s="130"/>
      <c r="D9" s="130"/>
    </row>
    <row customHeight="1" ht="13.799999999999999">
      <c r="A10" s="130"/>
      <c r="B10" s="130"/>
      <c r="C10" s="130"/>
      <c r="D10" s="130"/>
    </row>
    <row customHeight="1" ht="13.799999999999999">
      <c r="A11" s="130"/>
      <c r="B11" s="130"/>
      <c r="C11" s="130"/>
      <c r="D11" s="130"/>
    </row>
  </sheetData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公式</vt:lpstr>
      <vt:lpstr>取值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tong_zhigang</dc:creator>
  <cp:lastModifiedBy>Administrator</cp:lastModifiedBy>
  <dcterms:created xsi:type="dcterms:W3CDTF">2015-06-05T18:19:34Z</dcterms:created>
  <dcterms:modified xsi:type="dcterms:W3CDTF">2022-10-02T09:21:58Z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{D0C4C43D-CDFC-46FC-A277-84B5FDF5808F}</vt:lpwstr>
  </property>
</Properties>
</file>