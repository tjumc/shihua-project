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7" authorId="0">
      <text>
        <r>
          <rPr>
            <sz val="9"/>
            <color indexed="81"/>
            <rFont val="宋体"/>
            <family val="2"/>
          </rPr>
          <t>#Input("石化_生产计划部调运月报_常压石脑油_永炼_调入车次",":key{{dw}}")</t>
        </r>
      </text>
    </comment>
    <comment ref="F7" authorId="0">
      <text>
        <r>
          <rPr>
            <sz val="9"/>
            <color indexed="81"/>
            <rFont val="宋体"/>
            <family val="2"/>
          </rPr>
          <t>#Input("石化_生产计划部调运月报_常压石脑油_永炼_调入调运量",":key{{dw}}")</t>
        </r>
      </text>
    </comment>
    <comment ref="H7" authorId="0">
      <text>
        <r>
          <rPr>
            <sz val="9"/>
            <color indexed="81"/>
            <rFont val="宋体"/>
            <family val="2"/>
          </rPr>
          <t>#Input("石化_生产计划部调运月报_常压石脑油_永炼_调出车次",":key{{dw}}")</t>
        </r>
      </text>
    </comment>
    <comment ref="J7" authorId="0">
      <text>
        <r>
          <rPr>
            <sz val="9"/>
            <color indexed="81"/>
            <rFont val="宋体"/>
            <family val="2"/>
          </rPr>
          <t>#Input("石化_生产计划部调运月报_常压石脑油_永炼_调出调运量",":key{{dw}}")</t>
        </r>
      </text>
    </comment>
    <comment ref="D8" authorId="0">
      <text>
        <r>
          <rPr>
            <sz val="9"/>
            <color indexed="81"/>
            <rFont val="宋体"/>
            <family val="2"/>
          </rPr>
          <t>#Input("石化_生产计划部调运月报_常压石脑油_榆炼_调入车次",":key{{dw}}")</t>
        </r>
      </text>
    </comment>
    <comment ref="F8" authorId="0">
      <text>
        <r>
          <rPr>
            <sz val="9"/>
            <color indexed="81"/>
            <rFont val="宋体"/>
            <family val="2"/>
          </rPr>
          <t>#Input("石化_生产计划部调运月报_常压石脑油_榆炼_调入调运量",":key{{dw}}")</t>
        </r>
      </text>
    </comment>
    <comment ref="H8" authorId="0">
      <text>
        <r>
          <rPr>
            <sz val="9"/>
            <color indexed="81"/>
            <rFont val="宋体"/>
            <family val="2"/>
          </rPr>
          <t>#Input("石化_生产计划部调运月报_常压石脑油_榆炼_调出车次",":key{{dw}}")</t>
        </r>
      </text>
    </comment>
    <comment ref="J8" authorId="0">
      <text>
        <r>
          <rPr>
            <sz val="9"/>
            <color indexed="81"/>
            <rFont val="宋体"/>
            <family val="2"/>
          </rPr>
          <t>#Input("石化_生产计划部调运月报_常压石脑油_榆炼_调出调运量",":key{{dw}}")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#Input("石化_生产计划部调运月报_催化柴油_永炼_调入车次",":key{{dw}}")</t>
        </r>
      </text>
    </comment>
    <comment ref="F9" authorId="0">
      <text>
        <r>
          <rPr>
            <sz val="9"/>
            <color indexed="81"/>
            <rFont val="宋体"/>
            <family val="2"/>
          </rPr>
          <t>#Input("石化_生产计划部调运月报_催化柴油_永炼_调入调运量",":key{{dw}}")</t>
        </r>
      </text>
    </comment>
    <comment ref="H9" authorId="0">
      <text>
        <r>
          <rPr>
            <sz val="9"/>
            <color indexed="81"/>
            <rFont val="宋体"/>
            <family val="2"/>
          </rPr>
          <t>#Input("石化_生产计划部调运月报_催化柴油_永炼_调出车次",":key{{dw}}")</t>
        </r>
      </text>
    </comment>
    <comment ref="J9" authorId="0">
      <text>
        <r>
          <rPr>
            <sz val="9"/>
            <color indexed="81"/>
            <rFont val="宋体"/>
            <family val="2"/>
          </rPr>
          <t>#Input("石化_生产计划部调运月报_催化柴油_永炼_调出调运量",":key{{dw}}")</t>
        </r>
      </text>
    </comment>
    <comment ref="D10" authorId="0">
      <text>
        <r>
          <rPr>
            <sz val="9"/>
            <color indexed="81"/>
            <rFont val="宋体"/>
            <family val="2"/>
          </rPr>
          <t>#Input("石化_生产计划部调运月报_催化柴油_榆炼_调入车次",":key{{dw}}")</t>
        </r>
      </text>
    </comment>
    <comment ref="F10" authorId="0">
      <text>
        <r>
          <rPr>
            <sz val="9"/>
            <color indexed="81"/>
            <rFont val="宋体"/>
            <family val="2"/>
          </rPr>
          <t>#Input("石化_生产计划部调运月报_催化柴油_榆炼_调入调运量",":key{{dw}}")</t>
        </r>
      </text>
    </comment>
    <comment ref="H10" authorId="0">
      <text>
        <r>
          <rPr>
            <sz val="9"/>
            <color indexed="81"/>
            <rFont val="宋体"/>
            <family val="2"/>
          </rPr>
          <t>#Input("石化_生产计划部调运月报_催化柴油_榆炼_调出车次",":key{{dw}}")</t>
        </r>
      </text>
    </comment>
    <comment ref="J10" authorId="0">
      <text>
        <r>
          <rPr>
            <sz val="9"/>
            <color indexed="81"/>
            <rFont val="宋体"/>
            <family val="2"/>
          </rPr>
          <t>#Input("石化_生产计划部调运月报_催化柴油_榆炼_调出调运量",":key{{dw}}")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#Input("石化_生产计划部调运月报_常压柴油_永炼_调入车次",":key{{dw}}")</t>
        </r>
      </text>
    </comment>
    <comment ref="F11" authorId="0">
      <text>
        <r>
          <rPr>
            <sz val="9"/>
            <color indexed="81"/>
            <rFont val="宋体"/>
            <family val="2"/>
          </rPr>
          <t>#Input("石化_生产计划部调运月报_常压柴油_永炼_调入调运量",":key{{dw}}")</t>
        </r>
      </text>
    </comment>
    <comment ref="H11" authorId="0">
      <text>
        <r>
          <rPr>
            <sz val="9"/>
            <color indexed="81"/>
            <rFont val="宋体"/>
            <family val="2"/>
          </rPr>
          <t>#Input("石化_生产计划部调运月报_常压柴油_永炼_调出车次",":key{{dw}}")</t>
        </r>
      </text>
    </comment>
    <comment ref="J11" authorId="0">
      <text>
        <r>
          <rPr>
            <sz val="9"/>
            <color indexed="81"/>
            <rFont val="宋体"/>
            <family val="2"/>
          </rPr>
          <t>#Input("石化_生产计划部调运月报_常压柴油_永炼_调出调运量",":key{{dw}}")</t>
        </r>
      </text>
    </comment>
    <comment ref="D12" authorId="0">
      <text>
        <r>
          <rPr>
            <sz val="9"/>
            <color indexed="81"/>
            <rFont val="宋体"/>
            <family val="2"/>
          </rPr>
          <t>#Input("石化_生产计划部调运月报_常压柴油_榆炼_调入车次",":key{{dw}}")</t>
        </r>
      </text>
    </comment>
    <comment ref="F12" authorId="0">
      <text>
        <r>
          <rPr>
            <sz val="9"/>
            <color indexed="81"/>
            <rFont val="宋体"/>
            <family val="2"/>
          </rPr>
          <t>#Input("石化_生产计划部调运月报_常压柴油_榆炼_调入调运量",":key{{dw}}")</t>
        </r>
      </text>
    </comment>
    <comment ref="H12" authorId="0">
      <text>
        <r>
          <rPr>
            <sz val="9"/>
            <color indexed="81"/>
            <rFont val="宋体"/>
            <family val="2"/>
          </rPr>
          <t>#Input("石化_生产计划部调运月报_常压柴油_榆炼_调出车次",":key{{dw}}")</t>
        </r>
      </text>
    </comment>
    <comment ref="J12" authorId="0">
      <text>
        <r>
          <rPr>
            <sz val="9"/>
            <color indexed="81"/>
            <rFont val="宋体"/>
            <family val="2"/>
          </rPr>
          <t>#Input("石化_生产计划部调运月报_常压柴油_榆炼_调出调运量",":key{{dw}}")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#Input("石化_生产计划部调运月报_粗硫磺_永炼_调入车次",":key{{dw}}")</t>
        </r>
      </text>
    </comment>
    <comment ref="F13" authorId="0">
      <text>
        <r>
          <rPr>
            <sz val="9"/>
            <color indexed="81"/>
            <rFont val="宋体"/>
            <family val="2"/>
          </rPr>
          <t>#Input("石化_生产计划部调运月报_粗硫磺_永炼_调入调运量",":key{{dw}}")</t>
        </r>
      </text>
    </comment>
    <comment ref="H13" authorId="0">
      <text>
        <r>
          <rPr>
            <sz val="9"/>
            <color indexed="81"/>
            <rFont val="宋体"/>
            <family val="2"/>
          </rPr>
          <t>#Input("石化_生产计划部调运月报_粗硫磺_永炼_调出车次",":key{{dw}}")</t>
        </r>
      </text>
    </comment>
    <comment ref="J13" authorId="0">
      <text>
        <r>
          <rPr>
            <sz val="9"/>
            <color indexed="81"/>
            <rFont val="宋体"/>
            <family val="2"/>
          </rPr>
          <t>#Input("石化_生产计划部调运月报_粗硫磺_永炼_调出调运量",":key{{dw}}")</t>
        </r>
      </text>
    </comment>
    <comment ref="D14" authorId="0">
      <text>
        <r>
          <rPr>
            <sz val="9"/>
            <color indexed="81"/>
            <rFont val="宋体"/>
            <family val="2"/>
          </rPr>
          <t>#Input("石化_生产计划部调运月报_粗硫磺_榆炼_调入车次",":key{{dw}}")</t>
        </r>
      </text>
    </comment>
    <comment ref="F14" authorId="0">
      <text>
        <r>
          <rPr>
            <sz val="9"/>
            <color indexed="81"/>
            <rFont val="宋体"/>
            <family val="2"/>
          </rPr>
          <t>#Input("石化_生产计划部调运月报_粗硫磺_榆炼_调入调运量",":key{{dw}}")</t>
        </r>
      </text>
    </comment>
    <comment ref="H14" authorId="0">
      <text>
        <r>
          <rPr>
            <sz val="9"/>
            <color indexed="81"/>
            <rFont val="宋体"/>
            <family val="2"/>
          </rPr>
          <t>#Input("石化_生产计划部调运月报_粗硫磺_榆炼_调出车次",":key{{dw}}")</t>
        </r>
      </text>
    </comment>
    <comment ref="J14" authorId="0">
      <text>
        <r>
          <rPr>
            <sz val="9"/>
            <color indexed="81"/>
            <rFont val="宋体"/>
            <family val="2"/>
          </rPr>
          <t>#Input("石化_生产计划部调运月报_粗硫磺_榆炼_调出调运量",":key{{dw}}")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#Input("石化_生产计划部调运月报_粗硫磺_外销_调入车次",":key{{dw}}")</t>
        </r>
      </text>
    </comment>
    <comment ref="F15" authorId="0">
      <text>
        <r>
          <rPr>
            <sz val="9"/>
            <color indexed="81"/>
            <rFont val="宋体"/>
            <family val="2"/>
          </rPr>
          <t>#Input("石化_生产计划部调运月报_粗硫磺_外销_调入调运量",":key{{dw}}")</t>
        </r>
      </text>
    </comment>
    <comment ref="H15" authorId="0">
      <text>
        <r>
          <rPr>
            <sz val="9"/>
            <color indexed="81"/>
            <rFont val="宋体"/>
            <family val="2"/>
          </rPr>
          <t>#Input("石化_生产计划部调运月报_粗硫磺_外销_调出车次",":key{{dw}}")</t>
        </r>
      </text>
    </comment>
    <comment ref="J15" authorId="0">
      <text>
        <r>
          <rPr>
            <sz val="9"/>
            <color indexed="81"/>
            <rFont val="宋体"/>
            <family val="2"/>
          </rPr>
          <t>#Input("石化_生产计划部调运月报_粗硫磺_外销_调出调运量",":key{{dw}}")</t>
        </r>
      </text>
    </comment>
    <comment ref="D16" authorId="0">
      <text>
        <r>
          <rPr>
            <sz val="9"/>
            <color indexed="81"/>
            <rFont val="宋体"/>
            <family val="2"/>
          </rPr>
          <t>#Input("石化_生产计划部调运月报_异丁烷外购_调入车次",":key{{dw}}")</t>
        </r>
      </text>
    </comment>
    <comment ref="F16" authorId="0">
      <text>
        <r>
          <rPr>
            <sz val="9"/>
            <color indexed="81"/>
            <rFont val="宋体"/>
            <family val="2"/>
          </rPr>
          <t>#Input("石化_生产计划部调运月报_异丁烷外购_调入调运量",":key{{dw}}")</t>
        </r>
      </text>
    </comment>
    <comment ref="H16" authorId="0">
      <text>
        <r>
          <rPr>
            <sz val="9"/>
            <color indexed="81"/>
            <rFont val="宋体"/>
            <family val="2"/>
          </rPr>
          <t>#Input("石化_生产计划部调运月报_异丁烷外购_调出车次",":key{{dw}}")</t>
        </r>
      </text>
    </comment>
    <comment ref="J16" authorId="0">
      <text>
        <r>
          <rPr>
            <sz val="9"/>
            <color indexed="81"/>
            <rFont val="宋体"/>
            <family val="2"/>
          </rPr>
          <t>#Input("石化_生产计划部调运月报_异丁烷外购_调出调运量",":key{{dw}}")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#Input("石化_生产计划部调运月报_轻柴油_榆能化_调入车次",":key{{dw}}")</t>
        </r>
      </text>
    </comment>
    <comment ref="F17" authorId="0">
      <text>
        <r>
          <rPr>
            <sz val="9"/>
            <color indexed="81"/>
            <rFont val="宋体"/>
            <family val="2"/>
          </rPr>
          <t>#Input("石化_生产计划部调运月报_轻柴油_榆能化_调入调运量",":key{{dw}}")</t>
        </r>
      </text>
    </comment>
    <comment ref="H17" authorId="0">
      <text>
        <r>
          <rPr>
            <sz val="9"/>
            <color indexed="81"/>
            <rFont val="宋体"/>
            <family val="2"/>
          </rPr>
          <t>#Input("石化_生产计划部调运月报_轻柴油_榆能化_调出车次",":key{{dw}}")</t>
        </r>
      </text>
    </comment>
    <comment ref="J17" authorId="0">
      <text>
        <r>
          <rPr>
            <sz val="9"/>
            <color indexed="81"/>
            <rFont val="宋体"/>
            <family val="2"/>
          </rPr>
          <t>#Input("石化_生产计划部调运月报_轻柴油_榆能化_调出调运量",":key{{dw}}")</t>
        </r>
      </text>
    </comment>
    <comment ref="D18" authorId="0">
      <text>
        <r>
          <rPr>
            <sz val="9"/>
            <color indexed="81"/>
            <rFont val="宋体"/>
            <family val="2"/>
          </rPr>
          <t>#Input("石化_生产计划部调运月报_烷基化油_榆炼_调入车次",":key{{dw}}")</t>
        </r>
      </text>
    </comment>
    <comment ref="F18" authorId="0">
      <text>
        <r>
          <rPr>
            <sz val="9"/>
            <color indexed="81"/>
            <rFont val="宋体"/>
            <family val="2"/>
          </rPr>
          <t>#Input("石化_生产计划部调运月报_烷基化油_榆炼_调入调运量",":key{{dw}}")</t>
        </r>
      </text>
    </comment>
    <comment ref="H18" authorId="0">
      <text>
        <r>
          <rPr>
            <sz val="9"/>
            <color indexed="81"/>
            <rFont val="宋体"/>
            <family val="2"/>
          </rPr>
          <t>#Input("石化_生产计划部调运月报_烷基化油_榆炼_调出车次",":key{{dw}}")</t>
        </r>
      </text>
    </comment>
    <comment ref="J18" authorId="0">
      <text>
        <r>
          <rPr>
            <sz val="9"/>
            <color indexed="81"/>
            <rFont val="宋体"/>
            <family val="2"/>
          </rPr>
          <t>#Input("石化_生产计划部调运月报_烷基化油_榆炼_调出调运量",":key{{dw}}")</t>
        </r>
      </text>
    </comment>
    <comment ref="D19" authorId="0">
      <text>
        <r>
          <rPr>
            <sz val="9"/>
            <color indexed="81"/>
            <rFont val="宋体"/>
            <family val="2"/>
          </rPr>
          <t>#Input("石化_生产计划部调运月报_烷基化油_永炼_调入车次",":key{{dw}}")</t>
        </r>
      </text>
    </comment>
    <comment ref="F19" authorId="0">
      <text>
        <r>
          <rPr>
            <sz val="9"/>
            <color indexed="81"/>
            <rFont val="宋体"/>
            <family val="2"/>
          </rPr>
          <t>#Input("石化_生产计划部调运月报_烷基化油_永炼_调入调运量",":key{{dw}}")</t>
        </r>
      </text>
    </comment>
    <comment ref="H19" authorId="0">
      <text>
        <r>
          <rPr>
            <sz val="9"/>
            <color indexed="81"/>
            <rFont val="宋体"/>
            <family val="2"/>
          </rPr>
          <t>#Input("石化_生产计划部调运月报_烷基化油_永炼_调出车次",":key{{dw}}")</t>
        </r>
      </text>
    </comment>
    <comment ref="J19" authorId="0">
      <text>
        <r>
          <rPr>
            <sz val="9"/>
            <color indexed="81"/>
            <rFont val="宋体"/>
            <family val="2"/>
          </rPr>
          <t>#Input("石化_生产计划部调运月报_烷基化油_永炼_调出调运量",":key{{dw}}")</t>
        </r>
      </text>
    </comment>
    <comment ref="D20" authorId="0">
      <text>
        <r>
          <rPr>
            <sz val="9"/>
            <color indexed="81"/>
            <rFont val="宋体"/>
            <family val="2"/>
          </rPr>
          <t>#Input("石化_生产计划部调运月报_烷基化油_外销_调入车次",":key{{dw}}")</t>
        </r>
      </text>
    </comment>
    <comment ref="F20" authorId="0">
      <text>
        <r>
          <rPr>
            <sz val="9"/>
            <color indexed="81"/>
            <rFont val="宋体"/>
            <family val="2"/>
          </rPr>
          <t>#Input("石化_生产计划部调运月报_烷基化油_外销_调入调运量",":key{{dw}}")</t>
        </r>
      </text>
    </comment>
    <comment ref="H20" authorId="0">
      <text>
        <r>
          <rPr>
            <sz val="9"/>
            <color indexed="81"/>
            <rFont val="宋体"/>
            <family val="2"/>
          </rPr>
          <t>#Input("石化_生产计划部调运月报_烷基化油_外销_调出车次",":key{{dw}}")</t>
        </r>
      </text>
    </comment>
    <comment ref="J20" authorId="0">
      <text>
        <r>
          <rPr>
            <sz val="9"/>
            <color indexed="81"/>
            <rFont val="宋体"/>
            <family val="2"/>
          </rPr>
          <t>#Input("石化_生产计划部调运月报_烷基化油_外销_调出调运量",":key{{dw}}")</t>
        </r>
      </text>
    </comment>
    <comment ref="D21" authorId="0">
      <text>
        <r>
          <rPr>
            <sz val="9"/>
            <color indexed="81"/>
            <rFont val="宋体"/>
            <family val="2"/>
          </rPr>
          <t>#Input("石化_生产计划部调运月报_MTBE_永炼_调入车次",":key{{dw}}")</t>
        </r>
      </text>
    </comment>
    <comment ref="F21" authorId="0">
      <text>
        <r>
          <rPr>
            <sz val="9"/>
            <color indexed="81"/>
            <rFont val="宋体"/>
            <family val="2"/>
          </rPr>
          <t>#Input("石化_生产计划部调运月报_MTBE_永炼_调入调运量",":key{{dw}}")</t>
        </r>
      </text>
    </comment>
    <comment ref="H21" authorId="0">
      <text>
        <r>
          <rPr>
            <sz val="9"/>
            <color indexed="81"/>
            <rFont val="宋体"/>
            <family val="2"/>
          </rPr>
          <t>#Input("石化_生产计划部调运月报_MTBE_永炼_调出车次",":key{{dw}}")</t>
        </r>
      </text>
    </comment>
    <comment ref="J21" authorId="0">
      <text>
        <r>
          <rPr>
            <sz val="9"/>
            <color indexed="81"/>
            <rFont val="宋体"/>
            <family val="2"/>
          </rPr>
          <t>#Input("石化_生产计划部调运月报_MTBE_永炼_调出调运量",":key{{dw}}")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>#Input("石化_生产计划部调运月报_MTBE_榆炼_调入车次",":key{{dw}}")</t>
        </r>
      </text>
    </comment>
    <comment ref="F22" authorId="0">
      <text>
        <r>
          <rPr>
            <sz val="9"/>
            <color indexed="81"/>
            <rFont val="宋体"/>
            <family val="2"/>
          </rPr>
          <t>#Input("石化_生产计划部调运月报_MTBE_榆炼_调入调运量",":key{{dw}}")</t>
        </r>
      </text>
    </comment>
    <comment ref="H22" authorId="0">
      <text>
        <r>
          <rPr>
            <sz val="9"/>
            <color indexed="81"/>
            <rFont val="宋体"/>
            <family val="2"/>
          </rPr>
          <t>#Input("石化_生产计划部调运月报_MTBE_榆炼_调出车次",":key{{dw}}")</t>
        </r>
      </text>
    </comment>
    <comment ref="J22" authorId="0">
      <text>
        <r>
          <rPr>
            <sz val="9"/>
            <color indexed="81"/>
            <rFont val="宋体"/>
            <family val="2"/>
          </rPr>
          <t>#Input("石化_生产计划部调运月报_MTBE_榆炼_调出调运量",":key{{dw}}")</t>
        </r>
      </text>
    </comment>
    <comment ref="D23" authorId="0">
      <text>
        <r>
          <rPr>
            <sz val="9"/>
            <color indexed="81"/>
            <rFont val="宋体"/>
            <family val="2"/>
          </rPr>
          <t>#Input("石化_生产计划部调运月报_MTBE_外销_调入车次",":key{{dw}}")</t>
        </r>
      </text>
    </comment>
    <comment ref="F23" authorId="0">
      <text>
        <r>
          <rPr>
            <sz val="9"/>
            <color indexed="81"/>
            <rFont val="宋体"/>
            <family val="2"/>
          </rPr>
          <t>#Input("石化_生产计划部调运月报_MTBE_外销_调入调运量",":key{{dw}}")</t>
        </r>
      </text>
    </comment>
    <comment ref="H23" authorId="0">
      <text>
        <r>
          <rPr>
            <sz val="9"/>
            <color indexed="81"/>
            <rFont val="宋体"/>
            <family val="2"/>
          </rPr>
          <t>#Input("石化_生产计划部调运月报_MTBE_外销_调出车次",":key{{dw}}")</t>
        </r>
      </text>
    </comment>
    <comment ref="J23" authorId="0">
      <text>
        <r>
          <rPr>
            <sz val="9"/>
            <color indexed="81"/>
            <rFont val="宋体"/>
            <family val="2"/>
          </rPr>
          <t>#Input("石化_生产计划部调运月报_MTBE_外销_调出调运量",":key{{dw}}")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#Input("石化_生产计划部调运月报_精制硫磺_外销_调入车次",":key{{dw}}")</t>
        </r>
      </text>
    </comment>
    <comment ref="F24" authorId="0">
      <text>
        <r>
          <rPr>
            <sz val="9"/>
            <color indexed="81"/>
            <rFont val="宋体"/>
            <family val="2"/>
          </rPr>
          <t>#Input("石化_生产计划部调运月报_精制硫磺_外销_调入调运量",":key{{dw}}")</t>
        </r>
      </text>
    </comment>
    <comment ref="H24" authorId="0">
      <text>
        <r>
          <rPr>
            <sz val="9"/>
            <color indexed="81"/>
            <rFont val="宋体"/>
            <family val="2"/>
          </rPr>
          <t>#Input("石化_生产计划部调运月报_精制硫磺_外销_调出车次",":key{{dw}}")</t>
        </r>
      </text>
    </comment>
    <comment ref="J24" authorId="0">
      <text>
        <r>
          <rPr>
            <sz val="9"/>
            <color indexed="81"/>
            <rFont val="宋体"/>
            <family val="2"/>
          </rPr>
          <t>#Input("石化_生产计划部调运月报_精制硫磺_外销_调出调运量",":key{{dw}}")</t>
        </r>
      </text>
    </comment>
    <comment ref="C25" authorId="0">
      <text>
        <r>
          <rPr>
            <sz val="9"/>
            <color indexed="81"/>
            <rFont val="宋体"/>
            <family val="2"/>
          </rPr>
          <t>#Input("石化_生产计划部调运月报_备注",":key{{dw}}")</t>
        </r>
      </text>
    </comment>
  </commentList>
</comments>
</file>

<file path=xl/sharedStrings.xml><?xml version="1.0" encoding="utf-8"?>
<sst xmlns="http://schemas.openxmlformats.org/spreadsheetml/2006/main" count="91" uniqueCount="33">
  <si>
    <t>延安石油化工厂调运月报</t>
  </si>
  <si>
    <t xml:space="preserve">填报单位：延安石油化工厂         </t>
  </si>
  <si>
    <t>日期:</t>
  </si>
  <si>
    <t>2025-01</t>
  </si>
  <si>
    <t>物料名称</t>
  </si>
  <si>
    <t>调运单位</t>
  </si>
  <si>
    <t>调入</t>
  </si>
  <si>
    <t>调出</t>
  </si>
  <si>
    <t>车次</t>
  </si>
  <si>
    <t>调运量</t>
  </si>
  <si>
    <t>本月</t>
  </si>
  <si>
    <t>累计</t>
  </si>
  <si>
    <t>一、常压石脑油</t>
  </si>
  <si>
    <t>永坪炼油厂</t>
  </si>
  <si>
    <t>榆林炼油厂</t>
  </si>
  <si>
    <t>二、催化柴油</t>
  </si>
  <si>
    <t>三、常压柴油</t>
  </si>
  <si>
    <t>四、粗硫磺</t>
  </si>
  <si>
    <t>外销</t>
  </si>
  <si>
    <t>五、异丁烷</t>
  </si>
  <si>
    <t>外购</t>
  </si>
  <si>
    <t>六、DCC</t>
  </si>
  <si>
    <t>榆能化</t>
  </si>
  <si>
    <t>七、异辛烷组分</t>
  </si>
  <si>
    <t>八、MTBE</t>
  </si>
  <si>
    <t>九、精制硫磺</t>
  </si>
  <si>
    <t>备注</t>
  </si>
  <si>
    <t>报表生成时间：</t>
  </si>
  <si>
    <t>2025-02-01</t>
  </si>
  <si>
    <t>8:00:00</t>
  </si>
  <si>
    <t>六、烷基化油</t>
  </si>
  <si>
    <t>七、MTBE</t>
  </si>
  <si>
    <t>八、精制硫磺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</si>
</sst>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7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sz val="11"/>
      <color rgb="FF000000"/>
      <name val="等线"/>
    </font>
    <font>
      <b/>
      <sz val="11"/>
      <color rgb="FF000000"/>
      <name val="等线"/>
    </font>
    <font>
      <b/>
      <sz val="11"/>
      <color theme="1"/>
      <name val="等线"/>
    </font>
    <font>
      <sz val="6"/>
      <color rgb="FF505050"/>
      <name val="Segoe UI"/>
    </font>
    <font>
      <b/>
      <sz val="18"/>
      <color theme="1"/>
      <name val="等线"/>
    </font>
    <font>
      <sz val="10"/>
      <color rgb="FF000000"/>
      <name val="等线"/>
    </font>
    <font>
      <sz val="7"/>
      <color rgb="FF000000"/>
      <name val="Times New Roman"/>
    </font>
    <font>
      <sz val="10"/>
      <color theme="1"/>
      <name val="等线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9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47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68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4" borderId="10" xfId="0" applyFont="1" applyFill="1" applyBorder="1">
      <alignment horizontal="center" vertical="center"/>
    </xf>
    <xf numFmtId="0" fontId="18" fillId="0" borderId="10" xfId="0" applyFont="1" applyBorder="1">
      <alignment horizontal="center" vertical="center"/>
    </xf>
    <xf numFmtId="0" fontId="18" fillId="4" borderId="11" xfId="0" applyFont="1" applyFill="1" applyBorder="1">
      <alignment horizontal="center" vertical="center"/>
    </xf>
    <xf numFmtId="0" fontId="18" fillId="0" borderId="10" xfId="0" applyFont="1" applyBorder="1">
      <alignment horizontal="center" vertical="center"/>
    </xf>
    <xf numFmtId="49" fontId="19" fillId="33" borderId="10" xfId="0" applyFont="1" applyFill="1" applyBorder="1" applyNumberFormat="1">
      <alignment horizontal="center" vertical="center"/>
    </xf>
    <xf numFmtId="49" fontId="19" fillId="33" borderId="12" xfId="0" applyFont="1" applyFill="1" applyBorder="1" applyNumberFormat="1">
      <alignment horizontal="center" vertical="center"/>
    </xf>
    <xf numFmtId="49" fontId="19" fillId="33" borderId="13" xfId="0" applyFont="1" applyFill="1" applyBorder="1" applyNumberFormat="1">
      <alignment horizontal="center" vertical="center"/>
    </xf>
    <xf numFmtId="49" fontId="19" fillId="33" borderId="13" xfId="0" applyFont="1" applyFill="1" applyBorder="1" applyNumberFormat="1">
      <alignment horizontal="center" vertical="center"/>
    </xf>
    <xf numFmtId="49" fontId="19" fillId="33" borderId="10" xfId="0" applyFont="1" applyFill="1" applyBorder="1" applyNumberFormat="1">
      <alignment horizontal="center" vertical="center"/>
    </xf>
    <xf numFmtId="49" fontId="20" fillId="0" borderId="10" xfId="0" applyFont="1" applyBorder="1" applyNumberFormat="1">
      <alignment vertical="center"/>
    </xf>
    <xf numFmtId="0" fontId="21" fillId="0" borderId="14" xfId="0" applyFont="1" applyBorder="1">
      <alignment horizontal="center" vertical="center"/>
    </xf>
    <xf numFmtId="0" fontId="22" fillId="0" borderId="0" xfId="0" applyFont="1">
      <alignment vertical="center"/>
    </xf>
    <xf numFmtId="0" fontId="18" fillId="0" borderId="10" xfId="0" applyFont="1" applyBorder="1">
      <alignment horizontal="right" vertical="center"/>
    </xf>
    <xf numFmtId="0" fontId="18" fillId="4" borderId="10" xfId="0" applyFont="1" applyFill="1" applyBorder="1">
      <alignment horizontal="right" vertical="center"/>
    </xf>
    <xf numFmtId="0" fontId="18" fillId="0" borderId="10" xfId="0" applyFont="1" applyBorder="1">
      <alignment horizontal="right" vertical="center"/>
    </xf>
    <xf numFmtId="0" fontId="23" fillId="0" borderId="12" xfId="0" applyFont="1" applyBorder="1">
      <alignment horizontal="center" vertical="center"/>
    </xf>
    <xf numFmtId="0" fontId="24" fillId="0" borderId="12" xfId="0" applyFont="1" applyBorder="1">
      <alignment horizontal="right" vertical="center"/>
    </xf>
    <xf numFmtId="0" fontId="18" fillId="4" borderId="10" xfId="0" applyFont="1" applyFill="1" applyBorder="1">
      <alignment horizontal="right" vertical="center"/>
    </xf>
    <xf numFmtId="0" fontId="18" fillId="0" borderId="10" xfId="0" applyFont="1" applyBorder="1">
      <alignment horizontal="right" vertical="center"/>
    </xf>
    <xf numFmtId="49" fontId="19" fillId="33" borderId="13" xfId="0" applyFont="1" applyFill="1" applyBorder="1" applyNumberFormat="1">
      <alignment horizontal="center" vertical="center"/>
    </xf>
    <xf numFmtId="49" fontId="19" fillId="33" borderId="13" xfId="0" applyFont="1" applyFill="1" applyBorder="1" applyNumberFormat="1">
      <alignment horizontal="center" vertical="center"/>
    </xf>
    <xf numFmtId="49" fontId="20" fillId="0" borderId="15" xfId="0" applyFont="1" applyBorder="1" applyNumberFormat="1">
      <alignment horizontal="left" vertical="center"/>
    </xf>
    <xf numFmtId="49" fontId="20" fillId="0" borderId="10" xfId="0" applyFont="1" applyBorder="1" applyNumberFormat="1">
      <alignment vertical="center"/>
    </xf>
    <xf numFmtId="0" fontId="18" fillId="0" borderId="10" xfId="0" applyFont="1" applyBorder="1">
      <alignment horizontal="right" vertical="center"/>
    </xf>
    <xf numFmtId="0" fontId="21" fillId="0" borderId="16" xfId="0" applyFont="1" applyBorder="1">
      <alignment horizontal="left" vertical="center"/>
    </xf>
    <xf numFmtId="0" fontId="18" fillId="4" borderId="10" xfId="0" applyFont="1" applyFill="1" applyBorder="1">
      <alignment horizontal="right" vertical="center"/>
    </xf>
    <xf numFmtId="49" fontId="19" fillId="33" borderId="10" xfId="0" applyFont="1" applyFill="1" applyBorder="1" applyNumberFormat="1">
      <alignment horizontal="center" vertical="center"/>
    </xf>
    <xf numFmtId="0" fontId="18" fillId="4" borderId="10" xfId="0" applyFont="1" applyFill="1" applyBorder="1">
      <alignment horizontal="center" vertical="center"/>
    </xf>
    <xf numFmtId="0" fontId="18" fillId="0" borderId="10" xfId="0" applyFont="1" applyBorder="1">
      <alignment horizontal="right" vertical="center"/>
    </xf>
    <xf numFmtId="49" fontId="19" fillId="33" borderId="10" xfId="0" applyFont="1" applyFill="1" applyBorder="1" applyNumberFormat="1">
      <alignment horizontal="center" vertical="center"/>
    </xf>
    <xf numFmtId="0" fontId="18" fillId="0" borderId="10" xfId="0" applyFont="1" applyBorder="1">
      <alignment horizontal="right" vertical="center"/>
    </xf>
    <xf numFmtId="0" fontId="21" fillId="0" borderId="10" xfId="0" applyFont="1" applyBorder="1">
      <alignment horizontal="left" vertical="center"/>
    </xf>
    <xf numFmtId="0" fontId="18" fillId="34" borderId="10" xfId="0" applyFont="1" applyFill="1" applyBorder="1">
      <alignment horizontal="center" vertical="center"/>
    </xf>
    <xf numFmtId="0" fontId="18" fillId="34" borderId="10" xfId="0" applyFont="1" applyFill="1" applyBorder="1">
      <alignment horizontal="right" vertical="center"/>
    </xf>
    <xf numFmtId="49" fontId="20" fillId="0" borderId="15" xfId="0" applyFont="1" applyBorder="1" applyNumberFormat="1">
      <alignment horizontal="left" vertical="center"/>
    </xf>
    <xf numFmtId="0" fontId="25" fillId="0" borderId="0" xfId="0" applyFont="1">
      <alignment horizontal="right" vertical="center"/>
    </xf>
    <xf numFmtId="49" fontId="25" fillId="0" borderId="0" xfId="0" applyFont="1" applyNumberFormat="1">
      <alignment horizontal="left" vertical="center"/>
    </xf>
    <xf numFmtId="0" fontId="26" fillId="0" borderId="12" xfId="0" applyFont="1" applyBorder="1">
      <alignment horizontal="left" vertical="center"/>
    </xf>
    <xf numFmtId="0" fontId="26" fillId="0" borderId="17" xfId="0" applyFont="1" applyBorder="1">
      <alignment horizontal="left" vertical="center"/>
    </xf>
    <xf numFmtId="0" fontId="21" fillId="0" borderId="10" xfId="0" applyFont="1" applyBorder="1">
      <alignment horizontal="left" vertical="center"/>
    </xf>
    <xf numFmtId="49" fontId="20" fillId="0" borderId="10" xfId="0" applyFont="1" applyBorder="1" applyNumberFormat="1">
      <alignment horizontal="left" vertical="center"/>
    </xf>
    <xf numFmtId="49" fontId="20" fillId="0" borderId="10" xfId="0" applyFont="1" applyBorder="1" applyNumberFormat="1">
      <alignment horizontal="left" vertical="center"/>
    </xf>
    <xf numFmtId="49" fontId="20" fillId="0" borderId="15" xfId="0" applyFont="1" applyBorder="1" applyNumberFormat="1">
      <alignment horizontal="left" vertical="center"/>
    </xf>
    <xf numFmtId="0" fontId="18" fillId="0" borderId="16" xfId="0" applyFont="1" applyBorder="1">
      <alignment horizontal="center" vertical="center"/>
    </xf>
    <xf numFmtId="0" fontId="18" fillId="0" borderId="18" xfId="0" applyFont="1" applyBorder="1">
      <alignment horizontal="center" vertical="center"/>
    </xf>
    <xf numFmtId="0" fontId="0" fillId="0" borderId="12" xfId="0" applyFont="1" applyBorder="1">
      <alignment horizontal="left" vertical="top" wrapText="1"/>
    </xf>
    <xf numFmtId="0" fontId="0" fillId="0" borderId="17" xfId="0" applyFont="1" applyBorder="1">
      <alignment horizontal="left" vertical="top" wrapText="1"/>
    </xf>
    <xf numFmtId="0" fontId="23" fillId="0" borderId="15" xfId="0" applyFont="1" applyBorder="1">
      <alignment horizontal="center" vertical="center"/>
    </xf>
    <xf numFmtId="0" fontId="18" fillId="0" borderId="10" xfId="0" applyFont="1" applyBorder="1">
      <alignment horizontal="center" vertical="center"/>
    </xf>
    <xf numFmtId="49" fontId="20" fillId="33" borderId="15" xfId="0" applyFont="1" applyFill="1" applyBorder="1" applyNumberFormat="1">
      <alignment horizontal="left" vertical="center"/>
    </xf>
    <xf numFmtId="49" fontId="20" fillId="33" borderId="18" xfId="0" applyFont="1" applyFill="1" applyBorder="1" applyNumberFormat="1">
      <alignment horizontal="left" vertical="center"/>
    </xf>
    <xf numFmtId="49" fontId="20" fillId="0" borderId="18" xfId="0" applyFont="1" applyBorder="1" applyNumberFormat="1">
      <alignment horizontal="left" vertical="center"/>
    </xf>
    <xf numFmtId="0" fontId="26" fillId="0" borderId="11" xfId="0" applyFont="1" applyBorder="1">
      <alignment horizontal="left" vertical="center"/>
    </xf>
    <xf numFmtId="0" fontId="24" fillId="0" borderId="12" xfId="0" applyFont="1" applyBorder="1">
      <alignment horizontal="left" vertical="center"/>
    </xf>
    <xf numFmtId="0" fontId="18" fillId="0" borderId="15" xfId="0" applyFont="1" applyBorder="1">
      <alignment horizontal="center" vertical="center"/>
    </xf>
    <xf numFmtId="0" fontId="21" fillId="0" borderId="15" xfId="0" applyFont="1" applyBorder="1">
      <alignment horizontal="left" vertical="center"/>
    </xf>
    <xf numFmtId="0" fontId="21" fillId="0" borderId="18" xfId="0" applyFont="1" applyBorder="1">
      <alignment horizontal="left" vertical="center"/>
    </xf>
    <xf numFmtId="0" fontId="0" fillId="0" borderId="0" xfId="0" applyFont="1">
      <alignment vertical="center" wrapText="1"/>
    </xf>
    <xf numFmtId="0" fontId="23" fillId="0" borderId="15" xfId="0" applyFont="1" applyBorder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>
      <alignment vertical="center" wrapText="1"/>
    </xf>
    <xf numFmtId="0" fontId="26" fillId="0" borderId="11" xfId="0" applyFont="1" applyBorder="1">
      <alignment horizontal="left" vertical="center" wrapText="1"/>
    </xf>
    <xf numFmtId="0" fontId="26" fillId="0" borderId="12" xfId="0" applyFont="1" applyBorder="1">
      <alignment horizontal="left" vertical="center" wrapText="1"/>
    </xf>
    <xf numFmtId="0" fontId="24" fillId="0" borderId="12" xfId="0" applyFont="1" applyBorder="1">
      <alignment horizontal="right" vertical="center" wrapText="1"/>
    </xf>
    <xf numFmtId="0" fontId="24" fillId="0" borderId="12" xfId="0" applyFont="1" applyBorder="1">
      <alignment horizontal="left" vertical="center" wrapText="1"/>
    </xf>
    <xf numFmtId="0" fontId="23" fillId="0" borderId="12" xfId="0" applyFont="1" applyBorder="1">
      <alignment horizontal="center" vertical="center" wrapText="1"/>
    </xf>
    <xf numFmtId="0" fontId="26" fillId="0" borderId="17" xfId="0" applyFont="1" applyBorder="1">
      <alignment horizontal="left" vertical="center" wrapText="1"/>
    </xf>
    <xf numFmtId="0" fontId="18" fillId="0" borderId="16" xfId="0" applyFont="1" applyBorder="1">
      <alignment horizontal="center" vertical="center" wrapText="1"/>
    </xf>
    <xf numFmtId="0" fontId="18" fillId="0" borderId="18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49" fontId="20" fillId="33" borderId="15" xfId="0" applyFont="1" applyFill="1" applyBorder="1" applyNumberFormat="1">
      <alignment horizontal="left" vertical="center" wrapText="1"/>
    </xf>
    <xf numFmtId="49" fontId="19" fillId="33" borderId="10" xfId="0" applyFont="1" applyFill="1" applyBorder="1" applyNumberFormat="1">
      <alignment horizontal="center" vertical="center" wrapText="1"/>
    </xf>
    <xf numFmtId="0" fontId="18" fillId="4" borderId="10" xfId="0" applyFont="1" applyFill="1" applyBorder="1">
      <alignment horizontal="right" vertical="center" wrapText="1"/>
      <protection locked="0"/>
    </xf>
    <xf numFmtId="0" fontId="18" fillId="0" borderId="10" xfId="0" applyFont="1" applyBorder="1">
      <alignment horizontal="right" vertical="center" wrapText="1"/>
    </xf>
    <xf numFmtId="0" fontId="18" fillId="0" borderId="10" xfId="0" applyFont="1" applyBorder="1">
      <alignment horizontal="right" vertical="center" wrapText="1"/>
    </xf>
    <xf numFmtId="49" fontId="20" fillId="33" borderId="18" xfId="0" applyFont="1" applyFill="1" applyBorder="1" applyNumberFormat="1">
      <alignment horizontal="left" vertical="center" wrapText="1"/>
    </xf>
    <xf numFmtId="49" fontId="20" fillId="0" borderId="15" xfId="0" applyFont="1" applyBorder="1" applyNumberFormat="1">
      <alignment horizontal="left" vertical="center" wrapText="1"/>
    </xf>
    <xf numFmtId="49" fontId="20" fillId="0" borderId="18" xfId="0" applyFont="1" applyBorder="1" applyNumberFormat="1">
      <alignment horizontal="left" vertical="center" wrapText="1"/>
    </xf>
    <xf numFmtId="0" fontId="21" fillId="0" borderId="10" xfId="0" applyFont="1" applyBorder="1">
      <alignment horizontal="left" vertical="center" wrapText="1"/>
    </xf>
    <xf numFmtId="49" fontId="19" fillId="33" borderId="10" xfId="0" applyFont="1" applyFill="1" applyBorder="1" applyNumberFormat="1">
      <alignment horizontal="center" vertical="center" wrapText="1"/>
    </xf>
    <xf numFmtId="0" fontId="0" fillId="0" borderId="0" xfId="0" applyFont="1">
      <alignment vertical="center"/>
    </xf>
    <xf numFmtId="49" fontId="19" fillId="33" borderId="10" xfId="0" applyFont="1" applyFill="1" applyBorder="1" applyNumberFormat="1">
      <alignment horizontal="center" vertical="center" wrapText="1"/>
    </xf>
    <xf numFmtId="0" fontId="18" fillId="4" borderId="10" xfId="0" applyFont="1" applyFill="1" applyBorder="1">
      <alignment horizontal="right" vertical="center" wrapText="1"/>
      <protection locked="0"/>
    </xf>
    <xf numFmtId="0" fontId="18" fillId="0" borderId="10" xfId="0" applyFont="1" applyBorder="1">
      <alignment horizontal="right" vertical="center" wrapText="1"/>
    </xf>
    <xf numFmtId="0" fontId="0" fillId="0" borderId="0" xfId="0" applyFont="1">
      <alignment vertical="center"/>
    </xf>
    <xf numFmtId="0" fontId="21" fillId="0" borderId="10" xfId="0" applyFont="1" applyBorder="1">
      <alignment horizontal="left" vertical="center" wrapText="1"/>
    </xf>
    <xf numFmtId="0" fontId="18" fillId="0" borderId="10" xfId="0" applyFont="1" applyBorder="1">
      <alignment horizontal="right" vertical="center" wrapText="1"/>
    </xf>
    <xf numFmtId="0" fontId="18" fillId="4" borderId="10" xfId="0" applyFont="1" applyFill="1" applyBorder="1">
      <alignment horizontal="right" vertical="center" wrapText="1"/>
      <protection locked="0"/>
    </xf>
    <xf numFmtId="49" fontId="20" fillId="0" borderId="15" xfId="0" applyFont="1" applyBorder="1" applyNumberFormat="1">
      <alignment horizontal="left" vertical="center" wrapText="1"/>
    </xf>
    <xf numFmtId="49" fontId="20" fillId="0" borderId="10" xfId="0" applyFont="1" applyBorder="1" applyNumberFormat="1">
      <alignment horizontal="left" vertical="center" wrapText="1"/>
    </xf>
    <xf numFmtId="49" fontId="19" fillId="33" borderId="13" xfId="0" applyFont="1" applyFill="1" applyBorder="1" applyNumberFormat="1">
      <alignment horizontal="center" vertical="center" wrapText="1"/>
    </xf>
    <xf numFmtId="49" fontId="20" fillId="0" borderId="10" xfId="0" applyFont="1" applyBorder="1" applyNumberFormat="1">
      <alignment horizontal="left" vertical="center" wrapText="1"/>
    </xf>
    <xf numFmtId="49" fontId="19" fillId="33" borderId="13" xfId="0" applyFont="1" applyFill="1" applyBorder="1" applyNumberFormat="1">
      <alignment horizontal="center" vertical="center" wrapText="1"/>
    </xf>
    <xf numFmtId="49" fontId="19" fillId="33" borderId="13" xfId="0" applyFont="1" applyFill="1" applyBorder="1" applyNumberFormat="1">
      <alignment horizontal="center" vertical="center" wrapText="1"/>
    </xf>
    <xf numFmtId="49" fontId="19" fillId="33" borderId="10" xfId="0" applyFont="1" applyFill="1" applyBorder="1" applyNumberFormat="1">
      <alignment horizontal="center" vertical="center" wrapText="1"/>
    </xf>
    <xf numFmtId="49" fontId="20" fillId="0" borderId="10" xfId="0" applyFont="1" applyBorder="1" applyNumberFormat="1">
      <alignment vertical="center" wrapText="1"/>
    </xf>
    <xf numFmtId="0" fontId="21" fillId="0" borderId="14" xfId="0" applyFont="1" applyBorder="1">
      <alignment horizontal="center" vertical="center" wrapText="1"/>
    </xf>
    <xf numFmtId="0" fontId="0" fillId="0" borderId="12" xfId="0" applyFont="1" applyBorder="1">
      <alignment horizontal="left" vertical="top" wrapText="1"/>
      <protection locked="0"/>
    </xf>
    <xf numFmtId="0" fontId="0" fillId="0" borderId="12" xfId="0" applyFont="1" applyBorder="1">
      <alignment horizontal="left" vertical="top" wrapText="1"/>
    </xf>
    <xf numFmtId="0" fontId="0" fillId="0" borderId="17" xfId="0" applyFont="1" applyBorder="1">
      <alignment horizontal="left" vertical="top" wrapText="1"/>
    </xf>
    <xf numFmtId="0" fontId="18" fillId="0" borderId="15" xfId="0" applyFont="1" applyBorder="1">
      <alignment horizontal="center" vertical="center" wrapText="1"/>
    </xf>
    <xf numFmtId="0" fontId="25" fillId="0" borderId="0" xfId="0" applyFont="1">
      <alignment horizontal="right" vertical="center" wrapText="1"/>
    </xf>
    <xf numFmtId="49" fontId="25" fillId="0" borderId="0" xfId="0" applyFont="1" applyNumberFormat="1">
      <alignment horizontal="left" vertical="center" wrapText="1"/>
    </xf>
    <xf numFmtId="0" fontId="18" fillId="0" borderId="10" xfId="0" applyFont="1" applyBorder="1">
      <alignment horizontal="center" vertical="center" wrapText="1"/>
    </xf>
    <xf numFmtId="0" fontId="18" fillId="34" borderId="10" xfId="0" applyFont="1" applyFill="1" applyBorder="1">
      <alignment horizontal="center" vertical="center" wrapText="1"/>
    </xf>
    <xf numFmtId="0" fontId="18" fillId="34" borderId="10" xfId="0" applyFont="1" applyFill="1" applyBorder="1">
      <alignment horizontal="right" vertical="center" wrapText="1"/>
    </xf>
    <xf numFmtId="0" fontId="18" fillId="4" borderId="10" xfId="0" applyFont="1" applyFill="1" applyBorder="1">
      <alignment horizontal="center" vertical="center" wrapText="1"/>
    </xf>
    <xf numFmtId="0" fontId="22" fillId="0" borderId="0" xfId="0" applyFont="1">
      <alignment vertical="center" wrapText="1"/>
    </xf>
    <xf numFmtId="0" fontId="21" fillId="0" borderId="15" xfId="0" applyFont="1" applyBorder="1">
      <alignment horizontal="left" vertical="center" wrapText="1"/>
    </xf>
    <xf numFmtId="0" fontId="18" fillId="4" borderId="10" xfId="0" applyFont="1" applyFill="1" applyBorder="1">
      <alignment horizontal="center" vertical="center" wrapText="1"/>
    </xf>
    <xf numFmtId="0" fontId="21" fillId="0" borderId="18" xfId="0" applyFont="1" applyBorder="1">
      <alignment horizontal="left" vertical="center" wrapText="1"/>
    </xf>
    <xf numFmtId="0" fontId="0" fillId="0" borderId="0" xfId="0" applyFont="1">
      <alignment vertical="center"/>
    </xf>
    <xf numFmtId="0" fontId="21" fillId="0" borderId="16" xfId="0" applyFont="1" applyBorder="1">
      <alignment horizontal="left" vertical="center" wrapText="1"/>
    </xf>
    <xf numFmtId="0" fontId="18" fillId="0" borderId="10" xfId="0" applyFont="1" applyBorder="1">
      <alignment horizontal="right" vertical="center" wrapText="1"/>
    </xf>
    <xf numFmtId="49" fontId="20" fillId="0" borderId="15" xfId="0" applyFont="1" applyBorder="1" applyNumberFormat="1">
      <alignment horizontal="left" vertical="center" wrapText="1"/>
    </xf>
    <xf numFmtId="49" fontId="19" fillId="33" borderId="12" xfId="0" applyFont="1" applyFill="1" applyBorder="1" applyNumberFormat="1">
      <alignment horizontal="center" vertical="center" wrapText="1"/>
    </xf>
    <xf numFmtId="49" fontId="19" fillId="33" borderId="13" xfId="0" applyFont="1" applyFill="1" applyBorder="1" applyNumberFormat="1">
      <alignment horizontal="center" vertical="center" wrapText="1"/>
    </xf>
    <xf numFmtId="49" fontId="20" fillId="0" borderId="10" xfId="0" applyFont="1" applyBorder="1" applyNumberFormat="1">
      <alignment vertical="center" wrapText="1"/>
    </xf>
    <xf numFmtId="0" fontId="18" fillId="4" borderId="11" xfId="0" applyFont="1" applyFill="1" applyBorder="1">
      <alignment horizontal="center" vertical="center" wrapText="1"/>
    </xf>
    <xf numFmtId="0" fontId="18" fillId="0" borderId="10" xfId="0" applyFont="1" applyBorder="1">
      <alignment horizontal="right" vertical="center"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2E3E088-3448-3E08-9728-79D2A644B768}" mc:Ignorable="x14ac xr xr2 xr3">
  <dimension ref="A1:L27"/>
  <sheetViews>
    <sheetView showGridLines="0" zoomScale="105" workbookViewId="0" tabSelected="1">
      <pane xSplit="3" ySplit="6" topLeftCell="D7" activePane="bottomRight" state="frozen"/>
      <selection pane="bottomLeft" activeCell="A7" sqref="A7"/>
      <selection pane="topRight" activeCell="D1" sqref="D1"/>
      <selection pane="bottomRight" activeCell="A1" sqref="A1"/>
    </sheetView>
  </sheetViews>
  <sheetFormatPr defaultColWidth="9.00390625" customHeight="1" defaultRowHeight="14.002500000000003"/>
  <cols>
    <col min="1" max="1" width="2.57421875" customWidth="1"/>
    <col min="2" max="2" width="16.140625" customWidth="1"/>
    <col min="3" max="3" width="18.421875" customWidth="1"/>
    <col min="4" max="11" width="11.00390625" customWidth="1"/>
  </cols>
  <sheetData>
    <row customHeight="1" ht="2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customHeight="1" ht="41.25">
      <c r="A2" s="104"/>
      <c r="B2" s="105" t="s">
        <v>0</v>
      </c>
      <c r="C2" s="105"/>
      <c r="D2" s="105"/>
      <c r="E2" s="105"/>
      <c r="F2" s="105"/>
      <c r="G2" s="105"/>
      <c r="H2" s="105"/>
      <c r="I2" s="105"/>
      <c r="J2" s="105"/>
      <c r="K2" s="105"/>
      <c r="L2" s="104"/>
    </row>
    <row s="106" customFormat="1" customHeight="1" ht="20.25">
      <c r="A3" s="107"/>
      <c r="B3" s="108" t="s">
        <v>1</v>
      </c>
      <c r="C3" s="109"/>
      <c r="D3" s="110" t="s">
        <v>2</v>
      </c>
      <c r="E3" s="111" t="s">
        <v>3</v>
      </c>
      <c r="F3" s="111"/>
      <c r="G3" s="112"/>
      <c r="H3" s="109" t="str">
        <f>取值!K1&amp;取值!L1&amp;"  "&amp;取值!M1</f>
        <v>报表生成时间：2025-02-01  8:00:00</v>
      </c>
      <c r="I3" s="109"/>
      <c r="J3" s="109"/>
      <c r="K3" s="113"/>
      <c r="L3" s="107"/>
    </row>
    <row customHeight="1" ht="20.25">
      <c r="A4" s="104"/>
      <c r="B4" s="114" t="s">
        <v>4</v>
      </c>
      <c r="C4" s="114" t="s">
        <v>5</v>
      </c>
      <c r="D4" s="115" t="s">
        <v>6</v>
      </c>
      <c r="E4" s="115"/>
      <c r="F4" s="115"/>
      <c r="G4" s="115"/>
      <c r="H4" s="115" t="s">
        <v>7</v>
      </c>
      <c r="I4" s="115"/>
      <c r="J4" s="115"/>
      <c r="K4" s="115"/>
      <c r="L4" s="104"/>
    </row>
    <row customHeight="1" ht="20.25">
      <c r="A5" s="104"/>
      <c r="B5" s="114"/>
      <c r="C5" s="114"/>
      <c r="D5" s="116" t="s">
        <v>8</v>
      </c>
      <c r="E5" s="116"/>
      <c r="F5" s="116" t="s">
        <v>9</v>
      </c>
      <c r="G5" s="116"/>
      <c r="H5" s="116" t="s">
        <v>8</v>
      </c>
      <c r="I5" s="116"/>
      <c r="J5" s="116" t="s">
        <v>9</v>
      </c>
      <c r="K5" s="116"/>
      <c r="L5" s="104"/>
    </row>
    <row customHeight="1" ht="20.25">
      <c r="A6" s="104"/>
      <c r="B6" s="115"/>
      <c r="C6" s="115"/>
      <c r="D6" s="117" t="s">
        <v>10</v>
      </c>
      <c r="E6" s="117" t="s">
        <v>11</v>
      </c>
      <c r="F6" s="117" t="s">
        <v>10</v>
      </c>
      <c r="G6" s="117" t="s">
        <v>11</v>
      </c>
      <c r="H6" s="117" t="s">
        <v>10</v>
      </c>
      <c r="I6" s="117" t="s">
        <v>11</v>
      </c>
      <c r="J6" s="117" t="s">
        <v>10</v>
      </c>
      <c r="K6" s="117" t="s">
        <v>11</v>
      </c>
      <c r="L6" s="104"/>
    </row>
    <row customHeight="1" ht="20.25">
      <c r="A7" s="104"/>
      <c r="B7" s="118" t="s">
        <v>12</v>
      </c>
      <c r="C7" s="119" t="s">
        <v>13</v>
      </c>
      <c r="D7" s="120">
        <v>845</v>
      </c>
      <c r="E7" s="121">
        <f>SUM(D7,取值!D4)</f>
        <v>845</v>
      </c>
      <c r="F7" s="120">
        <v>27138.16</v>
      </c>
      <c r="G7" s="122">
        <f>SUM(F7,取值!F4)</f>
        <v>27138.16</v>
      </c>
      <c r="H7" s="120" t="str">
        <f>IF(取值!G4=0,"",取值!G4)</f>
        <v/>
      </c>
      <c r="I7" s="122">
        <f>SUM(H7,取值!H4)</f>
        <v>0</v>
      </c>
      <c r="J7" s="120" t="str">
        <f>IF(取值!I4=0,"",取值!I4)</f>
        <v/>
      </c>
      <c r="K7" s="122">
        <f>SUM(J7,取值!J4)</f>
        <v>0</v>
      </c>
      <c r="L7" s="104"/>
    </row>
    <row customHeight="1" ht="20.25">
      <c r="A8" s="104"/>
      <c r="B8" s="123"/>
      <c r="C8" s="119" t="s">
        <v>14</v>
      </c>
      <c r="D8" s="120">
        <v>15</v>
      </c>
      <c r="E8" s="121">
        <f>SUM(D8,取值!D5)</f>
        <v>15</v>
      </c>
      <c r="F8" s="120">
        <v>486.3</v>
      </c>
      <c r="G8" s="122">
        <f>SUM(F8,取值!F5)</f>
        <v>486.3</v>
      </c>
      <c r="H8" s="120" t="str">
        <f>IF(取值!G5=0,"",取值!G5)</f>
        <v/>
      </c>
      <c r="I8" s="122">
        <f>SUM(H8,取值!H5)</f>
        <v>0</v>
      </c>
      <c r="J8" s="120" t="str">
        <f>IF(取值!I5=0,"",取值!I5)</f>
        <v/>
      </c>
      <c r="K8" s="122">
        <f>SUM(J8,取值!J5)</f>
        <v>0</v>
      </c>
      <c r="L8" s="104"/>
    </row>
    <row customHeight="1" ht="20.25">
      <c r="A9" s="104"/>
      <c r="B9" s="118" t="s">
        <v>15</v>
      </c>
      <c r="C9" s="119" t="s">
        <v>13</v>
      </c>
      <c r="D9" s="120" t="str">
        <f>IF(取值!C6=0,"",取值!C6)</f>
        <v/>
      </c>
      <c r="E9" s="121">
        <f>SUM(D9,取值!D6)</f>
        <v>0</v>
      </c>
      <c r="F9" s="120" t="str">
        <f>IF(取值!E6=0,"",取值!E6)</f>
        <v/>
      </c>
      <c r="G9" s="122">
        <f>SUM(F9,取值!F6)</f>
        <v>0</v>
      </c>
      <c r="H9" s="120" t="str">
        <f>IF(取值!G6=0,"",取值!G6)</f>
        <v/>
      </c>
      <c r="I9" s="122">
        <f>SUM(H9,取值!H6)</f>
        <v>0</v>
      </c>
      <c r="J9" s="120" t="str">
        <f>IF(取值!I6=0,"",取值!I6)</f>
        <v/>
      </c>
      <c r="K9" s="122">
        <f>SUM(J9,取值!J6)</f>
        <v>0</v>
      </c>
      <c r="L9" s="104"/>
    </row>
    <row customHeight="1" ht="20.25">
      <c r="A10" s="104"/>
      <c r="B10" s="123"/>
      <c r="C10" s="119" t="s">
        <v>14</v>
      </c>
      <c r="D10" s="120" t="str">
        <f>IF(取值!C7=0,"",取值!C7)</f>
        <v/>
      </c>
      <c r="E10" s="121">
        <f>SUM(D10,取值!D7)</f>
        <v>0</v>
      </c>
      <c r="F10" s="120" t="str">
        <f>IF(取值!E7=0,"",取值!E7)</f>
        <v/>
      </c>
      <c r="G10" s="122">
        <f>SUM(F10,取值!F7)</f>
        <v>0</v>
      </c>
      <c r="H10" s="120" t="str">
        <f>IF(取值!G7=0,"",取值!G7)</f>
        <v/>
      </c>
      <c r="I10" s="122">
        <f>SUM(H10,取值!H7)</f>
        <v>0</v>
      </c>
      <c r="J10" s="120" t="str">
        <f>IF(取值!I7=0,"",取值!I7)</f>
        <v/>
      </c>
      <c r="K10" s="122">
        <f>SUM(J10,取值!J7)</f>
        <v>0</v>
      </c>
      <c r="L10" s="104"/>
    </row>
    <row customHeight="1" ht="20.25">
      <c r="A11" s="104"/>
      <c r="B11" s="124" t="s">
        <v>16</v>
      </c>
      <c r="C11" s="119" t="s">
        <v>13</v>
      </c>
      <c r="D11" s="120" t="str">
        <f>IF(取值!C8=0,"",取值!C8)</f>
        <v/>
      </c>
      <c r="E11" s="121">
        <f>SUM(D11,取值!D8)</f>
        <v>0</v>
      </c>
      <c r="F11" s="120" t="str">
        <f>IF(取值!E8=0,"",取值!E8)</f>
        <v/>
      </c>
      <c r="G11" s="122">
        <f>SUM(F11,取值!F8)</f>
        <v>0</v>
      </c>
      <c r="H11" s="120" t="str">
        <f>IF(取值!G8=0,"",取值!G8)</f>
        <v/>
      </c>
      <c r="I11" s="122">
        <f>SUM(H11,取值!H8)</f>
        <v>0</v>
      </c>
      <c r="J11" s="120" t="str">
        <f>IF(取值!I8=0,"",取值!I8)</f>
        <v/>
      </c>
      <c r="K11" s="122">
        <f>SUM(J11,取值!J8)</f>
        <v>0</v>
      </c>
      <c r="L11" s="104"/>
    </row>
    <row customHeight="1" ht="20.25">
      <c r="A12" s="104"/>
      <c r="B12" s="125"/>
      <c r="C12" s="119" t="s">
        <v>14</v>
      </c>
      <c r="D12" s="120" t="str">
        <f>IF(取值!C9=0,"",取值!C9)</f>
        <v/>
      </c>
      <c r="E12" s="121">
        <f>SUM(D12,取值!D9)</f>
        <v>0</v>
      </c>
      <c r="F12" s="120" t="str">
        <f>IF(取值!E9=0,"",取值!E9)</f>
        <v/>
      </c>
      <c r="G12" s="122">
        <f>SUM(F12,取值!F9)</f>
        <v>0</v>
      </c>
      <c r="H12" s="120" t="str">
        <f>IF(取值!G9=0,"",取值!G9)</f>
        <v/>
      </c>
      <c r="I12" s="122">
        <f>SUM(H12,取值!H9)</f>
        <v>0</v>
      </c>
      <c r="J12" s="120" t="str">
        <f>IF(取值!I9=0,"",取值!I9)</f>
        <v/>
      </c>
      <c r="K12" s="122">
        <f>SUM(J12,取值!J9)</f>
        <v>0</v>
      </c>
      <c r="L12" s="104"/>
    </row>
    <row customHeight="1" ht="20.25">
      <c r="A13" s="104"/>
      <c r="B13" s="126" t="s">
        <v>17</v>
      </c>
      <c r="C13" s="127" t="s">
        <v>13</v>
      </c>
      <c r="D13" s="120" t="str">
        <f>IF(取值!C10=0,"",取值!C10)</f>
        <v/>
      </c>
      <c r="E13" s="121">
        <f>SUM(D13,取值!D10)</f>
        <v>0</v>
      </c>
      <c r="F13" s="120" t="str">
        <f>IF(取值!E10=0,"",取值!E10)</f>
        <v/>
      </c>
      <c r="G13" s="122">
        <f>SUM(F13,取值!F10)</f>
        <v>0</v>
      </c>
      <c r="H13" s="120" t="str">
        <f>IF(取值!G10=0,"",取值!G10)</f>
        <v/>
      </c>
      <c r="I13" s="122">
        <f>SUM(H13,取值!H10)</f>
        <v>0</v>
      </c>
      <c r="J13" s="120" t="str">
        <f>IF(取值!I10=0,"",取值!I10)</f>
        <v/>
      </c>
      <c r="K13" s="122">
        <f>SUM(J13,取值!J10)</f>
        <v>0</v>
      </c>
      <c r="L13" s="104"/>
    </row>
    <row customHeight="1" ht="20.25">
      <c r="A14" s="104"/>
      <c r="B14" s="126"/>
      <c r="C14" s="127" t="s">
        <v>14</v>
      </c>
      <c r="D14" s="120" t="str">
        <f>IF(取值!C11=0,"",取值!C11)</f>
        <v/>
      </c>
      <c r="E14" s="121">
        <f>SUM(D14,取值!D11)</f>
        <v>0</v>
      </c>
      <c r="F14" s="120" t="str">
        <f>IF(取值!E11=0,"",取值!E11)</f>
        <v/>
      </c>
      <c r="G14" s="122">
        <f>SUM(F14,取值!F11)</f>
        <v>0</v>
      </c>
      <c r="H14" s="120" t="str">
        <f>IF(取值!G11=0,"",取值!G11)</f>
        <v/>
      </c>
      <c r="I14" s="122">
        <f>SUM(H14,取值!H11)</f>
        <v>0</v>
      </c>
      <c r="J14" s="120" t="str">
        <f>IF(取值!I11=0,"",取值!I11)</f>
        <v/>
      </c>
      <c r="K14" s="122">
        <f>SUM(J14,取值!J11)</f>
        <v>0</v>
      </c>
      <c r="L14" s="104"/>
    </row>
    <row s="128" customFormat="1" customHeight="1" ht="20.25">
      <c r="A15" s="107"/>
      <c r="B15" s="126"/>
      <c r="C15" s="129" t="s">
        <v>18</v>
      </c>
      <c r="D15" s="130" t="str">
        <f>IF(取值!C12=0,"",取值!C12)</f>
        <v/>
      </c>
      <c r="E15" s="131">
        <f>SUM(D15,取值!D12)</f>
        <v>0</v>
      </c>
      <c r="F15" s="130" t="str">
        <f>IF(取值!E12=0,"",取值!E12)</f>
        <v/>
      </c>
      <c r="G15" s="131">
        <f>SUM(F15,取值!F12)</f>
        <v>0</v>
      </c>
      <c r="H15" s="130" t="str">
        <f>IF(取值!G13=0,"",取值!G13)</f>
        <v/>
      </c>
      <c r="I15" s="131">
        <f>SUM(H15,取值!H12)</f>
        <v>0</v>
      </c>
      <c r="J15" s="130" t="str">
        <f>IF(取值!I13=0,"",取值!I13)</f>
        <v/>
      </c>
      <c r="K15" s="131">
        <f>SUM(J15,取值!J12)</f>
        <v>0</v>
      </c>
      <c r="L15" s="107"/>
    </row>
    <row s="132" customFormat="1" customHeight="1" ht="20.25">
      <c r="A16" s="107"/>
      <c r="B16" s="133" t="s">
        <v>19</v>
      </c>
      <c r="C16" s="127" t="s">
        <v>20</v>
      </c>
      <c r="D16" s="130">
        <v>44</v>
      </c>
      <c r="E16" s="134">
        <f>SUM(D16,取值!D21)</f>
        <v>44</v>
      </c>
      <c r="F16" s="130">
        <v>1064.76</v>
      </c>
      <c r="G16" s="134">
        <f>SUM(F16,取值!F21)</f>
        <v>1064.76</v>
      </c>
      <c r="H16" s="135"/>
      <c r="I16" s="134">
        <f>SUM(取值!H21,Sheet1!H16)</f>
        <v>0</v>
      </c>
      <c r="J16" s="135"/>
      <c r="K16" s="134">
        <f>SUM(J16,取值!J21)</f>
        <v>0</v>
      </c>
      <c r="L16" s="107"/>
    </row>
    <row customHeight="1" ht="20.25">
      <c r="A17" s="104"/>
      <c r="B17" s="136" t="s">
        <v>21</v>
      </c>
      <c r="C17" s="117" t="s">
        <v>22</v>
      </c>
      <c r="D17" s="120" t="str">
        <f>IF(取值!C13=0,"",取值!C13)</f>
        <v/>
      </c>
      <c r="E17" s="121">
        <f>SUM(D17,取值!D13)</f>
        <v>0</v>
      </c>
      <c r="F17" s="120" t="str">
        <f>IF(取值!E13=0,"",取值!E13)</f>
        <v/>
      </c>
      <c r="G17" s="122">
        <f>SUM(F17,取值!F13)</f>
        <v>0</v>
      </c>
      <c r="H17" s="120" t="str">
        <f>IF(取值!G13=0,"",取值!G13)</f>
        <v/>
      </c>
      <c r="I17" s="122">
        <f>SUM(H17,取值!H13)</f>
        <v>0</v>
      </c>
      <c r="J17" s="120" t="str">
        <f>IF(取值!I13=0,"",取值!I13)</f>
        <v/>
      </c>
      <c r="K17" s="122">
        <f>SUM(J17,取值!J13)</f>
        <v>0</v>
      </c>
      <c r="L17" s="104"/>
    </row>
    <row customHeight="1" ht="20.25">
      <c r="A18" s="104"/>
      <c r="B18" s="137" t="s">
        <v>23</v>
      </c>
      <c r="C18" s="138" t="s">
        <v>13</v>
      </c>
      <c r="D18" s="120" t="str">
        <f>IF(取值!C14=0,"",取值!C14)</f>
        <v/>
      </c>
      <c r="E18" s="121">
        <f>SUM(D18,取值!D14)</f>
        <v>0</v>
      </c>
      <c r="F18" s="120" t="str">
        <f>IF(取值!E14=0,"",取值!E14)</f>
        <v/>
      </c>
      <c r="G18" s="122">
        <f>SUM(F18,取值!F14)</f>
        <v>0</v>
      </c>
      <c r="H18" s="120">
        <v>159</v>
      </c>
      <c r="I18" s="122">
        <f>SUM(H18,取值!H14)</f>
        <v>159</v>
      </c>
      <c r="J18" s="120">
        <v>4972.5</v>
      </c>
      <c r="K18" s="122">
        <f>SUM(J18,取值!J14)</f>
        <v>4972.5</v>
      </c>
      <c r="L18" s="104"/>
    </row>
    <row customHeight="1" ht="20.25">
      <c r="A19" s="104"/>
      <c r="B19" s="139"/>
      <c r="C19" s="140" t="s">
        <v>14</v>
      </c>
      <c r="D19" s="120" t="str">
        <f>IF(取值!C15=0,"",取值!C15)</f>
        <v/>
      </c>
      <c r="E19" s="121">
        <f>SUM(D19,取值!D15)</f>
        <v>0</v>
      </c>
      <c r="F19" s="120" t="str">
        <f>IF(取值!E15=0,"",取值!E15)</f>
        <v/>
      </c>
      <c r="G19" s="122">
        <f>SUM(F19,取值!F15)</f>
        <v>0</v>
      </c>
      <c r="H19" s="120">
        <v>175</v>
      </c>
      <c r="I19" s="122">
        <f>SUM(H19,取值!H15)</f>
        <v>175</v>
      </c>
      <c r="J19" s="120">
        <v>5423.4</v>
      </c>
      <c r="K19" s="122">
        <f>SUM(J19,取值!J15)</f>
        <v>5423.4</v>
      </c>
      <c r="L19" s="104"/>
    </row>
    <row customHeight="1" ht="20.25">
      <c r="A20" s="104"/>
      <c r="B20" s="124"/>
      <c r="C20" s="141" t="s">
        <v>18</v>
      </c>
      <c r="D20" s="120" t="str">
        <f>IF(取值!C16=0,"",取值!C16)</f>
        <v/>
      </c>
      <c r="E20" s="121">
        <f>SUM(D20,取值!D16)</f>
        <v>0</v>
      </c>
      <c r="F20" s="120" t="str">
        <f>IF(取值!E16=0,"",取值!E16)</f>
        <v/>
      </c>
      <c r="G20" s="122">
        <f>SUM(F20,取值!F16)</f>
        <v>0</v>
      </c>
      <c r="H20" s="120" t="str">
        <f>IF(取值!G16=0,"",取值!G16)</f>
        <v/>
      </c>
      <c r="I20" s="122">
        <f>SUM(H20,取值!H16)</f>
        <v>0</v>
      </c>
      <c r="J20" s="120" t="str">
        <f>IF(取值!I16=0,"",取值!I16)</f>
        <v/>
      </c>
      <c r="K20" s="122">
        <f>SUM(J20,取值!J16)</f>
        <v>0</v>
      </c>
      <c r="L20" s="104"/>
    </row>
    <row customHeight="1" ht="20.25">
      <c r="A21" s="104"/>
      <c r="B21" s="139" t="s">
        <v>24</v>
      </c>
      <c r="C21" s="142" t="s">
        <v>13</v>
      </c>
      <c r="D21" s="120" t="str">
        <f>IF(取值!C17=0,"",取值!C17)</f>
        <v/>
      </c>
      <c r="E21" s="121">
        <f>SUM(D21,取值!D17)</f>
        <v>0</v>
      </c>
      <c r="F21" s="120" t="str">
        <f>IF(取值!E17=0,"",取值!E17)</f>
        <v/>
      </c>
      <c r="G21" s="122">
        <f>SUM(F21,取值!F17)</f>
        <v>0</v>
      </c>
      <c r="H21" s="120">
        <v>96</v>
      </c>
      <c r="I21" s="122">
        <f>SUM(H21,取值!H17)</f>
        <v>96</v>
      </c>
      <c r="J21" s="120">
        <v>3008.44</v>
      </c>
      <c r="K21" s="122">
        <f>SUM(J21,取值!J17)</f>
        <v>3008.44</v>
      </c>
      <c r="L21" s="104"/>
    </row>
    <row customHeight="1" ht="20.25">
      <c r="A22" s="104"/>
      <c r="B22" s="139"/>
      <c r="C22" s="142" t="s">
        <v>14</v>
      </c>
      <c r="D22" s="120" t="str">
        <f>IF(取值!C18=0,"",取值!C18)</f>
        <v/>
      </c>
      <c r="E22" s="121">
        <f>SUM(D22,取值!D18)</f>
        <v>0</v>
      </c>
      <c r="F22" s="120" t="str">
        <f>IF(取值!E18=0,"",取值!E18)</f>
        <v/>
      </c>
      <c r="G22" s="122">
        <f>SUM(F22,取值!F18)</f>
        <v>0</v>
      </c>
      <c r="H22" s="120" t="str">
        <f>IF(取值!G18=0,"",取值!G18)</f>
        <v/>
      </c>
      <c r="I22" s="122">
        <f>SUM(H22,取值!H18)</f>
        <v>0</v>
      </c>
      <c r="J22" s="120" t="str">
        <f>IF(取值!I18=0,"",取值!I18)</f>
        <v/>
      </c>
      <c r="K22" s="122">
        <f>SUM(J22,取值!J18)</f>
        <v>0</v>
      </c>
      <c r="L22" s="104"/>
    </row>
    <row customHeight="1" ht="20.25">
      <c r="A23" s="104"/>
      <c r="B23" s="139"/>
      <c r="C23" s="142" t="s">
        <v>18</v>
      </c>
      <c r="D23" s="120" t="str">
        <f>IF(取值!C19=0,"",取值!C19)</f>
        <v/>
      </c>
      <c r="E23" s="121">
        <f>SUM(D23,取值!D19)</f>
        <v>0</v>
      </c>
      <c r="F23" s="120" t="str">
        <f>IF(取值!E19=0,"",取值!E19)</f>
        <v/>
      </c>
      <c r="G23" s="122">
        <f>SUM(F23,取值!F19)</f>
        <v>0</v>
      </c>
      <c r="H23" s="120" t="str">
        <f>IF(取值!G19=0,"",取值!G19)</f>
        <v/>
      </c>
      <c r="I23" s="122">
        <f>SUM(H23,取值!H19)</f>
        <v>0</v>
      </c>
      <c r="J23" s="120" t="str">
        <f>IF(取值!I19=0,"",取值!I19)</f>
        <v/>
      </c>
      <c r="K23" s="122">
        <f>SUM(J23,取值!J19)</f>
        <v>0</v>
      </c>
      <c r="L23" s="104"/>
    </row>
    <row customHeight="1" ht="20.25">
      <c r="A24" s="104"/>
      <c r="B24" s="143" t="s">
        <v>25</v>
      </c>
      <c r="C24" s="142" t="s">
        <v>18</v>
      </c>
      <c r="D24" s="120" t="str">
        <f>IF(取值!C20=0,"",取值!C20)</f>
        <v/>
      </c>
      <c r="E24" s="121">
        <f>SUM(D24,取值!D20)</f>
        <v>0</v>
      </c>
      <c r="F24" s="120" t="str">
        <f>IF(取值!E20=0,"",取值!E20)</f>
        <v/>
      </c>
      <c r="G24" s="122">
        <f>SUM(F24,取值!F20)</f>
        <v>0</v>
      </c>
      <c r="H24" s="120">
        <v>4</v>
      </c>
      <c r="I24" s="122">
        <f>SUM(H24,取值!H20)</f>
        <v>4</v>
      </c>
      <c r="J24" s="120">
        <v>136</v>
      </c>
      <c r="K24" s="122">
        <f>SUM(J24,取值!J20)</f>
        <v>136</v>
      </c>
      <c r="L24" s="104"/>
    </row>
    <row customHeight="1" ht="51">
      <c r="A25" s="104"/>
      <c r="B25" s="144" t="s">
        <v>26</v>
      </c>
      <c r="C25" s="145"/>
      <c r="D25" s="92"/>
      <c r="E25" s="92"/>
      <c r="F25" s="92"/>
      <c r="G25" s="92"/>
      <c r="H25" s="92"/>
      <c r="I25" s="92"/>
      <c r="J25" s="92"/>
      <c r="K25" s="93"/>
      <c r="L25" s="104"/>
    </row>
    <row customHeight="1" ht="14.002500000000003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</row>
    <row customHeight="1" ht="14.002500000000003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</row>
  </sheetData>
  <mergeCells count="19">
    <mergeCell ref="C25:K25"/>
    <mergeCell ref="B2:K2"/>
    <mergeCell ref="D4:G4"/>
    <mergeCell ref="H4:K4"/>
    <mergeCell ref="D5:E5"/>
    <mergeCell ref="F5:G5"/>
    <mergeCell ref="H5:I5"/>
    <mergeCell ref="J5:K5"/>
    <mergeCell ref="B4:B6"/>
    <mergeCell ref="B7:B8"/>
    <mergeCell ref="B9:B10"/>
    <mergeCell ref="B11:B12"/>
    <mergeCell ref="B3:C3"/>
    <mergeCell ref="E3:F3"/>
    <mergeCell ref="H3:K3"/>
    <mergeCell ref="B13:B15"/>
    <mergeCell ref="B18:B20"/>
    <mergeCell ref="B21:B23"/>
    <mergeCell ref="C4:C6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EA30CB8-EA88-FA11-FA13-396C88810B7A}" mc:Ignorable="x14ac xr xr2 xr3">
  <dimension ref="A1:M21"/>
  <sheetViews>
    <sheetView topLeftCell="A1" workbookViewId="0">
      <selection activeCell="H14" sqref="H14"/>
    </sheetView>
  </sheetViews>
  <sheetFormatPr customHeight="1" defaultRowHeight="14.002500000000003"/>
  <cols>
    <col min="1" max="1" width="17.57421875" customWidth="1"/>
    <col min="2" max="2" width="20.28125" customWidth="1"/>
    <col min="3" max="10" width="10.57421875" customWidth="1"/>
  </cols>
  <sheetData>
    <row customHeight="1" ht="14.25">
      <c r="A1" s="148" t="s">
        <v>4</v>
      </c>
      <c r="B1" s="148" t="s">
        <v>5</v>
      </c>
      <c r="C1" s="116" t="s">
        <v>6</v>
      </c>
      <c r="D1" s="116"/>
      <c r="E1" s="116"/>
      <c r="F1" s="116"/>
      <c r="G1" s="116" t="s">
        <v>7</v>
      </c>
      <c r="H1" s="116"/>
      <c r="I1" s="116"/>
      <c r="J1" s="116"/>
      <c r="K1" s="149" t="s">
        <v>27</v>
      </c>
      <c r="L1" s="149" t="s">
        <v>28</v>
      </c>
      <c r="M1" s="150" t="s">
        <v>29</v>
      </c>
    </row>
    <row customHeight="1" ht="14.25">
      <c r="A2" s="114"/>
      <c r="B2" s="114"/>
      <c r="C2" s="116" t="s">
        <v>8</v>
      </c>
      <c r="D2" s="116"/>
      <c r="E2" s="116" t="s">
        <v>9</v>
      </c>
      <c r="F2" s="116"/>
      <c r="G2" s="116" t="s">
        <v>8</v>
      </c>
      <c r="H2" s="116"/>
      <c r="I2" s="116" t="s">
        <v>9</v>
      </c>
      <c r="J2" s="116"/>
      <c r="K2" s="104"/>
      <c r="L2" s="104"/>
      <c r="M2" s="104"/>
    </row>
    <row customHeight="1" ht="14.25">
      <c r="A3" s="115"/>
      <c r="B3" s="115"/>
      <c r="C3" s="151" t="s">
        <v>10</v>
      </c>
      <c r="D3" s="151" t="s">
        <v>11</v>
      </c>
      <c r="E3" s="151" t="s">
        <v>10</v>
      </c>
      <c r="F3" s="151" t="s">
        <v>11</v>
      </c>
      <c r="G3" s="151" t="s">
        <v>10</v>
      </c>
      <c r="H3" s="151" t="s">
        <v>11</v>
      </c>
      <c r="I3" s="151" t="s">
        <v>10</v>
      </c>
      <c r="J3" s="151" t="s">
        <v>11</v>
      </c>
      <c r="K3" s="104"/>
      <c r="L3" s="104"/>
      <c r="M3" s="104"/>
    </row>
    <row customHeight="1" ht="14.25">
      <c r="A4" s="118" t="s">
        <v>12</v>
      </c>
      <c r="B4" s="119" t="s">
        <v>13</v>
      </c>
      <c r="C4" s="152">
        <v>845</v>
      </c>
      <c r="D4" s="153"/>
      <c r="E4" s="152">
        <v>27138.16</v>
      </c>
      <c r="F4" s="153"/>
      <c r="G4" s="154"/>
      <c r="H4" s="121"/>
      <c r="I4" s="154"/>
      <c r="J4" s="121"/>
      <c r="K4" s="104"/>
      <c r="L4" s="155"/>
      <c r="M4" s="104"/>
    </row>
    <row customHeight="1" ht="14.25">
      <c r="A5" s="123"/>
      <c r="B5" s="119" t="s">
        <v>14</v>
      </c>
      <c r="C5" s="152">
        <v>8</v>
      </c>
      <c r="D5" s="153"/>
      <c r="E5" s="152">
        <v>486.3</v>
      </c>
      <c r="F5" s="153"/>
      <c r="G5" s="154"/>
      <c r="H5" s="121"/>
      <c r="I5" s="154"/>
      <c r="J5" s="121"/>
      <c r="K5" s="104"/>
      <c r="L5" s="104"/>
      <c r="M5" s="104"/>
    </row>
    <row customHeight="1" ht="14.25">
      <c r="A6" s="118" t="s">
        <v>15</v>
      </c>
      <c r="B6" s="119" t="s">
        <v>13</v>
      </c>
      <c r="C6" s="152"/>
      <c r="D6" s="153"/>
      <c r="E6" s="152">
        <v>0</v>
      </c>
      <c r="F6" s="153"/>
      <c r="G6" s="154"/>
      <c r="H6" s="121"/>
      <c r="I6" s="154"/>
      <c r="J6" s="121"/>
      <c r="K6" s="104"/>
      <c r="L6" s="104"/>
      <c r="M6" s="104"/>
    </row>
    <row customHeight="1" ht="14.25">
      <c r="A7" s="123"/>
      <c r="B7" s="119" t="s">
        <v>14</v>
      </c>
      <c r="C7" s="152">
        <v>0</v>
      </c>
      <c r="D7" s="153"/>
      <c r="E7" s="152">
        <v>0</v>
      </c>
      <c r="F7" s="153"/>
      <c r="G7" s="154"/>
      <c r="H7" s="121"/>
      <c r="I7" s="154"/>
      <c r="J7" s="121"/>
      <c r="K7" s="104"/>
      <c r="L7" s="104"/>
      <c r="M7" s="104"/>
    </row>
    <row customHeight="1" ht="14.25">
      <c r="A8" s="124" t="s">
        <v>16</v>
      </c>
      <c r="B8" s="119" t="s">
        <v>13</v>
      </c>
      <c r="C8" s="152">
        <v>0</v>
      </c>
      <c r="D8" s="153"/>
      <c r="E8" s="152">
        <v>0</v>
      </c>
      <c r="F8" s="153"/>
      <c r="G8" s="154"/>
      <c r="H8" s="121"/>
      <c r="I8" s="154"/>
      <c r="J8" s="121"/>
      <c r="K8" s="104"/>
      <c r="L8" s="104"/>
      <c r="M8" s="104"/>
    </row>
    <row customHeight="1" ht="14.25">
      <c r="A9" s="125"/>
      <c r="B9" s="119" t="s">
        <v>14</v>
      </c>
      <c r="C9" s="152"/>
      <c r="D9" s="153"/>
      <c r="E9" s="152"/>
      <c r="F9" s="153"/>
      <c r="G9" s="154"/>
      <c r="H9" s="121"/>
      <c r="I9" s="154"/>
      <c r="J9" s="121"/>
      <c r="K9" s="104"/>
      <c r="L9" s="104"/>
      <c r="M9" s="104"/>
    </row>
    <row customHeight="1" ht="14.25">
      <c r="A10" s="156" t="s">
        <v>17</v>
      </c>
      <c r="B10" s="119" t="s">
        <v>13</v>
      </c>
      <c r="C10" s="157"/>
      <c r="D10" s="121"/>
      <c r="E10" s="157"/>
      <c r="F10" s="121"/>
      <c r="G10" s="154"/>
      <c r="H10" s="121"/>
      <c r="I10" s="154"/>
      <c r="J10" s="121"/>
      <c r="K10" s="104"/>
      <c r="L10" s="104"/>
      <c r="M10" s="104"/>
    </row>
    <row customHeight="1" ht="14.25">
      <c r="A11" s="158"/>
      <c r="B11" s="119" t="s">
        <v>14</v>
      </c>
      <c r="C11" s="157"/>
      <c r="D11" s="121"/>
      <c r="E11" s="157"/>
      <c r="F11" s="121"/>
      <c r="G11" s="154"/>
      <c r="H11" s="121"/>
      <c r="I11" s="154"/>
      <c r="J11" s="121"/>
      <c r="K11" s="104"/>
      <c r="L11" s="104"/>
      <c r="M11" s="104"/>
    </row>
    <row s="159" customFormat="1" customHeight="1" ht="14.25">
      <c r="A12" s="160"/>
      <c r="B12" s="127"/>
      <c r="C12" s="157"/>
      <c r="D12" s="161"/>
      <c r="E12" s="157"/>
      <c r="F12" s="131"/>
      <c r="G12" s="157"/>
      <c r="H12" s="131"/>
      <c r="I12" s="157"/>
      <c r="J12" s="131"/>
      <c r="K12" s="107"/>
      <c r="L12" s="107"/>
      <c r="M12" s="107"/>
    </row>
    <row customHeight="1" ht="14.25">
      <c r="A13" s="162" t="s">
        <v>19</v>
      </c>
      <c r="B13" s="151" t="s">
        <v>22</v>
      </c>
      <c r="C13" s="152">
        <v>0</v>
      </c>
      <c r="D13" s="153"/>
      <c r="E13" s="152">
        <v>0</v>
      </c>
      <c r="F13" s="153"/>
      <c r="G13" s="154"/>
      <c r="H13" s="121"/>
      <c r="I13" s="154"/>
      <c r="J13" s="121"/>
      <c r="K13" s="104"/>
      <c r="L13" s="104"/>
      <c r="M13" s="104"/>
    </row>
    <row customHeight="1" ht="14.25">
      <c r="A14" s="139" t="s">
        <v>30</v>
      </c>
      <c r="B14" s="163" t="s">
        <v>14</v>
      </c>
      <c r="C14" s="157"/>
      <c r="D14" s="121"/>
      <c r="E14" s="157"/>
      <c r="F14" s="121"/>
      <c r="G14" s="152">
        <v>175</v>
      </c>
      <c r="H14" s="121"/>
      <c r="I14" s="152">
        <v>5423.4</v>
      </c>
      <c r="J14" s="121"/>
      <c r="K14" s="104"/>
      <c r="L14" s="104"/>
      <c r="M14" s="104"/>
    </row>
    <row customHeight="1" ht="14.25">
      <c r="A15" s="139"/>
      <c r="B15" s="164" t="s">
        <v>13</v>
      </c>
      <c r="C15" s="157"/>
      <c r="D15" s="121"/>
      <c r="E15" s="157"/>
      <c r="F15" s="121"/>
      <c r="G15" s="152">
        <v>159</v>
      </c>
      <c r="H15" s="121"/>
      <c r="I15" s="152">
        <v>4972.5</v>
      </c>
      <c r="J15" s="121"/>
      <c r="K15" s="104"/>
      <c r="L15" s="104"/>
      <c r="M15" s="104"/>
    </row>
    <row customHeight="1" ht="14.25">
      <c r="A16" s="124"/>
      <c r="B16" s="141" t="s">
        <v>18</v>
      </c>
      <c r="C16" s="157"/>
      <c r="D16" s="121"/>
      <c r="E16" s="157"/>
      <c r="F16" s="121"/>
      <c r="G16" s="152">
        <v>0</v>
      </c>
      <c r="H16" s="121"/>
      <c r="I16" s="152">
        <v>0</v>
      </c>
      <c r="J16" s="121"/>
      <c r="K16" s="104"/>
      <c r="L16" s="104"/>
      <c r="M16" s="104"/>
    </row>
    <row customHeight="1" ht="14.25">
      <c r="A17" s="139" t="s">
        <v>31</v>
      </c>
      <c r="B17" s="142" t="s">
        <v>13</v>
      </c>
      <c r="C17" s="157"/>
      <c r="D17" s="121"/>
      <c r="E17" s="157"/>
      <c r="F17" s="121"/>
      <c r="G17" s="152">
        <v>96</v>
      </c>
      <c r="H17" s="121"/>
      <c r="I17" s="152">
        <v>3008.44</v>
      </c>
      <c r="J17" s="121"/>
      <c r="K17" s="104"/>
      <c r="L17" s="104"/>
      <c r="M17" s="104"/>
    </row>
    <row customHeight="1" ht="14.25">
      <c r="A18" s="139"/>
      <c r="B18" s="142" t="s">
        <v>14</v>
      </c>
      <c r="C18" s="157"/>
      <c r="D18" s="121"/>
      <c r="E18" s="157"/>
      <c r="F18" s="121"/>
      <c r="G18" s="152">
        <v>0</v>
      </c>
      <c r="H18" s="121"/>
      <c r="I18" s="152">
        <v>0</v>
      </c>
      <c r="J18" s="121"/>
      <c r="K18" s="104"/>
      <c r="L18" s="104"/>
      <c r="M18" s="104"/>
    </row>
    <row customHeight="1" ht="14.25">
      <c r="A19" s="139"/>
      <c r="B19" s="142" t="s">
        <v>18</v>
      </c>
      <c r="C19" s="157"/>
      <c r="D19" s="121"/>
      <c r="E19" s="157"/>
      <c r="F19" s="121"/>
      <c r="G19" s="152">
        <v>0</v>
      </c>
      <c r="H19" s="121"/>
      <c r="I19" s="152">
        <v>0</v>
      </c>
      <c r="J19" s="121"/>
      <c r="K19" s="104"/>
      <c r="L19" s="104"/>
      <c r="M19" s="104"/>
    </row>
    <row customHeight="1" ht="14.25">
      <c r="A20" s="165" t="s">
        <v>32</v>
      </c>
      <c r="B20" s="142" t="s">
        <v>18</v>
      </c>
      <c r="C20" s="157"/>
      <c r="D20" s="121"/>
      <c r="E20" s="157"/>
      <c r="F20" s="121"/>
      <c r="G20" s="166"/>
      <c r="H20" s="121"/>
      <c r="I20" s="152">
        <v>136</v>
      </c>
      <c r="J20" s="121"/>
      <c r="K20" s="104"/>
      <c r="L20" s="104"/>
      <c r="M20" s="104"/>
    </row>
    <row customHeight="1" ht="14.25">
      <c r="A21" s="104"/>
      <c r="B21" s="104"/>
      <c r="C21" s="152">
        <v>44</v>
      </c>
      <c r="D21" s="153"/>
      <c r="E21" s="152">
        <v>1064.76</v>
      </c>
      <c r="F21" s="153"/>
      <c r="G21" s="166"/>
      <c r="H21" s="167"/>
      <c r="I21" s="157"/>
      <c r="J21" s="167"/>
      <c r="K21" s="104"/>
      <c r="L21" s="104"/>
      <c r="M21" s="104"/>
    </row>
  </sheetData>
  <mergeCells count="14">
    <mergeCell ref="A17:A19"/>
    <mergeCell ref="A1:A3"/>
    <mergeCell ref="B1:B3"/>
    <mergeCell ref="C1:F1"/>
    <mergeCell ref="G1:J1"/>
    <mergeCell ref="C2:D2"/>
    <mergeCell ref="E2:F2"/>
    <mergeCell ref="G2:H2"/>
    <mergeCell ref="I2:J2"/>
    <mergeCell ref="A4:A5"/>
    <mergeCell ref="A6:A7"/>
    <mergeCell ref="A8:A9"/>
    <mergeCell ref="A10:A11"/>
    <mergeCell ref="A14:A16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2006-09-13T11:21:00Z</dcterms:created>
  <dcterms:modified xsi:type="dcterms:W3CDTF">2022-11-30T03:21:49Z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