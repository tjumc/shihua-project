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延安炼油厂生产调度台帐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sz val="9"/>
            <color indexed="81"/>
            <rFont val="宋体"/>
            <family val="2"/>
          </rPr>
          <t xml:space="preserve">#Input("延炼_调度_260万吨/年常压装置_进_原油",":key{{dw}}")
</t>
        </r>
      </text>
    </comment>
    <comment ref="E6" authorId="0">
      <text>
        <r>
          <rPr>
            <sz val="9"/>
            <color indexed="81"/>
            <rFont val="宋体"/>
            <family val="2"/>
          </rPr>
          <t>#Input("延炼_调度_300万吨/年常压装置_进_原油",":key{{dw}}")</t>
        </r>
      </text>
    </comment>
    <comment ref="J6" authorId="0">
      <text>
        <r>
          <rPr>
            <sz val="9"/>
            <color indexed="81"/>
            <rFont val="宋体"/>
            <family val="2"/>
          </rPr>
          <t>#Input("延炼_调度_100万吨/年催化装置_进_原料处理量",":key{{dw}}")</t>
        </r>
      </text>
    </comment>
    <comment ref="L6" authorId="0">
      <text>
        <r>
          <rPr>
            <sz val="9"/>
            <color indexed="81"/>
            <rFont val="宋体"/>
            <family val="2"/>
          </rPr>
          <t>#Input("延炼_调度_200万吨/年催化装置_进_原料处理量",":key{{dw}}")</t>
        </r>
      </text>
    </comment>
    <comment ref="Q6" authorId="0">
      <text>
        <r>
          <rPr>
            <sz val="9"/>
            <color indexed="81"/>
            <rFont val="宋体"/>
            <family val="2"/>
          </rPr>
          <t>#Input("延炼_调度_航煤加氢装置_进_航煤原料油",":key{{dw}}")</t>
        </r>
      </text>
    </comment>
    <comment ref="C7" authorId="0">
      <text>
        <r>
          <rPr>
            <sz val="9"/>
            <color indexed="81"/>
            <rFont val="宋体"/>
            <family val="2"/>
          </rPr>
          <t xml:space="preserve">#Input("延炼_调度_260万吨/年常压装置_出_石脑油",":key{{dw}}")
</t>
        </r>
      </text>
    </comment>
    <comment ref="E7" authorId="0">
      <text>
        <r>
          <rPr>
            <sz val="9"/>
            <color indexed="81"/>
            <rFont val="宋体"/>
            <family val="2"/>
          </rPr>
          <t>#Input("延炼_调度_300万吨/年常压装置_出_石脑油",":key{{dw}}")</t>
        </r>
      </text>
    </comment>
    <comment ref="J7" authorId="0">
      <text>
        <r>
          <rPr>
            <sz val="9"/>
            <color indexed="81"/>
            <rFont val="宋体"/>
            <family val="2"/>
          </rPr>
          <t>#Input("延炼_调度_100万吨/年催化装置_出_汽油",":key{{dw}}")</t>
        </r>
      </text>
    </comment>
    <comment ref="L7" authorId="0">
      <text>
        <r>
          <rPr>
            <sz val="9"/>
            <color indexed="81"/>
            <rFont val="宋体"/>
            <family val="2"/>
          </rPr>
          <t>#Input("延炼_调度_200万吨/年催化装置_进_汽油",":key{{dw}}")</t>
        </r>
      </text>
    </comment>
    <comment ref="Q7" authorId="0">
      <text>
        <r>
          <rPr>
            <sz val="9"/>
            <color indexed="81"/>
            <rFont val="宋体"/>
            <family val="2"/>
          </rPr>
          <t>#Input("延炼_调度_航煤加氢装置_出_产品氢气",":key{{dw}}")</t>
        </r>
      </text>
    </comment>
    <comment ref="C8" authorId="0">
      <text>
        <r>
          <rPr>
            <sz val="9"/>
            <color indexed="81"/>
            <rFont val="宋体"/>
            <family val="2"/>
          </rPr>
          <t>#Input("延炼_调度_260万吨/年常压装置_出_常一线油",":key{{dw}}")</t>
        </r>
      </text>
    </comment>
    <comment ref="E8" authorId="0">
      <text>
        <r>
          <rPr>
            <sz val="9"/>
            <color indexed="81"/>
            <rFont val="宋体"/>
            <family val="2"/>
          </rPr>
          <t>#Input("延炼_调度_300万吨/年常压装置_出_常一线油",":key{{dw}}")</t>
        </r>
      </text>
    </comment>
    <comment ref="J8" authorId="0">
      <text>
        <r>
          <rPr>
            <sz val="9"/>
            <color indexed="81"/>
            <rFont val="宋体"/>
            <family val="2"/>
          </rPr>
          <t>#Input("延炼_调度_100万吨/年催化装置_出_柴油",":key{{dw}}")</t>
        </r>
      </text>
    </comment>
    <comment ref="L8" authorId="0">
      <text>
        <r>
          <rPr>
            <sz val="9"/>
            <color indexed="81"/>
            <rFont val="宋体"/>
            <family val="2"/>
          </rPr>
          <t>#Input("延炼_调度_200万吨/年催化装置_进_柴油",":key{{dw}}")</t>
        </r>
      </text>
    </comment>
    <comment ref="Q8" authorId="0">
      <text>
        <r>
          <rPr>
            <sz val="9"/>
            <color indexed="81"/>
            <rFont val="宋体"/>
            <family val="2"/>
          </rPr>
          <t>#Input("延炼_调度_航煤加氢装置_出_石脑油",":key{{dw}}")</t>
        </r>
      </text>
    </comment>
    <comment ref="C9" authorId="0">
      <text>
        <r>
          <rPr>
            <sz val="9"/>
            <color indexed="81"/>
            <rFont val="宋体"/>
            <family val="2"/>
          </rPr>
          <t>#Input("延炼_调度_260万吨/年常压装置_出_渣油产量",":key{{dw}}")</t>
        </r>
      </text>
    </comment>
    <comment ref="E9" authorId="0">
      <text>
        <r>
          <rPr>
            <sz val="9"/>
            <color indexed="81"/>
            <rFont val="宋体"/>
            <family val="2"/>
          </rPr>
          <t>#Input("延炼_调度_300万吨/年常压装置_出_渣油产量",":key{{dw}}")</t>
        </r>
      </text>
    </comment>
    <comment ref="J9" authorId="0">
      <text>
        <r>
          <rPr>
            <sz val="9"/>
            <color indexed="81"/>
            <rFont val="宋体"/>
            <family val="2"/>
          </rPr>
          <t>#Input("延炼_调度_100万吨/年催化装置_出_液化气",":key{{dw}}")</t>
        </r>
      </text>
    </comment>
    <comment ref="L9" authorId="0">
      <text>
        <r>
          <rPr>
            <sz val="9"/>
            <color indexed="81"/>
            <rFont val="宋体"/>
            <family val="2"/>
          </rPr>
          <t>#Input("延炼_调度_200万吨/年催化装置_进_液化气",":key{{dw}}")</t>
        </r>
      </text>
    </comment>
    <comment ref="Q9" authorId="0">
      <text>
        <r>
          <rPr>
            <sz val="9"/>
            <color indexed="81"/>
            <rFont val="宋体"/>
            <family val="2"/>
          </rPr>
          <t>#Input("延炼_调度_航煤加氢装置_出_精制航煤",":key{{dw}}")</t>
        </r>
      </text>
    </comment>
    <comment ref="C10" authorId="0">
      <text>
        <r>
          <rPr>
            <sz val="9"/>
            <color indexed="81"/>
            <rFont val="宋体"/>
            <family val="2"/>
          </rPr>
          <t>#Input("延炼_调度_260万吨/年常压装置_出_航煤原料",":key{{dw}}")</t>
        </r>
      </text>
    </comment>
    <comment ref="E10" authorId="0">
      <text>
        <r>
          <rPr>
            <sz val="9"/>
            <color indexed="81"/>
            <rFont val="宋体"/>
            <family val="2"/>
          </rPr>
          <t>#Input("延炼_调度_300万吨/年常压装置_出_航煤原料",":key{{dw}}")</t>
        </r>
      </text>
    </comment>
    <comment ref="J10" authorId="0">
      <text>
        <r>
          <rPr>
            <sz val="9"/>
            <color indexed="81"/>
            <rFont val="宋体"/>
            <family val="2"/>
          </rPr>
          <t>#Input("延炼_调度_100万吨/年催化装置_出_油浆",":key{{dw}}")</t>
        </r>
      </text>
    </comment>
    <comment ref="L10" authorId="0">
      <text>
        <r>
          <rPr>
            <sz val="9"/>
            <color indexed="81"/>
            <rFont val="宋体"/>
            <family val="2"/>
          </rPr>
          <t>#Input("延炼_调度_200万吨/年催化装置_进_油浆",":key{{dw}}")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#Input("延炼_调度_100万吨/年催化装置_出_回炼油",":key{{dw}}")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#Input("延炼_调度_200万吨/年催化装置_进_回炼油",":key{{dw}}")</t>
        </r>
      </text>
    </comment>
    <comment ref="C14" authorId="0">
      <text>
        <r>
          <rPr>
            <sz val="9"/>
            <color indexed="81"/>
            <rFont val="宋体"/>
            <family val="2"/>
          </rPr>
          <t>#Input("延炼_调度_30万吨/年气体分馏装置_进_精制液化气原料",":key{{dw}}")</t>
        </r>
      </text>
    </comment>
    <comment ref="F14" authorId="0">
      <text>
        <r>
          <rPr>
            <sz val="9"/>
            <color indexed="81"/>
            <rFont val="宋体"/>
            <family val="2"/>
          </rPr>
          <t>#Input("延炼_调度_10万吨/年聚丙烯装置_进_丙烯原料",":key{{dw}}")</t>
        </r>
      </text>
    </comment>
    <comment ref="H14" authorId="0">
      <text>
        <r>
          <rPr>
            <sz val="9"/>
            <color indexed="81"/>
            <rFont val="宋体"/>
            <family val="2"/>
          </rPr>
          <t>#Input("延炼_调度_6万吨/年MTBE_进_原料处理量",":key{{dw}}")</t>
        </r>
      </text>
    </comment>
    <comment ref="K14" authorId="0">
      <text>
        <r>
          <rPr>
            <sz val="9"/>
            <color indexed="81"/>
            <rFont val="宋体"/>
            <family val="2"/>
          </rPr>
          <t xml:space="preserve">#Input("延炼_调度_7万吨/年SBA_进_醋酸",":key{{dw}}")
</t>
        </r>
      </text>
    </comment>
    <comment ref="N14" authorId="0">
      <text>
        <r>
          <rPr>
            <sz val="9"/>
            <color indexed="81"/>
            <rFont val="Arial"/>
            <family val="2"/>
          </rPr>
          <t xml:space="preserve">#Input("延炼_调度_18万吨/年精制装置_进_催化干气",":key{{dw}}")
</t>
        </r>
      </text>
    </comment>
    <comment ref="P14" authorId="0">
      <text>
        <r>
          <rPr>
            <sz val="9"/>
            <color indexed="81"/>
            <rFont val="宋体"/>
            <family val="2"/>
          </rPr>
          <t xml:space="preserve">#Input("延炼_调度_12万吨/年乙苯装置（200单元）_进_净化干气",":key{{dw}}")
</t>
        </r>
      </text>
    </comment>
    <comment ref="R14" authorId="0">
      <text>
        <r>
          <rPr>
            <sz val="9"/>
            <color indexed="81"/>
            <rFont val="Arial"/>
            <family val="2"/>
          </rPr>
          <t xml:space="preserve">#Input("延炼_调度_12万吨/年苯乙烯装置（300单元）_出_脱氢液",":key{{dw}}")
</t>
        </r>
      </text>
    </comment>
    <comment ref="C15" authorId="0">
      <text>
        <r>
          <rPr>
            <sz val="9"/>
            <color indexed="81"/>
            <rFont val="宋体"/>
            <family val="2"/>
          </rPr>
          <t>#Input("延炼_调度_30万吨/年气体分馏装置_出_丙烯",":key{{dw}}")</t>
        </r>
      </text>
    </comment>
    <comment ref="F15" authorId="0">
      <text>
        <r>
          <rPr>
            <sz val="9"/>
            <color indexed="81"/>
            <rFont val="宋体"/>
            <family val="2"/>
          </rPr>
          <t>#Input("延炼_调度_10万吨/年聚丙烯装置_出_聚丙烯粒料T30S",":key{{dw}}")</t>
        </r>
      </text>
    </comment>
    <comment ref="H15" authorId="0">
      <text>
        <r>
          <rPr>
            <sz val="9"/>
            <color indexed="81"/>
            <rFont val="宋体"/>
            <family val="2"/>
          </rPr>
          <t>#Input("延炼_调度_6万吨/年MTBE_进_C4",":key{{dw}}")</t>
        </r>
      </text>
    </comment>
    <comment ref="K15" authorId="0">
      <text>
        <r>
          <rPr>
            <sz val="9"/>
            <color indexed="81"/>
            <rFont val="宋体"/>
            <family val="2"/>
          </rPr>
          <t xml:space="preserve">#Input("延炼_调度_7万吨/年SBA_进_醚后C4",":key{{dw}}")
</t>
        </r>
      </text>
    </comment>
    <comment ref="N15" authorId="0">
      <text>
        <r>
          <rPr>
            <sz val="9"/>
            <color indexed="81"/>
            <rFont val="Arial"/>
            <family val="2"/>
          </rPr>
          <t xml:space="preserve">#Input("延炼_调度_18万吨/年精制装置_进_净化干气",":key{{dw}}")
</t>
        </r>
      </text>
    </comment>
    <comment ref="P15" authorId="0">
      <text>
        <r>
          <rPr>
            <sz val="9"/>
            <color indexed="81"/>
            <rFont val="宋体"/>
            <family val="2"/>
          </rPr>
          <t xml:space="preserve">#Input("延炼_调度_12万吨/年乙苯装置（200单元）_进_苯",":key{{dw}}")
</t>
        </r>
      </text>
    </comment>
    <comment ref="R15" authorId="0">
      <text>
        <r>
          <rPr>
            <sz val="9"/>
            <color indexed="81"/>
            <rFont val="Arial"/>
            <family val="2"/>
          </rPr>
          <t xml:space="preserve">#Input("延炼_调度_12万吨/年苯乙烯装置（300单元）_出_苯乙烯",":key{{dw}}")
</t>
        </r>
      </text>
    </comment>
    <comment ref="C16" authorId="0">
      <text>
        <r>
          <rPr>
            <sz val="9"/>
            <color indexed="81"/>
            <rFont val="宋体"/>
            <family val="2"/>
          </rPr>
          <t>#Input("延炼_调度_30万吨/年气体分馏装置_出_丙烷",":key{{dw}}")</t>
        </r>
      </text>
    </comment>
    <comment ref="H16" authorId="0">
      <text>
        <r>
          <rPr>
            <sz val="9"/>
            <color indexed="81"/>
            <rFont val="宋体"/>
            <family val="2"/>
          </rPr>
          <t>#Input("延炼_调度_6万吨/年MTBE_进_甲醇",":key{{dw}}")</t>
        </r>
      </text>
    </comment>
    <comment ref="K16" authorId="0">
      <text>
        <r>
          <rPr>
            <sz val="9"/>
            <color indexed="81"/>
            <rFont val="宋体"/>
            <family val="2"/>
          </rPr>
          <t xml:space="preserve">#Input("延炼_调度_7万吨/年SBA_出_醋酸仲丁酯",":key{{dw}}")
</t>
        </r>
      </text>
    </comment>
    <comment ref="P16" authorId="0">
      <text>
        <r>
          <rPr>
            <sz val="9"/>
            <color indexed="81"/>
            <rFont val="宋体"/>
            <family val="2"/>
          </rPr>
          <t xml:space="preserve">#Input("延炼_调度_12万吨/年乙苯装置（200单元）_出_乙苯",":key{{dw}}")
</t>
        </r>
      </text>
    </comment>
    <comment ref="R16" authorId="0">
      <text>
        <r>
          <rPr>
            <sz val="9"/>
            <color indexed="81"/>
            <rFont val="Arial"/>
            <family val="2"/>
          </rPr>
          <t xml:space="preserve">#Input("延炼_调度_12万吨/年苯乙烯装置（300单元）_出_甲苯",":key{{dw}}")
</t>
        </r>
      </text>
    </comment>
    <comment ref="C17" authorId="0">
      <text>
        <r>
          <rPr>
            <sz val="9"/>
            <color indexed="81"/>
            <rFont val="宋体"/>
            <family val="2"/>
          </rPr>
          <t>#Input("延炼_调度_30万吨/年气体分馏装置_出_碳四馏分",":key{{dw}}")</t>
        </r>
      </text>
    </comment>
    <comment ref="H17" authorId="0">
      <text>
        <r>
          <rPr>
            <sz val="9"/>
            <color indexed="81"/>
            <rFont val="宋体"/>
            <family val="2"/>
          </rPr>
          <t>#Input("延炼_调度_6万吨/年MTBE_出_MTBE",":key{{dw}}")</t>
        </r>
      </text>
    </comment>
    <comment ref="K17" authorId="0">
      <text>
        <r>
          <rPr>
            <sz val="9"/>
            <color indexed="81"/>
            <rFont val="宋体"/>
            <family val="2"/>
          </rPr>
          <t xml:space="preserve">#Input("延炼_调度_7万吨/年SBA_出_酯后C4",":key{{dw}}")
</t>
        </r>
      </text>
    </comment>
    <comment ref="P17" authorId="0">
      <text>
        <r>
          <rPr>
            <sz val="9"/>
            <color indexed="81"/>
            <rFont val="宋体"/>
            <family val="2"/>
          </rPr>
          <t xml:space="preserve">#Input("延炼_调度_12万吨/年乙苯装置（200单元）_出_烃化液",":key{{dw}}")
</t>
        </r>
      </text>
    </comment>
    <comment ref="R17" authorId="0">
      <text>
        <r>
          <rPr>
            <sz val="9"/>
            <color indexed="81"/>
            <rFont val="Arial"/>
            <family val="2"/>
          </rPr>
          <t xml:space="preserve">#Input("延炼_调度_12万吨/年苯乙烯装置（300单元）_出_焦油",":key{{dw}}")
</t>
        </r>
      </text>
    </comment>
    <comment ref="C18" authorId="0">
      <text>
        <r>
          <rPr>
            <sz val="9"/>
            <color indexed="81"/>
            <rFont val="宋体"/>
            <family val="2"/>
          </rPr>
          <t>#Input("延炼_调度_30万吨/年气体分馏装置_出_戊烷馏分",":key{{dw}}")</t>
        </r>
      </text>
    </comment>
    <comment ref="H18" authorId="0">
      <text>
        <r>
          <rPr>
            <sz val="9"/>
            <color indexed="81"/>
            <rFont val="宋体"/>
            <family val="2"/>
          </rPr>
          <t>#Input("延炼_调度_6万吨/年MTBE_出_醚后C4",":key{{dw}}")</t>
        </r>
      </text>
    </comment>
    <comment ref="F19" authorId="0">
      <text>
        <r>
          <rPr>
            <sz val="9"/>
            <color indexed="81"/>
            <rFont val="宋体"/>
            <family val="2"/>
          </rPr>
          <t>#Input("延炼_调度_30万吨/年液化气精制装置_加工量",":key{{dw}}")</t>
        </r>
      </text>
    </comment>
    <comment ref="S19" authorId="0">
      <text>
        <r>
          <rPr>
            <sz val="9"/>
            <color indexed="81"/>
            <rFont val="宋体"/>
            <family val="2"/>
          </rPr>
          <t xml:space="preserve">#Input("延炼_调度_备注",":key{{dw}}")
</t>
        </r>
      </text>
    </comment>
    <comment ref="F20" authorId="0">
      <text>
        <r>
          <rPr>
            <sz val="9"/>
            <color indexed="81"/>
            <rFont val="宋体"/>
            <family val="2"/>
          </rPr>
          <t xml:space="preserve">#Input("延炼_调度_0.53万吨/年硫磺回收_产量
",":key{{dw}}")
</t>
        </r>
      </text>
    </comment>
    <comment ref="H21" authorId="0">
      <text>
        <r>
          <rPr>
            <sz val="9"/>
            <color indexed="81"/>
            <rFont val="宋体"/>
            <family val="2"/>
          </rPr>
          <t>#Input("延炼_调度_原料库存_重整原料",":key{{dw}}")</t>
        </r>
      </text>
    </comment>
    <comment ref="J21" authorId="0">
      <text>
        <r>
          <rPr>
            <sz val="9"/>
            <color indexed="81"/>
            <rFont val="宋体"/>
            <family val="2"/>
          </rPr>
          <t>#Input("延炼_调度_原料油气_调入_1#渣油外调榆能化",":key{{dw}}")</t>
        </r>
      </text>
    </comment>
    <comment ref="K21" authorId="0">
      <text>
        <r>
          <rPr>
            <sz val="9"/>
            <color indexed="81"/>
            <rFont val="宋体"/>
            <family val="2"/>
          </rPr>
          <t>#Input("延炼_调度_原料油气_调出_1#渣油外调榆能化",":key{{dw}}")</t>
        </r>
      </text>
    </comment>
    <comment ref="M21" authorId="0">
      <text>
        <r>
          <rPr>
            <sz val="9"/>
            <color indexed="81"/>
            <rFont val="宋体"/>
            <family val="2"/>
          </rPr>
          <t xml:space="preserve">#Input("延炼_调度_销售及成品库存_92#_公路量",":key{{dw}}")
</t>
        </r>
      </text>
    </comment>
    <comment ref="N21" authorId="0">
      <text>
        <r>
          <rPr>
            <sz val="9"/>
            <color indexed="81"/>
            <rFont val="宋体"/>
            <family val="2"/>
          </rPr>
          <t>#Input("延炼_调度_销售及成品库存_92#_管输量",":key{{dw}}")</t>
        </r>
      </text>
    </comment>
    <comment ref="O21" authorId="0">
      <text>
        <r>
          <rPr>
            <sz val="9"/>
            <color indexed="81"/>
            <rFont val="宋体"/>
            <family val="2"/>
          </rPr>
          <t xml:space="preserve">#Input("延炼_调度_销售及成品库存_92#_库存",":key{{dw}}")
</t>
        </r>
      </text>
    </comment>
    <comment ref="P21" authorId="0">
      <text>
        <r>
          <rPr>
            <sz val="9"/>
            <color indexed="81"/>
            <rFont val="宋体"/>
            <family val="2"/>
          </rPr>
          <t xml:space="preserve">#Input("延炼_调度_销售及成品库存_92#_安全库存",":key{{dw}}")
</t>
        </r>
      </text>
    </comment>
    <comment ref="R21" authorId="0">
      <text>
        <r>
          <rPr>
            <sz val="9"/>
            <color indexed="81"/>
            <rFont val="宋体"/>
            <family val="2"/>
          </rPr>
          <t xml:space="preserve">#Input("延炼_调度_销售及成品库存_可售库存_可售92#",":key{{dw}}")
</t>
        </r>
      </text>
    </comment>
    <comment ref="H22" authorId="0">
      <text>
        <r>
          <rPr>
            <sz val="9"/>
            <color indexed="81"/>
            <rFont val="宋体"/>
            <family val="2"/>
          </rPr>
          <t xml:space="preserve">#Input("延炼_调度_原料库存_加氢原料",":key{{dw}}")
</t>
        </r>
      </text>
    </comment>
    <comment ref="J22" authorId="0">
      <text>
        <r>
          <rPr>
            <sz val="9"/>
            <color indexed="81"/>
            <rFont val="宋体"/>
            <family val="2"/>
          </rPr>
          <t>#Input("延炼_调度_原料油气_调入_1#渣油外调榆炼",":key{{dw}}")</t>
        </r>
      </text>
    </comment>
    <comment ref="K22" authorId="0">
      <text>
        <r>
          <rPr>
            <sz val="9"/>
            <color indexed="81"/>
            <rFont val="宋体"/>
            <family val="2"/>
          </rPr>
          <t xml:space="preserve">#Input("延炼_调度_原料油气_调出_1#渣油外调榆炼",":key{{dw}}")
</t>
        </r>
      </text>
    </comment>
    <comment ref="M22" authorId="0">
      <text>
        <r>
          <rPr>
            <sz val="9"/>
            <color indexed="81"/>
            <rFont val="宋体"/>
            <family val="2"/>
          </rPr>
          <t xml:space="preserve">#Input("延炼_调度_销售及成品库存_95#_公路量",":key{{dw}}")
</t>
        </r>
      </text>
    </comment>
    <comment ref="N22" authorId="0">
      <text>
        <r>
          <rPr>
            <sz val="9"/>
            <color indexed="81"/>
            <rFont val="宋体"/>
            <family val="2"/>
          </rPr>
          <t>#Input("延炼_调度_销售及成品库存_95#_管输量",":key{{dw}}")</t>
        </r>
      </text>
    </comment>
    <comment ref="O22" authorId="0">
      <text>
        <r>
          <rPr>
            <sz val="9"/>
            <color indexed="81"/>
            <rFont val="宋体"/>
            <family val="2"/>
          </rPr>
          <t xml:space="preserve">#Input("延炼_调度_销售及成品库存_95#_库存",":key{{dw}}")
</t>
        </r>
      </text>
    </comment>
    <comment ref="P22" authorId="0">
      <text>
        <r>
          <rPr>
            <sz val="9"/>
            <color indexed="81"/>
            <rFont val="宋体"/>
            <family val="2"/>
          </rPr>
          <t xml:space="preserve">#Input("延炼_调度_销售及成品库存_95#_安全库存",":key{{dw}}")
</t>
        </r>
      </text>
    </comment>
    <comment ref="R22" authorId="0">
      <text>
        <r>
          <rPr>
            <sz val="9"/>
            <color indexed="81"/>
            <rFont val="宋体"/>
            <family val="2"/>
          </rPr>
          <t xml:space="preserve">#Input("延炼_调度_销售及成品库存_可售库存_可售95#",":key{{dw}}")
</t>
        </r>
      </text>
    </comment>
    <comment ref="D23" authorId="0">
      <text>
        <r>
          <rPr>
            <sz val="9"/>
            <color indexed="81"/>
            <rFont val="宋体"/>
            <family val="2"/>
          </rPr>
          <t xml:space="preserve">#Input("延炼_调度_调入原油_原油入库
",":key{{dw}}")
</t>
        </r>
      </text>
    </comment>
    <comment ref="F23" authorId="0">
      <text>
        <r>
          <rPr>
            <sz val="9"/>
            <color indexed="81"/>
            <rFont val="宋体"/>
            <family val="2"/>
          </rPr>
          <t xml:space="preserve">#Input("延炼_调度_外购原料_烷基化油
",":key{{dw}}")
</t>
        </r>
      </text>
    </comment>
    <comment ref="H23" authorId="0">
      <text>
        <r>
          <rPr>
            <sz val="9"/>
            <color indexed="81"/>
            <rFont val="宋体"/>
            <family val="2"/>
          </rPr>
          <t xml:space="preserve">#Input("延炼_调度_原料库存_气分原料",":key{{dw}}")
</t>
        </r>
      </text>
    </comment>
    <comment ref="J23" authorId="0">
      <text>
        <r>
          <rPr>
            <sz val="9"/>
            <color indexed="81"/>
            <rFont val="宋体"/>
            <family val="2"/>
          </rPr>
          <t xml:space="preserve">#Input("延炼_调度_原料油气_调入_原料液化气",":key{{dw}}")
</t>
        </r>
      </text>
    </comment>
    <comment ref="K23" authorId="0">
      <text>
        <r>
          <rPr>
            <sz val="9"/>
            <color indexed="81"/>
            <rFont val="Arial"/>
            <family val="2"/>
          </rPr>
          <t xml:space="preserve">#Input("延炼_调度_原料油气_调出_原料液化气",":key{{dw}}")
</t>
        </r>
      </text>
    </comment>
    <comment ref="M23" authorId="0">
      <text>
        <r>
          <rPr>
            <sz val="9"/>
            <color indexed="81"/>
            <rFont val="宋体"/>
            <family val="2"/>
          </rPr>
          <t xml:space="preserve">#Input("延炼_调度_销售及成品库存_0#_公路量",":key{{dw}}")
</t>
        </r>
      </text>
    </comment>
    <comment ref="N23" authorId="0">
      <text>
        <r>
          <rPr>
            <sz val="9"/>
            <color indexed="81"/>
            <rFont val="宋体"/>
            <family val="2"/>
          </rPr>
          <t>#Input("延炼_调度_销售及成品库存_0#_管输量",":key{{dw}}")</t>
        </r>
      </text>
    </comment>
    <comment ref="O23" authorId="0">
      <text>
        <r>
          <rPr>
            <sz val="9"/>
            <color indexed="81"/>
            <rFont val="宋体"/>
            <family val="2"/>
          </rPr>
          <t xml:space="preserve">#Input("延炼_调度_销售及成品库存_0#_库存",":key{{dw}}")
</t>
        </r>
      </text>
    </comment>
    <comment ref="R23" authorId="0">
      <text>
        <r>
          <rPr>
            <sz val="9"/>
            <color indexed="81"/>
            <rFont val="宋体"/>
            <family val="2"/>
          </rPr>
          <t xml:space="preserve">#Input("延炼_调度_销售及成品库存_可售库存_可售0#",":key{{dw}}")
</t>
        </r>
      </text>
    </comment>
    <comment ref="D24" authorId="0">
      <text>
        <r>
          <rPr>
            <sz val="9"/>
            <color indexed="81"/>
            <rFont val="宋体"/>
            <family val="2"/>
          </rPr>
          <t>#Input("延炼_调度_调入原油_长庆原油
",":key{{dw}}")</t>
        </r>
      </text>
    </comment>
    <comment ref="F24" authorId="0">
      <text>
        <r>
          <rPr>
            <sz val="9"/>
            <color indexed="81"/>
            <rFont val="宋体"/>
            <family val="2"/>
          </rPr>
          <t xml:space="preserve">#Input("延炼_调度_外购原料_MTBE
",":key{{dw}}")
</t>
        </r>
      </text>
    </comment>
    <comment ref="H24" authorId="0">
      <text>
        <r>
          <rPr>
            <sz val="9"/>
            <color indexed="81"/>
            <rFont val="宋体"/>
            <family val="2"/>
          </rPr>
          <t xml:space="preserve">#Input("延炼_调度_原料库存_丙烯原料",":key{{dw}}")
</t>
        </r>
      </text>
    </comment>
    <comment ref="J24" authorId="0">
      <text>
        <r>
          <rPr>
            <sz val="9"/>
            <color indexed="81"/>
            <rFont val="宋体"/>
            <family val="2"/>
          </rPr>
          <t xml:space="preserve">#Input("延炼_调度_原料油气_调入_粗硫磺",":key{{dw}}")
</t>
        </r>
      </text>
    </comment>
    <comment ref="K24" authorId="0">
      <text>
        <r>
          <rPr>
            <sz val="9"/>
            <color indexed="81"/>
            <rFont val="宋体"/>
            <family val="2"/>
          </rPr>
          <t xml:space="preserve">#Input("延炼_调度_原料油气_调出_粗硫磺",":key{{dw}}")
</t>
        </r>
      </text>
    </comment>
    <comment ref="M24" authorId="0">
      <text>
        <r>
          <rPr>
            <sz val="9"/>
            <color indexed="81"/>
            <rFont val="宋体"/>
            <family val="2"/>
          </rPr>
          <t xml:space="preserve">#Input("延炼_调度_销售及成品库存_-10#_公路量",":key{{dw}}")
</t>
        </r>
      </text>
    </comment>
    <comment ref="N24" authorId="0">
      <text>
        <r>
          <rPr>
            <sz val="9"/>
            <color indexed="81"/>
            <rFont val="宋体"/>
            <family val="2"/>
          </rPr>
          <t>#Input("延炼_调度_销售及成品库存_-10#_管输量",":key{{dw}}")</t>
        </r>
      </text>
    </comment>
    <comment ref="O24" authorId="0">
      <text>
        <r>
          <rPr>
            <sz val="9"/>
            <color indexed="81"/>
            <rFont val="宋体"/>
            <family val="2"/>
          </rPr>
          <t xml:space="preserve">#Input("延炼_调度_销售及成品库存_-10#_库存",":key{{dw}}")
</t>
        </r>
      </text>
    </comment>
    <comment ref="D25" authorId="0">
      <text>
        <r>
          <rPr>
            <sz val="9"/>
            <color indexed="81"/>
            <rFont val="宋体"/>
            <family val="2"/>
          </rPr>
          <t xml:space="preserve">#Input("延炼_调度_调入原油_管输原油
",":key{{dw}}")
</t>
        </r>
      </text>
    </comment>
    <comment ref="F25" authorId="0">
      <text>
        <r>
          <rPr>
            <sz val="9"/>
            <color indexed="81"/>
            <rFont val="宋体"/>
            <family val="2"/>
          </rPr>
          <t xml:space="preserve">#Input("延炼_调度_外购原料_甲醇
",":key{{dw}}")
</t>
        </r>
      </text>
    </comment>
    <comment ref="H25" authorId="0">
      <text>
        <r>
          <rPr>
            <sz val="9"/>
            <color indexed="81"/>
            <rFont val="宋体"/>
            <family val="2"/>
          </rPr>
          <t xml:space="preserve">#Input("延炼_调度_原料库存_MTBE原料",":key{{dw}}")
</t>
        </r>
      </text>
    </comment>
    <comment ref="J25" authorId="0">
      <text>
        <r>
          <rPr>
            <sz val="9"/>
            <color indexed="81"/>
            <rFont val="宋体"/>
            <family val="2"/>
          </rPr>
          <t xml:space="preserve">#Input("延炼_调度_原料油气_调入_饱和液化气",":key{{dw}}")
</t>
        </r>
      </text>
    </comment>
    <comment ref="K25" authorId="0">
      <text>
        <r>
          <rPr>
            <sz val="9"/>
            <color indexed="81"/>
            <rFont val="宋体"/>
            <family val="2"/>
          </rPr>
          <t xml:space="preserve">#Input("延炼_调度_原料油气_调出_饱和液化气",":key{{dw}}")
</t>
        </r>
      </text>
    </comment>
    <comment ref="M25" authorId="0">
      <text>
        <r>
          <rPr>
            <sz val="9"/>
            <color indexed="81"/>
            <rFont val="宋体"/>
            <family val="2"/>
          </rPr>
          <t xml:space="preserve">#Input("延炼_调度_销售及成品库存_民用气_公路量",":key{{dw}}")
</t>
        </r>
      </text>
    </comment>
    <comment ref="N25" authorId="0">
      <text>
        <r>
          <rPr>
            <sz val="9"/>
            <color indexed="81"/>
            <rFont val="宋体"/>
            <family val="2"/>
          </rPr>
          <t>#Input("延炼_调度_销售及成品库存_民用气_管输量",":key{{dw}}")</t>
        </r>
      </text>
    </comment>
    <comment ref="O25" authorId="0">
      <text>
        <r>
          <rPr>
            <sz val="9"/>
            <color indexed="81"/>
            <rFont val="宋体"/>
            <family val="2"/>
          </rPr>
          <t xml:space="preserve">#Input("延炼_调度_销售及成品库存_民用气_库存",":key{{dw}}")
</t>
        </r>
      </text>
    </comment>
    <comment ref="R25" authorId="0">
      <text>
        <r>
          <rPr>
            <b/>
            <sz val="9"/>
            <color indexed="81"/>
            <rFont val="宋体"/>
            <family val="2"/>
          </rPr>
          <t>#Input("延炼_调度_天然气用量",":key{{dw}}")</t>
        </r>
      </text>
    </comment>
    <comment ref="D26" authorId="0">
      <text>
        <r>
          <rPr>
            <sz val="9"/>
            <color indexed="81"/>
            <rFont val="宋体"/>
            <family val="2"/>
          </rPr>
          <t xml:space="preserve">#Input("延炼_调度_调入原油_公路原油
",":key{{dw}}")
</t>
        </r>
      </text>
    </comment>
    <comment ref="F26" authorId="0">
      <text>
        <r>
          <rPr>
            <sz val="9"/>
            <color indexed="81"/>
            <rFont val="宋体"/>
            <family val="2"/>
          </rPr>
          <t xml:space="preserve">#Input("延炼_调度_外购原料_醋酸",":key{{dw}}")
</t>
        </r>
      </text>
    </comment>
    <comment ref="H26" authorId="0">
      <text>
        <r>
          <rPr>
            <sz val="9"/>
            <color indexed="81"/>
            <rFont val="宋体"/>
            <family val="2"/>
          </rPr>
          <t xml:space="preserve">#Input("延炼_调度_原料库存_甲醇原料",":key{{dw}}")
</t>
        </r>
      </text>
    </comment>
    <comment ref="M26" authorId="0">
      <text>
        <r>
          <rPr>
            <sz val="9"/>
            <color indexed="81"/>
            <rFont val="宋体"/>
            <family val="2"/>
          </rPr>
          <t xml:space="preserve">#Input("延炼_调度_销售及成品库存_丙烷_公路量",":key{{dw}}")
</t>
        </r>
      </text>
    </comment>
    <comment ref="N26" authorId="0">
      <text>
        <r>
          <rPr>
            <sz val="9"/>
            <color indexed="81"/>
            <rFont val="宋体"/>
            <family val="2"/>
          </rPr>
          <t>#Input("延炼_调度_销售及成品库存_丙烷_管输量",":key{{dw}}")</t>
        </r>
      </text>
    </comment>
    <comment ref="O26" authorId="0">
      <text>
        <r>
          <rPr>
            <sz val="9"/>
            <color indexed="81"/>
            <rFont val="宋体"/>
            <family val="2"/>
          </rPr>
          <t xml:space="preserve">#Input("延炼_调度_销售及成品库存_丙烷_库存",":key{{dw}}")
</t>
        </r>
      </text>
    </comment>
    <comment ref="E27" authorId="0">
      <text>
        <r>
          <rPr>
            <sz val="9"/>
            <color indexed="81"/>
            <rFont val="Arial"/>
            <family val="2"/>
          </rPr>
          <t xml:space="preserve">#Input("延炼_调度_吴延末站当日原油库存_库存",":key{{dw}}")
</t>
        </r>
      </text>
    </comment>
    <comment ref="F27" authorId="0">
      <text>
        <r>
          <rPr>
            <sz val="9"/>
            <color indexed="81"/>
            <rFont val="宋体"/>
            <family val="2"/>
          </rPr>
          <t>#Input("延炼_调度_吴延末站当日原油库存_库存1",":key{{dw}}")</t>
        </r>
      </text>
    </comment>
    <comment ref="H27" authorId="0">
      <text>
        <r>
          <rPr>
            <sz val="9"/>
            <color indexed="81"/>
            <rFont val="宋体"/>
            <family val="2"/>
          </rPr>
          <t xml:space="preserve">#Input("延炼_调度_原料库存_醋酸",":key{{dw}}")
</t>
        </r>
      </text>
    </comment>
    <comment ref="J27" authorId="0">
      <text>
        <r>
          <rPr>
            <sz val="9"/>
            <color indexed="81"/>
            <rFont val="宋体"/>
            <family val="2"/>
          </rPr>
          <t>#Input("延炼_调度_原料油气_转入_常压石脑油",":key{{dw}}")</t>
        </r>
      </text>
    </comment>
    <comment ref="K27" authorId="0">
      <text>
        <r>
          <rPr>
            <sz val="9"/>
            <color indexed="81"/>
            <rFont val="宋体"/>
            <family val="2"/>
          </rPr>
          <t xml:space="preserve">#Input("延炼_调度_原料油气_转出_常压石脑油",":key{{dw}}")
</t>
        </r>
      </text>
    </comment>
    <comment ref="M27" authorId="0">
      <text>
        <r>
          <rPr>
            <sz val="9"/>
            <color indexed="81"/>
            <rFont val="宋体"/>
            <family val="2"/>
          </rPr>
          <t xml:space="preserve">#Input("延炼_调度_销售及成品库存_丁烷_公路量",":key{{dw}}")
</t>
        </r>
      </text>
    </comment>
    <comment ref="N27" authorId="0">
      <text>
        <r>
          <rPr>
            <sz val="9"/>
            <color indexed="81"/>
            <rFont val="宋体"/>
            <family val="2"/>
          </rPr>
          <t>#Input("延炼_调度_销售及成品库存_丁烷_管输量",":key{{dw}}")</t>
        </r>
      </text>
    </comment>
    <comment ref="O27" authorId="0">
      <text>
        <r>
          <rPr>
            <sz val="9"/>
            <color indexed="81"/>
            <rFont val="宋体"/>
            <family val="2"/>
          </rPr>
          <t xml:space="preserve">#Input("延炼_调度_销售及成品库存_丁烷_库存",":key{{dw}}")
</t>
        </r>
      </text>
    </comment>
    <comment ref="H28" authorId="0">
      <text>
        <r>
          <rPr>
            <sz val="9"/>
            <color indexed="81"/>
            <rFont val="宋体"/>
            <family val="2"/>
          </rPr>
          <t xml:space="preserve">#Input("延炼_调度_原料库存_苯",":key{{dw}}")
</t>
        </r>
      </text>
    </comment>
    <comment ref="J28" authorId="0">
      <text>
        <r>
          <rPr>
            <sz val="9"/>
            <color indexed="81"/>
            <rFont val="宋体"/>
            <family val="2"/>
          </rPr>
          <t xml:space="preserve">#Input("延炼_调度_原料油气_转入_加氢原料",":key{{dw}}")
</t>
        </r>
      </text>
    </comment>
    <comment ref="K28" authorId="0">
      <text>
        <r>
          <rPr>
            <sz val="9"/>
            <color indexed="81"/>
            <rFont val="宋体"/>
            <family val="2"/>
          </rPr>
          <t xml:space="preserve">#Input("延炼_调度_原料油气_转出_加氢原料",":key{{dw}}")
</t>
        </r>
      </text>
    </comment>
    <comment ref="M28" authorId="0">
      <text>
        <r>
          <rPr>
            <sz val="9"/>
            <color indexed="81"/>
            <rFont val="宋体"/>
            <family val="2"/>
          </rPr>
          <t xml:space="preserve">#Input("延炼_调度_销售及成品库存_聚丙烯_公路量",":key{{dw}}")
</t>
        </r>
      </text>
    </comment>
    <comment ref="N28" authorId="0">
      <text>
        <r>
          <rPr>
            <sz val="9"/>
            <color indexed="81"/>
            <rFont val="宋体"/>
            <family val="2"/>
          </rPr>
          <t>#Input("延炼_调度_销售及成品库存_聚丙烯_管输量",":key{{dw}}")</t>
        </r>
      </text>
    </comment>
    <comment ref="O28" authorId="0">
      <text>
        <r>
          <rPr>
            <sz val="9"/>
            <color indexed="81"/>
            <rFont val="宋体"/>
            <family val="2"/>
          </rPr>
          <t xml:space="preserve">#Input("延炼_调度_销售及成品库存_聚丙烯_库存",":key{{dw}}")
</t>
        </r>
      </text>
    </comment>
    <comment ref="H29" authorId="0">
      <text>
        <r>
          <rPr>
            <sz val="9"/>
            <color indexed="81"/>
            <rFont val="宋体"/>
            <family val="2"/>
          </rPr>
          <t>#Input("延炼_调度_原料库存_乙苯",":key{{dw}}")</t>
        </r>
      </text>
    </comment>
    <comment ref="J29" authorId="0">
      <text>
        <r>
          <rPr>
            <sz val="9"/>
            <color indexed="81"/>
            <rFont val="宋体"/>
            <family val="2"/>
          </rPr>
          <t xml:space="preserve">#Input("延炼_调度_原料油气_转入_汽油精致原料",":key{{dw}}")
</t>
        </r>
      </text>
    </comment>
    <comment ref="K29" authorId="0">
      <text>
        <r>
          <rPr>
            <sz val="9"/>
            <color indexed="81"/>
            <rFont val="宋体"/>
            <family val="2"/>
          </rPr>
          <t xml:space="preserve">#Input("延炼_调度_原料油气_转出_汽油精致原料",":key{{dw}}")
</t>
        </r>
      </text>
    </comment>
    <comment ref="M29" authorId="0">
      <text>
        <r>
          <rPr>
            <sz val="9"/>
            <color indexed="81"/>
            <rFont val="宋体"/>
            <family val="2"/>
          </rPr>
          <t xml:space="preserve">#Input("延炼_调度_销售及成品库存_MTBE_公路量",":key{{dw}}")
</t>
        </r>
      </text>
    </comment>
    <comment ref="N29" authorId="0">
      <text>
        <r>
          <rPr>
            <sz val="9"/>
            <color indexed="81"/>
            <rFont val="宋体"/>
            <family val="2"/>
          </rPr>
          <t>#Input("延炼_调度_销售及成品库存_MTBE_管输量",":key{{dw}}")</t>
        </r>
      </text>
    </comment>
    <comment ref="O29" authorId="0">
      <text>
        <r>
          <rPr>
            <sz val="9"/>
            <color indexed="81"/>
            <rFont val="宋体"/>
            <family val="2"/>
          </rPr>
          <t xml:space="preserve">#Input("延炼_调度_销售及成品库存_MTBE_库存",":key{{dw}}")
</t>
        </r>
      </text>
    </comment>
    <comment ref="D30" authorId="0">
      <text>
        <r>
          <rPr>
            <sz val="9"/>
            <color indexed="81"/>
            <rFont val="宋体"/>
            <family val="2"/>
          </rPr>
          <t xml:space="preserve">#Input("延炼_调度_原料库存_原油
",":key{{dw}}")
</t>
        </r>
      </text>
    </comment>
    <comment ref="H30" authorId="0">
      <text>
        <r>
          <rPr>
            <sz val="9"/>
            <color indexed="81"/>
            <rFont val="Arial"/>
            <family val="2"/>
          </rPr>
          <t xml:space="preserve">#Input("延炼_调度_原料库存_酯后碳四",":key{{dw}}")
</t>
        </r>
      </text>
    </comment>
    <comment ref="J30" authorId="0">
      <text>
        <r>
          <rPr>
            <sz val="9"/>
            <color indexed="81"/>
            <rFont val="宋体"/>
            <family val="2"/>
          </rPr>
          <t xml:space="preserve">#Input("延炼_调度_原料油气_转入_柴油精致原料",":key{{dw}}")
</t>
        </r>
      </text>
    </comment>
    <comment ref="K30" authorId="0">
      <text>
        <r>
          <rPr>
            <sz val="9"/>
            <color indexed="81"/>
            <rFont val="宋体"/>
            <family val="2"/>
          </rPr>
          <t>#Input("延炼_调度_原料油气_转出_柴油精致原料",":key{{dw}}")</t>
        </r>
      </text>
    </comment>
    <comment ref="M30" authorId="0">
      <text>
        <r>
          <rPr>
            <sz val="9"/>
            <color indexed="81"/>
            <rFont val="宋体"/>
            <family val="2"/>
          </rPr>
          <t xml:space="preserve">#Input("延炼_调度_销售及成品库存_苯乙烯_公路量",":key{{dw}}")
</t>
        </r>
      </text>
    </comment>
    <comment ref="N30" authorId="0">
      <text>
        <r>
          <rPr>
            <sz val="9"/>
            <color indexed="81"/>
            <rFont val="宋体"/>
            <family val="2"/>
          </rPr>
          <t>#Input("延炼_调度_销售及成品库存_苯乙烯_管输量",":key{{dw}}")</t>
        </r>
      </text>
    </comment>
    <comment ref="O30" authorId="0">
      <text>
        <r>
          <rPr>
            <sz val="9"/>
            <color indexed="81"/>
            <rFont val="宋体"/>
            <family val="2"/>
          </rPr>
          <t xml:space="preserve">#Input("延炼_调度_销售及成品库存_苯乙烯_库存",":key{{dw}}")
</t>
        </r>
      </text>
    </comment>
    <comment ref="D31" authorId="0">
      <text>
        <r>
          <rPr>
            <sz val="9"/>
            <color indexed="81"/>
            <rFont val="宋体"/>
            <family val="2"/>
          </rPr>
          <t xml:space="preserve">#Input("延炼_调度_原料库存_1#渣油
",":key{{dw}}")
</t>
        </r>
      </text>
    </comment>
    <comment ref="H31" authorId="0">
      <text>
        <r>
          <rPr>
            <sz val="9"/>
            <color indexed="81"/>
            <rFont val="宋体"/>
            <family val="2"/>
          </rPr>
          <t xml:space="preserve">#Input("延炼_调度_原料库存_油浆",":key{{dw}}")
</t>
        </r>
      </text>
    </comment>
    <comment ref="J31" authorId="0">
      <text>
        <r>
          <rPr>
            <sz val="9"/>
            <color indexed="81"/>
            <rFont val="宋体"/>
            <family val="2"/>
          </rPr>
          <t xml:space="preserve">#Input("延炼_调度_原料油气_转入_原料液化气",":key{{dw}}")
</t>
        </r>
      </text>
    </comment>
    <comment ref="K31" authorId="0">
      <text>
        <r>
          <rPr>
            <sz val="9"/>
            <color indexed="81"/>
            <rFont val="宋体"/>
            <family val="2"/>
          </rPr>
          <t xml:space="preserve">#Input("延炼_调度_原料油气_转出_原料液化气",":key{{dw}}")
</t>
        </r>
      </text>
    </comment>
    <comment ref="M31" authorId="0">
      <text>
        <r>
          <rPr>
            <sz val="9"/>
            <color indexed="81"/>
            <rFont val="宋体"/>
            <family val="2"/>
          </rPr>
          <t xml:space="preserve">#Input("延炼_调度_销售及成品库存_SBA_公路量",":key{{dw}}")
</t>
        </r>
      </text>
    </comment>
    <comment ref="N31" authorId="0">
      <text>
        <r>
          <rPr>
            <sz val="9"/>
            <color indexed="81"/>
            <rFont val="宋体"/>
            <family val="2"/>
          </rPr>
          <t>#Input("延炼_调度_销售及成品库存_SBA_管输量",":key{{dw}}")</t>
        </r>
      </text>
    </comment>
    <comment ref="O31" authorId="0">
      <text>
        <r>
          <rPr>
            <sz val="9"/>
            <color indexed="81"/>
            <rFont val="宋体"/>
            <family val="2"/>
          </rPr>
          <t xml:space="preserve">#Input("延炼_调度_销售及成品库存_SBA_库存",":key{{dw}}")
</t>
        </r>
      </text>
    </comment>
    <comment ref="D32" authorId="0">
      <text>
        <r>
          <rPr>
            <sz val="9"/>
            <color indexed="81"/>
            <rFont val="宋体"/>
            <family val="2"/>
          </rPr>
          <t>#Input("延炼_调度_原料库存_汽油加氢精致原料
",":key{{dw}}")</t>
        </r>
      </text>
    </comment>
    <comment ref="H32" authorId="0">
      <text>
        <r>
          <rPr>
            <sz val="9"/>
            <color indexed="81"/>
            <rFont val="宋体"/>
            <family val="2"/>
          </rPr>
          <t xml:space="preserve">#Input("延炼_调度_原料库存_焦油",":key{{dw}}")
</t>
        </r>
      </text>
    </comment>
    <comment ref="J32" authorId="0">
      <text>
        <r>
          <rPr>
            <sz val="9"/>
            <color indexed="81"/>
            <rFont val="宋体"/>
            <family val="2"/>
          </rPr>
          <t xml:space="preserve">#Input("延炼_调度_原料油气_转入_民用液化气",":key{{dw}}")
</t>
        </r>
      </text>
    </comment>
    <comment ref="K32" authorId="0">
      <text>
        <r>
          <rPr>
            <sz val="9"/>
            <color indexed="81"/>
            <rFont val="宋体"/>
            <family val="2"/>
          </rPr>
          <t xml:space="preserve">#Input("延炼_调度_原料油气_转出_民用液化气",":key{{dw}}")
</t>
        </r>
      </text>
    </comment>
    <comment ref="M32" authorId="0">
      <text>
        <r>
          <rPr>
            <sz val="9"/>
            <color indexed="81"/>
            <rFont val="Arial"/>
            <family val="2"/>
          </rPr>
          <t xml:space="preserve">#Input("延炼_调度_销售及成品库存_醚后碳四_公路量",":key{{dw}}")
</t>
        </r>
      </text>
    </comment>
    <comment ref="O32" authorId="0">
      <text>
        <r>
          <rPr>
            <b/>
            <sz val="9"/>
            <color indexed="81"/>
            <rFont val="宋体"/>
            <family val="2"/>
          </rPr>
          <t>#Input("延炼_调度_销售及成品库存_醚后碳四_库存",":key{{dw}}")</t>
        </r>
      </text>
    </comment>
    <comment ref="S32" authorId="0">
      <text>
        <r>
          <rPr>
            <sz val="9"/>
            <color indexed="81"/>
            <rFont val="宋体"/>
            <family val="2"/>
          </rPr>
          <t xml:space="preserve">#Input("延炼_调度_备注1",":key{{dw}}")
</t>
        </r>
      </text>
    </comment>
    <comment ref="D33" authorId="0">
      <text>
        <r>
          <rPr>
            <sz val="9"/>
            <color indexed="81"/>
            <rFont val="宋体"/>
            <family val="2"/>
          </rPr>
          <t xml:space="preserve">#Input("延炼_调度_原料库存_柴油加氢精制原料
",":key{{dw}}")
</t>
        </r>
      </text>
    </comment>
    <comment ref="H33" authorId="0">
      <text>
        <r>
          <rPr>
            <sz val="9"/>
            <color indexed="81"/>
            <rFont val="宋体"/>
            <family val="2"/>
          </rPr>
          <t xml:space="preserve">#Input("延炼_调度_原料库存_饱和液化气",":key{{dw}}")
</t>
        </r>
      </text>
    </comment>
    <comment ref="J33" authorId="0">
      <text>
        <r>
          <rPr>
            <sz val="9"/>
            <color indexed="81"/>
            <rFont val="宋体"/>
            <family val="2"/>
          </rPr>
          <t xml:space="preserve">#Input("延炼_调度_原料油气_转入_MTBE",":key{{dw}}")
</t>
        </r>
      </text>
    </comment>
    <comment ref="K33" authorId="0">
      <text>
        <r>
          <rPr>
            <sz val="9"/>
            <color indexed="81"/>
            <rFont val="宋体"/>
            <family val="2"/>
          </rPr>
          <t xml:space="preserve">#Input("延炼_调度_原料油气_转出_MTBE",":key{{dw}}")
</t>
        </r>
      </text>
    </comment>
    <comment ref="M33" authorId="0">
      <text>
        <r>
          <rPr>
            <b/>
            <sz val="9"/>
            <color indexed="81"/>
            <rFont val="宋体"/>
            <family val="2"/>
          </rPr>
          <t>#Input("延炼_调度_销售及成品库存_苯_公路量",":key{{dw}}")</t>
        </r>
      </text>
    </comment>
    <comment ref="O33" authorId="0">
      <text>
        <r>
          <rPr>
            <sz val="9"/>
            <color indexed="81"/>
            <rFont val="Arial"/>
            <family val="2"/>
          </rPr>
          <t xml:space="preserve">#Input("延炼_调度_销售及成品库存_苯_库存",":key{{dw}}")
</t>
        </r>
      </text>
    </comment>
    <comment ref="D34" authorId="0">
      <text>
        <r>
          <rPr>
            <sz val="9"/>
            <color indexed="81"/>
            <rFont val="宋体"/>
            <family val="2"/>
          </rPr>
          <t>#Input("延炼_调度_原料库存_原料液化气
",":key{{dw}}")</t>
        </r>
      </text>
    </comment>
    <comment ref="H34" authorId="0">
      <text>
        <r>
          <rPr>
            <sz val="9"/>
            <color indexed="81"/>
            <rFont val="宋体"/>
            <family val="2"/>
          </rPr>
          <t xml:space="preserve">#Input("延炼_调度_原料库存_烷基化油",":key{{dw}}")
</t>
        </r>
      </text>
    </comment>
    <comment ref="J34" authorId="0">
      <text>
        <r>
          <rPr>
            <sz val="9"/>
            <color indexed="81"/>
            <rFont val="宋体"/>
            <family val="2"/>
          </rPr>
          <t>#Input("延炼_调度_原料油气_转入_苯",":key{{dw}}")</t>
        </r>
      </text>
    </comment>
    <comment ref="K34" authorId="0">
      <text>
        <r>
          <rPr>
            <sz val="9"/>
            <color indexed="81"/>
            <rFont val="宋体"/>
            <family val="2"/>
          </rPr>
          <t xml:space="preserve">#Input("延炼_调度_原料油气_转出_苯",":key{{dw}}")
</t>
        </r>
      </text>
    </comment>
    <comment ref="M34" authorId="0">
      <text>
        <r>
          <rPr>
            <b/>
            <sz val="9"/>
            <color indexed="81"/>
            <rFont val="宋体"/>
            <family val="2"/>
          </rPr>
          <t>#Input("延炼_调度_销售及成品库存_油浆_公路量",":key{{dw}}")</t>
        </r>
      </text>
    </comment>
    <comment ref="O34" authorId="0">
      <text>
        <r>
          <rPr>
            <b/>
            <sz val="9"/>
            <color indexed="81"/>
            <rFont val="宋体"/>
            <family val="2"/>
          </rPr>
          <t>#Input("延炼_调度_销售及成品库存_油浆_库存",":key{{dw}}")</t>
        </r>
      </text>
    </comment>
    <comment ref="H35" authorId="0">
      <text>
        <r>
          <rPr>
            <b/>
            <sz val="9"/>
            <color indexed="81"/>
            <rFont val="宋体"/>
            <family val="2"/>
          </rPr>
          <t>#Input("延炼_调度_原料库存_回炼油",":key{{dw}}")</t>
        </r>
      </text>
    </comment>
    <comment ref="J35" authorId="0">
      <text>
        <r>
          <rPr>
            <sz val="9"/>
            <color indexed="81"/>
            <rFont val="宋体"/>
            <family val="2"/>
          </rPr>
          <t xml:space="preserve">#Input("延炼_调度_原料油气_转入_烷基化油",":key{{dw}}")
</t>
        </r>
      </text>
    </comment>
    <comment ref="K35" authorId="0">
      <text>
        <r>
          <rPr>
            <sz val="9"/>
            <color indexed="81"/>
            <rFont val="宋体"/>
            <family val="2"/>
          </rPr>
          <t xml:space="preserve">#Input("延炼_调度_原料油气_转出_烷基化油",":key{{dw}}")
</t>
        </r>
      </text>
    </comment>
    <comment ref="M35" authorId="0">
      <text>
        <r>
          <rPr>
            <sz val="9"/>
            <color indexed="81"/>
            <rFont val="Arial"/>
            <family val="2"/>
          </rPr>
          <t xml:space="preserve">#Input("延炼_调度_销售及成品库存_3号喷气燃料_公路量",":key{{dw}}")
</t>
        </r>
      </text>
    </comment>
    <comment ref="O35" authorId="0">
      <text>
        <r>
          <rPr>
            <sz val="9"/>
            <color indexed="81"/>
            <rFont val="Arial"/>
            <family val="2"/>
          </rPr>
          <t xml:space="preserve">#Input("延炼_调度_销售及成品库存_3号喷气燃料_库存",":key{{dw}}")
</t>
        </r>
      </text>
    </comment>
    <comment ref="D36" authorId="0">
      <text>
        <r>
          <rPr>
            <b/>
            <sz val="9"/>
            <color indexed="81"/>
            <rFont val="宋体"/>
            <family val="2"/>
          </rPr>
          <t>#Input("延炼_调度_原料库存_上古轻烃卸车量
",":key{{dw}}")</t>
        </r>
      </text>
    </comment>
    <comment ref="E36" authorId="0">
      <text>
        <r>
          <rPr>
            <b/>
            <sz val="9"/>
            <color indexed="81"/>
            <rFont val="宋体"/>
            <family val="2"/>
          </rPr>
          <t>#Input("延炼_调度_原料库存_上古轻烃库存
",":key{{dw}}")</t>
        </r>
      </text>
    </comment>
    <comment ref="D37" authorId="0">
      <text>
        <r>
          <rPr>
            <b/>
            <sz val="9"/>
            <color indexed="81"/>
            <rFont val="宋体"/>
            <family val="2"/>
          </rPr>
          <t>#Input("延炼_延安炼油厂生产调度台帐_单位负责人",":key{{dw}}")</t>
        </r>
      </text>
    </comment>
    <comment ref="J37" authorId="0">
      <text>
        <r>
          <rPr>
            <b/>
            <sz val="9"/>
            <color indexed="81"/>
            <rFont val="宋体"/>
            <family val="2"/>
          </rPr>
          <t>#Input("延炼_延安炼油厂生产调度台帐_审核人",":key{{dw}}")</t>
        </r>
      </text>
    </comment>
    <comment ref="R37" authorId="0">
      <text>
        <r>
          <rPr>
            <b/>
            <sz val="9"/>
            <color indexed="81"/>
            <rFont val="宋体"/>
            <family val="2"/>
          </rPr>
          <t>#Input("延炼_延安炼油厂生产调度台帐_填报人",":key{{dw}}")</t>
        </r>
      </text>
    </comment>
  </commentList>
</comments>
</file>

<file path=xl/sharedStrings.xml><?xml version="1.0" encoding="utf-8"?>
<sst xmlns="http://schemas.openxmlformats.org/spreadsheetml/2006/main" count="245" uniqueCount="138">
  <si>
    <t xml:space="preserve">延安炼油厂生产调度台帐  </t>
  </si>
  <si>
    <t>填报单位：延安炼油厂</t>
  </si>
  <si>
    <t>日期：</t>
  </si>
  <si>
    <t>2026-01-06</t>
  </si>
  <si>
    <t>单位：吨</t>
  </si>
  <si>
    <t>规模</t>
  </si>
  <si>
    <t>260万吨/年常压</t>
  </si>
  <si>
    <t>300万吨/年常压</t>
  </si>
  <si>
    <t>合计</t>
  </si>
  <si>
    <t>100万吨/年催化</t>
  </si>
  <si>
    <t>200万吨/年催化</t>
  </si>
  <si>
    <t>50万吨/航煤加氢</t>
  </si>
  <si>
    <t>加工量</t>
  </si>
  <si>
    <t>产量</t>
  </si>
  <si>
    <t>收率</t>
  </si>
  <si>
    <t>原油</t>
  </si>
  <si>
    <t>原料油</t>
  </si>
  <si>
    <t>石脑油</t>
  </si>
  <si>
    <t>汽油</t>
  </si>
  <si>
    <t>氢气</t>
  </si>
  <si>
    <t>柴油</t>
  </si>
  <si>
    <t>粗石脑油</t>
  </si>
  <si>
    <t>渣油</t>
  </si>
  <si>
    <t>液化气</t>
  </si>
  <si>
    <t>3#喷气燃料</t>
  </si>
  <si>
    <t xml:space="preserve">航煤原料 </t>
  </si>
  <si>
    <t>油浆</t>
  </si>
  <si>
    <t>回炼油</t>
  </si>
  <si>
    <t>30万吨/年气分</t>
  </si>
  <si>
    <t>10万吨/年聚丙烯</t>
  </si>
  <si>
    <t>6万吨/年MTBE</t>
  </si>
  <si>
    <t>7万吨/年醋酸仲丁酯</t>
  </si>
  <si>
    <t>18万吨/年干气精制</t>
  </si>
  <si>
    <t>12万吨/年乙苯</t>
  </si>
  <si>
    <t>12万吨/年苯乙烯</t>
  </si>
  <si>
    <t>加工量(产量）</t>
  </si>
  <si>
    <t>原料</t>
  </si>
  <si>
    <t>原  料</t>
  </si>
  <si>
    <t>醋酸</t>
  </si>
  <si>
    <t>催化干气</t>
  </si>
  <si>
    <t>净化干气</t>
  </si>
  <si>
    <t>脱氢液</t>
  </si>
  <si>
    <t>丙烯</t>
  </si>
  <si>
    <t>聚丙烯</t>
  </si>
  <si>
    <t>C4原料</t>
  </si>
  <si>
    <t>醚后C4</t>
  </si>
  <si>
    <t>苯</t>
  </si>
  <si>
    <t>苯乙烯</t>
  </si>
  <si>
    <t>丙烷</t>
  </si>
  <si>
    <t>甲醇原料</t>
  </si>
  <si>
    <t>SBA</t>
  </si>
  <si>
    <t>干气收率</t>
  </si>
  <si>
    <t>乙苯</t>
  </si>
  <si>
    <t>甲苯</t>
  </si>
  <si>
    <t>C4</t>
  </si>
  <si>
    <t>MTBE</t>
  </si>
  <si>
    <t>酯后C4</t>
  </si>
  <si>
    <t>烃化液</t>
  </si>
  <si>
    <t>焦油</t>
  </si>
  <si>
    <t>戊烷</t>
  </si>
  <si>
    <t>剩余C4</t>
  </si>
  <si>
    <t>乙苯收率</t>
  </si>
  <si>
    <t>30万吨/年液化气精制</t>
  </si>
  <si>
    <t>原料库存</t>
  </si>
  <si>
    <t>原料油气内部调拨</t>
  </si>
  <si>
    <t>销售及成品库存</t>
  </si>
  <si>
    <t>0.53万吨/年硫磺回收</t>
  </si>
  <si>
    <t>原 料</t>
  </si>
  <si>
    <t>当日</t>
  </si>
  <si>
    <t>车辆调运</t>
  </si>
  <si>
    <t>调入</t>
  </si>
  <si>
    <t>调出</t>
  </si>
  <si>
    <t>成品</t>
  </si>
  <si>
    <r>
      <rPr>
        <charset val="134"/>
        <rFont val="等线"/>
        <sz val="11"/>
      </rPr>
      <t>公/</t>
    </r>
    <r>
      <rPr>
        <charset val="134"/>
        <rFont val="等线"/>
        <sz val="11"/>
      </rPr>
      <t>铁</t>
    </r>
    <r>
      <rPr>
        <charset val="134"/>
        <rFont val="等线"/>
        <sz val="11"/>
      </rPr>
      <t>路量</t>
    </r>
  </si>
  <si>
    <t>管输量</t>
  </si>
  <si>
    <t>库存</t>
  </si>
  <si>
    <t>安全库存</t>
  </si>
  <si>
    <t>可售量库存</t>
  </si>
  <si>
    <t>调入原油</t>
  </si>
  <si>
    <t>外购原料</t>
  </si>
  <si>
    <t>重整原料</t>
  </si>
  <si>
    <r>
      <rPr>
        <charset val="134"/>
        <rFont val="等线"/>
        <sz val="11"/>
      </rPr>
      <t>1</t>
    </r>
    <r>
      <rPr>
        <charset val="134"/>
        <rFont val="等线"/>
        <sz val="11"/>
        <vertAlign val="superscript"/>
      </rPr>
      <t>#</t>
    </r>
    <r>
      <rPr>
        <charset val="134"/>
        <rFont val="等线"/>
        <sz val="11"/>
      </rPr>
      <t>渣油外调榆能化</t>
    </r>
  </si>
  <si>
    <t>92#</t>
  </si>
  <si>
    <t>可售92#</t>
  </si>
  <si>
    <t>加氢原料</t>
  </si>
  <si>
    <r>
      <rPr>
        <charset val="134"/>
        <rFont val="等线"/>
        <sz val="11"/>
      </rPr>
      <t>1</t>
    </r>
    <r>
      <rPr>
        <charset val="134"/>
        <rFont val="等线"/>
        <sz val="11"/>
        <vertAlign val="superscript"/>
      </rPr>
      <t>#</t>
    </r>
    <r>
      <rPr>
        <charset val="134"/>
        <rFont val="等线"/>
        <sz val="11"/>
      </rPr>
      <t>渣油外调榆炼</t>
    </r>
  </si>
  <si>
    <t>95#</t>
  </si>
  <si>
    <t>可售95#</t>
  </si>
  <si>
    <t>原油入库</t>
  </si>
  <si>
    <t>烷基化油</t>
  </si>
  <si>
    <t>气分原料</t>
  </si>
  <si>
    <t>原料液化气</t>
  </si>
  <si>
    <t>0#</t>
  </si>
  <si>
    <t>可售0#</t>
  </si>
  <si>
    <t>长庆原油</t>
  </si>
  <si>
    <t>丙烯原料</t>
  </si>
  <si>
    <t>粗硫磺</t>
  </si>
  <si>
    <t xml:space="preserve"> -10#</t>
  </si>
  <si>
    <t>天然气</t>
  </si>
  <si>
    <t>管输原油</t>
  </si>
  <si>
    <t>甲醇</t>
  </si>
  <si>
    <t>MTBE原料</t>
  </si>
  <si>
    <t>饱和液化气</t>
  </si>
  <si>
    <t>民用气</t>
  </si>
  <si>
    <t>天然气用量</t>
  </si>
  <si>
    <t>公路原油</t>
  </si>
  <si>
    <t>管道输转</t>
  </si>
  <si>
    <t>转入</t>
  </si>
  <si>
    <t>转出</t>
  </si>
  <si>
    <t>吴延末站当日原油库存</t>
  </si>
  <si>
    <t>常压石脑油</t>
  </si>
  <si>
    <t>汽油精制原料</t>
  </si>
  <si>
    <t>原  油</t>
  </si>
  <si>
    <t>酯后碳四</t>
  </si>
  <si>
    <t>柴油精制原料</t>
  </si>
  <si>
    <r>
      <rPr>
        <charset val="134"/>
        <rFont val="等线"/>
        <sz val="11"/>
      </rPr>
      <t>1</t>
    </r>
    <r>
      <rPr>
        <charset val="134"/>
        <rFont val="等线"/>
        <sz val="11"/>
        <vertAlign val="superscript"/>
      </rPr>
      <t>#</t>
    </r>
    <r>
      <rPr>
        <charset val="134"/>
        <rFont val="等线"/>
        <sz val="11"/>
      </rPr>
      <t>渣油</t>
    </r>
  </si>
  <si>
    <t>汽油加氢精制原料</t>
  </si>
  <si>
    <t>民用液化气</t>
  </si>
  <si>
    <t>柴油加氢精制原料</t>
  </si>
  <si>
    <t>上古轻烃（液化气）</t>
  </si>
  <si>
    <t>卸车量</t>
  </si>
  <si>
    <t>3号喷气燃料</t>
  </si>
  <si>
    <t xml:space="preserve">                                                   </t>
  </si>
  <si>
    <t>单位负责人：</t>
  </si>
  <si>
    <t>王静</t>
  </si>
  <si>
    <t>审核人：</t>
  </si>
  <si>
    <t>杨涛</t>
  </si>
  <si>
    <t>填报人：</t>
  </si>
  <si>
    <t>卫娇</t>
  </si>
  <si>
    <t>报表生成时间：</t>
  </si>
  <si>
    <t>2026-01-07</t>
  </si>
  <si>
    <t xml:space="preserve"> 8:00:00</t>
  </si>
  <si>
    <t>延炼_油品调和日报表汇总_原料液化气_内部调入</t>
  </si>
  <si>
    <t>延炼_油品调和日报表汇总_原料液化气_内部调出</t>
  </si>
  <si>
    <t>延炼_生产_联合四车间_6万吨/年MTBE_进_C4</t>
  </si>
  <si>
    <t>延炼_生产_联合四车间_6万吨/年MTBE_进_甲醇</t>
  </si>
  <si>
    <t>原取值</t>
  </si>
  <si>
    <t>新取值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</si>
</sst>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1" formatCode="yyyy&quot;年&quot;m&quot;月&quot;d&quot;日&quot;;@"/>
    <numFmt numFmtId="172" formatCode="0_ "/>
    <numFmt numFmtId="173" formatCode="0.0"/>
    <numFmt numFmtId="174" formatCode="_(* #,##0.00_);_(* \(#,##0.00\);_(* &quot;-&quot;??_);_(@_)"/>
    <numFmt numFmtId="175" formatCode="_(* #,##0_);_(* \(#,##0\);_(* &quot;-&quot;_);_(@_)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0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0"/>
      <color auto="1"/>
      <name val="Arial"/>
    </font>
    <font>
      <sz val="12"/>
      <color auto="1"/>
      <name val="宋体"/>
    </font>
    <font>
      <sz val="22"/>
      <color theme="1"/>
      <name val="宋体"/>
    </font>
    <font>
      <sz val="10"/>
      <color theme="1"/>
      <name val="宋体"/>
    </font>
    <font>
      <b/>
      <sz val="18"/>
      <color auto="1"/>
      <name val="等线"/>
    </font>
    <font>
      <sz val="11"/>
      <color auto="1"/>
      <name val="等线"/>
    </font>
    <font>
      <b/>
      <sz val="11"/>
      <color auto="1"/>
      <name val="等线"/>
    </font>
    <font>
      <sz val="11"/>
      <color theme="1"/>
      <name val="等线"/>
    </font>
    <font>
      <sz val="11"/>
      <color rgb="FFFF0000"/>
      <name val="等线"/>
    </font>
    <font>
      <sz val="10"/>
      <color auto="1"/>
      <name val="等线"/>
    </font>
  </fonts>
  <fills count="35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theme="0"/>
      </patternFill>
    </fill>
  </fills>
  <borders count="25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51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4" fontId="5" fillId="0" borderId="0" applyFont="0" applyFill="0" applyBorder="0" applyNumberFormat="1">
      <alignment vertical="top"/>
    </xf>
    <xf numFmtId="175" fontId="5" fillId="0" borderId="0" applyFont="0" applyFill="0" applyBorder="0" applyNumberFormat="1">
      <alignment vertical="top"/>
    </xf>
    <xf numFmtId="176" fontId="5" fillId="0" borderId="0" applyFont="0" applyFill="0" applyBorder="0" applyNumberFormat="1">
      <alignment vertical="top"/>
    </xf>
    <xf numFmtId="177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  <xf numFmtId="0" fontId="20" fillId="0" borderId="0" applyFont="1" applyFill="0" applyBorder="0"/>
    <xf numFmtId="0" fontId="21" fillId="0" borderId="0" applyFont="1" applyFill="0" applyBorder="0">
      <alignment vertical="center"/>
    </xf>
  </cellStyleXfs>
  <cellXfs count="191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4" fontId="5" fillId="0" borderId="0" xfId="28" applyFont="0" applyNumberFormat="1">
      <alignment vertical="top"/>
    </xf>
    <xf numFmtId="175" fontId="5" fillId="0" borderId="0" xfId="29" applyFont="0" applyNumberFormat="1">
      <alignment vertical="top"/>
    </xf>
    <xf numFmtId="176" fontId="5" fillId="0" borderId="0" xfId="30" applyFont="0" applyNumberFormat="1">
      <alignment vertical="top"/>
    </xf>
    <xf numFmtId="177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20" fillId="0" borderId="0" xfId="49" applyFont="1"/>
    <xf numFmtId="0" fontId="21" fillId="0" borderId="0" xfId="50" applyFont="1">
      <alignment vertical="center"/>
    </xf>
    <xf numFmtId="0" fontId="0" fillId="0" borderId="0" xfId="0" applyFont="1"/>
    <xf numFmtId="20" fontId="0" fillId="0" borderId="0" xfId="0" applyFont="1" applyNumberFormat="1"/>
    <xf numFmtId="0" fontId="0" fillId="33" borderId="0" xfId="0" applyFont="1" applyFill="1">
      <alignment vertical="center"/>
    </xf>
    <xf numFmtId="0" fontId="0" fillId="33" borderId="0" xfId="0" applyFont="1" applyFill="1"/>
    <xf numFmtId="0" fontId="0" fillId="0" borderId="0" xfId="0" applyFont="1">
      <alignment horizontal="righ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10" xfId="0" applyFont="1" applyBorder="1">
      <alignment horizontal="center" vertical="center"/>
    </xf>
    <xf numFmtId="0" fontId="24" fillId="0" borderId="11" xfId="0" applyFont="1" applyBorder="1">
      <alignment horizontal="center" vertical="center"/>
    </xf>
    <xf numFmtId="0" fontId="25" fillId="0" borderId="12" xfId="0" applyFont="1" applyBorder="1">
      <alignment horizontal="left" vertical="center" wrapText="1"/>
    </xf>
    <xf numFmtId="0" fontId="25" fillId="0" borderId="13" xfId="0" applyFont="1" applyBorder="1">
      <alignment horizontal="left" vertical="center" wrapText="1"/>
    </xf>
    <xf numFmtId="171" fontId="25" fillId="0" borderId="13" xfId="0" applyFont="1" applyBorder="1" applyNumberFormat="1">
      <alignment horizontal="right" vertical="center"/>
    </xf>
    <xf numFmtId="171" fontId="25" fillId="0" borderId="13" xfId="0" applyFont="1" applyBorder="1" applyNumberFormat="1">
      <alignment horizontal="left" vertical="center"/>
    </xf>
    <xf numFmtId="0" fontId="25" fillId="0" borderId="14" xfId="0" applyFont="1" applyBorder="1">
      <alignment horizontal="center" vertical="center" wrapText="1"/>
    </xf>
    <xf numFmtId="0" fontId="26" fillId="0" borderId="15" xfId="0" applyFont="1" applyBorder="1">
      <alignment horizontal="center" vertical="center" wrapText="1"/>
    </xf>
    <xf numFmtId="0" fontId="25" fillId="0" borderId="15" xfId="0" applyFont="1" applyBorder="1">
      <alignment horizontal="center" vertical="center" wrapText="1"/>
    </xf>
    <xf numFmtId="172" fontId="25" fillId="4" borderId="15" xfId="0" applyFont="1" applyFill="1" applyBorder="1" applyNumberFormat="1">
      <alignment horizontal="center" vertical="center" wrapText="1"/>
    </xf>
    <xf numFmtId="10" fontId="25" fillId="0" borderId="15" xfId="43" applyFont="1" applyBorder="1" applyNumberFormat="1">
      <alignment horizontal="center" vertical="center" wrapText="1"/>
    </xf>
    <xf numFmtId="172" fontId="25" fillId="0" borderId="15" xfId="0" applyFont="1" applyBorder="1" applyNumberFormat="1">
      <alignment horizontal="center" vertical="center" wrapText="1"/>
    </xf>
    <xf numFmtId="0" fontId="25" fillId="34" borderId="14" xfId="0" applyFont="1" applyFill="1" applyBorder="1">
      <alignment horizontal="center" vertical="center" wrapText="1"/>
    </xf>
    <xf numFmtId="10" fontId="25" fillId="34" borderId="15" xfId="43" applyFont="1" applyFill="1" applyBorder="1" applyNumberFormat="1">
      <alignment horizontal="center" vertical="center" wrapText="1"/>
    </xf>
    <xf numFmtId="172" fontId="25" fillId="34" borderId="15" xfId="0" applyFont="1" applyFill="1" applyBorder="1" applyNumberFormat="1">
      <alignment horizontal="center" vertical="center" wrapText="1"/>
    </xf>
    <xf numFmtId="0" fontId="25" fillId="0" borderId="15" xfId="0" applyFont="1" applyBorder="1">
      <alignment horizontal="center" vertical="center"/>
    </xf>
    <xf numFmtId="0" fontId="25" fillId="0" borderId="15" xfId="0" applyFont="1" applyBorder="1">
      <alignment vertical="center" wrapText="1"/>
    </xf>
    <xf numFmtId="10" fontId="25" fillId="0" borderId="15" xfId="43" applyFont="1" applyBorder="1" applyNumberFormat="1">
      <alignment vertical="center" wrapText="1"/>
    </xf>
    <xf numFmtId="0" fontId="26" fillId="0" borderId="14" xfId="0" applyFont="1" applyBorder="1">
      <alignment horizontal="center" vertical="center"/>
    </xf>
    <xf numFmtId="0" fontId="26" fillId="0" borderId="15" xfId="0" applyFont="1" applyBorder="1">
      <alignment horizontal="center" vertical="center"/>
    </xf>
    <xf numFmtId="0" fontId="26" fillId="34" borderId="14" xfId="0" applyFont="1" applyFill="1" applyBorder="1">
      <alignment horizontal="center" vertical="center"/>
    </xf>
    <xf numFmtId="0" fontId="26" fillId="34" borderId="15" xfId="0" applyFont="1" applyFill="1" applyBorder="1">
      <alignment horizontal="center" vertical="center"/>
    </xf>
    <xf numFmtId="0" fontId="25" fillId="34" borderId="15" xfId="0" applyFont="1" applyFill="1" applyBorder="1">
      <alignment horizontal="center" vertical="center"/>
    </xf>
    <xf numFmtId="173" fontId="25" fillId="4" borderId="15" xfId="0" applyFont="1" applyFill="1" applyBorder="1" applyNumberFormat="1">
      <alignment horizontal="center" vertical="center" wrapText="1"/>
    </xf>
    <xf numFmtId="0" fontId="25" fillId="34" borderId="15" xfId="0" applyFont="1" applyFill="1" applyBorder="1">
      <alignment horizontal="center" vertical="center" wrapText="1"/>
    </xf>
    <xf numFmtId="172" fontId="25" fillId="4" borderId="15" xfId="0" applyFont="1" applyFill="1" applyBorder="1" applyNumberFormat="1">
      <alignment horizontal="center" vertical="center"/>
    </xf>
    <xf numFmtId="0" fontId="25" fillId="0" borderId="14" xfId="0" applyFont="1" applyBorder="1">
      <alignment horizontal="center" vertical="center"/>
    </xf>
    <xf numFmtId="0" fontId="25" fillId="34" borderId="14" xfId="0" applyFont="1" applyFill="1" applyBorder="1">
      <alignment horizontal="center" vertical="center"/>
    </xf>
    <xf numFmtId="172" fontId="25" fillId="34" borderId="14" xfId="0" applyFont="1" applyFill="1" applyBorder="1" applyNumberFormat="1">
      <alignment horizontal="center" vertical="center" wrapText="1"/>
    </xf>
    <xf numFmtId="0" fontId="25" fillId="4" borderId="15" xfId="0" applyFont="1" applyFill="1" applyBorder="1">
      <alignment horizontal="center" vertical="center"/>
    </xf>
    <xf numFmtId="172" fontId="25" fillId="34" borderId="16" xfId="0" applyFont="1" applyFill="1" applyBorder="1" applyNumberFormat="1">
      <alignment horizontal="center" vertical="center" wrapText="1"/>
    </xf>
    <xf numFmtId="172" fontId="25" fillId="34" borderId="17" xfId="0" applyFont="1" applyFill="1" applyBorder="1" applyNumberFormat="1">
      <alignment horizontal="center" vertical="center" wrapText="1"/>
    </xf>
    <xf numFmtId="172" fontId="25" fillId="4" borderId="17" xfId="0" applyFont="1" applyFill="1" applyBorder="1" applyNumberFormat="1">
      <alignment horizontal="center" vertical="center" wrapText="1"/>
    </xf>
    <xf numFmtId="0" fontId="27" fillId="0" borderId="18" xfId="0" applyFont="1" applyBorder="1">
      <alignment horizontal="right" vertical="center"/>
    </xf>
    <xf numFmtId="0" fontId="27" fillId="4" borderId="0" xfId="0" applyFont="1" applyFill="1">
      <alignment horizontal="left" vertical="center"/>
    </xf>
    <xf numFmtId="0" fontId="27" fillId="0" borderId="0" xfId="0" applyFont="1">
      <alignment vertical="center"/>
    </xf>
    <xf numFmtId="171" fontId="25" fillId="0" borderId="13" xfId="0" applyFont="1" applyBorder="1" applyNumberFormat="1">
      <alignment vertical="center"/>
    </xf>
    <xf numFmtId="0" fontId="25" fillId="4" borderId="15" xfId="0" applyFont="1" applyFill="1" applyBorder="1">
      <alignment horizontal="center" vertical="center" wrapText="1"/>
    </xf>
    <xf numFmtId="0" fontId="25" fillId="0" borderId="15" xfId="0" applyFont="1" applyBorder="1">
      <alignment vertical="center"/>
    </xf>
    <xf numFmtId="0" fontId="25" fillId="0" borderId="15" xfId="50" applyFont="1" applyBorder="1">
      <alignment horizontal="center" vertical="center"/>
    </xf>
    <xf numFmtId="172" fontId="28" fillId="0" borderId="15" xfId="0" applyFont="1" applyBorder="1" applyNumberFormat="1">
      <alignment horizontal="center" vertical="center"/>
    </xf>
    <xf numFmtId="172" fontId="25" fillId="0" borderId="15" xfId="0" applyFont="1" applyBorder="1" applyNumberFormat="1">
      <alignment horizontal="center" vertical="center"/>
    </xf>
    <xf numFmtId="172" fontId="25" fillId="34" borderId="15" xfId="0" applyFont="1" applyFill="1" applyBorder="1" applyNumberFormat="1">
      <alignment horizontal="center" vertical="center"/>
    </xf>
    <xf numFmtId="0" fontId="29" fillId="34" borderId="15" xfId="0" applyFont="1" applyFill="1" applyBorder="1">
      <alignment horizontal="center" vertical="center"/>
    </xf>
    <xf numFmtId="0" fontId="25" fillId="0" borderId="17" xfId="0" applyFont="1" applyBorder="1">
      <alignment horizontal="center" vertical="center"/>
    </xf>
    <xf numFmtId="172" fontId="25" fillId="34" borderId="17" xfId="0" applyFont="1" applyFill="1" applyBorder="1" applyNumberFormat="1">
      <alignment horizontal="center" vertical="center"/>
    </xf>
    <xf numFmtId="172" fontId="28" fillId="0" borderId="17" xfId="0" applyFont="1" applyBorder="1" applyNumberFormat="1">
      <alignment horizontal="center" vertical="center"/>
    </xf>
    <xf numFmtId="0" fontId="27" fillId="0" borderId="0" xfId="0" applyFont="1">
      <alignment horizontal="right" vertical="center"/>
    </xf>
    <xf numFmtId="0" fontId="24" fillId="0" borderId="19" xfId="0" applyFont="1" applyBorder="1">
      <alignment horizontal="center" vertical="center"/>
    </xf>
    <xf numFmtId="171" fontId="25" fillId="0" borderId="20" xfId="0" applyFont="1" applyBorder="1" applyNumberFormat="1">
      <alignment horizontal="right" vertical="center"/>
    </xf>
    <xf numFmtId="0" fontId="25" fillId="0" borderId="21" xfId="0" applyFont="1" applyBorder="1">
      <alignment vertical="center" wrapText="1"/>
    </xf>
    <xf numFmtId="0" fontId="25" fillId="0" borderId="21" xfId="0" applyFont="1" applyBorder="1">
      <alignment horizontal="center" vertical="center" wrapText="1"/>
    </xf>
    <xf numFmtId="10" fontId="25" fillId="0" borderId="21" xfId="43" applyFont="1" applyBorder="1" applyNumberFormat="1">
      <alignment horizontal="center" vertical="center" wrapText="1"/>
    </xf>
    <xf numFmtId="0" fontId="26" fillId="0" borderId="21" xfId="0" applyFont="1" applyBorder="1">
      <alignment horizontal="center" vertical="center" wrapText="1"/>
    </xf>
    <xf numFmtId="0" fontId="25" fillId="0" borderId="21" xfId="0" applyFont="1" applyBorder="1">
      <alignment horizontal="center" vertical="center"/>
    </xf>
    <xf numFmtId="0" fontId="25" fillId="4" borderId="21" xfId="0" applyFont="1" applyFill="1" applyBorder="1">
      <alignment horizontal="center" wrapText="1"/>
    </xf>
    <xf numFmtId="0" fontId="26" fillId="0" borderId="22" xfId="0" applyFont="1" applyBorder="1">
      <alignment horizontal="center" vertical="center"/>
    </xf>
    <xf numFmtId="0" fontId="26" fillId="0" borderId="23" xfId="0" applyFont="1" applyBorder="1">
      <alignment horizontal="center" vertical="center"/>
    </xf>
    <xf numFmtId="0" fontId="25" fillId="4" borderId="21" xfId="0" applyFont="1" applyFill="1" applyBorder="1">
      <alignment horizontal="center" vertical="center" wrapText="1"/>
    </xf>
    <xf numFmtId="172" fontId="25" fillId="0" borderId="17" xfId="0" applyFont="1" applyBorder="1" applyNumberFormat="1">
      <alignment horizontal="center" vertical="center" wrapText="1"/>
    </xf>
    <xf numFmtId="0" fontId="25" fillId="4" borderId="24" xfId="0" applyFont="1" applyFill="1" applyBorder="1">
      <alignment horizontal="center" vertical="center" wrapText="1"/>
    </xf>
    <xf numFmtId="0" fontId="23" fillId="0" borderId="0" xfId="0" applyFont="1">
      <alignment vertical="center" wrapText="1"/>
    </xf>
    <xf numFmtId="0" fontId="22" fillId="0" borderId="0" xfId="0" applyFont="1">
      <alignment vertical="center" wrapText="1"/>
    </xf>
    <xf numFmtId="0" fontId="24" fillId="0" borderId="10" xfId="0" applyFont="1" applyBorder="1">
      <alignment horizontal="center" vertical="center" wrapText="1"/>
    </xf>
    <xf numFmtId="0" fontId="24" fillId="0" borderId="11" xfId="0" applyFont="1" applyBorder="1">
      <alignment horizontal="center" vertical="center" wrapText="1"/>
    </xf>
    <xf numFmtId="0" fontId="24" fillId="0" borderId="19" xfId="0" applyFont="1" applyBorder="1">
      <alignment horizontal="center" vertical="center" wrapText="1"/>
    </xf>
    <xf numFmtId="0" fontId="25" fillId="0" borderId="12" xfId="0" applyFont="1" applyBorder="1">
      <alignment horizontal="left" vertical="center" wrapText="1"/>
    </xf>
    <xf numFmtId="0" fontId="25" fillId="0" borderId="13" xfId="0" applyFont="1" applyBorder="1">
      <alignment horizontal="left" vertical="center" wrapText="1"/>
    </xf>
    <xf numFmtId="171" fontId="25" fillId="0" borderId="13" xfId="0" applyFont="1" applyBorder="1" applyNumberFormat="1">
      <alignment horizontal="right" vertical="center" wrapText="1"/>
    </xf>
    <xf numFmtId="171" fontId="25" fillId="0" borderId="13" xfId="0" applyFont="1" applyBorder="1" applyNumberFormat="1">
      <alignment horizontal="left" vertical="center" wrapText="1"/>
    </xf>
    <xf numFmtId="171" fontId="25" fillId="0" borderId="13" xfId="0" applyFont="1" applyBorder="1" applyNumberFormat="1">
      <alignment vertical="center" wrapText="1"/>
    </xf>
    <xf numFmtId="171" fontId="25" fillId="0" borderId="20" xfId="0" applyFont="1" applyBorder="1" applyNumberFormat="1">
      <alignment horizontal="right" vertical="center" wrapText="1"/>
    </xf>
    <xf numFmtId="0" fontId="25" fillId="0" borderId="14" xfId="0" applyFont="1" applyBorder="1">
      <alignment horizontal="center" vertical="center" wrapText="1"/>
    </xf>
    <xf numFmtId="0" fontId="26" fillId="0" borderId="15" xfId="0" applyFont="1" applyBorder="1">
      <alignment horizontal="center" vertical="center" wrapText="1"/>
    </xf>
    <xf numFmtId="0" fontId="25" fillId="0" borderId="15" xfId="0" applyFont="1" applyBorder="1">
      <alignment horizontal="center" vertical="center" wrapText="1"/>
    </xf>
    <xf numFmtId="0" fontId="25" fillId="0" borderId="21" xfId="0" applyFont="1" applyBorder="1">
      <alignment vertical="center" wrapText="1"/>
    </xf>
    <xf numFmtId="10" fontId="25" fillId="0" borderId="15" xfId="0" applyFont="1" applyBorder="1" applyNumberFormat="1">
      <alignment horizontal="center" vertical="center" wrapText="1"/>
    </xf>
    <xf numFmtId="0" fontId="25" fillId="0" borderId="21" xfId="0" applyFont="1" applyBorder="1">
      <alignment horizontal="center" vertical="center" wrapText="1"/>
    </xf>
    <xf numFmtId="172" fontId="25" fillId="4" borderId="15" xfId="0" applyFont="1" applyFill="1" applyBorder="1" applyNumberFormat="1">
      <alignment horizontal="center" vertical="center" wrapText="1"/>
      <protection locked="0"/>
    </xf>
    <xf numFmtId="172" fontId="25" fillId="0" borderId="15" xfId="0" applyFont="1" applyBorder="1" applyNumberFormat="1">
      <alignment horizontal="center" vertical="center" wrapText="1"/>
    </xf>
    <xf numFmtId="10" fontId="25" fillId="0" borderId="21" xfId="0" applyFont="1" applyBorder="1" applyNumberFormat="1">
      <alignment horizontal="center" vertical="center" wrapText="1"/>
    </xf>
    <xf numFmtId="0" fontId="25" fillId="34" borderId="14" xfId="0" applyFont="1" applyFill="1" applyBorder="1">
      <alignment horizontal="center" vertical="center" wrapText="1"/>
    </xf>
    <xf numFmtId="10" fontId="25" fillId="34" borderId="15" xfId="0" applyFont="1" applyFill="1" applyBorder="1" applyNumberFormat="1">
      <alignment horizontal="center" vertical="center" wrapText="1"/>
    </xf>
    <xf numFmtId="172" fontId="25" fillId="34" borderId="15" xfId="0" applyFont="1" applyFill="1" applyBorder="1" applyNumberFormat="1">
      <alignment horizontal="center" vertical="center" wrapText="1"/>
    </xf>
    <xf numFmtId="0" fontId="25" fillId="4" borderId="15" xfId="0" applyFont="1" applyFill="1" applyBorder="1">
      <alignment horizontal="center" vertical="center" wrapText="1"/>
      <protection locked="0"/>
    </xf>
    <xf numFmtId="0" fontId="26" fillId="0" borderId="21" xfId="0" applyFont="1" applyBorder="1">
      <alignment horizontal="center" vertical="center" wrapText="1"/>
    </xf>
    <xf numFmtId="0" fontId="25" fillId="0" borderId="15" xfId="0" applyFont="1" applyBorder="1">
      <alignment horizontal="center" vertical="center" wrapText="1"/>
    </xf>
    <xf numFmtId="0" fontId="25" fillId="0" borderId="21" xfId="0" applyFont="1" applyBorder="1">
      <alignment horizontal="center" vertical="center" wrapText="1"/>
    </xf>
    <xf numFmtId="0" fontId="25" fillId="0" borderId="15" xfId="0" applyFont="1" applyBorder="1">
      <alignment vertical="center" wrapText="1"/>
    </xf>
    <xf numFmtId="10" fontId="25" fillId="0" borderId="15" xfId="0" applyFont="1" applyBorder="1" applyNumberFormat="1">
      <alignment vertical="center" wrapText="1"/>
    </xf>
    <xf numFmtId="0" fontId="25" fillId="0" borderId="15" xfId="0" applyFont="1" applyBorder="1">
      <alignment vertical="center" wrapText="1"/>
    </xf>
    <xf numFmtId="0" fontId="26" fillId="0" borderId="14" xfId="0" applyFont="1" applyBorder="1">
      <alignment horizontal="center" vertical="center" wrapText="1"/>
    </xf>
    <xf numFmtId="0" fontId="26" fillId="0" borderId="15" xfId="0" applyFont="1" applyBorder="1">
      <alignment horizontal="center" vertical="center" wrapText="1"/>
    </xf>
    <xf numFmtId="0" fontId="25" fillId="4" borderId="21" xfId="0" applyFont="1" applyFill="1" applyBorder="1">
      <alignment horizontal="center" wrapText="1"/>
      <protection locked="0"/>
    </xf>
    <xf numFmtId="0" fontId="26" fillId="34" borderId="14" xfId="0" applyFont="1" applyFill="1" applyBorder="1">
      <alignment horizontal="center" vertical="center" wrapText="1"/>
    </xf>
    <xf numFmtId="0" fontId="26" fillId="34" borderId="15" xfId="0" applyFont="1" applyFill="1" applyBorder="1">
      <alignment horizontal="center" vertical="center" wrapText="1"/>
    </xf>
    <xf numFmtId="0" fontId="25" fillId="34" borderId="15" xfId="0" applyFont="1" applyFill="1" applyBorder="1">
      <alignment horizontal="center" vertical="center" wrapText="1"/>
    </xf>
    <xf numFmtId="173" fontId="25" fillId="4" borderId="15" xfId="0" applyFont="1" applyFill="1" applyBorder="1" applyNumberFormat="1">
      <alignment horizontal="center" vertical="center" wrapText="1"/>
      <protection locked="0"/>
    </xf>
    <xf numFmtId="0" fontId="25" fillId="34" borderId="15" xfId="0" applyFont="1" applyFill="1" applyBorder="1">
      <alignment horizontal="center" vertical="center" wrapText="1"/>
    </xf>
    <xf numFmtId="0" fontId="25" fillId="4" borderId="21" xfId="0" applyFont="1" applyFill="1" applyBorder="1">
      <alignment horizontal="center" wrapText="1"/>
    </xf>
    <xf numFmtId="172" fontId="25" fillId="4" borderId="15" xfId="0" applyFont="1" applyFill="1" applyBorder="1" applyNumberFormat="1">
      <alignment horizontal="center" vertical="center" wrapText="1"/>
      <protection locked="0"/>
    </xf>
    <xf numFmtId="0" fontId="25" fillId="0" borderId="15" xfId="0" applyFont="1" applyBorder="1">
      <alignment horizontal="center" vertical="center" wrapText="1"/>
    </xf>
    <xf numFmtId="172" fontId="28" fillId="0" borderId="15" xfId="0" applyFont="1" applyBorder="1" applyNumberFormat="1">
      <alignment horizontal="center" vertical="center" wrapText="1"/>
      <protection locked="0"/>
    </xf>
    <xf numFmtId="0" fontId="25" fillId="0" borderId="14" xfId="0" applyFont="1" applyBorder="1">
      <alignment horizontal="center" vertical="center" wrapText="1"/>
    </xf>
    <xf numFmtId="0" fontId="25" fillId="34" borderId="14" xfId="0" applyFont="1" applyFill="1" applyBorder="1">
      <alignment horizontal="center" vertical="center" wrapText="1"/>
    </xf>
    <xf numFmtId="172" fontId="25" fillId="0" borderId="15" xfId="0" applyFont="1" applyBorder="1" applyNumberFormat="1">
      <alignment horizontal="center" vertical="center" wrapText="1"/>
    </xf>
    <xf numFmtId="0" fontId="26" fillId="0" borderId="22" xfId="0" applyFont="1" applyBorder="1">
      <alignment horizontal="center" vertical="center" wrapText="1"/>
    </xf>
    <xf numFmtId="0" fontId="26" fillId="0" borderId="23" xfId="0" applyFont="1" applyBorder="1">
      <alignment horizontal="center" vertical="center" wrapText="1"/>
    </xf>
    <xf numFmtId="172" fontId="25" fillId="34" borderId="15" xfId="0" applyFont="1" applyFill="1" applyBorder="1" applyNumberFormat="1">
      <alignment horizontal="center" vertical="center" wrapText="1"/>
    </xf>
    <xf numFmtId="0" fontId="25" fillId="4" borderId="21" xfId="0" applyFont="1" applyFill="1" applyBorder="1">
      <alignment horizontal="center" vertical="center" wrapText="1"/>
      <protection locked="0"/>
    </xf>
    <xf numFmtId="0" fontId="25" fillId="4" borderId="21" xfId="0" applyFont="1" applyFill="1" applyBorder="1">
      <alignment horizontal="center" vertical="center" wrapText="1"/>
    </xf>
    <xf numFmtId="172" fontId="25" fillId="34" borderId="14" xfId="0" applyFont="1" applyFill="1" applyBorder="1" applyNumberFormat="1">
      <alignment horizontal="center" vertical="center" wrapText="1"/>
    </xf>
    <xf numFmtId="0" fontId="25" fillId="4" borderId="15" xfId="0" applyFont="1" applyFill="1" applyBorder="1">
      <alignment horizontal="center" vertical="center" wrapText="1"/>
      <protection locked="0"/>
    </xf>
    <xf numFmtId="0" fontId="29" fillId="34" borderId="15" xfId="0" applyFont="1" applyFill="1" applyBorder="1">
      <alignment horizontal="center" vertical="center" wrapText="1"/>
    </xf>
    <xf numFmtId="172" fontId="25" fillId="34" borderId="16" xfId="0" applyFont="1" applyFill="1" applyBorder="1" applyNumberFormat="1">
      <alignment horizontal="center" vertical="center" wrapText="1"/>
    </xf>
    <xf numFmtId="172" fontId="25" fillId="34" borderId="17" xfId="0" applyFont="1" applyFill="1" applyBorder="1" applyNumberFormat="1">
      <alignment horizontal="center" vertical="center" wrapText="1"/>
    </xf>
    <xf numFmtId="172" fontId="25" fillId="4" borderId="17" xfId="0" applyFont="1" applyFill="1" applyBorder="1" applyNumberFormat="1">
      <alignment horizontal="center" vertical="center" wrapText="1"/>
      <protection locked="0"/>
    </xf>
    <xf numFmtId="0" fontId="25" fillId="0" borderId="17" xfId="0" applyFont="1" applyBorder="1">
      <alignment horizontal="center" vertical="center" wrapText="1"/>
    </xf>
    <xf numFmtId="172" fontId="25" fillId="34" borderId="17" xfId="0" applyFont="1" applyFill="1" applyBorder="1" applyNumberFormat="1">
      <alignment horizontal="center" vertical="center" wrapText="1"/>
    </xf>
    <xf numFmtId="172" fontId="28" fillId="0" borderId="17" xfId="0" applyFont="1" applyBorder="1" applyNumberFormat="1">
      <alignment horizontal="center" vertical="center" wrapText="1"/>
    </xf>
    <xf numFmtId="172" fontId="25" fillId="0" borderId="17" xfId="0" applyFont="1" applyBorder="1" applyNumberFormat="1">
      <alignment horizontal="center" vertical="center" wrapText="1"/>
    </xf>
    <xf numFmtId="0" fontId="25" fillId="4" borderId="24" xfId="0" applyFont="1" applyFill="1" applyBorder="1">
      <alignment horizontal="center" vertical="center" wrapText="1"/>
    </xf>
    <xf numFmtId="0" fontId="27" fillId="0" borderId="18" xfId="0" applyFont="1" applyBorder="1">
      <alignment horizontal="right" vertical="center" wrapText="1"/>
    </xf>
    <xf numFmtId="0" fontId="27" fillId="4" borderId="0" xfId="0" applyFont="1" applyFill="1">
      <alignment horizontal="left" vertical="center" wrapText="1"/>
      <protection locked="0"/>
    </xf>
    <xf numFmtId="0" fontId="27" fillId="0" borderId="0" xfId="0" applyFont="1">
      <alignment vertical="center" wrapText="1"/>
    </xf>
    <xf numFmtId="0" fontId="27" fillId="0" borderId="0" xfId="0" applyFont="1">
      <alignment horizontal="right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0" fillId="33" borderId="0" xfId="0" applyFont="1" applyFill="1">
      <alignment vertical="center" wrapText="1"/>
    </xf>
    <xf numFmtId="0" fontId="0" fillId="33" borderId="0" xfId="0" applyFont="1" applyFill="1">
      <alignment wrapText="1"/>
    </xf>
    <xf numFmtId="0" fontId="0" fillId="0" borderId="0" xfId="0" applyFont="1">
      <alignment vertical="center" wrapText="1"/>
    </xf>
    <xf numFmtId="0" fontId="0" fillId="0" borderId="0" xfId="0" applyFont="1">
      <alignment horizontal="right" vertical="center" wrapText="1"/>
    </xf>
  </cellXfs>
  <cellStyles count="51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  <cellStyle name="常规 2" xfId="49"/>
    <cellStyle name="常规_Sheet1_1" xfId="5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F78C12F-96BB-9367-6276-AB11E7DBE2A8}" mc:Ignorable="x14ac xr xr2 xr3">
  <sheetPr>
    <pageSetUpPr fitToPage="1"/>
  </sheetPr>
  <dimension ref="A1:S38"/>
  <sheetViews>
    <sheetView defaultGridColor="0" colorId="31" topLeftCell="A1" showGridLines="0" zoomScale="95" workbookViewId="0" tabSelected="1">
      <pane ySplit="3" topLeftCell="A4" activePane="bottomLeft" state="frozen"/>
      <selection pane="bottomLeft" activeCell="A1" sqref="A1"/>
    </sheetView>
  </sheetViews>
  <sheetFormatPr defaultColWidth="9.00390625" customHeight="1" defaultRowHeight="12"/>
  <cols>
    <col min="1" max="1" style="57" width="0.421875" customWidth="1"/>
    <col min="2" max="8" style="57" width="13.57421875" customWidth="1"/>
    <col min="9" max="9" style="57" width="20.57421875" customWidth="1"/>
    <col min="10" max="19" style="57" width="13.57421875" customWidth="1"/>
  </cols>
  <sheetData>
    <row customHeight="1" ht="2.25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</row>
    <row s="56" customFormat="1" customHeight="1" ht="27">
      <c r="A2" s="120"/>
      <c r="B2" s="121" t="s">
        <v>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3"/>
    </row>
    <row customHeight="1" ht="27">
      <c r="A3" s="119"/>
      <c r="B3" s="60" t="s">
        <v>1</v>
      </c>
      <c r="C3" s="61"/>
      <c r="D3" s="61"/>
      <c r="E3" s="61"/>
      <c r="F3" s="61"/>
      <c r="G3" s="126" t="s">
        <v>2</v>
      </c>
      <c r="H3" s="127" t="s">
        <v>3</v>
      </c>
      <c r="I3" s="127"/>
      <c r="J3" s="126" t="s">
        <v>4</v>
      </c>
      <c r="K3" s="126"/>
      <c r="L3" s="126"/>
      <c r="M3" s="128"/>
      <c r="N3" s="126" t="str">
        <f>取值!F1&amp;取值!G1&amp;取值!H1</f>
        <v>报表生成时间：2026-01-07 8:00:00</v>
      </c>
      <c r="O3" s="126"/>
      <c r="P3" s="126"/>
      <c r="Q3" s="126"/>
      <c r="R3" s="126"/>
      <c r="S3" s="129"/>
    </row>
    <row customHeight="1" ht="27">
      <c r="A4" s="119"/>
      <c r="B4" s="64" t="s">
        <v>5</v>
      </c>
      <c r="C4" s="65" t="s">
        <v>6</v>
      </c>
      <c r="D4" s="65"/>
      <c r="E4" s="65" t="s">
        <v>7</v>
      </c>
      <c r="F4" s="65"/>
      <c r="G4" s="66" t="s">
        <v>8</v>
      </c>
      <c r="H4" s="66"/>
      <c r="I4" s="66" t="s">
        <v>5</v>
      </c>
      <c r="J4" s="65" t="s">
        <v>9</v>
      </c>
      <c r="K4" s="65"/>
      <c r="L4" s="65" t="s">
        <v>10</v>
      </c>
      <c r="M4" s="65"/>
      <c r="N4" s="66" t="s">
        <v>8</v>
      </c>
      <c r="O4" s="66"/>
      <c r="P4" s="66" t="s">
        <v>5</v>
      </c>
      <c r="Q4" s="65" t="s">
        <v>11</v>
      </c>
      <c r="R4" s="65"/>
      <c r="S4" s="108"/>
    </row>
    <row customHeight="1" ht="27">
      <c r="A5" s="119"/>
      <c r="B5" s="64" t="s">
        <v>12</v>
      </c>
      <c r="C5" s="66" t="s">
        <v>13</v>
      </c>
      <c r="D5" s="66" t="s">
        <v>14</v>
      </c>
      <c r="E5" s="66" t="s">
        <v>13</v>
      </c>
      <c r="F5" s="66" t="s">
        <v>14</v>
      </c>
      <c r="G5" s="66" t="s">
        <v>13</v>
      </c>
      <c r="H5" s="66" t="s">
        <v>14</v>
      </c>
      <c r="I5" s="66" t="s">
        <v>12</v>
      </c>
      <c r="J5" s="66" t="s">
        <v>13</v>
      </c>
      <c r="K5" s="66" t="s">
        <v>14</v>
      </c>
      <c r="L5" s="66" t="s">
        <v>13</v>
      </c>
      <c r="M5" s="66" t="s">
        <v>14</v>
      </c>
      <c r="N5" s="66" t="s">
        <v>13</v>
      </c>
      <c r="O5" s="66" t="s">
        <v>14</v>
      </c>
      <c r="P5" s="66" t="s">
        <v>12</v>
      </c>
      <c r="Q5" s="66" t="s">
        <v>13</v>
      </c>
      <c r="R5" s="68" t="s">
        <v>14</v>
      </c>
      <c r="S5" s="109"/>
    </row>
    <row customHeight="1" ht="27">
      <c r="A6" s="119"/>
      <c r="B6" s="64" t="s">
        <v>15</v>
      </c>
      <c r="C6" s="136">
        <v>7325</v>
      </c>
      <c r="D6" s="68"/>
      <c r="E6" s="136">
        <v>9501</v>
      </c>
      <c r="F6" s="68"/>
      <c r="G6" s="69">
        <f>_xlfn.IFERROR(C6+E6,0)</f>
        <v>16826</v>
      </c>
      <c r="H6" s="68"/>
      <c r="I6" s="66" t="s">
        <v>16</v>
      </c>
      <c r="J6" s="136">
        <v>2809</v>
      </c>
      <c r="K6" s="68"/>
      <c r="L6" s="136">
        <v>6000</v>
      </c>
      <c r="M6" s="68"/>
      <c r="N6" s="69">
        <f>_xlfn.IFERROR(J6+L6,0)</f>
        <v>8809</v>
      </c>
      <c r="O6" s="68"/>
      <c r="P6" s="66" t="s">
        <v>16</v>
      </c>
      <c r="Q6" s="136">
        <v>978</v>
      </c>
      <c r="R6" s="68"/>
      <c r="S6" s="110"/>
    </row>
    <row customHeight="1" ht="27">
      <c r="A7" s="119"/>
      <c r="B7" s="64" t="s">
        <v>17</v>
      </c>
      <c r="C7" s="136">
        <v>1150</v>
      </c>
      <c r="D7" s="68">
        <f>_xlfn.IFERROR(C7/C6,0)</f>
        <v>0.156996587030717</v>
      </c>
      <c r="E7" s="136">
        <v>1417</v>
      </c>
      <c r="F7" s="68">
        <f>_xlfn.IFERROR(E7/E6,0)</f>
        <v>0.149142195558362</v>
      </c>
      <c r="G7" s="69">
        <f>_xlfn.IFERROR(C7+E7,0)</f>
        <v>2567</v>
      </c>
      <c r="H7" s="68">
        <f>_xlfn.IFERROR(G7/G6,0)</f>
        <v>0.152561511945798</v>
      </c>
      <c r="I7" s="66" t="s">
        <v>18</v>
      </c>
      <c r="J7" s="136">
        <v>1356</v>
      </c>
      <c r="K7" s="68">
        <f>_xlfn.IFERROR(J7/J6,0)</f>
        <v>0.482734069063724</v>
      </c>
      <c r="L7" s="136">
        <v>2814</v>
      </c>
      <c r="M7" s="68">
        <f>_xlfn.IFERROR(L7/L6,0)</f>
        <v>0.469</v>
      </c>
      <c r="N7" s="69">
        <f>_xlfn.IFERROR(J7+L7,0)</f>
        <v>4170</v>
      </c>
      <c r="O7" s="68">
        <f>_xlfn.IFERROR(N7/N6,0)</f>
        <v>0.473379498240436</v>
      </c>
      <c r="P7" s="66" t="s">
        <v>19</v>
      </c>
      <c r="Q7" s="136">
        <v>2</v>
      </c>
      <c r="R7" s="68">
        <f>_xlfn.IFERROR(Q7/Q6,0)</f>
        <v>0.00204498977505112</v>
      </c>
      <c r="S7" s="110"/>
    </row>
    <row customHeight="1" ht="27">
      <c r="A8" s="119"/>
      <c r="B8" s="64" t="s">
        <v>20</v>
      </c>
      <c r="C8" s="136">
        <v>2410</v>
      </c>
      <c r="D8" s="68">
        <f>_xlfn.IFERROR(C8/C6,0)</f>
        <v>0.32901023890785</v>
      </c>
      <c r="E8" s="136">
        <v>2275</v>
      </c>
      <c r="F8" s="68">
        <f>_xlfn.IFERROR(E8/E6,0)</f>
        <v>0.239448479107462</v>
      </c>
      <c r="G8" s="69">
        <f>_xlfn.IFERROR(C8+E8,0)</f>
        <v>4685</v>
      </c>
      <c r="H8" s="68">
        <f>_xlfn.IFERROR(G8/G6,0)</f>
        <v>0.278438131463212</v>
      </c>
      <c r="I8" s="66" t="s">
        <v>20</v>
      </c>
      <c r="J8" s="136">
        <v>574</v>
      </c>
      <c r="K8" s="68">
        <f>_xlfn.IFERROR(J8/J6,0)</f>
        <v>0.204343182627269</v>
      </c>
      <c r="L8" s="136">
        <v>1537</v>
      </c>
      <c r="M8" s="68">
        <f>_xlfn.IFERROR(L8/L6,0)</f>
        <v>0.256166666666667</v>
      </c>
      <c r="N8" s="69">
        <f>_xlfn.IFERROR(J8+L8,0)</f>
        <v>2111</v>
      </c>
      <c r="O8" s="68">
        <f>_xlfn.IFERROR(N8/N6,0)</f>
        <v>0.23964127596776</v>
      </c>
      <c r="P8" s="66" t="s">
        <v>21</v>
      </c>
      <c r="Q8" s="136">
        <v>18</v>
      </c>
      <c r="R8" s="68">
        <f>_xlfn.IFERROR(Q8/Q6,0)</f>
        <v>0.0184049079754601</v>
      </c>
      <c r="S8" s="110"/>
    </row>
    <row customHeight="1" ht="27">
      <c r="A9" s="119"/>
      <c r="B9" s="64" t="s">
        <v>22</v>
      </c>
      <c r="C9" s="136">
        <v>3741</v>
      </c>
      <c r="D9" s="68">
        <f>_xlfn.IFERROR(C9/C6,0)</f>
        <v>0.510716723549488</v>
      </c>
      <c r="E9" s="136">
        <v>4848</v>
      </c>
      <c r="F9" s="68">
        <f>_xlfn.IFERROR(E9/E6,0)</f>
        <v>0.510262077676034</v>
      </c>
      <c r="G9" s="69">
        <f>_xlfn.IFERROR(C9+E9,0)</f>
        <v>8589</v>
      </c>
      <c r="H9" s="68">
        <f>_xlfn.IFERROR(G9/G6,0)</f>
        <v>0.510460002377273</v>
      </c>
      <c r="I9" s="66" t="s">
        <v>23</v>
      </c>
      <c r="J9" s="136">
        <v>598</v>
      </c>
      <c r="K9" s="68">
        <f>_xlfn.IFERROR(J9/J6,0)</f>
        <v>0.212887148451406</v>
      </c>
      <c r="L9" s="136">
        <v>833</v>
      </c>
      <c r="M9" s="68">
        <f>_xlfn.IFERROR(L9/L6,0)</f>
        <v>0.138833333333333</v>
      </c>
      <c r="N9" s="69">
        <f>_xlfn.IFERROR(J9+L9,0)</f>
        <v>1431</v>
      </c>
      <c r="O9" s="68">
        <f>_xlfn.IFERROR(N9/N6,0)</f>
        <v>0.162447496878193</v>
      </c>
      <c r="P9" s="66" t="s">
        <v>24</v>
      </c>
      <c r="Q9" s="136">
        <v>959</v>
      </c>
      <c r="R9" s="68">
        <f>_xlfn.IFERROR(Q9/Q6,0)</f>
        <v>0.980572597137014</v>
      </c>
      <c r="S9" s="110"/>
    </row>
    <row customHeight="1" ht="27">
      <c r="A10" s="119"/>
      <c r="B10" s="70" t="s">
        <v>25</v>
      </c>
      <c r="C10" s="136">
        <v>0</v>
      </c>
      <c r="D10" s="71">
        <f>_xlfn.IFERROR(C10/C6,0)</f>
        <v>0</v>
      </c>
      <c r="E10" s="136">
        <v>875</v>
      </c>
      <c r="F10" s="71">
        <f>_xlfn.IFERROR(E10/E6,0)</f>
        <v>0.0920955688874855</v>
      </c>
      <c r="G10" s="72">
        <f>_xlfn.IFERROR(C10+E10,0)</f>
        <v>875</v>
      </c>
      <c r="H10" s="71">
        <f>_xlfn.IFERROR(G10/G6,0)</f>
        <v>0.0520028527279211</v>
      </c>
      <c r="I10" s="66" t="s">
        <v>26</v>
      </c>
      <c r="J10" s="136">
        <v>27</v>
      </c>
      <c r="K10" s="68">
        <f>_xlfn.IFERROR(J10/J6,0)</f>
        <v>0.00961196155215379</v>
      </c>
      <c r="L10" s="136">
        <v>41</v>
      </c>
      <c r="M10" s="68">
        <f>_xlfn.IFERROR(L10/L6,0)</f>
        <v>0.00683333333333333</v>
      </c>
      <c r="N10" s="69">
        <f>_xlfn.IFERROR(J10+L10,0)</f>
        <v>68</v>
      </c>
      <c r="O10" s="68">
        <f>_xlfn.IFERROR(N10/N6,0)</f>
        <v>0.00771937790895675</v>
      </c>
      <c r="P10" s="65"/>
      <c r="Q10" s="68"/>
      <c r="R10" s="66"/>
      <c r="S10" s="110"/>
    </row>
    <row customHeight="1" ht="27">
      <c r="A11" s="119"/>
      <c r="B11" s="70"/>
      <c r="C11" s="69"/>
      <c r="D11" s="71"/>
      <c r="E11" s="69"/>
      <c r="F11" s="71"/>
      <c r="G11" s="72"/>
      <c r="H11" s="71"/>
      <c r="I11" s="66" t="s">
        <v>27</v>
      </c>
      <c r="J11" s="142">
        <v>0</v>
      </c>
      <c r="K11" s="68">
        <f>_xlfn.IFERROR(J11/J6,0)</f>
        <v>0</v>
      </c>
      <c r="L11" s="142">
        <v>78</v>
      </c>
      <c r="M11" s="68">
        <f>_xlfn.IFERROR(L11/L6,0)</f>
        <v>0.013</v>
      </c>
      <c r="N11" s="69">
        <f>_xlfn.IFERROR(J11+L11,0)</f>
        <v>78</v>
      </c>
      <c r="O11" s="68">
        <f>_xlfn.IFERROR(N11/N6,0)</f>
        <v>0.00885458054262686</v>
      </c>
      <c r="P11" s="65"/>
      <c r="Q11" s="68"/>
      <c r="R11" s="66"/>
      <c r="S11" s="110"/>
    </row>
    <row customHeight="1" ht="27">
      <c r="A12" s="119"/>
      <c r="B12" s="64" t="s">
        <v>5</v>
      </c>
      <c r="C12" s="65" t="s">
        <v>28</v>
      </c>
      <c r="D12" s="65"/>
      <c r="E12" s="65" t="s">
        <v>29</v>
      </c>
      <c r="F12" s="65"/>
      <c r="G12" s="65" t="s">
        <v>30</v>
      </c>
      <c r="H12" s="65"/>
      <c r="I12" s="65"/>
      <c r="J12" s="65" t="s">
        <v>31</v>
      </c>
      <c r="K12" s="65"/>
      <c r="L12" s="65"/>
      <c r="M12" s="65" t="s">
        <v>32</v>
      </c>
      <c r="N12" s="65"/>
      <c r="O12" s="65" t="s">
        <v>33</v>
      </c>
      <c r="P12" s="65"/>
      <c r="Q12" s="65" t="s">
        <v>34</v>
      </c>
      <c r="R12" s="65"/>
      <c r="S12" s="111"/>
    </row>
    <row customHeight="1" ht="27">
      <c r="A13" s="119"/>
      <c r="B13" s="64" t="s">
        <v>12</v>
      </c>
      <c r="C13" s="66" t="s">
        <v>13</v>
      </c>
      <c r="D13" s="66" t="s">
        <v>14</v>
      </c>
      <c r="E13" s="66" t="s">
        <v>35</v>
      </c>
      <c r="F13" s="66"/>
      <c r="G13" s="66" t="s">
        <v>12</v>
      </c>
      <c r="H13" s="66" t="s">
        <v>13</v>
      </c>
      <c r="I13" s="66" t="s">
        <v>14</v>
      </c>
      <c r="J13" s="144" t="s">
        <v>12</v>
      </c>
      <c r="K13" s="144" t="s">
        <v>13</v>
      </c>
      <c r="L13" s="144" t="s">
        <v>14</v>
      </c>
      <c r="M13" s="66" t="s">
        <v>35</v>
      </c>
      <c r="N13" s="66"/>
      <c r="O13" s="66" t="s">
        <v>35</v>
      </c>
      <c r="P13" s="66"/>
      <c r="Q13" s="66" t="s">
        <v>12</v>
      </c>
      <c r="R13" s="66" t="s">
        <v>13</v>
      </c>
      <c r="S13" s="145" t="s">
        <v>14</v>
      </c>
    </row>
    <row customHeight="1" ht="27">
      <c r="A14" s="119"/>
      <c r="B14" s="64" t="s">
        <v>36</v>
      </c>
      <c r="C14" s="136">
        <v>946</v>
      </c>
      <c r="D14" s="68"/>
      <c r="E14" s="66" t="s">
        <v>37</v>
      </c>
      <c r="F14" s="136">
        <v>316</v>
      </c>
      <c r="G14" s="144" t="s">
        <v>37</v>
      </c>
      <c r="H14" s="136">
        <v>582</v>
      </c>
      <c r="I14" s="66"/>
      <c r="J14" s="144" t="s">
        <v>38</v>
      </c>
      <c r="K14" s="136">
        <v>91</v>
      </c>
      <c r="L14" s="144"/>
      <c r="M14" s="144" t="s">
        <v>39</v>
      </c>
      <c r="N14" s="136">
        <v>300</v>
      </c>
      <c r="O14" s="144" t="s">
        <v>40</v>
      </c>
      <c r="P14" s="136">
        <v>226</v>
      </c>
      <c r="Q14" s="144" t="s">
        <v>41</v>
      </c>
      <c r="R14" s="136">
        <v>159</v>
      </c>
      <c r="S14" s="110"/>
    </row>
    <row customHeight="1" ht="27">
      <c r="A15" s="119"/>
      <c r="B15" s="64" t="s">
        <v>42</v>
      </c>
      <c r="C15" s="136">
        <v>238</v>
      </c>
      <c r="D15" s="68">
        <f>_xlfn.IFERROR(C15/C14,0)</f>
        <v>0.251585623678647</v>
      </c>
      <c r="E15" s="66" t="s">
        <v>43</v>
      </c>
      <c r="F15" s="136">
        <v>305</v>
      </c>
      <c r="G15" s="66" t="s">
        <v>44</v>
      </c>
      <c r="H15" s="136">
        <v>543</v>
      </c>
      <c r="I15" s="66"/>
      <c r="J15" s="144" t="s">
        <v>45</v>
      </c>
      <c r="K15" s="136">
        <v>343</v>
      </c>
      <c r="L15" s="144"/>
      <c r="M15" s="144" t="s">
        <v>40</v>
      </c>
      <c r="N15" s="136">
        <v>226</v>
      </c>
      <c r="O15" s="144" t="s">
        <v>46</v>
      </c>
      <c r="P15" s="136">
        <v>130</v>
      </c>
      <c r="Q15" s="144" t="s">
        <v>47</v>
      </c>
      <c r="R15" s="136">
        <v>151</v>
      </c>
      <c r="S15" s="110">
        <f>_xlfn.IFERROR(R15/R14,0)</f>
        <v>0.949685534591195</v>
      </c>
    </row>
    <row customHeight="1" ht="27">
      <c r="A16" s="119"/>
      <c r="B16" s="64" t="s">
        <v>48</v>
      </c>
      <c r="C16" s="136">
        <v>94</v>
      </c>
      <c r="D16" s="68">
        <f>_xlfn.IFERROR(C16/C14,0)</f>
        <v>0.0993657505285412</v>
      </c>
      <c r="E16" s="66" t="s">
        <v>14</v>
      </c>
      <c r="F16" s="71">
        <f>_xlfn.IFERROR(F15/F14,0)</f>
        <v>0.965189873417722</v>
      </c>
      <c r="G16" s="66" t="s">
        <v>49</v>
      </c>
      <c r="H16" s="136">
        <v>39</v>
      </c>
      <c r="I16" s="66"/>
      <c r="J16" s="66" t="s">
        <v>50</v>
      </c>
      <c r="K16" s="136">
        <v>169</v>
      </c>
      <c r="L16" s="68">
        <f>_xlfn.IFERROR(K16/(K14+K15),0)</f>
        <v>0.389400921658986</v>
      </c>
      <c r="M16" s="144" t="s">
        <v>51</v>
      </c>
      <c r="N16" s="71">
        <f>_xlfn.IFERROR(N15/N14,0)</f>
        <v>0.753333333333333</v>
      </c>
      <c r="O16" s="66" t="s">
        <v>52</v>
      </c>
      <c r="P16" s="136">
        <v>155</v>
      </c>
      <c r="Q16" s="144" t="s">
        <v>53</v>
      </c>
      <c r="R16" s="136">
        <v>4</v>
      </c>
      <c r="S16" s="110">
        <f>_xlfn.IFERROR(R16/R14,0)</f>
        <v>0.0251572327044025</v>
      </c>
    </row>
    <row customHeight="1" ht="27">
      <c r="A17" s="119"/>
      <c r="B17" s="64" t="s">
        <v>54</v>
      </c>
      <c r="C17" s="136">
        <v>563</v>
      </c>
      <c r="D17" s="68">
        <f>_xlfn.IFERROR(C17/C14,0)</f>
        <v>0.595137420718816</v>
      </c>
      <c r="E17" s="74"/>
      <c r="F17" s="75"/>
      <c r="G17" s="66" t="s">
        <v>55</v>
      </c>
      <c r="H17" s="136">
        <v>108</v>
      </c>
      <c r="I17" s="68">
        <f>_xlfn.IFERROR(H17/H14,0)</f>
        <v>0.185567010309278</v>
      </c>
      <c r="J17" s="66" t="s">
        <v>56</v>
      </c>
      <c r="K17" s="136">
        <v>253</v>
      </c>
      <c r="L17" s="68">
        <f>_xlfn.IFERROR(K17/(K14+K15),0)</f>
        <v>0.58294930875576</v>
      </c>
      <c r="M17" s="148"/>
      <c r="N17" s="66"/>
      <c r="O17" s="66" t="s">
        <v>57</v>
      </c>
      <c r="P17" s="136">
        <v>0</v>
      </c>
      <c r="Q17" s="144" t="s">
        <v>58</v>
      </c>
      <c r="R17" s="136">
        <v>2</v>
      </c>
      <c r="S17" s="110">
        <f>_xlfn.IFERROR(R17/R14,0)</f>
        <v>0.0125786163522013</v>
      </c>
    </row>
    <row customHeight="1" ht="27">
      <c r="A18" s="119"/>
      <c r="B18" s="64" t="s">
        <v>59</v>
      </c>
      <c r="C18" s="136">
        <v>48</v>
      </c>
      <c r="D18" s="68">
        <f>_xlfn.IFERROR(C18/C14,0)</f>
        <v>0.0507399577167019</v>
      </c>
      <c r="E18" s="144"/>
      <c r="F18" s="66"/>
      <c r="G18" s="66" t="s">
        <v>60</v>
      </c>
      <c r="H18" s="136">
        <v>464</v>
      </c>
      <c r="I18" s="68">
        <f>_xlfn.IFERROR(H18/H14,0)</f>
        <v>0.797250859106529</v>
      </c>
      <c r="J18" s="148"/>
      <c r="K18" s="66"/>
      <c r="L18" s="66"/>
      <c r="M18" s="144"/>
      <c r="N18" s="144"/>
      <c r="O18" s="66" t="s">
        <v>61</v>
      </c>
      <c r="P18" s="68">
        <f>_xlfn.IFERROR(P16/(P14+P15+P17),"")</f>
        <v>0.435393258426966</v>
      </c>
      <c r="Q18" s="144"/>
      <c r="R18" s="144"/>
      <c r="S18" s="145"/>
    </row>
    <row customHeight="1" ht="27">
      <c r="A19" s="119"/>
      <c r="B19" s="149" t="s">
        <v>62</v>
      </c>
      <c r="C19" s="150"/>
      <c r="D19" s="150"/>
      <c r="E19" s="144" t="s">
        <v>12</v>
      </c>
      <c r="F19" s="136">
        <v>949</v>
      </c>
      <c r="G19" s="150" t="s">
        <v>63</v>
      </c>
      <c r="H19" s="150"/>
      <c r="I19" s="65" t="s">
        <v>64</v>
      </c>
      <c r="J19" s="65"/>
      <c r="K19" s="65"/>
      <c r="L19" s="150" t="s">
        <v>65</v>
      </c>
      <c r="M19" s="150"/>
      <c r="N19" s="150"/>
      <c r="O19" s="150"/>
      <c r="P19" s="150"/>
      <c r="Q19" s="150"/>
      <c r="R19" s="150"/>
      <c r="S19" s="151"/>
    </row>
    <row customHeight="1" ht="27">
      <c r="A20" s="119"/>
      <c r="B20" s="152" t="s">
        <v>66</v>
      </c>
      <c r="C20" s="153"/>
      <c r="D20" s="153"/>
      <c r="E20" s="154" t="s">
        <v>13</v>
      </c>
      <c r="F20" s="155">
        <v>13</v>
      </c>
      <c r="G20" s="144" t="s">
        <v>67</v>
      </c>
      <c r="H20" s="66" t="s">
        <v>68</v>
      </c>
      <c r="I20" s="66" t="s">
        <v>69</v>
      </c>
      <c r="J20" s="66" t="s">
        <v>70</v>
      </c>
      <c r="K20" s="82" t="s">
        <v>71</v>
      </c>
      <c r="L20" s="144" t="s">
        <v>72</v>
      </c>
      <c r="M20" s="144" t="s">
        <v>73</v>
      </c>
      <c r="N20" s="66" t="s">
        <v>74</v>
      </c>
      <c r="O20" s="154" t="s">
        <v>75</v>
      </c>
      <c r="P20" s="154" t="s">
        <v>76</v>
      </c>
      <c r="Q20" s="150" t="s">
        <v>77</v>
      </c>
      <c r="R20" s="150"/>
      <c r="S20" s="113"/>
    </row>
    <row customHeight="1" ht="27">
      <c r="A21" s="119"/>
      <c r="B21" s="149" t="s">
        <v>78</v>
      </c>
      <c r="C21" s="150"/>
      <c r="D21" s="150"/>
      <c r="E21" s="150" t="s">
        <v>79</v>
      </c>
      <c r="F21" s="150"/>
      <c r="G21" s="82" t="s">
        <v>80</v>
      </c>
      <c r="H21" s="158">
        <v>11849</v>
      </c>
      <c r="I21" s="82" t="s">
        <v>81</v>
      </c>
      <c r="J21" s="158"/>
      <c r="K21" s="158">
        <v>0</v>
      </c>
      <c r="L21" s="159" t="s">
        <v>82</v>
      </c>
      <c r="M21" s="158">
        <v>20</v>
      </c>
      <c r="N21" s="158">
        <v>9837</v>
      </c>
      <c r="O21" s="158">
        <v>27750</v>
      </c>
      <c r="P21" s="160"/>
      <c r="Q21" s="154" t="s">
        <v>83</v>
      </c>
      <c r="R21" s="158">
        <v>9780</v>
      </c>
      <c r="S21" s="113"/>
    </row>
    <row customHeight="1" ht="27">
      <c r="A22" s="119"/>
      <c r="B22" s="161" t="s">
        <v>15</v>
      </c>
      <c r="C22" s="144"/>
      <c r="D22" s="144" t="s">
        <v>68</v>
      </c>
      <c r="E22" s="144" t="s">
        <v>67</v>
      </c>
      <c r="F22" s="144" t="s">
        <v>68</v>
      </c>
      <c r="G22" s="82" t="s">
        <v>84</v>
      </c>
      <c r="H22" s="158">
        <v>4984</v>
      </c>
      <c r="I22" s="82" t="s">
        <v>85</v>
      </c>
      <c r="J22" s="158"/>
      <c r="K22" s="158">
        <v>0</v>
      </c>
      <c r="L22" s="159" t="s">
        <v>86</v>
      </c>
      <c r="M22" s="158">
        <v>3322</v>
      </c>
      <c r="N22" s="158">
        <v>0</v>
      </c>
      <c r="O22" s="158">
        <v>24353</v>
      </c>
      <c r="P22" s="160"/>
      <c r="Q22" s="154" t="s">
        <v>87</v>
      </c>
      <c r="R22" s="158">
        <v>4930</v>
      </c>
      <c r="S22" s="113"/>
    </row>
    <row customHeight="1" ht="27">
      <c r="A23" s="119"/>
      <c r="B23" s="162" t="s">
        <v>88</v>
      </c>
      <c r="C23" s="154"/>
      <c r="D23" s="136">
        <v>15115</v>
      </c>
      <c r="E23" s="154" t="s">
        <v>89</v>
      </c>
      <c r="F23" s="136"/>
      <c r="G23" s="66" t="s">
        <v>90</v>
      </c>
      <c r="H23" s="158">
        <v>946</v>
      </c>
      <c r="I23" s="66" t="s">
        <v>91</v>
      </c>
      <c r="J23" s="158">
        <v>1056.16</v>
      </c>
      <c r="K23" s="158"/>
      <c r="L23" s="144" t="s">
        <v>92</v>
      </c>
      <c r="M23" s="158">
        <v>3452</v>
      </c>
      <c r="N23" s="158">
        <v>0</v>
      </c>
      <c r="O23" s="158">
        <v>52469</v>
      </c>
      <c r="P23" s="163"/>
      <c r="Q23" s="154" t="s">
        <v>93</v>
      </c>
      <c r="R23" s="158">
        <v>31460</v>
      </c>
      <c r="S23" s="113"/>
    </row>
    <row customHeight="1" ht="27">
      <c r="A24" s="119"/>
      <c r="B24" s="162" t="s">
        <v>94</v>
      </c>
      <c r="C24" s="154"/>
      <c r="D24" s="136">
        <v>0</v>
      </c>
      <c r="E24" s="154" t="s">
        <v>55</v>
      </c>
      <c r="F24" s="136">
        <v>0</v>
      </c>
      <c r="G24" s="82" t="s">
        <v>95</v>
      </c>
      <c r="H24" s="158">
        <v>733</v>
      </c>
      <c r="I24" s="82" t="s">
        <v>96</v>
      </c>
      <c r="J24" s="158"/>
      <c r="K24" s="158">
        <v>0</v>
      </c>
      <c r="L24" s="144" t="s">
        <v>97</v>
      </c>
      <c r="M24" s="158">
        <v>0</v>
      </c>
      <c r="N24" s="158">
        <v>0</v>
      </c>
      <c r="O24" s="158">
        <v>0</v>
      </c>
      <c r="P24" s="163"/>
      <c r="Q24" s="164" t="s">
        <v>98</v>
      </c>
      <c r="R24" s="165"/>
      <c r="S24" s="113"/>
    </row>
    <row customHeight="1" ht="27">
      <c r="A25" s="119"/>
      <c r="B25" s="162" t="s">
        <v>99</v>
      </c>
      <c r="C25" s="154"/>
      <c r="D25" s="136">
        <v>14688</v>
      </c>
      <c r="E25" s="144" t="s">
        <v>100</v>
      </c>
      <c r="F25" s="136">
        <v>32.5</v>
      </c>
      <c r="G25" s="66" t="s">
        <v>101</v>
      </c>
      <c r="H25" s="158">
        <v>198</v>
      </c>
      <c r="I25" s="66" t="s">
        <v>102</v>
      </c>
      <c r="J25" s="158">
        <v>225</v>
      </c>
      <c r="K25" s="158"/>
      <c r="L25" s="154" t="s">
        <v>103</v>
      </c>
      <c r="M25" s="158">
        <v>603.42</v>
      </c>
      <c r="N25" s="158">
        <v>0</v>
      </c>
      <c r="O25" s="158">
        <v>1343</v>
      </c>
      <c r="P25" s="163">
        <v>2400</v>
      </c>
      <c r="Q25" s="144" t="s">
        <v>104</v>
      </c>
      <c r="R25" s="158">
        <v>171599</v>
      </c>
      <c r="S25" s="113"/>
    </row>
    <row customHeight="1" ht="27">
      <c r="A26" s="119"/>
      <c r="B26" s="162" t="s">
        <v>105</v>
      </c>
      <c r="C26" s="154"/>
      <c r="D26" s="136">
        <v>427</v>
      </c>
      <c r="E26" s="144" t="s">
        <v>38</v>
      </c>
      <c r="F26" s="136">
        <v>95.94</v>
      </c>
      <c r="G26" s="66" t="s">
        <v>49</v>
      </c>
      <c r="H26" s="158">
        <v>957</v>
      </c>
      <c r="I26" s="144" t="s">
        <v>106</v>
      </c>
      <c r="J26" s="144" t="s">
        <v>107</v>
      </c>
      <c r="K26" s="66" t="s">
        <v>108</v>
      </c>
      <c r="L26" s="154" t="s">
        <v>48</v>
      </c>
      <c r="M26" s="158">
        <v>211</v>
      </c>
      <c r="N26" s="158">
        <v>0</v>
      </c>
      <c r="O26" s="158">
        <v>206</v>
      </c>
      <c r="P26" s="163">
        <v>800</v>
      </c>
      <c r="Q26" s="144"/>
      <c r="R26" s="144"/>
      <c r="S26" s="113"/>
    </row>
    <row customHeight="1" ht="27">
      <c r="A27" s="119"/>
      <c r="B27" s="152" t="s">
        <v>109</v>
      </c>
      <c r="C27" s="153"/>
      <c r="D27" s="153"/>
      <c r="E27" s="136">
        <v>99188</v>
      </c>
      <c r="F27" s="136">
        <v>0</v>
      </c>
      <c r="G27" s="144" t="s">
        <v>38</v>
      </c>
      <c r="H27" s="158">
        <v>777</v>
      </c>
      <c r="I27" s="144" t="s">
        <v>110</v>
      </c>
      <c r="J27" s="158">
        <v>0</v>
      </c>
      <c r="K27" s="158">
        <v>2963</v>
      </c>
      <c r="L27" s="144" t="s">
        <v>96</v>
      </c>
      <c r="M27" s="158"/>
      <c r="N27" s="158">
        <v>0</v>
      </c>
      <c r="O27" s="158">
        <v>138.78</v>
      </c>
      <c r="P27" s="163">
        <v>850</v>
      </c>
      <c r="Q27" s="144"/>
      <c r="R27" s="144"/>
      <c r="S27" s="113"/>
    </row>
    <row customHeight="1" ht="27">
      <c r="A28" s="119"/>
      <c r="B28" s="149" t="s">
        <v>63</v>
      </c>
      <c r="C28" s="150"/>
      <c r="D28" s="150"/>
      <c r="E28" s="150"/>
      <c r="F28" s="150"/>
      <c r="G28" s="66" t="s">
        <v>46</v>
      </c>
      <c r="H28" s="158">
        <v>1898</v>
      </c>
      <c r="I28" s="144" t="s">
        <v>84</v>
      </c>
      <c r="J28" s="158">
        <v>0</v>
      </c>
      <c r="K28" s="158">
        <v>2447</v>
      </c>
      <c r="L28" s="144" t="s">
        <v>43</v>
      </c>
      <c r="M28" s="158">
        <v>528</v>
      </c>
      <c r="N28" s="158">
        <v>0</v>
      </c>
      <c r="O28" s="158">
        <v>579</v>
      </c>
      <c r="P28" s="163">
        <v>2000</v>
      </c>
      <c r="Q28" s="144"/>
      <c r="R28" s="144"/>
      <c r="S28" s="113"/>
    </row>
    <row customHeight="1" ht="27">
      <c r="A29" s="119"/>
      <c r="B29" s="161" t="s">
        <v>37</v>
      </c>
      <c r="C29" s="144"/>
      <c r="D29" s="144" t="s">
        <v>68</v>
      </c>
      <c r="E29" s="144" t="s">
        <v>76</v>
      </c>
      <c r="F29" s="144"/>
      <c r="G29" s="66" t="s">
        <v>52</v>
      </c>
      <c r="H29" s="158">
        <v>1982</v>
      </c>
      <c r="I29" s="144" t="s">
        <v>111</v>
      </c>
      <c r="J29" s="158">
        <v>0</v>
      </c>
      <c r="K29" s="158">
        <v>4106</v>
      </c>
      <c r="L29" s="144" t="s">
        <v>55</v>
      </c>
      <c r="M29" s="158"/>
      <c r="N29" s="158">
        <v>0</v>
      </c>
      <c r="O29" s="158">
        <v>3472</v>
      </c>
      <c r="P29" s="163">
        <v>5000</v>
      </c>
      <c r="Q29" s="144"/>
      <c r="R29" s="144"/>
      <c r="S29" s="113"/>
    </row>
    <row customHeight="1" ht="27">
      <c r="A30" s="119"/>
      <c r="B30" s="64" t="s">
        <v>112</v>
      </c>
      <c r="C30" s="66"/>
      <c r="D30" s="136">
        <v>42674</v>
      </c>
      <c r="E30" s="72">
        <v>64000</v>
      </c>
      <c r="F30" s="72"/>
      <c r="G30" s="66" t="s">
        <v>113</v>
      </c>
      <c r="H30" s="158">
        <v>504</v>
      </c>
      <c r="I30" s="144" t="s">
        <v>114</v>
      </c>
      <c r="J30" s="158">
        <v>0</v>
      </c>
      <c r="K30" s="158">
        <v>4870</v>
      </c>
      <c r="L30" s="144" t="s">
        <v>47</v>
      </c>
      <c r="M30" s="158">
        <v>163.82</v>
      </c>
      <c r="N30" s="158">
        <v>0</v>
      </c>
      <c r="O30" s="158">
        <v>2131</v>
      </c>
      <c r="P30" s="163">
        <v>8000</v>
      </c>
      <c r="Q30" s="144"/>
      <c r="R30" s="144"/>
      <c r="S30" s="113"/>
    </row>
    <row customHeight="1" ht="27">
      <c r="A31" s="119"/>
      <c r="B31" s="64" t="s">
        <v>115</v>
      </c>
      <c r="C31" s="66"/>
      <c r="D31" s="136">
        <v>39858</v>
      </c>
      <c r="E31" s="72">
        <v>70000</v>
      </c>
      <c r="F31" s="72"/>
      <c r="G31" s="154" t="s">
        <v>26</v>
      </c>
      <c r="H31" s="158">
        <v>1627</v>
      </c>
      <c r="I31" s="144" t="s">
        <v>91</v>
      </c>
      <c r="J31" s="158"/>
      <c r="K31" s="158">
        <v>1632</v>
      </c>
      <c r="L31" s="144" t="s">
        <v>50</v>
      </c>
      <c r="M31" s="158">
        <v>196.02</v>
      </c>
      <c r="N31" s="158">
        <v>0</v>
      </c>
      <c r="O31" s="158">
        <v>792</v>
      </c>
      <c r="P31" s="163">
        <v>1500</v>
      </c>
      <c r="Q31" s="144"/>
      <c r="R31" s="144"/>
      <c r="S31" s="113"/>
    </row>
    <row customHeight="1" ht="27">
      <c r="A32" s="119"/>
      <c r="B32" s="161" t="s">
        <v>116</v>
      </c>
      <c r="C32" s="144"/>
      <c r="D32" s="136">
        <v>1699</v>
      </c>
      <c r="E32" s="72">
        <v>3400</v>
      </c>
      <c r="F32" s="72"/>
      <c r="G32" s="154" t="s">
        <v>58</v>
      </c>
      <c r="H32" s="158">
        <v>0</v>
      </c>
      <c r="I32" s="144" t="s">
        <v>117</v>
      </c>
      <c r="J32" s="158">
        <v>0</v>
      </c>
      <c r="K32" s="158"/>
      <c r="L32" s="144" t="s">
        <v>45</v>
      </c>
      <c r="M32" s="158">
        <v>75.06</v>
      </c>
      <c r="N32" s="166"/>
      <c r="O32" s="158">
        <v>651</v>
      </c>
      <c r="P32" s="163">
        <v>3200</v>
      </c>
      <c r="Q32" s="144"/>
      <c r="R32" s="144"/>
      <c r="S32" s="167"/>
    </row>
    <row customHeight="1" ht="27">
      <c r="A33" s="119"/>
      <c r="B33" s="161" t="s">
        <v>118</v>
      </c>
      <c r="C33" s="144"/>
      <c r="D33" s="136">
        <v>6348</v>
      </c>
      <c r="E33" s="72">
        <v>14000</v>
      </c>
      <c r="F33" s="72"/>
      <c r="G33" s="154" t="s">
        <v>102</v>
      </c>
      <c r="H33" s="158">
        <v>292</v>
      </c>
      <c r="I33" s="144" t="s">
        <v>55</v>
      </c>
      <c r="J33" s="158">
        <v>850</v>
      </c>
      <c r="K33" s="158">
        <v>0</v>
      </c>
      <c r="L33" s="144" t="s">
        <v>46</v>
      </c>
      <c r="M33" s="158">
        <v>0</v>
      </c>
      <c r="N33" s="166"/>
      <c r="O33" s="158">
        <v>2052</v>
      </c>
      <c r="P33" s="163">
        <v>3000</v>
      </c>
      <c r="Q33" s="144"/>
      <c r="R33" s="144"/>
      <c r="S33" s="116"/>
    </row>
    <row customHeight="1" ht="27">
      <c r="A34" s="119"/>
      <c r="B34" s="161" t="s">
        <v>91</v>
      </c>
      <c r="C34" s="144"/>
      <c r="D34" s="136">
        <v>4528</v>
      </c>
      <c r="E34" s="72">
        <v>5500</v>
      </c>
      <c r="F34" s="72"/>
      <c r="G34" s="144" t="s">
        <v>89</v>
      </c>
      <c r="H34" s="158">
        <v>5270</v>
      </c>
      <c r="I34" s="144" t="s">
        <v>46</v>
      </c>
      <c r="J34" s="158">
        <v>151</v>
      </c>
      <c r="K34" s="158">
        <v>0</v>
      </c>
      <c r="L34" s="154" t="s">
        <v>26</v>
      </c>
      <c r="M34" s="158">
        <v>62.82</v>
      </c>
      <c r="N34" s="166"/>
      <c r="O34" s="158">
        <v>1627</v>
      </c>
      <c r="P34" s="163">
        <v>1600</v>
      </c>
      <c r="Q34" s="144"/>
      <c r="R34" s="144"/>
      <c r="S34" s="116"/>
    </row>
    <row customHeight="1" ht="27">
      <c r="A35" s="119"/>
      <c r="B35" s="86" t="s">
        <v>119</v>
      </c>
      <c r="C35" s="72"/>
      <c r="D35" s="72" t="s">
        <v>120</v>
      </c>
      <c r="E35" s="72" t="s">
        <v>75</v>
      </c>
      <c r="F35" s="72" t="s">
        <v>76</v>
      </c>
      <c r="G35" s="144" t="s">
        <v>27</v>
      </c>
      <c r="H35" s="170">
        <v>1156</v>
      </c>
      <c r="I35" s="144" t="s">
        <v>89</v>
      </c>
      <c r="J35" s="158">
        <v>371</v>
      </c>
      <c r="K35" s="158">
        <v>0</v>
      </c>
      <c r="L35" s="171" t="s">
        <v>121</v>
      </c>
      <c r="M35" s="158">
        <v>65.42</v>
      </c>
      <c r="N35" s="166"/>
      <c r="O35" s="158">
        <v>38178</v>
      </c>
      <c r="P35" s="163">
        <v>35000</v>
      </c>
      <c r="Q35" s="144"/>
      <c r="R35" s="144"/>
      <c r="S35" s="116"/>
    </row>
    <row customHeight="1" ht="27">
      <c r="A36" s="119"/>
      <c r="B36" s="88"/>
      <c r="C36" s="89"/>
      <c r="D36" s="174"/>
      <c r="E36" s="174"/>
      <c r="F36" s="89">
        <v>800</v>
      </c>
      <c r="G36" s="89"/>
      <c r="H36" s="89"/>
      <c r="I36" s="175"/>
      <c r="J36" s="176"/>
      <c r="K36" s="175"/>
      <c r="L36" s="175"/>
      <c r="M36" s="175"/>
      <c r="N36" s="175"/>
      <c r="O36" s="175" t="s">
        <v>122</v>
      </c>
      <c r="P36" s="177"/>
      <c r="Q36" s="117"/>
      <c r="R36" s="117"/>
      <c r="S36" s="118"/>
    </row>
    <row customHeight="1" ht="27">
      <c r="A37" s="119"/>
      <c r="B37" s="180" t="s">
        <v>123</v>
      </c>
      <c r="C37" s="180"/>
      <c r="D37" s="181" t="s">
        <v>124</v>
      </c>
      <c r="E37" s="182"/>
      <c r="F37" s="182"/>
      <c r="G37" s="182"/>
      <c r="H37" s="182"/>
      <c r="I37" s="183" t="s">
        <v>125</v>
      </c>
      <c r="J37" s="181" t="s">
        <v>126</v>
      </c>
      <c r="K37" s="182"/>
      <c r="L37" s="182"/>
      <c r="M37" s="182"/>
      <c r="N37" s="182"/>
      <c r="O37" s="182"/>
      <c r="P37" s="182"/>
      <c r="Q37" s="183" t="s">
        <v>127</v>
      </c>
      <c r="R37" s="181" t="s">
        <v>128</v>
      </c>
      <c r="S37" s="182"/>
    </row>
    <row customHeight="1" ht="12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</row>
  </sheetData>
  <mergeCells count="54">
    <mergeCell ref="B2:S2"/>
    <mergeCell ref="B3:F3"/>
    <mergeCell ref="H3:I3"/>
    <mergeCell ref="J3:L3"/>
    <mergeCell ref="N3:S3"/>
    <mergeCell ref="C4:D4"/>
    <mergeCell ref="E4:F4"/>
    <mergeCell ref="G4:H4"/>
    <mergeCell ref="J4:K4"/>
    <mergeCell ref="L4:M4"/>
    <mergeCell ref="N4:O4"/>
    <mergeCell ref="Q4:R4"/>
    <mergeCell ref="C12:D12"/>
    <mergeCell ref="E12:F12"/>
    <mergeCell ref="G12:I12"/>
    <mergeCell ref="J12:L12"/>
    <mergeCell ref="M12:N12"/>
    <mergeCell ref="O12:P12"/>
    <mergeCell ref="Q12:S12"/>
    <mergeCell ref="E13:F13"/>
    <mergeCell ref="M13:N13"/>
    <mergeCell ref="O13:P13"/>
    <mergeCell ref="B19:D19"/>
    <mergeCell ref="G19:H19"/>
    <mergeCell ref="I19:K19"/>
    <mergeCell ref="L19:R19"/>
    <mergeCell ref="B20:D20"/>
    <mergeCell ref="Q20:R20"/>
    <mergeCell ref="B21:D21"/>
    <mergeCell ref="E21:F21"/>
    <mergeCell ref="B22:C22"/>
    <mergeCell ref="B23:C23"/>
    <mergeCell ref="B24:C24"/>
    <mergeCell ref="Q24:R24"/>
    <mergeCell ref="B25:C25"/>
    <mergeCell ref="B26:C26"/>
    <mergeCell ref="B27:D27"/>
    <mergeCell ref="B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7:C37"/>
    <mergeCell ref="S19:S31"/>
    <mergeCell ref="S32:S35"/>
    <mergeCell ref="B35:C36"/>
  </mergeCells>
  <pageMargins left="0.75" right="0.75" top="1.00" bottom="1.00" header="0.50" footer="0.50"/>
  <pageSetup paperSize="9" scale="47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5D52262-4C88-3208-24EB-E2DF6E30DED8}" mc:Ignorable="x14ac xr xr2 xr3">
  <dimension ref="A1:Y282"/>
  <sheetViews>
    <sheetView defaultGridColor="0" colorId="31" topLeftCell="A95" workbookViewId="0">
      <selection activeCell="M114" sqref="M114"/>
    </sheetView>
  </sheetViews>
  <sheetFormatPr defaultColWidth="9.00390625" customHeight="1" defaultRowHeight="13.5"/>
  <sheetData>
    <row customHeight="1" ht="13.5">
      <c r="A1" s="184">
        <v>7325</v>
      </c>
      <c r="B1" s="184"/>
      <c r="C1" s="184"/>
      <c r="D1" s="184">
        <v>0</v>
      </c>
      <c r="E1" s="184"/>
      <c r="F1" s="185" t="s">
        <v>129</v>
      </c>
      <c r="G1" s="185" t="s">
        <v>130</v>
      </c>
      <c r="H1" s="186" t="s">
        <v>131</v>
      </c>
      <c r="I1" s="184"/>
      <c r="J1" s="184" t="s">
        <v>124</v>
      </c>
      <c r="K1" s="184"/>
      <c r="L1" s="184"/>
      <c r="M1" s="184">
        <v>27</v>
      </c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</row>
    <row customHeight="1" ht="13.5">
      <c r="A2" s="184">
        <v>1150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5">
        <v>171</v>
      </c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customHeight="1" ht="13.5">
      <c r="A3" s="184">
        <v>510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5">
        <v>0</v>
      </c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customHeight="1" ht="13.5">
      <c r="A4" s="184">
        <v>3741</v>
      </c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5">
        <v>159</v>
      </c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</row>
    <row customHeight="1" ht="13.5">
      <c r="A5" s="184">
        <v>9501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5">
        <v>949</v>
      </c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</row>
    <row customHeight="1" ht="13.5">
      <c r="A6" s="184">
        <v>1417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5">
        <v>0</v>
      </c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</row>
    <row customHeight="1" ht="13.5">
      <c r="A7" s="184">
        <v>875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5">
        <v>14688</v>
      </c>
      <c r="N7" s="184"/>
      <c r="O7" s="184"/>
      <c r="P7" s="184"/>
      <c r="Q7" s="184"/>
      <c r="R7" s="184"/>
      <c r="S7" s="184"/>
      <c r="T7" s="184"/>
      <c r="U7" s="184"/>
      <c r="V7" s="184"/>
      <c r="W7" s="184"/>
      <c r="X7" s="184"/>
      <c r="Y7" s="184"/>
    </row>
    <row customHeight="1" ht="13.5">
      <c r="A8" s="184">
        <v>4848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5">
        <v>0</v>
      </c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</row>
    <row customHeight="1" ht="13.5">
      <c r="A9" s="184">
        <f>_xlfn.IFERROR(SUM(B9:D9),0)</f>
        <v>2867</v>
      </c>
      <c r="B9" s="185">
        <v>2809</v>
      </c>
      <c r="C9" s="185">
        <v>10</v>
      </c>
      <c r="D9" s="185">
        <v>48</v>
      </c>
      <c r="E9" s="184"/>
      <c r="F9" s="184"/>
      <c r="G9" s="184"/>
      <c r="H9" s="184"/>
      <c r="I9" s="184"/>
      <c r="J9" s="184"/>
      <c r="K9" s="184"/>
      <c r="L9" s="184"/>
      <c r="M9" s="185">
        <v>0</v>
      </c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</row>
    <row customHeight="1" ht="13.5">
      <c r="A10" s="184">
        <v>1361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5">
        <v>0</v>
      </c>
      <c r="N10" s="184"/>
      <c r="O10" s="184"/>
      <c r="P10" s="185"/>
      <c r="Q10" s="184"/>
      <c r="R10" s="184"/>
      <c r="S10" s="184"/>
      <c r="T10" s="184"/>
      <c r="U10" s="184"/>
      <c r="V10" s="184"/>
      <c r="W10" s="184"/>
      <c r="X10" s="184"/>
      <c r="Y10" s="184"/>
    </row>
    <row customHeight="1" ht="13.5">
      <c r="A11" s="184">
        <v>574</v>
      </c>
      <c r="B11" s="184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5">
        <v>0</v>
      </c>
      <c r="N11" s="185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</row>
    <row customHeight="1" ht="13.5">
      <c r="A12" s="184">
        <v>603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5">
        <v>0</v>
      </c>
      <c r="N12" s="185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</row>
    <row customHeight="1" ht="13.5">
      <c r="A13" s="184">
        <v>603</v>
      </c>
      <c r="B13" s="184"/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5"/>
      <c r="N13" s="185"/>
      <c r="O13" s="184"/>
      <c r="P13" s="184"/>
      <c r="Q13" s="184"/>
      <c r="R13" s="184"/>
      <c r="S13" s="184"/>
      <c r="T13" s="184"/>
      <c r="U13" s="184"/>
      <c r="V13" s="184"/>
      <c r="W13" s="184"/>
      <c r="X13" s="184"/>
      <c r="Y13" s="184"/>
    </row>
    <row customHeight="1" ht="13.5">
      <c r="A14" s="184">
        <v>6000</v>
      </c>
      <c r="B14" s="184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5">
        <v>32.5</v>
      </c>
      <c r="N14" s="185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</row>
    <row customHeight="1" ht="13.5">
      <c r="A15" s="184">
        <v>2814</v>
      </c>
      <c r="B15" s="184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5"/>
      <c r="N15" s="184"/>
      <c r="O15" s="184"/>
      <c r="P15" s="184"/>
      <c r="Q15" s="184"/>
      <c r="R15" s="184"/>
      <c r="S15" s="184"/>
      <c r="T15" s="184"/>
      <c r="U15" s="184"/>
      <c r="V15" s="184"/>
      <c r="W15" s="184"/>
      <c r="X15" s="184"/>
      <c r="Y15" s="184"/>
    </row>
    <row customHeight="1" ht="13.5">
      <c r="A16" s="184">
        <v>1537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5">
        <v>68776</v>
      </c>
      <c r="N16" s="184"/>
      <c r="O16" s="184"/>
      <c r="P16" s="184"/>
      <c r="Q16" s="184"/>
      <c r="R16" s="184"/>
      <c r="S16" s="184"/>
      <c r="T16" s="184"/>
      <c r="U16" s="184"/>
      <c r="V16" s="184"/>
      <c r="W16" s="184"/>
      <c r="X16" s="184"/>
      <c r="Y16" s="184"/>
    </row>
    <row customHeight="1" ht="13.5">
      <c r="A17" s="184">
        <v>833</v>
      </c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5">
        <v>44290</v>
      </c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</row>
    <row customHeight="1" ht="13.5">
      <c r="A18" s="184">
        <v>41</v>
      </c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5">
        <v>18837</v>
      </c>
      <c r="N18" s="184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</row>
    <row customHeight="1" ht="13.5">
      <c r="A19" s="187">
        <v>978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5">
        <v>6103</v>
      </c>
      <c r="N19" s="184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</row>
    <row customHeight="1" ht="13.5">
      <c r="A20" s="187">
        <v>2</v>
      </c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</row>
    <row customHeight="1" ht="13.5">
      <c r="A21" s="187">
        <v>18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5">
        <v>1366</v>
      </c>
      <c r="N21" s="184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</row>
    <row customHeight="1" ht="13.5">
      <c r="A22" s="187">
        <v>0</v>
      </c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5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</row>
    <row customHeight="1" ht="13.5">
      <c r="A23" s="184">
        <v>946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5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</row>
    <row customHeight="1" ht="13.5">
      <c r="A24" s="184">
        <v>238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5"/>
      <c r="N24" s="184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</row>
    <row customHeight="1" ht="13.5">
      <c r="A25" s="184">
        <v>94</v>
      </c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5"/>
      <c r="N25" s="184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</row>
    <row customHeight="1" ht="13.5">
      <c r="A26" s="184">
        <v>563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5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</row>
    <row customHeight="1" ht="13.5">
      <c r="A27" s="184">
        <v>48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5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</row>
    <row customHeight="1" ht="13.5">
      <c r="A28" s="184">
        <v>316</v>
      </c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5">
        <v>4002</v>
      </c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</row>
    <row customHeight="1" ht="13.5">
      <c r="A29" s="184">
        <v>305</v>
      </c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5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</row>
    <row customHeight="1" ht="13.5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5">
        <v>0</v>
      </c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</row>
    <row customHeight="1" ht="13.5">
      <c r="A31" s="184">
        <v>543</v>
      </c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5">
        <v>0</v>
      </c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</row>
    <row customHeight="1" ht="13.5">
      <c r="A32" s="184">
        <v>39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5">
        <v>0</v>
      </c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</row>
    <row customHeight="1" ht="13.5">
      <c r="A33" s="184">
        <v>108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5">
        <v>0</v>
      </c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</row>
    <row customHeight="1" ht="13.5">
      <c r="A34" s="184">
        <v>464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</row>
    <row customHeight="1" ht="13.5">
      <c r="A35" s="184">
        <v>91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5">
        <v>0</v>
      </c>
      <c r="N35" s="185">
        <v>0</v>
      </c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</row>
    <row customHeight="1" ht="13.5">
      <c r="A36" s="184">
        <v>343</v>
      </c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5">
        <v>20</v>
      </c>
      <c r="N36" s="185">
        <v>0</v>
      </c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</row>
    <row customHeight="1" ht="13.5">
      <c r="A37" s="184">
        <v>169</v>
      </c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5">
        <v>162</v>
      </c>
      <c r="N37" s="185">
        <v>3160</v>
      </c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</row>
    <row customHeight="1" ht="13.5">
      <c r="A38" s="184">
        <v>253</v>
      </c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</row>
    <row customHeight="1" ht="13.5">
      <c r="A39" s="184">
        <v>300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5">
        <v>0</v>
      </c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</row>
    <row customHeight="1" ht="13.5">
      <c r="A40" s="184">
        <v>226</v>
      </c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5">
        <v>9837</v>
      </c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</row>
    <row customHeight="1" ht="13.5">
      <c r="A41" s="184">
        <v>226</v>
      </c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5">
        <v>0</v>
      </c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</row>
    <row customHeight="1" ht="13.5">
      <c r="A42" s="184">
        <v>130</v>
      </c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</row>
    <row customHeight="1" ht="13.5">
      <c r="A43" s="184">
        <v>155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5">
        <v>0</v>
      </c>
      <c r="N43" s="185">
        <v>0</v>
      </c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</row>
    <row customHeight="1" ht="13.5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5">
        <v>0</v>
      </c>
      <c r="N44" s="185">
        <v>0</v>
      </c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</row>
    <row customHeight="1" ht="13.5">
      <c r="A45" s="184">
        <v>159</v>
      </c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5">
        <v>20</v>
      </c>
      <c r="N45" s="185">
        <v>3432</v>
      </c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</row>
    <row customHeight="1" ht="13.5">
      <c r="A46" s="184">
        <v>151</v>
      </c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5"/>
      <c r="N46" s="185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</row>
    <row customHeight="1" ht="13.5">
      <c r="A47" s="184">
        <v>4</v>
      </c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/>
      <c r="Q47" s="184"/>
      <c r="R47" s="184"/>
      <c r="S47" s="184"/>
      <c r="T47" s="184"/>
      <c r="U47" s="184"/>
      <c r="V47" s="184"/>
      <c r="W47" s="184"/>
      <c r="X47" s="184"/>
      <c r="Y47" s="184"/>
    </row>
    <row customHeight="1" ht="13.5">
      <c r="A48" s="184">
        <v>2</v>
      </c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>
        <v>0</v>
      </c>
      <c r="N48" s="184"/>
      <c r="O48" s="184"/>
      <c r="P48" s="184"/>
      <c r="Q48" s="184"/>
      <c r="R48" s="184"/>
      <c r="S48" s="184"/>
      <c r="T48" s="184"/>
      <c r="U48" s="184"/>
      <c r="V48" s="184"/>
      <c r="W48" s="184"/>
      <c r="X48" s="184"/>
      <c r="Y48" s="184"/>
    </row>
    <row customHeight="1" ht="13.5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5">
        <v>0</v>
      </c>
      <c r="N49" s="184"/>
      <c r="O49" s="184"/>
      <c r="P49" s="184"/>
      <c r="Q49" s="184"/>
      <c r="R49" s="184"/>
      <c r="S49" s="184"/>
      <c r="T49" s="184"/>
      <c r="U49" s="184"/>
      <c r="V49" s="184"/>
      <c r="W49" s="184"/>
      <c r="X49" s="184"/>
      <c r="Y49" s="184"/>
    </row>
    <row customHeight="1" ht="13.5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5">
        <v>0</v>
      </c>
      <c r="N50" s="184"/>
      <c r="O50" s="184"/>
      <c r="P50" s="184"/>
      <c r="Q50" s="184"/>
      <c r="R50" s="184"/>
      <c r="S50" s="184"/>
      <c r="T50" s="184"/>
      <c r="U50" s="184"/>
      <c r="V50" s="184"/>
      <c r="W50" s="184"/>
      <c r="X50" s="184"/>
      <c r="Y50" s="184"/>
    </row>
    <row customHeight="1" ht="13.5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5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</row>
    <row customHeight="1" ht="13.5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/>
      <c r="Q52" s="184"/>
      <c r="R52" s="184"/>
      <c r="S52" s="184"/>
      <c r="T52" s="184"/>
      <c r="U52" s="184"/>
      <c r="V52" s="184"/>
      <c r="W52" s="184"/>
      <c r="X52" s="184"/>
      <c r="Y52" s="184"/>
    </row>
    <row customHeight="1" ht="13.5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5">
        <v>13</v>
      </c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</row>
    <row customHeight="1" ht="13.5">
      <c r="A54" s="184"/>
      <c r="B54" s="184"/>
      <c r="C54" s="184" t="s">
        <v>132</v>
      </c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/>
      <c r="Q54" s="184"/>
      <c r="R54" s="184"/>
      <c r="S54" s="184"/>
      <c r="T54" s="184"/>
      <c r="U54" s="184"/>
      <c r="V54" s="184"/>
      <c r="W54" s="184"/>
      <c r="X54" s="184"/>
      <c r="Y54" s="184"/>
    </row>
    <row customHeight="1" ht="13.5">
      <c r="A55" s="184">
        <v>1056.16</v>
      </c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5">
        <v>0</v>
      </c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</row>
    <row customHeight="1" ht="13.5">
      <c r="A56" s="184"/>
      <c r="B56" s="184"/>
      <c r="C56" s="184" t="s">
        <v>133</v>
      </c>
      <c r="D56" s="184"/>
      <c r="E56" s="184"/>
      <c r="F56" s="184"/>
      <c r="G56" s="184"/>
      <c r="H56" s="184"/>
      <c r="I56" s="184"/>
      <c r="J56" s="184"/>
      <c r="K56" s="184"/>
      <c r="L56" s="184"/>
      <c r="M56" s="185">
        <v>14688</v>
      </c>
      <c r="N56" s="184"/>
      <c r="O56" s="184"/>
      <c r="P56" s="184"/>
      <c r="Q56" s="184"/>
      <c r="R56" s="184"/>
      <c r="S56" s="184"/>
      <c r="T56" s="184"/>
      <c r="U56" s="184"/>
      <c r="V56" s="184"/>
      <c r="W56" s="184"/>
      <c r="X56" s="184"/>
      <c r="Y56" s="184"/>
    </row>
    <row customHeight="1" ht="13.5">
      <c r="A57" s="184">
        <v>1632</v>
      </c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5">
        <v>0</v>
      </c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</row>
    <row customHeight="1" ht="13.5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5">
        <v>0</v>
      </c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</row>
    <row customHeight="1" ht="13.5">
      <c r="A59" s="184"/>
      <c r="B59" s="184"/>
      <c r="C59" s="184" t="s">
        <v>134</v>
      </c>
      <c r="D59" s="184"/>
      <c r="E59" s="184"/>
      <c r="F59" s="184"/>
      <c r="G59" s="184"/>
      <c r="H59" s="184"/>
      <c r="I59" s="184"/>
      <c r="J59" s="184"/>
      <c r="K59" s="184"/>
      <c r="L59" s="184"/>
      <c r="M59" s="185">
        <v>0</v>
      </c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</row>
    <row customHeight="1" ht="13.5">
      <c r="A60" s="184"/>
      <c r="B60" s="184"/>
      <c r="C60" s="184" t="s">
        <v>135</v>
      </c>
      <c r="D60" s="184"/>
      <c r="E60" s="184"/>
      <c r="F60" s="184"/>
      <c r="G60" s="184"/>
      <c r="H60" s="184"/>
      <c r="I60" s="184"/>
      <c r="J60" s="184"/>
      <c r="K60" s="184"/>
      <c r="L60" s="184"/>
      <c r="M60" s="185">
        <v>0</v>
      </c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</row>
    <row customHeight="1" ht="13.5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5">
        <v>0</v>
      </c>
      <c r="N61" s="184"/>
      <c r="O61" s="184"/>
      <c r="P61" s="184"/>
      <c r="Q61" s="184"/>
      <c r="R61" s="184"/>
      <c r="S61" s="184"/>
      <c r="T61" s="184"/>
      <c r="U61" s="184"/>
      <c r="V61" s="184"/>
      <c r="W61" s="184"/>
      <c r="X61" s="184"/>
      <c r="Y61" s="184"/>
    </row>
    <row customHeight="1" ht="13.5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</row>
    <row customHeight="1" ht="13.5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</row>
    <row customHeight="1" ht="13.5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5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</row>
    <row customHeight="1" ht="13.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>
        <v>946</v>
      </c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</row>
    <row customHeight="1" ht="13.5">
      <c r="A66" s="184">
        <v>138.78</v>
      </c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</row>
    <row customHeight="1" ht="13.5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</row>
    <row customHeight="1" ht="13.5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</row>
    <row customHeight="1" ht="13.5">
      <c r="A69" s="185">
        <v>911</v>
      </c>
      <c r="B69" s="185">
        <v>305</v>
      </c>
      <c r="C69" s="185"/>
      <c r="D69" s="185"/>
      <c r="E69" s="185">
        <v>528</v>
      </c>
      <c r="F69" s="184"/>
      <c r="G69" s="184"/>
      <c r="H69" s="184"/>
      <c r="I69" s="184"/>
      <c r="J69" s="184"/>
      <c r="K69" s="184"/>
      <c r="L69" s="184"/>
      <c r="M69" s="185">
        <v>293.24</v>
      </c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</row>
    <row customHeight="1" ht="13.5">
      <c r="A70" s="185">
        <v>0</v>
      </c>
      <c r="B70" s="185">
        <v>0</v>
      </c>
      <c r="C70" s="185"/>
      <c r="D70" s="185"/>
      <c r="E70" s="185">
        <v>0</v>
      </c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</row>
    <row customHeight="1" ht="13.5">
      <c r="A71" s="185">
        <v>0</v>
      </c>
      <c r="B71" s="185">
        <v>0</v>
      </c>
      <c r="C71" s="185"/>
      <c r="D71" s="185"/>
      <c r="E71" s="185">
        <v>0</v>
      </c>
      <c r="F71" s="184"/>
      <c r="G71" s="184"/>
      <c r="H71" s="184"/>
      <c r="I71" s="184"/>
      <c r="J71" s="184"/>
      <c r="K71" s="184"/>
      <c r="L71" s="184"/>
      <c r="M71" s="185">
        <v>2447</v>
      </c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</row>
    <row customHeight="1" ht="13.5">
      <c r="A72" s="185">
        <v>0</v>
      </c>
      <c r="B72" s="185">
        <v>0</v>
      </c>
      <c r="C72" s="185"/>
      <c r="D72" s="185"/>
      <c r="E72" s="185">
        <v>0</v>
      </c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</row>
    <row customHeight="1" ht="13.5">
      <c r="A73" s="185">
        <v>0</v>
      </c>
      <c r="B73" s="185">
        <v>0</v>
      </c>
      <c r="C73" s="185"/>
      <c r="D73" s="185"/>
      <c r="E73" s="185">
        <v>0</v>
      </c>
      <c r="F73" s="184"/>
      <c r="G73" s="184"/>
      <c r="H73" s="184"/>
      <c r="I73" s="184"/>
      <c r="J73" s="184"/>
      <c r="K73" s="184"/>
      <c r="L73" s="184"/>
      <c r="M73" s="185">
        <v>4106</v>
      </c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</row>
    <row customHeight="1" ht="13.5">
      <c r="A74" s="185">
        <v>0</v>
      </c>
      <c r="B74" s="185">
        <v>0</v>
      </c>
      <c r="C74" s="185"/>
      <c r="D74" s="185"/>
      <c r="E74" s="185">
        <v>0</v>
      </c>
      <c r="F74" s="184"/>
      <c r="G74" s="184"/>
      <c r="H74" s="184"/>
      <c r="I74" s="184"/>
      <c r="J74" s="184"/>
      <c r="K74" s="184"/>
      <c r="L74" s="184"/>
      <c r="M74" s="185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</row>
    <row customHeight="1" ht="13.5">
      <c r="A75" s="185">
        <v>0</v>
      </c>
      <c r="B75" s="185">
        <v>0</v>
      </c>
      <c r="C75" s="185"/>
      <c r="D75" s="185"/>
      <c r="E75" s="185">
        <v>0</v>
      </c>
      <c r="F75" s="184"/>
      <c r="G75" s="184"/>
      <c r="H75" s="184"/>
      <c r="I75" s="184"/>
      <c r="J75" s="184"/>
      <c r="K75" s="184"/>
      <c r="L75" s="184"/>
      <c r="M75" s="185">
        <v>4870</v>
      </c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</row>
    <row customHeight="1" ht="13.5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</row>
    <row customHeight="1" ht="13.5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5">
        <v>293.24</v>
      </c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</row>
    <row customHeight="1" ht="13.5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/>
      <c r="Q78" s="184"/>
      <c r="R78" s="184"/>
      <c r="S78" s="184"/>
      <c r="T78" s="184"/>
      <c r="U78" s="184"/>
      <c r="V78" s="184"/>
      <c r="W78" s="184"/>
      <c r="X78" s="184"/>
      <c r="Y78" s="184"/>
    </row>
    <row customHeight="1" ht="13.5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5"/>
      <c r="N79" s="184"/>
      <c r="O79" s="184"/>
      <c r="P79" s="184"/>
      <c r="Q79" s="184"/>
      <c r="R79" s="184"/>
      <c r="S79" s="184"/>
      <c r="T79" s="184"/>
      <c r="U79" s="184"/>
      <c r="V79" s="184"/>
      <c r="W79" s="184"/>
      <c r="X79" s="184"/>
      <c r="Y79" s="184"/>
    </row>
    <row customHeight="1" ht="13.5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  <c r="W80" s="184"/>
      <c r="X80" s="184"/>
      <c r="Y80" s="184"/>
    </row>
    <row customHeight="1" ht="13.5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5">
        <v>850</v>
      </c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</row>
    <row customHeight="1" ht="13.5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/>
      <c r="Q82" s="184"/>
      <c r="R82" s="184"/>
      <c r="S82" s="184"/>
      <c r="T82" s="184"/>
      <c r="U82" s="184"/>
      <c r="V82" s="184"/>
      <c r="W82" s="184"/>
      <c r="X82" s="184"/>
      <c r="Y82" s="184"/>
    </row>
    <row customHeight="1" ht="13.5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5"/>
      <c r="N83" s="184"/>
      <c r="O83" s="184"/>
      <c r="P83" s="184"/>
      <c r="Q83" s="184"/>
      <c r="R83" s="184"/>
      <c r="S83" s="184"/>
      <c r="T83" s="184"/>
      <c r="U83" s="184"/>
      <c r="V83" s="184"/>
      <c r="W83" s="184"/>
      <c r="X83" s="184"/>
      <c r="Y83" s="184"/>
    </row>
    <row customHeight="1" ht="13.5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/>
      <c r="Q84" s="184"/>
      <c r="R84" s="184"/>
      <c r="S84" s="184"/>
      <c r="T84" s="184"/>
      <c r="U84" s="184"/>
      <c r="V84" s="184"/>
      <c r="W84" s="184"/>
      <c r="X84" s="184"/>
      <c r="Y84" s="184"/>
    </row>
    <row customHeight="1" ht="13.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5">
        <v>1394</v>
      </c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</row>
    <row customHeight="1" ht="13.5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5">
        <v>9149</v>
      </c>
      <c r="N86" s="184"/>
      <c r="O86" s="184"/>
      <c r="P86" s="184"/>
      <c r="Q86" s="184"/>
      <c r="R86" s="184"/>
      <c r="S86" s="184"/>
      <c r="T86" s="184"/>
      <c r="U86" s="184"/>
      <c r="V86" s="184"/>
      <c r="W86" s="184"/>
      <c r="X86" s="184"/>
      <c r="Y86" s="184"/>
    </row>
    <row customHeight="1" ht="13.5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184"/>
      <c r="U87" s="184"/>
      <c r="V87" s="184"/>
      <c r="W87" s="184"/>
      <c r="X87" s="184"/>
      <c r="Y87" s="184"/>
    </row>
    <row customHeight="1" ht="13.5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5"/>
      <c r="N88" s="184"/>
      <c r="O88" s="184"/>
      <c r="P88" s="184"/>
      <c r="Q88" s="184"/>
      <c r="R88" s="184"/>
      <c r="S88" s="184"/>
      <c r="T88" s="184"/>
      <c r="U88" s="184"/>
      <c r="V88" s="184"/>
      <c r="W88" s="184"/>
      <c r="X88" s="184"/>
      <c r="Y88" s="184"/>
    </row>
    <row customHeight="1" ht="13.5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/>
      <c r="Q89" s="184"/>
      <c r="R89" s="184"/>
      <c r="S89" s="184"/>
      <c r="T89" s="184"/>
      <c r="U89" s="184"/>
      <c r="V89" s="184"/>
      <c r="W89" s="184"/>
      <c r="X89" s="184"/>
      <c r="Y89" s="184"/>
    </row>
    <row customHeight="1" ht="13.5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5">
        <v>455</v>
      </c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</row>
    <row customHeight="1" ht="13.5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/>
      <c r="Q91" s="184"/>
      <c r="R91" s="184"/>
      <c r="S91" s="184"/>
      <c r="T91" s="184"/>
      <c r="U91" s="184"/>
      <c r="V91" s="184"/>
      <c r="W91" s="184"/>
      <c r="X91" s="184"/>
      <c r="Y91" s="184"/>
    </row>
    <row customHeight="1" ht="13.5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5">
        <v>6337</v>
      </c>
      <c r="N92" s="185">
        <v>1786</v>
      </c>
      <c r="O92" s="185">
        <v>10589</v>
      </c>
      <c r="P92" s="185">
        <v>785</v>
      </c>
      <c r="Q92" s="185">
        <v>18837</v>
      </c>
      <c r="R92" s="185"/>
      <c r="S92" s="185">
        <v>4002</v>
      </c>
      <c r="T92" s="185"/>
      <c r="U92" s="185"/>
      <c r="V92" s="185"/>
      <c r="W92" s="185">
        <v>5081</v>
      </c>
      <c r="X92" s="184"/>
      <c r="Y92" s="184"/>
    </row>
    <row customHeight="1" ht="13.5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5">
        <v>1364</v>
      </c>
      <c r="N93" s="185">
        <v>5143</v>
      </c>
      <c r="O93" s="185">
        <v>6103</v>
      </c>
      <c r="P93" s="184"/>
      <c r="Q93" s="184"/>
      <c r="R93" s="184"/>
      <c r="S93" s="184"/>
      <c r="T93" s="184"/>
      <c r="U93" s="184"/>
      <c r="V93" s="184"/>
      <c r="W93" s="184"/>
      <c r="X93" s="184"/>
      <c r="Y93" s="184"/>
    </row>
    <row customHeight="1" ht="13.5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/>
      <c r="Q94" s="184"/>
      <c r="R94" s="184"/>
      <c r="S94" s="184"/>
      <c r="T94" s="184"/>
      <c r="U94" s="184"/>
      <c r="V94" s="184"/>
      <c r="W94" s="184"/>
      <c r="X94" s="184"/>
      <c r="Y94" s="184"/>
    </row>
    <row customHeight="1" ht="13.5">
      <c r="A95" s="185">
        <v>1364</v>
      </c>
      <c r="B95" s="185">
        <v>5143</v>
      </c>
      <c r="C95" s="185">
        <v>6103</v>
      </c>
      <c r="D95" s="184"/>
      <c r="E95" s="184"/>
      <c r="F95" s="184"/>
      <c r="G95" s="184"/>
      <c r="H95" s="184"/>
      <c r="I95" s="184"/>
      <c r="J95" s="184"/>
      <c r="K95" s="184"/>
      <c r="L95" s="184"/>
      <c r="M95" s="185">
        <v>13</v>
      </c>
      <c r="N95" s="184"/>
      <c r="O95" s="184"/>
      <c r="P95" s="184"/>
      <c r="Q95" s="184"/>
      <c r="R95" s="184"/>
      <c r="S95" s="184"/>
      <c r="T95" s="184"/>
      <c r="U95" s="184"/>
      <c r="V95" s="184"/>
      <c r="W95" s="184"/>
      <c r="X95" s="184"/>
      <c r="Y95" s="184"/>
    </row>
    <row customHeight="1" ht="13.5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/>
      <c r="Q96" s="184"/>
      <c r="R96" s="184"/>
      <c r="S96" s="184"/>
      <c r="T96" s="184"/>
      <c r="U96" s="184"/>
      <c r="V96" s="184"/>
      <c r="W96" s="184"/>
      <c r="X96" s="184"/>
      <c r="Y96" s="184"/>
    </row>
    <row customHeight="1" ht="13.5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8">
        <v>0</v>
      </c>
      <c r="N97" s="184"/>
      <c r="O97" s="184"/>
      <c r="P97" s="184"/>
      <c r="Q97" s="184"/>
      <c r="R97" s="184"/>
      <c r="S97" s="184"/>
      <c r="T97" s="184"/>
      <c r="U97" s="184"/>
      <c r="V97" s="184"/>
      <c r="W97" s="184"/>
      <c r="X97" s="184"/>
      <c r="Y97" s="184"/>
    </row>
    <row customHeight="1" ht="13.5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8">
        <v>0</v>
      </c>
      <c r="N98" s="184"/>
      <c r="O98" s="184"/>
      <c r="P98" s="184"/>
      <c r="Q98" s="184"/>
      <c r="R98" s="184"/>
      <c r="S98" s="184"/>
      <c r="T98" s="184"/>
      <c r="U98" s="184"/>
      <c r="V98" s="184"/>
      <c r="W98" s="184"/>
      <c r="X98" s="184"/>
      <c r="Y98" s="184"/>
    </row>
    <row customHeight="1" ht="13.5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/>
      <c r="Q99" s="184"/>
      <c r="R99" s="184"/>
      <c r="S99" s="184"/>
      <c r="T99" s="184"/>
      <c r="U99" s="184"/>
      <c r="V99" s="184"/>
      <c r="W99" s="184"/>
      <c r="X99" s="184"/>
      <c r="Y99" s="184"/>
    </row>
    <row customHeight="1" ht="13.5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5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</row>
    <row customHeight="1" ht="13.5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5">
        <v>2963</v>
      </c>
      <c r="N101" s="184"/>
      <c r="O101" s="184"/>
      <c r="P101" s="184"/>
      <c r="Q101" s="184"/>
      <c r="R101" s="184"/>
      <c r="S101" s="184"/>
      <c r="T101" s="184"/>
      <c r="U101" s="184"/>
      <c r="V101" s="184"/>
      <c r="W101" s="184"/>
      <c r="X101" s="184"/>
      <c r="Y101" s="184"/>
    </row>
    <row customHeight="1" ht="13.5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/>
      <c r="Q102" s="184"/>
      <c r="R102" s="184"/>
      <c r="S102" s="184"/>
      <c r="T102" s="184"/>
      <c r="U102" s="184"/>
      <c r="V102" s="184"/>
      <c r="W102" s="184"/>
      <c r="X102" s="184"/>
      <c r="Y102" s="184"/>
    </row>
    <row customHeight="1" ht="13.5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/>
      <c r="Q103" s="184"/>
      <c r="R103" s="184"/>
      <c r="S103" s="184"/>
      <c r="T103" s="184"/>
      <c r="U103" s="184"/>
      <c r="V103" s="184"/>
      <c r="W103" s="184"/>
      <c r="X103" s="184"/>
      <c r="Y103" s="184"/>
    </row>
    <row customHeight="1" ht="13.5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5">
        <v>738</v>
      </c>
      <c r="N104" s="184"/>
      <c r="O104" s="184"/>
      <c r="P104" s="184"/>
      <c r="Q104" s="184"/>
      <c r="R104" s="184"/>
      <c r="S104" s="184"/>
      <c r="T104" s="184"/>
      <c r="U104" s="184"/>
      <c r="V104" s="184"/>
      <c r="W104" s="184"/>
      <c r="X104" s="184"/>
      <c r="Y104" s="184"/>
    </row>
    <row customHeight="1" ht="13.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5">
        <v>603.42</v>
      </c>
      <c r="N105" s="184"/>
      <c r="O105" s="184"/>
      <c r="P105" s="184"/>
      <c r="Q105" s="184"/>
      <c r="R105" s="184"/>
      <c r="S105" s="184"/>
      <c r="T105" s="184"/>
      <c r="U105" s="184"/>
      <c r="V105" s="184"/>
      <c r="W105" s="184"/>
      <c r="X105" s="184"/>
      <c r="Y105" s="184"/>
    </row>
    <row customHeight="1" ht="13.5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/>
      <c r="Q106" s="184"/>
      <c r="R106" s="184"/>
      <c r="S106" s="184"/>
      <c r="T106" s="184"/>
      <c r="U106" s="184"/>
      <c r="V106" s="184"/>
      <c r="W106" s="184"/>
      <c r="X106" s="184"/>
      <c r="Y106" s="184"/>
    </row>
    <row customHeight="1" ht="13.5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5">
        <v>151</v>
      </c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</row>
    <row customHeight="1" ht="13.5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5"/>
      <c r="N108" s="184"/>
      <c r="O108" s="184"/>
      <c r="P108" s="184"/>
      <c r="Q108" s="184"/>
      <c r="R108" s="184"/>
      <c r="S108" s="184"/>
      <c r="T108" s="184"/>
      <c r="U108" s="184"/>
      <c r="V108" s="184"/>
      <c r="W108" s="184"/>
      <c r="X108" s="184"/>
      <c r="Y108" s="184"/>
    </row>
    <row customHeight="1" ht="13.5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5"/>
      <c r="N109" s="184"/>
      <c r="O109" s="184"/>
      <c r="P109" s="184"/>
      <c r="Q109" s="184"/>
      <c r="R109" s="184"/>
      <c r="S109" s="184"/>
      <c r="T109" s="184"/>
      <c r="U109" s="184"/>
      <c r="V109" s="184"/>
      <c r="W109" s="184"/>
      <c r="X109" s="184"/>
      <c r="Y109" s="184"/>
    </row>
    <row customHeight="1" ht="13.5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/>
      <c r="Q110" s="184"/>
      <c r="R110" s="184"/>
      <c r="S110" s="184"/>
      <c r="T110" s="184"/>
      <c r="U110" s="184"/>
      <c r="V110" s="184"/>
      <c r="W110" s="184"/>
      <c r="X110" s="184"/>
      <c r="Y110" s="184"/>
    </row>
    <row customHeight="1" ht="13.5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/>
      <c r="Q111" s="184"/>
      <c r="R111" s="184"/>
      <c r="S111" s="184"/>
      <c r="T111" s="184"/>
      <c r="U111" s="184"/>
      <c r="V111" s="184"/>
      <c r="W111" s="184"/>
      <c r="X111" s="184"/>
      <c r="Y111" s="184"/>
    </row>
    <row customHeight="1" ht="13.5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</row>
    <row customHeight="1" ht="13.5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5"/>
      <c r="N113" s="184"/>
      <c r="O113" s="184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</row>
    <row customHeight="1" ht="13.5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5"/>
      <c r="N114" s="184"/>
      <c r="O114" s="184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</row>
    <row customHeight="1" ht="13.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5">
        <v>95.94</v>
      </c>
      <c r="N115" s="184"/>
      <c r="O115" s="184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</row>
    <row customHeight="1" ht="13.5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5"/>
      <c r="N116" s="184"/>
      <c r="O116" s="184"/>
      <c r="P116" s="184"/>
      <c r="Q116" s="184"/>
      <c r="R116" s="184"/>
      <c r="S116" s="184"/>
      <c r="T116" s="184"/>
      <c r="U116" s="184"/>
      <c r="V116" s="184"/>
      <c r="W116" s="184"/>
      <c r="X116" s="184"/>
      <c r="Y116" s="184"/>
    </row>
    <row customHeight="1" ht="13.5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/>
      <c r="Q117" s="184"/>
      <c r="R117" s="184"/>
      <c r="S117" s="184"/>
      <c r="T117" s="184"/>
      <c r="U117" s="184"/>
      <c r="V117" s="184"/>
      <c r="W117" s="184"/>
      <c r="X117" s="184"/>
      <c r="Y117" s="184"/>
    </row>
    <row customHeight="1" ht="13.5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5">
        <v>32.5</v>
      </c>
      <c r="N118" s="184"/>
      <c r="O118" s="184"/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</row>
    <row customHeight="1" ht="13.5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5">
        <v>95.94</v>
      </c>
      <c r="N119" s="184"/>
      <c r="O119" s="184"/>
      <c r="P119" s="184"/>
      <c r="Q119" s="184"/>
      <c r="R119" s="184"/>
      <c r="S119" s="184"/>
      <c r="T119" s="184"/>
      <c r="U119" s="184"/>
      <c r="V119" s="184"/>
      <c r="W119" s="184"/>
      <c r="X119" s="184"/>
      <c r="Y119" s="184"/>
    </row>
    <row customHeight="1" ht="13.5">
      <c r="A120" s="184"/>
      <c r="B120" s="184"/>
      <c r="C120" s="184"/>
      <c r="D120" s="184"/>
      <c r="E120" s="184"/>
      <c r="F120" s="184"/>
      <c r="G120" s="185"/>
      <c r="H120" s="184"/>
      <c r="I120" s="184"/>
      <c r="J120" s="184"/>
      <c r="K120" s="184"/>
      <c r="L120" s="184"/>
      <c r="M120" s="184"/>
      <c r="N120" s="184"/>
      <c r="O120" s="184"/>
      <c r="P120" s="184"/>
      <c r="Q120" s="184"/>
      <c r="R120" s="184"/>
      <c r="S120" s="184"/>
      <c r="T120" s="184"/>
      <c r="U120" s="184"/>
      <c r="V120" s="184"/>
      <c r="W120" s="184"/>
      <c r="X120" s="184"/>
      <c r="Y120" s="184"/>
    </row>
    <row customHeight="1" ht="13.5">
      <c r="A121" s="184"/>
      <c r="B121" s="184"/>
      <c r="C121" s="184"/>
      <c r="D121" s="184"/>
      <c r="E121" s="184"/>
      <c r="F121" s="184"/>
      <c r="G121" s="185"/>
      <c r="H121" s="184"/>
      <c r="I121" s="184"/>
      <c r="J121" s="184"/>
      <c r="K121" s="184"/>
      <c r="L121" s="184"/>
      <c r="M121" s="185">
        <v>371</v>
      </c>
      <c r="N121" s="184"/>
      <c r="O121" s="184"/>
      <c r="P121" s="184"/>
      <c r="Q121" s="184"/>
      <c r="R121" s="184"/>
      <c r="S121" s="184"/>
      <c r="T121" s="184"/>
      <c r="U121" s="184"/>
      <c r="V121" s="184"/>
      <c r="W121" s="184"/>
      <c r="X121" s="184"/>
      <c r="Y121" s="184"/>
    </row>
    <row customHeight="1" ht="13.5">
      <c r="A122" s="184"/>
      <c r="B122" s="184"/>
      <c r="C122" s="184"/>
      <c r="D122" s="184"/>
      <c r="E122" s="184"/>
      <c r="F122" s="184"/>
      <c r="G122" s="185"/>
      <c r="H122" s="184"/>
      <c r="I122" s="184"/>
      <c r="J122" s="184"/>
      <c r="K122" s="184"/>
      <c r="L122" s="184"/>
      <c r="M122" s="185"/>
      <c r="N122" s="184"/>
      <c r="O122" s="184"/>
      <c r="P122" s="184"/>
      <c r="Q122" s="184"/>
      <c r="R122" s="184"/>
      <c r="S122" s="184"/>
      <c r="T122" s="184"/>
      <c r="U122" s="184"/>
      <c r="V122" s="184"/>
      <c r="W122" s="184"/>
      <c r="X122" s="184"/>
      <c r="Y122" s="184"/>
    </row>
    <row customHeight="1" ht="13.5">
      <c r="A123" s="184"/>
      <c r="B123" s="184"/>
      <c r="C123" s="184"/>
      <c r="D123" s="184"/>
      <c r="E123" s="184"/>
      <c r="F123" s="184"/>
      <c r="G123" s="185"/>
      <c r="H123" s="184"/>
      <c r="I123" s="184"/>
      <c r="J123" s="184"/>
      <c r="K123" s="184"/>
      <c r="L123" s="184"/>
      <c r="M123" s="184"/>
      <c r="N123" s="184"/>
      <c r="O123" s="184"/>
      <c r="P123" s="184"/>
      <c r="Q123" s="184"/>
      <c r="R123" s="184"/>
      <c r="S123" s="184"/>
      <c r="T123" s="184"/>
      <c r="U123" s="184"/>
      <c r="V123" s="184"/>
      <c r="W123" s="184"/>
      <c r="X123" s="184"/>
      <c r="Y123" s="184"/>
    </row>
    <row customHeight="1" ht="13.5">
      <c r="A124" s="184"/>
      <c r="B124" s="184"/>
      <c r="C124" s="184"/>
      <c r="D124" s="184"/>
      <c r="E124" s="184"/>
      <c r="F124" s="184"/>
      <c r="G124" s="185"/>
      <c r="H124" s="184"/>
      <c r="I124" s="184"/>
      <c r="J124" s="184"/>
      <c r="K124" s="184"/>
      <c r="L124" s="184"/>
      <c r="M124" s="188">
        <v>0</v>
      </c>
      <c r="N124" s="188">
        <v>850</v>
      </c>
      <c r="O124" s="184"/>
      <c r="P124" s="184"/>
      <c r="Q124" s="184"/>
      <c r="R124" s="184"/>
      <c r="S124" s="184"/>
      <c r="T124" s="184"/>
      <c r="U124" s="184"/>
      <c r="V124" s="184"/>
      <c r="W124" s="184"/>
      <c r="X124" s="184"/>
      <c r="Y124" s="184"/>
    </row>
    <row customHeight="1" ht="13.5">
      <c r="A125" s="184"/>
      <c r="B125" s="184"/>
      <c r="C125" s="184"/>
      <c r="D125" s="184"/>
      <c r="E125" s="184"/>
      <c r="F125" s="184"/>
      <c r="G125" s="185"/>
      <c r="H125" s="184"/>
      <c r="I125" s="184"/>
      <c r="J125" s="184"/>
      <c r="K125" s="184"/>
      <c r="L125" s="184"/>
      <c r="M125" s="184"/>
      <c r="N125" s="184"/>
      <c r="O125" s="184"/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</row>
    <row customHeight="1" ht="13.5">
      <c r="A126" s="184"/>
      <c r="B126" s="184"/>
      <c r="C126" s="184"/>
      <c r="D126" s="184"/>
      <c r="E126" s="184"/>
      <c r="F126" s="184"/>
      <c r="G126" s="185"/>
      <c r="H126" s="184"/>
      <c r="I126" s="184"/>
      <c r="J126" s="184"/>
      <c r="K126" s="184"/>
      <c r="L126" s="184"/>
      <c r="M126" s="185"/>
      <c r="N126" s="184"/>
      <c r="O126" s="184"/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</row>
    <row customHeight="1" ht="13.5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5"/>
      <c r="N127" s="184"/>
      <c r="O127" s="184"/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</row>
    <row customHeight="1" ht="13.5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5">
        <v>225</v>
      </c>
      <c r="N128" s="184"/>
      <c r="O128" s="184"/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</row>
    <row customHeight="1" ht="13.5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5">
        <v>189</v>
      </c>
      <c r="N129" s="184"/>
      <c r="O129" s="184"/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</row>
    <row customHeight="1" ht="13.5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</row>
    <row customHeight="1" ht="13.5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</row>
    <row customHeight="1" ht="13.5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</row>
    <row customHeight="1" ht="13.5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5">
        <v>603.42</v>
      </c>
      <c r="N133" s="184"/>
      <c r="O133" s="184"/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</row>
    <row customHeight="1" ht="13.5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</row>
    <row customHeight="1" ht="13.5">
      <c r="A135" s="184"/>
      <c r="B135" s="184"/>
      <c r="C135" s="184"/>
      <c r="D135" s="184"/>
      <c r="E135" s="184"/>
      <c r="F135" s="184"/>
      <c r="G135" s="184">
        <v>911</v>
      </c>
      <c r="H135" s="184">
        <v>2100</v>
      </c>
      <c r="I135" s="184">
        <v>2432</v>
      </c>
      <c r="J135" s="184"/>
      <c r="K135" s="184"/>
      <c r="L135" s="184"/>
      <c r="M135" s="185">
        <f>_xlfn.IFERROR(SUM(N135:N141),"")</f>
        <v>528</v>
      </c>
      <c r="N135" s="184">
        <v>528</v>
      </c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</row>
    <row customHeight="1" ht="13.5">
      <c r="A136" s="184"/>
      <c r="B136" s="184"/>
      <c r="C136" s="184"/>
      <c r="D136" s="184"/>
      <c r="E136" s="184"/>
      <c r="F136" s="184"/>
      <c r="G136" s="184">
        <v>0</v>
      </c>
      <c r="H136" s="184">
        <v>0</v>
      </c>
      <c r="I136" s="184">
        <v>0</v>
      </c>
      <c r="J136" s="184"/>
      <c r="K136" s="184"/>
      <c r="L136" s="184"/>
      <c r="M136" s="184"/>
      <c r="N136" s="184">
        <v>0</v>
      </c>
      <c r="O136" s="184"/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</row>
    <row customHeight="1" ht="13.5">
      <c r="A137" s="184"/>
      <c r="B137" s="184"/>
      <c r="C137" s="184"/>
      <c r="D137" s="184"/>
      <c r="E137" s="184"/>
      <c r="F137" s="184"/>
      <c r="G137" s="184">
        <v>0</v>
      </c>
      <c r="H137" s="184">
        <v>0</v>
      </c>
      <c r="I137" s="184">
        <v>0</v>
      </c>
      <c r="J137" s="184"/>
      <c r="K137" s="184"/>
      <c r="L137" s="184"/>
      <c r="M137" s="185">
        <v>196.02</v>
      </c>
      <c r="N137" s="184">
        <v>0</v>
      </c>
      <c r="O137" s="184"/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</row>
    <row customHeight="1" ht="13.5">
      <c r="A138" s="184"/>
      <c r="B138" s="184"/>
      <c r="C138" s="184"/>
      <c r="D138" s="184"/>
      <c r="E138" s="184"/>
      <c r="F138" s="184"/>
      <c r="G138" s="184">
        <v>0</v>
      </c>
      <c r="H138" s="184">
        <v>0</v>
      </c>
      <c r="I138" s="184">
        <v>0</v>
      </c>
      <c r="J138" s="184"/>
      <c r="K138" s="184"/>
      <c r="L138" s="184"/>
      <c r="M138" s="184"/>
      <c r="N138" s="184">
        <v>0</v>
      </c>
      <c r="O138" s="184"/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</row>
    <row customHeight="1" ht="13.5">
      <c r="A139" s="184"/>
      <c r="B139" s="184"/>
      <c r="C139" s="184"/>
      <c r="D139" s="184"/>
      <c r="E139" s="184"/>
      <c r="F139" s="184"/>
      <c r="G139" s="184">
        <v>0</v>
      </c>
      <c r="H139" s="184">
        <v>0</v>
      </c>
      <c r="I139" s="184">
        <v>0</v>
      </c>
      <c r="J139" s="184"/>
      <c r="K139" s="184"/>
      <c r="L139" s="184"/>
      <c r="M139" s="185"/>
      <c r="N139" s="184">
        <v>0</v>
      </c>
      <c r="O139" s="184"/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</row>
    <row customHeight="1" ht="13.5">
      <c r="A140" s="184"/>
      <c r="B140" s="184"/>
      <c r="C140" s="184"/>
      <c r="D140" s="184"/>
      <c r="E140" s="184"/>
      <c r="F140" s="184"/>
      <c r="G140" s="184">
        <v>0</v>
      </c>
      <c r="H140" s="184">
        <v>0</v>
      </c>
      <c r="I140" s="184">
        <v>0</v>
      </c>
      <c r="J140" s="184"/>
      <c r="K140" s="184"/>
      <c r="L140" s="184"/>
      <c r="M140" s="185"/>
      <c r="N140" s="184">
        <v>0</v>
      </c>
      <c r="O140" s="184"/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</row>
    <row customHeight="1" ht="13.5">
      <c r="A141" s="184"/>
      <c r="B141" s="184"/>
      <c r="C141" s="184"/>
      <c r="D141" s="184"/>
      <c r="E141" s="184"/>
      <c r="F141" s="184"/>
      <c r="G141" s="184">
        <v>0</v>
      </c>
      <c r="H141" s="184">
        <v>0</v>
      </c>
      <c r="I141" s="184">
        <v>0</v>
      </c>
      <c r="J141" s="184"/>
      <c r="K141" s="184"/>
      <c r="L141" s="184"/>
      <c r="M141" s="185">
        <v>403</v>
      </c>
      <c r="N141" s="184">
        <v>0</v>
      </c>
      <c r="O141" s="184"/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</row>
    <row customHeight="1" ht="13.5">
      <c r="A142" s="184"/>
      <c r="B142" s="184"/>
      <c r="C142" s="184"/>
      <c r="D142" s="184"/>
      <c r="E142" s="184" t="s">
        <v>136</v>
      </c>
      <c r="F142" s="188">
        <f>_xlfn.IFERROR(SUM(G142,H142)-SUM(I142),"")</f>
        <v>579</v>
      </c>
      <c r="G142" s="188">
        <f>_xlfn.IFERROR(SUM(G135:G141),"")</f>
        <v>911</v>
      </c>
      <c r="H142" s="188">
        <f>_xlfn.IFERROR(SUM(H135:H141),"")</f>
        <v>2100</v>
      </c>
      <c r="I142" s="188">
        <f>_xlfn.IFERROR(SUM(I135:I141),"")</f>
        <v>2432</v>
      </c>
      <c r="J142" s="184"/>
      <c r="K142" s="184"/>
      <c r="L142" s="184"/>
      <c r="M142" s="184"/>
      <c r="N142" s="184"/>
      <c r="O142" s="184"/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</row>
    <row customHeight="1" ht="13.5">
      <c r="A143" s="184"/>
      <c r="B143" s="184"/>
      <c r="C143" s="184"/>
      <c r="D143" s="184"/>
      <c r="E143" s="184" t="s">
        <v>137</v>
      </c>
      <c r="F143" s="189">
        <v>579</v>
      </c>
      <c r="G143" s="184"/>
      <c r="H143" s="184"/>
      <c r="I143" s="184"/>
      <c r="J143" s="184"/>
      <c r="K143" s="184"/>
      <c r="L143" s="184"/>
      <c r="M143" s="185">
        <v>163.82</v>
      </c>
      <c r="N143" s="184"/>
      <c r="O143" s="184"/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</row>
    <row customHeight="1" ht="13.5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</row>
    <row customHeight="1" ht="13.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5"/>
      <c r="N145" s="184"/>
      <c r="O145" s="184"/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</row>
    <row customHeight="1" ht="13.5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/>
      <c r="Q146" s="184"/>
      <c r="R146" s="184"/>
      <c r="S146" s="184"/>
      <c r="T146" s="184"/>
      <c r="U146" s="184"/>
      <c r="V146" s="184"/>
      <c r="W146" s="184"/>
      <c r="X146" s="184"/>
      <c r="Y146" s="184"/>
    </row>
    <row customHeight="1" ht="13.5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/>
      <c r="Q147" s="184"/>
      <c r="R147" s="184"/>
      <c r="S147" s="184"/>
      <c r="T147" s="184"/>
      <c r="U147" s="184"/>
      <c r="V147" s="184"/>
      <c r="W147" s="184"/>
      <c r="X147" s="184"/>
      <c r="Y147" s="184"/>
    </row>
    <row customHeight="1" ht="13.5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5"/>
      <c r="N148" s="184"/>
      <c r="O148" s="184"/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</row>
    <row customHeight="1" ht="13.5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5"/>
      <c r="N149" s="184"/>
      <c r="O149" s="184"/>
      <c r="P149" s="184"/>
      <c r="Q149" s="184"/>
      <c r="R149" s="184"/>
      <c r="S149" s="184"/>
      <c r="T149" s="184"/>
      <c r="U149" s="184"/>
      <c r="V149" s="184"/>
      <c r="W149" s="184"/>
      <c r="X149" s="184"/>
      <c r="Y149" s="184"/>
    </row>
    <row customHeight="1" ht="13.5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5"/>
      <c r="N150" s="184"/>
      <c r="O150" s="184"/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</row>
    <row customHeight="1" ht="13.5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</row>
    <row customHeight="1" ht="13.5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</row>
    <row customHeight="1" ht="13.5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5"/>
      <c r="N153" s="184"/>
      <c r="O153" s="184"/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</row>
    <row customHeight="1" ht="13.5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5">
        <v>18139</v>
      </c>
      <c r="N154" s="184"/>
      <c r="O154" s="184"/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</row>
    <row customHeight="1" ht="13.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5"/>
      <c r="N155" s="184"/>
      <c r="O155" s="184"/>
      <c r="P155" s="184"/>
      <c r="Q155" s="184"/>
      <c r="R155" s="184"/>
      <c r="S155" s="184"/>
      <c r="T155" s="184"/>
      <c r="U155" s="184"/>
      <c r="V155" s="184"/>
      <c r="W155" s="184"/>
      <c r="X155" s="184"/>
      <c r="Y155" s="184"/>
    </row>
    <row customHeight="1" ht="13.5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5"/>
      <c r="N156" s="184"/>
      <c r="O156" s="184"/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</row>
    <row customHeight="1" ht="13.5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</row>
    <row customHeight="1" ht="13.5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5"/>
      <c r="N158" s="184"/>
      <c r="O158" s="184"/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</row>
    <row customHeight="1" ht="13.5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/>
      <c r="Q159" s="184"/>
      <c r="R159" s="184"/>
      <c r="S159" s="184"/>
      <c r="T159" s="184"/>
      <c r="U159" s="184"/>
      <c r="V159" s="184"/>
      <c r="W159" s="184"/>
      <c r="X159" s="184"/>
      <c r="Y159" s="184"/>
    </row>
    <row customHeight="1" ht="13.5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5">
        <v>1081</v>
      </c>
      <c r="N160" s="184"/>
      <c r="O160" s="184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</row>
    <row customHeight="1" ht="13.5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5">
        <v>1081</v>
      </c>
      <c r="N161" s="184"/>
      <c r="O161" s="184"/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</row>
    <row customHeight="1" ht="13.5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5">
        <v>1081</v>
      </c>
      <c r="N162" s="184"/>
      <c r="O162" s="184"/>
      <c r="P162" s="184"/>
      <c r="Q162" s="184"/>
      <c r="R162" s="184"/>
      <c r="S162" s="184"/>
      <c r="T162" s="184"/>
      <c r="U162" s="184"/>
      <c r="V162" s="184"/>
      <c r="W162" s="184"/>
      <c r="X162" s="184"/>
      <c r="Y162" s="184"/>
    </row>
    <row customHeight="1" ht="13.5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5">
        <v>1081</v>
      </c>
      <c r="N163" s="184"/>
      <c r="O163" s="184"/>
      <c r="P163" s="184"/>
      <c r="Q163" s="184"/>
      <c r="R163" s="184"/>
      <c r="S163" s="184"/>
      <c r="T163" s="184"/>
      <c r="U163" s="184"/>
      <c r="V163" s="184"/>
      <c r="W163" s="184"/>
      <c r="X163" s="184"/>
      <c r="Y163" s="184"/>
    </row>
    <row customHeight="1" ht="13.5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5">
        <v>1081</v>
      </c>
      <c r="N164" s="184"/>
      <c r="O164" s="184"/>
      <c r="P164" s="184"/>
      <c r="Q164" s="184"/>
      <c r="R164" s="184"/>
      <c r="S164" s="184"/>
      <c r="T164" s="184"/>
      <c r="U164" s="184"/>
      <c r="V164" s="184"/>
      <c r="W164" s="184"/>
      <c r="X164" s="184"/>
      <c r="Y164" s="184"/>
    </row>
    <row customHeight="1" ht="13.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4"/>
      <c r="R165" s="184"/>
      <c r="S165" s="184"/>
      <c r="T165" s="184"/>
      <c r="U165" s="184"/>
      <c r="V165" s="184"/>
      <c r="W165" s="184"/>
      <c r="X165" s="184"/>
      <c r="Y165" s="184"/>
    </row>
    <row customHeight="1" ht="13.5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4"/>
      <c r="R166" s="184"/>
      <c r="S166" s="184"/>
      <c r="T166" s="184"/>
      <c r="U166" s="184"/>
      <c r="V166" s="184"/>
      <c r="W166" s="184"/>
      <c r="X166" s="184"/>
      <c r="Y166" s="184"/>
    </row>
    <row customHeight="1" ht="13.5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</row>
    <row customHeight="1" ht="13.5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5">
        <v>911</v>
      </c>
      <c r="N168" s="185">
        <v>305</v>
      </c>
      <c r="O168" s="185">
        <v>305</v>
      </c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</row>
    <row customHeight="1" ht="13.5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5">
        <v>0</v>
      </c>
      <c r="N169" s="185">
        <v>0</v>
      </c>
      <c r="O169" s="185">
        <v>0</v>
      </c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</row>
    <row customHeight="1" ht="13.5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5">
        <v>0</v>
      </c>
      <c r="N170" s="185">
        <v>0</v>
      </c>
      <c r="O170" s="185">
        <v>0</v>
      </c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</row>
    <row customHeight="1" ht="13.5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5">
        <v>0</v>
      </c>
      <c r="N171" s="185">
        <v>0</v>
      </c>
      <c r="O171" s="185">
        <v>0</v>
      </c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</row>
    <row customHeight="1" ht="13.5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5">
        <v>0</v>
      </c>
      <c r="N172" s="185">
        <v>0</v>
      </c>
      <c r="O172" s="185">
        <v>0</v>
      </c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</row>
    <row customHeight="1" ht="13.5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5">
        <v>0</v>
      </c>
      <c r="N173" s="185">
        <v>0</v>
      </c>
      <c r="O173" s="185">
        <v>0</v>
      </c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</row>
    <row customHeight="1" ht="13.5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5">
        <v>0</v>
      </c>
      <c r="N174" s="185">
        <v>0</v>
      </c>
      <c r="O174" s="185">
        <v>0</v>
      </c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</row>
    <row customHeight="1" ht="13.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/>
      <c r="Q175" s="184"/>
      <c r="R175" s="184"/>
      <c r="S175" s="184"/>
      <c r="T175" s="184"/>
      <c r="U175" s="184"/>
      <c r="V175" s="184"/>
      <c r="W175" s="184"/>
      <c r="X175" s="184"/>
      <c r="Y175" s="184"/>
    </row>
    <row customHeight="1" ht="13.5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5">
        <v>528</v>
      </c>
      <c r="N176" s="185">
        <v>528</v>
      </c>
      <c r="O176" s="184"/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</row>
    <row customHeight="1" ht="13.5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5">
        <v>0</v>
      </c>
      <c r="N177" s="185">
        <v>0</v>
      </c>
      <c r="O177" s="184"/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</row>
    <row customHeight="1" ht="13.5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5">
        <v>0</v>
      </c>
      <c r="N178" s="185">
        <v>0</v>
      </c>
      <c r="O178" s="184"/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</row>
    <row customHeight="1" ht="13.5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5">
        <v>0</v>
      </c>
      <c r="N179" s="185">
        <v>0</v>
      </c>
      <c r="O179" s="184"/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</row>
    <row customHeight="1" ht="13.5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5">
        <v>0</v>
      </c>
      <c r="N180" s="185">
        <v>0</v>
      </c>
      <c r="O180" s="184"/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</row>
    <row customHeight="1" ht="13.5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5">
        <v>0</v>
      </c>
      <c r="N181" s="185">
        <v>0</v>
      </c>
      <c r="O181" s="184"/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</row>
    <row customHeight="1" ht="13.5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5">
        <v>0</v>
      </c>
      <c r="N182" s="185">
        <v>0</v>
      </c>
      <c r="O182" s="184"/>
      <c r="P182" s="184"/>
      <c r="Q182" s="184"/>
      <c r="R182" s="184"/>
      <c r="S182" s="184"/>
      <c r="T182" s="184"/>
      <c r="U182" s="184"/>
      <c r="V182" s="184"/>
      <c r="W182" s="184"/>
      <c r="X182" s="184"/>
      <c r="Y182" s="184"/>
    </row>
    <row customHeight="1" ht="13.5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/>
      <c r="Q183" s="184"/>
      <c r="R183" s="184"/>
      <c r="S183" s="184"/>
      <c r="T183" s="184"/>
      <c r="U183" s="184"/>
      <c r="V183" s="184"/>
      <c r="W183" s="184"/>
      <c r="X183" s="184"/>
      <c r="Y183" s="184"/>
    </row>
    <row customHeight="1" ht="13.5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5">
        <v>4002</v>
      </c>
      <c r="N184" s="184"/>
      <c r="O184" s="184"/>
      <c r="P184" s="184"/>
      <c r="Q184" s="184"/>
      <c r="R184" s="184"/>
      <c r="S184" s="184"/>
      <c r="T184" s="184"/>
      <c r="U184" s="184"/>
      <c r="V184" s="184"/>
      <c r="W184" s="184"/>
      <c r="X184" s="184"/>
      <c r="Y184" s="184"/>
    </row>
    <row customHeight="1" ht="13.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/>
      <c r="Q185" s="184"/>
      <c r="R185" s="184"/>
      <c r="S185" s="184"/>
      <c r="T185" s="184"/>
      <c r="U185" s="184"/>
      <c r="V185" s="184"/>
      <c r="W185" s="184"/>
      <c r="X185" s="184"/>
      <c r="Y185" s="184"/>
    </row>
    <row customHeight="1" ht="13.5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5"/>
      <c r="N186" s="184"/>
      <c r="O186" s="184"/>
      <c r="P186" s="184"/>
      <c r="Q186" s="184"/>
      <c r="R186" s="184"/>
      <c r="S186" s="184"/>
      <c r="T186" s="184"/>
      <c r="U186" s="184"/>
      <c r="V186" s="184"/>
      <c r="W186" s="184"/>
      <c r="X186" s="184"/>
      <c r="Y186" s="184"/>
    </row>
    <row customHeight="1" ht="13.5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/>
      <c r="Q187" s="184"/>
      <c r="R187" s="184"/>
      <c r="S187" s="184"/>
      <c r="T187" s="184"/>
      <c r="U187" s="184"/>
      <c r="V187" s="184"/>
      <c r="W187" s="184"/>
      <c r="X187" s="184"/>
      <c r="Y187" s="184"/>
    </row>
    <row customHeight="1" ht="13.5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5"/>
      <c r="N188" s="184"/>
      <c r="O188" s="184"/>
      <c r="P188" s="184"/>
      <c r="Q188" s="184"/>
      <c r="R188" s="184"/>
      <c r="S188" s="184"/>
      <c r="T188" s="184"/>
      <c r="U188" s="184"/>
      <c r="V188" s="184"/>
      <c r="W188" s="184"/>
      <c r="X188" s="184"/>
      <c r="Y188" s="184"/>
    </row>
    <row customHeight="1" ht="13.5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/>
      <c r="Q189" s="184"/>
      <c r="R189" s="184"/>
      <c r="S189" s="184"/>
      <c r="T189" s="184"/>
      <c r="U189" s="184"/>
      <c r="V189" s="184"/>
      <c r="W189" s="184"/>
      <c r="X189" s="184"/>
      <c r="Y189" s="184"/>
    </row>
    <row customHeight="1" ht="13.5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5"/>
      <c r="N190" s="184"/>
      <c r="O190" s="184"/>
      <c r="P190" s="184"/>
      <c r="Q190" s="184"/>
      <c r="R190" s="184"/>
      <c r="S190" s="184"/>
      <c r="T190" s="184"/>
      <c r="U190" s="184"/>
      <c r="V190" s="184"/>
      <c r="W190" s="184"/>
      <c r="X190" s="184"/>
      <c r="Y190" s="184"/>
    </row>
    <row customHeight="1" ht="13.5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/>
      <c r="Q191" s="184"/>
      <c r="R191" s="184"/>
      <c r="S191" s="184"/>
      <c r="T191" s="184"/>
      <c r="U191" s="184"/>
      <c r="V191" s="184"/>
      <c r="W191" s="184"/>
      <c r="X191" s="184"/>
      <c r="Y191" s="184"/>
    </row>
    <row customHeight="1" ht="13.5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5">
        <v>0</v>
      </c>
      <c r="N192" s="184"/>
      <c r="O192" s="184"/>
      <c r="P192" s="184"/>
      <c r="Q192" s="184"/>
      <c r="R192" s="184"/>
      <c r="S192" s="184"/>
      <c r="T192" s="184"/>
      <c r="U192" s="184"/>
      <c r="V192" s="184"/>
      <c r="W192" s="184"/>
      <c r="X192" s="184"/>
      <c r="Y192" s="184"/>
    </row>
    <row customHeight="1" ht="13.5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/>
      <c r="Q193" s="184"/>
      <c r="R193" s="184"/>
      <c r="S193" s="184"/>
      <c r="T193" s="184"/>
      <c r="U193" s="184"/>
      <c r="V193" s="184"/>
      <c r="W193" s="184"/>
      <c r="X193" s="184"/>
      <c r="Y193" s="184"/>
    </row>
    <row customHeight="1" ht="13.5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5"/>
      <c r="N194" s="184"/>
      <c r="O194" s="184"/>
      <c r="P194" s="184"/>
      <c r="Q194" s="184"/>
      <c r="R194" s="184"/>
      <c r="S194" s="184"/>
      <c r="T194" s="184"/>
      <c r="U194" s="184"/>
      <c r="V194" s="184"/>
      <c r="W194" s="184"/>
      <c r="X194" s="184"/>
      <c r="Y194" s="184"/>
    </row>
    <row customHeight="1" ht="13.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/>
      <c r="Q195" s="184"/>
      <c r="R195" s="184"/>
      <c r="S195" s="184"/>
      <c r="T195" s="184"/>
      <c r="U195" s="184"/>
      <c r="V195" s="184"/>
      <c r="W195" s="184"/>
      <c r="X195" s="184"/>
      <c r="Y195" s="184"/>
    </row>
    <row customHeight="1" ht="13.5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5">
        <v>1366</v>
      </c>
      <c r="N196" s="184"/>
      <c r="O196" s="184"/>
      <c r="P196" s="184"/>
      <c r="Q196" s="184"/>
      <c r="R196" s="184"/>
      <c r="S196" s="184"/>
      <c r="T196" s="184"/>
      <c r="U196" s="184"/>
      <c r="V196" s="184"/>
      <c r="W196" s="184"/>
      <c r="X196" s="184"/>
      <c r="Y196" s="184"/>
    </row>
    <row customHeight="1" ht="13.5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/>
      <c r="Q197" s="184"/>
      <c r="R197" s="184"/>
      <c r="S197" s="184"/>
      <c r="T197" s="184"/>
      <c r="U197" s="184"/>
      <c r="V197" s="184"/>
      <c r="W197" s="184"/>
      <c r="X197" s="184"/>
      <c r="Y197" s="184"/>
    </row>
    <row customHeight="1" ht="13.5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5">
        <v>1366</v>
      </c>
      <c r="N198" s="184"/>
      <c r="O198" s="184"/>
      <c r="P198" s="184"/>
      <c r="Q198" s="184"/>
      <c r="R198" s="184"/>
      <c r="S198" s="184"/>
      <c r="T198" s="184"/>
      <c r="U198" s="184"/>
      <c r="V198" s="184"/>
      <c r="W198" s="184"/>
      <c r="X198" s="184"/>
      <c r="Y198" s="184"/>
    </row>
    <row customHeight="1" ht="13.5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/>
      <c r="Q199" s="184"/>
      <c r="R199" s="184"/>
      <c r="S199" s="184"/>
      <c r="T199" s="184"/>
      <c r="U199" s="184"/>
      <c r="V199" s="184"/>
      <c r="W199" s="184"/>
      <c r="X199" s="184"/>
      <c r="Y199" s="184"/>
    </row>
    <row customHeight="1" ht="13.5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8"/>
      <c r="N200" s="184"/>
      <c r="O200" s="184"/>
      <c r="P200" s="184"/>
      <c r="Q200" s="184"/>
      <c r="R200" s="184"/>
      <c r="S200" s="184"/>
      <c r="T200" s="184"/>
      <c r="U200" s="184"/>
      <c r="V200" s="184"/>
      <c r="W200" s="184"/>
      <c r="X200" s="184"/>
      <c r="Y200" s="184"/>
    </row>
    <row customHeight="1" ht="13.5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/>
      <c r="Q201" s="184"/>
      <c r="R201" s="184"/>
      <c r="S201" s="184"/>
      <c r="T201" s="184"/>
      <c r="U201" s="184"/>
      <c r="V201" s="184"/>
      <c r="W201" s="184"/>
      <c r="X201" s="184"/>
      <c r="Y201" s="184"/>
    </row>
    <row customHeight="1" ht="13.5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5"/>
      <c r="N202" s="184"/>
      <c r="O202" s="184"/>
      <c r="P202" s="184"/>
      <c r="Q202" s="184"/>
      <c r="R202" s="184"/>
      <c r="S202" s="184"/>
      <c r="T202" s="184"/>
      <c r="U202" s="184"/>
      <c r="V202" s="184"/>
      <c r="W202" s="184"/>
      <c r="X202" s="184"/>
      <c r="Y202" s="184"/>
    </row>
    <row customHeight="1" ht="13.5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5">
        <v>211</v>
      </c>
      <c r="N203" s="184"/>
      <c r="O203" s="184"/>
      <c r="P203" s="184"/>
      <c r="Q203" s="184"/>
      <c r="R203" s="184"/>
      <c r="S203" s="184"/>
      <c r="T203" s="184"/>
      <c r="U203" s="184"/>
      <c r="V203" s="184"/>
      <c r="W203" s="184"/>
      <c r="X203" s="184"/>
      <c r="Y203" s="184"/>
    </row>
    <row customHeight="1" ht="13.5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/>
      <c r="Q204" s="184"/>
      <c r="R204" s="184"/>
      <c r="S204" s="184"/>
      <c r="T204" s="184"/>
      <c r="U204" s="184"/>
      <c r="V204" s="184"/>
      <c r="W204" s="184"/>
      <c r="X204" s="184"/>
      <c r="Y204" s="184"/>
    </row>
    <row customHeight="1" ht="13.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5">
        <v>510</v>
      </c>
      <c r="N205" s="184"/>
      <c r="O205" s="184"/>
      <c r="P205" s="184"/>
      <c r="Q205" s="184"/>
      <c r="R205" s="184"/>
      <c r="S205" s="184"/>
      <c r="T205" s="184"/>
      <c r="U205" s="184"/>
      <c r="V205" s="184"/>
      <c r="W205" s="184"/>
      <c r="X205" s="184"/>
      <c r="Y205" s="184"/>
    </row>
    <row customHeight="1" ht="13.5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5">
        <v>1055</v>
      </c>
      <c r="N206" s="184"/>
      <c r="O206" s="184"/>
      <c r="P206" s="184"/>
      <c r="Q206" s="184"/>
      <c r="R206" s="184"/>
      <c r="S206" s="184"/>
      <c r="T206" s="184"/>
      <c r="U206" s="184"/>
      <c r="V206" s="184"/>
      <c r="W206" s="184"/>
      <c r="X206" s="184"/>
      <c r="Y206" s="184"/>
    </row>
    <row customHeight="1" ht="13.5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5">
        <v>845</v>
      </c>
      <c r="N207" s="184"/>
      <c r="O207" s="184"/>
      <c r="P207" s="184"/>
      <c r="Q207" s="184"/>
      <c r="R207" s="184"/>
      <c r="S207" s="184"/>
      <c r="T207" s="184"/>
      <c r="U207" s="184"/>
      <c r="V207" s="184"/>
      <c r="W207" s="184"/>
      <c r="X207" s="184"/>
      <c r="Y207" s="184"/>
    </row>
    <row customHeight="1" ht="13.5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/>
      <c r="Q208" s="184"/>
      <c r="R208" s="184"/>
      <c r="S208" s="184"/>
      <c r="T208" s="184"/>
      <c r="U208" s="184"/>
      <c r="V208" s="184"/>
      <c r="W208" s="184"/>
      <c r="X208" s="184"/>
      <c r="Y208" s="184"/>
    </row>
    <row customHeight="1" ht="13.5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5">
        <v>875</v>
      </c>
      <c r="N209" s="184"/>
      <c r="O209" s="184"/>
      <c r="P209" s="184"/>
      <c r="Q209" s="184"/>
      <c r="R209" s="184"/>
      <c r="S209" s="184"/>
      <c r="T209" s="184"/>
      <c r="U209" s="184"/>
      <c r="V209" s="184"/>
      <c r="W209" s="184"/>
      <c r="X209" s="184"/>
      <c r="Y209" s="184"/>
    </row>
    <row customHeight="1" ht="13.5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5">
        <v>442</v>
      </c>
      <c r="N210" s="184"/>
      <c r="O210" s="184"/>
      <c r="P210" s="184"/>
      <c r="Q210" s="184"/>
      <c r="R210" s="184"/>
      <c r="S210" s="184"/>
      <c r="T210" s="184"/>
      <c r="U210" s="184"/>
      <c r="V210" s="184"/>
      <c r="W210" s="184"/>
      <c r="X210" s="184"/>
      <c r="Y210" s="184"/>
    </row>
    <row customHeight="1" ht="13.5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5">
        <v>1833</v>
      </c>
      <c r="N211" s="184"/>
      <c r="O211" s="184"/>
      <c r="P211" s="184"/>
      <c r="Q211" s="184"/>
      <c r="R211" s="184"/>
      <c r="S211" s="184"/>
      <c r="T211" s="184"/>
      <c r="U211" s="184"/>
      <c r="V211" s="184"/>
      <c r="W211" s="184"/>
      <c r="X211" s="184"/>
      <c r="Y211" s="184"/>
    </row>
    <row customHeight="1" ht="13.5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5"/>
      <c r="N212" s="184"/>
      <c r="O212" s="184"/>
      <c r="P212" s="184"/>
      <c r="Q212" s="184"/>
      <c r="R212" s="184"/>
      <c r="S212" s="184"/>
      <c r="T212" s="184"/>
      <c r="U212" s="184"/>
      <c r="V212" s="184"/>
      <c r="W212" s="184"/>
      <c r="X212" s="184"/>
      <c r="Y212" s="184"/>
    </row>
    <row customHeight="1" ht="13.5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5">
        <v>2809</v>
      </c>
      <c r="N213" s="184"/>
      <c r="O213" s="184"/>
      <c r="P213" s="184"/>
      <c r="Q213" s="184"/>
      <c r="R213" s="184"/>
      <c r="S213" s="184"/>
      <c r="T213" s="184"/>
      <c r="U213" s="184"/>
      <c r="V213" s="184"/>
      <c r="W213" s="184"/>
      <c r="X213" s="184"/>
      <c r="Y213" s="184"/>
    </row>
    <row customHeight="1" ht="13.5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5">
        <v>10</v>
      </c>
      <c r="N214" s="184"/>
      <c r="O214" s="184"/>
      <c r="P214" s="184"/>
      <c r="Q214" s="184"/>
      <c r="R214" s="184"/>
      <c r="S214" s="184"/>
      <c r="T214" s="184"/>
      <c r="U214" s="184"/>
      <c r="V214" s="184"/>
      <c r="W214" s="184"/>
      <c r="X214" s="184"/>
      <c r="Y214" s="184"/>
    </row>
    <row customHeight="1" ht="13.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5">
        <v>48</v>
      </c>
      <c r="N215" s="184"/>
      <c r="O215" s="184"/>
      <c r="P215" s="184"/>
      <c r="Q215" s="184"/>
      <c r="R215" s="184"/>
      <c r="S215" s="184"/>
      <c r="T215" s="184"/>
      <c r="U215" s="184"/>
      <c r="V215" s="184"/>
      <c r="W215" s="184"/>
      <c r="X215" s="184"/>
      <c r="Y215" s="184"/>
    </row>
    <row customHeight="1" ht="13.5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/>
      <c r="Q216" s="184"/>
      <c r="R216" s="184"/>
      <c r="S216" s="184"/>
      <c r="T216" s="184"/>
      <c r="U216" s="184"/>
      <c r="V216" s="184"/>
      <c r="W216" s="184"/>
      <c r="X216" s="184"/>
      <c r="Y216" s="184"/>
    </row>
    <row customHeight="1" ht="13.5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5">
        <v>78</v>
      </c>
      <c r="N217" s="184"/>
      <c r="O217" s="184"/>
      <c r="P217" s="184"/>
      <c r="Q217" s="184"/>
      <c r="R217" s="184"/>
      <c r="S217" s="184"/>
      <c r="T217" s="184"/>
      <c r="U217" s="184"/>
      <c r="V217" s="184"/>
      <c r="W217" s="184"/>
      <c r="X217" s="184"/>
      <c r="Y217" s="184"/>
    </row>
    <row customHeight="1" ht="13.5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/>
      <c r="Q218" s="184"/>
      <c r="R218" s="184"/>
      <c r="S218" s="184"/>
      <c r="T218" s="184"/>
      <c r="U218" s="184"/>
      <c r="V218" s="184"/>
      <c r="W218" s="184"/>
      <c r="X218" s="184"/>
      <c r="Y218" s="184"/>
    </row>
    <row customHeight="1" ht="13.5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/>
      <c r="Q219" s="184"/>
      <c r="R219" s="184"/>
      <c r="S219" s="184"/>
      <c r="T219" s="184"/>
      <c r="U219" s="184"/>
      <c r="V219" s="184"/>
      <c r="W219" s="184"/>
      <c r="X219" s="184"/>
      <c r="Y219" s="184"/>
    </row>
    <row customHeight="1" ht="13.5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5">
        <v>2809</v>
      </c>
      <c r="N220" s="185">
        <v>10</v>
      </c>
      <c r="O220" s="185">
        <v>48</v>
      </c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</row>
    <row customHeight="1" ht="13.5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</row>
    <row customHeight="1" ht="13.5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5"/>
      <c r="N222" s="184"/>
      <c r="O222" s="184"/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</row>
    <row customHeight="1" ht="13.5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</row>
    <row customHeight="1" ht="13.5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5"/>
      <c r="N224" s="184"/>
      <c r="O224" s="184"/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</row>
    <row customHeight="1" ht="13.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5">
        <v>1156</v>
      </c>
      <c r="N225" s="184"/>
      <c r="O225" s="184"/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</row>
    <row customHeight="1" ht="13.5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5"/>
      <c r="N226" s="184"/>
      <c r="O226" s="184"/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</row>
    <row customHeight="1" ht="13.5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  <c r="R227" s="184"/>
      <c r="S227" s="184"/>
      <c r="T227" s="184"/>
      <c r="U227" s="184"/>
      <c r="V227" s="184"/>
      <c r="W227" s="184"/>
      <c r="X227" s="184"/>
      <c r="Y227" s="184"/>
    </row>
    <row customHeight="1" ht="13.5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5">
        <v>1632</v>
      </c>
      <c r="N228" s="184"/>
      <c r="O228" s="184"/>
      <c r="P228" s="184"/>
      <c r="Q228" s="184"/>
      <c r="R228" s="184"/>
      <c r="S228" s="184"/>
      <c r="T228" s="184"/>
      <c r="U228" s="184"/>
      <c r="V228" s="184"/>
      <c r="W228" s="184"/>
      <c r="X228" s="184"/>
      <c r="Y228" s="184"/>
    </row>
    <row customHeight="1" ht="13.5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</row>
    <row customHeight="1" ht="13.5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8"/>
      <c r="N230" s="184"/>
      <c r="O230" s="184"/>
      <c r="P230" s="184"/>
      <c r="Q230" s="184"/>
      <c r="R230" s="184"/>
      <c r="S230" s="184"/>
      <c r="T230" s="184"/>
      <c r="U230" s="184"/>
      <c r="V230" s="184"/>
      <c r="W230" s="184"/>
      <c r="X230" s="184"/>
      <c r="Y230" s="184"/>
    </row>
    <row customHeight="1" ht="13.5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8"/>
      <c r="N231" s="184"/>
      <c r="O231" s="184"/>
      <c r="P231" s="184"/>
      <c r="Q231" s="184"/>
      <c r="R231" s="184"/>
      <c r="S231" s="184"/>
      <c r="T231" s="184"/>
      <c r="U231" s="184"/>
      <c r="V231" s="184"/>
      <c r="W231" s="184"/>
      <c r="X231" s="184"/>
      <c r="Y231" s="184"/>
    </row>
    <row customHeight="1" ht="13.5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  <c r="R232" s="184"/>
      <c r="S232" s="184"/>
      <c r="T232" s="184"/>
      <c r="U232" s="184"/>
      <c r="V232" s="184"/>
      <c r="W232" s="184"/>
      <c r="X232" s="184"/>
      <c r="Y232" s="184"/>
    </row>
    <row customHeight="1" ht="13.5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5">
        <v>2052</v>
      </c>
      <c r="N233" s="184"/>
      <c r="O233" s="184"/>
      <c r="P233" s="184"/>
      <c r="Q233" s="184"/>
      <c r="R233" s="184"/>
      <c r="S233" s="184"/>
      <c r="T233" s="184"/>
      <c r="U233" s="184"/>
      <c r="V233" s="184"/>
      <c r="W233" s="184"/>
      <c r="X233" s="184"/>
      <c r="Y233" s="184"/>
    </row>
    <row customHeight="1" ht="13.5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5"/>
      <c r="N234" s="184"/>
      <c r="O234" s="184"/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</row>
    <row customHeight="1" ht="13.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</row>
    <row customHeight="1" ht="13.5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</row>
    <row customHeight="1" ht="13.5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/>
      <c r="Q237" s="184"/>
      <c r="R237" s="184"/>
      <c r="S237" s="184"/>
      <c r="T237" s="184"/>
      <c r="U237" s="184"/>
      <c r="V237" s="184"/>
      <c r="W237" s="184"/>
      <c r="X237" s="184"/>
      <c r="Y237" s="184"/>
    </row>
    <row customHeight="1" ht="13.5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/>
      <c r="Q238" s="184"/>
      <c r="R238" s="184"/>
      <c r="S238" s="184"/>
      <c r="T238" s="184"/>
      <c r="U238" s="184"/>
      <c r="V238" s="184"/>
      <c r="W238" s="184"/>
      <c r="X238" s="184"/>
      <c r="Y238" s="184"/>
    </row>
    <row customHeight="1" ht="13.5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5">
        <v>75.06</v>
      </c>
      <c r="N239" s="184"/>
      <c r="O239" s="184"/>
      <c r="P239" s="184"/>
      <c r="Q239" s="184"/>
      <c r="R239" s="184"/>
      <c r="S239" s="184"/>
      <c r="T239" s="184"/>
      <c r="U239" s="184"/>
      <c r="V239" s="184"/>
      <c r="W239" s="184"/>
      <c r="X239" s="184"/>
      <c r="Y239" s="184"/>
    </row>
    <row customHeight="1" ht="13.5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5"/>
      <c r="N240" s="184"/>
      <c r="O240" s="184"/>
      <c r="P240" s="184"/>
      <c r="Q240" s="184"/>
      <c r="R240" s="184"/>
      <c r="S240" s="184"/>
      <c r="T240" s="184"/>
      <c r="U240" s="184"/>
      <c r="V240" s="184"/>
      <c r="W240" s="184"/>
      <c r="X240" s="184"/>
      <c r="Y240" s="184"/>
    </row>
    <row customHeight="1" ht="13.5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5">
        <v>62.82</v>
      </c>
      <c r="N241" s="184"/>
      <c r="O241" s="184"/>
      <c r="P241" s="184"/>
      <c r="Q241" s="184"/>
      <c r="R241" s="184"/>
      <c r="S241" s="184"/>
      <c r="T241" s="184"/>
      <c r="U241" s="184"/>
      <c r="V241" s="184"/>
      <c r="W241" s="184"/>
      <c r="X241" s="184"/>
      <c r="Y241" s="184"/>
    </row>
    <row customHeight="1" ht="13.5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5">
        <v>65.42</v>
      </c>
      <c r="N242" s="184"/>
      <c r="O242" s="184"/>
      <c r="P242" s="184"/>
      <c r="Q242" s="184"/>
      <c r="R242" s="184"/>
      <c r="S242" s="184"/>
      <c r="T242" s="184"/>
      <c r="U242" s="184"/>
      <c r="V242" s="184"/>
      <c r="W242" s="184"/>
      <c r="X242" s="184"/>
      <c r="Y242" s="184"/>
    </row>
    <row customHeight="1" ht="13.5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/>
      <c r="Q243" s="184"/>
      <c r="R243" s="184"/>
      <c r="S243" s="184"/>
      <c r="T243" s="184"/>
      <c r="U243" s="184"/>
      <c r="V243" s="184"/>
      <c r="W243" s="184"/>
      <c r="X243" s="184"/>
      <c r="Y243" s="184"/>
    </row>
    <row customHeight="1" ht="13.5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 t="s">
        <v>63</v>
      </c>
      <c r="M244" s="185"/>
      <c r="N244" s="184"/>
      <c r="O244" s="184"/>
      <c r="P244" s="184"/>
      <c r="Q244" s="184"/>
      <c r="R244" s="184"/>
      <c r="S244" s="184"/>
      <c r="T244" s="184"/>
      <c r="U244" s="184"/>
      <c r="V244" s="184"/>
      <c r="W244" s="184"/>
      <c r="X244" s="184"/>
      <c r="Y244" s="184"/>
    </row>
    <row customHeight="1" ht="13.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90" t="s">
        <v>116</v>
      </c>
      <c r="M245" s="184">
        <f>_xlfn.IFERROR(ROUND(N245,0),0)</f>
        <v>1699</v>
      </c>
      <c r="N245" s="185">
        <v>1699.26</v>
      </c>
      <c r="O245" s="184"/>
      <c r="P245" s="184"/>
      <c r="Q245" s="184"/>
      <c r="R245" s="184"/>
      <c r="S245" s="184"/>
      <c r="T245" s="184"/>
      <c r="U245" s="184"/>
      <c r="V245" s="184"/>
      <c r="W245" s="184"/>
      <c r="X245" s="184"/>
      <c r="Y245" s="184"/>
    </row>
    <row customHeight="1" ht="13.5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90" t="s">
        <v>118</v>
      </c>
      <c r="M246" s="184">
        <f>_xlfn.IFERROR(ROUND(N246,0),0)</f>
        <v>6348</v>
      </c>
      <c r="N246" s="185">
        <v>6347.84</v>
      </c>
      <c r="O246" s="185"/>
      <c r="P246" s="184"/>
      <c r="Q246" s="184"/>
      <c r="R246" s="184"/>
      <c r="S246" s="184"/>
      <c r="T246" s="184"/>
      <c r="U246" s="184"/>
      <c r="V246" s="184"/>
      <c r="W246" s="184"/>
      <c r="X246" s="184"/>
      <c r="Y246" s="184"/>
    </row>
    <row customHeight="1" ht="13.5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90" t="s">
        <v>91</v>
      </c>
      <c r="M247" s="184">
        <f>_xlfn.IFERROR(ROUND(N247,0),0)</f>
        <v>4528</v>
      </c>
      <c r="N247" s="185">
        <v>4528</v>
      </c>
      <c r="O247" s="184"/>
      <c r="P247" s="184"/>
      <c r="Q247" s="184"/>
      <c r="R247" s="184"/>
      <c r="S247" s="184"/>
      <c r="T247" s="184"/>
      <c r="U247" s="184"/>
      <c r="V247" s="184"/>
      <c r="W247" s="184"/>
      <c r="X247" s="184"/>
      <c r="Y247" s="184"/>
    </row>
    <row customHeight="1" ht="13.5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 t="s">
        <v>80</v>
      </c>
      <c r="M248" s="184">
        <f>_xlfn.IFERROR(ROUND(N248,0),0)</f>
        <v>11849</v>
      </c>
      <c r="N248" s="185">
        <v>11848.61</v>
      </c>
      <c r="O248" s="185"/>
      <c r="P248" s="184"/>
      <c r="Q248" s="184"/>
      <c r="R248" s="184"/>
      <c r="S248" s="184"/>
      <c r="T248" s="184"/>
      <c r="U248" s="184"/>
      <c r="V248" s="184"/>
      <c r="W248" s="184"/>
      <c r="X248" s="184"/>
      <c r="Y248" s="184"/>
    </row>
    <row customHeight="1" ht="13.5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 t="s">
        <v>84</v>
      </c>
      <c r="M249" s="184">
        <f>_xlfn.IFERROR(ROUND(N249,0),0)</f>
        <v>4984</v>
      </c>
      <c r="N249" s="185">
        <v>4983.96</v>
      </c>
      <c r="O249" s="185"/>
      <c r="P249" s="184"/>
      <c r="Q249" s="184"/>
      <c r="R249" s="184"/>
      <c r="S249" s="184"/>
      <c r="T249" s="184"/>
      <c r="U249" s="184"/>
      <c r="V249" s="184"/>
      <c r="W249" s="184"/>
      <c r="X249" s="184"/>
      <c r="Y249" s="184"/>
    </row>
    <row customHeight="1" ht="13.5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 t="s">
        <v>90</v>
      </c>
      <c r="M250" s="184"/>
      <c r="N250" s="184"/>
      <c r="O250" s="184"/>
      <c r="P250" s="184"/>
      <c r="Q250" s="184"/>
      <c r="R250" s="184"/>
      <c r="S250" s="184"/>
      <c r="T250" s="184"/>
      <c r="U250" s="184"/>
      <c r="V250" s="184"/>
      <c r="W250" s="184"/>
      <c r="X250" s="184"/>
      <c r="Y250" s="184"/>
    </row>
    <row customHeight="1" ht="13.5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 t="s">
        <v>95</v>
      </c>
      <c r="M251" s="184">
        <f>_xlfn.IFERROR(ROUND(N251,0),0)</f>
        <v>733</v>
      </c>
      <c r="N251" s="185">
        <v>733</v>
      </c>
      <c r="O251" s="184"/>
      <c r="P251" s="184"/>
      <c r="Q251" s="184"/>
      <c r="R251" s="184"/>
      <c r="S251" s="184"/>
      <c r="T251" s="184"/>
      <c r="U251" s="184"/>
      <c r="V251" s="184"/>
      <c r="W251" s="184"/>
      <c r="X251" s="184"/>
      <c r="Y251" s="184"/>
    </row>
    <row customHeight="1" ht="13.5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 t="s">
        <v>101</v>
      </c>
      <c r="M252" s="184">
        <f>_xlfn.IFERROR(ROUND(N252,0),0)</f>
        <v>198</v>
      </c>
      <c r="N252" s="185">
        <v>198</v>
      </c>
      <c r="O252" s="184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</row>
    <row customHeight="1" ht="13.5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 t="s">
        <v>49</v>
      </c>
      <c r="M253" s="184">
        <f>_xlfn.IFERROR(ROUND(N253,0),0)</f>
        <v>957</v>
      </c>
      <c r="N253" s="185">
        <v>957.03</v>
      </c>
      <c r="O253" s="185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</row>
    <row customHeight="1" ht="13.5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 t="s">
        <v>38</v>
      </c>
      <c r="M254" s="184">
        <f>_xlfn.IFERROR(ROUND(N254,0),0)</f>
        <v>777</v>
      </c>
      <c r="N254" s="185">
        <v>777.19942</v>
      </c>
      <c r="O254" s="185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</row>
    <row customHeight="1" ht="13.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 t="s">
        <v>46</v>
      </c>
      <c r="M255" s="184">
        <f>_xlfn.IFERROR(ROUND(N255,0),0)</f>
        <v>1898</v>
      </c>
      <c r="N255" s="185">
        <v>1897.82</v>
      </c>
      <c r="O255" s="185"/>
      <c r="P255" s="185"/>
      <c r="Q255" s="185"/>
      <c r="R255" s="185"/>
      <c r="S255" s="185"/>
      <c r="T255" s="184"/>
      <c r="U255" s="184"/>
      <c r="V255" s="184"/>
      <c r="W255" s="184"/>
      <c r="X255" s="184"/>
      <c r="Y255" s="184"/>
    </row>
    <row customHeight="1" ht="13.5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 t="s">
        <v>52</v>
      </c>
      <c r="M256" s="184">
        <f>_xlfn.IFERROR(ROUND(N256,0),0)</f>
        <v>1982</v>
      </c>
      <c r="N256" s="185">
        <v>1981.5</v>
      </c>
      <c r="O256" s="185"/>
      <c r="P256" s="185"/>
      <c r="Q256" s="185"/>
      <c r="R256" s="184"/>
      <c r="S256" s="184"/>
      <c r="T256" s="184"/>
      <c r="U256" s="184"/>
      <c r="V256" s="184"/>
      <c r="W256" s="184"/>
      <c r="X256" s="184"/>
      <c r="Y256" s="184"/>
    </row>
    <row customHeight="1" ht="13.5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 t="s">
        <v>113</v>
      </c>
      <c r="M257" s="184">
        <f>_xlfn.IFERROR(ROUND(N257,0),0)</f>
        <v>504</v>
      </c>
      <c r="N257" s="185">
        <v>504</v>
      </c>
      <c r="O257" s="184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</row>
    <row customHeight="1" ht="13.5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 t="s">
        <v>26</v>
      </c>
      <c r="M258" s="184">
        <f>_xlfn.IFERROR(ROUND(N258,0),0)</f>
        <v>1627</v>
      </c>
      <c r="N258" s="185">
        <v>1627</v>
      </c>
      <c r="O258" s="184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</row>
    <row customHeight="1" ht="13.5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 t="s">
        <v>58</v>
      </c>
      <c r="M259" s="184"/>
      <c r="N259" s="184"/>
      <c r="O259" s="184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</row>
    <row customHeight="1" ht="13.5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 t="s">
        <v>102</v>
      </c>
      <c r="M260" s="184">
        <f>_xlfn.IFERROR(ROUND(N260,0),0)</f>
        <v>292</v>
      </c>
      <c r="N260" s="185">
        <v>292</v>
      </c>
      <c r="O260" s="184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</row>
    <row customHeight="1" ht="13.5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 t="s">
        <v>89</v>
      </c>
      <c r="M261" s="184">
        <f>_xlfn.IFERROR(ROUND(N261,0),0)</f>
        <v>5081</v>
      </c>
      <c r="N261" s="185">
        <v>5081</v>
      </c>
      <c r="O261" s="185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</row>
    <row customHeight="1" ht="13.5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 t="s">
        <v>27</v>
      </c>
      <c r="M262" s="184"/>
      <c r="N262" s="184"/>
      <c r="O262" s="184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</row>
    <row customHeight="1" ht="13.5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</row>
    <row customHeight="1" ht="13.5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 t="s">
        <v>82</v>
      </c>
      <c r="M264" s="184">
        <f>_xlfn.IFERROR(ROUND(N264,0),0)</f>
        <v>27750</v>
      </c>
      <c r="N264" s="185">
        <v>27749.8</v>
      </c>
      <c r="O264" s="185"/>
      <c r="P264" s="185"/>
      <c r="Q264" s="185"/>
      <c r="R264" s="185"/>
      <c r="S264" s="185"/>
      <c r="T264" s="185"/>
      <c r="U264" s="184"/>
      <c r="V264" s="184"/>
      <c r="W264" s="184"/>
      <c r="X264" s="184"/>
      <c r="Y264" s="184"/>
    </row>
    <row customHeight="1" ht="13.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 t="s">
        <v>86</v>
      </c>
      <c r="M265" s="184">
        <f>_xlfn.IFERROR(ROUND(N265,0),0)</f>
        <v>24353</v>
      </c>
      <c r="N265" s="185">
        <v>24353.35</v>
      </c>
      <c r="O265" s="185"/>
      <c r="P265" s="185"/>
      <c r="Q265" s="185"/>
      <c r="R265" s="185"/>
      <c r="S265" s="185"/>
      <c r="T265" s="184"/>
      <c r="U265" s="184"/>
      <c r="V265" s="184"/>
      <c r="W265" s="184"/>
      <c r="X265" s="184"/>
      <c r="Y265" s="184"/>
    </row>
    <row customHeight="1" ht="13.5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 t="s">
        <v>92</v>
      </c>
      <c r="M266" s="184">
        <f>_xlfn.IFERROR(ROUND(N266,0),0)</f>
        <v>52469</v>
      </c>
      <c r="N266" s="185">
        <v>52469.24</v>
      </c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</row>
    <row customHeight="1" ht="13.5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</row>
    <row customHeight="1" ht="13.5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 t="s">
        <v>103</v>
      </c>
      <c r="M268" s="184">
        <f>_xlfn.IFERROR(ROUND(N268,0),0)</f>
        <v>1343</v>
      </c>
      <c r="N268" s="185">
        <v>1343</v>
      </c>
      <c r="O268" s="184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</row>
    <row customHeight="1" ht="13.5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 t="s">
        <v>48</v>
      </c>
      <c r="M269" s="184">
        <f>_xlfn.IFERROR(ROUND(N269,0),0)</f>
        <v>206</v>
      </c>
      <c r="N269" s="185">
        <v>206</v>
      </c>
      <c r="O269" s="184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</row>
    <row customHeight="1" ht="13.5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</row>
    <row customHeight="1" ht="13.5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</row>
    <row customHeight="1" ht="13.5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</row>
    <row customHeight="1" ht="13.5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 t="s">
        <v>47</v>
      </c>
      <c r="M273" s="184">
        <f>_xlfn.IFERROR(ROUND(N273,0),0)</f>
        <v>2131</v>
      </c>
      <c r="N273" s="185">
        <v>2131.18</v>
      </c>
      <c r="O273" s="185"/>
      <c r="P273" s="185"/>
      <c r="Q273" s="185"/>
      <c r="R273" s="184"/>
      <c r="S273" s="184"/>
      <c r="T273" s="184"/>
      <c r="U273" s="184"/>
      <c r="V273" s="184"/>
      <c r="W273" s="184"/>
      <c r="X273" s="184"/>
      <c r="Y273" s="184"/>
    </row>
    <row customHeight="1" ht="13.5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 t="s">
        <v>50</v>
      </c>
      <c r="M274" s="184">
        <f>_xlfn.IFERROR(ROUND(N274,0),0)</f>
        <v>792</v>
      </c>
      <c r="N274" s="185">
        <v>792.2536</v>
      </c>
      <c r="O274" s="185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</row>
    <row customHeight="1" ht="13.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 t="s">
        <v>45</v>
      </c>
      <c r="M275" s="184">
        <f>_xlfn.IFERROR(ROUND(N275,0),0)</f>
        <v>651</v>
      </c>
      <c r="N275" s="185">
        <v>651</v>
      </c>
      <c r="O275" s="184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</row>
    <row customHeight="1" ht="13.5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5"/>
      <c r="O276" s="184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</row>
    <row customHeight="1" ht="13.5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 t="s">
        <v>26</v>
      </c>
      <c r="M277" s="184">
        <f>_xlfn.IFERROR(ROUND(N277,0),0)</f>
        <v>1627</v>
      </c>
      <c r="N277" s="185">
        <v>1627</v>
      </c>
      <c r="O277" s="184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</row>
    <row customHeight="1" ht="13.5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 t="s">
        <v>121</v>
      </c>
      <c r="M278" s="184">
        <f>_xlfn.IFERROR(ROUND(N278,0),0)</f>
        <v>38178</v>
      </c>
      <c r="N278" s="185">
        <v>38177.6</v>
      </c>
      <c r="O278" s="185"/>
      <c r="P278" s="185"/>
      <c r="Q278" s="184"/>
      <c r="R278" s="184"/>
      <c r="S278" s="184"/>
      <c r="T278" s="184"/>
      <c r="U278" s="184"/>
      <c r="V278" s="184"/>
      <c r="W278" s="184"/>
      <c r="X278" s="184"/>
      <c r="Y278" s="184"/>
    </row>
    <row customHeight="1" ht="13.5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5"/>
      <c r="O279" s="184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</row>
    <row customHeight="1" ht="13.5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90" t="s">
        <v>109</v>
      </c>
      <c r="M280" s="184">
        <f>_xlfn.IFERROR(ROUND(N280,0),0)</f>
        <v>99188</v>
      </c>
      <c r="N280" s="185">
        <v>99188</v>
      </c>
      <c r="O280" s="184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</row>
    <row customHeight="1" ht="13.5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 t="s">
        <v>104</v>
      </c>
      <c r="M281" s="184">
        <f>_xlfn.IFERROR(ROUND(N281,0),0)</f>
        <v>171599</v>
      </c>
      <c r="N281" s="185">
        <v>171599</v>
      </c>
      <c r="O281" s="184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</row>
    <row customHeight="1" ht="13.5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5"/>
      <c r="N282" s="184"/>
      <c r="O282" s="184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延安炼油厂生产调度台帐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微软中国</dc:creator>
  <cp:lastModifiedBy>dhc</cp:lastModifiedBy>
  <dcterms:created xsi:type="dcterms:W3CDTF">2020-12-04T02:01:00Z</dcterms:created>
  <cp:lastPrinted>2022-06-01T09:04:00Z</cp:lastPrinted>
  <dcterms:modified xsi:type="dcterms:W3CDTF">2023-08-07T01:24:26Z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{616F4AE9-A8C8-4F74-AB1C-8D0F4A644F32}</vt:lpwstr>
  </property>
  <property fmtid="{D5CDD505-2E9C-101B-9397-08002B2CF9AE}" pid="3" name="ICV">
    <vt:lpwstr>12EB8657888C4F0E8BB47BA5150C46B3_12</vt:lpwstr>
  </property>
  <property fmtid="{D5CDD505-2E9C-101B-9397-08002B2CF9AE}" pid="4" name="KSOProductBuildVer">
    <vt:lpwstr>2052-11.1.0.14309</vt:lpwstr>
  </property>
</Properties>
</file>