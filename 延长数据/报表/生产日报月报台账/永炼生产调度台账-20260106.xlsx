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调度台账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6" authorId="0">
      <text>
        <r>
          <rPr>
            <sz val="9"/>
            <color indexed="81"/>
            <rFont val="宋体"/>
            <family val="2"/>
          </rPr>
          <t xml:space="preserve">#Input("永炼_调度_210万吨∕年常压_原油",":key{{dw}}")
</t>
        </r>
      </text>
    </comment>
    <comment ref="E6" authorId="0">
      <text>
        <r>
          <rPr>
            <sz val="9"/>
            <color indexed="81"/>
            <rFont val="宋体"/>
            <family val="2"/>
          </rPr>
          <t xml:space="preserve">#Input("永炼_调度_250万吨∕年常压_原油",":key{{dw}}")
</t>
        </r>
      </text>
    </comment>
    <comment ref="J6" authorId="0">
      <text>
        <r>
          <rPr>
            <sz val="9"/>
            <color indexed="81"/>
            <rFont val="宋体"/>
            <family val="2"/>
          </rPr>
          <t xml:space="preserve">#Input("永炼_调度_50万吨/年催化_原料油",":key{{dw}}")
</t>
        </r>
      </text>
    </comment>
    <comment ref="M6" authorId="0">
      <text>
        <r>
          <rPr>
            <sz val="9"/>
            <color indexed="81"/>
            <rFont val="宋体"/>
            <family val="2"/>
          </rPr>
          <t xml:space="preserve">#Input("永炼_调度_120万吨/年催化_原料油",":key{{dw}}")
</t>
        </r>
      </text>
    </comment>
    <comment ref="C7" authorId="0">
      <text>
        <r>
          <rPr>
            <sz val="9"/>
            <color indexed="81"/>
            <rFont val="宋体"/>
            <family val="2"/>
          </rPr>
          <t xml:space="preserve">#Input("永炼_调度_210万吨∕年常压_石脑油",":key{{dw}}")
</t>
        </r>
      </text>
    </comment>
    <comment ref="E7" authorId="0">
      <text>
        <r>
          <rPr>
            <sz val="9"/>
            <color indexed="81"/>
            <rFont val="宋体"/>
            <family val="2"/>
          </rPr>
          <t xml:space="preserve">#Input("永炼_调度_250万吨∕年常压_石脑油",":key{{dw}}")
</t>
        </r>
      </text>
    </comment>
    <comment ref="J7" authorId="0">
      <text>
        <r>
          <rPr>
            <sz val="9"/>
            <color indexed="81"/>
            <rFont val="宋体"/>
            <family val="2"/>
          </rPr>
          <t xml:space="preserve">#Input("永炼_调度_50万吨/年催化_1#渣油",":key{{dw}}")
</t>
        </r>
      </text>
    </comment>
    <comment ref="M7" authorId="0">
      <text>
        <r>
          <rPr>
            <sz val="9"/>
            <color indexed="81"/>
            <rFont val="宋体"/>
            <family val="2"/>
          </rPr>
          <t xml:space="preserve">#Input("永炼_调度_120万吨/年催化_1#渣油",":key{{dw}}")
</t>
        </r>
      </text>
    </comment>
    <comment ref="C8" authorId="0">
      <text>
        <r>
          <rPr>
            <sz val="9"/>
            <color indexed="81"/>
            <rFont val="宋体"/>
            <family val="2"/>
          </rPr>
          <t xml:space="preserve">#Input("永炼_调度_210万吨∕年常压_柴油",":key{{dw}}")
</t>
        </r>
      </text>
    </comment>
    <comment ref="E8" authorId="0">
      <text>
        <r>
          <rPr>
            <sz val="9"/>
            <color indexed="81"/>
            <rFont val="宋体"/>
            <family val="2"/>
          </rPr>
          <t xml:space="preserve">#Input("永炼_调度_250万吨∕年常压_柴油",":key{{dw}}")
</t>
        </r>
      </text>
    </comment>
    <comment ref="J8" authorId="0">
      <text>
        <r>
          <rPr>
            <sz val="9"/>
            <color indexed="81"/>
            <rFont val="宋体"/>
            <family val="2"/>
          </rPr>
          <t xml:space="preserve">#Input("永炼_调度_50万吨/年催化_汽油",":key{{dw}}")
</t>
        </r>
      </text>
    </comment>
    <comment ref="M8" authorId="0">
      <text>
        <r>
          <rPr>
            <sz val="9"/>
            <color indexed="81"/>
            <rFont val="宋体"/>
            <family val="2"/>
          </rPr>
          <t xml:space="preserve">#Input("永炼_调度_120万吨/年催化_汽油",":key{{dw}}")
</t>
        </r>
      </text>
    </comment>
    <comment ref="C9" authorId="0">
      <text>
        <r>
          <rPr>
            <sz val="9"/>
            <color indexed="81"/>
            <rFont val="宋体"/>
            <family val="2"/>
          </rPr>
          <t xml:space="preserve">#Input("永炼_调度_210万吨∕年常压_三线油",":key{{dw}}")
</t>
        </r>
      </text>
    </comment>
    <comment ref="E9" authorId="0">
      <text>
        <r>
          <rPr>
            <sz val="9"/>
            <color indexed="81"/>
            <rFont val="宋体"/>
            <family val="2"/>
          </rPr>
          <t xml:space="preserve">#Input("永炼_调度_250万吨∕年常压_三线油",":key{{dw}}")
</t>
        </r>
      </text>
    </comment>
    <comment ref="J9" authorId="0">
      <text>
        <r>
          <rPr>
            <sz val="9"/>
            <color indexed="81"/>
            <rFont val="宋体"/>
            <family val="2"/>
          </rPr>
          <t xml:space="preserve">#Input("永炼_调度_50万吨/年催化_柴油",":key{{dw}}")
</t>
        </r>
      </text>
    </comment>
    <comment ref="M9" authorId="0">
      <text>
        <r>
          <rPr>
            <sz val="9"/>
            <color indexed="81"/>
            <rFont val="宋体"/>
            <family val="2"/>
          </rPr>
          <t xml:space="preserve">#Input("永炼_调度_120万吨/年催化_柴油",":key{{dw}}")
</t>
        </r>
      </text>
    </comment>
    <comment ref="C10" authorId="0">
      <text>
        <r>
          <rPr>
            <sz val="9"/>
            <color indexed="81"/>
            <rFont val="宋体"/>
            <family val="2"/>
          </rPr>
          <t xml:space="preserve">#Input("永炼_调度_210万吨∕年常压_航煤原料 ",":key{{dw}}")
</t>
        </r>
      </text>
    </comment>
    <comment ref="E10" authorId="0">
      <text>
        <r>
          <rPr>
            <sz val="9"/>
            <color indexed="81"/>
            <rFont val="宋体"/>
            <family val="2"/>
          </rPr>
          <t xml:space="preserve">#Input("永炼_调度_250万吨∕年常压_航煤原料 ",":key{{dw}}")
</t>
        </r>
      </text>
    </comment>
    <comment ref="J10" authorId="0">
      <text>
        <r>
          <rPr>
            <sz val="9"/>
            <color indexed="81"/>
            <rFont val="宋体"/>
            <family val="2"/>
          </rPr>
          <t xml:space="preserve">#Input("永炼_调度_50万吨/年催化_液化气",":key{{dw}}")
</t>
        </r>
      </text>
    </comment>
    <comment ref="M10" authorId="0">
      <text>
        <r>
          <rPr>
            <sz val="9"/>
            <color indexed="81"/>
            <rFont val="宋体"/>
            <family val="2"/>
          </rPr>
          <t xml:space="preserve">#Input("永炼_调度_120万吨/年催化_液化气",":key{{dw}}")
</t>
        </r>
      </text>
    </comment>
    <comment ref="C11" authorId="0">
      <text>
        <r>
          <rPr>
            <sz val="9"/>
            <color indexed="81"/>
            <rFont val="宋体"/>
            <family val="2"/>
          </rPr>
          <t xml:space="preserve">#Input("永炼_调度_210万吨∕年常压_渣油",":key{{dw}}")
</t>
        </r>
      </text>
    </comment>
    <comment ref="E11" authorId="0">
      <text>
        <r>
          <rPr>
            <sz val="9"/>
            <color indexed="81"/>
            <rFont val="宋体"/>
            <family val="2"/>
          </rPr>
          <t xml:space="preserve">#Input("永炼_调度_250万吨∕年常压_渣油",":key{{dw}}")
</t>
        </r>
      </text>
    </comment>
    <comment ref="J11" authorId="0">
      <text>
        <r>
          <rPr>
            <sz val="9"/>
            <color indexed="81"/>
            <rFont val="宋体"/>
            <family val="2"/>
          </rPr>
          <t xml:space="preserve">#Input("永炼_调度_50万吨/年催化_油浆",":key{{dw}}")
</t>
        </r>
      </text>
    </comment>
    <comment ref="M11" authorId="0">
      <text>
        <r>
          <rPr>
            <sz val="9"/>
            <color indexed="81"/>
            <rFont val="宋体"/>
            <family val="2"/>
          </rPr>
          <t xml:space="preserve">#Input("永炼_调度_120万吨/年催化_油浆",":key{{dw}}")
</t>
        </r>
      </text>
    </comment>
    <comment ref="S13" authorId="0">
      <text>
        <r>
          <rPr>
            <sz val="9"/>
            <color indexed="81"/>
            <rFont val="宋体"/>
            <family val="2"/>
          </rPr>
          <t xml:space="preserve">#Input("永炼_调度_添加剂调和用量_烷基化油",":key{{dw}}")
</t>
        </r>
      </text>
    </comment>
    <comment ref="C14" authorId="0">
      <text>
        <r>
          <rPr>
            <sz val="9"/>
            <color indexed="81"/>
            <rFont val="宋体"/>
            <family val="2"/>
          </rPr>
          <t xml:space="preserve">#Input("永炼_调度_15万吨/年重整_原料油",":key{{dw}}")
</t>
        </r>
      </text>
    </comment>
    <comment ref="F14" authorId="0">
      <text>
        <r>
          <rPr>
            <sz val="9"/>
            <color indexed="81"/>
            <rFont val="宋体"/>
            <family val="2"/>
          </rPr>
          <t xml:space="preserve">#Input("永炼_调度_20万吨/年航煤_原料油",":key{{dw}}")
</t>
        </r>
      </text>
    </comment>
    <comment ref="I14" authorId="0">
      <text>
        <r>
          <rPr>
            <sz val="9"/>
            <color indexed="81"/>
            <rFont val="宋体"/>
            <family val="2"/>
          </rPr>
          <t xml:space="preserve">#Input("永炼_调度_90万吨/年汽油精致_原料油",":key{{dw}}")
</t>
        </r>
      </text>
    </comment>
    <comment ref="M14" authorId="0">
      <text>
        <r>
          <rPr>
            <sz val="9"/>
            <color indexed="81"/>
            <rFont val="宋体"/>
            <family val="2"/>
          </rPr>
          <t xml:space="preserve">#Input("永炼_调度_140万吨/年柴油精致_原料油",":key{{dw}}")
</t>
        </r>
      </text>
    </comment>
    <comment ref="P14" authorId="0">
      <text>
        <r>
          <rPr>
            <sz val="9"/>
            <color indexed="81"/>
            <rFont val="宋体"/>
            <family val="2"/>
          </rPr>
          <t xml:space="preserve">#Input("永炼_调度_0.32万吨/年硫磺回收_硫磺产量",":key{{dw}}")
</t>
        </r>
      </text>
    </comment>
    <comment ref="S14" authorId="0">
      <text>
        <r>
          <rPr>
            <sz val="9"/>
            <color indexed="81"/>
            <rFont val="宋体"/>
            <family val="2"/>
          </rPr>
          <t xml:space="preserve">#Input("永炼_调度_添加剂调和用量_二甲苯",":key{{dw}}")
</t>
        </r>
      </text>
    </comment>
    <comment ref="C15" authorId="0">
      <text>
        <r>
          <rPr>
            <sz val="9"/>
            <color indexed="81"/>
            <rFont val="宋体"/>
            <family val="2"/>
          </rPr>
          <t xml:space="preserve">#Input("永炼_调度_15万吨/年重整_脱戊烷油",":key{{dw}}")
</t>
        </r>
      </text>
    </comment>
    <comment ref="F15" authorId="0">
      <text>
        <r>
          <rPr>
            <sz val="9"/>
            <color indexed="81"/>
            <rFont val="宋体"/>
            <family val="2"/>
          </rPr>
          <t xml:space="preserve">#Input("永炼_调度_20万吨/年航煤_航煤产量",":key{{dw}}")
</t>
        </r>
      </text>
    </comment>
    <comment ref="I15" authorId="0">
      <text>
        <r>
          <rPr>
            <sz val="9"/>
            <color indexed="81"/>
            <rFont val="宋体"/>
            <family val="2"/>
          </rPr>
          <t xml:space="preserve">#Input("永炼_调度_90万吨/年汽油精致_精致汽油",":key{{dw}}")
</t>
        </r>
      </text>
    </comment>
    <comment ref="M15" authorId="0">
      <text>
        <r>
          <rPr>
            <sz val="9"/>
            <color indexed="81"/>
            <rFont val="宋体"/>
            <family val="2"/>
          </rPr>
          <t xml:space="preserve">#Input("永炼_调度_140万吨/年柴油精致_精致柴油",":key{{dw}}")
</t>
        </r>
      </text>
    </comment>
    <comment ref="S15" authorId="0">
      <text>
        <r>
          <rPr>
            <sz val="9"/>
            <color indexed="81"/>
            <rFont val="宋体"/>
            <family val="2"/>
          </rPr>
          <t xml:space="preserve">#Input("永炼_调度_添加剂调和用量_MTBE",":key{{dw}}")
</t>
        </r>
      </text>
    </comment>
    <comment ref="C16" authorId="0">
      <text>
        <r>
          <rPr>
            <sz val="9"/>
            <color indexed="81"/>
            <rFont val="宋体"/>
            <family val="2"/>
          </rPr>
          <t xml:space="preserve">#Input("永炼_调度_15万吨/年重整_石脑油",":key{{dw}}")
</t>
        </r>
      </text>
    </comment>
    <comment ref="F16" authorId="0">
      <text>
        <r>
          <rPr>
            <sz val="9"/>
            <color indexed="81"/>
            <rFont val="宋体"/>
            <family val="2"/>
          </rPr>
          <t xml:space="preserve">#Input("永炼_调度_20万吨/年航煤_粗汽油",":key{{dw}}")
</t>
        </r>
      </text>
    </comment>
    <comment ref="I16" authorId="0">
      <text>
        <r>
          <rPr>
            <sz val="9"/>
            <color indexed="81"/>
            <rFont val="宋体"/>
            <family val="2"/>
          </rPr>
          <t xml:space="preserve">#Input("永炼_调度_90万吨/年汽油精致_液化气",":key{{dw}}")
</t>
        </r>
      </text>
    </comment>
    <comment ref="M16" authorId="0">
      <text>
        <r>
          <rPr>
            <sz val="9"/>
            <color indexed="81"/>
            <rFont val="宋体"/>
            <family val="2"/>
          </rPr>
          <t xml:space="preserve">#Input("永炼_调度_140万吨/年柴油精致_石脑油",":key{{dw}}")
</t>
        </r>
      </text>
    </comment>
    <comment ref="C17" authorId="0">
      <text>
        <r>
          <rPr>
            <sz val="9"/>
            <color indexed="81"/>
            <rFont val="宋体"/>
            <family val="2"/>
          </rPr>
          <t xml:space="preserve">#Input("永炼_调度_15万吨/年重整_液化气",":key{{dw}}")
</t>
        </r>
      </text>
    </comment>
    <comment ref="M17" authorId="0">
      <text>
        <r>
          <rPr>
            <sz val="9"/>
            <color indexed="81"/>
            <rFont val="宋体"/>
            <family val="2"/>
          </rPr>
          <t xml:space="preserve">#Input("永炼_调度_天然气",":key{{dw}}")
</t>
        </r>
      </text>
    </comment>
    <comment ref="D20" authorId="0">
      <text>
        <r>
          <rPr>
            <sz val="9"/>
            <color indexed="81"/>
            <rFont val="宋体"/>
            <family val="2"/>
          </rPr>
          <t xml:space="preserve">#Input("永炼_调度_调入原油_原油入库",":key{{dw}}")
</t>
        </r>
      </text>
    </comment>
    <comment ref="F20" authorId="0">
      <text>
        <r>
          <rPr>
            <sz val="9"/>
            <color indexed="81"/>
            <rFont val="宋体"/>
            <family val="2"/>
          </rPr>
          <t xml:space="preserve">#Input("永炼_调度_外购原料_MTBE",":key{{dw}}")
</t>
        </r>
      </text>
    </comment>
    <comment ref="H20" authorId="0">
      <text>
        <r>
          <rPr>
            <sz val="9"/>
            <color indexed="81"/>
            <rFont val="宋体"/>
            <family val="2"/>
          </rPr>
          <t xml:space="preserve">#Input("永炼_调度_原料库存_MTBE",":key{{dw}}")
</t>
        </r>
      </text>
    </comment>
    <comment ref="I20" authorId="0">
      <text>
        <r>
          <rPr>
            <sz val="9"/>
            <color indexed="81"/>
            <rFont val="宋体"/>
            <family val="2"/>
          </rPr>
          <t xml:space="preserve">#Input("永炼_调度_原料油气内部调拨_车辆调运1",":key{{dw}}")
</t>
        </r>
      </text>
    </comment>
    <comment ref="J20" authorId="0">
      <text>
        <r>
          <rPr>
            <sz val="9"/>
            <color indexed="81"/>
            <rFont val="宋体"/>
            <family val="2"/>
          </rPr>
          <t xml:space="preserve">#Input("永炼_调度_原料油气内部调拨_榆能化公司1#渣油_调入",":key{{dw}}")
</t>
        </r>
      </text>
    </comment>
    <comment ref="K20" authorId="0">
      <text>
        <r>
          <rPr>
            <sz val="9"/>
            <color indexed="81"/>
            <rFont val="宋体"/>
            <family val="2"/>
          </rPr>
          <t>#Input("永炼_调度_原料油气内部调拨_榆能化公司1#渣油_调出",":key{{dw}}")</t>
        </r>
      </text>
    </comment>
    <comment ref="N20" authorId="0">
      <text>
        <r>
          <rPr>
            <sz val="9"/>
            <color indexed="81"/>
            <rFont val="宋体"/>
            <family val="2"/>
          </rPr>
          <t xml:space="preserve">#Input("永炼_调度_汽油_公路销售",":key{{dw}}")
</t>
        </r>
      </text>
    </comment>
    <comment ref="O20" authorId="0">
      <text>
        <r>
          <rPr>
            <sz val="9"/>
            <color indexed="81"/>
            <rFont val="宋体"/>
            <family val="2"/>
          </rPr>
          <t xml:space="preserve">#Input("永炼_调度_汽油_管输量",":key{{dw}}")
</t>
        </r>
      </text>
    </comment>
    <comment ref="P20" authorId="0">
      <text>
        <r>
          <rPr>
            <sz val="9"/>
            <color indexed="81"/>
            <rFont val="宋体"/>
            <family val="2"/>
          </rPr>
          <t xml:space="preserve">#Input("永炼_调度_汽油_内调",":key{{dw}}")
</t>
        </r>
      </text>
    </comment>
    <comment ref="Q20" authorId="0">
      <text>
        <r>
          <rPr>
            <sz val="9"/>
            <color indexed="81"/>
            <rFont val="宋体"/>
            <family val="2"/>
          </rPr>
          <t xml:space="preserve">#Input("永炼_调度_汽油_库存",":key{{dw}}")
</t>
        </r>
      </text>
    </comment>
    <comment ref="D21" authorId="0">
      <text>
        <r>
          <rPr>
            <sz val="9"/>
            <color indexed="81"/>
            <rFont val="宋体"/>
            <family val="2"/>
          </rPr>
          <t xml:space="preserve">#Input("永炼_调度_调入原油_长庆原油",":key{{dw}}")
</t>
        </r>
      </text>
    </comment>
    <comment ref="F21" authorId="0">
      <text>
        <r>
          <rPr>
            <sz val="9"/>
            <color indexed="81"/>
            <rFont val="宋体"/>
            <family val="2"/>
          </rPr>
          <t xml:space="preserve">#Input("永炼_调度_外购原料_二甲苯",":key{{dw}}")
</t>
        </r>
      </text>
    </comment>
    <comment ref="H21" authorId="0">
      <text>
        <r>
          <rPr>
            <sz val="9"/>
            <color indexed="81"/>
            <rFont val="宋体"/>
            <family val="2"/>
          </rPr>
          <t xml:space="preserve">#Input("永炼_调度_原料库存_二甲苯",":key{{dw}}")
</t>
        </r>
      </text>
    </comment>
    <comment ref="I21" authorId="0">
      <text>
        <r>
          <rPr>
            <sz val="9"/>
            <color indexed="81"/>
            <rFont val="宋体"/>
            <family val="2"/>
          </rPr>
          <t xml:space="preserve">#Input("永炼_调度_原料油气内部调拨_车辆调运2",":key{{dw}}")
</t>
        </r>
      </text>
    </comment>
    <comment ref="J21" authorId="0">
      <text>
        <r>
          <rPr>
            <sz val="9"/>
            <color indexed="81"/>
            <rFont val="宋体"/>
            <family val="2"/>
          </rPr>
          <t xml:space="preserve">#Input("永炼_调度_原料油气内部调拨_榆能化Ⅰ1#渣油_调入",":key{{dw}}")
</t>
        </r>
      </text>
    </comment>
    <comment ref="K21" authorId="0">
      <text>
        <r>
          <rPr>
            <sz val="9"/>
            <color indexed="81"/>
            <rFont val="宋体"/>
            <family val="2"/>
          </rPr>
          <t>#Input("永炼_调度_原料油气内部调拨_榆能化Ⅰ1#渣油_调出",":key{{dw}}")</t>
        </r>
      </text>
    </comment>
    <comment ref="N21" authorId="0">
      <text>
        <r>
          <rPr>
            <sz val="9"/>
            <color indexed="81"/>
            <rFont val="宋体"/>
            <family val="2"/>
          </rPr>
          <t xml:space="preserve">#Input("永炼_调度_石脑油_公路销售",":key{{dw}}")
</t>
        </r>
      </text>
    </comment>
    <comment ref="O21" authorId="0">
      <text>
        <r>
          <rPr>
            <sz val="9"/>
            <color indexed="81"/>
            <rFont val="宋体"/>
            <family val="2"/>
          </rPr>
          <t xml:space="preserve">#Input("永炼_调度_石脑油_管输量",":key{{dw}}")
</t>
        </r>
      </text>
    </comment>
    <comment ref="P21" authorId="0">
      <text>
        <r>
          <rPr>
            <sz val="9"/>
            <color indexed="81"/>
            <rFont val="宋体"/>
            <family val="2"/>
          </rPr>
          <t xml:space="preserve">#Input("永炼_调度_石脑油_内调",":key{{dw}}")
</t>
        </r>
      </text>
    </comment>
    <comment ref="Q21" authorId="0">
      <text>
        <r>
          <rPr>
            <sz val="9"/>
            <color indexed="81"/>
            <rFont val="宋体"/>
            <family val="2"/>
          </rPr>
          <t xml:space="preserve">#Input("永炼_调度_石脑油_库存",":key{{dw}}")
</t>
        </r>
      </text>
    </comment>
    <comment ref="D22" authorId="0">
      <text>
        <r>
          <rPr>
            <sz val="9"/>
            <color indexed="81"/>
            <rFont val="宋体"/>
            <family val="2"/>
          </rPr>
          <t xml:space="preserve">#Input("永炼_调度_调入原油_管输原油",":key{{dw}}")
</t>
        </r>
      </text>
    </comment>
    <comment ref="F22" authorId="0">
      <text>
        <r>
          <rPr>
            <sz val="9"/>
            <color indexed="81"/>
            <rFont val="宋体"/>
            <family val="2"/>
          </rPr>
          <t xml:space="preserve">#Input("永炼_调度_外购原料_烷基化油",":key{{dw}}")
</t>
        </r>
      </text>
    </comment>
    <comment ref="H22" authorId="0">
      <text>
        <r>
          <rPr>
            <sz val="9"/>
            <color indexed="81"/>
            <rFont val="宋体"/>
            <family val="2"/>
          </rPr>
          <t xml:space="preserve">#Input("永炼_调度_原料库存_烷基化油",":key{{dw}}")
</t>
        </r>
      </text>
    </comment>
    <comment ref="J22" authorId="0">
      <text>
        <r>
          <rPr>
            <sz val="9"/>
            <color indexed="81"/>
            <rFont val="宋体"/>
            <family val="2"/>
          </rPr>
          <t xml:space="preserve">#Input("永炼_调度_原料油气内部调拨_石脑油_调入",":key{{dw}}")
</t>
        </r>
      </text>
    </comment>
    <comment ref="K22" authorId="0">
      <text>
        <r>
          <rPr>
            <sz val="9"/>
            <color indexed="81"/>
            <rFont val="宋体"/>
            <family val="2"/>
          </rPr>
          <t>#Input("永炼_调度_原料油气内部调拨_石脑油_调出",":key{{dw}}")</t>
        </r>
      </text>
    </comment>
    <comment ref="N22" authorId="0">
      <text>
        <r>
          <rPr>
            <sz val="9"/>
            <color indexed="81"/>
            <rFont val="宋体"/>
            <family val="2"/>
          </rPr>
          <t xml:space="preserve">#Input("永炼_调度_92#_公路销售",":key{{dw}}")
</t>
        </r>
      </text>
    </comment>
    <comment ref="O22" authorId="0">
      <text>
        <r>
          <rPr>
            <sz val="9"/>
            <color indexed="81"/>
            <rFont val="宋体"/>
            <family val="2"/>
          </rPr>
          <t xml:space="preserve">#Input("永炼_调度_92#_管输量",":key{{dw}}")
</t>
        </r>
      </text>
    </comment>
    <comment ref="P22" authorId="0">
      <text>
        <r>
          <rPr>
            <sz val="9"/>
            <color indexed="81"/>
            <rFont val="宋体"/>
            <family val="2"/>
          </rPr>
          <t xml:space="preserve">#Input("永炼_调度_92#_内调",":key{{dw}}")
</t>
        </r>
      </text>
    </comment>
    <comment ref="Q22" authorId="0">
      <text>
        <r>
          <rPr>
            <sz val="9"/>
            <color indexed="81"/>
            <rFont val="宋体"/>
            <family val="2"/>
          </rPr>
          <t xml:space="preserve">#Input("永炼_调度_92#_库存",":key{{dw}}")
</t>
        </r>
      </text>
    </comment>
    <comment ref="R22" authorId="0">
      <text>
        <r>
          <rPr>
            <sz val="9"/>
            <color indexed="81"/>
            <rFont val="Arial"/>
            <family val="2"/>
          </rPr>
          <t xml:space="preserve">#Input("永炼_调度_成品库存_92#汽油_成品库容",":key{{dw}}")
</t>
        </r>
      </text>
    </comment>
    <comment ref="J23" authorId="0">
      <text>
        <r>
          <rPr>
            <sz val="9"/>
            <color indexed="81"/>
            <rFont val="宋体"/>
            <family val="2"/>
          </rPr>
          <t xml:space="preserve">#Input("永炼_调度_原料油气内部调拨_烷基化油_调入",":key{{dw}}")
</t>
        </r>
      </text>
    </comment>
    <comment ref="K23" authorId="0">
      <text>
        <r>
          <rPr>
            <sz val="9"/>
            <color indexed="81"/>
            <rFont val="宋体"/>
            <family val="2"/>
          </rPr>
          <t>#Input("永炼_调度_原料油气内部调拨_烷基化油_调出",":key{{dw}}")</t>
        </r>
      </text>
    </comment>
    <comment ref="N23" authorId="0">
      <text>
        <r>
          <rPr>
            <sz val="9"/>
            <color indexed="81"/>
            <rFont val="宋体"/>
            <family val="2"/>
          </rPr>
          <t xml:space="preserve">#Input("永炼_调度_柴油_公路销售",":key{{dw}}")
</t>
        </r>
      </text>
    </comment>
    <comment ref="O23" authorId="0">
      <text>
        <r>
          <rPr>
            <sz val="9"/>
            <color indexed="81"/>
            <rFont val="宋体"/>
            <family val="2"/>
          </rPr>
          <t xml:space="preserve">#Input("永炼_调度_柴油_管输量",":key{{dw}}")
</t>
        </r>
      </text>
    </comment>
    <comment ref="P23" authorId="0">
      <text>
        <r>
          <rPr>
            <sz val="9"/>
            <color indexed="81"/>
            <rFont val="宋体"/>
            <family val="2"/>
          </rPr>
          <t xml:space="preserve">#Input("永炼_调度_柴油_内调",":key{{dw}}")
</t>
        </r>
      </text>
    </comment>
    <comment ref="Q23" authorId="0">
      <text>
        <r>
          <rPr>
            <sz val="9"/>
            <color indexed="81"/>
            <rFont val="宋体"/>
            <family val="2"/>
          </rPr>
          <t xml:space="preserve">#Input("永炼_调度_柴油_库存",":key{{dw}}")
</t>
        </r>
      </text>
    </comment>
    <comment ref="H24" authorId="0">
      <text>
        <r>
          <rPr>
            <sz val="9"/>
            <color indexed="81"/>
            <rFont val="宋体"/>
            <family val="2"/>
          </rPr>
          <t xml:space="preserve">#Input("永炼_调度_原料库存_粗硫磺",":key{{dw}}")
</t>
        </r>
      </text>
    </comment>
    <comment ref="J24" authorId="0">
      <text>
        <r>
          <rPr>
            <sz val="9"/>
            <color indexed="81"/>
            <rFont val="宋体"/>
            <family val="2"/>
          </rPr>
          <t xml:space="preserve">#Input("永炼_调度_原料油气内部调拨_原料液化气_调入",":key{{dw}}")
</t>
        </r>
      </text>
    </comment>
    <comment ref="K24" authorId="0">
      <text>
        <r>
          <rPr>
            <sz val="9"/>
            <color indexed="81"/>
            <rFont val="宋体"/>
            <family val="2"/>
          </rPr>
          <t>#Input("永炼_调度_原料油气内部调拨_原料液化气_调出",":key{{dw}}")</t>
        </r>
      </text>
    </comment>
    <comment ref="N24" authorId="0">
      <text>
        <r>
          <rPr>
            <sz val="9"/>
            <color indexed="81"/>
            <rFont val="宋体"/>
            <family val="2"/>
          </rPr>
          <t xml:space="preserve">#Input("永炼_调度_0#_公路销售",":key{{dw}}")
</t>
        </r>
      </text>
    </comment>
    <comment ref="O24" authorId="0">
      <text>
        <r>
          <rPr>
            <sz val="9"/>
            <color indexed="81"/>
            <rFont val="宋体"/>
            <family val="2"/>
          </rPr>
          <t xml:space="preserve">#Input("永炼_调度_0#_管输量",":key{{dw}}")
</t>
        </r>
      </text>
    </comment>
    <comment ref="P24" authorId="0">
      <text>
        <r>
          <rPr>
            <sz val="9"/>
            <color indexed="81"/>
            <rFont val="宋体"/>
            <family val="2"/>
          </rPr>
          <t xml:space="preserve">#Input("永炼_调度_0#_内调",":key{{dw}}")
</t>
        </r>
      </text>
    </comment>
    <comment ref="Q24" authorId="0">
      <text>
        <r>
          <rPr>
            <sz val="9"/>
            <color indexed="81"/>
            <rFont val="宋体"/>
            <family val="2"/>
          </rPr>
          <t xml:space="preserve">#Input("永炼_调度_0#_库存",":key{{dw}}")
</t>
        </r>
      </text>
    </comment>
    <comment ref="R24" authorId="0">
      <text>
        <r>
          <rPr>
            <b/>
            <sz val="9"/>
            <color indexed="81"/>
            <rFont val="宋体"/>
            <family val="2"/>
          </rPr>
          <t>#Input("永炼_调度_成品库存_0#柴油_成品库容",":key{{dw}}")</t>
        </r>
      </text>
    </comment>
    <comment ref="D25" authorId="0">
      <text>
        <r>
          <rPr>
            <sz val="9"/>
            <color indexed="81"/>
            <rFont val="宋体"/>
            <family val="2"/>
          </rPr>
          <t xml:space="preserve">#Input("永炼_调度_原料库存_原油_当日",":key{{dw}}")
</t>
        </r>
      </text>
    </comment>
    <comment ref="E25" authorId="0">
      <text>
        <r>
          <rPr>
            <b/>
            <sz val="9"/>
            <color indexed="81"/>
            <rFont val="宋体"/>
            <family val="2"/>
          </rPr>
          <t>#Input("永炼_调度_原料库存_原油_库容",":key{{dw}}")</t>
        </r>
      </text>
    </comment>
    <comment ref="H25" authorId="0">
      <text>
        <r>
          <rPr>
            <sz val="9"/>
            <color indexed="81"/>
            <rFont val="宋体"/>
            <family val="2"/>
          </rPr>
          <t xml:space="preserve">#Input("永炼_调度_原料库存_精致石脑",":key{{dw}}")
</t>
        </r>
      </text>
    </comment>
    <comment ref="J25" authorId="0">
      <text>
        <r>
          <rPr>
            <sz val="9"/>
            <color indexed="81"/>
            <rFont val="宋体"/>
            <family val="2"/>
          </rPr>
          <t xml:space="preserve">#Input("永炼_调度_原料油气内部调拨_常压柴油_调入",":key{{dw}}")
</t>
        </r>
      </text>
    </comment>
    <comment ref="K25" authorId="0">
      <text>
        <r>
          <rPr>
            <sz val="9"/>
            <color indexed="81"/>
            <rFont val="宋体"/>
            <family val="2"/>
          </rPr>
          <t>#Input("永炼_调度_原料油气内部调拨_常压柴油_调出",":key{{dw}}")</t>
        </r>
      </text>
    </comment>
    <comment ref="N25" authorId="0">
      <text>
        <r>
          <rPr>
            <sz val="9"/>
            <color indexed="81"/>
            <rFont val="宋体"/>
            <family val="2"/>
          </rPr>
          <t xml:space="preserve">#Input("永炼_调度_ -10#_公路销售",":key{{dw}}")
</t>
        </r>
      </text>
    </comment>
    <comment ref="O25" authorId="0">
      <text>
        <r>
          <rPr>
            <sz val="9"/>
            <color indexed="81"/>
            <rFont val="宋体"/>
            <family val="2"/>
          </rPr>
          <t xml:space="preserve">#Input("永炼_调度_ -10#_管输量",":key{{dw}}")
</t>
        </r>
      </text>
    </comment>
    <comment ref="P25" authorId="0">
      <text>
        <r>
          <rPr>
            <sz val="9"/>
            <color indexed="81"/>
            <rFont val="宋体"/>
            <family val="2"/>
          </rPr>
          <t xml:space="preserve">#Input("永炼_调度_ -10#_内调",":key{{dw}}")
</t>
        </r>
      </text>
    </comment>
    <comment ref="Q25" authorId="0">
      <text>
        <r>
          <rPr>
            <sz val="9"/>
            <color indexed="81"/>
            <rFont val="宋体"/>
            <family val="2"/>
          </rPr>
          <t xml:space="preserve">#Input("永炼_调度_ -10#_库存",":key{{dw}}")
</t>
        </r>
      </text>
    </comment>
    <comment ref="D26" authorId="0">
      <text>
        <r>
          <rPr>
            <sz val="9"/>
            <color indexed="81"/>
            <rFont val="宋体"/>
            <family val="2"/>
          </rPr>
          <t xml:space="preserve">#Input("永炼_调度_原料库存_永坪站库存_当日",":key{{dw}}")
</t>
        </r>
      </text>
    </comment>
    <comment ref="E26" authorId="0">
      <text>
        <r>
          <rPr>
            <sz val="9"/>
            <color indexed="81"/>
            <rFont val="Arial"/>
            <family val="2"/>
          </rPr>
          <t xml:space="preserve">#Input("永炼_调度_原料库存_永坪站库存_库容",":key{{dw}}")
</t>
        </r>
      </text>
    </comment>
    <comment ref="H26" authorId="0">
      <text>
        <r>
          <rPr>
            <sz val="9"/>
            <color indexed="81"/>
            <rFont val="宋体"/>
            <family val="2"/>
          </rPr>
          <t xml:space="preserve">#Input("永炼_调度_原料库存_加氢粗汽",":key{{dw}}")
</t>
        </r>
      </text>
    </comment>
    <comment ref="J26" authorId="0">
      <text>
        <r>
          <rPr>
            <sz val="9"/>
            <color indexed="81"/>
            <rFont val="宋体"/>
            <family val="2"/>
          </rPr>
          <t xml:space="preserve">#Input("永炼_调度_原料油气内部调拨_MTBE_调入",":key{{dw}}")
</t>
        </r>
      </text>
    </comment>
    <comment ref="K26" authorId="0">
      <text>
        <r>
          <rPr>
            <sz val="9"/>
            <color indexed="81"/>
            <rFont val="宋体"/>
            <family val="2"/>
          </rPr>
          <t>#Input("永炼_调度_原料油气内部调拨_MTBE_调出",":key{{dw}}")</t>
        </r>
      </text>
    </comment>
    <comment ref="N26" authorId="0">
      <text>
        <r>
          <rPr>
            <sz val="9"/>
            <color indexed="81"/>
            <rFont val="宋体"/>
            <family val="2"/>
          </rPr>
          <t xml:space="preserve">#Input("永炼_调度_ -20#_公路销售",":key{{dw}}")
</t>
        </r>
      </text>
    </comment>
    <comment ref="O26" authorId="0">
      <text>
        <r>
          <rPr>
            <sz val="9"/>
            <color indexed="81"/>
            <rFont val="宋体"/>
            <family val="2"/>
          </rPr>
          <t xml:space="preserve">#Input("永炼_调度_ -20#_管输量",":key{{dw}}")
</t>
        </r>
      </text>
    </comment>
    <comment ref="P26" authorId="0">
      <text>
        <r>
          <rPr>
            <sz val="9"/>
            <color indexed="81"/>
            <rFont val="宋体"/>
            <family val="2"/>
          </rPr>
          <t xml:space="preserve">#Input("永炼_调度_ -20#_内调",":key{{dw}}")
</t>
        </r>
      </text>
    </comment>
    <comment ref="Q26" authorId="0">
      <text>
        <r>
          <rPr>
            <sz val="9"/>
            <color indexed="81"/>
            <rFont val="宋体"/>
            <family val="2"/>
          </rPr>
          <t xml:space="preserve">#Input("永炼_调度 -20#_库存",":key{{dw}}")
</t>
        </r>
      </text>
    </comment>
    <comment ref="R26" authorId="0">
      <text>
        <r>
          <rPr>
            <sz val="9"/>
            <color indexed="81"/>
            <rFont val="Arial"/>
            <family val="2"/>
          </rPr>
          <t xml:space="preserve">#Input("永炼_调度_成品库存_-20#柴油_成品库容",":key{{dw}}")
</t>
        </r>
      </text>
    </comment>
    <comment ref="D27" authorId="0">
      <text>
        <r>
          <rPr>
            <sz val="9"/>
            <color indexed="81"/>
            <rFont val="宋体"/>
            <family val="2"/>
          </rPr>
          <t xml:space="preserve">#Input("永炼_调度_原料库存_1#渣油_当日",":key{{dw}}")
</t>
        </r>
      </text>
    </comment>
    <comment ref="E27" authorId="0">
      <text>
        <r>
          <rPr>
            <b/>
            <sz val="9"/>
            <color indexed="81"/>
            <rFont val="宋体"/>
            <family val="2"/>
          </rPr>
          <t>#Input("永炼_调度_原料库存_1#渣油_库容",":key{{dw}}")</t>
        </r>
      </text>
    </comment>
    <comment ref="J27" authorId="0">
      <text>
        <r>
          <rPr>
            <sz val="9"/>
            <color indexed="81"/>
            <rFont val="宋体"/>
            <family val="2"/>
          </rPr>
          <t xml:space="preserve">#Input("永炼_调度_原料油气内部调拨_粗硫磺_调入",":key{{dw}}")
</t>
        </r>
      </text>
    </comment>
    <comment ref="K27" authorId="0">
      <text>
        <r>
          <rPr>
            <sz val="9"/>
            <color indexed="81"/>
            <rFont val="宋体"/>
            <family val="2"/>
          </rPr>
          <t>#Input("永炼_调度_原料油气内部调拨_粗硫磺_调出",":key{{dw}}")</t>
        </r>
      </text>
    </comment>
    <comment ref="Q27" authorId="0">
      <text>
        <r>
          <rPr>
            <sz val="9"/>
            <color indexed="81"/>
            <rFont val="宋体"/>
            <family val="2"/>
          </rPr>
          <t xml:space="preserve">#Input("永炼_调度_-20#柴油半成品库存",":key{{dw}}")
</t>
        </r>
      </text>
    </comment>
    <comment ref="D28" authorId="0">
      <text>
        <r>
          <rPr>
            <sz val="9"/>
            <color indexed="81"/>
            <rFont val="宋体"/>
            <family val="2"/>
          </rPr>
          <t xml:space="preserve">#Input("永炼_调度_原料库存_液化气_当日",":key{{dw}}")
</t>
        </r>
      </text>
    </comment>
    <comment ref="E28" authorId="0">
      <text>
        <r>
          <rPr>
            <sz val="9"/>
            <color indexed="81"/>
            <rFont val="Arial"/>
            <family val="2"/>
          </rPr>
          <t xml:space="preserve">#Input("永炼_调度_原料库存_液化气_库容",":key{{dw}}")
</t>
        </r>
      </text>
    </comment>
    <comment ref="J28" authorId="0">
      <text>
        <r>
          <rPr>
            <sz val="9"/>
            <color indexed="81"/>
            <rFont val="宋体"/>
            <family val="2"/>
          </rPr>
          <t xml:space="preserve">#Input("永炼_调度_原料油气内部调拨_二甲苯_调入",":key{{dw}}")
</t>
        </r>
      </text>
    </comment>
    <comment ref="K28" authorId="0">
      <text>
        <r>
          <rPr>
            <sz val="9"/>
            <color indexed="81"/>
            <rFont val="宋体"/>
            <family val="2"/>
          </rPr>
          <t>#Input("永炼_调度_原料油气内部调拨_二甲苯_调出",":key{{dw}}")</t>
        </r>
      </text>
    </comment>
    <comment ref="N28" authorId="0">
      <text>
        <r>
          <rPr>
            <sz val="9"/>
            <color indexed="81"/>
            <rFont val="宋体"/>
            <family val="2"/>
          </rPr>
          <t xml:space="preserve">#Input("永炼_调度_石脑油Ⅳ_公路销售",":key{{dw}}")
</t>
        </r>
      </text>
    </comment>
    <comment ref="O28" authorId="0">
      <text>
        <r>
          <rPr>
            <sz val="9"/>
            <color indexed="81"/>
            <rFont val="宋体"/>
            <family val="2"/>
          </rPr>
          <t xml:space="preserve">#Input("永炼_调度_石脑油Ⅳ_管输量",":key{{dw}}")
</t>
        </r>
      </text>
    </comment>
    <comment ref="P28" authorId="0">
      <text>
        <r>
          <rPr>
            <sz val="9"/>
            <color indexed="81"/>
            <rFont val="宋体"/>
            <family val="2"/>
          </rPr>
          <t xml:space="preserve">#Input("永炼_调度_石脑油Ⅳ_内调",":key{{dw}}")
</t>
        </r>
      </text>
    </comment>
    <comment ref="Q28" authorId="0">
      <text>
        <r>
          <rPr>
            <sz val="9"/>
            <color indexed="81"/>
            <rFont val="宋体"/>
            <family val="2"/>
          </rPr>
          <t xml:space="preserve">#Input("永炼_调度_石脑油Ⅳ_库存",":key{{dw}}")
</t>
        </r>
      </text>
    </comment>
    <comment ref="R28" authorId="0">
      <text>
        <r>
          <rPr>
            <b/>
            <sz val="9"/>
            <color indexed="81"/>
            <rFont val="宋体"/>
            <family val="2"/>
          </rPr>
          <t>#Input("永炼_调度_成品库存_石脑油Ⅳ_成品库容",":key{{dw}}")</t>
        </r>
      </text>
    </comment>
    <comment ref="D29" authorId="0">
      <text>
        <r>
          <rPr>
            <sz val="9"/>
            <color indexed="81"/>
            <rFont val="宋体"/>
            <family val="2"/>
          </rPr>
          <t xml:space="preserve">#Input("永炼_调度_原料库存_重整原料_当日",":key{{dw}}")
</t>
        </r>
      </text>
    </comment>
    <comment ref="E29" authorId="0">
      <text>
        <r>
          <rPr>
            <sz val="9"/>
            <color indexed="81"/>
            <rFont val="Arial"/>
            <family val="2"/>
          </rPr>
          <t xml:space="preserve">#Input("永炼_调度_原料库存_重整原料_库容",":key{{dw}}")
</t>
        </r>
      </text>
    </comment>
    <comment ref="N29" authorId="0">
      <text>
        <r>
          <rPr>
            <sz val="9"/>
            <color indexed="81"/>
            <rFont val="宋体"/>
            <family val="2"/>
          </rPr>
          <t xml:space="preserve">#Input("永炼_调度_油浆_公路销售",":key{{dw}}")
</t>
        </r>
      </text>
    </comment>
    <comment ref="O29" authorId="0">
      <text>
        <r>
          <rPr>
            <sz val="9"/>
            <color indexed="81"/>
            <rFont val="宋体"/>
            <family val="2"/>
          </rPr>
          <t xml:space="preserve">#Input("永炼_调度_油浆_管输量",":key{{dw}}")
</t>
        </r>
      </text>
    </comment>
    <comment ref="P29" authorId="0">
      <text>
        <r>
          <rPr>
            <sz val="9"/>
            <color indexed="81"/>
            <rFont val="宋体"/>
            <family val="2"/>
          </rPr>
          <t xml:space="preserve">#Input("永炼_调度_油浆_内调",":key{{dw}}")
</t>
        </r>
      </text>
    </comment>
    <comment ref="Q29" authorId="0">
      <text>
        <r>
          <rPr>
            <sz val="9"/>
            <color indexed="81"/>
            <rFont val="宋体"/>
            <family val="2"/>
          </rPr>
          <t xml:space="preserve">#Input("永炼_调度_油浆_库存",":key{{dw}}")
</t>
        </r>
      </text>
    </comment>
    <comment ref="R29" authorId="0">
      <text>
        <r>
          <rPr>
            <sz val="9"/>
            <color indexed="81"/>
            <rFont val="Arial"/>
            <family val="2"/>
          </rPr>
          <t xml:space="preserve">#Input("永炼_调度_成品库存_油浆_成品库容",":key{{dw}}")
</t>
        </r>
      </text>
    </comment>
    <comment ref="D30" authorId="0">
      <text>
        <r>
          <rPr>
            <sz val="9"/>
            <color indexed="81"/>
            <rFont val="宋体"/>
            <family val="2"/>
          </rPr>
          <t xml:space="preserve">#Input("永炼_调度_原料库存_外调石脑油_当日",":key{{dw}}")
</t>
        </r>
      </text>
    </comment>
    <comment ref="E30" authorId="0">
      <text>
        <r>
          <rPr>
            <sz val="9"/>
            <color indexed="81"/>
            <rFont val="Arial"/>
            <family val="2"/>
          </rPr>
          <t xml:space="preserve">#Input("永炼_调度_原料库存_外调石脑油_库容",":key{{dw}}")
</t>
        </r>
      </text>
    </comment>
    <comment ref="H30" authorId="0">
      <text>
        <r>
          <rPr>
            <sz val="9"/>
            <color indexed="81"/>
            <rFont val="宋体"/>
            <family val="2"/>
          </rPr>
          <t xml:space="preserve">#Input("永炼_调度_可售量库存_可售92#",":key{{dw}}")
</t>
        </r>
      </text>
    </comment>
    <comment ref="N30" authorId="0">
      <text>
        <r>
          <rPr>
            <sz val="9"/>
            <color indexed="81"/>
            <rFont val="宋体"/>
            <family val="2"/>
          </rPr>
          <t xml:space="preserve">#Input("永炼_调度_石脑油_公路销售_外销",":key{{dw}}")
</t>
        </r>
      </text>
    </comment>
    <comment ref="O30" authorId="0">
      <text>
        <r>
          <rPr>
            <sz val="9"/>
            <color indexed="81"/>
            <rFont val="宋体"/>
            <family val="2"/>
          </rPr>
          <t xml:space="preserve">#Input("永炼_调度_石脑油_管输量_外销",":key{{dw}}")
</t>
        </r>
      </text>
    </comment>
    <comment ref="P30" authorId="0">
      <text>
        <r>
          <rPr>
            <sz val="9"/>
            <color indexed="81"/>
            <rFont val="宋体"/>
            <family val="2"/>
          </rPr>
          <t xml:space="preserve">#Input("永炼_调度_石脑油_内调_外销",":key{{dw}}")
</t>
        </r>
      </text>
    </comment>
    <comment ref="Q30" authorId="0">
      <text>
        <r>
          <rPr>
            <sz val="9"/>
            <color indexed="81"/>
            <rFont val="宋体"/>
            <family val="2"/>
          </rPr>
          <t xml:space="preserve">#Input("永炼_调度_石脑油_库存_外销",":key{{dw}}")
</t>
        </r>
      </text>
    </comment>
    <comment ref="S30" authorId="0">
      <text>
        <r>
          <rPr>
            <b/>
            <sz val="9"/>
            <color indexed="81"/>
            <rFont val="宋体"/>
            <family val="2"/>
          </rPr>
          <t>#Input("永炼_调度_石脑油_备注1",":key{{dw}}")</t>
        </r>
      </text>
    </comment>
    <comment ref="D31" authorId="0">
      <text>
        <r>
          <rPr>
            <sz val="9"/>
            <color indexed="81"/>
            <rFont val="宋体"/>
            <family val="2"/>
          </rPr>
          <t xml:space="preserve">#Input("永炼_调度_原料库存_加氢原料(催柴)_当日",":key{{dw}}")
</t>
        </r>
      </text>
    </comment>
    <comment ref="E31" authorId="0">
      <text>
        <r>
          <rPr>
            <b/>
            <sz val="9"/>
            <color indexed="81"/>
            <rFont val="宋体"/>
            <family val="2"/>
          </rPr>
          <t>#Input("永炼_调度_原料库存_加氢原料(催柴)_库容",":key{{dw}}")</t>
        </r>
      </text>
    </comment>
    <comment ref="H31" authorId="0">
      <text>
        <r>
          <rPr>
            <sz val="9"/>
            <color indexed="81"/>
            <rFont val="宋体"/>
            <family val="2"/>
          </rPr>
          <t xml:space="preserve">#Input("永炼_调度_可售量库存_可售97#",":key{{dw}}")
</t>
        </r>
      </text>
    </comment>
    <comment ref="J31" authorId="0">
      <text>
        <r>
          <rPr>
            <sz val="9"/>
            <color indexed="81"/>
            <rFont val="宋体"/>
            <family val="2"/>
          </rPr>
          <t xml:space="preserve">#Input("永炼_调度_半成品库存_汽油_库存",":key{{dw}}")
</t>
        </r>
      </text>
    </comment>
    <comment ref="K31" authorId="0">
      <text>
        <r>
          <rPr>
            <sz val="9"/>
            <color indexed="81"/>
            <rFont val="Arial"/>
            <family val="2"/>
          </rPr>
          <t xml:space="preserve">#Input("永炼_调度_半成品库存_汽油_半成品库容",":key{{dw}}")
</t>
        </r>
      </text>
    </comment>
    <comment ref="N31" authorId="0">
      <text>
        <r>
          <rPr>
            <sz val="9"/>
            <color indexed="81"/>
            <rFont val="宋体"/>
            <family val="2"/>
          </rPr>
          <t xml:space="preserve">#Input("永炼_调度_民用液化气_公路销售_外销",":key{{dw}}")
</t>
        </r>
      </text>
    </comment>
    <comment ref="O31" authorId="0">
      <text>
        <r>
          <rPr>
            <sz val="9"/>
            <color indexed="81"/>
            <rFont val="宋体"/>
            <family val="2"/>
          </rPr>
          <t xml:space="preserve">#Input("永炼_调度_民用液化气_管输量_外销",":key{{dw}}")
</t>
        </r>
      </text>
    </comment>
    <comment ref="P31" authorId="0">
      <text>
        <r>
          <rPr>
            <sz val="9"/>
            <color indexed="81"/>
            <rFont val="宋体"/>
            <family val="2"/>
          </rPr>
          <t xml:space="preserve">#Input("永炼_调度_民用液化气_内调_外销",":key{{dw}}")
</t>
        </r>
      </text>
    </comment>
    <comment ref="Q31" authorId="0">
      <text>
        <r>
          <rPr>
            <sz val="9"/>
            <color indexed="81"/>
            <rFont val="宋体"/>
            <family val="2"/>
          </rPr>
          <t xml:space="preserve">#Input("永炼_调度_民用液化气_库存_外销",":key{{dw}}")
</t>
        </r>
      </text>
    </comment>
    <comment ref="D32" authorId="0">
      <text>
        <r>
          <rPr>
            <sz val="9"/>
            <color indexed="81"/>
            <rFont val="宋体"/>
            <family val="2"/>
          </rPr>
          <t xml:space="preserve">#Input("永炼_调度_原料库存_加氢原料(常柴)_当日",":key{{dw}}")
</t>
        </r>
      </text>
    </comment>
    <comment ref="E32" authorId="0">
      <text>
        <r>
          <rPr>
            <sz val="9"/>
            <color indexed="81"/>
            <rFont val="Arial"/>
            <family val="2"/>
          </rPr>
          <t xml:space="preserve">#Input("永炼_调度_原料库存_加氢原料(常柴)_库容",":key{{dw}}")
</t>
        </r>
      </text>
    </comment>
    <comment ref="H32" authorId="0">
      <text>
        <r>
          <rPr>
            <sz val="9"/>
            <color indexed="81"/>
            <rFont val="宋体"/>
            <family val="2"/>
          </rPr>
          <t xml:space="preserve">#Input("永炼_调度_可售量库存_可售0#",":key{{dw}}")
</t>
        </r>
      </text>
    </comment>
    <comment ref="J32" authorId="0">
      <text>
        <r>
          <rPr>
            <sz val="9"/>
            <color indexed="81"/>
            <rFont val="宋体"/>
            <family val="2"/>
          </rPr>
          <t xml:space="preserve">#Input("永炼_调度_半成品库存_柴油_库存",":key{{dw}}")
</t>
        </r>
      </text>
    </comment>
    <comment ref="K32" authorId="0">
      <text>
        <r>
          <rPr>
            <sz val="9"/>
            <color indexed="81"/>
            <rFont val="Arial"/>
            <family val="2"/>
          </rPr>
          <t xml:space="preserve">#Input("永炼_调度_半成品库存_柴油_半成品库容",":key{{dw}}")
</t>
        </r>
      </text>
    </comment>
    <comment ref="N32" authorId="0">
      <text>
        <r>
          <rPr>
            <sz val="9"/>
            <color indexed="81"/>
            <rFont val="宋体"/>
            <family val="2"/>
          </rPr>
          <t xml:space="preserve">#Input("永炼_调度_轻石脑油_公路销售_外销",":key{{dw}}")
</t>
        </r>
      </text>
    </comment>
    <comment ref="O32" authorId="0">
      <text>
        <r>
          <rPr>
            <sz val="9"/>
            <color indexed="81"/>
            <rFont val="宋体"/>
            <family val="2"/>
          </rPr>
          <t xml:space="preserve">#Input("永炼_调度_轻石脑油_管输量_外销",":key{{dw}}")
</t>
        </r>
      </text>
    </comment>
    <comment ref="P32" authorId="0">
      <text>
        <r>
          <rPr>
            <sz val="9"/>
            <color indexed="81"/>
            <rFont val="宋体"/>
            <family val="2"/>
          </rPr>
          <t xml:space="preserve">#Input("永炼_调度_轻石脑油_内调_外销",":key{{dw}}")
</t>
        </r>
      </text>
    </comment>
    <comment ref="Q32" authorId="0">
      <text>
        <r>
          <rPr>
            <sz val="9"/>
            <color indexed="81"/>
            <rFont val="宋体"/>
            <family val="2"/>
          </rPr>
          <t xml:space="preserve">#Input("永炼_调度_轻石脑油_库存_外销",":key{{dw}}")
</t>
        </r>
      </text>
    </comment>
    <comment ref="R32" authorId="0">
      <text>
        <r>
          <rPr>
            <sz val="9"/>
            <color indexed="81"/>
            <rFont val="Arial"/>
            <family val="2"/>
          </rPr>
          <t xml:space="preserve">#Input("永炼_调度_成品库存_轻石脑油_成品库容",":key{{dw}}")
</t>
        </r>
      </text>
    </comment>
    <comment ref="D33" authorId="0">
      <text>
        <r>
          <rPr>
            <sz val="9"/>
            <color indexed="81"/>
            <rFont val="宋体"/>
            <family val="2"/>
          </rPr>
          <t xml:space="preserve">#Input("永炼_调度_原料库存_汽油精制原料 _当日",":key{{dw}}")
</t>
        </r>
      </text>
    </comment>
    <comment ref="E33" authorId="0">
      <text>
        <r>
          <rPr>
            <sz val="9"/>
            <color indexed="81"/>
            <rFont val="Arial"/>
            <family val="2"/>
          </rPr>
          <t xml:space="preserve">#Input("永炼_调度_原料库存_汽油精制原料 _库容",":key{{dw}}")
</t>
        </r>
      </text>
    </comment>
    <comment ref="H33" authorId="0">
      <text>
        <r>
          <rPr>
            <sz val="9"/>
            <color indexed="81"/>
            <rFont val="宋体"/>
            <family val="2"/>
          </rPr>
          <t xml:space="preserve">#Input("永炼_调度_可售量库存_可售-10#",":key{{dw}}")
</t>
        </r>
      </text>
    </comment>
    <comment ref="J33" authorId="0">
      <text>
        <r>
          <rPr>
            <sz val="9"/>
            <color indexed="81"/>
            <rFont val="宋体"/>
            <family val="2"/>
          </rPr>
          <t xml:space="preserve">#Input("永炼_调度_半成品库存_航煤_库存",":key{{dw}}")
</t>
        </r>
      </text>
    </comment>
    <comment ref="K33" authorId="0">
      <text>
        <r>
          <rPr>
            <b/>
            <sz val="9"/>
            <color indexed="81"/>
            <rFont val="宋体"/>
            <family val="2"/>
          </rPr>
          <t>#Input("永炼_调度_半成品库存_航煤_半成品库容",":key{{dw}}")</t>
        </r>
      </text>
    </comment>
    <comment ref="N33" authorId="0">
      <text>
        <r>
          <rPr>
            <sz val="9"/>
            <color indexed="81"/>
            <rFont val="宋体"/>
            <family val="2"/>
          </rPr>
          <t xml:space="preserve">#Input("永炼_调度_航煤产品_公路销售_外销",":key{{dw}}")
</t>
        </r>
      </text>
    </comment>
    <comment ref="O33" authorId="0">
      <text>
        <r>
          <rPr>
            <sz val="9"/>
            <color indexed="81"/>
            <rFont val="宋体"/>
            <family val="2"/>
          </rPr>
          <t xml:space="preserve">#Input("永炼_调度_航煤产品_管输量_外销",":key{{dw}}")
</t>
        </r>
      </text>
    </comment>
    <comment ref="P33" authorId="0">
      <text>
        <r>
          <rPr>
            <sz val="9"/>
            <color indexed="81"/>
            <rFont val="宋体"/>
            <family val="2"/>
          </rPr>
          <t xml:space="preserve">#Input("永炼_调度_航煤产品_内调_外销",":key{{dw}}")
</t>
        </r>
      </text>
    </comment>
    <comment ref="Q33" authorId="0">
      <text>
        <r>
          <rPr>
            <sz val="9"/>
            <color indexed="81"/>
            <rFont val="宋体"/>
            <family val="2"/>
          </rPr>
          <t xml:space="preserve">#Input("永炼_调度_航煤产品_库存_外销",":key{{dw}}")
</t>
        </r>
      </text>
    </comment>
    <comment ref="R33" authorId="0">
      <text>
        <r>
          <rPr>
            <sz val="9"/>
            <color indexed="81"/>
            <rFont val="Arial"/>
            <family val="2"/>
          </rPr>
          <t xml:space="preserve">#Input("永炼_调度_半成品库存_航煤_成品库容",":key{{dw}}")
</t>
        </r>
      </text>
    </comment>
    <comment ref="D34" authorId="0">
      <text>
        <r>
          <rPr>
            <sz val="9"/>
            <color indexed="81"/>
            <rFont val="宋体"/>
            <family val="2"/>
          </rPr>
          <t xml:space="preserve">#Input("永炼_调度_原料库存_航煤原料_当日",":key{{dw}}")
</t>
        </r>
      </text>
    </comment>
    <comment ref="E34" authorId="0">
      <text>
        <r>
          <rPr>
            <sz val="9"/>
            <color indexed="81"/>
            <rFont val="Arial"/>
            <family val="2"/>
          </rPr>
          <t xml:space="preserve">#Input("永炼_调度_原料库存_航煤原料_库容",":key{{dw}}")
</t>
        </r>
      </text>
    </comment>
    <comment ref="N34" authorId="0">
      <text>
        <r>
          <rPr>
            <sz val="9"/>
            <color indexed="81"/>
            <rFont val="宋体"/>
            <family val="2"/>
          </rPr>
          <t xml:space="preserve">#Input("永炼_调度_粗硫磺_公路销售_外销",":key{{dw}}")
</t>
        </r>
      </text>
    </comment>
    <comment ref="O34" authorId="0">
      <text>
        <r>
          <rPr>
            <sz val="9"/>
            <color indexed="81"/>
            <rFont val="宋体"/>
            <family val="2"/>
          </rPr>
          <t xml:space="preserve">#Input("永炼_调度_粗硫磺_管输量_外销",":key{{dw}}")
</t>
        </r>
      </text>
    </comment>
    <comment ref="P34" authorId="0">
      <text>
        <r>
          <rPr>
            <sz val="9"/>
            <color indexed="81"/>
            <rFont val="宋体"/>
            <family val="2"/>
          </rPr>
          <t xml:space="preserve">#Input("永炼_调度_粗硫磺_内调_外销",":key{{dw}}")
</t>
        </r>
      </text>
    </comment>
    <comment ref="Q34" authorId="0">
      <text>
        <r>
          <rPr>
            <sz val="9"/>
            <color indexed="81"/>
            <rFont val="宋体"/>
            <family val="2"/>
          </rPr>
          <t xml:space="preserve">#Input("永炼_调度_粗硫磺_库存_外销",":key{{dw}}")
</t>
        </r>
      </text>
    </comment>
    <comment ref="R34" authorId="0">
      <text>
        <r>
          <rPr>
            <sz val="9"/>
            <color indexed="81"/>
            <rFont val="Arial"/>
            <family val="2"/>
          </rPr>
          <t xml:space="preserve">#Input("永炼_调度_成品库存_粗硫磺_成品库容",":key{{dw}}")
</t>
        </r>
      </text>
    </comment>
    <comment ref="D35" authorId="0">
      <text>
        <r>
          <rPr>
            <sz val="9"/>
            <color indexed="81"/>
            <rFont val="宋体"/>
            <family val="2"/>
          </rPr>
          <t xml:space="preserve">#Input("永炼_调度_备注",":key{{dw}}")
</t>
        </r>
      </text>
    </comment>
    <comment ref="H36" authorId="0">
      <text>
        <r>
          <rPr>
            <sz val="9"/>
            <color indexed="81"/>
            <rFont val="Arial"/>
            <family val="2"/>
          </rPr>
          <t xml:space="preserve">#Input("永炼_永坪炼油厂生产调度台帐_单位负责人",":key{{dw}}")
</t>
        </r>
      </text>
    </comment>
    <comment ref="M36" authorId="0">
      <text>
        <r>
          <rPr>
            <sz val="9"/>
            <color indexed="81"/>
            <rFont val="Arial"/>
            <family val="2"/>
          </rPr>
          <t xml:space="preserve">#Input("永炼_永坪炼油厂生产调度台帐_审核人",":key{{dw}}")
</t>
        </r>
      </text>
    </comment>
    <comment ref="Q36" authorId="0">
      <text>
        <r>
          <rPr>
            <sz val="9"/>
            <color indexed="81"/>
            <rFont val="Arial"/>
            <family val="2"/>
          </rPr>
          <t xml:space="preserve">#Input("永炼_永坪炼油厂生产调度台帐_填报人",":key{{dw}}")
</t>
        </r>
      </text>
    </comment>
  </commentList>
</comments>
</file>

<file path=xl/sharedStrings.xml><?xml version="1.0" encoding="utf-8"?>
<sst xmlns="http://schemas.openxmlformats.org/spreadsheetml/2006/main" count="202" uniqueCount="110">
  <si>
    <t>永坪炼油厂生产调度台帐</t>
  </si>
  <si>
    <t>填报单位：</t>
  </si>
  <si>
    <t>永坪炼油厂</t>
  </si>
  <si>
    <t>统计日期：</t>
  </si>
  <si>
    <t>2026-01-06</t>
  </si>
  <si>
    <t>单位：</t>
  </si>
  <si>
    <t>吨</t>
  </si>
  <si>
    <t>规模</t>
  </si>
  <si>
    <t>210万吨/年常压</t>
  </si>
  <si>
    <t>250万吨/年常压</t>
  </si>
  <si>
    <t>合计</t>
  </si>
  <si>
    <t>50万吨/年催化</t>
  </si>
  <si>
    <t>120万吨/年催化</t>
  </si>
  <si>
    <t>加工量</t>
  </si>
  <si>
    <t>产量</t>
  </si>
  <si>
    <t>收率</t>
  </si>
  <si>
    <t>原油</t>
  </si>
  <si>
    <t>原料油</t>
  </si>
  <si>
    <t>石脑油</t>
  </si>
  <si>
    <t>其中1#渣油</t>
  </si>
  <si>
    <t>柴油</t>
  </si>
  <si>
    <t>汽油</t>
  </si>
  <si>
    <t>三线油</t>
  </si>
  <si>
    <t xml:space="preserve">航煤原料 </t>
  </si>
  <si>
    <t>液化气</t>
  </si>
  <si>
    <t>渣油</t>
  </si>
  <si>
    <t>油浆</t>
  </si>
  <si>
    <t>15万吨/年重整</t>
  </si>
  <si>
    <t>20万吨/年航煤</t>
  </si>
  <si>
    <t>90万吨/年汽油精制</t>
  </si>
  <si>
    <t>140万吨/年柴油精制</t>
  </si>
  <si>
    <t>0.32万吨/年硫磺回收</t>
  </si>
  <si>
    <t>添加剂调和用量</t>
  </si>
  <si>
    <t>烷基化油</t>
  </si>
  <si>
    <t>硫磺</t>
  </si>
  <si>
    <t>二甲苯</t>
  </si>
  <si>
    <t>脱戊烷油</t>
  </si>
  <si>
    <t>航煤产量</t>
  </si>
  <si>
    <t>精制汽油</t>
  </si>
  <si>
    <t>精制柴油</t>
  </si>
  <si>
    <t>MTBE</t>
  </si>
  <si>
    <t>石脑油Ⅰ</t>
  </si>
  <si>
    <t>粗汽油</t>
  </si>
  <si>
    <t>石脑油Ⅱ</t>
  </si>
  <si>
    <t>天然气</t>
  </si>
  <si>
    <t>调入原油</t>
  </si>
  <si>
    <t>外购原料</t>
  </si>
  <si>
    <t>原料库存</t>
  </si>
  <si>
    <t>原料油气内部调拨</t>
  </si>
  <si>
    <t>原  油</t>
  </si>
  <si>
    <t>当日</t>
  </si>
  <si>
    <t>原料</t>
  </si>
  <si>
    <t>车辆调运</t>
  </si>
  <si>
    <t>调入</t>
  </si>
  <si>
    <t>调出</t>
  </si>
  <si>
    <t>成品</t>
  </si>
  <si>
    <t>公路销售</t>
  </si>
  <si>
    <t>管输量</t>
  </si>
  <si>
    <t>内调</t>
  </si>
  <si>
    <t>库存</t>
  </si>
  <si>
    <t>库容</t>
  </si>
  <si>
    <t>空量</t>
  </si>
  <si>
    <t>原油入库</t>
  </si>
  <si>
    <t>榆炼1#渣油</t>
  </si>
  <si>
    <t>长庆原油</t>
  </si>
  <si>
    <t>榆能化（一）1渣油</t>
  </si>
  <si>
    <t>外销液化气</t>
  </si>
  <si>
    <t>管输原油</t>
  </si>
  <si>
    <t>92#</t>
  </si>
  <si>
    <t>原  料</t>
  </si>
  <si>
    <t>粗硫磺</t>
  </si>
  <si>
    <t>原料液化气</t>
  </si>
  <si>
    <t>0#</t>
  </si>
  <si>
    <t>精制石脑</t>
  </si>
  <si>
    <t>常压柴油</t>
  </si>
  <si>
    <t xml:space="preserve"> -10#</t>
  </si>
  <si>
    <t>永坪站库存</t>
  </si>
  <si>
    <t>加氢粗汽</t>
  </si>
  <si>
    <t xml:space="preserve"> -20#</t>
  </si>
  <si>
    <r>
      <t>1</t>
    </r>
    <r>
      <rPr>
        <charset val="134"/>
        <family val="3"/>
        <rFont val="等线"/>
        <sz val="11"/>
        <vertAlign val="superscript"/>
      </rPr>
      <t>#</t>
    </r>
    <r>
      <rPr>
        <charset val="134"/>
        <family val="3"/>
        <rFont val="等线"/>
        <sz val="11"/>
      </rPr>
      <t>渣油</t>
    </r>
  </si>
  <si>
    <t>-20#柴油半成品库存</t>
  </si>
  <si>
    <t xml:space="preserve">石脑油Ⅳ </t>
  </si>
  <si>
    <t>重整原料</t>
  </si>
  <si>
    <t>可售量库存</t>
  </si>
  <si>
    <t>半成品库存</t>
  </si>
  <si>
    <t>其中：外调石脑油</t>
  </si>
  <si>
    <t>可售92#</t>
  </si>
  <si>
    <t>半成品</t>
  </si>
  <si>
    <t>备注：</t>
  </si>
  <si>
    <t>加氢原料(催柴)</t>
  </si>
  <si>
    <t>可售97#</t>
  </si>
  <si>
    <t xml:space="preserve"> 民用液化气</t>
  </si>
  <si>
    <t>加氢原料(常柴)</t>
  </si>
  <si>
    <t>可售0#</t>
  </si>
  <si>
    <t>轻石脑油</t>
  </si>
  <si>
    <t xml:space="preserve">汽油精制原料  </t>
  </si>
  <si>
    <t>可售-10#</t>
  </si>
  <si>
    <t>航煤</t>
  </si>
  <si>
    <t>航煤产品</t>
  </si>
  <si>
    <t>航煤原料</t>
  </si>
  <si>
    <t>单位负责人：</t>
  </si>
  <si>
    <t>马海龙</t>
  </si>
  <si>
    <t>审核人：</t>
  </si>
  <si>
    <t>吴虎东</t>
  </si>
  <si>
    <t>填报人：</t>
  </si>
  <si>
    <t>高矿矿</t>
  </si>
  <si>
    <t>报表生成时间：</t>
  </si>
  <si>
    <t>2026-01-07</t>
  </si>
  <si>
    <t xml:space="preserve"> 8:00:00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</si>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</sst>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yyyy&quot;年&quot;m&quot;月&quot;d&quot;日&quot;;@"/>
    <numFmt numFmtId="173" formatCode="0_);[Red]\(0\)"/>
    <numFmt numFmtId="174" formatCode="#"/>
    <numFmt numFmtId="175" formatCode="0;[Red]0"/>
    <numFmt numFmtId="176" formatCode="0.000;[Red]0.000"/>
  </numFmts>
  <fonts count="24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2"/>
      <color auto="1"/>
      <name val="宋体"/>
    </font>
    <font>
      <sz val="11"/>
      <color auto="1"/>
      <name val="等线"/>
    </font>
    <font>
      <sz val="11"/>
      <color theme="1"/>
      <name val="等线"/>
    </font>
    <font>
      <b/>
      <sz val="11"/>
      <color auto="1"/>
      <name val="等线"/>
    </font>
    <font>
      <b/>
      <sz val="11"/>
      <color theme="1"/>
      <name val="等线"/>
    </font>
    <font>
      <b/>
      <sz val="18"/>
      <color auto="1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2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center"/>
    </xf>
  </cellStyleXfs>
  <cellXfs count="232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center"/>
    </xf>
    <xf numFmtId="0" fontId="19" fillId="33" borderId="10" xfId="47" applyFont="1" applyFill="1" applyBorder="1">
      <alignment horizontal="center" vertical="center"/>
    </xf>
    <xf numFmtId="0" fontId="19" fillId="0" borderId="10" xfId="0" applyFont="1" applyBorder="1">
      <alignment horizontal="center" vertical="center"/>
    </xf>
    <xf numFmtId="0" fontId="19" fillId="0" borderId="10" xfId="0" applyFont="1" applyBorder="1">
      <alignment horizontal="center" vertical="center"/>
    </xf>
    <xf numFmtId="0" fontId="20" fillId="0" borderId="10" xfId="0" applyFont="1" applyBorder="1">
      <alignment horizontal="center" vertical="center"/>
    </xf>
    <xf numFmtId="0" fontId="19" fillId="33" borderId="10" xfId="0" applyFont="1" applyFill="1" applyBorder="1">
      <alignment horizontal="center" vertical="center"/>
    </xf>
    <xf numFmtId="0" fontId="0" fillId="11" borderId="0" xfId="0" applyFont="1" applyFill="1"/>
    <xf numFmtId="0" fontId="19" fillId="0" borderId="0" xfId="0" applyFont="1">
      <alignment horizontal="left" vertical="center"/>
    </xf>
    <xf numFmtId="0" fontId="0" fillId="11" borderId="0" xfId="0" applyFont="1" applyFill="1"/>
    <xf numFmtId="0" fontId="0" fillId="11" borderId="0" xfId="0" applyFont="1" applyFill="1"/>
    <xf numFmtId="0" fontId="20" fillId="0" borderId="0" xfId="0" applyFont="1"/>
    <xf numFmtId="171" fontId="20" fillId="7" borderId="10" xfId="0" applyFont="1" applyFill="1" applyBorder="1" applyNumberFormat="1">
      <alignment horizontal="center" vertical="center"/>
    </xf>
    <xf numFmtId="171" fontId="20" fillId="0" borderId="10" xfId="0" applyFont="1" applyBorder="1" applyNumberFormat="1">
      <alignment horizontal="center" vertical="center"/>
    </xf>
    <xf numFmtId="0" fontId="19" fillId="0" borderId="10" xfId="0" applyFont="1" applyBorder="1">
      <alignment horizontal="center" vertical="center"/>
    </xf>
    <xf numFmtId="0" fontId="19" fillId="0" borderId="0" xfId="0" applyFont="1">
      <alignment vertical="center"/>
    </xf>
    <xf numFmtId="172" fontId="19" fillId="0" borderId="0" xfId="0" applyFont="1" applyNumberFormat="1">
      <alignment horizontal="left" vertical="center"/>
    </xf>
    <xf numFmtId="172" fontId="19" fillId="0" borderId="0" xfId="0" applyFont="1" applyNumberFormat="1">
      <alignment vertical="center"/>
    </xf>
    <xf numFmtId="0" fontId="19" fillId="0" borderId="0" xfId="0" applyFont="1">
      <alignment horizontal="right" vertical="center"/>
    </xf>
    <xf numFmtId="0" fontId="19" fillId="0" borderId="11" xfId="0" applyFont="1" applyBorder="1">
      <alignment horizontal="left" vertical="center" wrapText="1"/>
    </xf>
    <xf numFmtId="0" fontId="21" fillId="0" borderId="10" xfId="0" applyFont="1" applyBorder="1">
      <alignment horizontal="center" vertical="center"/>
    </xf>
    <xf numFmtId="10" fontId="19" fillId="0" borderId="10" xfId="43" applyFont="1" applyBorder="1" applyNumberFormat="1">
      <alignment horizontal="center" vertical="center"/>
    </xf>
    <xf numFmtId="173" fontId="20" fillId="7" borderId="10" xfId="0" applyFont="1" applyFill="1" applyBorder="1" applyNumberFormat="1">
      <alignment horizontal="center" vertical="center"/>
    </xf>
    <xf numFmtId="10" fontId="20" fillId="0" borderId="10" xfId="43" applyFont="1" applyBorder="1" applyNumberFormat="1">
      <alignment horizontal="center" vertical="center"/>
    </xf>
    <xf numFmtId="173" fontId="20" fillId="0" borderId="10" xfId="0" applyFont="1" applyBorder="1" applyNumberFormat="1">
      <alignment horizontal="center" vertical="center"/>
    </xf>
    <xf numFmtId="0" fontId="20" fillId="0" borderId="10" xfId="0" applyFont="1" applyBorder="1">
      <alignment horizontal="center" vertical="center"/>
    </xf>
    <xf numFmtId="10" fontId="20" fillId="0" borderId="10" xfId="0" applyFont="1" applyBorder="1" applyNumberFormat="1">
      <alignment horizontal="center" vertical="center"/>
    </xf>
    <xf numFmtId="171" fontId="20" fillId="7" borderId="10" xfId="0" applyFont="1" applyFill="1" applyBorder="1" applyNumberFormat="1">
      <alignment vertical="center"/>
    </xf>
    <xf numFmtId="0" fontId="20" fillId="0" borderId="10" xfId="0" applyFont="1" applyBorder="1"/>
    <xf numFmtId="171" fontId="20" fillId="0" borderId="10" xfId="0" applyFont="1" applyBorder="1" applyNumberFormat="1">
      <alignment vertical="center"/>
    </xf>
    <xf numFmtId="171" fontId="22" fillId="0" borderId="10" xfId="0" applyFont="1" applyBorder="1" applyNumberFormat="1">
      <alignment horizontal="center" vertical="center"/>
    </xf>
    <xf numFmtId="0" fontId="19" fillId="33" borderId="10" xfId="47" applyFont="1" applyFill="1" applyBorder="1">
      <alignment horizontal="center" vertical="center"/>
    </xf>
    <xf numFmtId="0" fontId="19" fillId="33" borderId="10" xfId="0" applyFont="1" applyFill="1" applyBorder="1">
      <alignment horizontal="center" vertical="center"/>
    </xf>
    <xf numFmtId="0" fontId="21" fillId="0" borderId="12" xfId="0" applyFont="1" applyBorder="1">
      <alignment horizontal="center" vertical="center"/>
    </xf>
    <xf numFmtId="171" fontId="20" fillId="7" borderId="13" xfId="0" applyFont="1" applyFill="1" applyBorder="1" applyNumberFormat="1">
      <alignment horizontal="center" vertical="center"/>
    </xf>
    <xf numFmtId="0" fontId="19" fillId="0" borderId="12" xfId="0" applyFont="1" applyBorder="1">
      <alignment horizontal="center" vertical="center"/>
    </xf>
    <xf numFmtId="0" fontId="20" fillId="0" borderId="13" xfId="0" applyFont="1" applyBorder="1">
      <alignment horizontal="center" vertical="center"/>
    </xf>
    <xf numFmtId="171" fontId="20" fillId="0" borderId="13" xfId="0" applyFont="1" applyBorder="1" applyNumberFormat="1">
      <alignment horizontal="center" vertical="center"/>
    </xf>
    <xf numFmtId="0" fontId="21" fillId="0" borderId="13" xfId="0" applyFont="1" applyBorder="1">
      <alignment horizontal="center" vertical="center"/>
    </xf>
    <xf numFmtId="171" fontId="22" fillId="0" borderId="13" xfId="0" applyFont="1" applyBorder="1" applyNumberFormat="1">
      <alignment horizontal="center" vertical="center"/>
    </xf>
    <xf numFmtId="0" fontId="20" fillId="0" borderId="13" xfId="0" applyFont="1" applyBorder="1"/>
    <xf numFmtId="174" fontId="20" fillId="0" borderId="0" xfId="0" applyFont="1" applyNumberFormat="1">
      <alignment horizontal="left" vertical="center" wrapText="1"/>
    </xf>
    <xf numFmtId="175" fontId="20" fillId="0" borderId="0" xfId="0" applyFont="1" applyNumberFormat="1">
      <alignment horizontal="right" vertical="center" wrapText="1"/>
    </xf>
    <xf numFmtId="0" fontId="0" fillId="0" borderId="0" xfId="0" applyFont="1">
      <alignment horizontal="center" vertical="center"/>
    </xf>
    <xf numFmtId="0" fontId="0" fillId="0" borderId="0" xfId="0" applyFont="1">
      <alignment horizontal="left" vertical="center"/>
    </xf>
    <xf numFmtId="0" fontId="0" fillId="0" borderId="0" xfId="0" applyFont="1">
      <alignment horizontal="center" vertical="center"/>
    </xf>
    <xf numFmtId="176" fontId="17" fillId="0" borderId="0" xfId="0" applyFont="1" applyNumberFormat="1">
      <alignment horizontal="center" vertical="center"/>
    </xf>
    <xf numFmtId="175" fontId="0" fillId="0" borderId="0" xfId="0" applyFont="1" applyNumberFormat="1">
      <alignment horizontal="center" vertical="center"/>
    </xf>
    <xf numFmtId="171" fontId="0" fillId="0" borderId="0" xfId="0" applyFont="1" applyNumberFormat="1">
      <alignment horizontal="center" vertical="center"/>
    </xf>
    <xf numFmtId="0" fontId="20" fillId="7" borderId="10" xfId="0" applyFont="1" applyFill="1" applyBorder="1">
      <alignment horizontal="center" vertical="center"/>
    </xf>
    <xf numFmtId="171" fontId="20" fillId="7" borderId="10" xfId="0" applyFont="1" applyFill="1" applyBorder="1" applyNumberFormat="1">
      <alignment horizontal="center" vertical="center"/>
    </xf>
    <xf numFmtId="0" fontId="20" fillId="0" borderId="0" xfId="0" applyFont="1"/>
    <xf numFmtId="171" fontId="20" fillId="7" borderId="10" xfId="0" applyFont="1" applyFill="1" applyBorder="1" applyNumberFormat="1">
      <alignment horizontal="center" vertical="center"/>
    </xf>
    <xf numFmtId="0" fontId="19" fillId="0" borderId="10" xfId="0" applyFont="1" applyBorder="1">
      <alignment horizontal="right" vertical="center"/>
    </xf>
    <xf numFmtId="0" fontId="19" fillId="0" borderId="10" xfId="0" applyFont="1" applyBorder="1">
      <alignment vertical="center"/>
    </xf>
    <xf numFmtId="0" fontId="19" fillId="0" borderId="13" xfId="0" applyFont="1" applyBorder="1">
      <alignment vertical="center"/>
    </xf>
    <xf numFmtId="174" fontId="19" fillId="7" borderId="13" xfId="0" applyFont="1" applyFill="1" applyBorder="1" applyNumberFormat="1">
      <alignment horizontal="left" vertical="center" wrapText="1"/>
    </xf>
    <xf numFmtId="0" fontId="20" fillId="0" borderId="14" xfId="0" applyFont="1" applyBorder="1">
      <alignment vertical="center" wrapText="1"/>
    </xf>
    <xf numFmtId="0" fontId="0" fillId="0" borderId="0" xfId="0" applyFont="1">
      <alignment horizontal="center" vertical="center"/>
    </xf>
    <xf numFmtId="0" fontId="0" fillId="0" borderId="0" xfId="0" applyFont="1">
      <alignment horizontal="left" vertical="center"/>
    </xf>
    <xf numFmtId="0" fontId="19" fillId="0" borderId="10" xfId="0" applyFont="1" applyBorder="1">
      <alignment horizontal="center" vertical="center"/>
    </xf>
    <xf numFmtId="10" fontId="20" fillId="0" borderId="10" xfId="0" applyFont="1" applyBorder="1" applyNumberFormat="1">
      <alignment horizontal="center" vertical="center"/>
    </xf>
    <xf numFmtId="10" fontId="20" fillId="0" borderId="10" xfId="43" applyFont="1" applyBorder="1" applyNumberFormat="1">
      <alignment horizontal="center" vertical="center"/>
    </xf>
    <xf numFmtId="0" fontId="23" fillId="0" borderId="15" xfId="0" applyFont="1" applyBorder="1">
      <alignment horizontal="center" vertical="center"/>
    </xf>
    <xf numFmtId="0" fontId="23" fillId="0" borderId="16" xfId="0" applyFont="1" applyBorder="1">
      <alignment horizontal="center" vertical="center"/>
    </xf>
    <xf numFmtId="0" fontId="23" fillId="0" borderId="17" xfId="0" applyFont="1" applyBorder="1">
      <alignment horizontal="center" vertical="center"/>
    </xf>
    <xf numFmtId="0" fontId="21" fillId="0" borderId="10" xfId="0" applyFont="1" applyBorder="1">
      <alignment horizontal="center" vertical="center"/>
    </xf>
    <xf numFmtId="172" fontId="19" fillId="0" borderId="0" xfId="0" applyFont="1" applyNumberFormat="1">
      <alignment horizontal="center" vertical="center"/>
    </xf>
    <xf numFmtId="0" fontId="19" fillId="0" borderId="18" xfId="0" applyFont="1" applyBorder="1">
      <alignment horizontal="right" vertical="center"/>
    </xf>
    <xf numFmtId="0" fontId="19" fillId="0" borderId="0" xfId="0" applyFont="1">
      <alignment horizontal="right" vertical="center"/>
    </xf>
    <xf numFmtId="0" fontId="19" fillId="0" borderId="0" xfId="0" applyFont="1">
      <alignment horizontal="left" vertical="center"/>
    </xf>
    <xf numFmtId="0" fontId="20" fillId="0" borderId="10" xfId="0" applyFont="1" applyBorder="1">
      <alignment horizontal="center" vertical="center"/>
    </xf>
    <xf numFmtId="0" fontId="21" fillId="0" borderId="13" xfId="0" applyFont="1" applyBorder="1">
      <alignment horizontal="center" vertical="center"/>
    </xf>
    <xf numFmtId="171" fontId="20" fillId="0" borderId="10" xfId="0" applyFont="1" applyBorder="1" applyNumberFormat="1">
      <alignment horizontal="center" vertical="center"/>
    </xf>
    <xf numFmtId="0" fontId="21" fillId="0" borderId="12" xfId="0" applyFont="1" applyBorder="1">
      <alignment horizontal="center" vertical="center"/>
    </xf>
    <xf numFmtId="0" fontId="19" fillId="0" borderId="12" xfId="0" applyFont="1" applyBorder="1">
      <alignment horizontal="center" vertical="center"/>
    </xf>
    <xf numFmtId="171" fontId="20" fillId="7" borderId="10" xfId="0" applyFont="1" applyFill="1" applyBorder="1" applyNumberFormat="1">
      <alignment horizontal="center" vertical="center"/>
    </xf>
    <xf numFmtId="49" fontId="20" fillId="0" borderId="10" xfId="0" applyFont="1" applyBorder="1" applyNumberFormat="1">
      <alignment horizontal="center" vertical="center"/>
    </xf>
    <xf numFmtId="0" fontId="20" fillId="0" borderId="14" xfId="0" applyFont="1" applyBorder="1">
      <alignment horizontal="right" vertical="center" wrapText="1"/>
    </xf>
    <xf numFmtId="0" fontId="19" fillId="0" borderId="19" xfId="0" applyFont="1" applyBorder="1">
      <alignment horizontal="center" vertical="center"/>
    </xf>
    <xf numFmtId="0" fontId="19" fillId="0" borderId="20" xfId="0" applyFont="1" applyBorder="1">
      <alignment horizontal="center" vertical="center"/>
    </xf>
    <xf numFmtId="0" fontId="19" fillId="7" borderId="20" xfId="0" applyFont="1" applyFill="1" applyBorder="1">
      <alignment horizontal="center" vertical="center"/>
    </xf>
    <xf numFmtId="0" fontId="19" fillId="7" borderId="21" xfId="0" applyFont="1" applyFill="1" applyBorder="1">
      <alignment horizontal="center" vertical="center"/>
    </xf>
    <xf numFmtId="0" fontId="20" fillId="0" borderId="12" xfId="0" applyFont="1" applyBorder="1">
      <alignment horizontal="center" vertical="center"/>
    </xf>
    <xf numFmtId="0" fontId="20" fillId="0" borderId="0" xfId="0" applyFont="1">
      <alignment wrapText="1"/>
    </xf>
    <xf numFmtId="0" fontId="23" fillId="0" borderId="15" xfId="0" applyFont="1" applyBorder="1">
      <alignment horizontal="center" vertical="center" wrapText="1"/>
    </xf>
    <xf numFmtId="0" fontId="23" fillId="0" borderId="16" xfId="0" applyFont="1" applyBorder="1">
      <alignment horizontal="center" vertical="center" wrapText="1"/>
    </xf>
    <xf numFmtId="0" fontId="23" fillId="0" borderId="17" xfId="0" applyFont="1" applyBorder="1">
      <alignment horizontal="center" vertical="center" wrapText="1"/>
    </xf>
    <xf numFmtId="0" fontId="19" fillId="0" borderId="18" xfId="0" applyFont="1" applyBorder="1">
      <alignment horizontal="right" vertical="center" wrapText="1"/>
    </xf>
    <xf numFmtId="0" fontId="19" fillId="0" borderId="0" xfId="0" applyFont="1">
      <alignment horizontal="right" vertical="center" wrapText="1"/>
    </xf>
    <xf numFmtId="0" fontId="19" fillId="0" borderId="0" xfId="0" applyFont="1">
      <alignment horizontal="left" vertical="center" wrapText="1"/>
    </xf>
    <xf numFmtId="0" fontId="19" fillId="0" borderId="0" xfId="0" applyFont="1">
      <alignment vertical="center" wrapText="1"/>
    </xf>
    <xf numFmtId="172" fontId="19" fillId="0" borderId="0" xfId="0" applyFont="1" applyNumberFormat="1">
      <alignment horizontal="left" vertical="center" wrapText="1"/>
    </xf>
    <xf numFmtId="172" fontId="19" fillId="0" borderId="0" xfId="0" applyFont="1" applyNumberFormat="1">
      <alignment vertical="center" wrapText="1"/>
    </xf>
    <xf numFmtId="172" fontId="19" fillId="0" borderId="0" xfId="0" applyFont="1" applyNumberFormat="1">
      <alignment horizontal="center" vertical="center" wrapText="1"/>
    </xf>
    <xf numFmtId="0" fontId="19" fillId="0" borderId="0" xfId="0" applyFont="1">
      <alignment horizontal="right" vertical="center" wrapText="1"/>
    </xf>
    <xf numFmtId="0" fontId="19" fillId="0" borderId="11" xfId="0" applyFont="1" applyBorder="1">
      <alignment horizontal="left" vertical="center" wrapText="1"/>
    </xf>
    <xf numFmtId="0" fontId="21" fillId="0" borderId="12" xfId="0" applyFont="1" applyBorder="1">
      <alignment horizontal="center" vertical="center" wrapText="1"/>
    </xf>
    <xf numFmtId="0" fontId="21" fillId="0" borderId="10" xfId="0" applyFont="1" applyBorder="1">
      <alignment horizontal="center" vertical="center" wrapText="1"/>
    </xf>
    <xf numFmtId="0" fontId="21" fillId="0" borderId="10" xfId="0" applyFont="1" applyBorder="1">
      <alignment horizontal="center" vertical="center" wrapText="1"/>
    </xf>
    <xf numFmtId="0" fontId="20" fillId="0" borderId="10" xfId="0" applyFont="1" applyBorder="1">
      <alignment wrapText="1"/>
    </xf>
    <xf numFmtId="0" fontId="20" fillId="0" borderId="13" xfId="0" applyFont="1" applyBorder="1">
      <alignment wrapText="1"/>
    </xf>
    <xf numFmtId="0" fontId="19" fillId="0" borderId="12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10" fontId="19" fillId="0" borderId="10" xfId="0" applyFont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173" fontId="20" fillId="7" borderId="10" xfId="0" applyFont="1" applyFill="1" applyBorder="1" applyNumberFormat="1">
      <alignment horizontal="center" vertical="center" wrapText="1"/>
      <protection locked="0"/>
    </xf>
    <xf numFmtId="10" fontId="20" fillId="0" borderId="10" xfId="0" applyFont="1" applyBorder="1" applyNumberFormat="1">
      <alignment horizontal="center" vertical="center" wrapText="1"/>
    </xf>
    <xf numFmtId="173" fontId="20" fillId="0" borderId="10" xfId="0" applyFont="1" applyBorder="1" applyNumberFormat="1">
      <alignment horizontal="center" vertical="center" wrapText="1"/>
    </xf>
    <xf numFmtId="10" fontId="20" fillId="0" borderId="10" xfId="0" applyFont="1" applyBorder="1" applyNumberFormat="1">
      <alignment horizontal="center" vertical="center" wrapText="1"/>
    </xf>
    <xf numFmtId="10" fontId="20" fillId="0" borderId="10" xfId="0" applyFont="1" applyBorder="1" applyNumberFormat="1">
      <alignment horizontal="center" vertical="center" wrapText="1"/>
    </xf>
    <xf numFmtId="0" fontId="20" fillId="0" borderId="10" xfId="0" applyFont="1" applyBorder="1">
      <alignment horizontal="center" vertical="center" wrapText="1"/>
    </xf>
    <xf numFmtId="0" fontId="21" fillId="0" borderId="13" xfId="0" applyFont="1" applyBorder="1">
      <alignment horizontal="center" vertical="center" wrapText="1"/>
    </xf>
    <xf numFmtId="171" fontId="20" fillId="7" borderId="13" xfId="0" applyFont="1" applyFill="1" applyBorder="1" applyNumberFormat="1">
      <alignment horizontal="center" vertical="center" wrapText="1"/>
      <protection locked="0"/>
    </xf>
    <xf numFmtId="171" fontId="20" fillId="7" borderId="10" xfId="0" applyFont="1" applyFill="1" applyBorder="1" applyNumberFormat="1">
      <alignment horizontal="center" vertical="center" wrapText="1"/>
      <protection locked="0"/>
    </xf>
    <xf numFmtId="10" fontId="20" fillId="0" borderId="10" xfId="0" applyFont="1" applyBorder="1" applyNumberFormat="1">
      <alignment horizontal="center" vertical="center" wrapText="1"/>
    </xf>
    <xf numFmtId="171" fontId="20" fillId="7" borderId="10" xfId="0" applyFont="1" applyFill="1" applyBorder="1" applyNumberFormat="1">
      <alignment vertical="center" wrapText="1"/>
      <protection locked="0"/>
    </xf>
    <xf numFmtId="0" fontId="20" fillId="0" borderId="10" xfId="0" applyFont="1" applyBorder="1">
      <alignment horizontal="center" vertical="center" wrapText="1"/>
    </xf>
    <xf numFmtId="171" fontId="20" fillId="0" borderId="10" xfId="0" applyFont="1" applyBorder="1" applyNumberFormat="1">
      <alignment vertical="center" wrapText="1"/>
    </xf>
    <xf numFmtId="171" fontId="20" fillId="0" borderId="13" xfId="0" applyFont="1" applyBorder="1" applyNumberFormat="1">
      <alignment horizontal="center" vertical="center" wrapText="1"/>
    </xf>
    <xf numFmtId="171" fontId="20" fillId="0" borderId="10" xfId="0" applyFont="1" applyBorder="1" applyNumberFormat="1">
      <alignment horizontal="center" vertical="center" wrapText="1"/>
    </xf>
    <xf numFmtId="171" fontId="20" fillId="0" borderId="10" xfId="0" applyFont="1" applyBorder="1" applyNumberFormat="1">
      <alignment horizontal="center" vertical="center" wrapText="1"/>
    </xf>
    <xf numFmtId="0" fontId="21" fillId="0" borderId="12" xfId="0" applyFont="1" applyBorder="1">
      <alignment horizontal="center" vertical="center" wrapText="1"/>
    </xf>
    <xf numFmtId="0" fontId="20" fillId="0" borderId="13" xfId="0" applyFont="1" applyBorder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21" fillId="0" borderId="13" xfId="0" applyFont="1" applyBorder="1">
      <alignment horizontal="center" vertical="center" wrapText="1"/>
    </xf>
    <xf numFmtId="171" fontId="20" fillId="7" borderId="10" xfId="0" applyFont="1" applyFill="1" applyBorder="1" applyNumberFormat="1">
      <alignment horizontal="center" vertical="center" wrapText="1"/>
      <protection locked="0"/>
    </xf>
    <xf numFmtId="0" fontId="20" fillId="7" borderId="10" xfId="0" applyFont="1" applyFill="1" applyBorder="1">
      <alignment horizontal="center" vertical="center" wrapText="1"/>
      <protection locked="0"/>
    </xf>
    <xf numFmtId="171" fontId="20" fillId="7" borderId="10" xfId="0" applyFont="1" applyFill="1" applyBorder="1" applyNumberFormat="1">
      <alignment horizontal="center" vertical="center" wrapText="1"/>
      <protection locked="0"/>
    </xf>
    <xf numFmtId="171" fontId="20" fillId="7" borderId="10" xfId="0" applyFont="1" applyFill="1" applyBorder="1" applyNumberFormat="1">
      <alignment horizontal="center" vertical="center" wrapText="1"/>
    </xf>
    <xf numFmtId="171" fontId="22" fillId="0" borderId="10" xfId="0" applyFont="1" applyBorder="1" applyNumberFormat="1">
      <alignment horizontal="center" vertical="center" wrapText="1"/>
    </xf>
    <xf numFmtId="171" fontId="22" fillId="0" borderId="13" xfId="0" applyFont="1" applyBorder="1" applyNumberFormat="1">
      <alignment horizontal="center" vertical="center" wrapText="1"/>
    </xf>
    <xf numFmtId="171" fontId="20" fillId="7" borderId="10" xfId="0" applyFont="1" applyFill="1" applyBorder="1" applyNumberFormat="1">
      <alignment horizontal="center" vertical="center" wrapText="1"/>
      <protection locked="0"/>
    </xf>
    <xf numFmtId="0" fontId="19" fillId="33" borderId="10" xfId="0" applyFont="1" applyFill="1" applyBorder="1">
      <alignment horizontal="center" vertical="center" wrapText="1"/>
    </xf>
    <xf numFmtId="171" fontId="20" fillId="7" borderId="10" xfId="0" applyFont="1" applyFill="1" applyBorder="1" applyNumberFormat="1">
      <alignment horizontal="center" vertical="center" wrapText="1"/>
      <protection locked="0"/>
    </xf>
    <xf numFmtId="0" fontId="19" fillId="0" borderId="10" xfId="0" applyFont="1" applyBorder="1">
      <alignment vertical="center" wrapText="1"/>
    </xf>
    <xf numFmtId="0" fontId="19" fillId="0" borderId="13" xfId="0" applyFont="1" applyBorder="1">
      <alignment vertical="center" wrapText="1"/>
    </xf>
    <xf numFmtId="0" fontId="19" fillId="33" borderId="10" xfId="0" applyFont="1" applyFill="1" applyBorder="1">
      <alignment horizontal="center" vertical="center" wrapText="1"/>
    </xf>
    <xf numFmtId="49" fontId="20" fillId="0" borderId="10" xfId="0" applyFont="1" applyBorder="1" applyNumberFormat="1">
      <alignment horizontal="center" vertical="center" wrapText="1"/>
    </xf>
    <xf numFmtId="0" fontId="19" fillId="0" borderId="10" xfId="0" applyFont="1" applyBorder="1">
      <alignment horizontal="right" vertical="center" wrapText="1"/>
    </xf>
    <xf numFmtId="174" fontId="19" fillId="7" borderId="13" xfId="0" applyFont="1" applyFill="1" applyBorder="1" applyNumberFormat="1">
      <alignment horizontal="left" vertical="center" wrapText="1"/>
      <protection locked="0"/>
    </xf>
    <xf numFmtId="0" fontId="20" fillId="0" borderId="12" xfId="0" applyFont="1" applyBorder="1">
      <alignment horizontal="center" vertical="center" wrapText="1"/>
    </xf>
    <xf numFmtId="0" fontId="0" fillId="0" borderId="0" xfId="0" applyFont="1"/>
    <xf numFmtId="0" fontId="20" fillId="0" borderId="0" xfId="0" applyFont="1">
      <alignment wrapText="1"/>
    </xf>
    <xf numFmtId="0" fontId="19" fillId="0" borderId="19" xfId="0" applyFont="1" applyBorder="1">
      <alignment horizontal="center" vertical="center" wrapText="1"/>
    </xf>
    <xf numFmtId="0" fontId="19" fillId="0" borderId="20" xfId="0" applyFont="1" applyBorder="1">
      <alignment horizontal="center" vertical="center" wrapText="1"/>
    </xf>
    <xf numFmtId="0" fontId="19" fillId="7" borderId="20" xfId="0" applyFont="1" applyFill="1" applyBorder="1">
      <alignment horizontal="center" vertical="center" wrapText="1"/>
      <protection locked="0"/>
    </xf>
    <xf numFmtId="0" fontId="19" fillId="7" borderId="20" xfId="0" applyFont="1" applyFill="1" applyBorder="1">
      <alignment horizontal="center" vertical="center" wrapText="1"/>
    </xf>
    <xf numFmtId="0" fontId="19" fillId="7" borderId="21" xfId="0" applyFont="1" applyFill="1" applyBorder="1">
      <alignment horizontal="center" vertical="center" wrapText="1"/>
    </xf>
    <xf numFmtId="0" fontId="20" fillId="0" borderId="14" xfId="0" applyFont="1" applyBorder="1">
      <alignment horizontal="right" vertical="center" wrapText="1"/>
    </xf>
    <xf numFmtId="174" fontId="20" fillId="0" borderId="0" xfId="0" applyFont="1" applyNumberFormat="1">
      <alignment horizontal="left" vertical="center" wrapText="1"/>
      <protection locked="0"/>
    </xf>
    <xf numFmtId="0" fontId="20" fillId="0" borderId="14" xfId="0" applyFont="1" applyBorder="1">
      <alignment vertical="center" wrapText="1"/>
    </xf>
    <xf numFmtId="175" fontId="20" fillId="0" borderId="0" xfId="0" applyFont="1" applyNumberFormat="1">
      <alignment horizontal="right" vertical="center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11" borderId="0" xfId="0" applyFont="1" applyFill="1">
      <alignment wrapText="1"/>
    </xf>
    <xf numFmtId="0" fontId="0" fillId="11" borderId="0" xfId="0" applyFont="1" applyFill="1">
      <alignment wrapText="1"/>
    </xf>
    <xf numFmtId="0" fontId="0" fillId="11" borderId="0" xfId="0" applyFont="1" applyFill="1">
      <alignment wrapText="1"/>
    </xf>
    <xf numFmtId="0" fontId="0" fillId="0" borderId="0" xfId="0" applyFont="1"/>
    <xf numFmtId="0" fontId="0" fillId="0" borderId="0" xfId="0" applyFont="1">
      <alignment wrapText="1"/>
    </xf>
    <xf numFmtId="0" fontId="19" fillId="0" borderId="0" xfId="0" applyFont="1">
      <alignment horizontal="left" vertical="center"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19" fillId="0" borderId="10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33" borderId="10" xfId="0" applyFont="1" applyFill="1" applyBorder="1">
      <alignment horizontal="center" vertical="center" wrapText="1"/>
    </xf>
    <xf numFmtId="0" fontId="19" fillId="33" borderId="10" xfId="0" applyFont="1" applyFill="1" applyBorder="1">
      <alignment horizontal="center" vertical="center" wrapText="1"/>
    </xf>
    <xf numFmtId="0" fontId="0" fillId="0" borderId="0" xfId="0" applyFont="1"/>
    <xf numFmtId="0" fontId="20" fillId="0" borderId="10" xfId="0" applyFont="1" applyBorder="1">
      <alignment horizontal="center" vertical="center" wrapText="1"/>
    </xf>
    <xf numFmtId="0" fontId="0" fillId="0" borderId="0" xfId="0" applyFont="1">
      <alignment wrapText="1"/>
    </xf>
    <xf numFmtId="0" fontId="0" fillId="0" borderId="0" xfId="0" applyFont="1">
      <alignment horizontal="center" vertical="center" wrapText="1"/>
    </xf>
    <xf numFmtId="0" fontId="0" fillId="0" borderId="0" xfId="0" applyFont="1">
      <alignment horizontal="left" vertical="center" wrapText="1"/>
    </xf>
    <xf numFmtId="0" fontId="0" fillId="0" borderId="0" xfId="0" applyFont="1">
      <alignment horizontal="center" vertical="center" wrapText="1"/>
    </xf>
    <xf numFmtId="176" fontId="17" fillId="0" borderId="0" xfId="0" applyFont="1" applyNumberFormat="1">
      <alignment horizontal="center" vertical="center" wrapText="1"/>
    </xf>
    <xf numFmtId="175" fontId="0" fillId="0" borderId="0" xfId="0" applyFont="1" applyNumberFormat="1">
      <alignment horizontal="center" vertical="center" wrapText="1"/>
    </xf>
    <xf numFmtId="171" fontId="0" fillId="0" borderId="0" xfId="0" applyFont="1" applyNumberFormat="1">
      <alignment horizontal="center" vertical="center" wrapText="1"/>
    </xf>
    <xf numFmtId="0" fontId="0" fillId="0" borderId="0" xfId="0" applyFont="1">
      <alignment horizontal="center" vertical="center" wrapText="1"/>
    </xf>
    <xf numFmtId="0" fontId="0" fillId="0" borderId="0" xfId="0" applyFont="1">
      <alignment horizontal="left" vertical="center" wrapText="1"/>
    </xf>
  </cellXfs>
  <cellStyles count="48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_Sheet1_1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7ABCA68-F27E-FBC8-2458-E832261EE8AF}" mc:Ignorable="x14ac xr xr2 xr3">
  <dimension ref="A1:V41"/>
  <sheetViews>
    <sheetView topLeftCell="A1" showGridLines="0" zoomScale="90" workbookViewId="0" tabSelected="1">
      <selection activeCell="A1" sqref="A1"/>
    </sheetView>
  </sheetViews>
  <sheetFormatPr customHeight="1" defaultRowHeight="14.25"/>
  <cols>
    <col min="1" max="1" style="97" width="0.57421875" customWidth="1"/>
    <col min="2" max="8" style="97" width="10.57421875" customWidth="1"/>
    <col min="9" max="9" style="97" width="18.57421875" customWidth="1"/>
    <col min="10" max="12" style="97" width="10.57421875" customWidth="1"/>
    <col min="13" max="13" style="97" width="12.140625" customWidth="1"/>
    <col min="14" max="19" style="97" width="10.57421875" customWidth="1"/>
    <col min="20" max="22" style="97" width="9.00390625" customWidth="1"/>
  </cols>
  <sheetData>
    <row customHeight="1" ht="2.25">
      <c r="A1" s="130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</row>
    <row customHeight="1" ht="50.25">
      <c r="A2" s="130"/>
      <c r="B2" s="131" t="s">
        <v>0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3"/>
      <c r="T2" s="130"/>
      <c r="U2" s="130"/>
      <c r="V2" s="130"/>
    </row>
    <row customHeight="1" ht="21">
      <c r="A3" s="130"/>
      <c r="B3" s="134" t="s">
        <v>1</v>
      </c>
      <c r="C3" s="135"/>
      <c r="D3" s="136" t="s">
        <v>2</v>
      </c>
      <c r="E3" s="136"/>
      <c r="F3" s="137"/>
      <c r="G3" s="135" t="s">
        <v>3</v>
      </c>
      <c r="H3" s="135"/>
      <c r="I3" s="138" t="s">
        <v>4</v>
      </c>
      <c r="J3" s="139"/>
      <c r="K3" s="139"/>
      <c r="L3" s="139"/>
      <c r="M3" s="139"/>
      <c r="N3" s="140" t="str">
        <f>取值!N1&amp;取值!O1&amp;取值!P1</f>
        <v>报表生成时间：2026-01-07 8:00:00</v>
      </c>
      <c r="O3" s="140"/>
      <c r="P3" s="140"/>
      <c r="Q3" s="140"/>
      <c r="R3" s="141" t="s">
        <v>5</v>
      </c>
      <c r="S3" s="65" t="s">
        <v>6</v>
      </c>
      <c r="T3" s="130"/>
      <c r="U3" s="130"/>
      <c r="V3" s="130"/>
    </row>
    <row customHeight="1" ht="20.25">
      <c r="A4" s="130"/>
      <c r="B4" s="143" t="s">
        <v>7</v>
      </c>
      <c r="C4" s="144" t="s">
        <v>8</v>
      </c>
      <c r="D4" s="144"/>
      <c r="E4" s="144" t="s">
        <v>9</v>
      </c>
      <c r="F4" s="144"/>
      <c r="G4" s="144" t="s">
        <v>10</v>
      </c>
      <c r="H4" s="144"/>
      <c r="I4" s="145" t="s">
        <v>7</v>
      </c>
      <c r="J4" s="144" t="s">
        <v>11</v>
      </c>
      <c r="K4" s="144"/>
      <c r="L4" s="144"/>
      <c r="M4" s="144" t="s">
        <v>12</v>
      </c>
      <c r="N4" s="144"/>
      <c r="O4" s="144" t="s">
        <v>10</v>
      </c>
      <c r="P4" s="144"/>
      <c r="Q4" s="146"/>
      <c r="R4" s="146"/>
      <c r="S4" s="147"/>
      <c r="T4" s="130"/>
      <c r="U4" s="130"/>
      <c r="V4" s="130"/>
    </row>
    <row customHeight="1" ht="20.25">
      <c r="A5" s="130"/>
      <c r="B5" s="148" t="s">
        <v>13</v>
      </c>
      <c r="C5" s="149" t="s">
        <v>14</v>
      </c>
      <c r="D5" s="150" t="s">
        <v>15</v>
      </c>
      <c r="E5" s="149" t="s">
        <v>14</v>
      </c>
      <c r="F5" s="149" t="s">
        <v>15</v>
      </c>
      <c r="G5" s="149" t="s">
        <v>14</v>
      </c>
      <c r="H5" s="149" t="s">
        <v>15</v>
      </c>
      <c r="I5" s="149" t="s">
        <v>13</v>
      </c>
      <c r="J5" s="149" t="s">
        <v>14</v>
      </c>
      <c r="K5" s="151" t="s">
        <v>15</v>
      </c>
      <c r="L5" s="151"/>
      <c r="M5" s="149" t="s">
        <v>14</v>
      </c>
      <c r="N5" s="149" t="s">
        <v>15</v>
      </c>
      <c r="O5" s="149" t="s">
        <v>14</v>
      </c>
      <c r="P5" s="149" t="s">
        <v>15</v>
      </c>
      <c r="Q5" s="146"/>
      <c r="R5" s="146"/>
      <c r="S5" s="147"/>
      <c r="T5" s="130"/>
      <c r="U5" s="130"/>
      <c r="V5" s="130"/>
    </row>
    <row customHeight="1" ht="20.25">
      <c r="A6" s="130"/>
      <c r="B6" s="148" t="s">
        <v>16</v>
      </c>
      <c r="C6" s="152">
        <v>3753</v>
      </c>
      <c r="D6" s="153">
        <f>SUM(D7:D10)</f>
        <v>0.489741540101252</v>
      </c>
      <c r="E6" s="152">
        <v>4821</v>
      </c>
      <c r="F6" s="153">
        <f>SUM(F7:F10)</f>
        <v>0.490769549885917</v>
      </c>
      <c r="G6" s="154">
        <f>_xlfn.IFERROR(C6+E6,"")</f>
        <v>8574</v>
      </c>
      <c r="H6" s="153">
        <f>SUM(H7:H10)</f>
        <v>0.490319570795429</v>
      </c>
      <c r="I6" s="149" t="s">
        <v>17</v>
      </c>
      <c r="J6" s="152">
        <v>0</v>
      </c>
      <c r="K6" s="155"/>
      <c r="L6" s="155"/>
      <c r="M6" s="152">
        <v>3733</v>
      </c>
      <c r="N6" s="153">
        <f>SUM(N8:N9)</f>
        <v>0.705598714170908</v>
      </c>
      <c r="O6" s="154">
        <f>_xlfn.IFERROR(J6+M6,"")</f>
        <v>3733</v>
      </c>
      <c r="P6" s="153"/>
      <c r="Q6" s="146"/>
      <c r="R6" s="146"/>
      <c r="S6" s="147"/>
      <c r="T6" s="130"/>
      <c r="U6" s="130"/>
      <c r="V6" s="130"/>
    </row>
    <row customHeight="1" ht="20.25">
      <c r="A7" s="130"/>
      <c r="B7" s="148" t="s">
        <v>18</v>
      </c>
      <c r="C7" s="152">
        <v>533</v>
      </c>
      <c r="D7" s="153">
        <f>_xlfn.IFERROR(C7/C6,"")</f>
        <v>0.142019717559286</v>
      </c>
      <c r="E7" s="152">
        <v>697</v>
      </c>
      <c r="F7" s="153">
        <f>_xlfn.IFERROR(E7/E6,"")</f>
        <v>0.144575814146443</v>
      </c>
      <c r="G7" s="154">
        <f>_xlfn.IFERROR(C7+E7,"")</f>
        <v>1230</v>
      </c>
      <c r="H7" s="153">
        <f>_xlfn.IFERROR(G7/G6,"")</f>
        <v>0.143456962911127</v>
      </c>
      <c r="I7" s="149" t="s">
        <v>19</v>
      </c>
      <c r="J7" s="152">
        <v>0</v>
      </c>
      <c r="K7" s="155"/>
      <c r="L7" s="155"/>
      <c r="M7" s="152">
        <v>3431</v>
      </c>
      <c r="N7" s="153"/>
      <c r="O7" s="154">
        <f>_xlfn.IFERROR(J7+M7,"")</f>
        <v>3431</v>
      </c>
      <c r="P7" s="153"/>
      <c r="Q7" s="146"/>
      <c r="R7" s="146"/>
      <c r="S7" s="147"/>
      <c r="T7" s="130"/>
      <c r="U7" s="130"/>
      <c r="V7" s="130"/>
    </row>
    <row customHeight="1" ht="20.25">
      <c r="A8" s="130"/>
      <c r="B8" s="148" t="s">
        <v>20</v>
      </c>
      <c r="C8" s="152">
        <v>1148</v>
      </c>
      <c r="D8" s="153">
        <f>_xlfn.IFERROR(C8/C6,"")</f>
        <v>0.305888622435385</v>
      </c>
      <c r="E8" s="152">
        <v>1282</v>
      </c>
      <c r="F8" s="153">
        <f>_xlfn.IFERROR(E8/E6,"")</f>
        <v>0.26591993362373</v>
      </c>
      <c r="G8" s="154">
        <f>_xlfn.IFERROR(C8+E8,"")</f>
        <v>2430</v>
      </c>
      <c r="H8" s="153">
        <f>_xlfn.IFERROR(G8/G6,"")</f>
        <v>0.283414975507348</v>
      </c>
      <c r="I8" s="149" t="s">
        <v>21</v>
      </c>
      <c r="J8" s="152">
        <v>0</v>
      </c>
      <c r="K8" s="156" t="str">
        <f>_xlfn.IFERROR(J8/J6,"")</f>
        <v/>
      </c>
      <c r="L8" s="155"/>
      <c r="M8" s="152">
        <v>1794</v>
      </c>
      <c r="N8" s="153">
        <f>_xlfn.IFERROR(M8/M6,"")</f>
        <v>0.480578623091347</v>
      </c>
      <c r="O8" s="154">
        <f>_xlfn.IFERROR(J8+M8,"")</f>
        <v>1794</v>
      </c>
      <c r="P8" s="153">
        <f>_xlfn.IFERROR(O8/O6,"")</f>
        <v>0.480578623091347</v>
      </c>
      <c r="Q8" s="146"/>
      <c r="R8" s="146"/>
      <c r="S8" s="147"/>
      <c r="T8" s="130"/>
      <c r="U8" s="130"/>
      <c r="V8" s="130"/>
    </row>
    <row customHeight="1" ht="20.25">
      <c r="A9" s="130"/>
      <c r="B9" s="148" t="s">
        <v>22</v>
      </c>
      <c r="C9" s="152">
        <v>0</v>
      </c>
      <c r="D9" s="153">
        <f>_xlfn.IFERROR(C9/C6,"")</f>
        <v>0</v>
      </c>
      <c r="E9" s="152">
        <v>0</v>
      </c>
      <c r="F9" s="153">
        <f>_xlfn.IFERROR(E9/E6,"")</f>
        <v>0</v>
      </c>
      <c r="G9" s="154">
        <f>_xlfn.IFERROR(C9+E9,"")</f>
        <v>0</v>
      </c>
      <c r="H9" s="153">
        <f>_xlfn.IFERROR(G9/G6,"")</f>
        <v>0</v>
      </c>
      <c r="I9" s="149" t="s">
        <v>20</v>
      </c>
      <c r="J9" s="152">
        <v>0</v>
      </c>
      <c r="K9" s="156" t="str">
        <f>_xlfn.IFERROR(J9/J6,"")</f>
        <v/>
      </c>
      <c r="L9" s="155"/>
      <c r="M9" s="152">
        <v>840</v>
      </c>
      <c r="N9" s="153">
        <f>_xlfn.IFERROR(M9/M6,"")</f>
        <v>0.225020091079561</v>
      </c>
      <c r="O9" s="154">
        <f>_xlfn.IFERROR(J9+M9,"")</f>
        <v>840</v>
      </c>
      <c r="P9" s="153">
        <f>_xlfn.IFERROR(O9/O6,"")</f>
        <v>0.225020091079561</v>
      </c>
      <c r="Q9" s="146"/>
      <c r="R9" s="146"/>
      <c r="S9" s="147"/>
      <c r="T9" s="130"/>
      <c r="U9" s="130"/>
      <c r="V9" s="130"/>
    </row>
    <row customHeight="1" ht="20.25">
      <c r="A10" s="130"/>
      <c r="B10" s="148" t="s">
        <v>23</v>
      </c>
      <c r="C10" s="152">
        <v>157</v>
      </c>
      <c r="D10" s="153">
        <f>_xlfn.IFERROR(C10/C6,"")</f>
        <v>0.0418332001065814</v>
      </c>
      <c r="E10" s="152">
        <v>387</v>
      </c>
      <c r="F10" s="153">
        <f>_xlfn.IFERROR(E10/E6,"")</f>
        <v>0.0802738021157436</v>
      </c>
      <c r="G10" s="154">
        <f>_xlfn.IFERROR(C10+E10,"")</f>
        <v>544</v>
      </c>
      <c r="H10" s="153">
        <f>_xlfn.IFERROR(G10/G6,"")</f>
        <v>0.0634476323769536</v>
      </c>
      <c r="I10" s="149" t="s">
        <v>24</v>
      </c>
      <c r="J10" s="152">
        <v>0</v>
      </c>
      <c r="K10" s="156" t="str">
        <f>_xlfn.IFERROR(J10/J6,"")</f>
        <v/>
      </c>
      <c r="L10" s="155"/>
      <c r="M10" s="152">
        <v>622</v>
      </c>
      <c r="N10" s="153">
        <f>_xlfn.IFERROR(M10/M6,"")</f>
        <v>0.166622019823198</v>
      </c>
      <c r="O10" s="154">
        <f>_xlfn.IFERROR(J10+M10,"")</f>
        <v>622</v>
      </c>
      <c r="P10" s="153">
        <f>_xlfn.IFERROR(O10/O6,"")</f>
        <v>0.166622019823198</v>
      </c>
      <c r="Q10" s="146"/>
      <c r="R10" s="146"/>
      <c r="S10" s="147"/>
      <c r="T10" s="130"/>
      <c r="U10" s="130"/>
      <c r="V10" s="130"/>
    </row>
    <row customHeight="1" ht="20.25">
      <c r="A11" s="130"/>
      <c r="B11" s="148" t="s">
        <v>25</v>
      </c>
      <c r="C11" s="152">
        <v>1896</v>
      </c>
      <c r="D11" s="153">
        <f>_xlfn.IFERROR(C11/C6,"")</f>
        <v>0.50519584332534</v>
      </c>
      <c r="E11" s="152">
        <v>2432</v>
      </c>
      <c r="F11" s="153">
        <f>_xlfn.IFERROR(E11/E6,"")</f>
        <v>0.504459655673097</v>
      </c>
      <c r="G11" s="154">
        <f>_xlfn.IFERROR(C11+E11,"")</f>
        <v>4328</v>
      </c>
      <c r="H11" s="153">
        <f>_xlfn.IFERROR(G11/G6,"")</f>
        <v>0.504781898763704</v>
      </c>
      <c r="I11" s="149" t="s">
        <v>26</v>
      </c>
      <c r="J11" s="152">
        <v>0</v>
      </c>
      <c r="K11" s="156" t="str">
        <f>_xlfn.IFERROR(J11/J6,"")</f>
        <v/>
      </c>
      <c r="L11" s="155"/>
      <c r="M11" s="152">
        <v>21</v>
      </c>
      <c r="N11" s="153">
        <f>_xlfn.IFERROR(M11/M6,"")</f>
        <v>0.00562550227698902</v>
      </c>
      <c r="O11" s="154">
        <f>_xlfn.IFERROR(J11+M11,"")</f>
        <v>21</v>
      </c>
      <c r="P11" s="153">
        <f>_xlfn.IFERROR(O11/O6,"")</f>
        <v>0.00562550227698902</v>
      </c>
      <c r="Q11" s="146"/>
      <c r="R11" s="146"/>
      <c r="S11" s="147"/>
      <c r="T11" s="130"/>
      <c r="U11" s="130"/>
      <c r="V11" s="130"/>
    </row>
    <row customHeight="1" ht="20.25">
      <c r="A12" s="130"/>
      <c r="B12" s="143" t="s">
        <v>7</v>
      </c>
      <c r="C12" s="144" t="s">
        <v>27</v>
      </c>
      <c r="D12" s="144"/>
      <c r="E12" s="144" t="s">
        <v>28</v>
      </c>
      <c r="F12" s="144"/>
      <c r="G12" s="144"/>
      <c r="H12" s="144" t="s">
        <v>29</v>
      </c>
      <c r="I12" s="157"/>
      <c r="J12" s="157"/>
      <c r="K12" s="144" t="s">
        <v>30</v>
      </c>
      <c r="L12" s="157"/>
      <c r="M12" s="157"/>
      <c r="N12" s="157"/>
      <c r="O12" s="144" t="s">
        <v>31</v>
      </c>
      <c r="P12" s="144"/>
      <c r="Q12" s="144"/>
      <c r="R12" s="144" t="s">
        <v>32</v>
      </c>
      <c r="S12" s="158"/>
      <c r="T12" s="130"/>
      <c r="U12" s="130"/>
      <c r="V12" s="130"/>
    </row>
    <row customHeight="1" ht="20.25">
      <c r="A13" s="130"/>
      <c r="B13" s="148" t="s">
        <v>13</v>
      </c>
      <c r="C13" s="149" t="s">
        <v>14</v>
      </c>
      <c r="D13" s="149" t="s">
        <v>15</v>
      </c>
      <c r="E13" s="149" t="s">
        <v>13</v>
      </c>
      <c r="F13" s="149" t="s">
        <v>14</v>
      </c>
      <c r="G13" s="149" t="s">
        <v>15</v>
      </c>
      <c r="H13" s="149" t="s">
        <v>13</v>
      </c>
      <c r="I13" s="149" t="s">
        <v>14</v>
      </c>
      <c r="J13" s="149" t="s">
        <v>15</v>
      </c>
      <c r="K13" s="151" t="s">
        <v>13</v>
      </c>
      <c r="L13" s="157"/>
      <c r="M13" s="149" t="s">
        <v>14</v>
      </c>
      <c r="N13" s="149" t="s">
        <v>15</v>
      </c>
      <c r="O13" s="149" t="s">
        <v>13</v>
      </c>
      <c r="P13" s="149" t="s">
        <v>14</v>
      </c>
      <c r="Q13" s="149"/>
      <c r="R13" s="149" t="s">
        <v>33</v>
      </c>
      <c r="S13" s="159">
        <v>136</v>
      </c>
      <c r="T13" s="130"/>
      <c r="U13" s="130"/>
      <c r="V13" s="130"/>
    </row>
    <row customHeight="1" ht="20.25">
      <c r="A14" s="130"/>
      <c r="B14" s="148" t="s">
        <v>17</v>
      </c>
      <c r="C14" s="160">
        <v>617</v>
      </c>
      <c r="D14" s="161">
        <f>SUM(D15:D17)</f>
        <v>0.93354943273906</v>
      </c>
      <c r="E14" s="149" t="s">
        <v>17</v>
      </c>
      <c r="F14" s="160">
        <v>495</v>
      </c>
      <c r="G14" s="161">
        <f>SUM(G15:G16)</f>
        <v>0.985858585858586</v>
      </c>
      <c r="H14" s="149" t="s">
        <v>17</v>
      </c>
      <c r="I14" s="160">
        <v>1806</v>
      </c>
      <c r="J14" s="161">
        <f>SUM(J15:J16)</f>
        <v>0.988925802879291</v>
      </c>
      <c r="K14" s="151" t="s">
        <v>17</v>
      </c>
      <c r="L14" s="157"/>
      <c r="M14" s="160">
        <v>2830</v>
      </c>
      <c r="N14" s="161">
        <f>SUM(N15:N16)</f>
        <v>0.990812720848056</v>
      </c>
      <c r="O14" s="149" t="s">
        <v>34</v>
      </c>
      <c r="P14" s="162">
        <v>8</v>
      </c>
      <c r="Q14" s="163"/>
      <c r="R14" s="149" t="s">
        <v>35</v>
      </c>
      <c r="S14" s="159">
        <v>91</v>
      </c>
      <c r="T14" s="130"/>
      <c r="U14" s="130"/>
      <c r="V14" s="130"/>
    </row>
    <row customHeight="1" ht="20.25">
      <c r="A15" s="130"/>
      <c r="B15" s="148" t="s">
        <v>36</v>
      </c>
      <c r="C15" s="160">
        <v>370</v>
      </c>
      <c r="D15" s="161">
        <f>_xlfn.IFERROR(C15/C14,"")</f>
        <v>0.59967585089141</v>
      </c>
      <c r="E15" s="149" t="s">
        <v>37</v>
      </c>
      <c r="F15" s="160">
        <v>473</v>
      </c>
      <c r="G15" s="161">
        <f>_xlfn.IFERROR(F15/F14,"")</f>
        <v>0.955555555555556</v>
      </c>
      <c r="H15" s="149" t="s">
        <v>38</v>
      </c>
      <c r="I15" s="160">
        <v>1786</v>
      </c>
      <c r="J15" s="161">
        <f>_xlfn.IFERROR(I15/I14,"")</f>
        <v>0.988925802879291</v>
      </c>
      <c r="K15" s="151" t="s">
        <v>39</v>
      </c>
      <c r="L15" s="157"/>
      <c r="M15" s="160">
        <v>2495</v>
      </c>
      <c r="N15" s="153">
        <f>_xlfn.IFERROR(M15/M14,"")</f>
        <v>0.881625441696113</v>
      </c>
      <c r="O15" s="146"/>
      <c r="P15" s="164"/>
      <c r="Q15" s="163"/>
      <c r="R15" s="149" t="s">
        <v>40</v>
      </c>
      <c r="S15" s="159">
        <v>213</v>
      </c>
      <c r="T15" s="130"/>
      <c r="U15" s="130"/>
      <c r="V15" s="130"/>
    </row>
    <row customHeight="1" ht="20.25">
      <c r="A16" s="130"/>
      <c r="B16" s="148" t="s">
        <v>41</v>
      </c>
      <c r="C16" s="160">
        <v>206</v>
      </c>
      <c r="D16" s="161">
        <f>_xlfn.IFERROR(C16/C14,"")</f>
        <v>0.33387358184765</v>
      </c>
      <c r="E16" s="149" t="s">
        <v>42</v>
      </c>
      <c r="F16" s="160">
        <v>15</v>
      </c>
      <c r="G16" s="161">
        <f>_xlfn.IFERROR(F16/F14,"")</f>
        <v>0.0303030303030303</v>
      </c>
      <c r="H16" s="149" t="s">
        <v>24</v>
      </c>
      <c r="I16" s="160">
        <v>0</v>
      </c>
      <c r="J16" s="161">
        <f>_xlfn.IFERROR(I16/I14,"")</f>
        <v>0</v>
      </c>
      <c r="K16" s="151" t="s">
        <v>43</v>
      </c>
      <c r="L16" s="157"/>
      <c r="M16" s="160">
        <v>309</v>
      </c>
      <c r="N16" s="153">
        <f>_xlfn.IFERROR(M16/M14,"")</f>
        <v>0.109187279151943</v>
      </c>
      <c r="O16" s="146"/>
      <c r="P16" s="164"/>
      <c r="Q16" s="163"/>
      <c r="R16" s="149"/>
      <c r="S16" s="165"/>
      <c r="T16" s="130"/>
      <c r="U16" s="130"/>
      <c r="V16" s="130"/>
    </row>
    <row customHeight="1" ht="20.25">
      <c r="A17" s="130"/>
      <c r="B17" s="148" t="s">
        <v>24</v>
      </c>
      <c r="C17" s="160">
        <v>0</v>
      </c>
      <c r="D17" s="161">
        <f>_xlfn.IFERROR(C17/C14,"")</f>
        <v>0</v>
      </c>
      <c r="E17" s="149"/>
      <c r="F17" s="166"/>
      <c r="G17" s="161"/>
      <c r="H17" s="149"/>
      <c r="I17" s="166"/>
      <c r="J17" s="161"/>
      <c r="K17" s="157" t="s">
        <v>44</v>
      </c>
      <c r="L17" s="157"/>
      <c r="M17" s="160">
        <v>179110</v>
      </c>
      <c r="N17" s="161"/>
      <c r="O17" s="167"/>
      <c r="P17" s="167"/>
      <c r="Q17" s="163"/>
      <c r="R17" s="149"/>
      <c r="S17" s="165"/>
      <c r="T17" s="130"/>
      <c r="U17" s="130"/>
      <c r="V17" s="130"/>
    </row>
    <row customHeight="1" ht="20.25">
      <c r="A18" s="130"/>
      <c r="B18" s="168" t="s">
        <v>45</v>
      </c>
      <c r="C18" s="144"/>
      <c r="D18" s="144"/>
      <c r="E18" s="144" t="s">
        <v>46</v>
      </c>
      <c r="F18" s="144"/>
      <c r="G18" s="144" t="s">
        <v>47</v>
      </c>
      <c r="H18" s="144"/>
      <c r="I18" s="144" t="s">
        <v>48</v>
      </c>
      <c r="J18" s="144"/>
      <c r="K18" s="144"/>
      <c r="L18" s="144"/>
      <c r="M18" s="144"/>
      <c r="N18" s="144"/>
      <c r="O18" s="144"/>
      <c r="P18" s="144"/>
      <c r="Q18" s="144"/>
      <c r="R18" s="145"/>
      <c r="S18" s="169"/>
      <c r="T18" s="130"/>
      <c r="U18" s="130"/>
      <c r="V18" s="130"/>
    </row>
    <row customHeight="1" ht="20.25">
      <c r="A19" s="130"/>
      <c r="B19" s="170" t="s">
        <v>49</v>
      </c>
      <c r="C19" s="151"/>
      <c r="D19" s="149" t="s">
        <v>50</v>
      </c>
      <c r="E19" s="149" t="s">
        <v>51</v>
      </c>
      <c r="F19" s="149" t="s">
        <v>50</v>
      </c>
      <c r="G19" s="149" t="s">
        <v>51</v>
      </c>
      <c r="H19" s="149" t="s">
        <v>50</v>
      </c>
      <c r="I19" s="149" t="s">
        <v>52</v>
      </c>
      <c r="J19" s="149" t="s">
        <v>53</v>
      </c>
      <c r="K19" s="151" t="s">
        <v>54</v>
      </c>
      <c r="L19" s="151"/>
      <c r="M19" s="149" t="s">
        <v>55</v>
      </c>
      <c r="N19" s="149" t="s">
        <v>56</v>
      </c>
      <c r="O19" s="149" t="s">
        <v>57</v>
      </c>
      <c r="P19" s="149" t="s">
        <v>58</v>
      </c>
      <c r="Q19" s="149" t="s">
        <v>59</v>
      </c>
      <c r="R19" s="145" t="s">
        <v>60</v>
      </c>
      <c r="S19" s="171" t="s">
        <v>61</v>
      </c>
      <c r="T19" s="130"/>
      <c r="U19" s="130"/>
      <c r="V19" s="130"/>
    </row>
    <row customHeight="1" ht="20.25">
      <c r="A20" s="130"/>
      <c r="B20" s="170" t="s">
        <v>62</v>
      </c>
      <c r="C20" s="151"/>
      <c r="D20" s="160">
        <v>9800</v>
      </c>
      <c r="E20" s="149" t="s">
        <v>40</v>
      </c>
      <c r="F20" s="172">
        <v>32</v>
      </c>
      <c r="G20" s="149" t="s">
        <v>40</v>
      </c>
      <c r="H20" s="160">
        <v>2825</v>
      </c>
      <c r="I20" s="173" t="s">
        <v>63</v>
      </c>
      <c r="J20" s="160"/>
      <c r="K20" s="174">
        <v>0</v>
      </c>
      <c r="L20" s="175"/>
      <c r="M20" s="149" t="s">
        <v>21</v>
      </c>
      <c r="N20" s="160">
        <v>186.86</v>
      </c>
      <c r="O20" s="160">
        <v>1810</v>
      </c>
      <c r="P20" s="160">
        <v>0</v>
      </c>
      <c r="Q20" s="160">
        <v>11821</v>
      </c>
      <c r="R20" s="176"/>
      <c r="S20" s="177"/>
      <c r="T20" s="130"/>
      <c r="U20" s="130"/>
      <c r="V20" s="130"/>
    </row>
    <row customHeight="1" ht="20.25">
      <c r="A21" s="130"/>
      <c r="B21" s="170" t="s">
        <v>64</v>
      </c>
      <c r="C21" s="151"/>
      <c r="D21" s="160">
        <v>0</v>
      </c>
      <c r="E21" s="149" t="s">
        <v>35</v>
      </c>
      <c r="F21" s="178">
        <v>0</v>
      </c>
      <c r="G21" s="149" t="s">
        <v>35</v>
      </c>
      <c r="H21" s="160">
        <v>2670</v>
      </c>
      <c r="I21" s="173" t="s">
        <v>65</v>
      </c>
      <c r="J21" s="160"/>
      <c r="K21" s="174">
        <v>1475.72</v>
      </c>
      <c r="L21" s="175"/>
      <c r="M21" s="179" t="s">
        <v>66</v>
      </c>
      <c r="N21" s="180"/>
      <c r="O21" s="160"/>
      <c r="P21" s="160"/>
      <c r="Q21" s="160"/>
      <c r="R21" s="181"/>
      <c r="S21" s="182"/>
      <c r="T21" s="130"/>
      <c r="U21" s="130"/>
      <c r="V21" s="130"/>
    </row>
    <row customHeight="1" ht="20.25">
      <c r="A22" s="130"/>
      <c r="B22" s="170" t="s">
        <v>67</v>
      </c>
      <c r="C22" s="151"/>
      <c r="D22" s="160">
        <v>9800</v>
      </c>
      <c r="E22" s="149" t="s">
        <v>33</v>
      </c>
      <c r="F22" s="160">
        <v>0</v>
      </c>
      <c r="G22" s="149" t="s">
        <v>33</v>
      </c>
      <c r="H22" s="160">
        <v>2083</v>
      </c>
      <c r="I22" s="149" t="s">
        <v>18</v>
      </c>
      <c r="J22" s="160"/>
      <c r="K22" s="174">
        <v>763.58</v>
      </c>
      <c r="L22" s="175"/>
      <c r="M22" s="179" t="s">
        <v>68</v>
      </c>
      <c r="N22" s="160">
        <v>186.86</v>
      </c>
      <c r="O22" s="160">
        <v>1810</v>
      </c>
      <c r="P22" s="160">
        <v>0</v>
      </c>
      <c r="Q22" s="160">
        <v>11821</v>
      </c>
      <c r="R22" s="160">
        <v>12000</v>
      </c>
      <c r="S22" s="165">
        <f>SUM(R22)-SUM(Q22)</f>
        <v>179</v>
      </c>
      <c r="T22" s="130"/>
      <c r="U22" s="130"/>
      <c r="V22" s="130"/>
    </row>
    <row customHeight="1" ht="20.25">
      <c r="A23" s="130"/>
      <c r="B23" s="168" t="s">
        <v>47</v>
      </c>
      <c r="C23" s="144"/>
      <c r="D23" s="144"/>
      <c r="E23" s="144"/>
      <c r="F23" s="144"/>
      <c r="G23" s="149"/>
      <c r="H23" s="166"/>
      <c r="I23" s="149" t="s">
        <v>33</v>
      </c>
      <c r="J23" s="160">
        <v>219.4</v>
      </c>
      <c r="K23" s="174"/>
      <c r="L23" s="175"/>
      <c r="M23" s="149" t="s">
        <v>20</v>
      </c>
      <c r="N23" s="160">
        <v>952.06</v>
      </c>
      <c r="O23" s="160">
        <v>1582</v>
      </c>
      <c r="P23" s="160">
        <v>0</v>
      </c>
      <c r="Q23" s="160">
        <v>19593</v>
      </c>
      <c r="R23" s="166"/>
      <c r="S23" s="165"/>
      <c r="T23" s="130"/>
      <c r="U23" s="130"/>
      <c r="V23" s="130"/>
    </row>
    <row customHeight="1" ht="20.25">
      <c r="A24" s="130"/>
      <c r="B24" s="170" t="s">
        <v>69</v>
      </c>
      <c r="C24" s="151"/>
      <c r="D24" s="149" t="s">
        <v>50</v>
      </c>
      <c r="E24" s="145" t="s">
        <v>60</v>
      </c>
      <c r="F24" s="145" t="s">
        <v>61</v>
      </c>
      <c r="G24" s="149" t="s">
        <v>70</v>
      </c>
      <c r="H24" s="160"/>
      <c r="I24" s="149" t="s">
        <v>71</v>
      </c>
      <c r="J24" s="160"/>
      <c r="K24" s="174">
        <v>709</v>
      </c>
      <c r="L24" s="175"/>
      <c r="M24" s="183" t="s">
        <v>72</v>
      </c>
      <c r="N24" s="160">
        <v>59.94</v>
      </c>
      <c r="O24" s="160">
        <v>1582</v>
      </c>
      <c r="P24" s="160">
        <v>0</v>
      </c>
      <c r="Q24" s="160">
        <v>14159</v>
      </c>
      <c r="R24" s="160">
        <v>13500</v>
      </c>
      <c r="S24" s="165">
        <f>SUM(R24)-SUM(Q24)</f>
        <v>-659</v>
      </c>
      <c r="T24" s="130"/>
      <c r="U24" s="130"/>
      <c r="V24" s="130"/>
    </row>
    <row customHeight="1" ht="20.25">
      <c r="A25" s="130"/>
      <c r="B25" s="170" t="s">
        <v>49</v>
      </c>
      <c r="C25" s="151"/>
      <c r="D25" s="160">
        <v>27769</v>
      </c>
      <c r="E25" s="160">
        <v>113000</v>
      </c>
      <c r="F25" s="166">
        <f>SUM(E25)-SUM(D25)</f>
        <v>85231</v>
      </c>
      <c r="G25" s="149" t="s">
        <v>73</v>
      </c>
      <c r="H25" s="160">
        <v>1058</v>
      </c>
      <c r="I25" s="149" t="s">
        <v>74</v>
      </c>
      <c r="J25" s="160"/>
      <c r="K25" s="174">
        <v>0</v>
      </c>
      <c r="L25" s="175"/>
      <c r="M25" s="183" t="s">
        <v>75</v>
      </c>
      <c r="N25" s="160">
        <v>0</v>
      </c>
      <c r="O25" s="160">
        <v>0</v>
      </c>
      <c r="P25" s="160">
        <v>0</v>
      </c>
      <c r="Q25" s="160">
        <v>0</v>
      </c>
      <c r="R25" s="166"/>
      <c r="S25" s="165"/>
      <c r="T25" s="130"/>
      <c r="U25" s="130"/>
      <c r="V25" s="130"/>
    </row>
    <row customHeight="1" ht="20.25">
      <c r="A26" s="130"/>
      <c r="B26" s="170" t="s">
        <v>76</v>
      </c>
      <c r="C26" s="151"/>
      <c r="D26" s="160">
        <v>12261</v>
      </c>
      <c r="E26" s="160">
        <v>57000</v>
      </c>
      <c r="F26" s="166">
        <f>SUM(E26)-SUM(D26)</f>
        <v>44739</v>
      </c>
      <c r="G26" s="151" t="s">
        <v>77</v>
      </c>
      <c r="H26" s="174">
        <v>577</v>
      </c>
      <c r="I26" s="149" t="s">
        <v>40</v>
      </c>
      <c r="J26" s="160">
        <v>313.76</v>
      </c>
      <c r="K26" s="174"/>
      <c r="L26" s="175"/>
      <c r="M26" s="183" t="s">
        <v>78</v>
      </c>
      <c r="N26" s="160">
        <v>892.12</v>
      </c>
      <c r="O26" s="160">
        <v>0</v>
      </c>
      <c r="P26" s="160">
        <v>0</v>
      </c>
      <c r="Q26" s="160">
        <v>5434</v>
      </c>
      <c r="R26" s="160">
        <v>10500</v>
      </c>
      <c r="S26" s="165">
        <f>SUM(R26)-SUM(Q26)</f>
        <v>5066</v>
      </c>
      <c r="T26" s="130"/>
      <c r="U26" s="130"/>
      <c r="V26" s="130"/>
    </row>
    <row customHeight="1" ht="20.25">
      <c r="A27" s="130"/>
      <c r="B27" s="170" t="s">
        <v>79</v>
      </c>
      <c r="C27" s="151"/>
      <c r="D27" s="160">
        <v>14605</v>
      </c>
      <c r="E27" s="160">
        <v>39000</v>
      </c>
      <c r="F27" s="166">
        <f>SUM(E27)-SUM(D27)</f>
        <v>24395</v>
      </c>
      <c r="G27" s="151"/>
      <c r="H27" s="175"/>
      <c r="I27" s="149" t="s">
        <v>70</v>
      </c>
      <c r="J27" s="160"/>
      <c r="K27" s="174">
        <v>0</v>
      </c>
      <c r="L27" s="175"/>
      <c r="M27" s="184" t="s">
        <v>80</v>
      </c>
      <c r="N27" s="184"/>
      <c r="O27" s="146"/>
      <c r="P27" s="146"/>
      <c r="Q27" s="160"/>
      <c r="R27" s="146"/>
      <c r="S27" s="147"/>
      <c r="T27" s="130"/>
      <c r="U27" s="130"/>
      <c r="V27" s="130"/>
    </row>
    <row customHeight="1" ht="20.25">
      <c r="A28" s="130"/>
      <c r="B28" s="170" t="s">
        <v>24</v>
      </c>
      <c r="C28" s="151"/>
      <c r="D28" s="160">
        <v>2360</v>
      </c>
      <c r="E28" s="160">
        <v>3430</v>
      </c>
      <c r="F28" s="166">
        <f>SUM(E28)-SUM(D28)</f>
        <v>1070</v>
      </c>
      <c r="G28" s="149"/>
      <c r="H28" s="166"/>
      <c r="I28" s="149" t="s">
        <v>35</v>
      </c>
      <c r="J28" s="160">
        <v>32.16</v>
      </c>
      <c r="K28" s="174"/>
      <c r="L28" s="175"/>
      <c r="M28" s="183" t="s">
        <v>81</v>
      </c>
      <c r="N28" s="160">
        <v>0</v>
      </c>
      <c r="O28" s="160">
        <v>0</v>
      </c>
      <c r="P28" s="160">
        <v>0</v>
      </c>
      <c r="Q28" s="160">
        <v>0</v>
      </c>
      <c r="R28" s="160">
        <v>150</v>
      </c>
      <c r="S28" s="165">
        <f>SUM(R28)-SUM(Q28)</f>
        <v>150</v>
      </c>
      <c r="T28" s="130"/>
      <c r="U28" s="130"/>
      <c r="V28" s="130"/>
    </row>
    <row customHeight="1" ht="20.25">
      <c r="A29" s="130"/>
      <c r="B29" s="170" t="s">
        <v>82</v>
      </c>
      <c r="C29" s="151"/>
      <c r="D29" s="160">
        <v>9264</v>
      </c>
      <c r="E29" s="160">
        <v>12000</v>
      </c>
      <c r="F29" s="166">
        <f>SUM(E29)-SUM(D29)</f>
        <v>2736</v>
      </c>
      <c r="G29" s="144" t="s">
        <v>83</v>
      </c>
      <c r="H29" s="144"/>
      <c r="I29" s="144" t="s">
        <v>84</v>
      </c>
      <c r="J29" s="144"/>
      <c r="K29" s="144"/>
      <c r="L29" s="144"/>
      <c r="M29" s="149" t="s">
        <v>26</v>
      </c>
      <c r="N29" s="160">
        <v>0</v>
      </c>
      <c r="O29" s="160">
        <v>0</v>
      </c>
      <c r="P29" s="160">
        <v>0</v>
      </c>
      <c r="Q29" s="160">
        <v>904</v>
      </c>
      <c r="R29" s="160">
        <v>1200</v>
      </c>
      <c r="S29" s="165">
        <f>SUM(R29)-SUM(Q29)</f>
        <v>296</v>
      </c>
      <c r="T29" s="130"/>
      <c r="U29" s="130"/>
      <c r="V29" s="130"/>
    </row>
    <row customHeight="1" ht="20.25">
      <c r="A30" s="130"/>
      <c r="B30" s="170" t="s">
        <v>85</v>
      </c>
      <c r="C30" s="151"/>
      <c r="D30" s="160">
        <v>6448</v>
      </c>
      <c r="E30" s="160">
        <v>7000</v>
      </c>
      <c r="F30" s="166">
        <f>SUM(E30)-SUM(D30)</f>
        <v>552</v>
      </c>
      <c r="G30" s="149" t="s">
        <v>86</v>
      </c>
      <c r="H30" s="160">
        <v>9741</v>
      </c>
      <c r="I30" s="149" t="s">
        <v>87</v>
      </c>
      <c r="J30" s="149" t="s">
        <v>59</v>
      </c>
      <c r="K30" s="145" t="s">
        <v>60</v>
      </c>
      <c r="L30" s="145" t="s">
        <v>61</v>
      </c>
      <c r="M30" s="149" t="s">
        <v>18</v>
      </c>
      <c r="N30" s="180">
        <v>0</v>
      </c>
      <c r="O30" s="160"/>
      <c r="P30" s="160"/>
      <c r="Q30" s="160"/>
      <c r="R30" s="185" t="s">
        <v>88</v>
      </c>
      <c r="S30" s="186">
        <v>0</v>
      </c>
      <c r="T30" s="130"/>
      <c r="U30" s="130"/>
      <c r="V30" s="130"/>
    </row>
    <row customHeight="1" ht="20.25">
      <c r="A31" s="130"/>
      <c r="B31" s="170" t="s">
        <v>89</v>
      </c>
      <c r="C31" s="151"/>
      <c r="D31" s="160">
        <v>5727</v>
      </c>
      <c r="E31" s="160">
        <v>8000</v>
      </c>
      <c r="F31" s="166">
        <f>SUM(E31)-SUM(D31)</f>
        <v>2273</v>
      </c>
      <c r="G31" s="149" t="s">
        <v>90</v>
      </c>
      <c r="H31" s="160"/>
      <c r="I31" s="149" t="s">
        <v>21</v>
      </c>
      <c r="J31" s="160">
        <v>8078</v>
      </c>
      <c r="K31" s="160">
        <v>10200</v>
      </c>
      <c r="L31" s="166">
        <f>SUM(K31)-SUM(J31)</f>
        <v>2122</v>
      </c>
      <c r="M31" s="149" t="s">
        <v>91</v>
      </c>
      <c r="N31" s="160">
        <v>0</v>
      </c>
      <c r="O31" s="160"/>
      <c r="P31" s="160"/>
      <c r="Q31" s="160"/>
      <c r="R31" s="176"/>
      <c r="S31" s="177"/>
      <c r="T31" s="130"/>
      <c r="U31" s="130"/>
      <c r="V31" s="130"/>
    </row>
    <row customHeight="1" ht="20.25">
      <c r="A32" s="130"/>
      <c r="B32" s="170" t="s">
        <v>92</v>
      </c>
      <c r="C32" s="151"/>
      <c r="D32" s="160">
        <v>2817</v>
      </c>
      <c r="E32" s="160">
        <v>7000</v>
      </c>
      <c r="F32" s="166">
        <f>SUM(E32)-SUM(D32)</f>
        <v>4183</v>
      </c>
      <c r="G32" s="149" t="s">
        <v>93</v>
      </c>
      <c r="H32" s="160">
        <v>11879</v>
      </c>
      <c r="I32" s="149" t="s">
        <v>20</v>
      </c>
      <c r="J32" s="160">
        <v>8553</v>
      </c>
      <c r="K32" s="160">
        <v>10500</v>
      </c>
      <c r="L32" s="166">
        <f>SUM(K32)-SUM(J32)</f>
        <v>1947</v>
      </c>
      <c r="M32" s="149" t="s">
        <v>94</v>
      </c>
      <c r="N32" s="160">
        <v>324.78</v>
      </c>
      <c r="O32" s="160"/>
      <c r="P32" s="160"/>
      <c r="Q32" s="160">
        <v>562</v>
      </c>
      <c r="R32" s="160">
        <v>1600</v>
      </c>
      <c r="S32" s="165">
        <f>SUM(R32)-SUM(Q32)</f>
        <v>1038</v>
      </c>
      <c r="T32" s="130"/>
      <c r="U32" s="130"/>
      <c r="V32" s="130"/>
    </row>
    <row customHeight="1" ht="20.25">
      <c r="A33" s="130"/>
      <c r="B33" s="170" t="s">
        <v>95</v>
      </c>
      <c r="C33" s="151"/>
      <c r="D33" s="160">
        <v>190</v>
      </c>
      <c r="E33" s="160">
        <v>5000</v>
      </c>
      <c r="F33" s="166">
        <f>SUM(E33)-SUM(D33)</f>
        <v>4810</v>
      </c>
      <c r="G33" s="149" t="s">
        <v>96</v>
      </c>
      <c r="H33" s="160"/>
      <c r="I33" s="149" t="s">
        <v>97</v>
      </c>
      <c r="J33" s="160">
        <v>0</v>
      </c>
      <c r="K33" s="160">
        <v>0</v>
      </c>
      <c r="L33" s="166">
        <f>SUM(K33)-SUM(J33)</f>
        <v>0</v>
      </c>
      <c r="M33" s="163" t="s">
        <v>98</v>
      </c>
      <c r="N33" s="160">
        <v>0</v>
      </c>
      <c r="O33" s="160">
        <v>0</v>
      </c>
      <c r="P33" s="160">
        <v>0</v>
      </c>
      <c r="Q33" s="160">
        <v>10985</v>
      </c>
      <c r="R33" s="160">
        <v>12800</v>
      </c>
      <c r="S33" s="165">
        <f>SUM(R33)-SUM(Q33)</f>
        <v>1815</v>
      </c>
      <c r="T33" s="130"/>
      <c r="U33" s="130"/>
      <c r="V33" s="130"/>
    </row>
    <row customHeight="1" ht="20.25">
      <c r="A34" s="130"/>
      <c r="B34" s="187" t="s">
        <v>99</v>
      </c>
      <c r="C34" s="157"/>
      <c r="D34" s="160">
        <v>1255</v>
      </c>
      <c r="E34" s="160">
        <v>2400</v>
      </c>
      <c r="F34" s="166">
        <f>SUM(E34)-SUM(D34)</f>
        <v>1145</v>
      </c>
      <c r="G34" s="146"/>
      <c r="H34" s="146"/>
      <c r="I34" s="146"/>
      <c r="J34" s="146"/>
      <c r="K34" s="146"/>
      <c r="L34" s="146"/>
      <c r="M34" s="149" t="s">
        <v>70</v>
      </c>
      <c r="N34" s="160">
        <v>0</v>
      </c>
      <c r="O34" s="160">
        <v>0</v>
      </c>
      <c r="P34" s="160">
        <v>0</v>
      </c>
      <c r="Q34" s="160">
        <v>123.32</v>
      </c>
      <c r="R34" s="160">
        <v>400</v>
      </c>
      <c r="S34" s="165">
        <f>SUM(R34)-SUM(Q34)</f>
        <v>276.68</v>
      </c>
      <c r="T34" s="130"/>
      <c r="U34" s="130"/>
      <c r="V34" s="130"/>
    </row>
    <row s="188" customFormat="1" customHeight="1" ht="20.25">
      <c r="A35" s="189"/>
      <c r="B35" s="190" t="s">
        <v>88</v>
      </c>
      <c r="C35" s="191"/>
      <c r="D35" s="192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4"/>
      <c r="T35" s="189"/>
      <c r="U35" s="189"/>
      <c r="V35" s="189"/>
    </row>
    <row customHeight="1" ht="14.25">
      <c r="A36" s="130"/>
      <c r="B36" s="130"/>
      <c r="C36" s="130"/>
      <c r="D36" s="130"/>
      <c r="E36" s="130"/>
      <c r="F36" s="124" t="s">
        <v>100</v>
      </c>
      <c r="G36" s="124"/>
      <c r="H36" s="196" t="s">
        <v>101</v>
      </c>
      <c r="I36" s="130"/>
      <c r="J36" s="103"/>
      <c r="K36" s="124" t="s">
        <v>102</v>
      </c>
      <c r="L36" s="124"/>
      <c r="M36" s="196" t="s">
        <v>103</v>
      </c>
      <c r="N36" s="130"/>
      <c r="O36" s="130"/>
      <c r="P36" s="88" t="s">
        <v>104</v>
      </c>
      <c r="Q36" s="196" t="s">
        <v>105</v>
      </c>
      <c r="R36" s="130"/>
      <c r="S36" s="130"/>
      <c r="T36" s="130"/>
      <c r="U36" s="130"/>
      <c r="V36" s="130"/>
    </row>
    <row customHeight="1" ht="14.25">
      <c r="A37" s="130"/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</row>
    <row customHeight="1" ht="14.25">
      <c r="A38" s="130"/>
      <c r="B38" s="130"/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</row>
    <row customHeight="1" ht="14.25">
      <c r="A39" s="130"/>
      <c r="B39" s="130"/>
      <c r="C39" s="130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30"/>
      <c r="O39" s="130"/>
      <c r="P39" s="130"/>
      <c r="Q39" s="130"/>
      <c r="R39" s="130"/>
      <c r="S39" s="130"/>
      <c r="T39" s="130"/>
      <c r="U39" s="130"/>
      <c r="V39" s="130"/>
    </row>
    <row customHeight="1" ht="14.25">
      <c r="A40" s="130"/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</row>
    <row customHeight="1" ht="14.25">
      <c r="A41" s="130"/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</row>
  </sheetData>
  <mergeCells count="70">
    <mergeCell ref="K36:L36"/>
    <mergeCell ref="B35:C35"/>
    <mergeCell ref="D35:S35"/>
    <mergeCell ref="B30:C30"/>
    <mergeCell ref="B31:C31"/>
    <mergeCell ref="B32:C32"/>
    <mergeCell ref="B33:C33"/>
    <mergeCell ref="B34:C34"/>
    <mergeCell ref="F36:G36"/>
    <mergeCell ref="M27:N27"/>
    <mergeCell ref="B25:C25"/>
    <mergeCell ref="K25:L25"/>
    <mergeCell ref="B26:C26"/>
    <mergeCell ref="G26:G27"/>
    <mergeCell ref="H26:H27"/>
    <mergeCell ref="K26:L26"/>
    <mergeCell ref="B27:C27"/>
    <mergeCell ref="K27:L27"/>
    <mergeCell ref="B28:C28"/>
    <mergeCell ref="K28:L28"/>
    <mergeCell ref="B29:C29"/>
    <mergeCell ref="G29:H29"/>
    <mergeCell ref="I29:L29"/>
    <mergeCell ref="B22:C22"/>
    <mergeCell ref="K22:L22"/>
    <mergeCell ref="B23:F23"/>
    <mergeCell ref="K23:L23"/>
    <mergeCell ref="B24:C24"/>
    <mergeCell ref="K24:L24"/>
    <mergeCell ref="B19:C19"/>
    <mergeCell ref="K19:L19"/>
    <mergeCell ref="B20:C20"/>
    <mergeCell ref="K20:L20"/>
    <mergeCell ref="B21:C21"/>
    <mergeCell ref="K21:L21"/>
    <mergeCell ref="K16:L16"/>
    <mergeCell ref="O17:P17"/>
    <mergeCell ref="B18:D18"/>
    <mergeCell ref="E18:F18"/>
    <mergeCell ref="G18:H18"/>
    <mergeCell ref="I18:L18"/>
    <mergeCell ref="M18:Q18"/>
    <mergeCell ref="K17:L17"/>
    <mergeCell ref="R12:S12"/>
    <mergeCell ref="K13:L13"/>
    <mergeCell ref="K14:L14"/>
    <mergeCell ref="K9:L9"/>
    <mergeCell ref="K15:L15"/>
    <mergeCell ref="K11:L11"/>
    <mergeCell ref="K10:L10"/>
    <mergeCell ref="C12:D12"/>
    <mergeCell ref="E12:G12"/>
    <mergeCell ref="H12:J12"/>
    <mergeCell ref="K12:N12"/>
    <mergeCell ref="O12:Q12"/>
    <mergeCell ref="K5:L5"/>
    <mergeCell ref="K6:L6"/>
    <mergeCell ref="K7:L7"/>
    <mergeCell ref="K8:L8"/>
    <mergeCell ref="B2:S2"/>
    <mergeCell ref="C4:D4"/>
    <mergeCell ref="E4:F4"/>
    <mergeCell ref="G4:H4"/>
    <mergeCell ref="J4:L4"/>
    <mergeCell ref="M4:N4"/>
    <mergeCell ref="O4:P4"/>
    <mergeCell ref="N3:Q3"/>
    <mergeCell ref="B3:C3"/>
    <mergeCell ref="D3:E3"/>
    <mergeCell ref="G3:H3"/>
  </mergeCells>
  <pageMargins left="0.71" right="0.71" top="0.75" bottom="0.75" header="0.31" footer="0.31"/>
  <pageSetup paperSize="9" scale="60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C2150B7-DB08-5FF8-1018-EB9E81FB8298}" mc:Ignorable="x14ac xr xr2 xr3">
  <dimension ref="A1:P206"/>
  <sheetViews>
    <sheetView topLeftCell="A70" workbookViewId="0">
      <selection activeCell="B88" sqref="B88"/>
    </sheetView>
  </sheetViews>
  <sheetFormatPr customHeight="1" defaultRowHeight="14.25"/>
  <sheetData>
    <row customHeight="1" ht="14.25">
      <c r="A1" s="199">
        <v>4053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 t="s">
        <v>106</v>
      </c>
      <c r="O1" s="200" t="s">
        <v>107</v>
      </c>
      <c r="P1" s="200" t="s">
        <v>108</v>
      </c>
    </row>
    <row customHeight="1" ht="14.25">
      <c r="A2" s="200">
        <v>576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</row>
    <row customHeight="1" ht="14.25">
      <c r="A3" s="200">
        <v>1240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</row>
    <row customHeight="1" ht="14.25">
      <c r="A4" s="200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customHeight="1" ht="14.25">
      <c r="A5" s="200">
        <v>170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</row>
    <row customHeight="1" ht="14.25">
      <c r="A6" s="199">
        <v>2047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</row>
    <row customHeight="1" ht="14.25">
      <c r="A7" s="200"/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</row>
    <row customHeight="1" ht="14.25">
      <c r="A8" s="200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</row>
    <row customHeight="1" ht="14.25">
      <c r="A9" s="200">
        <v>5141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</row>
    <row customHeight="1" ht="14.25">
      <c r="A10" s="200">
        <v>743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</row>
    <row customHeight="1" ht="14.25">
      <c r="A11" s="200">
        <v>1367</v>
      </c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</row>
    <row customHeight="1" ht="14.25">
      <c r="A12" s="200">
        <v>0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</row>
    <row customHeight="1" ht="14.25">
      <c r="A13" s="200">
        <v>413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</row>
    <row customHeight="1" ht="14.25">
      <c r="A14" s="200">
        <v>2593</v>
      </c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</row>
    <row customHeight="1" ht="14.25">
      <c r="A15" s="200"/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</row>
    <row customHeight="1" ht="14.25">
      <c r="A16" s="200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</row>
    <row customHeight="1" ht="14.25">
      <c r="A17" s="200">
        <v>0</v>
      </c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</row>
    <row customHeight="1" ht="14.25">
      <c r="A18" s="200">
        <v>0</v>
      </c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</row>
    <row customHeight="1" ht="14.25">
      <c r="A19" s="200">
        <v>0</v>
      </c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</row>
    <row customHeight="1" ht="14.25">
      <c r="A20" s="200">
        <v>0</v>
      </c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</row>
    <row customHeight="1" ht="14.25">
      <c r="A21" s="200">
        <v>0</v>
      </c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</row>
    <row customHeight="1" ht="14.25">
      <c r="A22" s="200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</row>
    <row customHeight="1" ht="14.25">
      <c r="A23" s="200"/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</row>
    <row customHeight="1" ht="14.25">
      <c r="A24" s="200">
        <v>3733</v>
      </c>
      <c r="B24" s="200">
        <v>3431</v>
      </c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</row>
    <row customHeight="1" ht="14.25">
      <c r="A25" s="200">
        <v>1794</v>
      </c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</row>
    <row customHeight="1" ht="14.25">
      <c r="A26" s="200">
        <v>840</v>
      </c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</row>
    <row customHeight="1" ht="14.25">
      <c r="A27" s="200">
        <v>622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</row>
    <row customHeight="1" ht="14.25">
      <c r="A28" s="200">
        <v>21</v>
      </c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</row>
    <row customHeight="1" ht="14.25">
      <c r="A29" s="200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</row>
    <row customHeight="1" ht="14.25">
      <c r="A30" s="200">
        <v>617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</row>
    <row customHeight="1" ht="14.25">
      <c r="A31" s="200">
        <v>370</v>
      </c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</row>
    <row customHeight="1" ht="14.25">
      <c r="A32" s="200">
        <v>206</v>
      </c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</row>
    <row customHeight="1" ht="14.25">
      <c r="A33" s="200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</row>
    <row customHeight="1" ht="14.25">
      <c r="A34" s="200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</row>
    <row customHeight="1" ht="14.25">
      <c r="A35" s="200">
        <v>490</v>
      </c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</row>
    <row customHeight="1" ht="14.25">
      <c r="A36" s="200">
        <v>473</v>
      </c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</row>
    <row customHeight="1" ht="14.25">
      <c r="A37" s="200">
        <v>15</v>
      </c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</row>
    <row customHeight="1" ht="14.25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</row>
    <row customHeight="1" ht="14.25">
      <c r="A39" s="200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</row>
    <row customHeight="1" ht="14.25">
      <c r="A40" s="200">
        <v>1794</v>
      </c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</row>
    <row customHeight="1" ht="14.25">
      <c r="A41" s="200">
        <v>1786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</row>
    <row customHeight="1" ht="14.25">
      <c r="A42" s="200">
        <v>0</v>
      </c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</row>
    <row customHeight="1" ht="14.25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</row>
    <row customHeight="1" ht="14.25">
      <c r="A44" s="200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</row>
    <row customHeight="1" ht="14.25">
      <c r="A45" s="200">
        <v>2805</v>
      </c>
      <c r="B45" s="200">
        <v>25</v>
      </c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</row>
    <row customHeight="1" ht="14.25">
      <c r="A46" s="200">
        <v>2495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</row>
    <row customHeight="1" ht="14.25">
      <c r="A47" s="200">
        <v>309</v>
      </c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</row>
    <row customHeight="1" ht="14.25">
      <c r="A48" s="200">
        <v>179110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</row>
    <row customHeight="1" ht="14.25">
      <c r="A49" s="200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</row>
    <row customHeight="1" ht="14.25">
      <c r="A50" s="200">
        <v>8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</row>
    <row customHeight="1" ht="14.25">
      <c r="A51" s="200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</row>
    <row customHeight="1" ht="14.25">
      <c r="A52" s="200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</row>
    <row customHeight="1" ht="14.25">
      <c r="A53" s="200">
        <v>136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</row>
    <row customHeight="1" ht="14.25">
      <c r="A54" s="200">
        <v>91</v>
      </c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</row>
    <row customHeight="1" ht="14.25">
      <c r="A55" s="200">
        <v>213</v>
      </c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0"/>
      <c r="N55" s="200"/>
      <c r="O55" s="200"/>
      <c r="P55" s="200"/>
    </row>
    <row customHeight="1" ht="14.25">
      <c r="A56" s="200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</row>
    <row customHeight="1" ht="14.25">
      <c r="A57" s="200"/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0"/>
      <c r="N57" s="200"/>
      <c r="O57" s="200"/>
      <c r="P57" s="200"/>
    </row>
    <row customHeight="1" ht="14.25">
      <c r="A58" s="200"/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0"/>
      <c r="N58" s="200"/>
      <c r="O58" s="200"/>
      <c r="P58" s="200"/>
    </row>
    <row customHeight="1" ht="14.25">
      <c r="A59" s="200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</row>
    <row customHeight="1" ht="14.25">
      <c r="A60" s="200"/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</row>
    <row customHeight="1" ht="14.25">
      <c r="A61" s="200"/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0"/>
      <c r="N61" s="200"/>
      <c r="O61" s="200"/>
      <c r="P61" s="200"/>
    </row>
    <row customHeight="1" ht="14.25">
      <c r="A62" s="200"/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0"/>
      <c r="N62" s="200"/>
      <c r="O62" s="200"/>
      <c r="P62" s="200"/>
    </row>
    <row customHeight="1" ht="14.25">
      <c r="A63" s="200"/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0"/>
      <c r="N63" s="200"/>
      <c r="O63" s="200"/>
      <c r="P63" s="200"/>
    </row>
    <row customHeight="1" ht="14.25">
      <c r="A64" s="200">
        <v>32</v>
      </c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0"/>
      <c r="N64" s="200"/>
      <c r="O64" s="200"/>
      <c r="P64" s="200"/>
    </row>
    <row customHeight="1" ht="14.25">
      <c r="A65" s="200"/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</row>
    <row customHeight="1" ht="14.25">
      <c r="A66" s="200"/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0"/>
      <c r="N66" s="200"/>
      <c r="O66" s="200"/>
      <c r="P66" s="200"/>
    </row>
    <row customHeight="1" ht="14.25">
      <c r="A67" s="200"/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0"/>
      <c r="N67" s="200"/>
      <c r="O67" s="200"/>
      <c r="P67" s="200"/>
    </row>
    <row customHeight="1" ht="14.25">
      <c r="A68" s="200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</row>
    <row customHeight="1" ht="14.25">
      <c r="A69" s="200">
        <v>2825</v>
      </c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0"/>
      <c r="N69" s="200"/>
      <c r="O69" s="200"/>
      <c r="P69" s="200"/>
    </row>
    <row customHeight="1" ht="14.25">
      <c r="A70" s="200">
        <v>2670</v>
      </c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0"/>
      <c r="N70" s="200"/>
      <c r="O70" s="200"/>
      <c r="P70" s="200"/>
    </row>
    <row customHeight="1" ht="14.25">
      <c r="A71" s="200">
        <v>2083</v>
      </c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0"/>
      <c r="N71" s="200"/>
      <c r="O71" s="200"/>
      <c r="P71" s="200"/>
    </row>
    <row customHeight="1" ht="14.25">
      <c r="A72" s="200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</row>
    <row customHeight="1" ht="14.25">
      <c r="A73" s="200"/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  <c r="N73" s="200"/>
      <c r="O73" s="200"/>
      <c r="P73" s="200"/>
    </row>
    <row customHeight="1" ht="14.25">
      <c r="A74" s="199">
        <v>123.32</v>
      </c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</row>
    <row customHeight="1" ht="14.25">
      <c r="A75" s="199">
        <v>1058</v>
      </c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0"/>
      <c r="N75" s="200"/>
      <c r="O75" s="200"/>
      <c r="P75" s="200"/>
    </row>
    <row customHeight="1" ht="14.25">
      <c r="A76" s="200">
        <v>577</v>
      </c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200"/>
      <c r="P76" s="200"/>
    </row>
    <row customHeight="1" ht="14.25">
      <c r="A77" s="200"/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0"/>
      <c r="N77" s="200"/>
      <c r="O77" s="200"/>
      <c r="P77" s="200"/>
    </row>
    <row customHeight="1" ht="14.25">
      <c r="A78" s="200"/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0"/>
      <c r="N78" s="200"/>
      <c r="O78" s="200"/>
      <c r="P78" s="200"/>
    </row>
    <row customHeight="1" ht="14.25">
      <c r="A79" s="200"/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0"/>
      <c r="N79" s="200"/>
      <c r="O79" s="200"/>
      <c r="P79" s="200"/>
    </row>
    <row customHeight="1" ht="14.25">
      <c r="A80" s="200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</row>
    <row customHeight="1" ht="14.25">
      <c r="A81" s="200">
        <v>1738</v>
      </c>
      <c r="B81" s="200">
        <v>616</v>
      </c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</row>
    <row customHeight="1" ht="14.25">
      <c r="A82" s="199">
        <v>2360</v>
      </c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0"/>
      <c r="N82" s="200"/>
      <c r="O82" s="200"/>
      <c r="P82" s="200"/>
    </row>
    <row customHeight="1" ht="14.25">
      <c r="A83" s="201">
        <v>859</v>
      </c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</row>
    <row customHeight="1" ht="14.25">
      <c r="A84" s="201">
        <v>6448</v>
      </c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0"/>
      <c r="N84" s="200"/>
      <c r="O84" s="200"/>
      <c r="P84" s="200"/>
    </row>
    <row customHeight="1" ht="14.25">
      <c r="A85" s="200">
        <v>5727</v>
      </c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0"/>
      <c r="N85" s="200"/>
      <c r="O85" s="200"/>
      <c r="P85" s="200"/>
    </row>
    <row customHeight="1" ht="14.25">
      <c r="A86" s="202"/>
      <c r="B86" s="202">
        <v>1000</v>
      </c>
      <c r="C86" s="202">
        <v>1817</v>
      </c>
      <c r="D86" s="200"/>
      <c r="E86" s="200"/>
      <c r="F86" s="200"/>
      <c r="G86" s="200"/>
      <c r="H86" s="200"/>
      <c r="I86" s="200"/>
      <c r="J86" s="200"/>
      <c r="K86" s="200"/>
      <c r="L86" s="200"/>
      <c r="M86" s="200"/>
      <c r="N86" s="200"/>
      <c r="O86" s="200"/>
      <c r="P86" s="200"/>
    </row>
    <row customHeight="1" ht="14.25">
      <c r="A87" s="200">
        <v>190</v>
      </c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0"/>
      <c r="N87" s="200"/>
      <c r="O87" s="200"/>
      <c r="P87" s="200"/>
    </row>
    <row customHeight="1" ht="14.25">
      <c r="A88" s="203">
        <v>0</v>
      </c>
      <c r="B88" s="203">
        <v>648</v>
      </c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0"/>
      <c r="N88" s="200"/>
      <c r="O88" s="200"/>
      <c r="P88" s="200"/>
    </row>
    <row customHeight="1" ht="14.25">
      <c r="A89" s="200"/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</row>
    <row customHeight="1" ht="14.25">
      <c r="A90" s="200"/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0"/>
      <c r="N90" s="200"/>
      <c r="O90" s="200"/>
      <c r="P90" s="200"/>
    </row>
    <row customHeight="1" ht="14.25">
      <c r="A91" s="200">
        <v>6820</v>
      </c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0"/>
      <c r="N91" s="200"/>
      <c r="O91" s="200"/>
      <c r="P91" s="200"/>
    </row>
    <row customHeight="1" ht="14.25">
      <c r="A92" s="200"/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0"/>
      <c r="N92" s="200"/>
      <c r="O92" s="200"/>
      <c r="P92" s="200"/>
    </row>
    <row customHeight="1" ht="14.25">
      <c r="A93" s="200">
        <v>10158</v>
      </c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00"/>
      <c r="O93" s="200"/>
      <c r="P93" s="200"/>
    </row>
    <row customHeight="1" ht="14.25">
      <c r="A94" s="200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</row>
    <row customHeight="1" ht="14.25">
      <c r="A95" s="200"/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0"/>
      <c r="N95" s="200"/>
      <c r="O95" s="200"/>
      <c r="P95" s="200"/>
    </row>
    <row customHeight="1" ht="14.25">
      <c r="A96" s="200"/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00"/>
      <c r="O96" s="200"/>
      <c r="P96" s="200"/>
    </row>
    <row customHeight="1" ht="14.25">
      <c r="A97" s="200"/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0"/>
      <c r="N97" s="200"/>
      <c r="O97" s="200"/>
      <c r="P97" s="200"/>
    </row>
    <row customHeight="1" ht="14.25">
      <c r="A98" s="200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00"/>
      <c r="O98" s="200"/>
      <c r="P98" s="200"/>
    </row>
    <row customHeight="1" ht="14.25">
      <c r="A99" s="200">
        <v>219.4</v>
      </c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0"/>
      <c r="N99" s="200"/>
      <c r="O99" s="200"/>
      <c r="P99" s="200"/>
    </row>
    <row customHeight="1" ht="14.25">
      <c r="A100" s="200"/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0"/>
      <c r="N100" s="200"/>
      <c r="O100" s="200"/>
      <c r="P100" s="200"/>
    </row>
    <row customHeight="1" ht="14.25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200"/>
      <c r="P101" s="200"/>
    </row>
    <row customHeight="1" ht="14.25">
      <c r="A102" s="200">
        <v>313.76</v>
      </c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</row>
    <row customHeight="1" ht="14.25">
      <c r="A103" s="200"/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0"/>
      <c r="N103" s="200"/>
      <c r="O103" s="200"/>
      <c r="P103" s="200"/>
    </row>
    <row customHeight="1" ht="14.25">
      <c r="A104" s="200">
        <v>32.16</v>
      </c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0"/>
      <c r="N104" s="200"/>
      <c r="O104" s="200"/>
      <c r="P104" s="200"/>
    </row>
    <row customHeight="1" ht="14.25">
      <c r="A105" s="200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</row>
    <row customHeight="1" ht="14.25">
      <c r="A106" s="200"/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</row>
    <row s="204" customFormat="1" customHeight="1" ht="14.25">
      <c r="A107" s="205"/>
      <c r="B107" s="206"/>
      <c r="C107" s="205" t="s">
        <v>63</v>
      </c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</row>
    <row s="208" customFormat="1" customHeight="1" ht="14.25">
      <c r="A108" s="205">
        <v>1475.72</v>
      </c>
      <c r="B108" s="206"/>
      <c r="C108" s="205" t="s">
        <v>65</v>
      </c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</row>
    <row s="209" customFormat="1" customHeight="1" ht="14.25">
      <c r="A109" s="205">
        <v>763.58</v>
      </c>
      <c r="B109" s="206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5"/>
      <c r="O109" s="207"/>
      <c r="P109" s="207"/>
    </row>
    <row s="210" customFormat="1" customHeight="1" ht="14.25">
      <c r="A110" s="207"/>
      <c r="B110" s="206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</row>
    <row s="211" customFormat="1" customHeight="1" ht="14.25">
      <c r="A111" s="205">
        <v>709</v>
      </c>
      <c r="B111" s="205">
        <v>0</v>
      </c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</row>
    <row s="212" customFormat="1" customHeight="1" ht="14.25">
      <c r="A112" s="205"/>
      <c r="B112" s="206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</row>
    <row s="213" customFormat="1" customHeight="1" ht="14.25">
      <c r="A113" s="207"/>
      <c r="B113" s="206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</row>
    <row s="214" customFormat="1" customHeight="1" ht="14.25">
      <c r="A114" s="205"/>
      <c r="B114" s="206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</row>
    <row s="215" customFormat="1" customHeight="1" ht="14.25">
      <c r="A115" s="207"/>
      <c r="B115" s="206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</row>
    <row s="216" customFormat="1" customHeight="1" ht="14.25">
      <c r="A116" s="207"/>
      <c r="B116" s="206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</row>
    <row customHeight="1" ht="14.25">
      <c r="A117" s="200"/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</row>
    <row customHeight="1" ht="14.25">
      <c r="A118" s="200">
        <v>1880</v>
      </c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</row>
    <row customHeight="1" ht="14.25">
      <c r="A119" s="200">
        <v>4105</v>
      </c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</row>
    <row customHeight="1" ht="14.25">
      <c r="A120" s="200">
        <v>3743</v>
      </c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</row>
    <row customHeight="1" ht="14.25">
      <c r="A121" s="200">
        <v>0</v>
      </c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</row>
    <row customHeight="1" ht="14.25">
      <c r="A122" s="200"/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</row>
    <row customHeight="1" ht="14.25">
      <c r="A123" s="200"/>
      <c r="B123" s="200"/>
      <c r="C123" s="200"/>
      <c r="D123" s="199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</row>
    <row customHeight="1" ht="14.25">
      <c r="A124" s="200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</row>
    <row customHeight="1" ht="14.25">
      <c r="A125" s="217" t="s">
        <v>55</v>
      </c>
      <c r="B125" s="217" t="s">
        <v>56</v>
      </c>
      <c r="C125" s="217" t="s">
        <v>57</v>
      </c>
      <c r="D125" s="218" t="s">
        <v>58</v>
      </c>
      <c r="E125" s="217" t="s">
        <v>59</v>
      </c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</row>
    <row customHeight="1" ht="14.25">
      <c r="A126" s="217" t="s">
        <v>21</v>
      </c>
      <c r="B126" s="200"/>
      <c r="C126" s="200"/>
      <c r="D126" s="200"/>
      <c r="E126" s="200">
        <v>17265</v>
      </c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</row>
    <row customHeight="1" ht="14.25">
      <c r="A127" s="219" t="s">
        <v>18</v>
      </c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</row>
    <row customHeight="1" ht="14.25">
      <c r="A128" s="219" t="s">
        <v>68</v>
      </c>
      <c r="B128" s="200">
        <v>186.86</v>
      </c>
      <c r="C128" s="199">
        <v>1810</v>
      </c>
      <c r="D128" s="199">
        <v>0</v>
      </c>
      <c r="E128" s="200">
        <v>6820</v>
      </c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</row>
    <row customHeight="1" ht="14.25">
      <c r="A129" s="217" t="s">
        <v>20</v>
      </c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</row>
    <row customHeight="1" ht="14.25">
      <c r="A130" s="220" t="s">
        <v>72</v>
      </c>
      <c r="B130" s="199">
        <v>59.94</v>
      </c>
      <c r="C130" s="199">
        <v>1582</v>
      </c>
      <c r="D130" s="199"/>
      <c r="E130" s="200">
        <v>10158</v>
      </c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</row>
    <row customHeight="1" ht="14.25">
      <c r="A131" s="220" t="s">
        <v>75</v>
      </c>
      <c r="B131" s="199"/>
      <c r="C131" s="199"/>
      <c r="D131" s="199">
        <v>0</v>
      </c>
      <c r="E131" s="200">
        <v>0</v>
      </c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</row>
    <row customHeight="1" ht="14.25">
      <c r="A132" s="220" t="s">
        <v>78</v>
      </c>
      <c r="B132" s="199">
        <v>892.12</v>
      </c>
      <c r="C132" s="199">
        <v>0</v>
      </c>
      <c r="D132" s="199"/>
      <c r="E132" s="200">
        <v>2933</v>
      </c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</row>
    <row customHeight="1" ht="14.25">
      <c r="A133" s="220" t="s">
        <v>81</v>
      </c>
      <c r="B133" s="199"/>
      <c r="C133" s="199"/>
      <c r="D133" s="199"/>
      <c r="E133" s="200">
        <v>0</v>
      </c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</row>
    <row customHeight="1" ht="14.25">
      <c r="A134" s="218" t="s">
        <v>26</v>
      </c>
      <c r="B134" s="199"/>
      <c r="C134" s="199">
        <v>0</v>
      </c>
      <c r="D134" s="199"/>
      <c r="E134" s="200">
        <v>904</v>
      </c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</row>
    <row customHeight="1" ht="14.25">
      <c r="A135" s="218" t="s">
        <v>18</v>
      </c>
      <c r="B135" s="200">
        <v>0</v>
      </c>
      <c r="C135" s="199">
        <v>0</v>
      </c>
      <c r="D135" s="199">
        <v>763.58</v>
      </c>
      <c r="E135" s="200">
        <v>6448</v>
      </c>
      <c r="F135" s="200"/>
      <c r="G135" s="200">
        <v>0</v>
      </c>
      <c r="H135" s="200"/>
      <c r="I135" s="200"/>
      <c r="J135" s="200"/>
      <c r="K135" s="200"/>
      <c r="L135" s="200"/>
      <c r="M135" s="200"/>
      <c r="N135" s="200"/>
      <c r="O135" s="200"/>
      <c r="P135" s="200"/>
    </row>
    <row customHeight="1" ht="14.25">
      <c r="A136" s="218" t="s">
        <v>91</v>
      </c>
      <c r="B136" s="200">
        <v>0</v>
      </c>
      <c r="C136" s="200"/>
      <c r="D136" s="199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</row>
    <row s="221" customFormat="1" customHeight="1" ht="14.25">
      <c r="A137" s="218"/>
      <c r="B137" s="205"/>
      <c r="C137" s="207"/>
      <c r="D137" s="205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</row>
    <row customHeight="1" ht="14.25">
      <c r="A138" s="218" t="s">
        <v>94</v>
      </c>
      <c r="B138" s="200">
        <v>324.78</v>
      </c>
      <c r="C138" s="200"/>
      <c r="D138" s="200"/>
      <c r="E138" s="200">
        <v>662</v>
      </c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</row>
    <row customHeight="1" ht="14.25">
      <c r="A139" s="222" t="s">
        <v>98</v>
      </c>
      <c r="B139" s="199"/>
      <c r="C139" s="199"/>
      <c r="D139" s="199"/>
      <c r="E139" s="200">
        <v>10795</v>
      </c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</row>
    <row customHeight="1" ht="14.25">
      <c r="A140" s="218" t="s">
        <v>70</v>
      </c>
      <c r="B140" s="200"/>
      <c r="C140" s="199"/>
      <c r="D140" s="200"/>
      <c r="E140" s="199">
        <v>123.32</v>
      </c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</row>
    <row customHeight="1" ht="14.25">
      <c r="A141" s="200"/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</row>
    <row customHeight="1" ht="14.25">
      <c r="A142" s="200"/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</row>
    <row customHeight="1" ht="14.25">
      <c r="A143" s="200">
        <v>0</v>
      </c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</row>
    <row customHeight="1" ht="14.25">
      <c r="A144" s="199">
        <v>12800</v>
      </c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</row>
    <row customHeight="1" ht="14.25">
      <c r="A145" s="200"/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</row>
    <row customHeight="1" ht="14.25">
      <c r="A146" s="200"/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</row>
    <row customHeight="1" ht="14.25">
      <c r="A147" s="200">
        <v>113000</v>
      </c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</row>
    <row customHeight="1" ht="14.25">
      <c r="A148" s="200">
        <v>57000</v>
      </c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</row>
    <row customHeight="1" ht="14.25">
      <c r="A149" s="200">
        <v>39000</v>
      </c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</row>
    <row customHeight="1" ht="14.25">
      <c r="A150" s="200">
        <v>3430</v>
      </c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</row>
    <row customHeight="1" ht="14.25">
      <c r="A151" s="200">
        <v>12000</v>
      </c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</row>
    <row customHeight="1" ht="14.25">
      <c r="A152" s="200">
        <v>7000</v>
      </c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</row>
    <row customHeight="1" ht="14.25">
      <c r="A153" s="200">
        <v>8000</v>
      </c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</row>
    <row customHeight="1" ht="14.25">
      <c r="A154" s="200">
        <v>7000</v>
      </c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</row>
    <row customHeight="1" ht="14.25">
      <c r="A155" s="200">
        <v>5000</v>
      </c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</row>
    <row customHeight="1" ht="14.25">
      <c r="A156" s="200">
        <v>2400</v>
      </c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</row>
    <row customHeight="1" ht="14.25">
      <c r="A157" s="200"/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</row>
    <row customHeight="1" ht="14.25">
      <c r="A158" s="200"/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</row>
    <row customHeight="1" ht="14.25">
      <c r="A159" s="200">
        <v>10200</v>
      </c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</row>
    <row customHeight="1" ht="14.25">
      <c r="A160" s="200">
        <v>10500</v>
      </c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</row>
    <row customHeight="1" ht="14.25">
      <c r="A161" s="200"/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</row>
    <row customHeight="1" ht="14.25">
      <c r="A162" s="200"/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</row>
    <row customHeight="1" ht="14.25">
      <c r="A163" s="200"/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</row>
    <row customHeight="1" ht="14.25">
      <c r="A164" s="200">
        <v>12000</v>
      </c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</row>
    <row customHeight="1" ht="14.25">
      <c r="A165" s="200"/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</row>
    <row customHeight="1" ht="14.25">
      <c r="A166" s="200">
        <v>13500</v>
      </c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</row>
    <row customHeight="1" ht="14.25">
      <c r="A167" s="200"/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</row>
    <row customHeight="1" ht="14.25">
      <c r="A168" s="200">
        <v>10500</v>
      </c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</row>
    <row customHeight="1" ht="14.25">
      <c r="A169" s="200">
        <v>150</v>
      </c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</row>
    <row customHeight="1" ht="14.25">
      <c r="A170" s="200">
        <v>1200</v>
      </c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</row>
    <row customHeight="1" ht="14.25">
      <c r="A171" s="200"/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</row>
    <row customHeight="1" ht="14.25">
      <c r="A172" s="200">
        <v>1600</v>
      </c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</row>
    <row customHeight="1" ht="14.25">
      <c r="A173" s="200"/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</row>
    <row customHeight="1" ht="14.25">
      <c r="A174" s="200">
        <v>400</v>
      </c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</row>
    <row customHeight="1" ht="14.25">
      <c r="A175" s="200"/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</row>
    <row customHeight="1" ht="14.25">
      <c r="A176" s="200"/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</row>
    <row customHeight="1" ht="14.25">
      <c r="A177" s="200"/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</row>
    <row customHeight="1" ht="14.25">
      <c r="A178" s="200">
        <v>9800</v>
      </c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</row>
    <row customHeight="1" ht="14.25">
      <c r="A179" s="200"/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</row>
    <row customHeight="1" ht="14.25">
      <c r="A180" s="200">
        <v>9800</v>
      </c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</row>
    <row customHeight="1" ht="14.25">
      <c r="A181" s="200"/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</row>
    <row customHeight="1" ht="14.25">
      <c r="A182" s="200"/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</row>
    <row customHeight="1" ht="14.25">
      <c r="A183" s="200">
        <v>27769</v>
      </c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</row>
    <row customHeight="1" ht="14.25">
      <c r="A184" s="200">
        <v>12261</v>
      </c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</row>
    <row customHeight="1" ht="14.25">
      <c r="A185" s="200"/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</row>
    <row customHeight="1" ht="14.25">
      <c r="A186" s="200"/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</row>
    <row customHeight="1" ht="14.25">
      <c r="A187" s="200">
        <v>0</v>
      </c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</row>
    <row customHeight="1" ht="14.25">
      <c r="A188" s="200">
        <v>763.58</v>
      </c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</row>
    <row customHeight="1" ht="14.25">
      <c r="A189" s="200"/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</row>
    <row customHeight="1" ht="14.25">
      <c r="A190" s="200"/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</row>
    <row customHeight="1" ht="14.25">
      <c r="A191" s="200">
        <v>32</v>
      </c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</row>
    <row customHeight="1" ht="14.25">
      <c r="A192" s="223">
        <v>0</v>
      </c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</row>
    <row customHeight="1" ht="14.25">
      <c r="A193" s="200">
        <v>0</v>
      </c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</row>
    <row customHeight="1" ht="14.25">
      <c r="A194" s="200"/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</row>
    <row customHeight="1" ht="14.25">
      <c r="A195" s="200"/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</row>
    <row customHeight="1" ht="14.25">
      <c r="A196" s="200"/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</row>
    <row customHeight="1" ht="14.25">
      <c r="A197" s="200"/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</row>
    <row customHeight="1" ht="14.25">
      <c r="A198" s="224" t="s">
        <v>102</v>
      </c>
      <c r="B198" s="225" t="s">
        <v>103</v>
      </c>
      <c r="C198" s="226"/>
      <c r="D198" s="227"/>
      <c r="E198" s="228"/>
      <c r="F198" s="229" t="s">
        <v>109</v>
      </c>
      <c r="G198" s="225" t="s">
        <v>105</v>
      </c>
      <c r="H198" s="200"/>
      <c r="I198" s="200"/>
      <c r="J198" s="200"/>
      <c r="K198" s="200"/>
      <c r="L198" s="200"/>
      <c r="M198" s="200"/>
      <c r="N198" s="200"/>
      <c r="O198" s="200"/>
      <c r="P198" s="200"/>
    </row>
    <row customHeight="1" ht="14.25">
      <c r="A199" s="200"/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</row>
    <row customHeight="1" ht="14.25">
      <c r="A200" s="200"/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</row>
    <row customHeight="1" ht="14.25">
      <c r="A201" s="230" t="s">
        <v>100</v>
      </c>
      <c r="B201" s="231" t="s">
        <v>101</v>
      </c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</row>
    <row customHeight="1" ht="14.25">
      <c r="A202" s="200"/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</row>
    <row customHeight="1" ht="14.25">
      <c r="A203" s="200"/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</row>
    <row customHeight="1" ht="14.25">
      <c r="A204" s="200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</row>
    <row customHeight="1" ht="14.25">
      <c r="A205" s="200"/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</row>
    <row customHeight="1" ht="14.25">
      <c r="A206" s="200"/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生产调度台账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dhc</dc:creator>
  <cp:lastModifiedBy>dhc</cp:lastModifiedBy>
  <cp:lastPrinted>2023-12-15T02:56:03Z</cp:lastPrinted>
  <dcterms:created xsi:type="dcterms:W3CDTF">2015-06-05T18:19:34Z</dcterms:created>
  <dcterms:modified xsi:type="dcterms:W3CDTF">2023-12-15T02:56:14Z</dcterms:modified>
</cp:coreProperties>
</file>