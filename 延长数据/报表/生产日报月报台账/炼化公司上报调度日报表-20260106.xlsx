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榆炼上报炼化公司调度日报表" sheetId="1" r:id="rId2"/>
    <sheet name="公式" sheetId="2" state="hidden" r:id="rId3"/>
    <sheet name="取值" sheetId="3" state="hidden" r:id="rId4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J6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#Input("榆炼_炼化公司上报调度日报表_备注1",":key{{dw}}")
</t>
        </r>
      </text>
    </comment>
    <comment ref="G7" authorId="0">
      <text>
        <r>
          <rPr>
            <b/>
            <sz val="9"/>
            <color indexed="81"/>
            <rFont val="宋体"/>
            <family val="2"/>
          </rPr>
          <t>#Input("榆炼_炼化公司上报调度日报表_成品汽油库存",":key{{dw}}")</t>
        </r>
      </text>
    </comment>
    <comment ref="H7" authorId="0">
      <text>
        <r>
          <rPr>
            <b/>
            <sz val="9"/>
            <color indexed="81"/>
            <rFont val="宋体"/>
            <family val="2"/>
          </rPr>
          <t>#Input("榆炼_炼化公司上报调度日报表_成品汽油库容",":key{{dw}}")</t>
        </r>
      </text>
    </comment>
    <comment ref="J7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#Input("榆炼_炼化公司上报调度日报表_备注2",":key{{dw}}")
</t>
        </r>
      </text>
    </comment>
    <comment ref="C8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#Input("榆炼_炼化公司上报调度日报表_常压加工量",":key{{dw}}")
</t>
        </r>
      </text>
    </comment>
    <comment ref="D8" authorId="0">
      <text>
        <r>
          <rPr>
            <b/>
            <sz val="9"/>
            <color indexed="81"/>
            <rFont val="宋体"/>
            <family val="2"/>
          </rPr>
          <t>#Input("榆炼_炼化公司上报调度日报表_汽油产量",":key{{dw}}")</t>
        </r>
      </text>
    </comment>
    <comment ref="G8" authorId="0">
      <text>
        <r>
          <rPr>
            <b/>
            <sz val="9"/>
            <color indexed="81"/>
            <rFont val="宋体"/>
            <family val="2"/>
          </rPr>
          <t>#Input("榆炼_炼化公司上报调度日报表_半成品汽油库存",":key{{dw}}")</t>
        </r>
      </text>
    </comment>
    <comment ref="H8" authorId="0">
      <text>
        <r>
          <rPr>
            <b/>
            <sz val="9"/>
            <color indexed="81"/>
            <rFont val="宋体"/>
            <family val="2"/>
          </rPr>
          <t>#Input("榆炼_炼化公司上报调度日报表_半成品汽油库容",":key{{dw}}")</t>
        </r>
      </text>
    </comment>
    <comment ref="J8" authorId="0">
      <text>
        <r>
          <rPr>
            <b/>
            <sz val="9"/>
            <color indexed="81"/>
            <rFont val="宋体"/>
            <family val="2"/>
          </rPr>
          <t>#Input("榆炼_炼化公司上报调度日报表_备注3",":key{{dw}}")</t>
        </r>
      </text>
    </comment>
    <comment ref="J9" authorId="0">
      <text>
        <r>
          <rPr>
            <b/>
            <sz val="9"/>
            <color indexed="81"/>
            <rFont val="宋体"/>
            <family val="2"/>
          </rPr>
          <t>#Input("榆炼_炼化公司上报调度日报表_备注4",":key{{dw}}")</t>
        </r>
      </text>
    </comment>
    <comment ref="G10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#Input("榆炼_炼化公司上报调度日报表_成品柴油库存",":key{{dw}}")
</t>
        </r>
      </text>
    </comment>
    <comment ref="H10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#Input("榆炼_炼化公司上报调度日报表_成品柴油库容",":key{{dw}}")
</t>
        </r>
      </text>
    </comment>
    <comment ref="J10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#Input("榆炼_炼化公司上报调度日报表_备注5",":key{{dw}}")
</t>
        </r>
      </text>
    </comment>
    <comment ref="G11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#Input("榆炼_炼化公司上报调度日报表_半成品柴油库存",":key{{dw}}")
</t>
        </r>
      </text>
    </comment>
    <comment ref="H11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#Input("榆炼_炼化公司上报调度日报表_半成品柴油库容",":key{{dw}}")
</t>
        </r>
      </text>
    </comment>
    <comment ref="J11" authorId="0">
      <text>
        <r>
          <rPr>
            <b/>
            <sz val="9"/>
            <color indexed="81"/>
            <rFont val="宋体"/>
            <family val="2"/>
          </rPr>
          <t>#Input("榆炼_炼化公司上报调度日报表_备注6",":key{{dw}}")</t>
        </r>
      </text>
    </comment>
    <comment ref="C12" authorId="0">
      <text>
        <r>
          <rPr>
            <b/>
            <sz val="9"/>
            <color indexed="81"/>
            <rFont val="宋体"/>
            <family val="2"/>
          </rPr>
          <t>#Input("榆炼_炼化公司上报调度日报表_催化加工量",":key{{dw}}")</t>
        </r>
      </text>
    </comment>
    <comment ref="D12" authorId="0">
      <text>
        <r>
          <rPr>
            <b/>
            <sz val="9"/>
            <color indexed="81"/>
            <rFont val="宋体"/>
            <family val="2"/>
          </rPr>
          <t>#Input("榆炼_炼化公司上报调度日报表_柴油产量",":key{{dw}}")</t>
        </r>
      </text>
    </comment>
    <comment ref="G12" authorId="0">
      <text>
        <r>
          <rPr>
            <b/>
            <sz val="9"/>
            <color indexed="81"/>
            <rFont val="宋体"/>
            <family val="2"/>
          </rPr>
          <t>#Input("榆炼_炼化公司上报调度日报表_原油合计",":key{{dw}}")</t>
        </r>
      </text>
    </comment>
    <comment ref="H12" authorId="0">
      <text>
        <r>
          <rPr>
            <b/>
            <sz val="9"/>
            <color indexed="81"/>
            <rFont val="宋体"/>
            <family val="2"/>
          </rPr>
          <t>#Input("榆炼_炼化公司上报调度日报表_原油库容合计",":key{{dw}}")</t>
        </r>
      </text>
    </comment>
    <comment ref="J12" authorId="0">
      <text>
        <r>
          <rPr>
            <b/>
            <sz val="9"/>
            <color indexed="81"/>
            <rFont val="宋体"/>
            <family val="2"/>
          </rPr>
          <t>#Input("榆炼_炼化公司上报调度日报表_备注7",":key{{dw}}")</t>
        </r>
      </text>
    </comment>
    <comment ref="G13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#Input("榆炼_炼化公司上报调度日报表_渣油合计",":key{{dw}}")
</t>
        </r>
      </text>
    </comment>
    <comment ref="H13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#Input("榆炼_炼化公司上报调度日报表_渣油库容合计",":key{{dw}}")
</t>
        </r>
      </text>
    </comment>
    <comment ref="J13" authorId="0">
      <text>
        <r>
          <rPr>
            <sz val="9"/>
            <color indexed="81"/>
            <rFont val="Arial"/>
            <family val="2"/>
          </rPr>
          <t xml:space="preserve">#Input("榆炼_炼化公司上报调度日报表_备注8",":key{{dw}}")
</t>
        </r>
      </text>
    </comment>
    <comment ref="D14" authorId="0">
      <text>
        <r>
          <rPr>
            <b/>
            <sz val="9"/>
            <color indexed="81"/>
            <rFont val="宋体"/>
            <family val="2"/>
          </rPr>
          <t>#Input("榆炼_炼化公司上报调度日报表_单位负责人",":key{{dw}}")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#Input("榆炼_炼化公司上报调度日报表_统计负责人",":key{{dw}}")</t>
        </r>
      </text>
    </comment>
    <comment ref="I14" authorId="0">
      <text>
        <r>
          <rPr>
            <b/>
            <sz val="9"/>
            <color indexed="81"/>
            <rFont val="宋体"/>
            <family val="2"/>
          </rPr>
          <t>#Input("榆炼_炼化公司上报调度日报表_填报人",":key{{dw}}")</t>
        </r>
      </text>
    </comment>
  </commentList>
</comments>
</file>

<file path=xl/sharedStrings.xml><?xml version="1.0" encoding="utf-8"?>
<sst xmlns="http://schemas.openxmlformats.org/spreadsheetml/2006/main" count="148" uniqueCount="54">
  <si>
    <t>炼化公司上报调度日报表</t>
  </si>
  <si>
    <t>填报单位：榆林炼油厂</t>
  </si>
  <si>
    <t>单位:吨</t>
  </si>
  <si>
    <t>统计日期：</t>
  </si>
  <si>
    <t>2026-01-06</t>
  </si>
  <si>
    <t>项目</t>
  </si>
  <si>
    <t>炼化当日生产情况</t>
  </si>
  <si>
    <t>库存情况</t>
  </si>
  <si>
    <t>备注</t>
  </si>
  <si>
    <t>名称</t>
  </si>
  <si>
    <t>库存</t>
  </si>
  <si>
    <t>库容</t>
  </si>
  <si>
    <t>空量</t>
  </si>
  <si>
    <t>榆炼</t>
  </si>
  <si>
    <t>常压加工量</t>
  </si>
  <si>
    <t>汽油产量</t>
  </si>
  <si>
    <t>汽油</t>
  </si>
  <si>
    <t>合计</t>
  </si>
  <si>
    <t>成品</t>
  </si>
  <si>
    <t>半成品</t>
  </si>
  <si>
    <t>柴油</t>
  </si>
  <si>
    <t>催化加工量</t>
  </si>
  <si>
    <t>柴油产量</t>
  </si>
  <si>
    <t>原油合计</t>
  </si>
  <si>
    <t>渣油合计</t>
  </si>
  <si>
    <t>单位负责人：</t>
  </si>
  <si>
    <t>统计负责人：</t>
  </si>
  <si>
    <t>填报人：</t>
  </si>
  <si>
    <t>公式类型</t>
  </si>
  <si>
    <t>数据源</t>
  </si>
  <si>
    <t>取值</t>
  </si>
  <si>
    <t>计量点名称</t>
  </si>
  <si>
    <t>取值条件</t>
  </si>
  <si>
    <t>#SQL</t>
  </si>
  <si>
    <t>("</t>
  </si>
  <si>
    <t>YUL_DESPATCH_BYDATE</t>
  </si>
  <si>
    <t>","</t>
  </si>
  <si>
    <t>VALUE</t>
  </si>
  <si>
    <t>",":where{NAME=</t>
  </si>
  <si>
    <t>延长石油榆林炼油厂生产日报表_当日_常压装置加工量</t>
  </si>
  <si>
    <t>}")</t>
  </si>
  <si>
    <t>延长石油榆林炼油厂生产日报表_当日_催化装置加工量</t>
  </si>
  <si>
    <t>延长石油榆林炼油厂生产日报表_产量_本成品汽油</t>
  </si>
  <si>
    <t>延长石油榆林炼油厂生产日报表_产量_半成品柴油</t>
  </si>
  <si>
    <t>延长石油榆林炼油厂生产日报表_期末库存_92#</t>
  </si>
  <si>
    <t>延长石油榆林炼油厂生产日报表_期末库存_95#</t>
  </si>
  <si>
    <t>延长石油榆林炼油厂生产日报表_期末库存_0#</t>
  </si>
  <si>
    <t>延长石油榆林炼油厂生产日报表_期末库存_-10#</t>
  </si>
  <si>
    <t>延长石油榆林炼油厂生产日报表_期末库存_-20#</t>
  </si>
  <si>
    <t>延长石油榆林炼油厂生产日报表_库存动态_半成品汽油</t>
  </si>
  <si>
    <t>延长石油榆林炼油厂生产日报表_库存动态_半成品柴油</t>
  </si>
  <si>
    <t>延长石油榆林炼油厂生产日报表_库存动态_原油</t>
  </si>
  <si>
    <t>延长石油榆林炼油厂生产日报表_期末库存_1#渣油</t>
  </si>
  <si>
    <t>延长石油榆林炼油厂生产日报表_期末库存_2#渣油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</si>
</sst>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0_ "/>
    <numFmt numFmtId="172" formatCode="#"/>
  </numFmts>
  <fonts count="22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10"/>
      <color auto="1"/>
      <name val="Arial"/>
    </font>
    <font>
      <sz val="11"/>
      <color theme="1"/>
      <name val="等线"/>
    </font>
    <font>
      <sz val="11"/>
      <color rgb="FF000000"/>
      <name val="等线"/>
    </font>
    <font>
      <b/>
      <sz val="18"/>
      <color rgb="FF000000"/>
      <name val="等线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48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/>
  </cellStyleXfs>
  <cellXfs count="139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/>
    <xf numFmtId="0" fontId="19" fillId="0" borderId="0" xfId="0" applyFont="1"/>
    <xf numFmtId="20" fontId="0" fillId="0" borderId="0" xfId="0" applyFont="1" applyNumberFormat="1"/>
    <xf numFmtId="49" fontId="20" fillId="0" borderId="10" xfId="0" applyFont="1" applyBorder="1" applyNumberFormat="1">
      <alignment horizontal="center" vertical="center" wrapText="1" shrinkToFit="1"/>
    </xf>
    <xf numFmtId="0" fontId="20" fillId="7" borderId="11" xfId="0" applyFont="1" applyFill="1" applyBorder="1">
      <alignment horizontal="left" vertical="center"/>
    </xf>
    <xf numFmtId="0" fontId="20" fillId="7" borderId="11" xfId="0" applyFont="1" applyFill="1" applyBorder="1">
      <alignment horizontal="left"/>
    </xf>
    <xf numFmtId="0" fontId="20" fillId="7" borderId="12" xfId="0" applyFont="1" applyFill="1" applyBorder="1">
      <alignment horizontal="left"/>
    </xf>
    <xf numFmtId="0" fontId="19" fillId="0" borderId="0" xfId="0" applyFont="1"/>
    <xf numFmtId="0" fontId="20" fillId="0" borderId="0" xfId="0" applyFont="1">
      <alignment horizontal="center" vertical="center" wrapText="1"/>
    </xf>
    <xf numFmtId="0" fontId="19" fillId="0" borderId="0" xfId="0" applyFont="1"/>
    <xf numFmtId="171" fontId="20" fillId="7" borderId="10" xfId="0" applyFont="1" applyFill="1" applyBorder="1" applyNumberFormat="1">
      <alignment horizontal="right" vertical="center" shrinkToFit="1"/>
    </xf>
    <xf numFmtId="171" fontId="20" fillId="7" borderId="13" xfId="0" applyFont="1" applyFill="1" applyBorder="1" applyNumberFormat="1">
      <alignment horizontal="right" vertical="center" shrinkToFit="1"/>
    </xf>
    <xf numFmtId="172" fontId="20" fillId="0" borderId="10" xfId="0" applyFont="1" applyBorder="1" applyNumberFormat="1">
      <alignment horizontal="right" vertical="center" wrapText="1" shrinkToFit="1"/>
    </xf>
    <xf numFmtId="172" fontId="20" fillId="0" borderId="13" xfId="0" applyFont="1" applyBorder="1" applyNumberFormat="1">
      <alignment horizontal="right" vertical="center" wrapText="1" shrinkToFit="1"/>
    </xf>
    <xf numFmtId="0" fontId="20" fillId="0" borderId="14" xfId="0" applyFont="1" applyBorder="1">
      <alignment horizontal="center" vertical="center" wrapText="1" shrinkToFit="1"/>
    </xf>
    <xf numFmtId="49" fontId="20" fillId="0" borderId="14" xfId="0" applyFont="1" applyBorder="1" applyNumberFormat="1">
      <alignment horizontal="right" vertical="center" wrapText="1" shrinkToFit="1"/>
    </xf>
    <xf numFmtId="172" fontId="20" fillId="7" borderId="10" xfId="0" applyFont="1" applyFill="1" applyBorder="1" applyNumberFormat="1">
      <alignment horizontal="right" vertical="center" wrapText="1" shrinkToFit="1"/>
    </xf>
    <xf numFmtId="172" fontId="20" fillId="7" borderId="10" xfId="0" applyFont="1" applyFill="1" applyBorder="1" applyNumberFormat="1">
      <alignment horizontal="right" vertical="center" wrapText="1" shrinkToFit="1"/>
    </xf>
    <xf numFmtId="0" fontId="19" fillId="0" borderId="0" xfId="0" applyFont="1"/>
    <xf numFmtId="49" fontId="20" fillId="0" borderId="10" xfId="0" applyFont="1" applyBorder="1" applyNumberFormat="1">
      <alignment horizontal="center" vertical="center" wrapText="1" shrinkToFit="1"/>
    </xf>
    <xf numFmtId="171" fontId="20" fillId="7" borderId="10" xfId="0" applyFont="1" applyFill="1" applyBorder="1" applyNumberFormat="1">
      <alignment horizontal="right" vertical="center" shrinkToFit="1"/>
    </xf>
    <xf numFmtId="171" fontId="20" fillId="7" borderId="13" xfId="0" applyFont="1" applyFill="1" applyBorder="1" applyNumberFormat="1">
      <alignment horizontal="right" vertical="center" shrinkToFit="1"/>
    </xf>
    <xf numFmtId="49" fontId="20" fillId="0" borderId="13" xfId="0" applyFont="1" applyBorder="1" applyNumberFormat="1">
      <alignment horizontal="center" vertical="center" wrapText="1" shrinkToFit="1"/>
    </xf>
    <xf numFmtId="49" fontId="20" fillId="0" borderId="15" xfId="0" applyFont="1" applyBorder="1" applyNumberFormat="1">
      <alignment horizontal="center" vertical="center" wrapText="1" shrinkToFit="1"/>
    </xf>
    <xf numFmtId="49" fontId="21" fillId="0" borderId="16" xfId="0" applyFont="1" applyBorder="1" applyNumberFormat="1">
      <alignment horizontal="center" vertical="center" wrapText="1" shrinkToFit="1"/>
    </xf>
    <xf numFmtId="49" fontId="21" fillId="0" borderId="17" xfId="0" applyFont="1" applyBorder="1" applyNumberFormat="1">
      <alignment horizontal="center" vertical="center" wrapText="1" shrinkToFit="1"/>
    </xf>
    <xf numFmtId="49" fontId="21" fillId="0" borderId="18" xfId="0" applyFont="1" applyBorder="1" applyNumberFormat="1">
      <alignment horizontal="center" vertical="center" wrapText="1" shrinkToFit="1"/>
    </xf>
    <xf numFmtId="49" fontId="20" fillId="0" borderId="19" xfId="0" applyFont="1" applyBorder="1" applyNumberFormat="1">
      <alignment horizontal="center" vertical="center" wrapText="1" shrinkToFit="1"/>
    </xf>
    <xf numFmtId="49" fontId="20" fillId="0" borderId="20" xfId="0" applyFont="1" applyBorder="1" applyNumberFormat="1">
      <alignment horizontal="center" vertical="center" wrapText="1" shrinkToFit="1"/>
    </xf>
    <xf numFmtId="49" fontId="20" fillId="0" borderId="11" xfId="0" applyFont="1" applyBorder="1" applyNumberFormat="1">
      <alignment horizontal="center" vertical="center"/>
    </xf>
    <xf numFmtId="49" fontId="20" fillId="0" borderId="20" xfId="0" applyFont="1" applyBorder="1" applyNumberFormat="1">
      <alignment horizontal="left" vertical="center" wrapText="1" shrinkToFit="1"/>
    </xf>
    <xf numFmtId="49" fontId="20" fillId="0" borderId="11" xfId="0" applyFont="1" applyBorder="1" applyNumberFormat="1">
      <alignment horizontal="left" vertical="center" wrapText="1" shrinkToFit="1"/>
    </xf>
    <xf numFmtId="49" fontId="20" fillId="0" borderId="21" xfId="0" applyFont="1" applyBorder="1" applyNumberFormat="1">
      <alignment horizontal="center" vertical="center" wrapText="1" shrinkToFit="1"/>
    </xf>
    <xf numFmtId="0" fontId="19" fillId="0" borderId="0" xfId="0" applyFont="1">
      <alignment horizontal="right"/>
    </xf>
    <xf numFmtId="0" fontId="19" fillId="7" borderId="0" xfId="0" applyFont="1" applyFill="1"/>
    <xf numFmtId="0" fontId="19" fillId="0" borderId="0" xfId="0" applyFont="1">
      <alignment wrapText="1"/>
    </xf>
    <xf numFmtId="49" fontId="21" fillId="0" borderId="16" xfId="0" applyFont="1" applyBorder="1" applyNumberFormat="1">
      <alignment horizontal="center" vertical="center" wrapText="1" shrinkToFit="1"/>
    </xf>
    <xf numFmtId="49" fontId="21" fillId="0" borderId="17" xfId="0" applyFont="1" applyBorder="1" applyNumberFormat="1">
      <alignment horizontal="center" vertical="center" wrapText="1" shrinkToFit="1"/>
    </xf>
    <xf numFmtId="49" fontId="21" fillId="0" borderId="18" xfId="0" applyFont="1" applyBorder="1" applyNumberFormat="1">
      <alignment horizontal="center" vertical="center" wrapText="1" shrinkToFit="1"/>
    </xf>
    <xf numFmtId="49" fontId="20" fillId="0" borderId="15" xfId="0" applyFont="1" applyBorder="1" applyNumberFormat="1">
      <alignment horizontal="center" vertical="center" wrapText="1" shrinkToFit="1"/>
    </xf>
    <xf numFmtId="49" fontId="20" fillId="0" borderId="19" xfId="0" applyFont="1" applyBorder="1" applyNumberFormat="1">
      <alignment horizontal="center" vertical="center" wrapText="1" shrinkToFit="1"/>
    </xf>
    <xf numFmtId="0" fontId="20" fillId="0" borderId="14" xfId="0" applyFont="1" applyBorder="1">
      <alignment horizontal="center" vertical="center" wrapText="1" shrinkToFit="1"/>
    </xf>
    <xf numFmtId="49" fontId="20" fillId="0" borderId="20" xfId="0" applyFont="1" applyBorder="1" applyNumberFormat="1">
      <alignment horizontal="center" vertical="center" wrapText="1" shrinkToFit="1"/>
    </xf>
    <xf numFmtId="49" fontId="20" fillId="0" borderId="10" xfId="0" applyFont="1" applyBorder="1" applyNumberFormat="1">
      <alignment horizontal="center" vertical="center" wrapText="1" shrinkToFit="1"/>
    </xf>
    <xf numFmtId="49" fontId="20" fillId="0" borderId="14" xfId="0" applyFont="1" applyBorder="1" applyNumberFormat="1">
      <alignment horizontal="right" vertical="center" wrapText="1" shrinkToFit="1"/>
    </xf>
    <xf numFmtId="49" fontId="20" fillId="0" borderId="20" xfId="0" applyFont="1" applyBorder="1" applyNumberFormat="1">
      <alignment horizontal="left" vertical="center" wrapText="1" shrinkToFit="1"/>
    </xf>
    <xf numFmtId="49" fontId="20" fillId="0" borderId="11" xfId="0" applyFont="1" applyBorder="1" applyNumberFormat="1">
      <alignment horizontal="left" vertical="center" wrapText="1" shrinkToFit="1"/>
    </xf>
    <xf numFmtId="49" fontId="20" fillId="0" borderId="11" xfId="0" applyFont="1" applyBorder="1" applyNumberFormat="1">
      <alignment horizontal="center" vertical="center" wrapText="1"/>
    </xf>
    <xf numFmtId="49" fontId="20" fillId="0" borderId="10" xfId="0" applyFont="1" applyBorder="1" applyNumberFormat="1">
      <alignment horizontal="center" vertical="center" wrapText="1" shrinkToFit="1"/>
    </xf>
    <xf numFmtId="172" fontId="20" fillId="0" borderId="10" xfId="0" applyFont="1" applyBorder="1" applyNumberFormat="1">
      <alignment horizontal="right" vertical="center" wrapText="1" shrinkToFit="1"/>
    </xf>
    <xf numFmtId="0" fontId="20" fillId="7" borderId="11" xfId="0" applyFont="1" applyFill="1" applyBorder="1">
      <alignment horizontal="left" vertical="center" wrapText="1"/>
      <protection locked="0"/>
    </xf>
    <xf numFmtId="171" fontId="20" fillId="7" borderId="10" xfId="0" applyFont="1" applyFill="1" applyBorder="1" applyNumberFormat="1">
      <alignment horizontal="right" vertical="center" wrapText="1" shrinkToFit="1"/>
      <protection locked="0"/>
    </xf>
    <xf numFmtId="172" fontId="20" fillId="7" borderId="10" xfId="0" applyFont="1" applyFill="1" applyBorder="1" applyNumberFormat="1">
      <alignment horizontal="right" vertical="center" wrapText="1" shrinkToFit="1"/>
      <protection locked="0"/>
    </xf>
    <xf numFmtId="171" fontId="20" fillId="7" borderId="10" xfId="0" applyFont="1" applyFill="1" applyBorder="1" applyNumberFormat="1">
      <alignment horizontal="right" vertical="center" wrapText="1" shrinkToFit="1"/>
      <protection locked="0"/>
    </xf>
    <xf numFmtId="172" fontId="20" fillId="7" borderId="10" xfId="0" applyFont="1" applyFill="1" applyBorder="1" applyNumberFormat="1">
      <alignment horizontal="right" vertical="center" wrapText="1" shrinkToFit="1"/>
      <protection locked="0"/>
    </xf>
    <xf numFmtId="171" fontId="20" fillId="7" borderId="10" xfId="0" applyFont="1" applyFill="1" applyBorder="1" applyNumberFormat="1">
      <alignment horizontal="right" vertical="center" wrapText="1" shrinkToFit="1"/>
    </xf>
    <xf numFmtId="0" fontId="20" fillId="7" borderId="11" xfId="0" applyFont="1" applyFill="1" applyBorder="1">
      <alignment horizontal="left" wrapText="1"/>
      <protection locked="0"/>
    </xf>
    <xf numFmtId="49" fontId="20" fillId="0" borderId="21" xfId="0" applyFont="1" applyBorder="1" applyNumberFormat="1">
      <alignment horizontal="center" vertical="center" wrapText="1" shrinkToFit="1"/>
    </xf>
    <xf numFmtId="171" fontId="20" fillId="7" borderId="13" xfId="0" applyFont="1" applyFill="1" applyBorder="1" applyNumberFormat="1">
      <alignment horizontal="right" vertical="center" wrapText="1" shrinkToFit="1"/>
    </xf>
    <xf numFmtId="49" fontId="20" fillId="0" borderId="13" xfId="0" applyFont="1" applyBorder="1" applyNumberFormat="1">
      <alignment horizontal="center" vertical="center" wrapText="1" shrinkToFit="1"/>
    </xf>
    <xf numFmtId="171" fontId="20" fillId="7" borderId="13" xfId="0" applyFont="1" applyFill="1" applyBorder="1" applyNumberFormat="1">
      <alignment horizontal="right" vertical="center" wrapText="1" shrinkToFit="1"/>
      <protection locked="0"/>
    </xf>
    <xf numFmtId="172" fontId="20" fillId="0" borderId="13" xfId="0" applyFont="1" applyBorder="1" applyNumberFormat="1">
      <alignment horizontal="right" vertical="center" wrapText="1" shrinkToFit="1"/>
    </xf>
    <xf numFmtId="0" fontId="20" fillId="7" borderId="12" xfId="0" applyFont="1" applyFill="1" applyBorder="1">
      <alignment horizontal="left" wrapText="1"/>
      <protection locked="0"/>
    </xf>
    <xf numFmtId="0" fontId="19" fillId="0" borderId="0" xfId="0" applyFont="1">
      <alignment horizontal="right" wrapText="1"/>
    </xf>
    <xf numFmtId="0" fontId="19" fillId="7" borderId="0" xfId="0" applyFont="1" applyFill="1">
      <alignment wrapText="1"/>
      <protection locked="0"/>
    </xf>
    <xf numFmtId="0" fontId="0" fillId="0" borderId="0" xfId="0" applyFont="1">
      <alignment wrapText="1"/>
    </xf>
    <xf numFmtId="0" fontId="19" fillId="0" borderId="0" xfId="0" applyFont="1">
      <alignment wrapText="1"/>
    </xf>
    <xf numFmtId="0" fontId="0" fillId="0" borderId="0" xfId="0" applyFont="1">
      <alignment wrapText="1"/>
    </xf>
    <xf numFmtId="0" fontId="19" fillId="0" borderId="0" xfId="0" applyFont="1">
      <alignment wrapText="1"/>
    </xf>
    <xf numFmtId="0" fontId="0" fillId="0" borderId="0" xfId="0" applyFont="1">
      <alignment wrapText="1"/>
    </xf>
    <xf numFmtId="0" fontId="19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/>
    <xf numFmtId="0" fontId="0" fillId="0" borderId="0" xfId="0" applyFont="1">
      <alignment wrapText="1"/>
    </xf>
    <xf numFmtId="0" fontId="20" fillId="0" borderId="0" xfId="0" applyFont="1">
      <alignment horizontal="center" vertical="center" wrapText="1"/>
    </xf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  <xf numFmtId="0" fontId="0" fillId="0" borderId="0" xfId="0" applyFont="1"/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Normal_TMP_weeklyStatusReport" xfId="47"/>
    <cellStyle name="常规 2 3" xfId="47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A862324-807D-EB6A-BC28-252BE6A84B23}" mc:Ignorable="x14ac xr xr2 xr3">
  <dimension ref="A1:J14"/>
  <sheetViews>
    <sheetView defaultGridColor="0" colorId="31" topLeftCell="A1" showGridLines="0" workbookViewId="0" tabSelected="1">
      <selection activeCell="A1" sqref="A1"/>
    </sheetView>
  </sheetViews>
  <sheetFormatPr customHeight="1" defaultRowHeight="14.25"/>
  <cols>
    <col min="1" max="1" style="65" width="2.7109375" customWidth="1"/>
    <col min="2" max="2" style="65" width="12.28125" customWidth="1"/>
    <col min="3" max="10" style="65" width="15.57421875" customWidth="1"/>
  </cols>
  <sheetData>
    <row customHeight="1" ht="2.25">
      <c r="A1" s="82"/>
      <c r="B1" s="82"/>
      <c r="C1" s="82"/>
      <c r="D1" s="82"/>
      <c r="E1" s="82"/>
      <c r="F1" s="82"/>
      <c r="G1" s="82"/>
      <c r="H1" s="82"/>
      <c r="I1" s="82"/>
      <c r="J1" s="82"/>
    </row>
    <row customHeight="1" ht="27">
      <c r="A2" s="82"/>
      <c r="B2" s="71" t="s">
        <v>0</v>
      </c>
      <c r="C2" s="72"/>
      <c r="D2" s="72"/>
      <c r="E2" s="72"/>
      <c r="F2" s="72"/>
      <c r="G2" s="72"/>
      <c r="H2" s="72"/>
      <c r="I2" s="72"/>
      <c r="J2" s="73"/>
    </row>
    <row customHeight="1" ht="20.25">
      <c r="A3" s="82"/>
      <c r="B3" s="70" t="s">
        <v>1</v>
      </c>
      <c r="C3" s="74"/>
      <c r="D3" s="61"/>
      <c r="E3" s="75" t="s">
        <v>2</v>
      </c>
      <c r="F3" s="66"/>
      <c r="G3" s="74"/>
      <c r="H3" s="62" t="s">
        <v>3</v>
      </c>
      <c r="I3" s="77" t="s">
        <v>4</v>
      </c>
      <c r="J3" s="78"/>
    </row>
    <row customHeight="1" ht="20.25">
      <c r="A4" s="82"/>
      <c r="B4" s="70" t="s">
        <v>5</v>
      </c>
      <c r="C4" s="66" t="s">
        <v>6</v>
      </c>
      <c r="D4" s="66"/>
      <c r="E4" s="66" t="s">
        <v>7</v>
      </c>
      <c r="F4" s="66"/>
      <c r="G4" s="66"/>
      <c r="H4" s="66"/>
      <c r="I4" s="66"/>
      <c r="J4" s="94" t="s">
        <v>8</v>
      </c>
    </row>
    <row customHeight="1" ht="20.25">
      <c r="A5" s="82"/>
      <c r="B5" s="70"/>
      <c r="C5" s="66"/>
      <c r="D5" s="66"/>
      <c r="E5" s="66" t="s">
        <v>9</v>
      </c>
      <c r="F5" s="66"/>
      <c r="G5" s="50" t="s">
        <v>10</v>
      </c>
      <c r="H5" s="50" t="s">
        <v>11</v>
      </c>
      <c r="I5" s="50" t="s">
        <v>12</v>
      </c>
      <c r="J5" s="94"/>
    </row>
    <row customHeight="1" ht="20.25">
      <c r="A6" s="82"/>
      <c r="B6" s="70" t="s">
        <v>13</v>
      </c>
      <c r="C6" s="66" t="s">
        <v>14</v>
      </c>
      <c r="D6" s="66" t="s">
        <v>15</v>
      </c>
      <c r="E6" s="66" t="s">
        <v>16</v>
      </c>
      <c r="F6" s="50" t="s">
        <v>17</v>
      </c>
      <c r="G6" s="59">
        <f>_xlfn.IFERROR(G7+G8,"")</f>
        <v>89628</v>
      </c>
      <c r="H6" s="59">
        <f>H7+H8</f>
        <v>105341</v>
      </c>
      <c r="I6" s="59">
        <f>_xlfn.IFERROR(H6-G6,"")</f>
        <v>15713</v>
      </c>
      <c r="J6" s="97"/>
    </row>
    <row customHeight="1" ht="20.25">
      <c r="A7" s="82"/>
      <c r="B7" s="70"/>
      <c r="C7" s="66"/>
      <c r="D7" s="66"/>
      <c r="E7" s="66"/>
      <c r="F7" s="50" t="s">
        <v>18</v>
      </c>
      <c r="G7" s="98">
        <v>72237</v>
      </c>
      <c r="H7" s="99">
        <v>77341</v>
      </c>
      <c r="I7" s="59">
        <f>_xlfn.IFERROR(H7-G7,"")</f>
        <v>5104</v>
      </c>
      <c r="J7" s="97"/>
    </row>
    <row customHeight="1" ht="20.25">
      <c r="A8" s="82"/>
      <c r="B8" s="70"/>
      <c r="C8" s="100">
        <v>13001</v>
      </c>
      <c r="D8" s="100">
        <v>4386</v>
      </c>
      <c r="E8" s="66"/>
      <c r="F8" s="50" t="s">
        <v>19</v>
      </c>
      <c r="G8" s="98">
        <v>17391</v>
      </c>
      <c r="H8" s="101">
        <v>28000</v>
      </c>
      <c r="I8" s="59">
        <f>_xlfn.IFERROR(H8-G8,"")</f>
        <v>10609</v>
      </c>
      <c r="J8" s="97"/>
    </row>
    <row customHeight="1" ht="20.25">
      <c r="A9" s="82"/>
      <c r="B9" s="70"/>
      <c r="C9" s="102"/>
      <c r="D9" s="102"/>
      <c r="E9" s="66" t="s">
        <v>20</v>
      </c>
      <c r="F9" s="50" t="s">
        <v>17</v>
      </c>
      <c r="G9" s="59">
        <f>_xlfn.IFERROR(G10+G11,"")</f>
        <v>95068</v>
      </c>
      <c r="H9" s="59">
        <f>H10+H11</f>
        <v>123559</v>
      </c>
      <c r="I9" s="59">
        <f>_xlfn.IFERROR(H9-G9,"")</f>
        <v>28491</v>
      </c>
      <c r="J9" s="97"/>
    </row>
    <row customHeight="1" ht="20.25">
      <c r="A10" s="82"/>
      <c r="B10" s="70"/>
      <c r="C10" s="66" t="s">
        <v>21</v>
      </c>
      <c r="D10" s="66" t="s">
        <v>22</v>
      </c>
      <c r="E10" s="66"/>
      <c r="F10" s="50" t="s">
        <v>18</v>
      </c>
      <c r="G10" s="98">
        <v>81512</v>
      </c>
      <c r="H10" s="99">
        <v>100000</v>
      </c>
      <c r="I10" s="59">
        <f>_xlfn.IFERROR(H10-G10,"")</f>
        <v>18488</v>
      </c>
      <c r="J10" s="97"/>
    </row>
    <row customHeight="1" ht="20.25">
      <c r="A11" s="82"/>
      <c r="B11" s="70"/>
      <c r="C11" s="66"/>
      <c r="D11" s="66"/>
      <c r="E11" s="66"/>
      <c r="F11" s="50" t="s">
        <v>19</v>
      </c>
      <c r="G11" s="98">
        <v>13556</v>
      </c>
      <c r="H11" s="101">
        <v>23559</v>
      </c>
      <c r="I11" s="59">
        <f>_xlfn.IFERROR(H11-G11,"")</f>
        <v>10003</v>
      </c>
      <c r="J11" s="97"/>
    </row>
    <row customHeight="1" ht="20.25">
      <c r="A12" s="82"/>
      <c r="B12" s="70"/>
      <c r="C12" s="100">
        <v>4647</v>
      </c>
      <c r="D12" s="100">
        <v>3018</v>
      </c>
      <c r="E12" s="66" t="s">
        <v>23</v>
      </c>
      <c r="F12" s="66"/>
      <c r="G12" s="98">
        <v>253649</v>
      </c>
      <c r="H12" s="101">
        <v>253649</v>
      </c>
      <c r="I12" s="59">
        <f>_xlfn.IFERROR(H12-G12,"")</f>
        <v>0</v>
      </c>
      <c r="J12" s="103"/>
    </row>
    <row customHeight="1" ht="20.25">
      <c r="A13" s="82"/>
      <c r="B13" s="79"/>
      <c r="C13" s="105"/>
      <c r="D13" s="105"/>
      <c r="E13" s="69" t="s">
        <v>24</v>
      </c>
      <c r="F13" s="69"/>
      <c r="G13" s="107">
        <v>28709</v>
      </c>
      <c r="H13" s="101">
        <v>51000</v>
      </c>
      <c r="I13" s="60">
        <f>_xlfn.IFERROR(H13-G13,"")</f>
        <v>22291</v>
      </c>
      <c r="J13" s="109"/>
    </row>
    <row customHeight="1" ht="14.25">
      <c r="A14" s="82"/>
      <c r="B14" s="82"/>
      <c r="C14" s="110" t="s">
        <v>25</v>
      </c>
      <c r="D14" s="111">
        <v>0</v>
      </c>
      <c r="E14" s="82"/>
      <c r="F14" s="110" t="s">
        <v>26</v>
      </c>
      <c r="G14" s="111">
        <v>0</v>
      </c>
      <c r="H14" s="110" t="s">
        <v>27</v>
      </c>
      <c r="I14" s="111">
        <v>0</v>
      </c>
      <c r="J14" s="82"/>
    </row>
  </sheetData>
  <mergeCells count="22">
    <mergeCell ref="B6:B13"/>
    <mergeCell ref="C6:C7"/>
    <mergeCell ref="D6:D7"/>
    <mergeCell ref="E6:E8"/>
    <mergeCell ref="C8:C9"/>
    <mergeCell ref="D8:D9"/>
    <mergeCell ref="B4:B5"/>
    <mergeCell ref="B2:J2"/>
    <mergeCell ref="B3:C3"/>
    <mergeCell ref="E3:G3"/>
    <mergeCell ref="C4:D5"/>
    <mergeCell ref="E4:I4"/>
    <mergeCell ref="J4:J5"/>
    <mergeCell ref="E5:F5"/>
    <mergeCell ref="I3:J3"/>
    <mergeCell ref="E9:E11"/>
    <mergeCell ref="C10:C11"/>
    <mergeCell ref="D10:D11"/>
    <mergeCell ref="C12:C13"/>
    <mergeCell ref="D12:D13"/>
    <mergeCell ref="E12:F12"/>
    <mergeCell ref="E13:F13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75C6354-F699-16F8-A748-422764CA4068}" mc:Ignorable="x14ac xr xr2 xr3">
  <dimension ref="A1:I27"/>
  <sheetViews>
    <sheetView defaultGridColor="0" colorId="31" topLeftCell="A1" workbookViewId="0">
      <selection activeCell="I2" sqref="I2:I15"/>
    </sheetView>
  </sheetViews>
  <sheetFormatPr customHeight="1" defaultRowHeight="14.25"/>
  <cols>
    <col min="3" max="3" style="119" width="22.421875" customWidth="1"/>
    <col min="6" max="6" style="120" width="16.00390625" customWidth="1"/>
    <col min="7" max="7" style="121" width="73.421875" customWidth="1"/>
  </cols>
  <sheetData>
    <row customHeight="1" ht="14.25">
      <c r="A1" s="112" t="s">
        <v>28</v>
      </c>
      <c r="B1" s="113"/>
      <c r="C1" s="113" t="s">
        <v>29</v>
      </c>
      <c r="D1" s="113"/>
      <c r="E1" s="113" t="s">
        <v>30</v>
      </c>
      <c r="F1" s="113"/>
      <c r="G1" s="113" t="s">
        <v>31</v>
      </c>
      <c r="H1" s="113"/>
      <c r="I1" s="113" t="s">
        <v>32</v>
      </c>
    </row>
    <row customHeight="1" ht="14.25">
      <c r="A2" s="114" t="s">
        <v>33</v>
      </c>
      <c r="B2" s="115" t="s">
        <v>34</v>
      </c>
      <c r="C2" s="115" t="s">
        <v>35</v>
      </c>
      <c r="D2" s="115" t="s">
        <v>36</v>
      </c>
      <c r="E2" s="115" t="s">
        <v>37</v>
      </c>
      <c r="F2" s="115" t="s">
        <v>38</v>
      </c>
      <c r="G2" s="113" t="s">
        <v>39</v>
      </c>
      <c r="H2" s="115" t="s">
        <v>40</v>
      </c>
      <c r="I2" s="113" t="str">
        <f>A2&amp;B2&amp;C2&amp;D2&amp;E2&amp;F2&amp;G2&amp;H2</f>
        <v>#SQL("YUL_DESPATCH_BYDATE","VALUE",":where{NAME=延长石油榆林炼油厂生产日报表_当日_常压装置加工量}")</v>
      </c>
    </row>
    <row customHeight="1" ht="14.25">
      <c r="A3" s="114" t="s">
        <v>33</v>
      </c>
      <c r="B3" s="115" t="s">
        <v>34</v>
      </c>
      <c r="C3" s="115" t="s">
        <v>35</v>
      </c>
      <c r="D3" s="115" t="s">
        <v>36</v>
      </c>
      <c r="E3" s="115" t="s">
        <v>37</v>
      </c>
      <c r="F3" s="115" t="s">
        <v>38</v>
      </c>
      <c r="G3" s="116" t="s">
        <v>41</v>
      </c>
      <c r="H3" s="115" t="s">
        <v>40</v>
      </c>
      <c r="I3" s="117" t="str">
        <f>A3&amp;B3&amp;C3&amp;D3&amp;E3&amp;F3&amp;G3&amp;H3</f>
        <v>#SQL("YUL_DESPATCH_BYDATE","VALUE",":where{NAME=延长石油榆林炼油厂生产日报表_当日_催化装置加工量}")</v>
      </c>
    </row>
    <row customHeight="1" ht="14.25">
      <c r="A4" s="114" t="s">
        <v>33</v>
      </c>
      <c r="B4" s="115" t="s">
        <v>34</v>
      </c>
      <c r="C4" s="115" t="s">
        <v>35</v>
      </c>
      <c r="D4" s="115" t="s">
        <v>36</v>
      </c>
      <c r="E4" s="115" t="s">
        <v>37</v>
      </c>
      <c r="F4" s="115" t="s">
        <v>38</v>
      </c>
      <c r="G4" s="116" t="s">
        <v>42</v>
      </c>
      <c r="H4" s="115" t="s">
        <v>40</v>
      </c>
      <c r="I4" s="117" t="str">
        <f>A4&amp;B4&amp;C4&amp;D4&amp;E4&amp;F4&amp;G4&amp;H4</f>
        <v>#SQL("YUL_DESPATCH_BYDATE","VALUE",":where{NAME=延长石油榆林炼油厂生产日报表_产量_本成品汽油}")</v>
      </c>
    </row>
    <row customHeight="1" ht="14.25">
      <c r="A5" s="114" t="s">
        <v>33</v>
      </c>
      <c r="B5" s="115" t="s">
        <v>34</v>
      </c>
      <c r="C5" s="115" t="s">
        <v>35</v>
      </c>
      <c r="D5" s="115" t="s">
        <v>36</v>
      </c>
      <c r="E5" s="115" t="s">
        <v>37</v>
      </c>
      <c r="F5" s="115" t="s">
        <v>38</v>
      </c>
      <c r="G5" s="116" t="s">
        <v>43</v>
      </c>
      <c r="H5" s="115" t="s">
        <v>40</v>
      </c>
      <c r="I5" s="117" t="str">
        <f>A5&amp;B5&amp;C5&amp;D5&amp;E5&amp;F5&amp;G5&amp;H5</f>
        <v>#SQL("YUL_DESPATCH_BYDATE","VALUE",":where{NAME=延长石油榆林炼油厂生产日报表_产量_半成品柴油}")</v>
      </c>
    </row>
    <row customHeight="1" ht="14.25">
      <c r="A6" s="114" t="s">
        <v>33</v>
      </c>
      <c r="B6" s="115" t="s">
        <v>34</v>
      </c>
      <c r="C6" s="115" t="s">
        <v>35</v>
      </c>
      <c r="D6" s="115" t="s">
        <v>36</v>
      </c>
      <c r="E6" s="115" t="s">
        <v>37</v>
      </c>
      <c r="F6" s="115" t="s">
        <v>38</v>
      </c>
      <c r="G6" s="116" t="s">
        <v>44</v>
      </c>
      <c r="H6" s="115" t="s">
        <v>40</v>
      </c>
      <c r="I6" s="117" t="str">
        <f>A6&amp;B6&amp;C6&amp;D6&amp;E6&amp;F6&amp;G6&amp;H6</f>
        <v>#SQL("YUL_DESPATCH_BYDATE","VALUE",":where{NAME=延长石油榆林炼油厂生产日报表_期末库存_92#}")</v>
      </c>
    </row>
    <row customHeight="1" ht="14.25">
      <c r="A7" s="114" t="s">
        <v>33</v>
      </c>
      <c r="B7" s="115" t="s">
        <v>34</v>
      </c>
      <c r="C7" s="115" t="s">
        <v>35</v>
      </c>
      <c r="D7" s="115" t="s">
        <v>36</v>
      </c>
      <c r="E7" s="115" t="s">
        <v>37</v>
      </c>
      <c r="F7" s="115" t="s">
        <v>38</v>
      </c>
      <c r="G7" s="116" t="s">
        <v>45</v>
      </c>
      <c r="H7" s="115" t="s">
        <v>40</v>
      </c>
      <c r="I7" s="117" t="str">
        <f>A7&amp;B7&amp;C7&amp;D7&amp;E7&amp;F7&amp;G7&amp;H7</f>
        <v>#SQL("YUL_DESPATCH_BYDATE","VALUE",":where{NAME=延长石油榆林炼油厂生产日报表_期末库存_95#}")</v>
      </c>
    </row>
    <row customHeight="1" ht="14.25">
      <c r="A8" s="114" t="s">
        <v>33</v>
      </c>
      <c r="B8" s="115" t="s">
        <v>34</v>
      </c>
      <c r="C8" s="115" t="s">
        <v>35</v>
      </c>
      <c r="D8" s="115" t="s">
        <v>36</v>
      </c>
      <c r="E8" s="115" t="s">
        <v>37</v>
      </c>
      <c r="F8" s="115" t="s">
        <v>38</v>
      </c>
      <c r="G8" s="116" t="s">
        <v>46</v>
      </c>
      <c r="H8" s="115" t="s">
        <v>40</v>
      </c>
      <c r="I8" s="117" t="str">
        <f>A8&amp;B8&amp;C8&amp;D8&amp;E8&amp;F8&amp;G8&amp;H8</f>
        <v>#SQL("YUL_DESPATCH_BYDATE","VALUE",":where{NAME=延长石油榆林炼油厂生产日报表_期末库存_0#}")</v>
      </c>
    </row>
    <row customHeight="1" ht="14.25">
      <c r="A9" s="114" t="s">
        <v>33</v>
      </c>
      <c r="B9" s="115" t="s">
        <v>34</v>
      </c>
      <c r="C9" s="115" t="s">
        <v>35</v>
      </c>
      <c r="D9" s="115" t="s">
        <v>36</v>
      </c>
      <c r="E9" s="115" t="s">
        <v>37</v>
      </c>
      <c r="F9" s="115" t="s">
        <v>38</v>
      </c>
      <c r="G9" s="116" t="s">
        <v>47</v>
      </c>
      <c r="H9" s="115" t="s">
        <v>40</v>
      </c>
      <c r="I9" s="117" t="str">
        <f>A9&amp;B9&amp;C9&amp;D9&amp;E9&amp;F9&amp;G9&amp;H9</f>
        <v>#SQL("YUL_DESPATCH_BYDATE","VALUE",":where{NAME=延长石油榆林炼油厂生产日报表_期末库存_-10#}")</v>
      </c>
    </row>
    <row customHeight="1" ht="14.25">
      <c r="A10" s="114" t="s">
        <v>33</v>
      </c>
      <c r="B10" s="115" t="s">
        <v>34</v>
      </c>
      <c r="C10" s="115" t="s">
        <v>35</v>
      </c>
      <c r="D10" s="115" t="s">
        <v>36</v>
      </c>
      <c r="E10" s="115" t="s">
        <v>37</v>
      </c>
      <c r="F10" s="115" t="s">
        <v>38</v>
      </c>
      <c r="G10" s="116" t="s">
        <v>48</v>
      </c>
      <c r="H10" s="115" t="s">
        <v>40</v>
      </c>
      <c r="I10" s="117" t="str">
        <f>A10&amp;B10&amp;C10&amp;D10&amp;E10&amp;F10&amp;G10&amp;H10</f>
        <v>#SQL("YUL_DESPATCH_BYDATE","VALUE",":where{NAME=延长石油榆林炼油厂生产日报表_期末库存_-20#}")</v>
      </c>
    </row>
    <row customHeight="1" ht="14.25">
      <c r="A11" s="114" t="s">
        <v>33</v>
      </c>
      <c r="B11" s="115" t="s">
        <v>34</v>
      </c>
      <c r="C11" s="115" t="s">
        <v>35</v>
      </c>
      <c r="D11" s="115" t="s">
        <v>36</v>
      </c>
      <c r="E11" s="115" t="s">
        <v>37</v>
      </c>
      <c r="F11" s="115" t="s">
        <v>38</v>
      </c>
      <c r="G11" s="116" t="s">
        <v>49</v>
      </c>
      <c r="H11" s="115" t="s">
        <v>40</v>
      </c>
      <c r="I11" s="117" t="str">
        <f>A11&amp;B11&amp;C11&amp;D11&amp;E11&amp;F11&amp;G11&amp;H11</f>
        <v>#SQL("YUL_DESPATCH_BYDATE","VALUE",":where{NAME=延长石油榆林炼油厂生产日报表_库存动态_半成品汽油}")</v>
      </c>
    </row>
    <row customHeight="1" ht="14.25">
      <c r="A12" s="114" t="s">
        <v>33</v>
      </c>
      <c r="B12" s="115" t="s">
        <v>34</v>
      </c>
      <c r="C12" s="115" t="s">
        <v>35</v>
      </c>
      <c r="D12" s="115" t="s">
        <v>36</v>
      </c>
      <c r="E12" s="115" t="s">
        <v>37</v>
      </c>
      <c r="F12" s="115" t="s">
        <v>38</v>
      </c>
      <c r="G12" s="116" t="s">
        <v>50</v>
      </c>
      <c r="H12" s="115" t="s">
        <v>40</v>
      </c>
      <c r="I12" s="117" t="str">
        <f>A12&amp;B12&amp;C12&amp;D12&amp;E12&amp;F12&amp;G12&amp;H12</f>
        <v>#SQL("YUL_DESPATCH_BYDATE","VALUE",":where{NAME=延长石油榆林炼油厂生产日报表_库存动态_半成品柴油}")</v>
      </c>
    </row>
    <row customHeight="1" ht="14.25">
      <c r="A13" s="114" t="s">
        <v>33</v>
      </c>
      <c r="B13" s="115" t="s">
        <v>34</v>
      </c>
      <c r="C13" s="115" t="s">
        <v>35</v>
      </c>
      <c r="D13" s="115" t="s">
        <v>36</v>
      </c>
      <c r="E13" s="115" t="s">
        <v>37</v>
      </c>
      <c r="F13" s="115" t="s">
        <v>38</v>
      </c>
      <c r="G13" s="116" t="s">
        <v>51</v>
      </c>
      <c r="H13" s="115" t="s">
        <v>40</v>
      </c>
      <c r="I13" s="117" t="str">
        <f>A13&amp;B13&amp;C13&amp;D13&amp;E13&amp;F13&amp;G13&amp;H13</f>
        <v>#SQL("YUL_DESPATCH_BYDATE","VALUE",":where{NAME=延长石油榆林炼油厂生产日报表_库存动态_原油}")</v>
      </c>
    </row>
    <row customHeight="1" ht="14.25">
      <c r="A14" s="114" t="s">
        <v>33</v>
      </c>
      <c r="B14" s="115" t="s">
        <v>34</v>
      </c>
      <c r="C14" s="115" t="s">
        <v>35</v>
      </c>
      <c r="D14" s="115" t="s">
        <v>36</v>
      </c>
      <c r="E14" s="115" t="s">
        <v>37</v>
      </c>
      <c r="F14" s="115" t="s">
        <v>38</v>
      </c>
      <c r="G14" s="116" t="s">
        <v>52</v>
      </c>
      <c r="H14" s="115" t="s">
        <v>40</v>
      </c>
      <c r="I14" s="117" t="str">
        <f>A14&amp;B14&amp;C14&amp;D14&amp;E14&amp;F14&amp;G14&amp;H14</f>
        <v>#SQL("YUL_DESPATCH_BYDATE","VALUE",":where{NAME=延长石油榆林炼油厂生产日报表_期末库存_1#渣油}")</v>
      </c>
    </row>
    <row customHeight="1" ht="14.25">
      <c r="A15" s="114" t="s">
        <v>33</v>
      </c>
      <c r="B15" s="115" t="s">
        <v>34</v>
      </c>
      <c r="C15" s="115" t="s">
        <v>35</v>
      </c>
      <c r="D15" s="115" t="s">
        <v>36</v>
      </c>
      <c r="E15" s="115" t="s">
        <v>37</v>
      </c>
      <c r="F15" s="115" t="s">
        <v>38</v>
      </c>
      <c r="G15" s="116" t="s">
        <v>53</v>
      </c>
      <c r="H15" s="115" t="s">
        <v>40</v>
      </c>
      <c r="I15" s="117" t="str">
        <f>A15&amp;B15&amp;C15&amp;D15&amp;E15&amp;F15&amp;G15&amp;H15</f>
        <v>#SQL("YUL_DESPATCH_BYDATE","VALUE",":where{NAME=延长石油榆林炼油厂生产日报表_期末库存_2#渣油}")</v>
      </c>
    </row>
    <row customHeight="1" ht="14.25">
      <c r="A16" s="112"/>
      <c r="B16" s="113"/>
      <c r="C16" s="113"/>
      <c r="D16" s="113"/>
      <c r="E16" s="113"/>
      <c r="F16" s="113"/>
      <c r="G16" s="118"/>
      <c r="H16" s="113"/>
      <c r="I16" s="113"/>
    </row>
    <row customHeight="1" ht="14.25">
      <c r="A17" s="112"/>
      <c r="B17" s="113"/>
      <c r="C17" s="113"/>
      <c r="D17" s="113"/>
      <c r="E17" s="113"/>
      <c r="F17" s="113"/>
      <c r="G17" s="118"/>
      <c r="H17" s="113"/>
      <c r="I17" s="113"/>
    </row>
    <row customHeight="1" ht="14.25">
      <c r="A18" s="112"/>
      <c r="B18" s="113"/>
      <c r="C18" s="113"/>
      <c r="D18" s="113"/>
      <c r="E18" s="113"/>
      <c r="F18" s="113"/>
      <c r="G18" s="118"/>
      <c r="H18" s="113"/>
      <c r="I18" s="113"/>
    </row>
    <row customHeight="1" ht="14.25">
      <c r="A19" s="112"/>
      <c r="B19" s="113"/>
      <c r="C19" s="113"/>
      <c r="D19" s="113"/>
      <c r="E19" s="113"/>
      <c r="F19" s="113"/>
      <c r="G19" s="118"/>
      <c r="H19" s="113"/>
      <c r="I19" s="113"/>
    </row>
    <row customHeight="1" ht="14.25">
      <c r="A20" s="112"/>
      <c r="B20" s="113"/>
      <c r="C20" s="113"/>
      <c r="D20" s="113"/>
      <c r="E20" s="113"/>
      <c r="F20" s="113"/>
      <c r="G20" s="118"/>
      <c r="H20" s="113"/>
      <c r="I20" s="113"/>
    </row>
    <row customHeight="1" ht="14.25">
      <c r="A21" s="112"/>
      <c r="B21" s="113"/>
      <c r="C21" s="113"/>
      <c r="D21" s="113"/>
      <c r="E21" s="113"/>
      <c r="F21" s="113"/>
      <c r="G21" s="118"/>
      <c r="H21" s="113"/>
      <c r="I21" s="113"/>
    </row>
    <row customHeight="1" ht="14.25">
      <c r="A22" s="112"/>
      <c r="B22" s="113"/>
      <c r="C22" s="113"/>
      <c r="D22" s="113"/>
      <c r="E22" s="113"/>
      <c r="F22" s="113"/>
      <c r="G22" s="118"/>
      <c r="H22" s="113"/>
      <c r="I22" s="113"/>
    </row>
    <row customHeight="1" ht="14.25">
      <c r="A23" s="112"/>
      <c r="B23" s="113"/>
      <c r="C23" s="113"/>
      <c r="D23" s="113"/>
      <c r="E23" s="113"/>
      <c r="F23" s="113"/>
      <c r="G23" s="118"/>
      <c r="H23" s="113"/>
      <c r="I23" s="113"/>
    </row>
    <row customHeight="1" ht="14.25">
      <c r="A24" s="112"/>
      <c r="B24" s="113"/>
      <c r="C24" s="113"/>
      <c r="D24" s="113"/>
      <c r="E24" s="113"/>
      <c r="F24" s="113"/>
      <c r="G24" s="118"/>
      <c r="H24" s="113"/>
      <c r="I24" s="113"/>
    </row>
    <row customHeight="1" ht="14.25">
      <c r="A25" s="112"/>
      <c r="B25" s="113"/>
      <c r="C25" s="113"/>
      <c r="D25" s="113"/>
      <c r="E25" s="113"/>
      <c r="F25" s="113"/>
      <c r="G25" s="118"/>
      <c r="H25" s="113"/>
      <c r="I25" s="113"/>
    </row>
    <row customHeight="1" ht="14.25">
      <c r="A26" s="112"/>
      <c r="B26" s="113"/>
      <c r="C26" s="113"/>
      <c r="D26" s="113"/>
      <c r="E26" s="113"/>
      <c r="F26" s="113"/>
      <c r="G26" s="118"/>
      <c r="H26" s="113"/>
      <c r="I26" s="113"/>
    </row>
    <row customHeight="1" ht="14.25">
      <c r="A27" s="112"/>
      <c r="B27" s="113"/>
      <c r="C27" s="113"/>
      <c r="D27" s="113"/>
      <c r="E27" s="113"/>
      <c r="F27" s="113"/>
      <c r="G27" s="118"/>
      <c r="H27" s="113"/>
      <c r="I27" s="113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187B7ED-3A38-7828-9EE4-59BC30867328}" mc:Ignorable="x14ac xr xr2 xr3">
  <dimension ref="A1:P57"/>
  <sheetViews>
    <sheetView defaultGridColor="0" colorId="31" topLeftCell="A1" workbookViewId="0">
      <selection activeCell="P22" sqref="P22"/>
    </sheetView>
  </sheetViews>
  <sheetFormatPr defaultColWidth="6.421875" customHeight="1" defaultRowHeight="14.25"/>
  <cols>
    <col min="1" max="1" style="134" width="15.140625" customWidth="1"/>
    <col min="2" max="2" style="135" width="23.421875" customWidth="1"/>
    <col min="3" max="3" style="136" width="10.57421875" customWidth="1"/>
    <col min="4" max="4" style="137" width="10.57421875" customWidth="1"/>
    <col min="5" max="5" style="138" width="10.57421875" customWidth="1"/>
  </cols>
  <sheetData>
    <row customHeight="1" ht="14.25">
      <c r="A1" s="122"/>
      <c r="B1" s="123"/>
      <c r="C1" s="123"/>
      <c r="D1" s="124"/>
      <c r="E1" s="12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customHeight="1" ht="14.25">
      <c r="A2" s="125">
        <v>13001</v>
      </c>
      <c r="B2" s="122"/>
      <c r="C2" s="122"/>
      <c r="D2" s="122"/>
      <c r="E2" s="12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</row>
    <row customHeight="1" ht="14.25">
      <c r="A3" s="126">
        <v>4647</v>
      </c>
      <c r="B3" s="122"/>
      <c r="C3" s="122"/>
      <c r="D3" s="122"/>
      <c r="E3" s="12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</row>
    <row customHeight="1" ht="14.25">
      <c r="A4" s="125">
        <v>4386</v>
      </c>
      <c r="B4" s="122"/>
      <c r="C4" s="122"/>
      <c r="D4" s="122"/>
      <c r="E4" s="12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</row>
    <row customHeight="1" ht="14.25">
      <c r="A5" s="118">
        <v>3018</v>
      </c>
      <c r="B5" s="127"/>
      <c r="C5" s="122"/>
      <c r="D5" s="122"/>
      <c r="E5" s="12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</row>
    <row customHeight="1" ht="14.25">
      <c r="A6" s="125">
        <v>66749</v>
      </c>
      <c r="B6" s="122"/>
      <c r="C6" s="122"/>
      <c r="D6" s="122"/>
      <c r="E6" s="12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</row>
    <row customHeight="1" ht="14.25">
      <c r="A7" s="125">
        <v>5488</v>
      </c>
      <c r="B7" s="122"/>
      <c r="C7" s="122"/>
      <c r="D7" s="122"/>
      <c r="E7" s="12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customHeight="1" ht="14.25">
      <c r="A8" s="127">
        <v>74746</v>
      </c>
      <c r="B8" s="127"/>
      <c r="C8" s="122"/>
      <c r="D8" s="122"/>
      <c r="E8" s="12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</row>
    <row customHeight="1" ht="14.25">
      <c r="A9" s="125">
        <v>4132</v>
      </c>
      <c r="B9" s="122"/>
      <c r="C9" s="122"/>
      <c r="D9" s="122"/>
      <c r="E9" s="12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</row>
    <row customHeight="1" ht="14.25">
      <c r="A10" s="125">
        <v>2634</v>
      </c>
      <c r="B10" s="122"/>
      <c r="C10" s="122"/>
      <c r="D10" s="122"/>
      <c r="E10" s="12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customHeight="1" ht="14.25">
      <c r="A11" s="118">
        <v>17391</v>
      </c>
      <c r="B11" s="127"/>
      <c r="C11" s="122"/>
      <c r="D11" s="122"/>
      <c r="E11" s="12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</row>
    <row customHeight="1" ht="14.25">
      <c r="A12" s="125">
        <v>13556</v>
      </c>
      <c r="B12" s="127"/>
      <c r="C12" s="122"/>
      <c r="D12" s="122"/>
      <c r="E12" s="12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customHeight="1" ht="14.25">
      <c r="A13" s="125">
        <v>253649</v>
      </c>
      <c r="B13" s="127"/>
      <c r="C13" s="122"/>
      <c r="D13" s="122"/>
      <c r="E13" s="12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</row>
    <row customHeight="1" ht="14.25">
      <c r="A14" s="125">
        <v>28709</v>
      </c>
      <c r="B14" s="127"/>
      <c r="C14" s="122"/>
      <c r="D14" s="122"/>
      <c r="E14" s="12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customHeight="1" ht="14.25">
      <c r="A15" s="125">
        <v>4330</v>
      </c>
      <c r="B15" s="127"/>
      <c r="C15" s="122"/>
      <c r="D15" s="122"/>
      <c r="E15" s="12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</row>
    <row customHeight="1" ht="14.25">
      <c r="A16" s="122"/>
      <c r="B16" s="122"/>
      <c r="C16" s="122"/>
      <c r="D16" s="122"/>
      <c r="E16" s="12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customHeight="1" ht="14.25">
      <c r="A17" s="128">
        <v>77341</v>
      </c>
      <c r="B17" s="122"/>
      <c r="C17" s="122"/>
      <c r="D17" s="122"/>
      <c r="E17" s="12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</row>
    <row customHeight="1" ht="14.25">
      <c r="A18" s="128">
        <v>28000</v>
      </c>
      <c r="B18" s="127"/>
      <c r="C18" s="122"/>
      <c r="D18" s="122"/>
      <c r="E18" s="12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</row>
    <row customHeight="1" ht="14.25">
      <c r="A19" s="122"/>
      <c r="B19" s="122"/>
      <c r="C19" s="122"/>
      <c r="D19" s="122"/>
      <c r="E19" s="12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</row>
    <row customHeight="1" ht="14.25">
      <c r="A20" s="128">
        <v>100000</v>
      </c>
      <c r="B20" s="122"/>
      <c r="C20" s="122"/>
      <c r="D20" s="122"/>
      <c r="E20" s="12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customHeight="1" ht="14.25">
      <c r="A21" s="128">
        <v>23559</v>
      </c>
      <c r="B21" s="127"/>
      <c r="C21" s="122"/>
      <c r="D21" s="122"/>
      <c r="E21" s="12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</row>
    <row customHeight="1" ht="14.25">
      <c r="A22" s="128">
        <v>253198</v>
      </c>
      <c r="B22" s="127"/>
      <c r="C22" s="122"/>
      <c r="D22" s="122"/>
      <c r="E22" s="12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</row>
    <row customHeight="1" ht="14.25">
      <c r="A23" s="128">
        <v>51000</v>
      </c>
      <c r="B23" s="127"/>
      <c r="C23" s="122"/>
      <c r="D23" s="122"/>
      <c r="E23" s="12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</row>
    <row customHeight="1" ht="14.25">
      <c r="A24" s="122"/>
      <c r="B24" s="122"/>
      <c r="C24" s="122"/>
      <c r="D24" s="122"/>
      <c r="E24" s="12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</row>
    <row customHeight="1" ht="14.25">
      <c r="A25" s="129">
        <v>0</v>
      </c>
      <c r="B25" s="122"/>
      <c r="C25" s="122"/>
      <c r="D25" s="122"/>
      <c r="E25" s="12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</row>
    <row customHeight="1" ht="14.25">
      <c r="A26" s="129">
        <v>0</v>
      </c>
      <c r="B26" s="127"/>
      <c r="C26" s="122"/>
      <c r="D26" s="122"/>
      <c r="E26" s="12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</row>
    <row s="130" customFormat="1" customHeight="1" ht="14.25">
      <c r="A27" s="129">
        <v>0</v>
      </c>
      <c r="B27" s="127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</row>
    <row s="131" customFormat="1" customHeight="1" ht="14.25">
      <c r="A28" s="127"/>
      <c r="B28" s="127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</row>
    <row customHeight="1" ht="14.25">
      <c r="A29" s="127"/>
      <c r="B29" s="127"/>
      <c r="C29" s="122"/>
      <c r="D29" s="122"/>
      <c r="E29" s="12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</row>
    <row customHeight="1" ht="14.25">
      <c r="A30" s="122"/>
      <c r="B30" s="127"/>
      <c r="C30" s="122"/>
      <c r="D30" s="122"/>
      <c r="E30" s="12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</row>
    <row customHeight="1" ht="14.25">
      <c r="A31" s="122"/>
      <c r="B31" s="127"/>
      <c r="C31" s="122"/>
      <c r="D31" s="122"/>
      <c r="E31" s="12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</row>
    <row customHeight="1" ht="14.25">
      <c r="A32" s="122"/>
      <c r="B32" s="127"/>
      <c r="C32" s="122"/>
      <c r="D32" s="122"/>
      <c r="E32" s="12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</row>
    <row customHeight="1" ht="14.25">
      <c r="A33" s="122"/>
      <c r="B33" s="122"/>
      <c r="C33" s="122"/>
      <c r="D33" s="122"/>
      <c r="E33" s="12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</row>
    <row customHeight="1" ht="14.25">
      <c r="A34" s="122"/>
      <c r="B34" s="122"/>
      <c r="C34" s="122"/>
      <c r="D34" s="122"/>
      <c r="E34" s="12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</row>
    <row customHeight="1" ht="14.25">
      <c r="A35" s="127"/>
      <c r="B35" s="127"/>
      <c r="C35" s="122"/>
      <c r="D35" s="122"/>
      <c r="E35" s="12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</row>
    <row customHeight="1" ht="14.25">
      <c r="A36" s="122"/>
      <c r="B36" s="122"/>
      <c r="C36" s="122"/>
      <c r="D36" s="122"/>
      <c r="E36" s="12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</row>
    <row customHeight="1" ht="14.25">
      <c r="A37" s="122"/>
      <c r="B37" s="122"/>
      <c r="C37" s="122"/>
      <c r="D37" s="122"/>
      <c r="E37" s="12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</row>
    <row customHeight="1" ht="14.25">
      <c r="A38" s="122"/>
      <c r="B38" s="122"/>
      <c r="C38" s="122"/>
      <c r="D38" s="122"/>
      <c r="E38" s="122"/>
      <c r="F38" s="112"/>
      <c r="G38" s="112"/>
      <c r="H38" s="112"/>
      <c r="I38" s="112"/>
      <c r="J38" s="112"/>
      <c r="K38" s="112"/>
      <c r="L38" s="112"/>
      <c r="M38" s="112"/>
      <c r="N38" s="112"/>
      <c r="O38" s="112"/>
      <c r="P38" s="112"/>
    </row>
    <row customHeight="1" ht="14.25">
      <c r="A39" s="122"/>
      <c r="B39" s="122"/>
      <c r="C39" s="122"/>
      <c r="D39" s="122"/>
      <c r="E39" s="12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2"/>
    </row>
    <row customHeight="1" ht="14.25">
      <c r="A40" s="127"/>
      <c r="B40" s="127"/>
      <c r="C40" s="122"/>
      <c r="D40" s="122"/>
      <c r="E40" s="12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2"/>
    </row>
    <row customHeight="1" ht="14.25">
      <c r="A41" s="122"/>
      <c r="B41" s="127"/>
      <c r="C41" s="122"/>
      <c r="D41" s="122"/>
      <c r="E41" s="12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2"/>
    </row>
    <row customHeight="1" ht="14.25">
      <c r="A42" s="122"/>
      <c r="B42" s="122"/>
      <c r="C42" s="122"/>
      <c r="D42" s="122"/>
      <c r="E42" s="12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2"/>
    </row>
    <row customHeight="1" ht="14.25">
      <c r="A43" s="122"/>
      <c r="B43" s="122"/>
      <c r="C43" s="122"/>
      <c r="D43" s="122"/>
      <c r="E43" s="12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2"/>
    </row>
    <row customHeight="1" ht="14.25">
      <c r="A44" s="118"/>
      <c r="B44" s="127"/>
      <c r="C44" s="122"/>
      <c r="D44" s="122"/>
      <c r="E44" s="12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</row>
    <row customHeight="1" ht="14.25">
      <c r="A45" s="132"/>
      <c r="B45" s="132"/>
      <c r="C45" s="132"/>
      <c r="D45" s="122"/>
      <c r="E45" s="12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</row>
    <row customHeight="1" ht="14.25">
      <c r="A46" s="132"/>
      <c r="B46" s="132"/>
      <c r="C46" s="132"/>
      <c r="D46" s="122"/>
      <c r="E46" s="12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</row>
    <row customHeight="1" ht="14.25">
      <c r="A47" s="132"/>
      <c r="B47" s="55"/>
      <c r="C47" s="132"/>
      <c r="D47" s="122"/>
      <c r="E47" s="12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</row>
    <row customHeight="1" ht="14.25">
      <c r="A48" s="132"/>
      <c r="B48" s="55"/>
      <c r="C48" s="132"/>
      <c r="D48" s="122"/>
      <c r="E48" s="12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</row>
    <row customHeight="1" ht="14.25">
      <c r="A49" s="132"/>
      <c r="B49" s="55"/>
      <c r="C49" s="132"/>
      <c r="D49" s="122"/>
      <c r="E49" s="12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</row>
    <row customHeight="1" ht="14.25">
      <c r="A50" s="132"/>
      <c r="B50" s="55"/>
      <c r="C50" s="132"/>
      <c r="D50" s="122"/>
      <c r="E50" s="12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</row>
    <row customHeight="1" ht="14.25">
      <c r="A51" s="132"/>
      <c r="B51" s="55"/>
      <c r="C51" s="132"/>
      <c r="D51" s="122"/>
      <c r="E51" s="12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</row>
    <row customHeight="1" ht="14.25">
      <c r="A52" s="132"/>
      <c r="B52" s="55"/>
      <c r="C52" s="132"/>
      <c r="D52" s="122"/>
      <c r="E52" s="12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</row>
    <row customHeight="1" ht="14.25">
      <c r="A53" s="132"/>
      <c r="B53" s="55"/>
      <c r="C53" s="132"/>
      <c r="D53" s="122"/>
      <c r="E53" s="12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</row>
    <row customHeight="1" ht="14.25">
      <c r="A54" s="132"/>
      <c r="B54" s="55"/>
      <c r="C54" s="132"/>
      <c r="D54" s="122"/>
      <c r="E54" s="12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</row>
    <row customHeight="1" ht="14.25">
      <c r="A55" s="132"/>
      <c r="B55" s="55"/>
      <c r="C55" s="132"/>
      <c r="D55" s="122"/>
      <c r="E55" s="12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</row>
    <row customHeight="1" ht="14.25">
      <c r="A56" s="132"/>
      <c r="B56" s="132"/>
      <c r="C56" s="132"/>
      <c r="D56" s="122"/>
      <c r="E56" s="12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</row>
    <row customHeight="1" ht="14.25">
      <c r="A57" s="132"/>
      <c r="B57" s="132"/>
      <c r="C57" s="132"/>
      <c r="D57" s="122"/>
      <c r="E57" s="12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</row>
  </sheetData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榆炼上报炼化公司调度日报表</vt:lpstr>
      <vt:lpstr>公式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2015-06-05T18:19:34Z</dcterms:created>
  <dcterms:modified xsi:type="dcterms:W3CDTF">2022-06-20T06:20:35Z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{9F16DE04-B7E6-4C79-861A-215349446F2C}</vt:lpwstr>
  </property>
</Properties>
</file>