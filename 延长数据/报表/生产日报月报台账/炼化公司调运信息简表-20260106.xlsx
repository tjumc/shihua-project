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Sheet2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M4" authorId="0">
      <text>
        <r>
          <rPr>
            <sz val="9"/>
            <color indexed="81"/>
            <rFont val="宋体"/>
            <family val="2"/>
          </rPr>
          <t>#Input("炼化公司_调运简表_延炼库容_原料气",":key{{dw}}")</t>
        </r>
      </text>
    </comment>
    <comment ref="N4" authorId="0">
      <text>
        <r>
          <rPr>
            <sz val="9"/>
            <color indexed="81"/>
            <rFont val="宋体"/>
            <family val="2"/>
          </rPr>
          <t>#Input("炼化公司_调运简表_永炼库容_原料气",":key{{dw}}")</t>
        </r>
      </text>
    </comment>
    <comment ref="O4" authorId="0">
      <text>
        <r>
          <rPr>
            <sz val="9"/>
            <color indexed="81"/>
            <rFont val="宋体"/>
            <family val="2"/>
          </rPr>
          <t>#Input("炼化公司_调运简表_榆炼库容_原料气",":key{{dw}}")</t>
        </r>
      </text>
    </comment>
    <comment ref="P4" authorId="0">
      <text>
        <r>
          <rPr>
            <sz val="9"/>
            <color indexed="81"/>
            <rFont val="宋体"/>
            <family val="2"/>
          </rPr>
          <t>#Input("炼化公司_调运简表_石化库容_原料气",":key{{dw}}")</t>
        </r>
      </text>
    </comment>
    <comment ref="M7" authorId="0">
      <text>
        <r>
          <rPr>
            <sz val="9"/>
            <color indexed="81"/>
            <rFont val="宋体"/>
            <family val="2"/>
          </rPr>
          <t>#Input("炼化公司_调运简表_延炼库容_饱和气",":key{{dw}}")</t>
        </r>
      </text>
    </comment>
    <comment ref="N7" authorId="0">
      <text>
        <r>
          <rPr>
            <sz val="9"/>
            <color indexed="81"/>
            <rFont val="宋体"/>
            <family val="2"/>
          </rPr>
          <t>#Input("炼化公司_调运简表_永炼库容_饱和气",":key{{dw}}")</t>
        </r>
      </text>
    </comment>
    <comment ref="O7" authorId="0">
      <text>
        <r>
          <rPr>
            <sz val="9"/>
            <color indexed="81"/>
            <rFont val="宋体"/>
            <family val="2"/>
          </rPr>
          <t>#Input("炼化公司_调运简表_榆炼库容_饱和气",":key{{dw}}")</t>
        </r>
      </text>
    </comment>
    <comment ref="P7" authorId="0">
      <text>
        <r>
          <rPr>
            <sz val="9"/>
            <color indexed="81"/>
            <rFont val="宋体"/>
            <family val="2"/>
          </rPr>
          <t>#Input("炼化公司_调运简表_石化库容_饱和气",":key{{dw}}")</t>
        </r>
      </text>
    </comment>
    <comment ref="M10" authorId="0">
      <text>
        <r>
          <rPr>
            <sz val="9"/>
            <color indexed="81"/>
            <rFont val="宋体"/>
            <family val="2"/>
          </rPr>
          <t>#Input("炼化公司_调运简表_延炼库容_常压石脑油",":key{{dw}}")</t>
        </r>
      </text>
    </comment>
    <comment ref="N10" authorId="0">
      <text>
        <r>
          <rPr>
            <sz val="9"/>
            <color indexed="81"/>
            <rFont val="宋体"/>
            <family val="2"/>
          </rPr>
          <t>#Input("炼化公司_调运简表_永炼库容_常压石脑油",":key{{dw}}")</t>
        </r>
      </text>
    </comment>
    <comment ref="O10" authorId="0">
      <text>
        <r>
          <rPr>
            <sz val="9"/>
            <color indexed="81"/>
            <rFont val="宋体"/>
            <family val="2"/>
          </rPr>
          <t>#Input("炼化公司_调运简表_榆炼库容_常压石脑油",":key{{dw}}")</t>
        </r>
      </text>
    </comment>
    <comment ref="P10" authorId="0">
      <text>
        <r>
          <rPr>
            <sz val="9"/>
            <color indexed="81"/>
            <rFont val="宋体"/>
            <family val="2"/>
          </rPr>
          <t>#Input("炼化公司_调运简表_石化库容_常压石脑油",":key{{dw}}")</t>
        </r>
      </text>
    </comment>
    <comment ref="M13" authorId="0">
      <text>
        <r>
          <rPr>
            <sz val="9"/>
            <color indexed="81"/>
            <rFont val="宋体"/>
            <family val="2"/>
          </rPr>
          <t>#Input("炼化公司_调运简表_延炼库容_石脑油（供延能化）",":key{{dw}}")</t>
        </r>
      </text>
    </comment>
    <comment ref="N13" authorId="0">
      <text>
        <r>
          <rPr>
            <sz val="9"/>
            <color indexed="81"/>
            <rFont val="宋体"/>
            <family val="2"/>
          </rPr>
          <t>#Input("炼化公司_调运简表_永炼库容_石脑油（供延能化）",":key{{dw}}")</t>
        </r>
      </text>
    </comment>
    <comment ref="O13" authorId="0">
      <text>
        <r>
          <rPr>
            <sz val="9"/>
            <color indexed="81"/>
            <rFont val="宋体"/>
            <family val="2"/>
          </rPr>
          <t>#Input("炼化公司_调运简表_榆炼库容_石脑油（供延能化）",":key{{dw}}")</t>
        </r>
      </text>
    </comment>
    <comment ref="P13" authorId="0">
      <text>
        <r>
          <rPr>
            <sz val="9"/>
            <color indexed="81"/>
            <rFont val="宋体"/>
            <family val="2"/>
          </rPr>
          <t>#Input("炼化公司_调运简表_石化库容_石脑油（供延能化）",":key{{dw}}")</t>
        </r>
      </text>
    </comment>
    <comment ref="M16" authorId="0">
      <text>
        <r>
          <rPr>
            <sz val="9"/>
            <color indexed="81"/>
            <rFont val="宋体"/>
            <family val="2"/>
          </rPr>
          <t>#Input("炼化公司_调运简表_延炼库容_1#渣油",":key{{dw}}")</t>
        </r>
      </text>
    </comment>
    <comment ref="N16" authorId="0">
      <text>
        <r>
          <rPr>
            <sz val="9"/>
            <color indexed="81"/>
            <rFont val="宋体"/>
            <family val="2"/>
          </rPr>
          <t>#Input("炼化公司_调运简表_永炼库容_1#渣油",":key{{dw}}")</t>
        </r>
      </text>
    </comment>
    <comment ref="O16" authorId="0">
      <text>
        <r>
          <rPr>
            <sz val="9"/>
            <color indexed="81"/>
            <rFont val="宋体"/>
            <family val="2"/>
          </rPr>
          <t>#Input("炼化公司_调运简表_榆炼库容_1#渣油",":key{{dw}}")</t>
        </r>
      </text>
    </comment>
    <comment ref="P16" authorId="0">
      <text>
        <r>
          <rPr>
            <sz val="9"/>
            <color indexed="81"/>
            <rFont val="宋体"/>
            <family val="2"/>
          </rPr>
          <t>#Input("炼化公司_调运简表_石化库容_1#渣油",":key{{dw}}")</t>
        </r>
      </text>
    </comment>
    <comment ref="M19" authorId="0">
      <text>
        <r>
          <rPr>
            <sz val="9"/>
            <color indexed="81"/>
            <rFont val="宋体"/>
            <family val="2"/>
          </rPr>
          <t>#Input("炼化公司_调运简表_延炼库容_MTBE",":key{{dw}}")</t>
        </r>
      </text>
    </comment>
    <comment ref="N19" authorId="0">
      <text>
        <r>
          <rPr>
            <sz val="9"/>
            <color indexed="81"/>
            <rFont val="宋体"/>
            <family val="2"/>
          </rPr>
          <t>#Input("炼化公司_调运简表_永炼库容_MTBE",":key{{dw}}")</t>
        </r>
      </text>
    </comment>
    <comment ref="O19" authorId="0">
      <text>
        <r>
          <rPr>
            <sz val="9"/>
            <color indexed="81"/>
            <rFont val="宋体"/>
            <family val="2"/>
          </rPr>
          <t>#Input("炼化公司_调运简表_榆炼库容_MTBE",":key{{dw}}")</t>
        </r>
      </text>
    </comment>
    <comment ref="P19" authorId="0">
      <text>
        <r>
          <rPr>
            <sz val="9"/>
            <color indexed="81"/>
            <rFont val="宋体"/>
            <family val="2"/>
          </rPr>
          <t>#Input("炼化公司_调运简表_石化库容_MTBE",":key{{dw}}")</t>
        </r>
      </text>
    </comment>
    <comment ref="M23" authorId="0">
      <text>
        <r>
          <rPr>
            <sz val="9"/>
            <color indexed="81"/>
            <rFont val="宋体"/>
            <family val="2"/>
          </rPr>
          <t>#Input("炼化公司_调运简表_延炼库容_烷基化油",":key{{dw}}")</t>
        </r>
      </text>
    </comment>
    <comment ref="N23" authorId="0">
      <text>
        <r>
          <rPr>
            <sz val="9"/>
            <color indexed="81"/>
            <rFont val="宋体"/>
            <family val="2"/>
          </rPr>
          <t>#Input("炼化公司_调运简表_永炼库容_烷基化油",":key{{dw}}")</t>
        </r>
      </text>
    </comment>
    <comment ref="O23" authorId="0">
      <text>
        <r>
          <rPr>
            <sz val="9"/>
            <color indexed="81"/>
            <rFont val="宋体"/>
            <family val="2"/>
          </rPr>
          <t>#Input("炼化公司_调运简表_榆炼库容_烷基化油",":key{{dw}}")</t>
        </r>
      </text>
    </comment>
    <comment ref="P23" authorId="0">
      <text>
        <r>
          <rPr>
            <sz val="9"/>
            <color indexed="81"/>
            <rFont val="宋体"/>
            <family val="2"/>
          </rPr>
          <t>#Input("炼化公司_调运简表_石化库容_烷基化油",":key{{dw}}")</t>
        </r>
      </text>
    </comment>
    <comment ref="M27" authorId="0">
      <text>
        <r>
          <rPr>
            <sz val="9"/>
            <color indexed="81"/>
            <rFont val="宋体"/>
            <family val="2"/>
          </rPr>
          <t>#Input("炼化公司_调运简表_延炼库容_二甲苯",":key{{dw}}")</t>
        </r>
      </text>
    </comment>
    <comment ref="N27" authorId="0">
      <text>
        <r>
          <rPr>
            <sz val="9"/>
            <color indexed="81"/>
            <rFont val="宋体"/>
            <family val="2"/>
          </rPr>
          <t>#Input("炼化公司_调运简表_永炼库容_二甲苯",":key{{dw}}")</t>
        </r>
      </text>
    </comment>
    <comment ref="O27" authorId="0">
      <text>
        <r>
          <rPr>
            <sz val="9"/>
            <color indexed="81"/>
            <rFont val="宋体"/>
            <family val="2"/>
          </rPr>
          <t>#Input("炼化公司_调运简表_榆炼库容_二甲苯",":key{{dw}}")</t>
        </r>
      </text>
    </comment>
    <comment ref="P27" authorId="0">
      <text>
        <r>
          <rPr>
            <sz val="9"/>
            <color indexed="81"/>
            <rFont val="宋体"/>
            <family val="2"/>
          </rPr>
          <t>#Input("炼化公司_调运简表_石化库容_二甲苯",":key{{dw}}")</t>
        </r>
      </text>
    </comment>
    <comment ref="M31" authorId="0">
      <text>
        <r>
          <rPr>
            <sz val="9"/>
            <color indexed="81"/>
            <rFont val="宋体"/>
            <family val="2"/>
          </rPr>
          <t>#Input("炼化公司_调运简表_延炼库容_丙烯",":key{{dw}}")</t>
        </r>
      </text>
    </comment>
    <comment ref="N31" authorId="0">
      <text>
        <r>
          <rPr>
            <sz val="9"/>
            <color indexed="81"/>
            <rFont val="宋体"/>
            <family val="2"/>
          </rPr>
          <t>#Input("炼化公司_调运简表_永炼库容_丙烯":key{{dw}}")</t>
        </r>
      </text>
    </comment>
    <comment ref="O31" authorId="0">
      <text>
        <r>
          <rPr>
            <sz val="9"/>
            <color indexed="81"/>
            <rFont val="宋体"/>
            <family val="2"/>
          </rPr>
          <t>#Input("炼化公司_调运简表_榆炼库容_丙烯",":key{{dw}}")</t>
        </r>
      </text>
    </comment>
    <comment ref="P31" authorId="0">
      <text>
        <r>
          <rPr>
            <sz val="9"/>
            <color indexed="81"/>
            <rFont val="宋体"/>
            <family val="2"/>
          </rPr>
          <t>#Input("炼化公司_调运简表_石化库容_丙烯",":key{{dw}}")</t>
        </r>
      </text>
    </comment>
    <comment ref="M33" authorId="0">
      <text>
        <r>
          <rPr>
            <sz val="9"/>
            <color indexed="81"/>
            <rFont val="宋体"/>
            <family val="2"/>
          </rPr>
          <t>#Input("炼化公司_调运简表_延炼库容_油浆",":key{{dw}}")</t>
        </r>
      </text>
    </comment>
    <comment ref="N33" authorId="0">
      <text>
        <r>
          <rPr>
            <sz val="9"/>
            <color indexed="81"/>
            <rFont val="宋体"/>
            <family val="2"/>
          </rPr>
          <t>#Input("炼化公司_调运简表_永炼库容_油浆":key{{dw}}")</t>
        </r>
      </text>
    </comment>
    <comment ref="O33" authorId="0">
      <text>
        <r>
          <rPr>
            <sz val="9"/>
            <color indexed="81"/>
            <rFont val="宋体"/>
            <family val="2"/>
          </rPr>
          <t>#Input("炼化公司_调运简表_榆炼库容_油浆",":key{{dw}}")</t>
        </r>
      </text>
    </comment>
    <comment ref="P33" authorId="0">
      <text>
        <r>
          <rPr>
            <sz val="9"/>
            <color indexed="81"/>
            <rFont val="宋体"/>
            <family val="2"/>
          </rPr>
          <t>#Input("炼化公司_调运简表_石化库容_油浆",":key{{dw}}")</t>
        </r>
      </text>
    </comment>
  </commentList>
</comments>
</file>

<file path=xl/sharedStrings.xml><?xml version="1.0" encoding="utf-8"?>
<sst xmlns="http://schemas.openxmlformats.org/spreadsheetml/2006/main" count="83" uniqueCount="36">
  <si>
    <t>炼化公司调运信息简表</t>
  </si>
  <si>
    <t xml:space="preserve">  填报单位：炼化公司</t>
  </si>
  <si>
    <t>统计日期：</t>
  </si>
  <si>
    <t>填报日期：</t>
  </si>
  <si>
    <t>2026-01-06</t>
  </si>
  <si>
    <t xml:space="preserve">                        单位                       名称          </t>
  </si>
  <si>
    <t>延炼</t>
  </si>
  <si>
    <t>永炼</t>
  </si>
  <si>
    <t>榆炼</t>
  </si>
  <si>
    <t>石化厂</t>
  </si>
  <si>
    <t>榆能化</t>
  </si>
  <si>
    <t>库容</t>
  </si>
  <si>
    <t>原料气</t>
  </si>
  <si>
    <t>调运量</t>
  </si>
  <si>
    <t>库存</t>
  </si>
  <si>
    <t>空量</t>
  </si>
  <si>
    <t>饱和气</t>
  </si>
  <si>
    <t>常压石脑油</t>
  </si>
  <si>
    <t>常压           石脑油</t>
  </si>
  <si>
    <t>石脑油（供延能化）</t>
  </si>
  <si>
    <t>1#渣油</t>
  </si>
  <si>
    <t>MTBE</t>
  </si>
  <si>
    <t>使用量</t>
  </si>
  <si>
    <t>烷基化油</t>
  </si>
  <si>
    <t>烷基        化油</t>
  </si>
  <si>
    <t>二甲苯</t>
  </si>
  <si>
    <t>丙烯</t>
  </si>
  <si>
    <t>油浆</t>
  </si>
  <si>
    <t>审核人：</t>
  </si>
  <si>
    <t>罗先波</t>
  </si>
  <si>
    <t>一审人：</t>
  </si>
  <si>
    <t>李阿君</t>
  </si>
  <si>
    <t>2026-01-07</t>
  </si>
  <si>
    <t xml:space="preserve"> 8:00:00</t>
  </si>
  <si>
    <t>石脑油</t>
  </si>
  <si>
    <t>轻石脑油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</si>
</sst>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1" formatCode="0_ "/>
    <numFmt numFmtId="172" formatCode="_(* #,##0.00_);_(* \(#,##0.00\);_(* &quot;-&quot;??_);_(@_)"/>
    <numFmt numFmtId="173" formatCode="_(* #,##0_);_(* \(#,##0\);_(* &quot;-&quot;_);_(@_)"/>
    <numFmt numFmtId="174" formatCode="_(&quot;$&quot;* #,##0.00_);_(&quot;$&quot;* \(#,##0.00\);_(&quot;$&quot;* &quot;-&quot;??_);_(@_)"/>
    <numFmt numFmtId="175" formatCode="_(&quot;$&quot;* #,##0_);_(&quot;$&quot;* \(#,##0\);_(&quot;$&quot;* &quot;-&quot;_);_(@_)"/>
  </numFmts>
  <fonts count="33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mbria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u/>
      <sz val="11"/>
      <color rgb="FF0000FF"/>
      <name val="Calibri"/>
      <scheme val="minor"/>
    </font>
    <font>
      <u/>
      <sz val="11"/>
      <color rgb="FF800080"/>
      <name val="Calibri"/>
      <scheme val="minor"/>
    </font>
    <font>
      <sz val="12"/>
      <color rgb="FF000000"/>
      <name val="宋体"/>
    </font>
    <font>
      <sz val="12"/>
      <color theme="1"/>
      <name val="Calibri"/>
      <scheme val="minor"/>
    </font>
    <font>
      <b/>
      <sz val="18"/>
      <color theme="1"/>
      <name val="等线"/>
    </font>
    <font>
      <sz val="13"/>
      <color theme="1"/>
      <name val="等线"/>
    </font>
    <font>
      <b/>
      <sz val="14"/>
      <color theme="1"/>
      <name val="等线"/>
    </font>
    <font>
      <b/>
      <sz val="12"/>
      <color theme="1"/>
      <name val="等线"/>
    </font>
    <font>
      <b/>
      <sz val="12"/>
      <color auto="1"/>
      <name val="等线"/>
    </font>
    <font>
      <sz val="12"/>
      <color auto="1"/>
      <name val="等线"/>
    </font>
    <font>
      <sz val="11"/>
      <color theme="1"/>
      <name val="等线"/>
    </font>
    <font>
      <sz val="10"/>
      <color auto="1"/>
      <name val="微软雅黑"/>
    </font>
    <font>
      <sz val="10"/>
      <color rgb="FF000000"/>
      <name val="微软雅黑"/>
    </font>
    <font>
      <b/>
      <sz val="14"/>
      <color theme="1"/>
      <name val="Calibri"/>
      <scheme val="minor"/>
    </font>
    <font>
      <b/>
      <sz val="12"/>
      <color theme="1"/>
      <name val="Calibri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theme="0" tint="-0.25"/>
      </patternFill>
    </fill>
    <fill>
      <patternFill patternType="solid">
        <fgColor rgb="FFBFBFBF"/>
      </patternFill>
    </fill>
  </fills>
  <borders count="20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/>
      <bottom style="thin">
        <color theme="1" tint="0.05"/>
      </bottom>
    </border>
    <border>
      <left/>
      <right/>
      <top/>
      <bottom style="thin">
        <color rgb="FF000000"/>
      </bottom>
    </border>
    <border diagonalDown="1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9">
    <xf numFmtId="0" fontId="0" fillId="0" borderId="0" applyFont="1" applyFill="0" applyBorder="0">
      <alignment vertical="center"/>
    </xf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172" fontId="5" fillId="0" borderId="0" applyFont="0" applyFill="0" applyBorder="0" applyNumberFormat="1">
      <alignment vertical="top"/>
    </xf>
    <xf numFmtId="173" fontId="5" fillId="0" borderId="0" applyFont="0" applyFill="0" applyBorder="0" applyNumberFormat="1">
      <alignment vertical="top"/>
    </xf>
    <xf numFmtId="174" fontId="5" fillId="0" borderId="0" applyFont="0" applyFill="0" applyBorder="0" applyNumberFormat="1">
      <alignment vertical="top"/>
    </xf>
    <xf numFmtId="175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  <xf numFmtId="0" fontId="18" fillId="0" borderId="0" applyFont="1" applyFill="0" applyBorder="0">
      <alignment vertical="top"/>
    </xf>
    <xf numFmtId="0" fontId="19" fillId="0" borderId="0" applyFont="1" applyFill="0" applyBorder="0">
      <alignment vertical="top"/>
    </xf>
  </cellStyleXfs>
  <cellXfs count="148">
    <xf numFmtId="0" fontId="0" fillId="0" borderId="0" xfId="0" applyFont="1">
      <alignment vertical="center"/>
    </xf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172" fontId="5" fillId="0" borderId="0" xfId="28" applyFont="0" applyNumberFormat="1">
      <alignment vertical="top"/>
    </xf>
    <xf numFmtId="173" fontId="5" fillId="0" borderId="0" xfId="29" applyFont="0" applyNumberFormat="1">
      <alignment vertical="top"/>
    </xf>
    <xf numFmtId="174" fontId="5" fillId="0" borderId="0" xfId="30" applyFont="0" applyNumberFormat="1">
      <alignment vertical="top"/>
    </xf>
    <xf numFmtId="175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0" fontId="18" fillId="0" borderId="0" xfId="47" applyFont="1">
      <alignment vertical="top"/>
    </xf>
    <xf numFmtId="0" fontId="19" fillId="0" borderId="0" xfId="48" applyFont="1">
      <alignment vertical="top"/>
    </xf>
    <xf numFmtId="0" fontId="0" fillId="0" borderId="0" xfId="0" applyFont="1"/>
    <xf numFmtId="20" fontId="0" fillId="0" borderId="0" xfId="0" applyFont="1" applyNumberFormat="1"/>
    <xf numFmtId="0" fontId="0" fillId="33" borderId="0" xfId="0" applyFont="1" applyFill="1">
      <alignment vertical="center"/>
    </xf>
    <xf numFmtId="0" fontId="2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horizontal="center" vertical="center" wrapText="1"/>
    </xf>
    <xf numFmtId="0" fontId="21" fillId="0" borderId="0" xfId="0" applyFont="1">
      <alignment vertical="center" wrapText="1"/>
    </xf>
    <xf numFmtId="0" fontId="22" fillId="0" borderId="0" xfId="0" applyFont="1">
      <alignment horizontal="center" vertical="center" wrapText="1"/>
    </xf>
    <xf numFmtId="0" fontId="23" fillId="0" borderId="0" xfId="0" applyFont="1">
      <alignment horizontal="left" vertical="center" wrapText="1"/>
    </xf>
    <xf numFmtId="0" fontId="23" fillId="0" borderId="0" xfId="0" applyFont="1">
      <alignment horizontal="right" vertical="center"/>
    </xf>
    <xf numFmtId="0" fontId="23" fillId="0" borderId="10" xfId="0" applyFont="1" applyBorder="1">
      <alignment horizontal="right" vertical="center" wrapText="1"/>
    </xf>
    <xf numFmtId="0" fontId="23" fillId="0" borderId="11" xfId="0" applyFont="1" applyBorder="1">
      <alignment horizontal="left" vertical="center"/>
    </xf>
    <xf numFmtId="0" fontId="24" fillId="34" borderId="12" xfId="0" applyFont="1" applyFill="1" applyBorder="1">
      <alignment horizontal="left" vertical="center" wrapText="1"/>
    </xf>
    <xf numFmtId="0" fontId="24" fillId="34" borderId="13" xfId="0" applyFont="1" applyFill="1" applyBorder="1">
      <alignment horizontal="center" vertical="center" wrapText="1"/>
    </xf>
    <xf numFmtId="0" fontId="24" fillId="34" borderId="14" xfId="0" applyFont="1" applyFill="1" applyBorder="1">
      <alignment horizontal="center" vertical="center" wrapText="1"/>
    </xf>
    <xf numFmtId="0" fontId="25" fillId="22" borderId="15" xfId="0" applyFont="1" applyFill="1" applyBorder="1">
      <alignment horizontal="center" vertical="center" wrapText="1"/>
    </xf>
    <xf numFmtId="0" fontId="26" fillId="0" borderId="13" xfId="0" applyFont="1" applyBorder="1">
      <alignment horizontal="center" vertical="center" wrapText="1"/>
    </xf>
    <xf numFmtId="171" fontId="27" fillId="0" borderId="13" xfId="0" applyFont="1" applyBorder="1" applyNumberFormat="1">
      <alignment horizontal="center" vertical="center" wrapText="1"/>
    </xf>
    <xf numFmtId="0" fontId="25" fillId="22" borderId="16" xfId="0" applyFont="1" applyFill="1" applyBorder="1">
      <alignment horizontal="center" vertical="center" wrapText="1"/>
    </xf>
    <xf numFmtId="0" fontId="25" fillId="22" borderId="14" xfId="0" applyFont="1" applyFill="1" applyBorder="1">
      <alignment horizontal="center" vertical="center" wrapText="1"/>
    </xf>
    <xf numFmtId="0" fontId="26" fillId="35" borderId="13" xfId="0" applyFont="1" applyFill="1" applyBorder="1">
      <alignment horizontal="center" vertical="center" wrapText="1"/>
    </xf>
    <xf numFmtId="171" fontId="27" fillId="36" borderId="13" xfId="0" applyFont="1" applyFill="1" applyBorder="1" applyNumberFormat="1">
      <alignment horizontal="center" vertical="center" wrapText="1"/>
    </xf>
    <xf numFmtId="0" fontId="25" fillId="22" borderId="13" xfId="0" applyFont="1" applyFill="1" applyBorder="1">
      <alignment horizontal="center" vertical="center" wrapText="1"/>
    </xf>
    <xf numFmtId="0" fontId="26" fillId="36" borderId="13" xfId="0" applyFont="1" applyFill="1" applyBorder="1">
      <alignment horizontal="center" vertical="center" wrapText="1"/>
    </xf>
    <xf numFmtId="0" fontId="25" fillId="0" borderId="13" xfId="0" applyFont="1" applyBorder="1">
      <alignment horizontal="center" vertical="center" wrapText="1"/>
    </xf>
    <xf numFmtId="171" fontId="27" fillId="0" borderId="13" xfId="0" applyFont="1" applyBorder="1" applyNumberFormat="1">
      <alignment horizontal="center" vertical="center"/>
    </xf>
    <xf numFmtId="0" fontId="0" fillId="0" borderId="13" xfId="0" applyFont="1" applyBorder="1">
      <alignment vertical="center" wrapText="1"/>
    </xf>
    <xf numFmtId="0" fontId="0" fillId="0" borderId="13" xfId="0" applyFont="1" applyBorder="1">
      <alignment vertical="center"/>
    </xf>
    <xf numFmtId="0" fontId="28" fillId="0" borderId="0" xfId="0" applyFont="1">
      <alignment horizontal="center" vertical="center" wrapText="1"/>
    </xf>
    <xf numFmtId="171" fontId="27" fillId="0" borderId="11" xfId="0" applyFont="1" applyBorder="1" applyNumberFormat="1">
      <alignment horizontal="center" vertical="center"/>
    </xf>
    <xf numFmtId="0" fontId="28" fillId="0" borderId="0" xfId="0" applyFont="1">
      <alignment vertical="center" wrapText="1"/>
    </xf>
    <xf numFmtId="171" fontId="27" fillId="0" borderId="0" xfId="0" applyFont="1" applyNumberFormat="1">
      <alignment horizontal="right" vertical="center" wrapText="1"/>
    </xf>
    <xf numFmtId="0" fontId="29" fillId="0" borderId="0" xfId="0" applyFont="1">
      <alignment vertical="center" wrapText="1"/>
    </xf>
    <xf numFmtId="0" fontId="0" fillId="0" borderId="0" xfId="0" applyFont="1">
      <alignment wrapText="1"/>
    </xf>
    <xf numFmtId="0" fontId="30" fillId="0" borderId="0" xfId="0" applyFont="1">
      <alignment vertical="center" wrapText="1"/>
    </xf>
    <xf numFmtId="20" fontId="0" fillId="0" borderId="0" xfId="0" applyFont="1" applyNumberFormat="1">
      <alignment wrapText="1"/>
    </xf>
    <xf numFmtId="0" fontId="31" fillId="34" borderId="17" xfId="0" applyFont="1" applyFill="1" applyBorder="1">
      <alignment horizontal="center" vertical="center" wrapText="1"/>
    </xf>
    <xf numFmtId="0" fontId="31" fillId="0" borderId="18" xfId="0" applyFont="1" applyBorder="1">
      <alignment vertical="center" wrapText="1"/>
    </xf>
    <xf numFmtId="0" fontId="31" fillId="0" borderId="19" xfId="0" applyFont="1" applyBorder="1">
      <alignment vertical="center" wrapText="1"/>
    </xf>
    <xf numFmtId="0" fontId="32" fillId="22" borderId="15" xfId="0" applyFont="1" applyFill="1" applyBorder="1">
      <alignment horizontal="center" vertical="center" wrapText="1"/>
    </xf>
    <xf numFmtId="0" fontId="31" fillId="0" borderId="15" xfId="0" applyFont="1" applyBorder="1">
      <alignment horizontal="center" vertical="center" wrapText="1"/>
    </xf>
    <xf numFmtId="0" fontId="32" fillId="22" borderId="16" xfId="0" applyFont="1" applyFill="1" applyBorder="1">
      <alignment horizontal="center" vertical="center" wrapText="1"/>
    </xf>
    <xf numFmtId="0" fontId="31" fillId="0" borderId="16" xfId="0" applyFont="1" applyBorder="1">
      <alignment horizontal="center" vertical="center" wrapText="1"/>
    </xf>
    <xf numFmtId="0" fontId="32" fillId="22" borderId="14" xfId="0" applyFont="1" applyFill="1" applyBorder="1">
      <alignment horizontal="center" vertical="center" wrapText="1"/>
    </xf>
    <xf numFmtId="0" fontId="31" fillId="0" borderId="14" xfId="0" applyFont="1" applyBorder="1">
      <alignment horizontal="center" vertical="center" wrapText="1"/>
    </xf>
    <xf numFmtId="0" fontId="32" fillId="22" borderId="13" xfId="0" applyFont="1" applyFill="1" applyBorder="1">
      <alignment horizontal="center" vertical="center" wrapText="1"/>
    </xf>
    <xf numFmtId="0" fontId="32" fillId="22" borderId="15" xfId="0" applyFont="1" applyFill="1" applyBorder="1">
      <alignment horizontal="center" vertical="center"/>
    </xf>
    <xf numFmtId="0" fontId="32" fillId="22" borderId="16" xfId="0" applyFont="1" applyFill="1" applyBorder="1">
      <alignment horizontal="center" vertical="center"/>
    </xf>
    <xf numFmtId="0" fontId="22" fillId="0" borderId="0" xfId="0" applyFont="1">
      <alignment horizontal="center"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0" fillId="0" borderId="0" xfId="0" applyFont="1">
      <alignment vertical="center" wrapText="1"/>
    </xf>
    <xf numFmtId="0" fontId="23" fillId="0" borderId="0" xfId="0" applyFont="1">
      <alignment horizontal="left" vertical="center" wrapText="1"/>
    </xf>
    <xf numFmtId="0" fontId="23" fillId="0" borderId="0" xfId="0" applyFont="1">
      <alignment horizontal="right" vertical="center" wrapText="1"/>
    </xf>
    <xf numFmtId="0" fontId="23" fillId="0" borderId="10" xfId="0" applyFont="1" applyBorder="1">
      <alignment horizontal="right" vertical="center" wrapText="1"/>
    </xf>
    <xf numFmtId="0" fontId="23" fillId="0" borderId="11" xfId="0" applyFont="1" applyBorder="1">
      <alignment horizontal="left" vertical="center" wrapText="1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24" fillId="34" borderId="12" xfId="0" applyFont="1" applyFill="1" applyBorder="1">
      <alignment horizontal="left" vertical="center" wrapText="1"/>
    </xf>
    <xf numFmtId="0" fontId="24" fillId="34" borderId="13" xfId="0" applyFont="1" applyFill="1" applyBorder="1">
      <alignment horizontal="center" vertical="center" wrapText="1"/>
    </xf>
    <xf numFmtId="0" fontId="24" fillId="34" borderId="14" xfId="0" applyFont="1" applyFill="1" applyBorder="1">
      <alignment horizontal="center" vertical="center" wrapText="1"/>
    </xf>
    <xf numFmtId="0" fontId="31" fillId="34" borderId="17" xfId="0" applyFont="1" applyFill="1" applyBorder="1">
      <alignment horizontal="center" vertical="center" wrapText="1"/>
    </xf>
    <xf numFmtId="0" fontId="31" fillId="0" borderId="18" xfId="0" applyFont="1" applyBorder="1">
      <alignment vertical="center" wrapText="1"/>
    </xf>
    <xf numFmtId="0" fontId="31" fillId="0" borderId="19" xfId="0" applyFont="1" applyBorder="1">
      <alignment vertical="center" wrapText="1"/>
    </xf>
    <xf numFmtId="0" fontId="25" fillId="22" borderId="15" xfId="0" applyFont="1" applyFill="1" applyBorder="1">
      <alignment horizontal="center" vertical="center" wrapText="1"/>
    </xf>
    <xf numFmtId="0" fontId="26" fillId="0" borderId="13" xfId="0" applyFont="1" applyBorder="1">
      <alignment horizontal="center" vertical="center" wrapText="1"/>
    </xf>
    <xf numFmtId="171" fontId="27" fillId="0" borderId="13" xfId="0" applyFont="1" applyBorder="1" applyNumberFormat="1">
      <alignment horizontal="center" vertical="center" wrapText="1"/>
    </xf>
    <xf numFmtId="0" fontId="32" fillId="22" borderId="15" xfId="0" applyFont="1" applyFill="1" applyBorder="1">
      <alignment horizontal="center" vertical="center" wrapText="1"/>
    </xf>
    <xf numFmtId="0" fontId="31" fillId="0" borderId="15" xfId="0" applyFont="1" applyBorder="1">
      <alignment horizontal="center" vertical="center" wrapText="1"/>
      <protection locked="0"/>
    </xf>
    <xf numFmtId="0" fontId="25" fillId="22" borderId="16" xfId="0" applyFont="1" applyFill="1" applyBorder="1">
      <alignment horizontal="center" vertical="center" wrapText="1"/>
    </xf>
    <xf numFmtId="0" fontId="32" fillId="22" borderId="16" xfId="0" applyFont="1" applyFill="1" applyBorder="1">
      <alignment horizontal="center" vertical="center" wrapText="1"/>
    </xf>
    <xf numFmtId="0" fontId="31" fillId="0" borderId="16" xfId="0" applyFont="1" applyBorder="1">
      <alignment horizontal="center" vertical="center" wrapText="1"/>
    </xf>
    <xf numFmtId="0" fontId="31" fillId="0" borderId="15" xfId="0" applyFont="1" applyBorder="1">
      <alignment horizontal="center" vertical="center" wrapText="1"/>
    </xf>
    <xf numFmtId="0" fontId="25" fillId="22" borderId="14" xfId="0" applyFont="1" applyFill="1" applyBorder="1">
      <alignment horizontal="center" vertical="center" wrapText="1"/>
    </xf>
    <xf numFmtId="0" fontId="26" fillId="35" borderId="13" xfId="0" applyFont="1" applyFill="1" applyBorder="1">
      <alignment horizontal="center" vertical="center" wrapText="1"/>
    </xf>
    <xf numFmtId="171" fontId="27" fillId="36" borderId="13" xfId="0" applyFont="1" applyFill="1" applyBorder="1" applyNumberFormat="1">
      <alignment horizontal="center" vertical="center" wrapText="1"/>
    </xf>
    <xf numFmtId="0" fontId="32" fillId="22" borderId="14" xfId="0" applyFont="1" applyFill="1" applyBorder="1">
      <alignment horizontal="center" vertical="center" wrapText="1"/>
    </xf>
    <xf numFmtId="0" fontId="31" fillId="0" borderId="14" xfId="0" applyFont="1" applyBorder="1">
      <alignment horizontal="center" vertical="center" wrapText="1"/>
    </xf>
    <xf numFmtId="0" fontId="25" fillId="22" borderId="13" xfId="0" applyFont="1" applyFill="1" applyBorder="1">
      <alignment horizontal="center" vertical="center" wrapText="1"/>
    </xf>
    <xf numFmtId="0" fontId="32" fillId="22" borderId="13" xfId="0" applyFont="1" applyFill="1" applyBorder="1">
      <alignment horizontal="center" vertical="center" wrapText="1"/>
    </xf>
    <xf numFmtId="0" fontId="26" fillId="36" borderId="13" xfId="0" applyFont="1" applyFill="1" applyBorder="1">
      <alignment horizontal="center" vertical="center" wrapText="1"/>
    </xf>
    <xf numFmtId="0" fontId="25" fillId="0" borderId="13" xfId="0" applyFont="1" applyBorder="1">
      <alignment horizontal="center" vertical="center" wrapText="1"/>
    </xf>
    <xf numFmtId="171" fontId="27" fillId="0" borderId="13" xfId="0" applyFont="1" applyBorder="1" applyNumberFormat="1">
      <alignment horizontal="center" vertical="center" wrapText="1"/>
    </xf>
    <xf numFmtId="0" fontId="0" fillId="0" borderId="13" xfId="0" applyFont="1" applyBorder="1">
      <alignment vertical="center" wrapText="1"/>
    </xf>
    <xf numFmtId="0" fontId="0" fillId="0" borderId="13" xfId="0" applyFont="1" applyBorder="1">
      <alignment vertical="center" wrapText="1"/>
    </xf>
    <xf numFmtId="0" fontId="32" fillId="22" borderId="15" xfId="0" applyFont="1" applyFill="1" applyBorder="1">
      <alignment horizontal="center" vertical="center" wrapText="1"/>
    </xf>
    <xf numFmtId="0" fontId="32" fillId="22" borderId="16" xfId="0" applyFont="1" applyFill="1" applyBorder="1">
      <alignment horizontal="center" vertical="center" wrapText="1"/>
    </xf>
    <xf numFmtId="0" fontId="28" fillId="0" borderId="0" xfId="0" applyFont="1">
      <alignment horizontal="center" vertical="center" wrapText="1"/>
    </xf>
    <xf numFmtId="171" fontId="27" fillId="0" borderId="11" xfId="0" applyFont="1" applyBorder="1" applyNumberFormat="1">
      <alignment horizontal="center" vertical="center" wrapText="1"/>
    </xf>
    <xf numFmtId="0" fontId="28" fillId="0" borderId="0" xfId="0" applyFont="1">
      <alignment vertical="center" wrapText="1"/>
    </xf>
    <xf numFmtId="171" fontId="27" fillId="0" borderId="0" xfId="0" applyFont="1" applyNumberFormat="1">
      <alignment horizontal="right" vertical="center" wrapText="1"/>
    </xf>
    <xf numFmtId="0" fontId="29" fillId="0" borderId="0" xfId="0" applyFont="1">
      <alignment vertical="center" wrapText="1"/>
    </xf>
    <xf numFmtId="0" fontId="30" fillId="0" borderId="0" xfId="0" applyFont="1">
      <alignment vertical="center" wrapText="1"/>
    </xf>
    <xf numFmtId="0" fontId="0" fillId="0" borderId="0" xfId="0" applyFont="1">
      <alignment vertical="center"/>
    </xf>
    <xf numFmtId="0" fontId="0" fillId="0" borderId="0" xfId="0" applyFont="1">
      <alignment wrapText="1"/>
    </xf>
    <xf numFmtId="20" fontId="0" fillId="0" borderId="0" xfId="0" applyFont="1" applyNumberFormat="1">
      <alignment wrapText="1"/>
    </xf>
    <xf numFmtId="0" fontId="0" fillId="0" borderId="0" xfId="0" applyFont="1">
      <alignment vertical="center" wrapText="1"/>
    </xf>
    <xf numFmtId="0" fontId="0" fillId="33" borderId="0" xfId="0" applyFont="1" applyFill="1">
      <alignment vertical="center" wrapText="1"/>
    </xf>
    <xf numFmtId="0" fontId="20" fillId="0" borderId="0" xfId="0" applyFont="1">
      <alignment vertical="center" wrapText="1"/>
    </xf>
  </cellXfs>
  <cellStyles count="49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  <cellStyle name="超链接" xfId="47"/>
    <cellStyle name="已访问的超链接" xfId="48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7D5D952-AA68-DBC8-91D4-BC7081821388}" mc:Ignorable="x14ac xr xr2 xr3">
  <dimension ref="A1:T61"/>
  <sheetViews>
    <sheetView defaultGridColor="0" colorId="31" topLeftCell="A1" showGridLines="0" zoomScale="95" workbookViewId="0" tabSelected="1">
      <selection activeCell="A1" sqref="A1"/>
    </sheetView>
  </sheetViews>
  <sheetFormatPr defaultColWidth="9.00390625" customHeight="1" defaultRowHeight="14.25"/>
  <cols>
    <col min="1" max="1" style="53" width="3.421875" customWidth="1"/>
    <col min="2" max="2" style="54" width="17.28125" customWidth="1"/>
    <col min="3" max="3" style="55" width="12.140625" customWidth="1"/>
    <col min="4" max="8" style="53" width="18.7109375" customWidth="1"/>
    <col min="9" max="10" style="142" width="9.00390625" hidden="1"/>
    <col min="11" max="11" style="142" width="19.8515625" customWidth="1"/>
    <col min="17" max="20" style="142" width="9.00390625" hidden="1"/>
  </cols>
  <sheetData>
    <row customHeight="1" ht="30.75">
      <c r="A1" s="53"/>
      <c r="B1" s="56" t="s">
        <v>0</v>
      </c>
      <c r="C1" s="56"/>
      <c r="D1" s="56"/>
      <c r="E1" s="56"/>
      <c r="F1" s="56"/>
      <c r="G1" s="56"/>
      <c r="H1" s="56"/>
      <c r="I1" s="53"/>
      <c r="J1" s="53"/>
      <c r="K1" s="53"/>
      <c r="L1" s="99"/>
      <c r="M1" s="99"/>
      <c r="N1" s="99"/>
      <c r="O1" s="99"/>
      <c r="P1" s="99"/>
      <c r="Q1" s="100"/>
      <c r="R1" s="100"/>
      <c r="S1" s="100"/>
      <c r="T1" s="100"/>
    </row>
    <row customHeight="1" ht="20.25">
      <c r="A2" s="53"/>
      <c r="B2" s="57" t="s">
        <v>1</v>
      </c>
      <c r="C2" s="57"/>
      <c r="D2" s="102" t="s">
        <v>2</v>
      </c>
      <c r="E2" s="57" t="str">
        <f>I2</f>
        <v>2026-01-06</v>
      </c>
      <c r="F2" s="59" t="s">
        <v>3</v>
      </c>
      <c r="G2" s="104" t="str">
        <f>取值!A1</f>
        <v>2026-01-07</v>
      </c>
      <c r="H2" s="104"/>
      <c r="I2" s="82" t="s">
        <v>4</v>
      </c>
      <c r="J2" s="84"/>
      <c r="K2" s="53"/>
      <c r="L2" s="99"/>
      <c r="M2" s="99"/>
      <c r="N2" s="99"/>
      <c r="O2" s="99"/>
      <c r="P2" s="99"/>
      <c r="Q2" s="100"/>
      <c r="R2" s="100"/>
      <c r="S2" s="100"/>
      <c r="T2" s="100"/>
    </row>
    <row customHeight="1" ht="45">
      <c r="A3" s="53"/>
      <c r="B3" s="61" t="s">
        <v>5</v>
      </c>
      <c r="C3" s="61"/>
      <c r="D3" s="62" t="s">
        <v>6</v>
      </c>
      <c r="E3" s="62" t="s">
        <v>7</v>
      </c>
      <c r="F3" s="62" t="s">
        <v>8</v>
      </c>
      <c r="G3" s="63" t="s">
        <v>9</v>
      </c>
      <c r="H3" s="63" t="s">
        <v>10</v>
      </c>
      <c r="I3" s="53"/>
      <c r="J3" s="53"/>
      <c r="K3" s="53"/>
      <c r="L3" s="85" t="s">
        <v>11</v>
      </c>
      <c r="M3" s="86" t="s">
        <v>6</v>
      </c>
      <c r="N3" s="86" t="s">
        <v>7</v>
      </c>
      <c r="O3" s="86" t="s">
        <v>8</v>
      </c>
      <c r="P3" s="87" t="s">
        <v>9</v>
      </c>
      <c r="Q3" s="100"/>
      <c r="R3" s="100"/>
      <c r="S3" s="100"/>
      <c r="T3" s="100"/>
    </row>
    <row customHeight="1" ht="18">
      <c r="A4" s="53"/>
      <c r="B4" s="64" t="s">
        <v>12</v>
      </c>
      <c r="C4" s="65" t="s">
        <v>13</v>
      </c>
      <c r="D4" s="66">
        <f>_xlfn.IFERROR(取值!A130,"")</f>
        <v>1056</v>
      </c>
      <c r="E4" s="66">
        <f>_xlfn.IFERROR(SUM(取值!A2),"")</f>
        <v>709</v>
      </c>
      <c r="F4" s="66">
        <f>_xlfn.IFERROR(取值!A158,"")</f>
        <v>536.32</v>
      </c>
      <c r="G4" s="66"/>
      <c r="H4" s="66"/>
      <c r="I4" s="53"/>
      <c r="J4" s="53"/>
      <c r="K4" s="53"/>
      <c r="L4" s="88" t="s">
        <v>12</v>
      </c>
      <c r="M4" s="117">
        <v>5600</v>
      </c>
      <c r="N4" s="117">
        <v>3700</v>
      </c>
      <c r="O4" s="117">
        <v>3000</v>
      </c>
      <c r="P4" s="117">
        <v>3680</v>
      </c>
      <c r="Q4" s="100"/>
      <c r="R4" s="100"/>
      <c r="S4" s="100"/>
      <c r="T4" s="100"/>
    </row>
    <row customHeight="1" ht="18">
      <c r="A5" s="53"/>
      <c r="B5" s="67"/>
      <c r="C5" s="65" t="s">
        <v>14</v>
      </c>
      <c r="D5" s="66">
        <f>_xlfn.IFERROR(取值!A131,"")</f>
        <v>4528</v>
      </c>
      <c r="E5" s="66">
        <f>_xlfn.IFERROR(SUM(取值!A3),"")</f>
        <v>2360</v>
      </c>
      <c r="F5" s="66">
        <f>_xlfn.IFERROR(取值!A159,"")</f>
        <v>1002.16928</v>
      </c>
      <c r="G5" s="66"/>
      <c r="H5" s="66"/>
      <c r="I5" s="53"/>
      <c r="J5" s="53"/>
      <c r="K5" s="53"/>
      <c r="L5" s="90"/>
      <c r="M5" s="91"/>
      <c r="N5" s="91"/>
      <c r="O5" s="91"/>
      <c r="P5" s="91"/>
      <c r="Q5" s="89">
        <v>5600</v>
      </c>
      <c r="R5" s="89">
        <v>3700</v>
      </c>
      <c r="S5" s="89">
        <v>3000</v>
      </c>
      <c r="T5" s="89">
        <v>3680</v>
      </c>
    </row>
    <row customHeight="1" ht="18">
      <c r="A6" s="53"/>
      <c r="B6" s="68"/>
      <c r="C6" s="69" t="s">
        <v>15</v>
      </c>
      <c r="D6" s="70">
        <f>M4-D5</f>
        <v>1072</v>
      </c>
      <c r="E6" s="70">
        <f>N4-E5</f>
        <v>1340</v>
      </c>
      <c r="F6" s="70">
        <f>O4-F5</f>
        <v>1997.83072</v>
      </c>
      <c r="G6" s="70"/>
      <c r="H6" s="70"/>
      <c r="I6" s="53"/>
      <c r="J6" s="53"/>
      <c r="K6" s="53"/>
      <c r="L6" s="92"/>
      <c r="M6" s="93"/>
      <c r="N6" s="93"/>
      <c r="O6" s="93"/>
      <c r="P6" s="93"/>
      <c r="Q6" s="91"/>
      <c r="R6" s="91"/>
      <c r="S6" s="91"/>
      <c r="T6" s="91"/>
    </row>
    <row customHeight="1" ht="18">
      <c r="A7" s="53"/>
      <c r="B7" s="71" t="s">
        <v>16</v>
      </c>
      <c r="C7" s="65" t="s">
        <v>13</v>
      </c>
      <c r="D7" s="66">
        <f>_xlfn.IFERROR(取值!A133,"")</f>
        <v>225</v>
      </c>
      <c r="E7" s="66"/>
      <c r="F7" s="66">
        <f>_xlfn.IFERROR(取值!A161,"")</f>
        <v>250.12</v>
      </c>
      <c r="G7" s="66">
        <f>_xlfn.IFERROR(取值!A68,"")</f>
        <v>174</v>
      </c>
      <c r="H7" s="66"/>
      <c r="I7" s="53"/>
      <c r="J7" s="53"/>
      <c r="K7" s="53"/>
      <c r="L7" s="94" t="s">
        <v>16</v>
      </c>
      <c r="M7" s="117">
        <v>1600</v>
      </c>
      <c r="N7" s="117"/>
      <c r="O7" s="117">
        <v>2200</v>
      </c>
      <c r="P7" s="117">
        <v>1840</v>
      </c>
      <c r="Q7" s="93"/>
      <c r="R7" s="93"/>
      <c r="S7" s="93"/>
      <c r="T7" s="93"/>
    </row>
    <row customHeight="1" ht="18">
      <c r="A8" s="53"/>
      <c r="B8" s="71"/>
      <c r="C8" s="65" t="s">
        <v>14</v>
      </c>
      <c r="D8" s="66">
        <f>_xlfn.IFERROR(取值!A134,"")</f>
        <v>292</v>
      </c>
      <c r="E8" s="66"/>
      <c r="F8" s="66">
        <f>_xlfn.IFERROR(取值!A162,"")</f>
        <v>686.43624</v>
      </c>
      <c r="G8" s="66">
        <f>_xlfn.IFERROR(取值!A69,"")</f>
        <v>699.488</v>
      </c>
      <c r="H8" s="66"/>
      <c r="I8" s="53"/>
      <c r="J8" s="53"/>
      <c r="K8" s="53"/>
      <c r="L8" s="94"/>
      <c r="M8" s="91"/>
      <c r="N8" s="91"/>
      <c r="O8" s="91"/>
      <c r="P8" s="91"/>
      <c r="Q8" s="89">
        <v>1600</v>
      </c>
      <c r="R8" s="89"/>
      <c r="S8" s="89">
        <v>2200</v>
      </c>
      <c r="T8" s="89">
        <v>1840</v>
      </c>
    </row>
    <row customHeight="1" ht="15">
      <c r="A9" s="53"/>
      <c r="B9" s="71"/>
      <c r="C9" s="72" t="s">
        <v>15</v>
      </c>
      <c r="D9" s="70">
        <f>M7-D8</f>
        <v>1308</v>
      </c>
      <c r="E9" s="70"/>
      <c r="F9" s="70">
        <f>O7-F8</f>
        <v>1513.56376</v>
      </c>
      <c r="G9" s="70">
        <f>P7-G8</f>
        <v>1140.512</v>
      </c>
      <c r="H9" s="70"/>
      <c r="I9" s="53"/>
      <c r="J9" s="53"/>
      <c r="K9" s="53"/>
      <c r="L9" s="94"/>
      <c r="M9" s="93"/>
      <c r="N9" s="93"/>
      <c r="O9" s="93"/>
      <c r="P9" s="93"/>
      <c r="Q9" s="91"/>
      <c r="R9" s="91"/>
      <c r="S9" s="91"/>
      <c r="T9" s="91"/>
    </row>
    <row customHeight="1" ht="18">
      <c r="A10" s="53"/>
      <c r="B10" s="71" t="s">
        <v>17</v>
      </c>
      <c r="C10" s="65" t="s">
        <v>13</v>
      </c>
      <c r="D10" s="66">
        <f>_xlfn.IFERROR(取值!A136,"")</f>
        <v>2963</v>
      </c>
      <c r="E10" s="66">
        <f>_xlfn.IFERROR(SUM(取值!A6),"")</f>
        <v>763.58</v>
      </c>
      <c r="F10" s="66">
        <f>_xlfn.IFERROR(取值!A164,"")</f>
        <v>353</v>
      </c>
      <c r="G10" s="66">
        <f>_xlfn.IFERROR(取值!A71,"")</f>
        <v>667.36</v>
      </c>
      <c r="H10" s="66"/>
      <c r="I10" s="53"/>
      <c r="J10" s="53"/>
      <c r="K10" s="53"/>
      <c r="L10" s="94" t="s">
        <v>18</v>
      </c>
      <c r="M10" s="117">
        <v>15000</v>
      </c>
      <c r="N10" s="117">
        <v>9500</v>
      </c>
      <c r="O10" s="117">
        <v>23000</v>
      </c>
      <c r="P10" s="117">
        <v>14360</v>
      </c>
      <c r="Q10" s="93"/>
      <c r="R10" s="93"/>
      <c r="S10" s="93"/>
      <c r="T10" s="93"/>
    </row>
    <row customHeight="1" ht="16.5">
      <c r="A11" s="53"/>
      <c r="B11" s="71"/>
      <c r="C11" s="65" t="s">
        <v>14</v>
      </c>
      <c r="D11" s="66">
        <f>_xlfn.IFERROR(取值!A137,"")</f>
        <v>11849</v>
      </c>
      <c r="E11" s="66">
        <f>_xlfn.IFERROR(SUM(取值!A7),"")</f>
        <v>9264</v>
      </c>
      <c r="F11" s="66">
        <f>_xlfn.IFERROR(取值!A165,"")</f>
        <v>22050.6</v>
      </c>
      <c r="G11" s="66">
        <f>_xlfn.IFERROR(取值!A72,"")</f>
        <v>10616.681</v>
      </c>
      <c r="H11" s="66"/>
      <c r="I11" s="53"/>
      <c r="J11" s="53"/>
      <c r="K11" s="53"/>
      <c r="L11" s="94"/>
      <c r="M11" s="91"/>
      <c r="N11" s="91"/>
      <c r="O11" s="91"/>
      <c r="P11" s="91"/>
      <c r="Q11" s="89">
        <v>15000</v>
      </c>
      <c r="R11" s="89">
        <v>9500</v>
      </c>
      <c r="S11" s="89">
        <v>18000</v>
      </c>
      <c r="T11" s="89">
        <v>14360</v>
      </c>
    </row>
    <row customHeight="1" ht="15">
      <c r="A12" s="53"/>
      <c r="B12" s="71"/>
      <c r="C12" s="72" t="s">
        <v>15</v>
      </c>
      <c r="D12" s="70">
        <f>M10-D11</f>
        <v>3151</v>
      </c>
      <c r="E12" s="70">
        <f>N10-E11</f>
        <v>236</v>
      </c>
      <c r="F12" s="70">
        <f>O10-F11</f>
        <v>949.400000000001</v>
      </c>
      <c r="G12" s="70">
        <f>P10-G11</f>
        <v>3743.319</v>
      </c>
      <c r="H12" s="70"/>
      <c r="I12" s="53"/>
      <c r="J12" s="53"/>
      <c r="K12" s="53"/>
      <c r="L12" s="94"/>
      <c r="M12" s="93"/>
      <c r="N12" s="93"/>
      <c r="O12" s="93"/>
      <c r="P12" s="93"/>
      <c r="Q12" s="91"/>
      <c r="R12" s="91"/>
      <c r="S12" s="91"/>
      <c r="T12" s="91"/>
    </row>
    <row customHeight="1" ht="15">
      <c r="A13" s="53"/>
      <c r="B13" s="71" t="s">
        <v>19</v>
      </c>
      <c r="C13" s="65" t="s">
        <v>13</v>
      </c>
      <c r="D13" s="66">
        <f>_xlfn.IFERROR(取值!A139,"")</f>
        <v>64</v>
      </c>
      <c r="E13" s="66">
        <f>_xlfn.IFERROR(SUM(取值!A10),"")</f>
        <v>324.78</v>
      </c>
      <c r="F13" s="66"/>
      <c r="G13" s="66"/>
      <c r="H13" s="66"/>
      <c r="I13" s="53"/>
      <c r="J13" s="53"/>
      <c r="K13" s="53"/>
      <c r="L13" s="88" t="s">
        <v>19</v>
      </c>
      <c r="M13" s="117">
        <v>1600</v>
      </c>
      <c r="N13" s="117">
        <v>1200</v>
      </c>
      <c r="O13" s="117"/>
      <c r="P13" s="117"/>
      <c r="Q13" s="93"/>
      <c r="R13" s="93"/>
      <c r="S13" s="93"/>
      <c r="T13" s="93"/>
    </row>
    <row customHeight="1" ht="15">
      <c r="A14" s="53"/>
      <c r="B14" s="71"/>
      <c r="C14" s="65" t="s">
        <v>14</v>
      </c>
      <c r="D14" s="66">
        <f>_xlfn.IFERROR(取值!A140,"")</f>
        <v>1156</v>
      </c>
      <c r="E14" s="66">
        <f>_xlfn.IFERROR(SUM(取值!A11),"")</f>
        <v>562</v>
      </c>
      <c r="F14" s="66"/>
      <c r="G14" s="66"/>
      <c r="H14" s="66"/>
      <c r="I14" s="53"/>
      <c r="J14" s="53"/>
      <c r="K14" s="53"/>
      <c r="L14" s="90"/>
      <c r="M14" s="91"/>
      <c r="N14" s="91"/>
      <c r="O14" s="91"/>
      <c r="P14" s="91"/>
      <c r="Q14" s="89">
        <v>1600</v>
      </c>
      <c r="R14" s="89">
        <v>1200</v>
      </c>
      <c r="S14" s="89"/>
      <c r="T14" s="89"/>
    </row>
    <row customHeight="1" ht="15">
      <c r="A15" s="53"/>
      <c r="B15" s="71"/>
      <c r="C15" s="72" t="s">
        <v>15</v>
      </c>
      <c r="D15" s="70"/>
      <c r="E15" s="70">
        <f>N13-E14</f>
        <v>638</v>
      </c>
      <c r="F15" s="70"/>
      <c r="G15" s="70"/>
      <c r="H15" s="70"/>
      <c r="I15" s="53"/>
      <c r="J15" s="53"/>
      <c r="K15" s="53"/>
      <c r="L15" s="92"/>
      <c r="M15" s="93"/>
      <c r="N15" s="93"/>
      <c r="O15" s="93"/>
      <c r="P15" s="93"/>
      <c r="Q15" s="91"/>
      <c r="R15" s="91"/>
      <c r="S15" s="91"/>
      <c r="T15" s="91"/>
    </row>
    <row customHeight="1" ht="19.5">
      <c r="A16" s="53"/>
      <c r="B16" s="64" t="s">
        <v>20</v>
      </c>
      <c r="C16" s="65" t="s">
        <v>13</v>
      </c>
      <c r="D16" s="66">
        <f>_xlfn.IFERROR(取值!A141,"")</f>
        <v>0</v>
      </c>
      <c r="E16" s="66" t="str">
        <f t="array" ref="E16:E16">_xlfn.IFERROR(SUM(取值!A14:取值!A15),"")</f>
        <v>1475.72</v>
      </c>
      <c r="F16" s="66">
        <f>_xlfn.IFERROR(取值!A167,"")</f>
        <v>2432</v>
      </c>
      <c r="G16" s="66"/>
      <c r="H16" s="66">
        <f>F16+E16</f>
        <v>3907.72</v>
      </c>
      <c r="I16" s="53"/>
      <c r="J16" s="53"/>
      <c r="K16" s="53"/>
      <c r="L16" s="88" t="s">
        <v>20</v>
      </c>
      <c r="M16" s="117">
        <v>75800</v>
      </c>
      <c r="N16" s="117">
        <v>35000</v>
      </c>
      <c r="O16" s="117">
        <v>50000</v>
      </c>
      <c r="P16" s="117"/>
      <c r="Q16" s="93"/>
      <c r="R16" s="93"/>
      <c r="S16" s="93"/>
      <c r="T16" s="93"/>
    </row>
    <row customHeight="1" ht="18.75">
      <c r="A17" s="53"/>
      <c r="B17" s="67"/>
      <c r="C17" s="65" t="s">
        <v>14</v>
      </c>
      <c r="D17" s="66">
        <f>_xlfn.IFERROR(取值!A142,"")</f>
        <v>39858</v>
      </c>
      <c r="E17" s="66">
        <f>_xlfn.IFERROR(SUM(取值!A16),"")</f>
        <v>14605</v>
      </c>
      <c r="F17" s="66">
        <f>_xlfn.IFERROR(取值!A168,"")</f>
        <v>30663</v>
      </c>
      <c r="G17" s="66"/>
      <c r="H17" s="66"/>
      <c r="I17" s="53"/>
      <c r="J17" s="53"/>
      <c r="K17" s="53"/>
      <c r="L17" s="90"/>
      <c r="M17" s="91"/>
      <c r="N17" s="91"/>
      <c r="O17" s="91"/>
      <c r="P17" s="91"/>
      <c r="Q17" s="89">
        <v>75800</v>
      </c>
      <c r="R17" s="89">
        <v>35000</v>
      </c>
      <c r="S17" s="89">
        <v>50000</v>
      </c>
      <c r="T17" s="89"/>
    </row>
    <row customHeight="1" ht="18">
      <c r="A18" s="53"/>
      <c r="B18" s="68"/>
      <c r="C18" s="72" t="s">
        <v>15</v>
      </c>
      <c r="D18" s="70">
        <f>M16-D17</f>
        <v>35942</v>
      </c>
      <c r="E18" s="70">
        <f>N16-E17</f>
        <v>20395</v>
      </c>
      <c r="F18" s="70">
        <f>O16-F17</f>
        <v>19337</v>
      </c>
      <c r="G18" s="70"/>
      <c r="H18" s="70"/>
      <c r="I18" s="53"/>
      <c r="J18" s="53"/>
      <c r="K18" s="53"/>
      <c r="L18" s="92"/>
      <c r="M18" s="93"/>
      <c r="N18" s="93"/>
      <c r="O18" s="93"/>
      <c r="P18" s="93"/>
      <c r="Q18" s="91"/>
      <c r="R18" s="91"/>
      <c r="S18" s="91"/>
      <c r="T18" s="91"/>
    </row>
    <row customHeight="1" ht="14.25">
      <c r="A19" s="53"/>
      <c r="B19" s="64" t="s">
        <v>21</v>
      </c>
      <c r="C19" s="73" t="s">
        <v>13</v>
      </c>
      <c r="D19" s="131">
        <f>_xlfn.IFERROR(取值!A144,"")</f>
        <v>850</v>
      </c>
      <c r="E19" s="131">
        <f>_xlfn.IFERROR(SUM(取值!A19),"")</f>
        <v>313.76</v>
      </c>
      <c r="F19" s="131">
        <f>_xlfn.IFERROR(取值!A170,"")</f>
        <v>0</v>
      </c>
      <c r="G19" s="131">
        <f>_xlfn.IFERROR(取值!A80,"")</f>
        <v>1163.46</v>
      </c>
      <c r="H19" s="131"/>
      <c r="I19" s="53"/>
      <c r="J19" s="53"/>
      <c r="K19" s="53"/>
      <c r="L19" s="88" t="s">
        <v>21</v>
      </c>
      <c r="M19" s="117">
        <v>6500</v>
      </c>
      <c r="N19" s="117">
        <v>3000</v>
      </c>
      <c r="O19" s="117">
        <v>3000</v>
      </c>
      <c r="P19" s="117">
        <v>6440</v>
      </c>
      <c r="Q19" s="93"/>
      <c r="R19" s="93"/>
      <c r="S19" s="93"/>
      <c r="T19" s="93"/>
    </row>
    <row customHeight="1" ht="14.25">
      <c r="A20" s="53"/>
      <c r="B20" s="64"/>
      <c r="C20" s="73" t="s">
        <v>22</v>
      </c>
      <c r="D20" s="131">
        <f>_xlfn.IFERROR(取值!A146,"")</f>
        <v>930</v>
      </c>
      <c r="E20" s="131">
        <f>_xlfn.IFERROR(SUM(取值!A21),"")</f>
        <v>213</v>
      </c>
      <c r="F20" s="131">
        <f>_xlfn.IFERROR(取值!A172,"")</f>
        <v>293</v>
      </c>
      <c r="G20" s="131"/>
      <c r="H20" s="131"/>
      <c r="I20" s="53"/>
      <c r="J20" s="53"/>
      <c r="K20" s="53"/>
      <c r="L20" s="88"/>
      <c r="M20" s="89"/>
      <c r="N20" s="89"/>
      <c r="O20" s="89"/>
      <c r="P20" s="89"/>
      <c r="Q20" s="89">
        <v>6500</v>
      </c>
      <c r="R20" s="89">
        <v>700</v>
      </c>
      <c r="S20" s="89">
        <v>3000</v>
      </c>
      <c r="T20" s="89">
        <v>6440</v>
      </c>
    </row>
    <row customHeight="1" ht="17.25">
      <c r="A21" s="53"/>
      <c r="B21" s="64"/>
      <c r="C21" s="73" t="s">
        <v>14</v>
      </c>
      <c r="D21" s="66">
        <f>_xlfn.IFERROR(取值!A145,"")</f>
        <v>3472</v>
      </c>
      <c r="E21" s="66">
        <f>_xlfn.IFERROR(SUM(取值!A20),"")</f>
        <v>2825</v>
      </c>
      <c r="F21" s="66">
        <f>_xlfn.IFERROR(取值!A171,"")</f>
        <v>1917.6</v>
      </c>
      <c r="G21" s="66">
        <f>_xlfn.IFERROR(取值!A81,"")</f>
        <v>3445.572</v>
      </c>
      <c r="H21" s="75"/>
      <c r="I21" s="100"/>
      <c r="J21" s="100"/>
      <c r="K21" s="100"/>
      <c r="L21" s="88"/>
      <c r="M21" s="89"/>
      <c r="N21" s="89"/>
      <c r="O21" s="89"/>
      <c r="P21" s="89"/>
      <c r="Q21" s="91"/>
      <c r="R21" s="91"/>
      <c r="S21" s="91"/>
      <c r="T21" s="91"/>
    </row>
    <row customHeight="1" ht="18">
      <c r="A22" s="53"/>
      <c r="B22" s="68"/>
      <c r="C22" s="72" t="s">
        <v>15</v>
      </c>
      <c r="D22" s="70">
        <f>M19-D21</f>
        <v>3028</v>
      </c>
      <c r="E22" s="70">
        <f>N19-E21</f>
        <v>175</v>
      </c>
      <c r="F22" s="70">
        <f>O19-F21</f>
        <v>1082.4</v>
      </c>
      <c r="G22" s="70">
        <f>P19-G21</f>
        <v>2994.428</v>
      </c>
      <c r="H22" s="70"/>
      <c r="I22" s="53"/>
      <c r="J22" s="53"/>
      <c r="K22" s="53"/>
      <c r="L22" s="92"/>
      <c r="M22" s="93"/>
      <c r="N22" s="93"/>
      <c r="O22" s="93"/>
      <c r="P22" s="93"/>
      <c r="Q22" s="91"/>
      <c r="R22" s="91"/>
      <c r="S22" s="91"/>
      <c r="T22" s="91"/>
    </row>
    <row customHeight="1" ht="18">
      <c r="A23" s="53"/>
      <c r="B23" s="64" t="s">
        <v>23</v>
      </c>
      <c r="C23" s="65" t="s">
        <v>13</v>
      </c>
      <c r="D23" s="66">
        <f>_xlfn.IFERROR(取值!A147,"")</f>
        <v>371</v>
      </c>
      <c r="E23" s="66">
        <f>_xlfn.IFERROR(SUM(取值!A23),"")</f>
        <v>219.4</v>
      </c>
      <c r="F23" s="66">
        <f>_xlfn.IFERROR(取值!A173,"")</f>
        <v>213.54</v>
      </c>
      <c r="G23" s="66">
        <f>_xlfn.IFERROR(取值!A83,"")</f>
        <v>809.3</v>
      </c>
      <c r="H23" s="66"/>
      <c r="I23" s="53"/>
      <c r="J23" s="53"/>
      <c r="K23" s="53"/>
      <c r="L23" s="88" t="s">
        <v>24</v>
      </c>
      <c r="M23" s="117">
        <v>5300</v>
      </c>
      <c r="N23" s="117">
        <v>2800</v>
      </c>
      <c r="O23" s="117">
        <v>2950</v>
      </c>
      <c r="P23" s="117">
        <v>6500</v>
      </c>
      <c r="Q23" s="93"/>
      <c r="R23" s="93"/>
      <c r="S23" s="93"/>
      <c r="T23" s="93"/>
    </row>
    <row customHeight="1" ht="14.25">
      <c r="A24" s="53"/>
      <c r="B24" s="64"/>
      <c r="C24" s="65" t="s">
        <v>22</v>
      </c>
      <c r="D24" s="131">
        <f>_xlfn.IFERROR(取值!A149,"")</f>
        <v>371</v>
      </c>
      <c r="E24" s="131">
        <f>_xlfn.IFERROR(SUM(取值!A25),"")</f>
        <v>136</v>
      </c>
      <c r="F24" s="131">
        <f>_xlfn.IFERROR(取值!A175,"")</f>
        <v>133</v>
      </c>
      <c r="G24" s="131"/>
      <c r="H24" s="133"/>
      <c r="I24" s="100"/>
      <c r="J24" s="100"/>
      <c r="K24" s="100"/>
      <c r="L24" s="88"/>
      <c r="M24" s="89"/>
      <c r="N24" s="89"/>
      <c r="O24" s="89"/>
      <c r="P24" s="89"/>
      <c r="Q24" s="89">
        <v>5200</v>
      </c>
      <c r="R24" s="89">
        <v>2800</v>
      </c>
      <c r="S24" s="89">
        <v>2950</v>
      </c>
      <c r="T24" s="89">
        <v>6500</v>
      </c>
    </row>
    <row customHeight="1" ht="18">
      <c r="A25" s="53"/>
      <c r="B25" s="67"/>
      <c r="C25" s="65" t="s">
        <v>14</v>
      </c>
      <c r="D25" s="66">
        <f>_xlfn.IFERROR(取值!A148,"")</f>
        <v>5270</v>
      </c>
      <c r="E25" s="66">
        <f>_xlfn.IFERROR(SUM(取值!A24),"")</f>
        <v>2083</v>
      </c>
      <c r="F25" s="66">
        <f>_xlfn.IFERROR(取值!A174,"")</f>
        <v>2512.8</v>
      </c>
      <c r="G25" s="66">
        <f>_xlfn.IFERROR(取值!A84,"")</f>
        <v>5770.289</v>
      </c>
      <c r="H25" s="66"/>
      <c r="I25" s="53"/>
      <c r="J25" s="53"/>
      <c r="K25" s="53"/>
      <c r="L25" s="90"/>
      <c r="M25" s="89"/>
      <c r="N25" s="89"/>
      <c r="O25" s="89"/>
      <c r="P25" s="89"/>
      <c r="Q25" s="91"/>
      <c r="R25" s="91"/>
      <c r="S25" s="91"/>
      <c r="T25" s="91"/>
    </row>
    <row customHeight="1" ht="18">
      <c r="A26" s="53"/>
      <c r="B26" s="68"/>
      <c r="C26" s="72" t="s">
        <v>15</v>
      </c>
      <c r="D26" s="70">
        <f>M23-D25</f>
        <v>30</v>
      </c>
      <c r="E26" s="70">
        <f>N23-E25</f>
        <v>717</v>
      </c>
      <c r="F26" s="70">
        <f>O23-F25</f>
        <v>437.2</v>
      </c>
      <c r="G26" s="70">
        <f>P23-G25</f>
        <v>729.711</v>
      </c>
      <c r="H26" s="70"/>
      <c r="I26" s="53"/>
      <c r="J26" s="53"/>
      <c r="K26" s="53"/>
      <c r="L26" s="92"/>
      <c r="M26" s="93"/>
      <c r="N26" s="93"/>
      <c r="O26" s="93"/>
      <c r="P26" s="93"/>
      <c r="Q26" s="91"/>
      <c r="R26" s="91"/>
      <c r="S26" s="91"/>
      <c r="T26" s="91"/>
    </row>
    <row customHeight="1" ht="18">
      <c r="A27" s="53"/>
      <c r="B27" s="64" t="s">
        <v>25</v>
      </c>
      <c r="C27" s="65" t="s">
        <v>13</v>
      </c>
      <c r="D27" s="66">
        <f>_xlfn.IFERROR(取值!A150,"")</f>
        <v>0</v>
      </c>
      <c r="E27" s="66">
        <f>_xlfn.IFERROR(SUM(取值!A27),"")</f>
        <v>32.16</v>
      </c>
      <c r="F27" s="66">
        <f>_xlfn.IFERROR(取值!A176,"")</f>
        <v>128.68</v>
      </c>
      <c r="G27" s="66"/>
      <c r="H27" s="66"/>
      <c r="I27" s="53"/>
      <c r="J27" s="53"/>
      <c r="K27" s="53"/>
      <c r="L27" s="88" t="s">
        <v>25</v>
      </c>
      <c r="M27" s="117">
        <v>0</v>
      </c>
      <c r="N27" s="117">
        <v>3200</v>
      </c>
      <c r="O27" s="117">
        <v>7000</v>
      </c>
      <c r="P27" s="117">
        <v>0</v>
      </c>
      <c r="Q27" s="93"/>
      <c r="R27" s="93"/>
      <c r="S27" s="93"/>
      <c r="T27" s="93"/>
    </row>
    <row customHeight="1" ht="18.75">
      <c r="A28" s="53"/>
      <c r="B28" s="64"/>
      <c r="C28" s="65" t="s">
        <v>22</v>
      </c>
      <c r="D28" s="66">
        <f>_xlfn.IFERROR(取值!A152,"")</f>
        <v>28</v>
      </c>
      <c r="E28" s="66">
        <f>_xlfn.IFERROR(SUM(取值!A29),"")</f>
        <v>91</v>
      </c>
      <c r="F28" s="66">
        <f>_xlfn.IFERROR(取值!A178,"")</f>
        <v>0</v>
      </c>
      <c r="G28" s="66"/>
      <c r="H28" s="75"/>
      <c r="I28" s="100"/>
      <c r="J28" s="100"/>
      <c r="K28" s="100"/>
      <c r="L28" s="88"/>
      <c r="M28" s="89"/>
      <c r="N28" s="89"/>
      <c r="O28" s="89"/>
      <c r="P28" s="89"/>
      <c r="Q28" s="89"/>
      <c r="R28" s="89">
        <v>3200</v>
      </c>
      <c r="S28" s="89">
        <v>7000</v>
      </c>
      <c r="T28" s="89"/>
    </row>
    <row customHeight="1" ht="18">
      <c r="A29" s="53"/>
      <c r="B29" s="67"/>
      <c r="C29" s="65" t="s">
        <v>14</v>
      </c>
      <c r="D29" s="66">
        <f>_xlfn.IFERROR(取值!A151,"")</f>
        <v>3222</v>
      </c>
      <c r="E29" s="66">
        <f>_xlfn.IFERROR(SUM(取值!A28),"")</f>
        <v>2670</v>
      </c>
      <c r="F29" s="66">
        <f>_xlfn.IFERROR(取值!A177,"")</f>
        <v>3565.92</v>
      </c>
      <c r="G29" s="66"/>
      <c r="H29" s="66"/>
      <c r="I29" s="53"/>
      <c r="J29" s="53"/>
      <c r="K29" s="53"/>
      <c r="L29" s="90"/>
      <c r="M29" s="89"/>
      <c r="N29" s="89"/>
      <c r="O29" s="89"/>
      <c r="P29" s="89"/>
      <c r="Q29" s="91"/>
      <c r="R29" s="91"/>
      <c r="S29" s="91"/>
      <c r="T29" s="91"/>
    </row>
    <row customHeight="1" ht="18">
      <c r="A30" s="53"/>
      <c r="B30" s="68"/>
      <c r="C30" s="72" t="s">
        <v>15</v>
      </c>
      <c r="D30" s="70"/>
      <c r="E30" s="70">
        <f>N27-E29</f>
        <v>530</v>
      </c>
      <c r="F30" s="70">
        <f>O27-F29</f>
        <v>3434.08</v>
      </c>
      <c r="G30" s="70"/>
      <c r="H30" s="70"/>
      <c r="I30" s="53"/>
      <c r="J30" s="53"/>
      <c r="K30" s="53"/>
      <c r="L30" s="92"/>
      <c r="M30" s="93"/>
      <c r="N30" s="93"/>
      <c r="O30" s="93"/>
      <c r="P30" s="93"/>
      <c r="Q30" s="91"/>
      <c r="R30" s="91"/>
      <c r="S30" s="91"/>
      <c r="T30" s="91"/>
    </row>
    <row customHeight="1" ht="18">
      <c r="A31" s="53"/>
      <c r="B31" s="64" t="s">
        <v>26</v>
      </c>
      <c r="C31" s="65" t="s">
        <v>14</v>
      </c>
      <c r="D31" s="66">
        <f>_xlfn.IFERROR(取值!A153,"")</f>
        <v>733</v>
      </c>
      <c r="E31" s="66"/>
      <c r="F31" s="66">
        <f>_xlfn.IFERROR(取值!A179,"")</f>
        <v>0</v>
      </c>
      <c r="G31" s="66">
        <f>_xlfn.IFERROR(取值!A89,"")</f>
        <v>1890.827</v>
      </c>
      <c r="H31" s="66"/>
      <c r="I31" s="53"/>
      <c r="J31" s="53"/>
      <c r="K31" s="53"/>
      <c r="L31" s="88" t="s">
        <v>26</v>
      </c>
      <c r="M31" s="117">
        <v>2200</v>
      </c>
      <c r="N31" s="89">
        <f>R32</f>
        <v>0</v>
      </c>
      <c r="O31" s="117">
        <v>0</v>
      </c>
      <c r="P31" s="117">
        <v>4512</v>
      </c>
      <c r="Q31" s="93"/>
      <c r="R31" s="93"/>
      <c r="S31" s="93"/>
      <c r="T31" s="93"/>
    </row>
    <row customHeight="1" ht="18">
      <c r="A32" s="53"/>
      <c r="B32" s="68"/>
      <c r="C32" s="69" t="s">
        <v>15</v>
      </c>
      <c r="D32" s="66">
        <f>M31-D31</f>
        <v>1467</v>
      </c>
      <c r="E32" s="66"/>
      <c r="F32" s="66">
        <f>_xlfn.IFERROR(取值!A180,"")</f>
        <v>0</v>
      </c>
      <c r="G32" s="66">
        <f>P31-G31</f>
        <v>2621.173</v>
      </c>
      <c r="H32" s="66"/>
      <c r="I32" s="53"/>
      <c r="J32" s="53"/>
      <c r="K32" s="53"/>
      <c r="L32" s="92"/>
      <c r="M32" s="93"/>
      <c r="N32" s="93"/>
      <c r="O32" s="93"/>
      <c r="P32" s="93"/>
      <c r="Q32" s="89">
        <v>2200</v>
      </c>
      <c r="R32" s="89"/>
      <c r="S32" s="89"/>
      <c r="T32" s="89">
        <v>4512</v>
      </c>
    </row>
    <row customHeight="1" ht="21">
      <c r="A33" s="53"/>
      <c r="B33" s="64" t="s">
        <v>27</v>
      </c>
      <c r="C33" s="65" t="s">
        <v>14</v>
      </c>
      <c r="D33" s="66">
        <f>_xlfn.IFERROR(取值!A155,"")</f>
        <v>1627</v>
      </c>
      <c r="E33" s="66">
        <f>_xlfn.IFERROR(SUM(取值!A31),"")</f>
        <v>904</v>
      </c>
      <c r="F33" s="66">
        <f>_xlfn.IFERROR(取值!A181,"")</f>
        <v>4493.02</v>
      </c>
      <c r="G33" s="66"/>
      <c r="H33" s="66"/>
      <c r="I33" s="53"/>
      <c r="J33" s="53"/>
      <c r="K33" s="53"/>
      <c r="L33" s="134" t="s">
        <v>27</v>
      </c>
      <c r="M33" s="117">
        <v>1700</v>
      </c>
      <c r="N33" s="89">
        <f>R34</f>
        <v>1200</v>
      </c>
      <c r="O33" s="117">
        <v>20500</v>
      </c>
      <c r="P33" s="117">
        <v>0</v>
      </c>
      <c r="Q33" s="93"/>
      <c r="R33" s="93"/>
      <c r="S33" s="93"/>
      <c r="T33" s="93"/>
    </row>
    <row customHeight="1" ht="18">
      <c r="A34" s="53"/>
      <c r="B34" s="67"/>
      <c r="C34" s="72" t="s">
        <v>15</v>
      </c>
      <c r="D34" s="70">
        <f>M33-D33</f>
        <v>73</v>
      </c>
      <c r="E34" s="70">
        <f>N33-E33</f>
        <v>296</v>
      </c>
      <c r="F34" s="70">
        <f>O33-F33</f>
        <v>16006.98</v>
      </c>
      <c r="G34" s="70"/>
      <c r="H34" s="70"/>
      <c r="I34" s="53"/>
      <c r="J34" s="53"/>
      <c r="K34" s="53"/>
      <c r="L34" s="135"/>
      <c r="M34" s="93"/>
      <c r="N34" s="93"/>
      <c r="O34" s="93"/>
      <c r="P34" s="93"/>
      <c r="Q34" s="89">
        <v>1600</v>
      </c>
      <c r="R34" s="89">
        <v>1200</v>
      </c>
      <c r="S34" s="89">
        <v>20500</v>
      </c>
      <c r="T34" s="89"/>
    </row>
    <row customHeight="1" ht="15">
      <c r="A35" s="53"/>
      <c r="B35" s="77" t="s">
        <v>28</v>
      </c>
      <c r="C35" s="77"/>
      <c r="D35" s="137" t="s">
        <v>29</v>
      </c>
      <c r="E35" s="79"/>
      <c r="F35" s="80"/>
      <c r="G35" s="79" t="s">
        <v>30</v>
      </c>
      <c r="H35" s="137" t="s">
        <v>31</v>
      </c>
      <c r="I35" s="53"/>
      <c r="J35" s="53"/>
      <c r="K35" s="53"/>
      <c r="L35" s="99"/>
      <c r="M35" s="99"/>
      <c r="N35" s="99"/>
      <c r="O35" s="99"/>
      <c r="P35" s="99"/>
      <c r="Q35" s="93"/>
      <c r="R35" s="93"/>
      <c r="S35" s="93"/>
      <c r="T35" s="93"/>
    </row>
    <row customHeight="1" ht="14.25">
      <c r="A36" s="53"/>
      <c r="B36" s="54"/>
      <c r="C36" s="55"/>
      <c r="D36" s="53"/>
      <c r="E36" s="53"/>
      <c r="F36" s="53"/>
      <c r="G36" s="53"/>
      <c r="H36" s="53"/>
      <c r="I36" s="53"/>
      <c r="J36" s="53"/>
      <c r="K36" s="53"/>
      <c r="L36" s="99"/>
      <c r="M36" s="99"/>
      <c r="N36" s="99"/>
      <c r="O36" s="99"/>
      <c r="P36" s="99"/>
      <c r="Q36" s="100"/>
      <c r="R36" s="100"/>
      <c r="S36" s="100"/>
      <c r="T36" s="100"/>
    </row>
    <row customHeight="1" ht="14.25" hidden="1">
      <c r="A37" s="53"/>
      <c r="B37" s="54"/>
      <c r="C37" s="55"/>
      <c r="D37" s="53"/>
      <c r="E37" s="53"/>
      <c r="F37" s="53"/>
      <c r="G37" s="53"/>
      <c r="H37" s="53"/>
      <c r="I37" s="53"/>
      <c r="J37" s="53"/>
      <c r="K37" s="53"/>
      <c r="L37" s="99"/>
      <c r="M37" s="99"/>
      <c r="N37" s="99"/>
      <c r="O37" s="99"/>
      <c r="P37" s="99"/>
      <c r="Q37" s="100"/>
      <c r="R37" s="100"/>
      <c r="S37" s="100"/>
      <c r="T37" s="100"/>
    </row>
    <row customHeight="1" ht="16.5" hidden="1">
      <c r="A38" s="53"/>
      <c r="B38" s="54"/>
      <c r="C38" s="55"/>
      <c r="D38" s="81"/>
      <c r="E38" s="81">
        <v>198</v>
      </c>
      <c r="F38" s="81"/>
      <c r="G38" s="81"/>
      <c r="H38" s="53"/>
      <c r="I38" s="53"/>
      <c r="J38" s="53"/>
      <c r="K38" s="53"/>
      <c r="L38" s="99"/>
      <c r="M38" s="99"/>
      <c r="N38" s="99"/>
      <c r="O38" s="99"/>
      <c r="P38" s="99"/>
      <c r="Q38" s="100"/>
      <c r="R38" s="100"/>
      <c r="S38" s="100"/>
      <c r="T38" s="100"/>
    </row>
    <row customHeight="1" ht="16.5" hidden="1">
      <c r="A39" s="53"/>
      <c r="B39" s="54"/>
      <c r="C39" s="55"/>
      <c r="D39" s="81"/>
      <c r="E39" s="81">
        <v>736</v>
      </c>
      <c r="F39" s="81"/>
      <c r="G39" s="81">
        <v>0</v>
      </c>
      <c r="H39" s="53"/>
      <c r="I39" s="53"/>
      <c r="J39" s="53"/>
      <c r="K39" s="53"/>
      <c r="L39" s="99"/>
      <c r="M39" s="99"/>
      <c r="N39" s="99"/>
      <c r="O39" s="99"/>
      <c r="P39" s="99"/>
      <c r="Q39" s="100"/>
      <c r="R39" s="100"/>
      <c r="S39" s="100"/>
      <c r="T39" s="100"/>
    </row>
    <row customHeight="1" ht="16.5" hidden="1">
      <c r="A40" s="53"/>
      <c r="B40" s="54"/>
      <c r="C40" s="55"/>
      <c r="D40" s="82"/>
      <c r="E40" s="81">
        <v>61</v>
      </c>
      <c r="F40" s="81"/>
      <c r="G40" s="81"/>
      <c r="H40" s="53"/>
      <c r="I40" s="53"/>
      <c r="J40" s="53"/>
      <c r="K40" s="53"/>
      <c r="L40" s="99"/>
      <c r="M40" s="99"/>
      <c r="N40" s="99"/>
      <c r="O40" s="99"/>
      <c r="P40" s="99"/>
      <c r="Q40" s="100"/>
      <c r="R40" s="100"/>
      <c r="S40" s="100"/>
      <c r="T40" s="100"/>
    </row>
    <row customHeight="1" ht="16.5" hidden="1">
      <c r="A41" s="53"/>
      <c r="B41" s="54"/>
      <c r="C41" s="55"/>
      <c r="D41" s="82"/>
      <c r="E41" s="81">
        <v>0</v>
      </c>
      <c r="F41" s="81"/>
      <c r="G41" s="81">
        <v>9885.421</v>
      </c>
      <c r="H41" s="53"/>
      <c r="I41" s="53"/>
      <c r="J41" s="53"/>
      <c r="K41" s="53"/>
      <c r="L41" s="99"/>
      <c r="M41" s="99"/>
      <c r="N41" s="99"/>
      <c r="O41" s="99"/>
      <c r="P41" s="99"/>
      <c r="Q41" s="100"/>
      <c r="R41" s="100"/>
      <c r="S41" s="100"/>
      <c r="T41" s="100"/>
    </row>
    <row customHeight="1" ht="16.5" hidden="1">
      <c r="A42" s="53"/>
      <c r="B42" s="54"/>
      <c r="C42" s="55"/>
      <c r="D42" s="82"/>
      <c r="E42" s="81">
        <v>262</v>
      </c>
      <c r="F42" s="81"/>
      <c r="G42" s="81"/>
      <c r="H42" s="53"/>
      <c r="I42" s="53"/>
      <c r="J42" s="53"/>
      <c r="K42" s="53"/>
      <c r="L42" s="99"/>
      <c r="M42" s="99"/>
      <c r="N42" s="99"/>
      <c r="O42" s="99"/>
      <c r="P42" s="99"/>
      <c r="Q42" s="100"/>
      <c r="R42" s="100"/>
      <c r="S42" s="100"/>
      <c r="T42" s="100"/>
    </row>
    <row customHeight="1" ht="16.5" hidden="1">
      <c r="A43" s="53"/>
      <c r="B43" s="54"/>
      <c r="C43" s="55"/>
      <c r="D43" s="82"/>
      <c r="E43" s="81">
        <v>2738</v>
      </c>
      <c r="F43" s="81"/>
      <c r="G43" s="81">
        <v>698.839</v>
      </c>
      <c r="H43" s="53"/>
      <c r="I43" s="53"/>
      <c r="J43" s="53"/>
      <c r="K43" s="53"/>
      <c r="L43" s="99"/>
      <c r="M43" s="99"/>
      <c r="N43" s="99"/>
      <c r="O43" s="99"/>
      <c r="P43" s="99"/>
      <c r="Q43" s="100"/>
      <c r="R43" s="100"/>
      <c r="S43" s="100"/>
      <c r="T43" s="100"/>
    </row>
    <row customHeight="1" ht="16.5" hidden="1">
      <c r="A44" s="53"/>
      <c r="B44" s="54"/>
      <c r="C44" s="55"/>
      <c r="D44" s="83"/>
      <c r="E44" s="81">
        <v>22432</v>
      </c>
      <c r="F44" s="81"/>
      <c r="G44" s="81"/>
      <c r="H44" s="53"/>
      <c r="I44" s="53"/>
      <c r="J44" s="53"/>
      <c r="K44" s="53"/>
      <c r="L44" s="99"/>
      <c r="M44" s="99"/>
      <c r="N44" s="99"/>
      <c r="O44" s="99"/>
      <c r="P44" s="99"/>
      <c r="Q44" s="100"/>
      <c r="R44" s="100"/>
      <c r="S44" s="100"/>
      <c r="T44" s="100"/>
    </row>
    <row customHeight="1" ht="16.5" hidden="1">
      <c r="A45" s="53"/>
      <c r="B45" s="54"/>
      <c r="C45" s="55"/>
      <c r="D45" s="81"/>
      <c r="E45" s="81">
        <v>616</v>
      </c>
      <c r="F45" s="81"/>
      <c r="G45" s="81"/>
      <c r="H45" s="53"/>
      <c r="I45" s="53"/>
      <c r="J45" s="53"/>
      <c r="K45" s="53"/>
      <c r="L45" s="99"/>
      <c r="M45" s="99"/>
      <c r="N45" s="99"/>
      <c r="O45" s="99"/>
      <c r="P45" s="99"/>
      <c r="Q45" s="100"/>
      <c r="R45" s="100"/>
      <c r="S45" s="100"/>
      <c r="T45" s="100"/>
    </row>
    <row customHeight="1" ht="16.5" hidden="1">
      <c r="A46" s="53"/>
      <c r="B46" s="54"/>
      <c r="C46" s="55"/>
      <c r="D46" s="82"/>
      <c r="E46" s="81">
        <v>2407</v>
      </c>
      <c r="F46" s="81"/>
      <c r="G46" s="81"/>
      <c r="H46" s="53"/>
      <c r="I46" s="53"/>
      <c r="J46" s="53"/>
      <c r="K46" s="53"/>
      <c r="L46" s="99"/>
      <c r="M46" s="99"/>
      <c r="N46" s="99"/>
      <c r="O46" s="99"/>
      <c r="P46" s="99"/>
      <c r="Q46" s="100"/>
      <c r="R46" s="100"/>
      <c r="S46" s="100"/>
      <c r="T46" s="100"/>
    </row>
    <row customHeight="1" ht="16.5" hidden="1">
      <c r="A47" s="53"/>
      <c r="B47" s="54"/>
      <c r="C47" s="55"/>
      <c r="D47" s="81"/>
      <c r="E47" s="81">
        <v>3704</v>
      </c>
      <c r="F47" s="81"/>
      <c r="G47" s="81"/>
      <c r="H47" s="53"/>
      <c r="I47" s="53"/>
      <c r="J47" s="53"/>
      <c r="K47" s="53"/>
      <c r="L47" s="99"/>
      <c r="M47" s="99"/>
      <c r="N47" s="99"/>
      <c r="O47" s="99"/>
      <c r="P47" s="99"/>
      <c r="Q47" s="100"/>
      <c r="R47" s="100"/>
      <c r="S47" s="100"/>
      <c r="T47" s="100"/>
    </row>
    <row customHeight="1" ht="16.5" hidden="1">
      <c r="A48" s="53"/>
      <c r="B48" s="54"/>
      <c r="C48" s="55"/>
      <c r="D48" s="81"/>
      <c r="E48" s="81">
        <v>578</v>
      </c>
      <c r="F48" s="81"/>
      <c r="G48" s="81"/>
      <c r="H48" s="53"/>
      <c r="I48" s="53"/>
      <c r="J48" s="53"/>
      <c r="K48" s="53"/>
      <c r="L48" s="99"/>
      <c r="M48" s="99"/>
      <c r="N48" s="99"/>
      <c r="O48" s="99"/>
      <c r="P48" s="99"/>
      <c r="Q48" s="100"/>
      <c r="R48" s="100"/>
      <c r="S48" s="100"/>
      <c r="T48" s="100"/>
    </row>
    <row customHeight="1" ht="16.5" hidden="1">
      <c r="A49" s="53"/>
      <c r="B49" s="54"/>
      <c r="C49" s="55"/>
      <c r="D49" s="81"/>
      <c r="E49" s="81"/>
      <c r="F49" s="81"/>
      <c r="G49" s="81">
        <v>0</v>
      </c>
      <c r="H49" s="53"/>
      <c r="I49" s="53"/>
      <c r="J49" s="53"/>
      <c r="K49" s="53"/>
      <c r="L49" s="99"/>
      <c r="M49" s="99"/>
      <c r="N49" s="99"/>
      <c r="O49" s="99"/>
      <c r="P49" s="99"/>
      <c r="Q49" s="100"/>
      <c r="R49" s="100"/>
      <c r="S49" s="100"/>
      <c r="T49" s="100"/>
    </row>
    <row customHeight="1" ht="16.5" hidden="1">
      <c r="A50" s="53"/>
      <c r="B50" s="54"/>
      <c r="C50" s="55"/>
      <c r="D50" s="81"/>
      <c r="E50" s="81">
        <v>2259</v>
      </c>
      <c r="F50" s="81"/>
      <c r="G50" s="53"/>
      <c r="H50" s="53"/>
      <c r="I50" s="53"/>
      <c r="J50" s="53"/>
      <c r="K50" s="53"/>
      <c r="L50" s="99"/>
      <c r="M50" s="99"/>
      <c r="N50" s="99"/>
      <c r="O50" s="99"/>
      <c r="P50" s="99"/>
      <c r="Q50" s="100"/>
      <c r="R50" s="100"/>
      <c r="S50" s="100"/>
      <c r="T50" s="100"/>
    </row>
    <row customHeight="1" ht="16.5" hidden="1">
      <c r="A51" s="53"/>
      <c r="B51" s="54"/>
      <c r="C51" s="55"/>
      <c r="D51" s="81"/>
      <c r="E51" s="81"/>
      <c r="F51" s="81"/>
      <c r="G51" s="53"/>
      <c r="H51" s="53"/>
      <c r="I51" s="53"/>
      <c r="J51" s="53"/>
      <c r="K51" s="53"/>
      <c r="L51" s="99"/>
      <c r="M51" s="99"/>
      <c r="N51" s="99"/>
      <c r="O51" s="99"/>
      <c r="P51" s="99"/>
      <c r="Q51" s="100"/>
      <c r="R51" s="100"/>
      <c r="S51" s="100"/>
      <c r="T51" s="100"/>
    </row>
    <row customHeight="1" ht="16.5" hidden="1">
      <c r="A52" s="53"/>
      <c r="B52" s="54"/>
      <c r="C52" s="55"/>
      <c r="D52" s="81"/>
      <c r="E52" s="81"/>
      <c r="F52" s="81">
        <v>5542</v>
      </c>
      <c r="G52" s="53"/>
      <c r="H52" s="53"/>
      <c r="I52" s="53"/>
      <c r="J52" s="53"/>
      <c r="K52" s="53"/>
      <c r="L52" s="99"/>
      <c r="M52" s="99"/>
      <c r="N52" s="99"/>
      <c r="O52" s="99"/>
      <c r="P52" s="99"/>
      <c r="Q52" s="100"/>
      <c r="R52" s="100"/>
      <c r="S52" s="100"/>
      <c r="T52" s="100"/>
    </row>
    <row customHeight="1" ht="16.5" hidden="1">
      <c r="A53" s="53"/>
      <c r="B53" s="54"/>
      <c r="C53" s="55"/>
      <c r="D53" s="81"/>
      <c r="E53" s="82"/>
      <c r="F53" s="81"/>
      <c r="G53" s="53"/>
      <c r="H53" s="53"/>
      <c r="I53" s="53"/>
      <c r="J53" s="53"/>
      <c r="K53" s="53"/>
      <c r="L53" s="99"/>
      <c r="M53" s="99"/>
      <c r="N53" s="99"/>
      <c r="O53" s="99"/>
      <c r="P53" s="99"/>
      <c r="Q53" s="100"/>
      <c r="R53" s="100"/>
      <c r="S53" s="100"/>
      <c r="T53" s="100"/>
    </row>
    <row customHeight="1" ht="16.5" hidden="1">
      <c r="A54" s="53"/>
      <c r="B54" s="54"/>
      <c r="C54" s="55"/>
      <c r="D54" s="81"/>
      <c r="E54" s="82"/>
      <c r="F54" s="82"/>
      <c r="G54" s="53"/>
      <c r="H54" s="53"/>
      <c r="I54" s="53"/>
      <c r="J54" s="53"/>
      <c r="K54" s="53"/>
      <c r="L54" s="99"/>
      <c r="M54" s="99"/>
      <c r="N54" s="99"/>
      <c r="O54" s="99"/>
      <c r="P54" s="99"/>
      <c r="Q54" s="100"/>
      <c r="R54" s="100"/>
      <c r="S54" s="100"/>
      <c r="T54" s="100"/>
    </row>
    <row customHeight="1" ht="16.5" hidden="1">
      <c r="A55" s="53"/>
      <c r="B55" s="54"/>
      <c r="C55" s="55"/>
      <c r="D55" s="81"/>
      <c r="E55" s="53"/>
      <c r="F55" s="53"/>
      <c r="G55" s="53"/>
      <c r="H55" s="53"/>
      <c r="I55" s="53"/>
      <c r="J55" s="53"/>
      <c r="K55" s="53"/>
      <c r="L55" s="99"/>
      <c r="M55" s="99"/>
      <c r="N55" s="99"/>
      <c r="O55" s="99"/>
      <c r="P55" s="99"/>
      <c r="Q55" s="100"/>
      <c r="R55" s="100"/>
      <c r="S55" s="100"/>
      <c r="T55" s="100"/>
    </row>
    <row customHeight="1" ht="16.5" hidden="1">
      <c r="A56" s="53"/>
      <c r="B56" s="54"/>
      <c r="C56" s="55"/>
      <c r="D56" s="81">
        <v>1645</v>
      </c>
      <c r="E56" s="53"/>
      <c r="F56" s="53"/>
      <c r="G56" s="53"/>
      <c r="H56" s="53"/>
      <c r="I56" s="53"/>
      <c r="J56" s="53"/>
      <c r="K56" s="53"/>
      <c r="L56" s="99"/>
      <c r="M56" s="99"/>
      <c r="N56" s="99"/>
      <c r="O56" s="99"/>
      <c r="P56" s="99"/>
      <c r="Q56" s="100"/>
      <c r="R56" s="100"/>
      <c r="S56" s="100"/>
      <c r="T56" s="100"/>
    </row>
    <row customHeight="1" ht="16.5" hidden="1">
      <c r="A57" s="53"/>
      <c r="B57" s="54"/>
      <c r="C57" s="55"/>
      <c r="D57" s="81"/>
      <c r="E57" s="53"/>
      <c r="F57" s="53"/>
      <c r="G57" s="53"/>
      <c r="H57" s="53"/>
      <c r="I57" s="53"/>
      <c r="J57" s="53"/>
      <c r="K57" s="53"/>
      <c r="L57" s="99"/>
      <c r="M57" s="99"/>
      <c r="N57" s="99"/>
      <c r="O57" s="99"/>
      <c r="P57" s="99"/>
      <c r="Q57" s="100"/>
      <c r="R57" s="100"/>
      <c r="S57" s="100"/>
      <c r="T57" s="100"/>
    </row>
    <row customHeight="1" ht="21.75" hidden="1">
      <c r="A58" s="53"/>
      <c r="B58" s="54"/>
      <c r="C58" s="55"/>
      <c r="D58" s="81"/>
      <c r="E58" s="53"/>
      <c r="F58" s="53"/>
      <c r="G58" s="53"/>
      <c r="H58" s="53"/>
      <c r="I58" s="53"/>
      <c r="J58" s="53"/>
      <c r="K58" s="53"/>
      <c r="L58" s="99"/>
      <c r="M58" s="99"/>
      <c r="N58" s="99"/>
      <c r="O58" s="99"/>
      <c r="P58" s="99"/>
      <c r="Q58" s="100"/>
      <c r="R58" s="100"/>
      <c r="S58" s="100"/>
      <c r="T58" s="100"/>
    </row>
    <row customHeight="1" ht="16.5" hidden="1">
      <c r="A59" s="53"/>
      <c r="B59" s="54"/>
      <c r="C59" s="55"/>
      <c r="D59" s="81"/>
      <c r="E59" s="53"/>
      <c r="F59" s="53"/>
      <c r="G59" s="53"/>
      <c r="H59" s="53"/>
      <c r="I59" s="53"/>
      <c r="J59" s="53"/>
      <c r="K59" s="53"/>
      <c r="L59" s="99"/>
      <c r="M59" s="99"/>
      <c r="N59" s="99"/>
      <c r="O59" s="99"/>
      <c r="P59" s="99"/>
      <c r="Q59" s="100"/>
      <c r="R59" s="100"/>
      <c r="S59" s="100"/>
      <c r="T59" s="100"/>
    </row>
    <row customHeight="1" ht="14.25">
      <c r="A60" s="53"/>
      <c r="B60" s="54"/>
      <c r="C60" s="55"/>
      <c r="D60" s="53"/>
      <c r="E60" s="53"/>
      <c r="F60" s="53"/>
      <c r="G60" s="53"/>
      <c r="H60" s="53"/>
      <c r="I60" s="100"/>
      <c r="J60" s="100"/>
      <c r="K60" s="100"/>
      <c r="L60" s="99"/>
      <c r="M60" s="99"/>
      <c r="N60" s="99"/>
      <c r="O60" s="99"/>
      <c r="P60" s="99"/>
      <c r="Q60" s="100"/>
      <c r="R60" s="100"/>
      <c r="S60" s="100"/>
      <c r="T60" s="100"/>
    </row>
    <row customHeight="1" ht="14.25">
      <c r="A61" s="53"/>
      <c r="B61" s="54"/>
      <c r="C61" s="55"/>
      <c r="D61" s="53"/>
      <c r="E61" s="53"/>
      <c r="F61" s="53"/>
      <c r="G61" s="53"/>
      <c r="H61" s="53"/>
      <c r="I61" s="100"/>
      <c r="J61" s="100"/>
      <c r="K61" s="100"/>
      <c r="L61" s="99"/>
      <c r="M61" s="99"/>
      <c r="N61" s="99"/>
      <c r="O61" s="99"/>
      <c r="P61" s="99"/>
      <c r="Q61" s="100"/>
      <c r="R61" s="100"/>
      <c r="S61" s="100"/>
      <c r="T61" s="100"/>
    </row>
  </sheetData>
  <mergeCells count="105">
    <mergeCell ref="B1:H1"/>
    <mergeCell ref="B2:C2"/>
    <mergeCell ref="G2:H2"/>
    <mergeCell ref="B3:C3"/>
    <mergeCell ref="B35:C35"/>
    <mergeCell ref="B4:B6"/>
    <mergeCell ref="B7:B9"/>
    <mergeCell ref="B10:B12"/>
    <mergeCell ref="B13:B15"/>
    <mergeCell ref="B16:B18"/>
    <mergeCell ref="B19:B22"/>
    <mergeCell ref="B23:B26"/>
    <mergeCell ref="B27:B30"/>
    <mergeCell ref="B31:B32"/>
    <mergeCell ref="B33:B34"/>
    <mergeCell ref="L4:L6"/>
    <mergeCell ref="L7:L9"/>
    <mergeCell ref="L10:L12"/>
    <mergeCell ref="L13:L15"/>
    <mergeCell ref="L16:L18"/>
    <mergeCell ref="L19:L22"/>
    <mergeCell ref="L23:L26"/>
    <mergeCell ref="L27:L30"/>
    <mergeCell ref="L31:L32"/>
    <mergeCell ref="L33:L34"/>
    <mergeCell ref="M4:M6"/>
    <mergeCell ref="M7:M9"/>
    <mergeCell ref="M10:M12"/>
    <mergeCell ref="M13:M15"/>
    <mergeCell ref="M16:M18"/>
    <mergeCell ref="M19:M22"/>
    <mergeCell ref="M23:M26"/>
    <mergeCell ref="M27:M30"/>
    <mergeCell ref="M31:M32"/>
    <mergeCell ref="M33:M34"/>
    <mergeCell ref="N4:N6"/>
    <mergeCell ref="N7:N9"/>
    <mergeCell ref="N10:N12"/>
    <mergeCell ref="N13:N15"/>
    <mergeCell ref="N16:N18"/>
    <mergeCell ref="N19:N22"/>
    <mergeCell ref="N23:N26"/>
    <mergeCell ref="N27:N30"/>
    <mergeCell ref="N31:N32"/>
    <mergeCell ref="N33:N34"/>
    <mergeCell ref="O4:O6"/>
    <mergeCell ref="O7:O9"/>
    <mergeCell ref="O10:O12"/>
    <mergeCell ref="O13:O15"/>
    <mergeCell ref="O16:O18"/>
    <mergeCell ref="O19:O22"/>
    <mergeCell ref="O23:O26"/>
    <mergeCell ref="O27:O30"/>
    <mergeCell ref="O31:O32"/>
    <mergeCell ref="O33:O34"/>
    <mergeCell ref="P4:P6"/>
    <mergeCell ref="P7:P9"/>
    <mergeCell ref="P10:P12"/>
    <mergeCell ref="P13:P15"/>
    <mergeCell ref="P16:P18"/>
    <mergeCell ref="P19:P22"/>
    <mergeCell ref="P23:P26"/>
    <mergeCell ref="P27:P30"/>
    <mergeCell ref="P31:P32"/>
    <mergeCell ref="P33:P34"/>
    <mergeCell ref="Q5:Q7"/>
    <mergeCell ref="Q8:Q10"/>
    <mergeCell ref="Q11:Q13"/>
    <mergeCell ref="Q14:Q16"/>
    <mergeCell ref="Q17:Q19"/>
    <mergeCell ref="Q20:Q23"/>
    <mergeCell ref="Q24:Q27"/>
    <mergeCell ref="Q28:Q31"/>
    <mergeCell ref="Q32:Q33"/>
    <mergeCell ref="Q34:Q35"/>
    <mergeCell ref="R5:R7"/>
    <mergeCell ref="R8:R10"/>
    <mergeCell ref="R11:R13"/>
    <mergeCell ref="R14:R16"/>
    <mergeCell ref="R17:R19"/>
    <mergeCell ref="R20:R23"/>
    <mergeCell ref="R24:R27"/>
    <mergeCell ref="R28:R31"/>
    <mergeCell ref="R32:R33"/>
    <mergeCell ref="R34:R35"/>
    <mergeCell ref="S5:S7"/>
    <mergeCell ref="S8:S10"/>
    <mergeCell ref="S11:S13"/>
    <mergeCell ref="S14:S16"/>
    <mergeCell ref="S17:S19"/>
    <mergeCell ref="S20:S23"/>
    <mergeCell ref="S24:S27"/>
    <mergeCell ref="S28:S31"/>
    <mergeCell ref="S32:S33"/>
    <mergeCell ref="S34:S35"/>
    <mergeCell ref="T5:T7"/>
    <mergeCell ref="T8:T10"/>
    <mergeCell ref="T11:T13"/>
    <mergeCell ref="T14:T16"/>
    <mergeCell ref="T17:T19"/>
    <mergeCell ref="T20:T23"/>
    <mergeCell ref="T24:T27"/>
    <mergeCell ref="T28:T31"/>
    <mergeCell ref="T32:T33"/>
    <mergeCell ref="T34:T35"/>
  </mergeCells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A3A9CF8-6DD8-0858-3BD8-645299013723}" mc:Ignorable="x14ac xr xr2 xr3">
  <dimension ref="A1:K182"/>
  <sheetViews>
    <sheetView topLeftCell="A60" workbookViewId="0">
      <selection activeCell="A66" sqref="A66"/>
    </sheetView>
  </sheetViews>
  <sheetFormatPr defaultColWidth="8.8515625" customHeight="1" defaultRowHeight="14.4525"/>
  <cols>
    <col min="4" max="4" style="142" width="31.00390625" customWidth="1"/>
  </cols>
  <sheetData>
    <row customHeight="1" ht="14.25">
      <c r="A1" s="143" t="s">
        <v>32</v>
      </c>
      <c r="B1" s="144" t="s">
        <v>33</v>
      </c>
      <c r="C1" s="99"/>
      <c r="D1" s="100"/>
      <c r="E1" s="99"/>
      <c r="F1" s="99" t="s">
        <v>12</v>
      </c>
      <c r="G1" s="99"/>
      <c r="H1" s="99"/>
      <c r="I1" s="99"/>
      <c r="J1" s="99"/>
      <c r="K1" s="99"/>
    </row>
    <row customHeight="1" ht="14.25">
      <c r="A2" s="99">
        <v>709</v>
      </c>
      <c r="B2" s="99"/>
      <c r="C2" s="99"/>
      <c r="D2" s="100"/>
      <c r="E2" s="99"/>
      <c r="F2" s="99"/>
      <c r="G2" s="99"/>
      <c r="H2" s="99"/>
      <c r="I2" s="99"/>
      <c r="J2" s="99"/>
      <c r="K2" s="99"/>
    </row>
    <row customHeight="1" ht="14.25">
      <c r="A3" s="99">
        <v>2360</v>
      </c>
      <c r="B3" s="99"/>
      <c r="C3" s="99"/>
      <c r="D3" s="100"/>
      <c r="E3" s="99"/>
      <c r="F3" s="99"/>
      <c r="G3" s="99"/>
      <c r="H3" s="99"/>
      <c r="I3" s="99"/>
      <c r="J3" s="99"/>
      <c r="K3" s="99"/>
    </row>
    <row customHeight="1" ht="14.25">
      <c r="A4" s="145">
        <v>3430</v>
      </c>
      <c r="B4" s="99"/>
      <c r="C4" s="99"/>
      <c r="D4" s="100"/>
      <c r="E4" s="99"/>
      <c r="F4" s="99"/>
      <c r="G4" s="99"/>
      <c r="H4" s="99"/>
      <c r="I4" s="99"/>
      <c r="J4" s="99"/>
      <c r="K4" s="99"/>
    </row>
    <row customHeight="1" ht="14.25">
      <c r="A5" s="99" t="s">
        <v>34</v>
      </c>
      <c r="B5" s="99"/>
      <c r="C5" s="99"/>
      <c r="D5" s="100"/>
      <c r="E5" s="99"/>
      <c r="F5" s="99"/>
      <c r="G5" s="99"/>
      <c r="H5" s="99"/>
      <c r="I5" s="99"/>
      <c r="J5" s="99"/>
      <c r="K5" s="99"/>
    </row>
    <row customHeight="1" ht="14.25">
      <c r="A6" s="99">
        <v>763.58</v>
      </c>
      <c r="B6" s="99"/>
      <c r="C6" s="99"/>
      <c r="D6" s="100"/>
      <c r="E6" s="99"/>
      <c r="F6" s="99"/>
      <c r="G6" s="99"/>
      <c r="H6" s="99"/>
      <c r="I6" s="99"/>
      <c r="J6" s="99"/>
      <c r="K6" s="99"/>
    </row>
    <row customHeight="1" ht="14.25">
      <c r="A7" s="99">
        <v>9264</v>
      </c>
      <c r="B7" s="99"/>
      <c r="C7" s="99"/>
      <c r="D7" s="100"/>
      <c r="E7" s="99"/>
      <c r="F7" s="99"/>
      <c r="G7" s="99"/>
      <c r="H7" s="99"/>
      <c r="I7" s="99"/>
      <c r="J7" s="99"/>
      <c r="K7" s="99"/>
    </row>
    <row customHeight="1" ht="14.25">
      <c r="A8" s="99">
        <v>12000</v>
      </c>
      <c r="B8" s="99"/>
      <c r="C8" s="99"/>
      <c r="D8" s="100"/>
      <c r="E8" s="99"/>
      <c r="F8" s="99"/>
      <c r="G8" s="99"/>
      <c r="H8" s="99"/>
      <c r="I8" s="99"/>
      <c r="J8" s="99"/>
      <c r="K8" s="99"/>
    </row>
    <row customHeight="1" ht="14.25">
      <c r="A9" s="99" t="s">
        <v>35</v>
      </c>
      <c r="B9" s="99"/>
      <c r="C9" s="99"/>
      <c r="D9" s="100"/>
      <c r="E9" s="99"/>
      <c r="F9" s="99"/>
      <c r="G9" s="99"/>
      <c r="H9" s="99"/>
      <c r="I9" s="99"/>
      <c r="J9" s="99"/>
      <c r="K9" s="99"/>
    </row>
    <row customHeight="1" ht="14.25">
      <c r="A10" s="99">
        <v>324.78</v>
      </c>
      <c r="B10" s="99"/>
      <c r="C10" s="99"/>
      <c r="D10" s="100"/>
      <c r="E10" s="99"/>
      <c r="F10" s="99"/>
      <c r="G10" s="99"/>
      <c r="H10" s="99"/>
      <c r="I10" s="99"/>
      <c r="J10" s="99"/>
      <c r="K10" s="99"/>
    </row>
    <row customHeight="1" ht="14.25">
      <c r="A11" s="99">
        <v>562</v>
      </c>
      <c r="B11" s="99"/>
      <c r="C11" s="99"/>
      <c r="D11" s="100"/>
      <c r="E11" s="99"/>
      <c r="F11" s="99"/>
      <c r="G11" s="99"/>
      <c r="H11" s="99"/>
      <c r="I11" s="99"/>
      <c r="J11" s="99"/>
      <c r="K11" s="99"/>
    </row>
    <row customHeight="1" ht="14.25">
      <c r="A12" s="99">
        <v>1600</v>
      </c>
      <c r="B12" s="99"/>
      <c r="C12" s="99"/>
      <c r="D12" s="100"/>
      <c r="E12" s="99"/>
      <c r="F12" s="99"/>
      <c r="G12" s="99"/>
      <c r="H12" s="99"/>
      <c r="I12" s="99"/>
      <c r="J12" s="99"/>
      <c r="K12" s="99"/>
    </row>
    <row customHeight="1" ht="14.25">
      <c r="A13" s="99" t="s">
        <v>20</v>
      </c>
      <c r="B13" s="99"/>
      <c r="C13" s="99"/>
      <c r="D13" s="100"/>
      <c r="E13" s="99"/>
      <c r="F13" s="99"/>
      <c r="G13" s="99"/>
      <c r="H13" s="99"/>
      <c r="I13" s="99"/>
      <c r="J13" s="99"/>
      <c r="K13" s="99"/>
    </row>
    <row customHeight="1" ht="14.25">
      <c r="A14" s="99">
        <v>0</v>
      </c>
      <c r="B14" s="99"/>
      <c r="C14" s="99"/>
      <c r="D14" s="100"/>
      <c r="E14" s="99"/>
      <c r="F14" s="99"/>
      <c r="G14" s="99"/>
      <c r="H14" s="99"/>
      <c r="I14" s="99"/>
      <c r="J14" s="99"/>
      <c r="K14" s="99"/>
    </row>
    <row customHeight="1" ht="14.25">
      <c r="A15" s="99">
        <v>1475.72</v>
      </c>
      <c r="B15" s="99"/>
      <c r="C15" s="99"/>
      <c r="D15" s="100"/>
      <c r="E15" s="99"/>
      <c r="F15" s="99"/>
      <c r="G15" s="99"/>
      <c r="H15" s="99"/>
      <c r="I15" s="99"/>
      <c r="J15" s="99"/>
      <c r="K15" s="99"/>
    </row>
    <row customHeight="1" ht="14.25">
      <c r="A16" s="99">
        <v>14605</v>
      </c>
      <c r="B16" s="99"/>
      <c r="C16" s="99"/>
      <c r="D16" s="100"/>
      <c r="E16" s="99"/>
      <c r="F16" s="99"/>
      <c r="G16" s="99"/>
      <c r="H16" s="99"/>
      <c r="I16" s="99"/>
      <c r="J16" s="99"/>
      <c r="K16" s="99"/>
    </row>
    <row customHeight="1" ht="14.25">
      <c r="A17" s="99">
        <v>39000</v>
      </c>
      <c r="B17" s="99"/>
      <c r="C17" s="99"/>
      <c r="D17" s="100"/>
      <c r="E17" s="99"/>
      <c r="F17" s="99"/>
      <c r="G17" s="99"/>
      <c r="H17" s="99"/>
      <c r="I17" s="99"/>
      <c r="J17" s="99"/>
      <c r="K17" s="99"/>
    </row>
    <row customHeight="1" ht="14.25">
      <c r="A18" s="99" t="s">
        <v>21</v>
      </c>
      <c r="B18" s="99"/>
      <c r="C18" s="99"/>
      <c r="D18" s="100"/>
      <c r="E18" s="99"/>
      <c r="F18" s="99"/>
      <c r="G18" s="99"/>
      <c r="H18" s="99"/>
      <c r="I18" s="99"/>
      <c r="J18" s="99"/>
      <c r="K18" s="99"/>
    </row>
    <row customHeight="1" ht="14.25">
      <c r="A19" s="99">
        <v>313.76</v>
      </c>
      <c r="B19" s="99"/>
      <c r="C19" s="99"/>
      <c r="D19" s="100"/>
      <c r="E19" s="99"/>
      <c r="F19" s="99"/>
      <c r="G19" s="99"/>
      <c r="H19" s="99"/>
      <c r="I19" s="99"/>
      <c r="J19" s="99"/>
      <c r="K19" s="99"/>
    </row>
    <row customHeight="1" ht="14.25">
      <c r="A20" s="99">
        <v>2825</v>
      </c>
      <c r="B20" s="99"/>
      <c r="C20" s="99"/>
      <c r="D20" s="100"/>
      <c r="E20" s="99"/>
      <c r="F20" s="99"/>
      <c r="G20" s="99"/>
      <c r="H20" s="99"/>
      <c r="I20" s="99"/>
      <c r="J20" s="99"/>
      <c r="K20" s="99"/>
    </row>
    <row customHeight="1" ht="14.25">
      <c r="A21" s="99">
        <v>213</v>
      </c>
      <c r="B21" s="99"/>
      <c r="C21" s="99"/>
      <c r="D21" s="100"/>
      <c r="E21" s="99"/>
      <c r="F21" s="99"/>
      <c r="G21" s="99"/>
      <c r="H21" s="99"/>
      <c r="I21" s="99"/>
      <c r="J21" s="99"/>
      <c r="K21" s="99"/>
    </row>
    <row customHeight="1" ht="14.25">
      <c r="A22" s="99" t="s">
        <v>23</v>
      </c>
      <c r="B22" s="99"/>
      <c r="C22" s="99"/>
      <c r="D22" s="100"/>
      <c r="E22" s="99"/>
      <c r="F22" s="99"/>
      <c r="G22" s="99"/>
      <c r="H22" s="99"/>
      <c r="I22" s="99"/>
      <c r="J22" s="99"/>
      <c r="K22" s="99"/>
    </row>
    <row customHeight="1" ht="14.25">
      <c r="A23" s="99">
        <v>219.4</v>
      </c>
      <c r="B23" s="99"/>
      <c r="C23" s="99"/>
      <c r="D23" s="100"/>
      <c r="E23" s="99"/>
      <c r="F23" s="99"/>
      <c r="G23" s="99"/>
      <c r="H23" s="99"/>
      <c r="I23" s="99"/>
      <c r="J23" s="99"/>
      <c r="K23" s="99"/>
    </row>
    <row customHeight="1" ht="14.25">
      <c r="A24" s="99">
        <v>2083</v>
      </c>
      <c r="B24" s="99"/>
      <c r="C24" s="99"/>
      <c r="D24" s="100"/>
      <c r="E24" s="99"/>
      <c r="F24" s="99"/>
      <c r="G24" s="99"/>
      <c r="H24" s="99"/>
      <c r="I24" s="99"/>
      <c r="J24" s="99"/>
      <c r="K24" s="99"/>
    </row>
    <row customHeight="1" ht="14.25">
      <c r="A25" s="99">
        <v>136</v>
      </c>
      <c r="B25" s="99"/>
      <c r="C25" s="99"/>
      <c r="D25" s="100"/>
      <c r="E25" s="99"/>
      <c r="F25" s="99"/>
      <c r="G25" s="99"/>
      <c r="H25" s="99"/>
      <c r="I25" s="99"/>
      <c r="J25" s="99"/>
      <c r="K25" s="99"/>
    </row>
    <row customHeight="1" ht="14.25">
      <c r="A26" s="99" t="s">
        <v>25</v>
      </c>
      <c r="B26" s="99"/>
      <c r="C26" s="99"/>
      <c r="D26" s="100"/>
      <c r="E26" s="99"/>
      <c r="F26" s="99"/>
      <c r="G26" s="99"/>
      <c r="H26" s="99"/>
      <c r="I26" s="99"/>
      <c r="J26" s="99"/>
      <c r="K26" s="99"/>
    </row>
    <row customHeight="1" ht="14.25">
      <c r="A27" s="99">
        <v>32.16</v>
      </c>
      <c r="B27" s="99"/>
      <c r="C27" s="99"/>
      <c r="D27" s="100"/>
      <c r="E27" s="99"/>
      <c r="F27" s="99"/>
      <c r="G27" s="99"/>
      <c r="H27" s="99"/>
      <c r="I27" s="99"/>
      <c r="J27" s="99"/>
      <c r="K27" s="99"/>
    </row>
    <row customHeight="1" ht="14.25">
      <c r="A28" s="99">
        <v>2670</v>
      </c>
      <c r="B28" s="99"/>
      <c r="C28" s="99"/>
      <c r="D28" s="100"/>
      <c r="E28" s="99"/>
      <c r="F28" s="99"/>
      <c r="G28" s="99"/>
      <c r="H28" s="99"/>
      <c r="I28" s="99"/>
      <c r="J28" s="99"/>
      <c r="K28" s="99"/>
    </row>
    <row customHeight="1" ht="14.25">
      <c r="A29" s="99">
        <v>91</v>
      </c>
      <c r="B29" s="99"/>
      <c r="C29" s="99"/>
      <c r="D29" s="100"/>
      <c r="E29" s="99"/>
      <c r="F29" s="99"/>
      <c r="G29" s="99"/>
      <c r="H29" s="99"/>
      <c r="I29" s="99"/>
      <c r="J29" s="99"/>
      <c r="K29" s="99"/>
    </row>
    <row customHeight="1" ht="14.25">
      <c r="A30" s="99" t="s">
        <v>27</v>
      </c>
      <c r="B30" s="99"/>
      <c r="C30" s="99"/>
      <c r="D30" s="100"/>
      <c r="E30" s="99"/>
      <c r="F30" s="99"/>
      <c r="G30" s="99"/>
      <c r="H30" s="99"/>
      <c r="I30" s="99"/>
      <c r="J30" s="99"/>
      <c r="K30" s="99"/>
    </row>
    <row customHeight="1" ht="14.25">
      <c r="A31" s="99">
        <v>904</v>
      </c>
      <c r="B31" s="99"/>
      <c r="C31" s="99"/>
      <c r="D31" s="100"/>
      <c r="E31" s="99"/>
      <c r="F31" s="99"/>
      <c r="G31" s="99"/>
      <c r="H31" s="99"/>
      <c r="I31" s="99"/>
      <c r="J31" s="99"/>
      <c r="K31" s="99"/>
    </row>
    <row customHeight="1" ht="14.25">
      <c r="A32" s="99">
        <v>1200</v>
      </c>
      <c r="B32" s="99"/>
      <c r="C32" s="99"/>
      <c r="D32" s="100"/>
      <c r="E32" s="99"/>
      <c r="F32" s="99"/>
      <c r="G32" s="99"/>
      <c r="H32" s="99"/>
      <c r="I32" s="99"/>
      <c r="J32" s="99"/>
      <c r="K32" s="99"/>
    </row>
    <row customHeight="1" ht="14.25">
      <c r="A33" s="99"/>
      <c r="B33" s="99"/>
      <c r="C33" s="99"/>
      <c r="D33" s="100" t="str">
        <f>A33&amp;B33&amp;C33</f>
        <v/>
      </c>
      <c r="E33" s="99"/>
      <c r="F33" s="99"/>
      <c r="G33" s="99"/>
      <c r="H33" s="99"/>
      <c r="I33" s="99"/>
      <c r="J33" s="99"/>
      <c r="K33" s="99"/>
    </row>
    <row customHeight="1" ht="14.25">
      <c r="A34" s="99"/>
      <c r="B34" s="99"/>
      <c r="C34" s="99"/>
      <c r="D34" s="100" t="str">
        <f>A34&amp;B34&amp;C34</f>
        <v/>
      </c>
      <c r="E34" s="99"/>
      <c r="F34" s="99"/>
      <c r="G34" s="99"/>
      <c r="H34" s="99"/>
      <c r="I34" s="99"/>
      <c r="J34" s="99"/>
      <c r="K34" s="99"/>
    </row>
    <row customHeight="1" ht="14.25">
      <c r="A35" s="99"/>
      <c r="B35" s="99"/>
      <c r="C35" s="99"/>
      <c r="D35" s="100" t="str">
        <f>A35&amp;B35&amp;C35</f>
        <v/>
      </c>
      <c r="E35" s="99"/>
      <c r="F35" s="99"/>
      <c r="G35" s="99"/>
      <c r="H35" s="99"/>
      <c r="I35" s="99"/>
      <c r="J35" s="99"/>
      <c r="K35" s="99"/>
    </row>
    <row customHeight="1" ht="14.25">
      <c r="A36" s="99"/>
      <c r="B36" s="99"/>
      <c r="C36" s="99"/>
      <c r="D36" s="100"/>
      <c r="E36" s="99"/>
      <c r="F36" s="99"/>
      <c r="G36" s="99"/>
      <c r="H36" s="99"/>
      <c r="I36" s="99"/>
      <c r="J36" s="99"/>
      <c r="K36" s="99"/>
    </row>
    <row customHeight="1" ht="14.25">
      <c r="A37" s="99"/>
      <c r="B37" s="99"/>
      <c r="C37" s="99"/>
      <c r="D37" s="100"/>
      <c r="E37" s="99"/>
      <c r="F37" s="99"/>
      <c r="G37" s="99"/>
      <c r="H37" s="99"/>
      <c r="I37" s="99"/>
      <c r="J37" s="99"/>
      <c r="K37" s="99"/>
    </row>
    <row customHeight="1" ht="14.25">
      <c r="A38" s="99"/>
      <c r="B38" s="99"/>
      <c r="C38" s="99"/>
      <c r="D38" s="100"/>
      <c r="E38" s="99"/>
      <c r="F38" s="99"/>
      <c r="G38" s="99"/>
      <c r="H38" s="99"/>
      <c r="I38" s="99"/>
      <c r="J38" s="99"/>
      <c r="K38" s="99"/>
    </row>
    <row customHeight="1" ht="14.25">
      <c r="A39" s="99"/>
      <c r="B39" s="99"/>
      <c r="C39" s="99"/>
      <c r="D39" s="100"/>
      <c r="E39" s="99"/>
      <c r="F39" s="99"/>
      <c r="G39" s="99"/>
      <c r="H39" s="99"/>
      <c r="I39" s="99"/>
      <c r="J39" s="99"/>
      <c r="K39" s="99"/>
    </row>
    <row customHeight="1" ht="14.25">
      <c r="A40" s="99"/>
      <c r="B40" s="99"/>
      <c r="C40" s="99"/>
      <c r="D40" s="100"/>
      <c r="E40" s="99"/>
      <c r="F40" s="99"/>
      <c r="G40" s="99"/>
      <c r="H40" s="99"/>
      <c r="I40" s="99"/>
      <c r="J40" s="99"/>
      <c r="K40" s="99"/>
    </row>
    <row customHeight="1" ht="14.25">
      <c r="A41" s="99"/>
      <c r="B41" s="99"/>
      <c r="C41" s="99"/>
      <c r="D41" s="100"/>
      <c r="E41" s="99"/>
      <c r="F41" s="99"/>
      <c r="G41" s="99"/>
      <c r="H41" s="99"/>
      <c r="I41" s="99"/>
      <c r="J41" s="99"/>
      <c r="K41" s="99"/>
    </row>
    <row customHeight="1" ht="14.25">
      <c r="A42" s="99"/>
      <c r="B42" s="99"/>
      <c r="C42" s="99"/>
      <c r="D42" s="100"/>
      <c r="E42" s="99"/>
      <c r="F42" s="99"/>
      <c r="G42" s="99"/>
      <c r="H42" s="99"/>
      <c r="I42" s="99"/>
      <c r="J42" s="99"/>
      <c r="K42" s="99"/>
    </row>
    <row customHeight="1" ht="14.25">
      <c r="A43" s="99"/>
      <c r="B43" s="99"/>
      <c r="C43" s="99"/>
      <c r="D43" s="100"/>
      <c r="E43" s="99"/>
      <c r="F43" s="99"/>
      <c r="G43" s="99"/>
      <c r="H43" s="99"/>
      <c r="I43" s="99"/>
      <c r="J43" s="99"/>
      <c r="K43" s="99"/>
    </row>
    <row customHeight="1" ht="14.25">
      <c r="A44" s="99"/>
      <c r="B44" s="99"/>
      <c r="C44" s="99"/>
      <c r="D44" s="100"/>
      <c r="E44" s="99"/>
      <c r="F44" s="99"/>
      <c r="G44" s="99"/>
      <c r="H44" s="99"/>
      <c r="I44" s="99"/>
      <c r="J44" s="99"/>
      <c r="K44" s="99"/>
    </row>
    <row customHeight="1" ht="14.25">
      <c r="A45" s="99"/>
      <c r="B45" s="99"/>
      <c r="C45" s="99"/>
      <c r="D45" s="100"/>
      <c r="E45" s="99"/>
      <c r="F45" s="99"/>
      <c r="G45" s="99"/>
      <c r="H45" s="99"/>
      <c r="I45" s="99"/>
      <c r="J45" s="99"/>
      <c r="K45" s="99"/>
    </row>
    <row customHeight="1" ht="14.25">
      <c r="A46" s="99"/>
      <c r="B46" s="99"/>
      <c r="C46" s="99"/>
      <c r="D46" s="100"/>
      <c r="E46" s="99"/>
      <c r="F46" s="99"/>
      <c r="G46" s="99"/>
      <c r="H46" s="99"/>
      <c r="I46" s="99"/>
      <c r="J46" s="99"/>
      <c r="K46" s="99"/>
    </row>
    <row customHeight="1" ht="14.25">
      <c r="A47" s="99"/>
      <c r="B47" s="99"/>
      <c r="C47" s="99"/>
      <c r="D47" s="100"/>
      <c r="E47" s="99"/>
      <c r="F47" s="99"/>
      <c r="G47" s="99"/>
      <c r="H47" s="99"/>
      <c r="I47" s="99"/>
      <c r="J47" s="99"/>
      <c r="K47" s="99"/>
    </row>
    <row customHeight="1" ht="14.25">
      <c r="A48" s="99"/>
      <c r="B48" s="99"/>
      <c r="C48" s="99"/>
      <c r="D48" s="100"/>
      <c r="E48" s="99"/>
      <c r="F48" s="99"/>
      <c r="G48" s="99"/>
      <c r="H48" s="99"/>
      <c r="I48" s="99"/>
      <c r="J48" s="99"/>
      <c r="K48" s="99"/>
    </row>
    <row customHeight="1" ht="14.25">
      <c r="A49" s="99"/>
      <c r="B49" s="99"/>
      <c r="C49" s="99"/>
      <c r="D49" s="100"/>
      <c r="E49" s="99"/>
      <c r="F49" s="99"/>
      <c r="G49" s="99"/>
      <c r="H49" s="99"/>
      <c r="I49" s="99"/>
      <c r="J49" s="99"/>
      <c r="K49" s="99"/>
    </row>
    <row customHeight="1" ht="14.25">
      <c r="A50" s="99"/>
      <c r="B50" s="99"/>
      <c r="C50" s="99"/>
      <c r="D50" s="100"/>
      <c r="E50" s="99"/>
      <c r="F50" s="99"/>
      <c r="G50" s="99"/>
      <c r="H50" s="99"/>
      <c r="I50" s="99"/>
      <c r="J50" s="99"/>
      <c r="K50" s="99"/>
    </row>
    <row customHeight="1" ht="14.25">
      <c r="A51" s="99"/>
      <c r="B51" s="99"/>
      <c r="C51" s="99"/>
      <c r="D51" s="100"/>
      <c r="E51" s="99"/>
      <c r="F51" s="99"/>
      <c r="G51" s="99"/>
      <c r="H51" s="99"/>
      <c r="I51" s="99"/>
      <c r="J51" s="99"/>
      <c r="K51" s="99"/>
    </row>
    <row customHeight="1" ht="14.25">
      <c r="A52" s="99"/>
      <c r="B52" s="99"/>
      <c r="C52" s="99"/>
      <c r="D52" s="100"/>
      <c r="E52" s="99"/>
      <c r="F52" s="99"/>
      <c r="G52" s="99"/>
      <c r="H52" s="99"/>
      <c r="I52" s="99"/>
      <c r="J52" s="99"/>
      <c r="K52" s="99"/>
    </row>
    <row customHeight="1" ht="14.25">
      <c r="A53" s="99"/>
      <c r="B53" s="99"/>
      <c r="C53" s="99"/>
      <c r="D53" s="100"/>
      <c r="E53" s="99"/>
      <c r="F53" s="99"/>
      <c r="G53" s="99"/>
      <c r="H53" s="99"/>
      <c r="I53" s="99"/>
      <c r="J53" s="99"/>
      <c r="K53" s="99"/>
    </row>
    <row customHeight="1" ht="14.25">
      <c r="A54" s="99"/>
      <c r="B54" s="99"/>
      <c r="C54" s="99"/>
      <c r="D54" s="100"/>
      <c r="E54" s="99"/>
      <c r="F54" s="99"/>
      <c r="G54" s="99"/>
      <c r="H54" s="99"/>
      <c r="I54" s="99"/>
      <c r="J54" s="99"/>
      <c r="K54" s="99"/>
    </row>
    <row customHeight="1" ht="14.25">
      <c r="A55" s="99"/>
      <c r="B55" s="99"/>
      <c r="C55" s="99"/>
      <c r="D55" s="100"/>
      <c r="E55" s="99"/>
      <c r="F55" s="99"/>
      <c r="G55" s="99"/>
      <c r="H55" s="99"/>
      <c r="I55" s="99"/>
      <c r="J55" s="99"/>
      <c r="K55" s="99"/>
    </row>
    <row customHeight="1" ht="14.25">
      <c r="A56" s="99"/>
      <c r="B56" s="99"/>
      <c r="C56" s="99"/>
      <c r="D56" s="100"/>
      <c r="E56" s="99"/>
      <c r="F56" s="99"/>
      <c r="G56" s="99"/>
      <c r="H56" s="99"/>
      <c r="I56" s="99"/>
      <c r="J56" s="99"/>
      <c r="K56" s="99"/>
    </row>
    <row customHeight="1" ht="14.25">
      <c r="A57" s="99"/>
      <c r="B57" s="99"/>
      <c r="C57" s="99"/>
      <c r="D57" s="100"/>
      <c r="E57" s="99"/>
      <c r="F57" s="99"/>
      <c r="G57" s="99"/>
      <c r="H57" s="99"/>
      <c r="I57" s="99"/>
      <c r="J57" s="99"/>
      <c r="K57" s="99"/>
    </row>
    <row customHeight="1" ht="14.25">
      <c r="A58" s="99"/>
      <c r="B58" s="99"/>
      <c r="C58" s="99"/>
      <c r="D58" s="100"/>
      <c r="E58" s="99"/>
      <c r="F58" s="99"/>
      <c r="G58" s="99"/>
      <c r="H58" s="99"/>
      <c r="I58" s="99"/>
      <c r="J58" s="99"/>
      <c r="K58" s="99"/>
    </row>
    <row customHeight="1" ht="14.25">
      <c r="A59" s="99"/>
      <c r="B59" s="99"/>
      <c r="C59" s="99"/>
      <c r="D59" s="100"/>
      <c r="E59" s="99"/>
      <c r="F59" s="99"/>
      <c r="G59" s="99"/>
      <c r="H59" s="99"/>
      <c r="I59" s="99"/>
      <c r="J59" s="99"/>
      <c r="K59" s="99"/>
    </row>
    <row customHeight="1" ht="14.25">
      <c r="A60" s="99"/>
      <c r="B60" s="99"/>
      <c r="C60" s="99"/>
      <c r="D60" s="100"/>
      <c r="E60" s="99"/>
      <c r="F60" s="99"/>
      <c r="G60" s="99"/>
      <c r="H60" s="99"/>
      <c r="I60" s="99"/>
      <c r="J60" s="99"/>
      <c r="K60" s="99"/>
    </row>
    <row customHeight="1" ht="14.25">
      <c r="A61" s="99"/>
      <c r="B61" s="99"/>
      <c r="C61" s="99"/>
      <c r="D61" s="100"/>
      <c r="E61" s="99"/>
      <c r="F61" s="99"/>
      <c r="G61" s="99"/>
      <c r="H61" s="99"/>
      <c r="I61" s="99"/>
      <c r="J61" s="99"/>
      <c r="K61" s="99"/>
    </row>
    <row customHeight="1" ht="14.25">
      <c r="A62" s="99"/>
      <c r="B62" s="99"/>
      <c r="C62" s="99"/>
      <c r="D62" s="100"/>
      <c r="E62" s="99"/>
      <c r="F62" s="99"/>
      <c r="G62" s="99"/>
      <c r="H62" s="99"/>
      <c r="I62" s="99"/>
      <c r="J62" s="99"/>
      <c r="K62" s="99"/>
    </row>
    <row customHeight="1" ht="14.25">
      <c r="A63" s="99"/>
      <c r="B63" s="99"/>
      <c r="C63" s="99"/>
      <c r="D63" s="100"/>
      <c r="E63" s="99"/>
      <c r="F63" s="99"/>
      <c r="G63" s="99"/>
      <c r="H63" s="99"/>
      <c r="I63" s="99"/>
      <c r="J63" s="99"/>
      <c r="K63" s="99"/>
    </row>
    <row customHeight="1" ht="14.4525">
      <c r="A64" s="99"/>
      <c r="B64" s="99"/>
      <c r="C64" s="99"/>
      <c r="D64" s="100"/>
      <c r="E64" s="99"/>
      <c r="F64" s="99"/>
      <c r="G64" s="99"/>
      <c r="H64" s="99"/>
      <c r="I64" s="99"/>
      <c r="J64" s="99"/>
      <c r="K64" s="99"/>
    </row>
    <row customHeight="1" ht="14.25">
      <c r="A65" s="99"/>
      <c r="B65" s="99"/>
      <c r="C65" s="99"/>
      <c r="D65" s="100"/>
      <c r="E65" s="99"/>
      <c r="F65" s="99"/>
      <c r="G65" s="99"/>
      <c r="H65" s="99"/>
      <c r="I65" s="99"/>
      <c r="J65" s="99"/>
      <c r="K65" s="99"/>
    </row>
    <row customHeight="1" ht="14.25">
      <c r="A66" s="146">
        <v>1982.015</v>
      </c>
      <c r="B66" s="99"/>
      <c r="C66" s="99"/>
      <c r="D66" s="100"/>
      <c r="E66" s="99"/>
      <c r="F66" s="99"/>
      <c r="G66" s="99"/>
      <c r="H66" s="99"/>
      <c r="I66" s="99"/>
      <c r="J66" s="99"/>
      <c r="K66" s="99"/>
    </row>
    <row customHeight="1" ht="14.25">
      <c r="A67" s="99"/>
      <c r="B67" s="99"/>
      <c r="C67" s="99"/>
      <c r="D67" s="100"/>
      <c r="E67" s="99"/>
      <c r="F67" s="99"/>
      <c r="G67" s="99"/>
      <c r="H67" s="99"/>
      <c r="I67" s="99"/>
      <c r="J67" s="99"/>
      <c r="K67" s="99"/>
    </row>
    <row customHeight="1" ht="14.25">
      <c r="A68" s="146">
        <v>174</v>
      </c>
      <c r="B68" s="99"/>
      <c r="C68" s="99"/>
      <c r="D68" s="100"/>
      <c r="E68" s="99"/>
      <c r="F68" s="99"/>
      <c r="G68" s="99"/>
      <c r="H68" s="99"/>
      <c r="I68" s="99"/>
      <c r="J68" s="99"/>
      <c r="K68" s="99"/>
    </row>
    <row customHeight="1" ht="14.25">
      <c r="A69" s="146">
        <v>699.488</v>
      </c>
      <c r="B69" s="99"/>
      <c r="C69" s="99"/>
      <c r="D69" s="100"/>
      <c r="E69" s="99"/>
      <c r="F69" s="99"/>
      <c r="G69" s="99"/>
      <c r="H69" s="99"/>
      <c r="I69" s="99"/>
      <c r="J69" s="99"/>
      <c r="K69" s="99"/>
    </row>
    <row customHeight="1" ht="14.25">
      <c r="A70" s="99"/>
      <c r="B70" s="99"/>
      <c r="C70" s="99"/>
      <c r="D70" s="100"/>
      <c r="E70" s="99"/>
      <c r="F70" s="99"/>
      <c r="G70" s="99"/>
      <c r="H70" s="99"/>
      <c r="I70" s="99"/>
      <c r="J70" s="99"/>
      <c r="K70" s="99"/>
    </row>
    <row customHeight="1" ht="14.25">
      <c r="A71" s="146">
        <v>667.36</v>
      </c>
      <c r="B71" s="99"/>
      <c r="C71" s="99"/>
      <c r="D71" s="100"/>
      <c r="E71" s="99"/>
      <c r="F71" s="99"/>
      <c r="G71" s="99"/>
      <c r="H71" s="99"/>
      <c r="I71" s="99"/>
      <c r="J71" s="99"/>
      <c r="K71" s="99"/>
    </row>
    <row customHeight="1" ht="14.25">
      <c r="A72" s="146">
        <v>10616.681</v>
      </c>
      <c r="B72" s="99"/>
      <c r="C72" s="99"/>
      <c r="D72" s="100"/>
      <c r="E72" s="99"/>
      <c r="F72" s="99"/>
      <c r="G72" s="99"/>
      <c r="H72" s="99"/>
      <c r="I72" s="99"/>
      <c r="J72" s="99"/>
      <c r="K72" s="99"/>
    </row>
    <row customHeight="1" ht="14.25">
      <c r="A73" s="99"/>
      <c r="B73" s="99"/>
      <c r="C73" s="99"/>
      <c r="D73" s="100"/>
      <c r="E73" s="99"/>
      <c r="F73" s="99"/>
      <c r="G73" s="99"/>
      <c r="H73" s="99"/>
      <c r="I73" s="99"/>
      <c r="J73" s="99"/>
      <c r="K73" s="99"/>
    </row>
    <row customHeight="1" ht="14.25">
      <c r="A74" s="99"/>
      <c r="B74" s="99"/>
      <c r="C74" s="99"/>
      <c r="D74" s="100"/>
      <c r="E74" s="99"/>
      <c r="F74" s="99"/>
      <c r="G74" s="99"/>
      <c r="H74" s="99"/>
      <c r="I74" s="99"/>
      <c r="J74" s="99"/>
      <c r="K74" s="99"/>
    </row>
    <row customHeight="1" ht="14.25">
      <c r="A75" s="99"/>
      <c r="B75" s="99"/>
      <c r="C75" s="99"/>
      <c r="D75" s="100"/>
      <c r="E75" s="99"/>
      <c r="F75" s="99"/>
      <c r="G75" s="99"/>
      <c r="H75" s="99"/>
      <c r="I75" s="99"/>
      <c r="J75" s="99"/>
      <c r="K75" s="99"/>
    </row>
    <row customHeight="1" ht="14.25">
      <c r="A76" s="99"/>
      <c r="B76" s="99"/>
      <c r="C76" s="99"/>
      <c r="D76" s="100"/>
      <c r="E76" s="99"/>
      <c r="F76" s="99"/>
      <c r="G76" s="99"/>
      <c r="H76" s="99"/>
      <c r="I76" s="99"/>
      <c r="J76" s="99"/>
      <c r="K76" s="99"/>
    </row>
    <row customHeight="1" ht="14.25">
      <c r="A77" s="99"/>
      <c r="B77" s="99"/>
      <c r="C77" s="99"/>
      <c r="D77" s="100"/>
      <c r="E77" s="99"/>
      <c r="F77" s="99"/>
      <c r="G77" s="99"/>
      <c r="H77" s="99"/>
      <c r="I77" s="99"/>
      <c r="J77" s="99"/>
      <c r="K77" s="99"/>
    </row>
    <row customHeight="1" ht="14.25">
      <c r="A78" s="99"/>
      <c r="B78" s="99"/>
      <c r="C78" s="99"/>
      <c r="D78" s="100"/>
      <c r="E78" s="99"/>
      <c r="F78" s="99"/>
      <c r="G78" s="99"/>
      <c r="H78" s="99"/>
      <c r="I78" s="99"/>
      <c r="J78" s="99"/>
      <c r="K78" s="146">
        <v>850</v>
      </c>
    </row>
    <row customHeight="1" ht="14.25">
      <c r="A79" s="99"/>
      <c r="B79" s="99"/>
      <c r="C79" s="99"/>
      <c r="D79" s="100"/>
      <c r="E79" s="99"/>
      <c r="F79" s="99"/>
      <c r="G79" s="99"/>
      <c r="H79" s="99"/>
      <c r="I79" s="99"/>
      <c r="J79" s="99"/>
      <c r="K79" s="146">
        <v>0</v>
      </c>
    </row>
    <row customHeight="1" ht="14.25">
      <c r="A80" s="99">
        <f>_xlfn.IFERROR(SUM(K78:K81),"")</f>
        <v>1163.46</v>
      </c>
      <c r="B80" s="99"/>
      <c r="C80" s="99"/>
      <c r="D80" s="100"/>
      <c r="E80" s="99"/>
      <c r="F80" s="99"/>
      <c r="G80" s="99"/>
      <c r="H80" s="99"/>
      <c r="I80" s="99"/>
      <c r="J80" s="99"/>
      <c r="K80" s="146">
        <v>313.46</v>
      </c>
    </row>
    <row customHeight="1" ht="14.25">
      <c r="A81" s="99">
        <f>_xlfn.IFERROR(SUM(K82:K83),"")</f>
        <v>3445.572</v>
      </c>
      <c r="B81" s="99"/>
      <c r="C81" s="99"/>
      <c r="D81" s="100"/>
      <c r="E81" s="99"/>
      <c r="F81" s="99"/>
      <c r="G81" s="99"/>
      <c r="H81" s="99"/>
      <c r="I81" s="99"/>
      <c r="J81" s="99"/>
      <c r="K81" s="146">
        <v>0</v>
      </c>
    </row>
    <row customHeight="1" ht="14.25">
      <c r="A82" s="99"/>
      <c r="B82" s="99"/>
      <c r="C82" s="99"/>
      <c r="D82" s="100"/>
      <c r="E82" s="99"/>
      <c r="F82" s="99"/>
      <c r="G82" s="99"/>
      <c r="H82" s="99"/>
      <c r="I82" s="99"/>
      <c r="J82" s="99"/>
      <c r="K82" s="146">
        <v>1868.95</v>
      </c>
    </row>
    <row customHeight="1" ht="14.25">
      <c r="A83" s="99">
        <f>_xlfn.IFERROR(SUM(K84:K86),"")</f>
        <v>809.3</v>
      </c>
      <c r="B83" s="99"/>
      <c r="C83" s="99"/>
      <c r="D83" s="100"/>
      <c r="E83" s="99"/>
      <c r="F83" s="99"/>
      <c r="G83" s="99"/>
      <c r="H83" s="99"/>
      <c r="I83" s="99"/>
      <c r="J83" s="99"/>
      <c r="K83" s="146">
        <v>1576.622</v>
      </c>
    </row>
    <row customHeight="1" ht="14.25">
      <c r="A84" s="146">
        <v>5770.289</v>
      </c>
      <c r="B84" s="99"/>
      <c r="C84" s="99"/>
      <c r="D84" s="100"/>
      <c r="E84" s="99"/>
      <c r="F84" s="99"/>
      <c r="G84" s="99"/>
      <c r="H84" s="99"/>
      <c r="I84" s="99"/>
      <c r="J84" s="99"/>
      <c r="K84" s="146">
        <v>219.1</v>
      </c>
    </row>
    <row customHeight="1" ht="14.25">
      <c r="A85" s="99"/>
      <c r="B85" s="99"/>
      <c r="C85" s="99"/>
      <c r="D85" s="100"/>
      <c r="E85" s="99"/>
      <c r="F85" s="99"/>
      <c r="G85" s="99"/>
      <c r="H85" s="99"/>
      <c r="I85" s="99"/>
      <c r="J85" s="99"/>
      <c r="K85" s="146">
        <v>219.2</v>
      </c>
    </row>
    <row customHeight="1" ht="14.25">
      <c r="A86" s="99"/>
      <c r="B86" s="99"/>
      <c r="C86" s="99"/>
      <c r="D86" s="100"/>
      <c r="E86" s="99"/>
      <c r="F86" s="99"/>
      <c r="G86" s="99"/>
      <c r="H86" s="99"/>
      <c r="I86" s="99"/>
      <c r="J86" s="99"/>
      <c r="K86" s="146">
        <v>371</v>
      </c>
    </row>
    <row customHeight="1" ht="14.25">
      <c r="A87" s="99"/>
      <c r="B87" s="99"/>
      <c r="C87" s="99"/>
      <c r="D87" s="100"/>
      <c r="E87" s="99"/>
      <c r="F87" s="99"/>
      <c r="G87" s="99"/>
      <c r="H87" s="99"/>
      <c r="I87" s="99"/>
      <c r="J87" s="99"/>
      <c r="K87" s="99"/>
    </row>
    <row customHeight="1" ht="14.25">
      <c r="A88" s="99"/>
      <c r="B88" s="99"/>
      <c r="C88" s="99"/>
      <c r="D88" s="100"/>
      <c r="E88" s="99"/>
      <c r="F88" s="99"/>
      <c r="G88" s="99"/>
      <c r="H88" s="99"/>
      <c r="I88" s="99"/>
      <c r="J88" s="99"/>
      <c r="K88" s="99"/>
    </row>
    <row customHeight="1" ht="14.25">
      <c r="A89" s="146">
        <v>1890.827</v>
      </c>
      <c r="B89" s="99"/>
      <c r="C89" s="99"/>
      <c r="D89" s="100"/>
      <c r="E89" s="99"/>
      <c r="F89" s="99"/>
      <c r="G89" s="99"/>
      <c r="H89" s="99"/>
      <c r="I89" s="99"/>
      <c r="J89" s="99"/>
      <c r="K89" s="99"/>
    </row>
    <row customHeight="1" ht="14.25">
      <c r="A90" s="99"/>
      <c r="B90" s="99"/>
      <c r="C90" s="99"/>
      <c r="D90" s="100"/>
      <c r="E90" s="99"/>
      <c r="F90" s="99"/>
      <c r="G90" s="99"/>
      <c r="H90" s="99"/>
      <c r="I90" s="99"/>
      <c r="J90" s="99"/>
      <c r="K90" s="99"/>
    </row>
    <row customHeight="1" ht="14.25">
      <c r="A91" s="99"/>
      <c r="B91" s="99"/>
      <c r="C91" s="99"/>
      <c r="D91" s="100"/>
      <c r="E91" s="99"/>
      <c r="F91" s="99"/>
      <c r="G91" s="99"/>
      <c r="H91" s="99"/>
      <c r="I91" s="99"/>
      <c r="J91" s="99"/>
      <c r="K91" s="99"/>
    </row>
    <row customHeight="1" ht="14.25">
      <c r="A92" s="99"/>
      <c r="B92" s="99"/>
      <c r="C92" s="99"/>
      <c r="D92" s="100"/>
      <c r="E92" s="99"/>
      <c r="F92" s="99"/>
      <c r="G92" s="99"/>
      <c r="H92" s="99"/>
      <c r="I92" s="99"/>
      <c r="J92" s="99"/>
      <c r="K92" s="99"/>
    </row>
    <row customHeight="1" ht="14.25">
      <c r="A93" s="99"/>
      <c r="B93" s="99"/>
      <c r="C93" s="99"/>
      <c r="D93" s="100"/>
      <c r="E93" s="99"/>
      <c r="F93" s="99"/>
      <c r="G93" s="99"/>
      <c r="H93" s="99"/>
      <c r="I93" s="99"/>
      <c r="J93" s="99"/>
      <c r="K93" s="99"/>
    </row>
    <row customHeight="1" ht="14.25">
      <c r="A94" s="99">
        <f>SUM(B94:B95)</f>
        <v>0</v>
      </c>
      <c r="B94" s="52"/>
      <c r="C94" s="99"/>
      <c r="D94" s="100"/>
      <c r="E94" s="99"/>
      <c r="F94" s="99"/>
      <c r="G94" s="99"/>
      <c r="H94" s="99"/>
      <c r="I94" s="99"/>
      <c r="J94" s="99"/>
      <c r="K94" s="99"/>
    </row>
    <row customHeight="1" ht="14.25">
      <c r="A95" s="99"/>
      <c r="B95" s="53"/>
      <c r="C95" s="99"/>
      <c r="D95" s="100"/>
      <c r="E95" s="99"/>
      <c r="F95" s="99"/>
      <c r="G95" s="99"/>
      <c r="H95" s="99"/>
      <c r="I95" s="99"/>
      <c r="J95" s="99"/>
      <c r="K95" s="99"/>
    </row>
    <row customHeight="1" ht="14.25">
      <c r="A96" s="99"/>
      <c r="B96" s="99"/>
      <c r="C96" s="99"/>
      <c r="D96" s="100"/>
      <c r="E96" s="99"/>
      <c r="F96" s="99"/>
      <c r="G96" s="99"/>
      <c r="H96" s="99"/>
      <c r="I96" s="99"/>
      <c r="J96" s="99"/>
      <c r="K96" s="99"/>
    </row>
    <row customHeight="1" ht="14.25">
      <c r="A97" s="99"/>
      <c r="B97" s="99"/>
      <c r="C97" s="99"/>
      <c r="D97" s="100"/>
      <c r="E97" s="99"/>
      <c r="F97" s="99"/>
      <c r="G97" s="99"/>
      <c r="H97" s="99"/>
      <c r="I97" s="99"/>
      <c r="J97" s="99"/>
      <c r="K97" s="99"/>
    </row>
    <row customHeight="1" ht="14.25">
      <c r="A98" s="99"/>
      <c r="B98" s="99"/>
      <c r="C98" s="99"/>
      <c r="D98" s="100"/>
      <c r="E98" s="99"/>
      <c r="F98" s="99"/>
      <c r="G98" s="99"/>
      <c r="H98" s="99"/>
      <c r="I98" s="99"/>
      <c r="J98" s="99"/>
      <c r="K98" s="99"/>
    </row>
    <row customHeight="1" ht="14.25">
      <c r="A99" s="99"/>
      <c r="B99" s="99"/>
      <c r="C99" s="99"/>
      <c r="D99" s="100"/>
      <c r="E99" s="99"/>
      <c r="F99" s="99"/>
      <c r="G99" s="99"/>
      <c r="H99" s="99"/>
      <c r="I99" s="99"/>
      <c r="J99" s="99"/>
      <c r="K99" s="99"/>
    </row>
    <row customHeight="1" ht="14.25">
      <c r="A100" s="99"/>
      <c r="B100" s="99"/>
      <c r="C100" s="99"/>
      <c r="D100" s="100"/>
      <c r="E100" s="99"/>
      <c r="F100" s="99"/>
      <c r="G100" s="99"/>
      <c r="H100" s="99"/>
      <c r="I100" s="99"/>
      <c r="J100" s="99"/>
      <c r="K100" s="99"/>
    </row>
    <row customHeight="1" ht="14.25">
      <c r="A101" s="99">
        <v>536.32</v>
      </c>
      <c r="B101" s="99"/>
      <c r="C101" s="99"/>
      <c r="D101" s="100"/>
      <c r="E101" s="99"/>
      <c r="F101" s="99"/>
      <c r="G101" s="99"/>
      <c r="H101" s="99"/>
      <c r="I101" s="99"/>
      <c r="J101" s="99"/>
      <c r="K101" s="99"/>
    </row>
    <row customHeight="1" ht="14.25">
      <c r="A102" s="99">
        <v>1002.16928</v>
      </c>
      <c r="B102" s="99"/>
      <c r="C102" s="99"/>
      <c r="D102" s="100"/>
      <c r="E102" s="99"/>
      <c r="F102" s="99"/>
      <c r="G102" s="99"/>
      <c r="H102" s="99"/>
      <c r="I102" s="99"/>
      <c r="J102" s="99"/>
      <c r="K102" s="99"/>
    </row>
    <row customHeight="1" ht="14.25">
      <c r="A103" s="99">
        <v>3457.83072</v>
      </c>
      <c r="B103" s="99"/>
      <c r="C103" s="99"/>
      <c r="D103" s="100"/>
      <c r="E103" s="99"/>
      <c r="F103" s="99"/>
      <c r="G103" s="99"/>
      <c r="H103" s="99"/>
      <c r="I103" s="99"/>
      <c r="J103" s="99"/>
      <c r="K103" s="99"/>
    </row>
    <row customHeight="1" ht="14.25">
      <c r="A104" s="99">
        <v>250.12</v>
      </c>
      <c r="B104" s="99"/>
      <c r="C104" s="99"/>
      <c r="D104" s="100"/>
      <c r="E104" s="99"/>
      <c r="F104" s="99"/>
      <c r="G104" s="99"/>
      <c r="H104" s="99"/>
      <c r="I104" s="99"/>
      <c r="J104" s="99"/>
      <c r="K104" s="99"/>
    </row>
    <row customHeight="1" ht="14.25">
      <c r="A105" s="99">
        <v>686.43624</v>
      </c>
      <c r="B105" s="99"/>
      <c r="C105" s="99"/>
      <c r="D105" s="100"/>
      <c r="E105" s="99"/>
      <c r="F105" s="99"/>
      <c r="G105" s="99"/>
      <c r="H105" s="99"/>
      <c r="I105" s="99"/>
      <c r="J105" s="99"/>
      <c r="K105" s="99"/>
    </row>
    <row customHeight="1" ht="14.25">
      <c r="A106" s="99">
        <v>1063.56376</v>
      </c>
      <c r="B106" s="99"/>
      <c r="C106" s="99"/>
      <c r="D106" s="100"/>
      <c r="E106" s="99"/>
      <c r="F106" s="99"/>
      <c r="G106" s="99"/>
      <c r="H106" s="99"/>
      <c r="I106" s="99"/>
      <c r="J106" s="99"/>
      <c r="K106" s="99"/>
    </row>
    <row customHeight="1" ht="14.25">
      <c r="A107" s="99"/>
      <c r="B107" s="99"/>
      <c r="C107" s="99"/>
      <c r="D107" s="100"/>
      <c r="E107" s="99"/>
      <c r="F107" s="99"/>
      <c r="G107" s="99"/>
      <c r="H107" s="99"/>
      <c r="I107" s="99"/>
      <c r="J107" s="99"/>
      <c r="K107" s="99"/>
    </row>
    <row customHeight="1" ht="14.25">
      <c r="A108" s="99">
        <v>22050.6</v>
      </c>
      <c r="B108" s="99"/>
      <c r="C108" s="99"/>
      <c r="D108" s="100"/>
      <c r="E108" s="99"/>
      <c r="F108" s="99"/>
      <c r="G108" s="99"/>
      <c r="H108" s="99"/>
      <c r="I108" s="99"/>
      <c r="J108" s="99"/>
      <c r="K108" s="99"/>
    </row>
    <row customHeight="1" ht="14.25">
      <c r="A109" s="99">
        <v>0</v>
      </c>
      <c r="B109" s="99"/>
      <c r="C109" s="99"/>
      <c r="D109" s="100"/>
      <c r="E109" s="99"/>
      <c r="F109" s="99"/>
      <c r="G109" s="99"/>
      <c r="H109" s="99"/>
      <c r="I109" s="99"/>
      <c r="J109" s="99"/>
      <c r="K109" s="99"/>
    </row>
    <row customHeight="1" ht="14.25">
      <c r="A110" s="99"/>
      <c r="B110" s="99"/>
      <c r="C110" s="99"/>
      <c r="D110" s="100"/>
      <c r="E110" s="99"/>
      <c r="F110" s="99"/>
      <c r="G110" s="99"/>
      <c r="H110" s="99"/>
      <c r="I110" s="99"/>
      <c r="J110" s="99"/>
      <c r="K110" s="99"/>
    </row>
    <row customHeight="1" ht="14.25">
      <c r="A111" s="99"/>
      <c r="B111" s="99"/>
      <c r="C111" s="99"/>
      <c r="D111" s="100"/>
      <c r="E111" s="99"/>
      <c r="F111" s="99"/>
      <c r="G111" s="99"/>
      <c r="H111" s="99"/>
      <c r="I111" s="99"/>
      <c r="J111" s="99"/>
      <c r="K111" s="99"/>
    </row>
    <row customHeight="1" ht="14.25">
      <c r="A112" s="99"/>
      <c r="B112" s="99"/>
      <c r="C112" s="99"/>
      <c r="D112" s="100"/>
      <c r="E112" s="99"/>
      <c r="F112" s="99"/>
      <c r="G112" s="99"/>
      <c r="H112" s="99"/>
      <c r="I112" s="99"/>
      <c r="J112" s="99"/>
      <c r="K112" s="99"/>
    </row>
    <row customHeight="1" ht="14.25">
      <c r="A113" s="99">
        <v>0</v>
      </c>
      <c r="B113" s="99"/>
      <c r="C113" s="99"/>
      <c r="D113" s="100"/>
      <c r="E113" s="99"/>
      <c r="F113" s="99"/>
      <c r="G113" s="99"/>
      <c r="H113" s="99"/>
      <c r="I113" s="99"/>
      <c r="J113" s="99"/>
      <c r="K113" s="99"/>
    </row>
    <row customHeight="1" ht="14.25">
      <c r="A114" s="99">
        <v>30663</v>
      </c>
      <c r="B114" s="99"/>
      <c r="C114" s="99"/>
      <c r="D114" s="100"/>
      <c r="E114" s="99"/>
      <c r="F114" s="99"/>
      <c r="G114" s="99"/>
      <c r="H114" s="99"/>
      <c r="I114" s="99"/>
      <c r="J114" s="99"/>
      <c r="K114" s="99"/>
    </row>
    <row customHeight="1" ht="14.25">
      <c r="A115" s="99">
        <v>19337</v>
      </c>
      <c r="B115" s="99"/>
      <c r="C115" s="99"/>
      <c r="D115" s="100"/>
      <c r="E115" s="99"/>
      <c r="F115" s="99"/>
      <c r="G115" s="99"/>
      <c r="H115" s="99"/>
      <c r="I115" s="99"/>
      <c r="J115" s="99"/>
      <c r="K115" s="99"/>
    </row>
    <row customHeight="1" ht="14.25">
      <c r="A116" s="99"/>
      <c r="B116" s="99"/>
      <c r="C116" s="99"/>
      <c r="D116" s="100"/>
      <c r="E116" s="99"/>
      <c r="F116" s="99"/>
      <c r="G116" s="99"/>
      <c r="H116" s="99"/>
      <c r="I116" s="99"/>
      <c r="J116" s="99"/>
      <c r="K116" s="99"/>
    </row>
    <row customHeight="1" ht="14.25">
      <c r="A117" s="99">
        <v>1917.6</v>
      </c>
      <c r="B117" s="99"/>
      <c r="C117" s="99"/>
      <c r="D117" s="100"/>
      <c r="E117" s="99"/>
      <c r="F117" s="99"/>
      <c r="G117" s="99"/>
      <c r="H117" s="99"/>
      <c r="I117" s="99"/>
      <c r="J117" s="99"/>
      <c r="K117" s="99"/>
    </row>
    <row customHeight="1" ht="14.25">
      <c r="A118" s="99">
        <v>1082.4</v>
      </c>
      <c r="B118" s="99"/>
      <c r="C118" s="99"/>
      <c r="D118" s="100"/>
      <c r="E118" s="99"/>
      <c r="F118" s="99"/>
      <c r="G118" s="99"/>
      <c r="H118" s="99"/>
      <c r="I118" s="99"/>
      <c r="J118" s="99"/>
      <c r="K118" s="99"/>
    </row>
    <row customHeight="1" ht="14.25">
      <c r="A119" s="99">
        <v>213.54</v>
      </c>
      <c r="B119" s="99"/>
      <c r="C119" s="99"/>
      <c r="D119" s="100"/>
      <c r="E119" s="99"/>
      <c r="F119" s="99"/>
      <c r="G119" s="99"/>
      <c r="H119" s="99"/>
      <c r="I119" s="99"/>
      <c r="J119" s="99"/>
      <c r="K119" s="99"/>
    </row>
    <row customHeight="1" ht="14.25">
      <c r="A120" s="99">
        <v>2512.8</v>
      </c>
      <c r="B120" s="99"/>
      <c r="C120" s="99"/>
      <c r="D120" s="100"/>
      <c r="E120" s="99"/>
      <c r="F120" s="99"/>
      <c r="G120" s="99"/>
      <c r="H120" s="99"/>
      <c r="I120" s="99"/>
      <c r="J120" s="99"/>
      <c r="K120" s="99"/>
    </row>
    <row customHeight="1" ht="14.25">
      <c r="A121" s="99">
        <v>487.2</v>
      </c>
      <c r="B121" s="99"/>
      <c r="C121" s="99"/>
      <c r="D121" s="100"/>
      <c r="E121" s="99"/>
      <c r="F121" s="99"/>
      <c r="G121" s="99"/>
      <c r="H121" s="99"/>
      <c r="I121" s="99"/>
      <c r="J121" s="99"/>
      <c r="K121" s="99"/>
    </row>
    <row customHeight="1" ht="14.25">
      <c r="A122" s="99">
        <v>128.68</v>
      </c>
      <c r="B122" s="99"/>
      <c r="C122" s="99"/>
      <c r="D122" s="100"/>
      <c r="E122" s="99"/>
      <c r="F122" s="99"/>
      <c r="G122" s="99"/>
      <c r="H122" s="99"/>
      <c r="I122" s="99"/>
      <c r="J122" s="99"/>
      <c r="K122" s="99"/>
    </row>
    <row customHeight="1" ht="14.25">
      <c r="A123" s="99">
        <v>3565.92</v>
      </c>
      <c r="B123" s="99"/>
      <c r="C123" s="99"/>
      <c r="D123" s="100"/>
      <c r="E123" s="99"/>
      <c r="F123" s="99"/>
      <c r="G123" s="99"/>
      <c r="H123" s="99"/>
      <c r="I123" s="99"/>
      <c r="J123" s="99"/>
      <c r="K123" s="99"/>
    </row>
    <row customHeight="1" ht="14.25">
      <c r="A124" s="99">
        <v>2934.08</v>
      </c>
      <c r="B124" s="99"/>
      <c r="C124" s="99"/>
      <c r="D124" s="100"/>
      <c r="E124" s="99"/>
      <c r="F124" s="99"/>
      <c r="G124" s="99"/>
      <c r="H124" s="99"/>
      <c r="I124" s="99"/>
      <c r="J124" s="99"/>
      <c r="K124" s="99"/>
    </row>
    <row customHeight="1" ht="14.25">
      <c r="A125" s="99"/>
      <c r="B125" s="99"/>
      <c r="C125" s="99"/>
      <c r="D125" s="100"/>
      <c r="E125" s="99"/>
      <c r="F125" s="99"/>
      <c r="G125" s="99"/>
      <c r="H125" s="99"/>
      <c r="I125" s="99"/>
      <c r="J125" s="99"/>
      <c r="K125" s="99"/>
    </row>
    <row customHeight="1" ht="14.25">
      <c r="A126" s="99"/>
      <c r="B126" s="99"/>
      <c r="C126" s="99"/>
      <c r="D126" s="100"/>
      <c r="E126" s="99"/>
      <c r="F126" s="99"/>
      <c r="G126" s="99"/>
      <c r="H126" s="99"/>
      <c r="I126" s="99"/>
      <c r="J126" s="99"/>
      <c r="K126" s="99"/>
    </row>
    <row customHeight="1" ht="14.25">
      <c r="A127" s="99">
        <v>4493.02</v>
      </c>
      <c r="B127" s="99"/>
      <c r="C127" s="99"/>
      <c r="D127" s="100"/>
      <c r="E127" s="99"/>
      <c r="F127" s="99"/>
      <c r="G127" s="99"/>
      <c r="H127" s="99"/>
      <c r="I127" s="99"/>
      <c r="J127" s="99"/>
      <c r="K127" s="99"/>
    </row>
    <row customHeight="1" ht="14.25">
      <c r="A128" s="99">
        <v>5506.98</v>
      </c>
      <c r="B128" s="99"/>
      <c r="C128" s="99"/>
      <c r="D128" s="100"/>
      <c r="E128" s="99"/>
      <c r="F128" s="99"/>
      <c r="G128" s="99"/>
      <c r="H128" s="99"/>
      <c r="I128" s="99"/>
      <c r="J128" s="99"/>
      <c r="K128" s="99"/>
    </row>
    <row customHeight="1" ht="14.25">
      <c r="A129" s="99" t="s">
        <v>6</v>
      </c>
      <c r="B129" s="99"/>
      <c r="C129" s="99"/>
      <c r="D129" s="100"/>
      <c r="E129" s="99"/>
      <c r="F129" s="99"/>
      <c r="G129" s="99"/>
      <c r="H129" s="99"/>
      <c r="I129" s="99"/>
      <c r="J129" s="99"/>
      <c r="K129" s="99"/>
    </row>
    <row customHeight="1" ht="14.25">
      <c r="A130" s="99">
        <v>1056</v>
      </c>
      <c r="B130" s="99"/>
      <c r="C130" s="99"/>
      <c r="D130" s="100"/>
      <c r="E130" s="99"/>
      <c r="F130" s="99"/>
      <c r="G130" s="99"/>
      <c r="H130" s="99"/>
      <c r="I130" s="99"/>
      <c r="J130" s="99"/>
      <c r="K130" s="99"/>
    </row>
    <row customHeight="1" ht="14.25">
      <c r="A131" s="99">
        <v>4528</v>
      </c>
      <c r="B131" s="99"/>
      <c r="C131" s="99"/>
      <c r="D131" s="100"/>
      <c r="E131" s="99"/>
      <c r="F131" s="99"/>
      <c r="G131" s="99"/>
      <c r="H131" s="99"/>
      <c r="I131" s="99"/>
      <c r="J131" s="99"/>
      <c r="K131" s="99"/>
    </row>
    <row customHeight="1" ht="14.25">
      <c r="A132" s="99">
        <v>272</v>
      </c>
      <c r="B132" s="99"/>
      <c r="C132" s="99"/>
      <c r="D132" s="100"/>
      <c r="E132" s="99"/>
      <c r="F132" s="99"/>
      <c r="G132" s="99"/>
      <c r="H132" s="99"/>
      <c r="I132" s="99"/>
      <c r="J132" s="99"/>
      <c r="K132" s="99"/>
    </row>
    <row customHeight="1" ht="14.25">
      <c r="A133" s="99">
        <v>225</v>
      </c>
      <c r="B133" s="99"/>
      <c r="C133" s="99"/>
      <c r="D133" s="100"/>
      <c r="E133" s="99"/>
      <c r="F133" s="99"/>
      <c r="G133" s="99"/>
      <c r="H133" s="99"/>
      <c r="I133" s="99"/>
      <c r="J133" s="99"/>
      <c r="K133" s="99"/>
    </row>
    <row customHeight="1" ht="14.25">
      <c r="A134" s="99">
        <v>292</v>
      </c>
      <c r="B134" s="99"/>
      <c r="C134" s="99"/>
      <c r="D134" s="100"/>
      <c r="E134" s="99"/>
      <c r="F134" s="99"/>
      <c r="G134" s="99"/>
      <c r="H134" s="99"/>
      <c r="I134" s="99"/>
      <c r="J134" s="99"/>
      <c r="K134" s="99"/>
    </row>
    <row customHeight="1" ht="14.25">
      <c r="A135" s="99">
        <v>1308</v>
      </c>
      <c r="B135" s="99"/>
      <c r="C135" s="99"/>
      <c r="D135" s="100"/>
      <c r="E135" s="99"/>
      <c r="F135" s="99"/>
      <c r="G135" s="99"/>
      <c r="H135" s="99"/>
      <c r="I135" s="99"/>
      <c r="J135" s="99"/>
      <c r="K135" s="99"/>
    </row>
    <row customHeight="1" ht="14.25">
      <c r="A136" s="99">
        <v>2963</v>
      </c>
      <c r="B136" s="99"/>
      <c r="C136" s="99"/>
      <c r="D136" s="100"/>
      <c r="E136" s="99"/>
      <c r="F136" s="99"/>
      <c r="G136" s="99"/>
      <c r="H136" s="99"/>
      <c r="I136" s="99"/>
      <c r="J136" s="99"/>
      <c r="K136" s="99"/>
    </row>
    <row customHeight="1" ht="14.25">
      <c r="A137" s="99">
        <v>11849</v>
      </c>
      <c r="B137" s="99"/>
      <c r="C137" s="99"/>
      <c r="D137" s="100"/>
      <c r="E137" s="99"/>
      <c r="F137" s="99"/>
      <c r="G137" s="99"/>
      <c r="H137" s="99"/>
      <c r="I137" s="99"/>
      <c r="J137" s="99"/>
      <c r="K137" s="99"/>
    </row>
    <row customHeight="1" ht="14.25">
      <c r="A138" s="99">
        <v>2226</v>
      </c>
      <c r="B138" s="99"/>
      <c r="C138" s="99"/>
      <c r="D138" s="100"/>
      <c r="E138" s="99"/>
      <c r="F138" s="99"/>
      <c r="G138" s="99"/>
      <c r="H138" s="99"/>
      <c r="I138" s="99"/>
      <c r="J138" s="99"/>
      <c r="K138" s="99"/>
    </row>
    <row customHeight="1" ht="14.25">
      <c r="A139" s="99">
        <v>64</v>
      </c>
      <c r="B139" s="99"/>
      <c r="C139" s="99"/>
      <c r="D139" s="100"/>
      <c r="E139" s="99"/>
      <c r="F139" s="99"/>
      <c r="G139" s="99"/>
      <c r="H139" s="99"/>
      <c r="I139" s="99"/>
      <c r="J139" s="99"/>
      <c r="K139" s="99"/>
    </row>
    <row customHeight="1" ht="14.25">
      <c r="A140" s="99">
        <v>1156</v>
      </c>
      <c r="B140" s="99"/>
      <c r="C140" s="99"/>
      <c r="D140" s="100"/>
      <c r="E140" s="99"/>
      <c r="F140" s="99"/>
      <c r="G140" s="99"/>
      <c r="H140" s="99"/>
      <c r="I140" s="99"/>
      <c r="J140" s="99"/>
      <c r="K140" s="99"/>
    </row>
    <row customHeight="1" ht="14.25">
      <c r="A141" s="99"/>
      <c r="B141" s="99"/>
      <c r="C141" s="99"/>
      <c r="D141" s="100"/>
      <c r="E141" s="99"/>
      <c r="F141" s="99"/>
      <c r="G141" s="99"/>
      <c r="H141" s="99"/>
      <c r="I141" s="99"/>
      <c r="J141" s="99"/>
      <c r="K141" s="99"/>
    </row>
    <row customHeight="1" ht="14.25">
      <c r="A142" s="99">
        <v>39858</v>
      </c>
      <c r="B142" s="99"/>
      <c r="C142" s="99"/>
      <c r="D142" s="100"/>
      <c r="E142" s="99"/>
      <c r="F142" s="99"/>
      <c r="G142" s="99"/>
      <c r="H142" s="99"/>
      <c r="I142" s="99"/>
      <c r="J142" s="99"/>
      <c r="K142" s="99"/>
    </row>
    <row customHeight="1" ht="14.25">
      <c r="A143" s="99">
        <v>35569</v>
      </c>
      <c r="B143" s="99"/>
      <c r="C143" s="99"/>
      <c r="D143" s="100"/>
      <c r="E143" s="99"/>
      <c r="F143" s="99"/>
      <c r="G143" s="99"/>
      <c r="H143" s="99"/>
      <c r="I143" s="99"/>
      <c r="J143" s="99"/>
      <c r="K143" s="99"/>
    </row>
    <row customHeight="1" ht="14.25">
      <c r="A144" s="99">
        <v>850</v>
      </c>
      <c r="B144" s="99"/>
      <c r="C144" s="99"/>
      <c r="D144" s="100"/>
      <c r="E144" s="99"/>
      <c r="F144" s="99"/>
      <c r="G144" s="99"/>
      <c r="H144" s="99"/>
      <c r="I144" s="99"/>
      <c r="J144" s="99"/>
      <c r="K144" s="99"/>
    </row>
    <row customHeight="1" ht="14.25">
      <c r="A145" s="99">
        <v>3472</v>
      </c>
      <c r="B145" s="99"/>
      <c r="C145" s="99"/>
      <c r="D145" s="100"/>
      <c r="E145" s="99"/>
      <c r="F145" s="99"/>
      <c r="G145" s="99"/>
      <c r="H145" s="99"/>
      <c r="I145" s="99"/>
      <c r="J145" s="99"/>
      <c r="K145" s="99"/>
    </row>
    <row customHeight="1" ht="14.25">
      <c r="A146" s="99">
        <v>930</v>
      </c>
      <c r="B146" s="99"/>
      <c r="C146" s="99"/>
      <c r="D146" s="100"/>
      <c r="E146" s="99"/>
      <c r="F146" s="99"/>
      <c r="G146" s="99"/>
      <c r="H146" s="99"/>
      <c r="I146" s="99"/>
      <c r="J146" s="99"/>
      <c r="K146" s="99"/>
    </row>
    <row customHeight="1" ht="14.25">
      <c r="A147" s="99">
        <v>371</v>
      </c>
      <c r="B147" s="99"/>
      <c r="C147" s="99"/>
      <c r="D147" s="100"/>
      <c r="E147" s="99"/>
      <c r="F147" s="99"/>
      <c r="G147" s="99"/>
      <c r="H147" s="99"/>
      <c r="I147" s="99"/>
      <c r="J147" s="99"/>
      <c r="K147" s="99"/>
    </row>
    <row customHeight="1" ht="14.25">
      <c r="A148" s="99">
        <v>5270</v>
      </c>
      <c r="B148" s="99"/>
      <c r="C148" s="99"/>
      <c r="D148" s="100"/>
      <c r="E148" s="99"/>
      <c r="F148" s="99"/>
      <c r="G148" s="99"/>
      <c r="H148" s="99"/>
      <c r="I148" s="99"/>
      <c r="J148" s="99"/>
      <c r="K148" s="99"/>
    </row>
    <row customHeight="1" ht="14.25">
      <c r="A149" s="99">
        <v>371</v>
      </c>
      <c r="B149" s="99"/>
      <c r="C149" s="99"/>
      <c r="D149" s="100"/>
      <c r="E149" s="99"/>
      <c r="F149" s="99"/>
      <c r="G149" s="99"/>
      <c r="H149" s="99"/>
      <c r="I149" s="99"/>
      <c r="J149" s="99"/>
      <c r="K149" s="99"/>
    </row>
    <row customHeight="1" ht="14.25">
      <c r="A150" s="99">
        <v>0</v>
      </c>
      <c r="B150" s="99"/>
      <c r="C150" s="99"/>
      <c r="D150" s="100"/>
      <c r="E150" s="99"/>
      <c r="F150" s="99"/>
      <c r="G150" s="99"/>
      <c r="H150" s="99"/>
      <c r="I150" s="99"/>
      <c r="J150" s="99"/>
      <c r="K150" s="99"/>
    </row>
    <row customHeight="1" ht="14.25">
      <c r="A151" s="99">
        <v>3222</v>
      </c>
      <c r="B151" s="99"/>
      <c r="C151" s="99"/>
      <c r="D151" s="100"/>
      <c r="E151" s="99"/>
      <c r="F151" s="99"/>
      <c r="G151" s="99"/>
      <c r="H151" s="99"/>
      <c r="I151" s="99"/>
      <c r="J151" s="99"/>
      <c r="K151" s="99"/>
    </row>
    <row customHeight="1" ht="14.25">
      <c r="A152" s="99">
        <v>28</v>
      </c>
      <c r="B152" s="99"/>
      <c r="C152" s="99"/>
      <c r="D152" s="100"/>
      <c r="E152" s="99"/>
      <c r="F152" s="99"/>
      <c r="G152" s="99"/>
      <c r="H152" s="99"/>
      <c r="I152" s="99"/>
      <c r="J152" s="99"/>
      <c r="K152" s="99"/>
    </row>
    <row customHeight="1" ht="14.25">
      <c r="A153" s="99">
        <v>733</v>
      </c>
      <c r="B153" s="99"/>
      <c r="C153" s="99"/>
      <c r="D153" s="100"/>
      <c r="E153" s="99"/>
      <c r="F153" s="99"/>
      <c r="G153" s="99"/>
      <c r="H153" s="99"/>
      <c r="I153" s="99"/>
      <c r="J153" s="99"/>
      <c r="K153" s="99"/>
    </row>
    <row customHeight="1" ht="14.25">
      <c r="A154" s="99">
        <v>867</v>
      </c>
      <c r="B154" s="99"/>
      <c r="C154" s="99"/>
      <c r="D154" s="100"/>
      <c r="E154" s="99"/>
      <c r="F154" s="99"/>
      <c r="G154" s="99"/>
      <c r="H154" s="99"/>
      <c r="I154" s="99"/>
      <c r="J154" s="99"/>
      <c r="K154" s="99"/>
    </row>
    <row customHeight="1" ht="14.25">
      <c r="A155" s="99">
        <v>1627</v>
      </c>
      <c r="B155" s="99"/>
      <c r="C155" s="99"/>
      <c r="D155" s="100"/>
      <c r="E155" s="99"/>
      <c r="F155" s="99"/>
      <c r="G155" s="99"/>
      <c r="H155" s="99"/>
      <c r="I155" s="99"/>
      <c r="J155" s="99"/>
      <c r="K155" s="99"/>
    </row>
    <row customHeight="1" ht="14.25">
      <c r="A156" s="99">
        <v>3173</v>
      </c>
      <c r="B156" s="99"/>
      <c r="C156" s="99"/>
      <c r="D156" s="100"/>
      <c r="E156" s="99"/>
      <c r="F156" s="99"/>
      <c r="G156" s="99"/>
      <c r="H156" s="99"/>
      <c r="I156" s="99"/>
      <c r="J156" s="99"/>
      <c r="K156" s="99"/>
    </row>
    <row customHeight="1" ht="14.25">
      <c r="A157" s="99" t="s">
        <v>8</v>
      </c>
      <c r="B157" s="99"/>
      <c r="C157" s="99"/>
      <c r="D157" s="100"/>
      <c r="E157" s="99"/>
      <c r="F157" s="99"/>
      <c r="G157" s="99"/>
      <c r="H157" s="99"/>
      <c r="I157" s="99"/>
      <c r="J157" s="99"/>
      <c r="K157" s="99"/>
    </row>
    <row customHeight="1" ht="14.25">
      <c r="A158" s="99">
        <v>536.32</v>
      </c>
      <c r="B158" s="99"/>
      <c r="C158" s="99"/>
      <c r="D158" s="100"/>
      <c r="E158" s="99"/>
      <c r="F158" s="99"/>
      <c r="G158" s="99"/>
      <c r="H158" s="99"/>
      <c r="I158" s="99"/>
      <c r="J158" s="99"/>
      <c r="K158" s="99"/>
    </row>
    <row customHeight="1" ht="14.25">
      <c r="A159" s="99">
        <v>1002.16928</v>
      </c>
      <c r="B159" s="99"/>
      <c r="C159" s="99"/>
      <c r="D159" s="100"/>
      <c r="E159" s="99"/>
      <c r="F159" s="99"/>
      <c r="G159" s="99"/>
      <c r="H159" s="99"/>
      <c r="I159" s="99"/>
      <c r="J159" s="99"/>
      <c r="K159" s="99"/>
    </row>
    <row customHeight="1" ht="14.25">
      <c r="A160" s="99">
        <v>3457.83072</v>
      </c>
      <c r="B160" s="99"/>
      <c r="C160" s="99"/>
      <c r="D160" s="100"/>
      <c r="E160" s="99"/>
      <c r="F160" s="99"/>
      <c r="G160" s="99"/>
      <c r="H160" s="99"/>
      <c r="I160" s="99"/>
      <c r="J160" s="99"/>
      <c r="K160" s="99"/>
    </row>
    <row customHeight="1" ht="14.25">
      <c r="A161" s="99">
        <v>250.12</v>
      </c>
      <c r="B161" s="99"/>
      <c r="C161" s="99"/>
      <c r="D161" s="100"/>
      <c r="E161" s="99"/>
      <c r="F161" s="99"/>
      <c r="G161" s="99"/>
      <c r="H161" s="99"/>
      <c r="I161" s="99"/>
      <c r="J161" s="99"/>
      <c r="K161" s="99"/>
    </row>
    <row customHeight="1" ht="14.25">
      <c r="A162" s="99">
        <v>686.43624</v>
      </c>
      <c r="B162" s="99"/>
      <c r="C162" s="99"/>
      <c r="D162" s="100"/>
      <c r="E162" s="99"/>
      <c r="F162" s="99"/>
      <c r="G162" s="99"/>
      <c r="H162" s="99"/>
      <c r="I162" s="99"/>
      <c r="J162" s="99"/>
      <c r="K162" s="99"/>
    </row>
    <row customHeight="1" ht="14.25">
      <c r="A163" s="99">
        <v>1063.56376</v>
      </c>
      <c r="B163" s="99"/>
      <c r="C163" s="99"/>
      <c r="D163" s="100"/>
      <c r="E163" s="99"/>
      <c r="F163" s="99"/>
      <c r="G163" s="99"/>
      <c r="H163" s="99"/>
      <c r="I163" s="99"/>
      <c r="J163" s="99"/>
      <c r="K163" s="99"/>
    </row>
    <row customHeight="1" ht="14.25">
      <c r="A164" s="99">
        <v>353</v>
      </c>
      <c r="B164" s="99"/>
      <c r="C164" s="99"/>
      <c r="D164" s="100"/>
      <c r="E164" s="99"/>
      <c r="F164" s="99"/>
      <c r="G164" s="99"/>
      <c r="H164" s="99"/>
      <c r="I164" s="99"/>
      <c r="J164" s="99"/>
      <c r="K164" s="99"/>
    </row>
    <row customHeight="1" ht="14.25">
      <c r="A165" s="99">
        <v>22050.6</v>
      </c>
      <c r="B165" s="99"/>
      <c r="C165" s="99"/>
      <c r="D165" s="100"/>
      <c r="E165" s="99"/>
      <c r="F165" s="99"/>
      <c r="G165" s="99"/>
      <c r="H165" s="99"/>
      <c r="I165" s="99"/>
      <c r="J165" s="99"/>
      <c r="K165" s="99"/>
    </row>
    <row customHeight="1" ht="14.25">
      <c r="A166" s="99">
        <v>0</v>
      </c>
      <c r="B166" s="99"/>
      <c r="C166" s="99"/>
      <c r="D166" s="100"/>
      <c r="E166" s="99"/>
      <c r="F166" s="99"/>
      <c r="G166" s="99"/>
      <c r="H166" s="99"/>
      <c r="I166" s="99"/>
      <c r="J166" s="99"/>
      <c r="K166" s="99"/>
    </row>
    <row customHeight="1" ht="14.25">
      <c r="A167" s="99">
        <v>2432</v>
      </c>
      <c r="B167" s="99"/>
      <c r="C167" s="99"/>
      <c r="D167" s="100"/>
      <c r="E167" s="99"/>
      <c r="F167" s="99"/>
      <c r="G167" s="99"/>
      <c r="H167" s="99"/>
      <c r="I167" s="99"/>
      <c r="J167" s="99"/>
      <c r="K167" s="99"/>
    </row>
    <row customHeight="1" ht="14.25">
      <c r="A168" s="99">
        <v>30663</v>
      </c>
      <c r="B168" s="99"/>
      <c r="C168" s="99"/>
      <c r="D168" s="100"/>
      <c r="E168" s="99"/>
      <c r="F168" s="99"/>
      <c r="G168" s="99"/>
      <c r="H168" s="99"/>
      <c r="I168" s="99"/>
      <c r="J168" s="99"/>
      <c r="K168" s="99"/>
    </row>
    <row customHeight="1" ht="14.25">
      <c r="A169" s="99">
        <v>19337</v>
      </c>
      <c r="B169" s="99"/>
      <c r="C169" s="99"/>
      <c r="D169" s="100"/>
      <c r="E169" s="99"/>
      <c r="F169" s="99"/>
      <c r="G169" s="99"/>
      <c r="H169" s="99"/>
      <c r="I169" s="99"/>
      <c r="J169" s="99"/>
      <c r="K169" s="99"/>
    </row>
    <row customHeight="1" ht="14.25">
      <c r="A170" s="99">
        <v>0</v>
      </c>
      <c r="B170" s="99"/>
      <c r="C170" s="99"/>
      <c r="D170" s="100"/>
      <c r="E170" s="99"/>
      <c r="F170" s="99"/>
      <c r="G170" s="99"/>
      <c r="H170" s="99"/>
      <c r="I170" s="99"/>
      <c r="J170" s="99"/>
      <c r="K170" s="99"/>
    </row>
    <row customHeight="1" ht="14.25">
      <c r="A171" s="99">
        <v>1917.6</v>
      </c>
      <c r="B171" s="99"/>
      <c r="C171" s="99"/>
      <c r="D171" s="100"/>
      <c r="E171" s="99"/>
      <c r="F171" s="99"/>
      <c r="G171" s="99"/>
      <c r="H171" s="99"/>
      <c r="I171" s="99"/>
      <c r="J171" s="99"/>
      <c r="K171" s="99"/>
    </row>
    <row customHeight="1" ht="14.25">
      <c r="A172" s="99">
        <v>293</v>
      </c>
      <c r="B172" s="99"/>
      <c r="C172" s="99"/>
      <c r="D172" s="100"/>
      <c r="E172" s="99"/>
      <c r="F172" s="99"/>
      <c r="G172" s="99"/>
      <c r="H172" s="99"/>
      <c r="I172" s="99"/>
      <c r="J172" s="99"/>
      <c r="K172" s="99"/>
    </row>
    <row customHeight="1" ht="14.25">
      <c r="A173" s="99">
        <v>213.54</v>
      </c>
      <c r="B173" s="99"/>
      <c r="C173" s="99"/>
      <c r="D173" s="100"/>
      <c r="E173" s="99"/>
      <c r="F173" s="99"/>
      <c r="G173" s="99"/>
      <c r="H173" s="99"/>
      <c r="I173" s="99"/>
      <c r="J173" s="99"/>
      <c r="K173" s="99"/>
    </row>
    <row customHeight="1" ht="14.25">
      <c r="A174" s="99">
        <v>2512.8</v>
      </c>
      <c r="B174" s="99"/>
      <c r="C174" s="99"/>
      <c r="D174" s="100"/>
      <c r="E174" s="99"/>
      <c r="F174" s="99"/>
      <c r="G174" s="99"/>
      <c r="H174" s="99"/>
      <c r="I174" s="99"/>
      <c r="J174" s="99"/>
      <c r="K174" s="99"/>
    </row>
    <row customHeight="1" ht="14.25">
      <c r="A175" s="99">
        <v>133</v>
      </c>
      <c r="B175" s="99"/>
      <c r="C175" s="99"/>
      <c r="D175" s="100"/>
      <c r="E175" s="99"/>
      <c r="F175" s="99"/>
      <c r="G175" s="99"/>
      <c r="H175" s="99"/>
      <c r="I175" s="99"/>
      <c r="J175" s="99"/>
      <c r="K175" s="99"/>
    </row>
    <row customHeight="1" ht="14.25">
      <c r="A176" s="99">
        <v>128.68</v>
      </c>
      <c r="B176" s="99"/>
      <c r="C176" s="99"/>
      <c r="D176" s="100"/>
      <c r="E176" s="99"/>
      <c r="F176" s="99"/>
      <c r="G176" s="99"/>
      <c r="H176" s="99"/>
      <c r="I176" s="99"/>
      <c r="J176" s="99"/>
      <c r="K176" s="99"/>
    </row>
    <row customHeight="1" ht="14.25">
      <c r="A177" s="99">
        <v>3565.92</v>
      </c>
      <c r="B177" s="99"/>
      <c r="C177" s="99"/>
      <c r="D177" s="100"/>
      <c r="E177" s="99"/>
      <c r="F177" s="99"/>
      <c r="G177" s="99"/>
      <c r="H177" s="99"/>
      <c r="I177" s="99"/>
      <c r="J177" s="99"/>
      <c r="K177" s="99"/>
    </row>
    <row customHeight="1" ht="14.25">
      <c r="A178" s="99"/>
      <c r="B178" s="99"/>
      <c r="C178" s="99"/>
      <c r="D178" s="100"/>
      <c r="E178" s="99"/>
      <c r="F178" s="99"/>
      <c r="G178" s="99"/>
      <c r="H178" s="99"/>
      <c r="I178" s="99"/>
      <c r="J178" s="99"/>
      <c r="K178" s="99"/>
    </row>
    <row customHeight="1" ht="14.25">
      <c r="A179" s="99"/>
      <c r="B179" s="99"/>
      <c r="C179" s="99"/>
      <c r="D179" s="100"/>
      <c r="E179" s="99"/>
      <c r="F179" s="99"/>
      <c r="G179" s="99"/>
      <c r="H179" s="99"/>
      <c r="I179" s="99"/>
      <c r="J179" s="99"/>
      <c r="K179" s="99"/>
    </row>
    <row customHeight="1" ht="14.25">
      <c r="A180" s="99"/>
      <c r="B180" s="99"/>
      <c r="C180" s="99"/>
      <c r="D180" s="100"/>
      <c r="E180" s="99"/>
      <c r="F180" s="99"/>
      <c r="G180" s="99"/>
      <c r="H180" s="99"/>
      <c r="I180" s="99"/>
      <c r="J180" s="99"/>
      <c r="K180" s="99"/>
    </row>
    <row customHeight="1" ht="14.25">
      <c r="A181" s="99">
        <v>4493.02</v>
      </c>
      <c r="B181" s="99"/>
      <c r="C181" s="99"/>
      <c r="D181" s="100"/>
      <c r="E181" s="99"/>
      <c r="F181" s="99"/>
      <c r="G181" s="99"/>
      <c r="H181" s="99"/>
      <c r="I181" s="99"/>
      <c r="J181" s="99"/>
      <c r="K181" s="99"/>
    </row>
    <row customHeight="1" ht="14.25">
      <c r="A182" s="99">
        <v>5506.98</v>
      </c>
      <c r="B182" s="99"/>
      <c r="C182" s="99"/>
      <c r="D182" s="100"/>
      <c r="E182" s="99"/>
      <c r="F182" s="99"/>
      <c r="G182" s="99"/>
      <c r="H182" s="99"/>
      <c r="I182" s="99"/>
      <c r="J182" s="99"/>
      <c r="K182" s="99"/>
    </row>
  </sheetData>
  <pageMargins left="0.75" right="0.75" top="1.00" bottom="1.00" header="0.50" footer="0.5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取值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王高峰</cp:lastModifiedBy>
  <dcterms:created xsi:type="dcterms:W3CDTF">2020-08-07T13:38:00Z</dcterms:created>
  <dcterms:modified xsi:type="dcterms:W3CDTF">2025-07-24T14:07:52Z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2052-12.1.0.22215</vt:lpwstr>
  </property>
  <property fmtid="{D5CDD505-2E9C-101B-9397-08002B2CF9AE}" pid="3" name="ICV">
    <vt:lpwstr>AE1C8950043B4191B55BA402D26EE30F</vt:lpwstr>
  </property>
  <property fmtid="{D5CDD505-2E9C-101B-9397-08002B2CF9AE}" pid="4" name="KSOReadingLayout">
    <vt:bool>false</vt:bool>
  </property>
</Properties>
</file>