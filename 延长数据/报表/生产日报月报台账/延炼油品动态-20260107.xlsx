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油品动态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宋体"/>
            <family val="2"/>
          </rPr>
          <t>#Input("延炼_油品动态_6101_油尺",":key{{dw}}")</t>
        </r>
      </text>
    </comment>
    <comment ref="F5" authorId="0">
      <text>
        <r>
          <rPr>
            <b/>
            <sz val="9"/>
            <color indexed="81"/>
            <rFont val="宋体"/>
            <family val="2"/>
          </rPr>
          <t>#Input("延炼_油品动态_6101_油量",":key{{dw}}")</t>
        </r>
      </text>
    </comment>
    <comment ref="G5" authorId="0">
      <text>
        <r>
          <rPr>
            <b/>
            <sz val="9"/>
            <color indexed="81"/>
            <rFont val="宋体"/>
            <family val="2"/>
          </rPr>
          <t>#Input("延炼_油品动态_6101_空量",":key{{dw}}",":read")</t>
        </r>
      </text>
    </comment>
    <comment ref="K5" authorId="0">
      <text>
        <r>
          <rPr>
            <b/>
            <sz val="9"/>
            <color indexed="81"/>
            <rFont val="宋体"/>
            <family val="2"/>
          </rPr>
          <t>#Input("延炼_油品动态_6201_油尺",":key{{dw}}")</t>
        </r>
      </text>
    </comment>
    <comment ref="L5" authorId="0">
      <text>
        <r>
          <rPr>
            <b/>
            <sz val="9"/>
            <color indexed="81"/>
            <rFont val="宋体"/>
            <family val="2"/>
          </rPr>
          <t>#Input("延炼_油品动态_6201_油量",":key{{dw}}",":read")</t>
        </r>
      </text>
    </comment>
    <comment ref="M5" authorId="0">
      <text>
        <r>
          <rPr>
            <b/>
            <sz val="9"/>
            <color indexed="81"/>
            <rFont val="宋体"/>
            <family val="2"/>
          </rPr>
          <t>#Input("延炼_油品动态_6201_空量",":key{{dw}}",":read")</t>
        </r>
      </text>
    </comment>
    <comment ref="E6" authorId="0">
      <text>
        <r>
          <rPr>
            <b/>
            <sz val="9"/>
            <color indexed="81"/>
            <rFont val="宋体"/>
            <family val="2"/>
          </rPr>
          <t>#Input("延炼_油品动态_6102_油尺",":key{{dw}}")</t>
        </r>
      </text>
    </comment>
    <comment ref="F6" authorId="0">
      <text>
        <r>
          <rPr>
            <b/>
            <sz val="9"/>
            <color indexed="81"/>
            <rFont val="宋体"/>
            <family val="2"/>
          </rPr>
          <t>#Input("延炼_油品动态_6102_油量",":key{{dw}}",":read")</t>
        </r>
      </text>
    </comment>
    <comment ref="G6" authorId="0">
      <text>
        <r>
          <rPr>
            <b/>
            <sz val="9"/>
            <color indexed="81"/>
            <rFont val="宋体"/>
            <family val="2"/>
          </rPr>
          <t>#Input("延炼_油品动态_6102_空量",":key{{dw}}",":read")</t>
        </r>
      </text>
    </comment>
    <comment ref="K6" authorId="0">
      <text>
        <r>
          <rPr>
            <b/>
            <sz val="9"/>
            <color indexed="81"/>
            <rFont val="宋体"/>
            <family val="2"/>
          </rPr>
          <t>#Input("延炼_油品动态_6202_油尺",":key{{dw}}")</t>
        </r>
      </text>
    </comment>
    <comment ref="L6" authorId="0">
      <text>
        <r>
          <rPr>
            <b/>
            <sz val="9"/>
            <color indexed="81"/>
            <rFont val="宋体"/>
            <family val="2"/>
          </rPr>
          <t>#Input("延炼_油品动态_6202_油量",":key{{dw}}",":read")</t>
        </r>
      </text>
    </comment>
    <comment ref="M6" authorId="0">
      <text>
        <r>
          <rPr>
            <b/>
            <sz val="9"/>
            <color indexed="81"/>
            <rFont val="宋体"/>
            <family val="2"/>
          </rPr>
          <t>#Input("延炼_油品动态_6202_空量",":key{{dw}}",":read")</t>
        </r>
      </text>
    </comment>
    <comment ref="E7" authorId="0">
      <text>
        <r>
          <rPr>
            <b/>
            <sz val="9"/>
            <color indexed="81"/>
            <rFont val="宋体"/>
            <family val="2"/>
          </rPr>
          <t>#Input("延炼_油品动态_6105_油尺",":key{{dw}}")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>#Input("延炼_油品动态_6105_油量",":key{{dw}}",":read")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#Input("延炼_油品动态_6105_空量",":key{{dw}}",":read")</t>
        </r>
      </text>
    </comment>
    <comment ref="K7" authorId="0">
      <text>
        <r>
          <rPr>
            <b/>
            <sz val="9"/>
            <color indexed="81"/>
            <rFont val="宋体"/>
            <family val="2"/>
          </rPr>
          <t>#Input("延炼_油品动态_6204_油尺",":key{{dw}}")</t>
        </r>
      </text>
    </comment>
    <comment ref="L7" authorId="0">
      <text>
        <r>
          <rPr>
            <b/>
            <sz val="9"/>
            <color indexed="81"/>
            <rFont val="宋体"/>
            <family val="2"/>
          </rPr>
          <t>#Input("延炼_油品动态_6204_油量",":key{{dw}}",":read")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#Input("延炼_油品动态_6204_空量",":key{{dw}}",":read")</t>
        </r>
      </text>
    </comment>
    <comment ref="E8" authorId="0">
      <text>
        <r>
          <rPr>
            <b/>
            <sz val="9"/>
            <color indexed="81"/>
            <rFont val="宋体"/>
            <family val="2"/>
          </rPr>
          <t>#Input("延炼_油品动态_6106_油尺",":key{{dw}}")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#Input("延炼_油品动态_6106_油量",":key{{dw}}",":read")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#Input("延炼_油品动态_6106_空量",":key{{dw}}",":read")</t>
        </r>
      </text>
    </comment>
    <comment ref="K8" authorId="0">
      <text>
        <r>
          <rPr>
            <b/>
            <sz val="9"/>
            <color indexed="81"/>
            <rFont val="宋体"/>
            <family val="2"/>
          </rPr>
          <t>#Input("延炼_油品动态_6205_油尺",":key{{dw}}")</t>
        </r>
      </text>
    </comment>
    <comment ref="L8" authorId="0">
      <text>
        <r>
          <rPr>
            <b/>
            <sz val="9"/>
            <color indexed="81"/>
            <rFont val="宋体"/>
            <family val="2"/>
          </rPr>
          <t>#Input("延炼_油品动态_6205_油量",":key{{dw}}",":read")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#Input("延炼_油品动态_6205_空量",":key{{dw}}",":read")</t>
        </r>
      </text>
    </comment>
    <comment ref="E9" authorId="0">
      <text>
        <r>
          <rPr>
            <b/>
            <sz val="9"/>
            <color indexed="81"/>
            <rFont val="宋体"/>
            <family val="2"/>
          </rPr>
          <t>#Input("延炼_油品动态_9501_油尺",":key{{dw}}")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#Input("延炼_油品动态_9501_油量",":key{{dw}}",":read")</t>
        </r>
      </text>
    </comment>
    <comment ref="G9" authorId="0">
      <text>
        <r>
          <rPr>
            <b/>
            <sz val="9"/>
            <color indexed="81"/>
            <rFont val="宋体"/>
            <family val="2"/>
          </rPr>
          <t>#Input("延炼_油品动态_9501_空量",":key{{dw}}",":read")</t>
        </r>
      </text>
    </comment>
    <comment ref="K9" authorId="0">
      <text>
        <r>
          <rPr>
            <b/>
            <sz val="9"/>
            <color indexed="81"/>
            <rFont val="宋体"/>
            <family val="2"/>
          </rPr>
          <t>#Input("延炼_油品动态_9505_油尺",":key{{dw}}")</t>
        </r>
      </text>
    </comment>
    <comment ref="L9" authorId="0">
      <text>
        <r>
          <rPr>
            <b/>
            <sz val="9"/>
            <color indexed="81"/>
            <rFont val="宋体"/>
            <family val="2"/>
          </rPr>
          <t>#Input("延炼_油品动态_9505_油量",":key{{dw}}",":read")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#Input("延炼_油品动态_9505_空量",":key{{dw}}",":read")</t>
        </r>
      </text>
    </comment>
    <comment ref="E10" authorId="0">
      <text>
        <r>
          <rPr>
            <b/>
            <sz val="9"/>
            <color indexed="81"/>
            <rFont val="宋体"/>
            <family val="2"/>
          </rPr>
          <t>#Input("延炼_油品动态_9502_油尺",":key{{dw}}")</t>
        </r>
      </text>
    </comment>
    <comment ref="F10" authorId="0">
      <text>
        <r>
          <rPr>
            <b/>
            <sz val="9"/>
            <color indexed="81"/>
            <rFont val="宋体"/>
            <family val="2"/>
          </rPr>
          <t>#Input("延炼_油品动态_9502_油量",":key{{dw}}",":read")</t>
        </r>
      </text>
    </comment>
    <comment ref="G10" authorId="0">
      <text>
        <r>
          <rPr>
            <b/>
            <sz val="9"/>
            <color indexed="81"/>
            <rFont val="宋体"/>
            <family val="2"/>
          </rPr>
          <t>#Input("延炼_油品动态_9502_空量",":key{{dw}}",":read")</t>
        </r>
      </text>
    </comment>
    <comment ref="K10" authorId="0">
      <text>
        <r>
          <rPr>
            <b/>
            <sz val="9"/>
            <color indexed="81"/>
            <rFont val="宋体"/>
            <family val="2"/>
          </rPr>
          <t>#Input("延炼_油品动态_9506_油尺",":key{{dw}}")</t>
        </r>
      </text>
    </comment>
    <comment ref="L10" authorId="0">
      <text>
        <r>
          <rPr>
            <b/>
            <sz val="9"/>
            <color indexed="81"/>
            <rFont val="宋体"/>
            <family val="2"/>
          </rPr>
          <t>#Input("延炼_油品动态_9506_油量",":key{{dw}}",":read")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>#Input("延炼_油品动态_9506_空量",":key{{dw}}",":read")</t>
        </r>
      </text>
    </comment>
    <comment ref="E11" authorId="0">
      <text>
        <r>
          <rPr>
            <b/>
            <sz val="9"/>
            <color indexed="81"/>
            <rFont val="宋体"/>
            <family val="2"/>
          </rPr>
          <t>#Input("延炼_油品动态_9503_油尺",":key{{dw}}")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#Input("延炼_油品动态_9503_油量",":key{{dw}}",":read")</t>
        </r>
      </text>
    </comment>
    <comment ref="G11" authorId="0">
      <text>
        <r>
          <rPr>
            <b/>
            <sz val="9"/>
            <color indexed="81"/>
            <rFont val="宋体"/>
            <family val="2"/>
          </rPr>
          <t>#Input("延炼_油品动态_9503_空量",":key{{dw}}",":read")</t>
        </r>
      </text>
    </comment>
    <comment ref="K11" authorId="0">
      <text>
        <r>
          <rPr>
            <b/>
            <sz val="9"/>
            <color indexed="81"/>
            <rFont val="宋体"/>
            <family val="2"/>
          </rPr>
          <t>#Input("延炼_油品动态_9507_油尺",":key{{dw}}")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#Input("延炼_油品动态_9507_油量",":key{{dw}}",":read")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#Input("延炼_油品动态_9507_空量",":key{{dw}}",":read")</t>
        </r>
      </text>
    </comment>
    <comment ref="E12" authorId="0">
      <text>
        <r>
          <rPr>
            <b/>
            <sz val="9"/>
            <color indexed="81"/>
            <rFont val="宋体"/>
            <family val="2"/>
          </rPr>
          <t>#Input("延炼_油品动态_9510_油尺",":key{{dw}}")</t>
        </r>
      </text>
    </comment>
    <comment ref="F12" authorId="0">
      <text>
        <r>
          <rPr>
            <b/>
            <sz val="9"/>
            <color indexed="81"/>
            <rFont val="宋体"/>
            <family val="2"/>
          </rPr>
          <t>#Input("延炼_油品动态_9510_油量",":key{{dw}}",":read")</t>
        </r>
      </text>
    </comment>
    <comment ref="G12" authorId="0">
      <text>
        <r>
          <rPr>
            <b/>
            <sz val="9"/>
            <color indexed="81"/>
            <rFont val="宋体"/>
            <family val="2"/>
          </rPr>
          <t>#Input("延炼_油品动态_9510_空量",":key{{dw}}",":read")</t>
        </r>
      </text>
    </comment>
    <comment ref="K12" authorId="0">
      <text>
        <r>
          <rPr>
            <b/>
            <sz val="9"/>
            <color indexed="81"/>
            <rFont val="宋体"/>
            <family val="2"/>
          </rPr>
          <t>#Input("延炼_油品动态_9508_油尺",":key{{dw}}")</t>
        </r>
      </text>
    </comment>
    <comment ref="L12" authorId="0">
      <text>
        <r>
          <rPr>
            <b/>
            <sz val="9"/>
            <color indexed="81"/>
            <rFont val="宋体"/>
            <family val="2"/>
          </rPr>
          <t>#Input("延炼_油品动态_9508_油量",":key{{dw}}",":read")</t>
        </r>
      </text>
    </comment>
    <comment ref="M12" authorId="0">
      <text>
        <r>
          <rPr>
            <b/>
            <sz val="9"/>
            <color indexed="81"/>
            <rFont val="宋体"/>
            <family val="2"/>
          </rPr>
          <t>#Input("延炼_油品动态_9508_空量",":key{{dw}}",":read")</t>
        </r>
      </text>
    </comment>
    <comment ref="F13" authorId="0">
      <text>
        <r>
          <rPr>
            <sz val="9"/>
            <color indexed="81"/>
            <rFont val="Arial"/>
            <family val="2"/>
          </rPr>
          <t xml:space="preserve">#Input("延炼_油品动态_原油_油量",":key{{dw}}",":read")
</t>
        </r>
      </text>
    </comment>
    <comment ref="G13" authorId="0">
      <text>
        <r>
          <rPr>
            <b/>
            <sz val="9"/>
            <color indexed="81"/>
            <rFont val="宋体"/>
            <family val="2"/>
          </rPr>
          <t>#Input("延炼_油品动态_原油_空量",":key{{dw}}",":read")</t>
        </r>
      </text>
    </comment>
    <comment ref="K13" authorId="0">
      <text>
        <r>
          <rPr>
            <b/>
            <sz val="9"/>
            <color indexed="81"/>
            <rFont val="宋体"/>
            <family val="2"/>
          </rPr>
          <t>#Input("延炼_油品动态_23601_油尺",":key{{dw}}")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#Input("延炼_油品动态_23601_油量",":key{{dw}}",":read")</t>
        </r>
      </text>
    </comment>
    <comment ref="M13" authorId="0">
      <text>
        <r>
          <rPr>
            <b/>
            <sz val="9"/>
            <color indexed="81"/>
            <rFont val="宋体"/>
            <family val="2"/>
          </rPr>
          <t>#Input("延炼_油品动态_23601_空量",":key{{dw}}",":read")</t>
        </r>
      </text>
    </comment>
    <comment ref="K14" authorId="0">
      <text>
        <r>
          <rPr>
            <b/>
            <sz val="9"/>
            <color indexed="81"/>
            <rFont val="宋体"/>
            <family val="2"/>
          </rPr>
          <t>#Input("延炼_油品动态_23602_油尺",":key{{dw}}")</t>
        </r>
      </text>
    </comment>
    <comment ref="L14" authorId="0">
      <text>
        <r>
          <rPr>
            <b/>
            <sz val="9"/>
            <color indexed="81"/>
            <rFont val="宋体"/>
            <family val="2"/>
          </rPr>
          <t>#Input("延炼_油品动态_23602_油量",":key{{dw}}",":read")</t>
        </r>
      </text>
    </comment>
    <comment ref="M14" authorId="0">
      <text>
        <r>
          <rPr>
            <b/>
            <sz val="9"/>
            <color indexed="81"/>
            <rFont val="宋体"/>
            <family val="2"/>
          </rPr>
          <t>#Input("延炼_油品动态_23602_空量",":key{{dw}}",":read")</t>
        </r>
      </text>
    </comment>
    <comment ref="E15" authorId="0">
      <text>
        <r>
          <rPr>
            <b/>
            <sz val="9"/>
            <color indexed="81"/>
            <rFont val="宋体"/>
            <family val="2"/>
          </rPr>
          <t>#Input("延炼_油品动态_6104_油尺",":key{{dw}}")</t>
        </r>
      </text>
    </comment>
    <comment ref="F15" authorId="0">
      <text>
        <r>
          <rPr>
            <b/>
            <sz val="9"/>
            <color indexed="81"/>
            <rFont val="宋体"/>
            <family val="2"/>
          </rPr>
          <t>#Input("延炼_油品动态_6104_油量",":key{{dw}}",":read")</t>
        </r>
      </text>
    </comment>
    <comment ref="G15" authorId="0">
      <text>
        <r>
          <rPr>
            <b/>
            <sz val="9"/>
            <color indexed="81"/>
            <rFont val="宋体"/>
            <family val="2"/>
          </rPr>
          <t>#Input("延炼_油品动态_6104_空量",":key{{dw}}",":read")</t>
        </r>
      </text>
    </comment>
    <comment ref="K15" authorId="0">
      <text>
        <r>
          <rPr>
            <b/>
            <sz val="9"/>
            <color indexed="81"/>
            <rFont val="宋体"/>
            <family val="2"/>
          </rPr>
          <t>#Input("延炼_油品动态_23603_油尺",":key{{dw}}")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#Input("延炼_油品动态_23603_油量",":key{{dw}}",":read")</t>
        </r>
      </text>
    </comment>
    <comment ref="M15" authorId="0">
      <text>
        <r>
          <rPr>
            <b/>
            <sz val="9"/>
            <color indexed="81"/>
            <rFont val="宋体"/>
            <family val="2"/>
          </rPr>
          <t>#Input("延炼_油品动态_23603_空量",":key{{dw}}",":read")</t>
        </r>
      </text>
    </comment>
    <comment ref="K16" authorId="0">
      <text>
        <r>
          <rPr>
            <b/>
            <sz val="9"/>
            <color indexed="81"/>
            <rFont val="宋体"/>
            <family val="2"/>
          </rPr>
          <t>#Input("延炼_油品动态_23604_油尺",":key{{dw}}")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#Input("延炼_油品动态_23604_油量",":key{{dw}}",":read")</t>
        </r>
      </text>
    </comment>
    <comment ref="M16" authorId="0">
      <text>
        <r>
          <rPr>
            <b/>
            <sz val="9"/>
            <color indexed="81"/>
            <rFont val="宋体"/>
            <family val="2"/>
          </rPr>
          <t>#Input("延炼_油品动态_23604_空量",":key{{dw}}",":read")</t>
        </r>
      </text>
    </comment>
    <comment ref="E17" authorId="0">
      <text>
        <r>
          <rPr>
            <b/>
            <sz val="9"/>
            <color indexed="81"/>
            <rFont val="宋体"/>
            <family val="2"/>
          </rPr>
          <t>#Input("延炼_油品动态_6103_油尺",":key{{dw}}")</t>
        </r>
      </text>
    </comment>
    <comment ref="F17" authorId="0">
      <text>
        <r>
          <rPr>
            <b/>
            <sz val="9"/>
            <color indexed="81"/>
            <rFont val="宋体"/>
            <family val="2"/>
          </rPr>
          <t>#Input("延炼_油品动态_6103_油量",":key{{dw}}",":read")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#Input("延炼_油品动态_6103_空量",":key{{dw}}",":read")</t>
        </r>
      </text>
    </comment>
    <comment ref="L17" authorId="0">
      <text>
        <r>
          <rPr>
            <b/>
            <sz val="9"/>
            <color indexed="81"/>
            <rFont val="宋体"/>
            <family val="2"/>
          </rPr>
          <t>#Input("延炼_油品动态_1#渣油_油量",":key{{dw}}",":read")</t>
        </r>
      </text>
    </comment>
    <comment ref="M17" authorId="0">
      <text>
        <r>
          <rPr>
            <b/>
            <sz val="9"/>
            <color indexed="81"/>
            <rFont val="宋体"/>
            <family val="2"/>
          </rPr>
          <t>#Input("延炼_油品动态_1#渣油_空量",":key{{dw}}",":read")</t>
        </r>
      </text>
    </comment>
    <comment ref="E18" authorId="0">
      <text>
        <r>
          <rPr>
            <b/>
            <sz val="9"/>
            <color indexed="81"/>
            <rFont val="宋体"/>
            <family val="2"/>
          </rPr>
          <t>#Input("延炼_油品动态_9504_油尺",":key{{dw}}")</t>
        </r>
      </text>
    </comment>
    <comment ref="F18" authorId="0">
      <text>
        <r>
          <rPr>
            <b/>
            <sz val="9"/>
            <color indexed="81"/>
            <rFont val="宋体"/>
            <family val="2"/>
          </rPr>
          <t>#Input("延炼_油品动态_9504_油量",":key{{dw}}",":read")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#Input("延炼_油品动态_9504_空量",":key{{dw}}",":read")</t>
        </r>
      </text>
    </comment>
    <comment ref="K18" authorId="0">
      <text>
        <r>
          <rPr>
            <b/>
            <sz val="9"/>
            <color indexed="81"/>
            <rFont val="宋体"/>
            <family val="2"/>
          </rPr>
          <t>#Input("延炼_油品动态_23605_油尺",":key{{dw}}")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#Input("延炼_油品动态_6203_油量",":key{{dw}}",":read")</t>
        </r>
      </text>
    </comment>
    <comment ref="M18" authorId="0">
      <text>
        <r>
          <rPr>
            <b/>
            <sz val="9"/>
            <color indexed="81"/>
            <rFont val="宋体"/>
            <family val="2"/>
          </rPr>
          <t>#Input("延炼_油品动态_6203_空量",":key{{dw}}",":read")</t>
        </r>
      </text>
    </comment>
    <comment ref="E19" authorId="0">
      <text>
        <r>
          <rPr>
            <b/>
            <sz val="9"/>
            <color indexed="81"/>
            <rFont val="宋体"/>
            <family val="2"/>
          </rPr>
          <t>#Input("延炼_油品动态_9509_油尺",":key{{dw}}")</t>
        </r>
      </text>
    </comment>
    <comment ref="F19" authorId="0">
      <text>
        <r>
          <rPr>
            <b/>
            <sz val="9"/>
            <color indexed="81"/>
            <rFont val="宋体"/>
            <family val="2"/>
          </rPr>
          <t>#Input("延炼_油品动态_9509_油量",":key{{dw}}",":read")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#Input("延炼_油品动态_9509_空量",":key{{dw}}",":read")</t>
        </r>
      </text>
    </comment>
    <comment ref="F20" authorId="0">
      <text>
        <r>
          <rPr>
            <b/>
            <sz val="9"/>
            <color indexed="81"/>
            <rFont val="宋体"/>
            <family val="2"/>
          </rPr>
          <t>#Input("延炼_油品动态_环保应急罐_油量",":key{{dw}}",":read")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#Input("延炼_油品动态_环保应急罐_空量",":key{{dw}}",":read")</t>
        </r>
      </text>
    </comment>
    <comment ref="K21" authorId="0">
      <text>
        <r>
          <rPr>
            <b/>
            <sz val="9"/>
            <color indexed="81"/>
            <rFont val="宋体"/>
            <family val="2"/>
          </rPr>
          <t>#Input("延炼_油品动态_6801_油尺",":key{{dw}}")</t>
        </r>
      </text>
    </comment>
    <comment ref="L21" authorId="0">
      <text>
        <r>
          <rPr>
            <b/>
            <sz val="9"/>
            <color indexed="81"/>
            <rFont val="宋体"/>
            <family val="2"/>
          </rPr>
          <t>#Input("延炼_油品动态_6801_油量",":key{{dw}}",":read")</t>
        </r>
      </text>
    </comment>
    <comment ref="M21" authorId="0">
      <text>
        <r>
          <rPr>
            <b/>
            <sz val="9"/>
            <color indexed="81"/>
            <rFont val="宋体"/>
            <family val="2"/>
          </rPr>
          <t>#Input("延炼_油品动态_6801_空量",":key{{dw}}",":read")</t>
        </r>
      </text>
    </comment>
    <comment ref="K22" authorId="0">
      <text>
        <r>
          <rPr>
            <b/>
            <sz val="9"/>
            <color indexed="81"/>
            <rFont val="宋体"/>
            <family val="2"/>
          </rPr>
          <t>#Input("延炼_油品动态_6802_油尺",":key{{dw}}")</t>
        </r>
      </text>
    </comment>
    <comment ref="L22" authorId="0">
      <text>
        <r>
          <rPr>
            <b/>
            <sz val="9"/>
            <color indexed="81"/>
            <rFont val="宋体"/>
            <family val="2"/>
          </rPr>
          <t>#Input("延炼_油品动态_6802_油量",":key{{dw}}",":read")</t>
        </r>
      </text>
    </comment>
    <comment ref="M22" authorId="0">
      <text>
        <r>
          <rPr>
            <b/>
            <sz val="9"/>
            <color indexed="81"/>
            <rFont val="宋体"/>
            <family val="2"/>
          </rPr>
          <t>#Input("延炼_油品动态_6802_空量",":key{{dw}}",":read")</t>
        </r>
      </text>
    </comment>
    <comment ref="E23" authorId="0">
      <text>
        <r>
          <rPr>
            <b/>
            <sz val="9"/>
            <color indexed="81"/>
            <rFont val="宋体"/>
            <family val="2"/>
          </rPr>
          <t>#Input("延炼_油品动态_6803_油尺",":key{{dw}}")</t>
        </r>
      </text>
    </comment>
    <comment ref="F23" authorId="0">
      <text>
        <r>
          <rPr>
            <b/>
            <sz val="9"/>
            <color indexed="81"/>
            <rFont val="宋体"/>
            <family val="2"/>
          </rPr>
          <t>#Input("延炼_油品动态_6803_油量",":key{{dw}}",":read")</t>
        </r>
      </text>
    </comment>
    <comment ref="G23" authorId="0">
      <text>
        <r>
          <rPr>
            <b/>
            <sz val="9"/>
            <color indexed="81"/>
            <rFont val="宋体"/>
            <family val="2"/>
          </rPr>
          <t>#Input("延炼_油品动态_6803_空量",":key{{dw}}",":read")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#Input("延炼_油品动态_催化柴油_油量",":key{{dw}}",":read")</t>
        </r>
      </text>
    </comment>
    <comment ref="M23" authorId="0">
      <text>
        <r>
          <rPr>
            <sz val="9"/>
            <color indexed="81"/>
            <rFont val="Arial"/>
            <family val="2"/>
          </rPr>
          <t xml:space="preserve">#Input("延炼_油品动态_催化柴油_空量",":key{{dw}}",":read")
</t>
        </r>
      </text>
    </comment>
    <comment ref="E24" authorId="0">
      <text>
        <r>
          <rPr>
            <b/>
            <sz val="9"/>
            <color indexed="81"/>
            <rFont val="宋体"/>
            <family val="2"/>
          </rPr>
          <t>#Input("延炼_油品动态_6804_油尺",":key{{dw}}")</t>
        </r>
      </text>
    </comment>
    <comment ref="F24" authorId="0">
      <text>
        <r>
          <rPr>
            <b/>
            <sz val="9"/>
            <color indexed="81"/>
            <rFont val="宋体"/>
            <family val="2"/>
          </rPr>
          <t>#Input("延炼_油品动态_6804_油量",":key{{dw}}",":read")</t>
        </r>
      </text>
    </comment>
    <comment ref="G24" authorId="0">
      <text>
        <r>
          <rPr>
            <b/>
            <sz val="9"/>
            <color indexed="81"/>
            <rFont val="宋体"/>
            <family val="2"/>
          </rPr>
          <t>#Input("延炼_油品动态_6804_空量",":key{{dw}}",":read")</t>
        </r>
      </text>
    </comment>
    <comment ref="F25" authorId="0">
      <text>
        <r>
          <rPr>
            <b/>
            <sz val="9"/>
            <color indexed="81"/>
            <rFont val="宋体"/>
            <family val="2"/>
          </rPr>
          <t>#Input("延炼_油品动态_常压石脑油_油量",":key{{dw}}",":read")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#Input("延炼_油品动态_常压石脑油_空量",":key{{dw}}",":read")</t>
        </r>
      </text>
    </comment>
    <comment ref="K26" authorId="0">
      <text>
        <r>
          <rPr>
            <b/>
            <sz val="9"/>
            <color indexed="81"/>
            <rFont val="宋体"/>
            <family val="2"/>
          </rPr>
          <t>#Input("延炼_油品动态_9527_油尺",":key{{dw}}")</t>
        </r>
      </text>
    </comment>
    <comment ref="L26" authorId="0">
      <text>
        <r>
          <rPr>
            <b/>
            <sz val="9"/>
            <color indexed="81"/>
            <rFont val="宋体"/>
            <family val="2"/>
          </rPr>
          <t>#Input("延炼_油品动态_9527_油量",":key{{dw}}",":read")</t>
        </r>
      </text>
    </comment>
    <comment ref="M26" authorId="0">
      <text>
        <r>
          <rPr>
            <b/>
            <sz val="9"/>
            <color indexed="81"/>
            <rFont val="宋体"/>
            <family val="2"/>
          </rPr>
          <t>#Input("延炼_油品动态_9527_空量",":key{{dw}}",":read")</t>
        </r>
      </text>
    </comment>
    <comment ref="K27" authorId="0">
      <text>
        <r>
          <rPr>
            <b/>
            <sz val="9"/>
            <color indexed="81"/>
            <rFont val="宋体"/>
            <family val="2"/>
          </rPr>
          <t>#Input("延炼_油品动态_9528_油尺",":key{{dw}}")</t>
        </r>
      </text>
    </comment>
    <comment ref="L27" authorId="0">
      <text>
        <r>
          <rPr>
            <b/>
            <sz val="9"/>
            <color indexed="81"/>
            <rFont val="宋体"/>
            <family val="2"/>
          </rPr>
          <t>#Input("延炼_油品动态_9528_油量",":key{{dw}}",":read")</t>
        </r>
      </text>
    </comment>
    <comment ref="M27" authorId="0">
      <text>
        <r>
          <rPr>
            <b/>
            <sz val="9"/>
            <color indexed="81"/>
            <rFont val="宋体"/>
            <family val="2"/>
          </rPr>
          <t>#Input("延炼_油品动态_9528_空量",":key{{dw}}",":read")</t>
        </r>
      </text>
    </comment>
    <comment ref="E28" authorId="0">
      <text>
        <r>
          <rPr>
            <b/>
            <sz val="9"/>
            <color indexed="81"/>
            <rFont val="宋体"/>
            <family val="2"/>
          </rPr>
          <t>#Input("延炼_油品动态_9511_油尺",":key{{dw}}")</t>
        </r>
      </text>
    </comment>
    <comment ref="F28" authorId="0">
      <text>
        <r>
          <rPr>
            <b/>
            <sz val="9"/>
            <color indexed="81"/>
            <rFont val="宋体"/>
            <family val="2"/>
          </rPr>
          <t>#Input("延炼_油品动态_9511_油量",":key{{dw}}",":read")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#Input("延炼_油品动态_9511_空量",":key{{dw}}",":read")</t>
        </r>
      </text>
    </comment>
    <comment ref="L28" authorId="0">
      <text>
        <r>
          <rPr>
            <b/>
            <sz val="9"/>
            <color indexed="81"/>
            <rFont val="宋体"/>
            <family val="2"/>
          </rPr>
          <t>#Input("延炼_油品动态_常压直馏柴油_油量",":key{{dw}}",":read")</t>
        </r>
      </text>
    </comment>
    <comment ref="M28" authorId="0">
      <text>
        <r>
          <rPr>
            <b/>
            <sz val="9"/>
            <color indexed="81"/>
            <rFont val="宋体"/>
            <family val="2"/>
          </rPr>
          <t>#Input("延炼_油品动态_常压直馏柴油_空量",":key{{dw}}",":read")</t>
        </r>
      </text>
    </comment>
    <comment ref="B29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#Input("延炼_油品动态_过剩精制汽油调罐1_罐号",":key{{dw}}")</t>
        </r>
      </text>
    </comment>
    <comment ref="E29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#Input("延炼_油品动态_过剩精制汽油调罐1_油尺",":key{{dw}}")</t>
        </r>
      </text>
    </comment>
    <comment ref="F29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#Input("延炼_油品动态_过剩精制汽油调罐1_油量",":key{{dw}}",":read")</t>
        </r>
      </text>
    </comment>
    <comment ref="G29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#Input("延炼_油品动态_过剩精制汽油调罐1_空量",":key{{dw}}",":read")</t>
        </r>
      </text>
    </comment>
    <comment ref="B30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#Input("延炼_油品动态_过剩精制汽油调罐2_罐号",":key{{dw}}")</t>
        </r>
      </text>
    </comment>
    <comment ref="E30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#Input("延炼_油品动态_过剩精制汽油调罐2_油尺",":key{{dw}}")</t>
        </r>
      </text>
    </comment>
    <comment ref="F30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#Input("延炼_油品动态_过剩精制汽油调罐2_油量",":key{{dw}}",":read")</t>
        </r>
      </text>
    </comment>
    <comment ref="G30" authorId="0">
      <text>
        <r>
          <rPr>
            <b/>
            <sz val="9"/>
            <color indexed="81"/>
            <rFont val="宋体"/>
            <family val="2"/>
          </rPr>
          <t>#Input("延炼_油品动态_过剩精制汽油调罐2_空量",":key{{dw}}",":read")</t>
        </r>
      </text>
    </comment>
    <comment ref="F31" authorId="0">
      <text>
        <r>
          <rPr>
            <b/>
            <sz val="9"/>
            <color indexed="81"/>
            <rFont val="宋体"/>
            <family val="2"/>
          </rPr>
          <t>#Input("延炼_油品动态_过剩精制汽油_油量",":key{{dw}}",":read")</t>
        </r>
      </text>
    </comment>
    <comment ref="G31" authorId="0">
      <text>
        <r>
          <rPr>
            <b/>
            <sz val="9"/>
            <color indexed="81"/>
            <rFont val="宋体"/>
            <family val="2"/>
          </rPr>
          <t>#Input("延炼_油品动态_过剩精制汽油_空量",":key{{dw}}",":read")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#Input("延炼_油品动态_801_油尺",":key{{dw}}")</t>
        </r>
      </text>
    </comment>
    <comment ref="L33" authorId="0">
      <text>
        <r>
          <rPr>
            <b/>
            <sz val="9"/>
            <color indexed="81"/>
            <rFont val="宋体"/>
            <family val="2"/>
          </rPr>
          <t>#Input("延炼_油品动态_801_油量",":key{{dw}}",":read")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#Input("延炼_油品动态_801_空量",":key{{dw}}",":read")</t>
        </r>
      </text>
    </comment>
    <comment ref="E34" authorId="0">
      <text>
        <r>
          <rPr>
            <b/>
            <sz val="9"/>
            <color indexed="81"/>
            <rFont val="宋体"/>
            <family val="2"/>
          </rPr>
          <t>#Input("延炼_油品动态_9512_油尺",":key{{dw}}")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>#Input("延炼_油品动态_9512_油量",":key{{dw}}",":read")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#Input("延炼_油品动态_9512_空量",":key{{dw}}",":read")</t>
        </r>
      </text>
    </comment>
    <comment ref="K34" authorId="0">
      <text>
        <r>
          <rPr>
            <b/>
            <sz val="9"/>
            <color indexed="81"/>
            <rFont val="宋体"/>
            <family val="2"/>
          </rPr>
          <t>#Input("延炼_油品动态_802_油尺",":key{{dw}}")</t>
        </r>
      </text>
    </comment>
    <comment ref="L34" authorId="0">
      <text>
        <r>
          <rPr>
            <b/>
            <sz val="9"/>
            <color indexed="81"/>
            <rFont val="宋体"/>
            <family val="2"/>
          </rPr>
          <t>#Input("延炼_油品动态_802_油量",":key{{dw}}",":read")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#Input("延炼_油品动态_802_空量",":key{{dw}}",":read")</t>
        </r>
      </text>
    </comment>
    <comment ref="E35" authorId="0">
      <text>
        <r>
          <rPr>
            <b/>
            <sz val="9"/>
            <color indexed="81"/>
            <rFont val="宋体"/>
            <family val="2"/>
          </rPr>
          <t>#Input("延炼_油品动态_9513_油尺",":key{{dw}}")</t>
        </r>
      </text>
    </comment>
    <comment ref="F35" authorId="0">
      <text>
        <r>
          <rPr>
            <b/>
            <sz val="9"/>
            <color indexed="81"/>
            <rFont val="宋体"/>
            <family val="2"/>
          </rPr>
          <t>#Input("延炼_油品动态_9513_油量",":key{{dw}}",":read")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#Input("延炼_油品动态_9513_空量",":key{{dw}}",":read")</t>
        </r>
      </text>
    </comment>
    <comment ref="K35" authorId="0">
      <text>
        <r>
          <rPr>
            <b/>
            <sz val="9"/>
            <color indexed="81"/>
            <rFont val="宋体"/>
            <family val="2"/>
          </rPr>
          <t>#Input("延炼_油品动态_803_油尺",":key{{dw}}")</t>
        </r>
      </text>
    </comment>
    <comment ref="L35" authorId="0">
      <text>
        <r>
          <rPr>
            <b/>
            <sz val="9"/>
            <color indexed="81"/>
            <rFont val="宋体"/>
            <family val="2"/>
          </rPr>
          <t>#Input("延炼_油品动态_803_油量",":key{{dw}}",":read")</t>
        </r>
      </text>
    </comment>
    <comment ref="M35" authorId="0">
      <text>
        <r>
          <rPr>
            <b/>
            <sz val="9"/>
            <color indexed="81"/>
            <rFont val="宋体"/>
            <family val="2"/>
          </rPr>
          <t>#Input("延炼_油品动态_803_空量",":key{{dw}}",":read")</t>
        </r>
      </text>
    </comment>
    <comment ref="F36" authorId="0">
      <text>
        <r>
          <rPr>
            <b/>
            <sz val="9"/>
            <color indexed="81"/>
            <rFont val="宋体"/>
            <family val="2"/>
          </rPr>
          <t>#Input("延炼_油品动态_催化汽油（原料）_油量",":key{{dw}}",":read")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#Input("延炼_油品动态_催化汽油（原料）_空量",":key{{dw}}",":read")</t>
        </r>
      </text>
    </comment>
    <comment ref="K36" authorId="0">
      <text>
        <r>
          <rPr>
            <b/>
            <sz val="9"/>
            <color indexed="81"/>
            <rFont val="宋体"/>
            <family val="2"/>
          </rPr>
          <t>#Input("延炼_油品动态_804_油尺",":key{{dw}}")</t>
        </r>
      </text>
    </comment>
    <comment ref="L36" authorId="0">
      <text>
        <r>
          <rPr>
            <b/>
            <sz val="9"/>
            <color indexed="81"/>
            <rFont val="宋体"/>
            <family val="2"/>
          </rPr>
          <t>#Input("延炼_油品动态_804_油量",":key{{dw}}",":read")</t>
        </r>
      </text>
    </comment>
    <comment ref="M36" authorId="0">
      <text>
        <r>
          <rPr>
            <b/>
            <sz val="9"/>
            <color indexed="81"/>
            <rFont val="宋体"/>
            <family val="2"/>
          </rPr>
          <t>#Input("延炼_油品动态_804_空量",":key{{dw}}",":read")</t>
        </r>
      </text>
    </comment>
    <comment ref="K37" authorId="0">
      <text>
        <r>
          <rPr>
            <b/>
            <sz val="9"/>
            <color indexed="81"/>
            <rFont val="宋体"/>
            <family val="2"/>
          </rPr>
          <t>#Input("延炼_油品动态_810_油尺",":key{{dw}}")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#Input("延炼_油品动态_810_油量",":key{{dw}}",":read")</t>
        </r>
      </text>
    </comment>
    <comment ref="M37" authorId="0">
      <text>
        <r>
          <rPr>
            <b/>
            <sz val="9"/>
            <color indexed="81"/>
            <rFont val="宋体"/>
            <family val="2"/>
          </rPr>
          <t>#Input("延炼_油品动态_810_空量",":key{{dw}}",":read")</t>
        </r>
      </text>
    </comment>
    <comment ref="K38" authorId="0">
      <text>
        <r>
          <rPr>
            <b/>
            <sz val="9"/>
            <color indexed="81"/>
            <rFont val="宋体"/>
            <family val="2"/>
          </rPr>
          <t>#Input("延炼_油品动态_811_油尺",":key{{dw}}")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#Input("延炼_油品动态_811_油量",":key{{dw}}",":read")</t>
        </r>
      </text>
    </comment>
    <comment ref="M38" authorId="0">
      <text>
        <r>
          <rPr>
            <b/>
            <sz val="9"/>
            <color indexed="81"/>
            <rFont val="宋体"/>
            <family val="2"/>
          </rPr>
          <t>#Input("延炼_油品动态_811_空量",":key{{dw}}",":read")</t>
        </r>
      </text>
    </comment>
    <comment ref="E39" authorId="0">
      <text>
        <r>
          <rPr>
            <b/>
            <sz val="9"/>
            <color indexed="81"/>
            <rFont val="宋体"/>
            <family val="2"/>
          </rPr>
          <t>#Input("延炼_油品动态_24903_油尺",":key{{dw}}")</t>
        </r>
      </text>
    </comment>
    <comment ref="F39" authorId="0">
      <text>
        <r>
          <rPr>
            <b/>
            <sz val="9"/>
            <color indexed="81"/>
            <rFont val="宋体"/>
            <family val="2"/>
          </rPr>
          <t>#Input("延炼_油品动态_24903_油量",":key{{dw}}",":read")</t>
        </r>
      </text>
    </comment>
    <comment ref="G39" authorId="0">
      <text>
        <r>
          <rPr>
            <b/>
            <sz val="9"/>
            <color indexed="81"/>
            <rFont val="宋体"/>
            <family val="2"/>
          </rPr>
          <t>#Input("延炼_油品动态_24903_空量",":key{{dw}}",":read")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#Input("延炼_油品动态_812_油尺",":key{{dw}}")</t>
        </r>
      </text>
    </comment>
    <comment ref="L39" authorId="0">
      <text>
        <r>
          <rPr>
            <b/>
            <sz val="9"/>
            <color indexed="81"/>
            <rFont val="宋体"/>
            <family val="2"/>
          </rPr>
          <t>#Input("延炼_油品动态_812_油量",":key{{dw}}",":read")</t>
        </r>
      </text>
    </comment>
    <comment ref="M39" authorId="0">
      <text>
        <r>
          <rPr>
            <b/>
            <sz val="9"/>
            <color indexed="81"/>
            <rFont val="宋体"/>
            <family val="2"/>
          </rPr>
          <t>#Input("延炼_油品动态_812_空量",":key{{dw}}","read")</t>
        </r>
      </text>
    </comment>
    <comment ref="E40" authorId="0">
      <text>
        <r>
          <rPr>
            <b/>
            <sz val="9"/>
            <color indexed="81"/>
            <rFont val="宋体"/>
            <family val="2"/>
          </rPr>
          <t>#Input("延炼_油品动态_24904_油尺",":key{{dw}}")</t>
        </r>
      </text>
    </comment>
    <comment ref="F40" authorId="0">
      <text>
        <r>
          <rPr>
            <b/>
            <sz val="9"/>
            <color indexed="81"/>
            <rFont val="宋体"/>
            <family val="2"/>
          </rPr>
          <t>#Input("延炼_油品动态_24904_油量",":key{{dw}}",":read")</t>
        </r>
      </text>
    </comment>
    <comment ref="G40" authorId="0">
      <text>
        <r>
          <rPr>
            <b/>
            <sz val="9"/>
            <color indexed="81"/>
            <rFont val="宋体"/>
            <family val="2"/>
          </rPr>
          <t>#Input("延炼_油品动态_24904_空量",":key{{dw}}",":read")</t>
        </r>
      </text>
    </comment>
    <comment ref="K40" authorId="0">
      <text>
        <r>
          <rPr>
            <b/>
            <sz val="9"/>
            <color indexed="81"/>
            <rFont val="宋体"/>
            <family val="2"/>
          </rPr>
          <t>#Input("延炼_油品动态_813_油尺",":key{{dw}}")</t>
        </r>
      </text>
    </comment>
    <comment ref="L40" authorId="0">
      <text>
        <r>
          <rPr>
            <b/>
            <sz val="9"/>
            <color indexed="81"/>
            <rFont val="宋体"/>
            <family val="2"/>
          </rPr>
          <t>#Input("延炼_油品动态_813_油量",":key{{dw}}",":read")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#Input("延炼_油品动态_813_空量",":key{{dw}}",":read")</t>
        </r>
      </text>
    </comment>
    <comment ref="E41" authorId="0">
      <text>
        <r>
          <rPr>
            <b/>
            <sz val="9"/>
            <color indexed="81"/>
            <rFont val="宋体"/>
            <family val="2"/>
          </rPr>
          <t>#Input("延炼_油品动态_24905_油尺",":key{{dw}}")</t>
        </r>
      </text>
    </comment>
    <comment ref="F41" authorId="0">
      <text>
        <r>
          <rPr>
            <b/>
            <sz val="9"/>
            <color indexed="81"/>
            <rFont val="宋体"/>
            <family val="2"/>
          </rPr>
          <t>#Input("延炼_油品动态_24905_油量",":key{{dw}}",":read")</t>
        </r>
      </text>
    </comment>
    <comment ref="G41" authorId="0">
      <text>
        <r>
          <rPr>
            <b/>
            <sz val="9"/>
            <color indexed="81"/>
            <rFont val="宋体"/>
            <family val="2"/>
          </rPr>
          <t>#Input("延炼_油品动态_24905_空量",":key{{dw}}",":read")</t>
        </r>
      </text>
    </comment>
    <comment ref="K41" authorId="0">
      <text>
        <r>
          <rPr>
            <b/>
            <sz val="9"/>
            <color indexed="81"/>
            <rFont val="宋体"/>
            <family val="2"/>
          </rPr>
          <t>#Input("延炼_油品动态_818_油尺",":key{{dw}}")</t>
        </r>
      </text>
    </comment>
    <comment ref="L41" authorId="0">
      <text>
        <r>
          <rPr>
            <b/>
            <sz val="9"/>
            <color indexed="81"/>
            <rFont val="宋体"/>
            <family val="2"/>
          </rPr>
          <t>#Input("延炼_油品动态_818_油量",":key{{dw}}",":read")</t>
        </r>
      </text>
    </comment>
    <comment ref="M41" authorId="0">
      <text>
        <r>
          <rPr>
            <b/>
            <sz val="9"/>
            <color indexed="81"/>
            <rFont val="宋体"/>
            <family val="2"/>
          </rPr>
          <t>#Input("延炼_油品动态_818_空量",":key{{dw}}",":read")</t>
        </r>
      </text>
    </comment>
    <comment ref="E42" authorId="0">
      <text>
        <r>
          <rPr>
            <b/>
            <sz val="9"/>
            <color indexed="81"/>
            <rFont val="宋体"/>
            <family val="2"/>
          </rPr>
          <t>#Input("延炼_油品动态_9514_油尺",":key{{dw}}")</t>
        </r>
      </text>
    </comment>
    <comment ref="F42" authorId="0">
      <text>
        <r>
          <rPr>
            <b/>
            <sz val="9"/>
            <color indexed="81"/>
            <rFont val="宋体"/>
            <family val="2"/>
          </rPr>
          <t>#Input("延炼_油品动态_9514_油量",":key{{dw}}",":read")</t>
        </r>
      </text>
    </comment>
    <comment ref="G42" authorId="0">
      <text>
        <r>
          <rPr>
            <b/>
            <sz val="9"/>
            <color indexed="81"/>
            <rFont val="宋体"/>
            <family val="2"/>
          </rPr>
          <t>#Input("延炼_油品动态_9514_空量",":key{{dw}}",":read")</t>
        </r>
      </text>
    </comment>
    <comment ref="K42" authorId="0">
      <text>
        <r>
          <rPr>
            <b/>
            <sz val="9"/>
            <color indexed="81"/>
            <rFont val="宋体"/>
            <family val="2"/>
          </rPr>
          <t>#Input("延炼_油品动态_819_油尺",":key{{dw}}")</t>
        </r>
      </text>
    </comment>
    <comment ref="L42" authorId="0">
      <text>
        <r>
          <rPr>
            <b/>
            <sz val="9"/>
            <color indexed="81"/>
            <rFont val="宋体"/>
            <family val="2"/>
          </rPr>
          <t>#Input("延炼_油品动态_819_油量",":key{{dw}}",":read")</t>
        </r>
      </text>
    </comment>
    <comment ref="M42" authorId="0">
      <text>
        <r>
          <rPr>
            <b/>
            <sz val="9"/>
            <color indexed="81"/>
            <rFont val="宋体"/>
            <family val="2"/>
          </rPr>
          <t>#Input("延炼_油品动态_819_空量",":key{{dw}}",":read")</t>
        </r>
      </text>
    </comment>
    <comment ref="E43" authorId="0">
      <text>
        <r>
          <rPr>
            <b/>
            <sz val="9"/>
            <color indexed="81"/>
            <rFont val="宋体"/>
            <family val="2"/>
          </rPr>
          <t>#Input("延炼_油品动态_9516_油尺",":key{{dw}}")</t>
        </r>
      </text>
    </comment>
    <comment ref="F43" authorId="0">
      <text>
        <r>
          <rPr>
            <b/>
            <sz val="9"/>
            <color indexed="81"/>
            <rFont val="宋体"/>
            <family val="2"/>
          </rPr>
          <t>#Input("延炼_油品动态_9516_油量",":key{{dw}}",":read")</t>
        </r>
      </text>
    </comment>
    <comment ref="G43" authorId="0">
      <text>
        <r>
          <rPr>
            <b/>
            <sz val="9"/>
            <color indexed="81"/>
            <rFont val="宋体"/>
            <family val="2"/>
          </rPr>
          <t>#Input("延炼_油品动态_9516_空量",":key{{dw}}",":read")</t>
        </r>
      </text>
    </comment>
    <comment ref="K43" authorId="0">
      <text>
        <r>
          <rPr>
            <b/>
            <sz val="9"/>
            <color indexed="81"/>
            <rFont val="宋体"/>
            <family val="2"/>
          </rPr>
          <t>#Input("延炼_油品动态_26103_油尺",":key{{dw}}")</t>
        </r>
      </text>
    </comment>
    <comment ref="L43" authorId="0">
      <text>
        <r>
          <rPr>
            <b/>
            <sz val="9"/>
            <color indexed="81"/>
            <rFont val="宋体"/>
            <family val="2"/>
          </rPr>
          <t>#Input("延炼_油品动态_26103_油量",":key{{dw}}",":read")</t>
        </r>
      </text>
    </comment>
    <comment ref="M43" authorId="0">
      <text>
        <r>
          <rPr>
            <b/>
            <sz val="9"/>
            <color indexed="81"/>
            <rFont val="宋体"/>
            <family val="2"/>
          </rPr>
          <t>#Input("延炼_油品动态_26103_空量",":key{{dw}}",":read")</t>
        </r>
      </text>
    </comment>
    <comment ref="F44" authorId="0">
      <text>
        <r>
          <rPr>
            <sz val="9"/>
            <color indexed="81"/>
            <rFont val="Arial"/>
            <family val="2"/>
          </rPr>
          <t xml:space="preserve">#Input("延炼_油品动态_MTBE_油量",":key{{dw}}",":read")
</t>
        </r>
      </text>
    </comment>
    <comment ref="G44" authorId="0">
      <text>
        <r>
          <rPr>
            <sz val="9"/>
            <color indexed="81"/>
            <rFont val="Arial"/>
            <family val="2"/>
          </rPr>
          <t xml:space="preserve">#Input("延炼_油品动态_MTBE_空量",":key{{dw}}",":read")
</t>
        </r>
      </text>
    </comment>
    <comment ref="K44" authorId="0">
      <text>
        <r>
          <rPr>
            <b/>
            <sz val="9"/>
            <color indexed="81"/>
            <rFont val="宋体"/>
            <family val="2"/>
          </rPr>
          <t>#Input("延炼_油品动态_26104_油尺",":key{{dw}}")</t>
        </r>
      </text>
    </comment>
    <comment ref="L44" authorId="0">
      <text>
        <r>
          <rPr>
            <b/>
            <sz val="9"/>
            <color indexed="81"/>
            <rFont val="宋体"/>
            <family val="2"/>
          </rPr>
          <t>#Input("延炼_油品动态_26104_油量",":key{{dw}}",":read")</t>
        </r>
      </text>
    </comment>
    <comment ref="M44" authorId="0">
      <text>
        <r>
          <rPr>
            <b/>
            <sz val="9"/>
            <color indexed="81"/>
            <rFont val="宋体"/>
            <family val="2"/>
          </rPr>
          <t>#Input("延炼_油品动态_26104_空量",":key{{dw}}",":read")</t>
        </r>
      </text>
    </comment>
    <comment ref="L45" authorId="0">
      <text>
        <r>
          <rPr>
            <b/>
            <sz val="9"/>
            <color indexed="81"/>
            <rFont val="宋体"/>
            <family val="2"/>
          </rPr>
          <t>#Input("延炼_油品动态_0#柴油_油量",":key{{dw}}",":read")</t>
        </r>
      </text>
    </comment>
    <comment ref="M45" authorId="0">
      <text>
        <r>
          <rPr>
            <sz val="9"/>
            <color indexed="81"/>
            <rFont val="Arial"/>
            <family val="2"/>
          </rPr>
          <t xml:space="preserve">#Input("延炼_油品动态_0#柴油_空量",":key{{dw}}",":read")
</t>
        </r>
      </text>
    </comment>
    <comment ref="E46" authorId="0">
      <text>
        <r>
          <rPr>
            <b/>
            <sz val="9"/>
            <color indexed="81"/>
            <rFont val="宋体"/>
            <family val="2"/>
          </rPr>
          <t>#Input("延炼_油品动态_9515_油尺",":key{{dw}}")</t>
        </r>
      </text>
    </comment>
    <comment ref="F46" authorId="0">
      <text>
        <r>
          <rPr>
            <b/>
            <sz val="9"/>
            <color indexed="81"/>
            <rFont val="宋体"/>
            <family val="2"/>
          </rPr>
          <t>#Input("延炼_油品动态_9515_油量",":key{{dw}}",":read")</t>
        </r>
      </text>
    </comment>
    <comment ref="G46" authorId="0">
      <text>
        <r>
          <rPr>
            <b/>
            <sz val="9"/>
            <color indexed="81"/>
            <rFont val="宋体"/>
            <family val="2"/>
          </rPr>
          <t>#Input("延炼_油品动态_9515_空量",":key{{dw}}",":read")</t>
        </r>
      </text>
    </comment>
    <comment ref="F47" authorId="0">
      <text>
        <r>
          <rPr>
            <sz val="9"/>
            <color indexed="81"/>
            <rFont val="Arial"/>
            <family val="2"/>
          </rPr>
          <t>#Input("延炼_油品动态_二甲苯_油量",":key{{dw}}",":read")</t>
        </r>
      </text>
    </comment>
    <comment ref="G47" authorId="0">
      <text>
        <r>
          <rPr>
            <sz val="9"/>
            <color indexed="81"/>
            <rFont val="Arial"/>
            <family val="2"/>
          </rPr>
          <t>#Input("延炼_油品动态_二甲苯_空量",":key{{dw}}",":read")</t>
        </r>
      </text>
    </comment>
    <comment ref="K47" authorId="0">
      <text>
        <r>
          <rPr>
            <b/>
            <sz val="9"/>
            <color indexed="81"/>
            <rFont val="宋体"/>
            <family val="2"/>
          </rPr>
          <t>#Input("延炼_油品动态_26105_油尺",":key{{dw}}")</t>
        </r>
      </text>
    </comment>
    <comment ref="L47" authorId="0">
      <text>
        <r>
          <rPr>
            <b/>
            <sz val="9"/>
            <color indexed="81"/>
            <rFont val="宋体"/>
            <family val="2"/>
          </rPr>
          <t>#Input("延炼_油品动态_26105_油量",":key{{dw}}",":read")</t>
        </r>
      </text>
    </comment>
    <comment ref="M47" authorId="0">
      <text>
        <r>
          <rPr>
            <b/>
            <sz val="9"/>
            <color indexed="81"/>
            <rFont val="宋体"/>
            <family val="2"/>
          </rPr>
          <t>#Input("延炼_油品动态_26105_空量",":key{{dw}}",":read")</t>
        </r>
      </text>
    </comment>
    <comment ref="K48" authorId="0">
      <text>
        <r>
          <rPr>
            <b/>
            <sz val="9"/>
            <color indexed="81"/>
            <rFont val="宋体"/>
            <family val="2"/>
          </rPr>
          <t>#Input("延炼_油品动态_26106_油尺",":key{{dw}}")</t>
        </r>
      </text>
    </comment>
    <comment ref="L48" authorId="0">
      <text>
        <r>
          <rPr>
            <b/>
            <sz val="9"/>
            <color indexed="81"/>
            <rFont val="宋体"/>
            <family val="2"/>
          </rPr>
          <t>#Input("延炼_油品动态_26106_油量",":key{{dw}}",":read")</t>
        </r>
      </text>
    </comment>
    <comment ref="M48" authorId="0">
      <text>
        <r>
          <rPr>
            <b/>
            <sz val="9"/>
            <color indexed="81"/>
            <rFont val="宋体"/>
            <family val="2"/>
          </rPr>
          <t>#Input("延炼_油品动态_26106_空量",":key{{dw}}",":read")</t>
        </r>
      </text>
    </comment>
    <comment ref="E49" authorId="0">
      <text>
        <r>
          <rPr>
            <b/>
            <sz val="9"/>
            <color indexed="81"/>
            <rFont val="宋体"/>
            <family val="2"/>
          </rPr>
          <t>#Input("延炼_油品动态_9525_油尺",":key{{dw}}")</t>
        </r>
      </text>
    </comment>
    <comment ref="F49" authorId="0">
      <text>
        <r>
          <rPr>
            <b/>
            <sz val="9"/>
            <color indexed="81"/>
            <rFont val="宋体"/>
            <family val="2"/>
          </rPr>
          <t>#Input("延炼_油品动态_9525_油量",":key{{dw}}",":read")</t>
        </r>
      </text>
    </comment>
    <comment ref="G49" authorId="0">
      <text>
        <r>
          <rPr>
            <b/>
            <sz val="9"/>
            <color indexed="81"/>
            <rFont val="宋体"/>
            <family val="2"/>
          </rPr>
          <t>#Input("延炼_油品动态_9525_空量",":key{{dw}}",":read")</t>
        </r>
      </text>
    </comment>
    <comment ref="K49" authorId="0">
      <text>
        <r>
          <rPr>
            <b/>
            <sz val="9"/>
            <color indexed="81"/>
            <rFont val="宋体"/>
            <family val="2"/>
          </rPr>
          <t>#Input("延炼_油品动态_26107_油尺",":key{{dw}}")</t>
        </r>
      </text>
    </comment>
    <comment ref="L49" authorId="0">
      <text>
        <r>
          <rPr>
            <b/>
            <sz val="9"/>
            <color indexed="81"/>
            <rFont val="宋体"/>
            <family val="2"/>
          </rPr>
          <t>#Input("延炼_油品动态_26107_油量",":key{{dw}}",":read")</t>
        </r>
      </text>
    </comment>
    <comment ref="M49" authorId="0">
      <text>
        <r>
          <rPr>
            <b/>
            <sz val="9"/>
            <color indexed="81"/>
            <rFont val="宋体"/>
            <family val="2"/>
          </rPr>
          <t>#Input("延炼_油品动态_26107_空量",":key{{dw}}",":read")</t>
        </r>
      </text>
    </comment>
    <comment ref="E50" authorId="0">
      <text>
        <r>
          <rPr>
            <b/>
            <sz val="9"/>
            <color indexed="81"/>
            <rFont val="宋体"/>
            <family val="2"/>
          </rPr>
          <t>#Input("延炼_油品动态_9526_油尺",":key{{dw}}")</t>
        </r>
      </text>
    </comment>
    <comment ref="F50" authorId="0">
      <text>
        <r>
          <rPr>
            <b/>
            <sz val="9"/>
            <color indexed="81"/>
            <rFont val="宋体"/>
            <family val="2"/>
          </rPr>
          <t>#Input("延炼_油品动态_9526_油量",":key{{dw}}",":read")</t>
        </r>
      </text>
    </comment>
    <comment ref="G50" authorId="0">
      <text>
        <r>
          <rPr>
            <b/>
            <sz val="9"/>
            <color indexed="81"/>
            <rFont val="宋体"/>
            <family val="2"/>
          </rPr>
          <t>#Input("延炼_油品动态_9526_空量",":key{{dw}}",":read")</t>
        </r>
      </text>
    </comment>
    <comment ref="L50" authorId="0">
      <text>
        <r>
          <rPr>
            <b/>
            <sz val="9"/>
            <color indexed="81"/>
            <rFont val="宋体"/>
            <family val="2"/>
          </rPr>
          <t>#Input("延炼_油品动态_3#喷气燃料_油量",":key{{dw}}",":read")</t>
        </r>
      </text>
    </comment>
    <comment ref="M50" authorId="0">
      <text>
        <r>
          <rPr>
            <b/>
            <sz val="9"/>
            <color indexed="81"/>
            <rFont val="宋体"/>
            <family val="2"/>
          </rPr>
          <t>#Input("延炼_油品动态_3#喷气燃料油_空量",":key{{dw}}",":read")</t>
        </r>
      </text>
    </comment>
    <comment ref="F51" authorId="0">
      <text>
        <r>
          <rPr>
            <b/>
            <sz val="9"/>
            <color indexed="81"/>
            <rFont val="宋体"/>
            <family val="2"/>
          </rPr>
          <t>#Input("延炼_油品动态_航煤原料_油量",":key{{dw}}",":read")</t>
        </r>
      </text>
    </comment>
    <comment ref="G51" authorId="0">
      <text>
        <r>
          <rPr>
            <b/>
            <sz val="9"/>
            <color indexed="81"/>
            <rFont val="宋体"/>
            <family val="2"/>
          </rPr>
          <t>#Input("延炼_油品动态_航煤原料_空量",":key{{dw}}",":read")</t>
        </r>
      </text>
    </comment>
    <comment ref="K53" authorId="0">
      <text>
        <r>
          <rPr>
            <b/>
            <sz val="9"/>
            <color indexed="81"/>
            <rFont val="宋体"/>
            <family val="2"/>
          </rPr>
          <t>#Input("延炼_油品动态_2101_油尺",":key{{dw}}")</t>
        </r>
      </text>
    </comment>
    <comment ref="L53" authorId="0">
      <text>
        <r>
          <rPr>
            <b/>
            <sz val="9"/>
            <color indexed="81"/>
            <rFont val="宋体"/>
            <family val="2"/>
          </rPr>
          <t>#Input("延炼_油品动态_2101_油量",":key{{dw}}",":read")</t>
        </r>
      </text>
    </comment>
    <comment ref="M53" authorId="0">
      <text>
        <r>
          <rPr>
            <b/>
            <sz val="9"/>
            <color indexed="81"/>
            <rFont val="宋体"/>
            <family val="2"/>
          </rPr>
          <t>#Input("延炼_油品动态_2101_空量",":key{{dw}}",":read")</t>
        </r>
      </text>
    </comment>
    <comment ref="B54" authorId="0">
      <text>
        <r>
          <rPr>
            <b/>
            <sz val="9"/>
            <color indexed="81"/>
            <rFont val="宋体"/>
            <family val="2"/>
          </rPr>
          <t>#Input("延炼_油品动态_烷基化油调罐1_罐号",":key{{dw}}")</t>
        </r>
      </text>
    </comment>
    <comment ref="E54" authorId="0">
      <text>
        <r>
          <rPr>
            <b/>
            <sz val="9"/>
            <color indexed="81"/>
            <rFont val="宋体"/>
            <family val="2"/>
          </rPr>
          <t>#Input("延炼_油品动态_烷基化油调罐1_油尺",":key{{dw}}")</t>
        </r>
      </text>
    </comment>
    <comment ref="F54" authorId="0">
      <text>
        <r>
          <rPr>
            <b/>
            <sz val="9"/>
            <color indexed="81"/>
            <rFont val="宋体"/>
            <family val="2"/>
          </rPr>
          <t>#Input("延炼_油品动态_烷基化油调罐1_油量",":key{{dw}}",":read")</t>
        </r>
      </text>
    </comment>
    <comment ref="G54" authorId="0">
      <text>
        <r>
          <rPr>
            <b/>
            <sz val="9"/>
            <color indexed="81"/>
            <rFont val="宋体"/>
            <family val="2"/>
          </rPr>
          <t>#Input("延炼_油品动态_烷基化油调罐1_空量",":key{{dw}}",":read")</t>
        </r>
      </text>
    </comment>
    <comment ref="K54" authorId="0">
      <text>
        <r>
          <rPr>
            <b/>
            <sz val="9"/>
            <color indexed="81"/>
            <rFont val="宋体"/>
            <family val="2"/>
          </rPr>
          <t>#Input("延炼_油品动态_2102_油尺",":key{{dw}}")</t>
        </r>
      </text>
    </comment>
    <comment ref="L54" authorId="0">
      <text>
        <r>
          <rPr>
            <b/>
            <sz val="9"/>
            <color indexed="81"/>
            <rFont val="宋体"/>
            <family val="2"/>
          </rPr>
          <t>#Input("延炼_油品动态_2102_油量",":key{{dw}}",":read")</t>
        </r>
      </text>
    </comment>
    <comment ref="M54" authorId="0">
      <text>
        <r>
          <rPr>
            <b/>
            <sz val="9"/>
            <color indexed="81"/>
            <rFont val="宋体"/>
            <family val="2"/>
          </rPr>
          <t>#Input("延炼_油品动态_2102_空量",":key{{dw}}",":read")</t>
        </r>
      </text>
    </comment>
    <comment ref="B55" authorId="0">
      <text>
        <r>
          <rPr>
            <b/>
            <sz val="9"/>
            <color indexed="81"/>
            <rFont val="宋体"/>
            <family val="2"/>
          </rPr>
          <t>#Input("延炼_油品动态_烷基化油调罐2_罐号",":key{{dw}}")</t>
        </r>
      </text>
    </comment>
    <comment ref="E55" authorId="0">
      <text>
        <r>
          <rPr>
            <b/>
            <sz val="9"/>
            <color indexed="81"/>
            <rFont val="宋体"/>
            <family val="2"/>
          </rPr>
          <t>#Input("延炼_油品动态_烷基化油调罐2_油尺",":key{{dw}}")</t>
        </r>
      </text>
    </comment>
    <comment ref="F55" authorId="0">
      <text>
        <r>
          <rPr>
            <b/>
            <sz val="9"/>
            <color indexed="81"/>
            <rFont val="宋体"/>
            <family val="2"/>
          </rPr>
          <t>#Input("延炼_油品动态_烷基化油调罐2_油量",":key{{dw}}",":read")</t>
        </r>
      </text>
    </comment>
    <comment ref="G55" authorId="0">
      <text>
        <r>
          <rPr>
            <b/>
            <sz val="9"/>
            <color indexed="81"/>
            <rFont val="宋体"/>
            <family val="2"/>
          </rPr>
          <t>#Input("延炼_油品动态_烷基化油调罐2_空量",":key{{dw}}",":read")</t>
        </r>
      </text>
    </comment>
    <comment ref="K55" authorId="0">
      <text>
        <r>
          <rPr>
            <b/>
            <sz val="9"/>
            <color indexed="81"/>
            <rFont val="宋体"/>
            <family val="2"/>
          </rPr>
          <t>#Input("延炼_油品动态_2103_油尺",":key{{dw}}")</t>
        </r>
      </text>
    </comment>
    <comment ref="L55" authorId="0">
      <text>
        <r>
          <rPr>
            <b/>
            <sz val="9"/>
            <color indexed="81"/>
            <rFont val="宋体"/>
            <family val="2"/>
          </rPr>
          <t>#Input("延炼_油品动态_2103_油量",":key{{dw}}",":read")</t>
        </r>
      </text>
    </comment>
    <comment ref="M55" authorId="0">
      <text>
        <r>
          <rPr>
            <b/>
            <sz val="9"/>
            <color indexed="81"/>
            <rFont val="宋体"/>
            <family val="2"/>
          </rPr>
          <t>#Input("延炼_油品动态_2103_空量",":key{{dw}}",":read")</t>
        </r>
      </text>
    </comment>
    <comment ref="F56" authorId="0">
      <text>
        <r>
          <rPr>
            <b/>
            <sz val="9"/>
            <color indexed="81"/>
            <rFont val="宋体"/>
            <family val="2"/>
          </rPr>
          <t>#Input("延炼_油品动态_烷基化油_油量",":key{{dw}}",":read")</t>
        </r>
      </text>
    </comment>
    <comment ref="G56" authorId="0">
      <text>
        <r>
          <rPr>
            <b/>
            <sz val="9"/>
            <color indexed="81"/>
            <rFont val="宋体"/>
            <family val="2"/>
          </rPr>
          <t>#Input("延炼_油品动态_烷基化油_空量",":key{{dw}}",":read")</t>
        </r>
      </text>
    </comment>
    <comment ref="K56" authorId="0">
      <text>
        <r>
          <rPr>
            <b/>
            <sz val="9"/>
            <color indexed="81"/>
            <rFont val="宋体"/>
            <family val="2"/>
          </rPr>
          <t>#Input("延炼_油品动态_2104_油尺",":key{{dw}}")</t>
        </r>
      </text>
    </comment>
    <comment ref="L56" authorId="0">
      <text>
        <r>
          <rPr>
            <b/>
            <sz val="9"/>
            <color indexed="81"/>
            <rFont val="宋体"/>
            <family val="2"/>
          </rPr>
          <t>#Input("延炼_油品动态_2104_油量",":key{{dw}}",":read")</t>
        </r>
      </text>
    </comment>
    <comment ref="M56" authorId="0">
      <text>
        <r>
          <rPr>
            <b/>
            <sz val="9"/>
            <color indexed="81"/>
            <rFont val="宋体"/>
            <family val="2"/>
          </rPr>
          <t>#Input("延炼_油品动态_2104_空量",":key{{dw}}",":read")</t>
        </r>
      </text>
    </comment>
    <comment ref="L57" authorId="0">
      <text>
        <r>
          <rPr>
            <b/>
            <sz val="9"/>
            <color indexed="81"/>
            <rFont val="宋体"/>
            <family val="2"/>
          </rPr>
          <t>#Input("延炼_油品动态_乙苯_油量",":key{{dw}}",":read")</t>
        </r>
      </text>
    </comment>
    <comment ref="M57" authorId="0">
      <text>
        <r>
          <rPr>
            <sz val="9"/>
            <color indexed="81"/>
            <rFont val="Arial"/>
            <family val="2"/>
          </rPr>
          <t xml:space="preserve">#Input("延炼_油品动态_乙苯_空量",":key{{dw}}",":read")
</t>
        </r>
      </text>
    </comment>
    <comment ref="E59" authorId="0">
      <text>
        <r>
          <rPr>
            <b/>
            <sz val="9"/>
            <color indexed="81"/>
            <rFont val="宋体"/>
            <family val="2"/>
          </rPr>
          <t>#Input("延炼_油品动态_806_油尺",":key{{dw}}")</t>
        </r>
      </text>
    </comment>
    <comment ref="F59" authorId="0">
      <text>
        <r>
          <rPr>
            <b/>
            <sz val="9"/>
            <color indexed="81"/>
            <rFont val="宋体"/>
            <family val="2"/>
          </rPr>
          <t>#Input("延炼_油品动态_806_油量",":key{{dw}}",":read")</t>
        </r>
      </text>
    </comment>
    <comment ref="G59" authorId="0">
      <text>
        <r>
          <rPr>
            <b/>
            <sz val="9"/>
            <color indexed="81"/>
            <rFont val="宋体"/>
            <family val="2"/>
          </rPr>
          <t>#Input("延炼_油品动态_806_空量",":key{{dw}}",":read")</t>
        </r>
      </text>
    </comment>
    <comment ref="E60" authorId="0">
      <text>
        <r>
          <rPr>
            <b/>
            <sz val="9"/>
            <color indexed="81"/>
            <rFont val="宋体"/>
            <family val="2"/>
          </rPr>
          <t>#Input("延炼_油品动态_807_油尺",":key{{dw}}")</t>
        </r>
      </text>
    </comment>
    <comment ref="F60" authorId="0">
      <text>
        <r>
          <rPr>
            <b/>
            <sz val="9"/>
            <color indexed="81"/>
            <rFont val="宋体"/>
            <family val="2"/>
          </rPr>
          <t>#Input("延炼_油品动态_807_油量",":key{{dw}}",":read")</t>
        </r>
      </text>
    </comment>
    <comment ref="G60" authorId="0">
      <text>
        <r>
          <rPr>
            <b/>
            <sz val="9"/>
            <color indexed="81"/>
            <rFont val="宋体"/>
            <family val="2"/>
          </rPr>
          <t>#Input("延炼_油品动态_807_空量",":key{{dw}}",":read")</t>
        </r>
      </text>
    </comment>
    <comment ref="K60" authorId="0">
      <text>
        <r>
          <rPr>
            <b/>
            <sz val="9"/>
            <color indexed="81"/>
            <rFont val="宋体"/>
            <family val="2"/>
          </rPr>
          <t>#Input("延炼_油品动态_2105_油尺",":key{{dw}}")</t>
        </r>
      </text>
    </comment>
    <comment ref="L60" authorId="0">
      <text>
        <r>
          <rPr>
            <b/>
            <sz val="9"/>
            <color indexed="81"/>
            <rFont val="宋体"/>
            <family val="2"/>
          </rPr>
          <t>#Input("延炼_油品动态_2105_油量",":key{{dw}}",":read")</t>
        </r>
      </text>
    </comment>
    <comment ref="M60" authorId="0">
      <text>
        <r>
          <rPr>
            <b/>
            <sz val="9"/>
            <color indexed="81"/>
            <rFont val="宋体"/>
            <family val="2"/>
          </rPr>
          <t>#Input("延炼_油品动态_2105_空量",":key{{dw}}",":read")</t>
        </r>
      </text>
    </comment>
    <comment ref="B61" authorId="0">
      <text>
        <r>
          <rPr>
            <b/>
            <sz val="9"/>
            <color indexed="81"/>
            <rFont val="宋体"/>
            <family val="2"/>
          </rPr>
          <t>#Input("延炼_油品动态_92#调罐1_罐号",":key{{dw}}")</t>
        </r>
      </text>
    </comment>
    <comment ref="C61" authorId="0">
      <text>
        <r>
          <rPr>
            <b/>
            <sz val="9"/>
            <color indexed="81"/>
            <rFont val="宋体"/>
            <family val="2"/>
          </rPr>
          <t>#Input("延炼_油品动态_92#调罐1_容积",":key{{dw}}")</t>
        </r>
      </text>
    </comment>
    <comment ref="D61" authorId="0">
      <text>
        <r>
          <rPr>
            <b/>
            <sz val="9"/>
            <color indexed="81"/>
            <rFont val="宋体"/>
            <family val="2"/>
          </rPr>
          <t>#Input("延炼_油品动态_92#调罐1_安全高度",":key{{dw}}")</t>
        </r>
      </text>
    </comment>
    <comment ref="E61" authorId="0">
      <text>
        <r>
          <rPr>
            <b/>
            <sz val="9"/>
            <color indexed="81"/>
            <rFont val="宋体"/>
            <family val="2"/>
          </rPr>
          <t>#Input("延炼_油品动态_92#调罐1_油尺",":key{{dw}}")</t>
        </r>
      </text>
    </comment>
    <comment ref="F61" authorId="0">
      <text>
        <r>
          <rPr>
            <b/>
            <sz val="9"/>
            <color indexed="81"/>
            <rFont val="宋体"/>
            <family val="2"/>
          </rPr>
          <t>#Input("延炼_油品动态_92#调罐1_油量",":key{{dw}}",":read")</t>
        </r>
      </text>
    </comment>
    <comment ref="G61" authorId="0">
      <text>
        <r>
          <rPr>
            <b/>
            <sz val="9"/>
            <color indexed="81"/>
            <rFont val="宋体"/>
            <family val="2"/>
          </rPr>
          <t>#Input("延炼_油品动态_92#调罐1_空量",":key{{dw}}",":read")</t>
        </r>
      </text>
    </comment>
    <comment ref="L61" authorId="0">
      <text>
        <r>
          <rPr>
            <b/>
            <sz val="9"/>
            <color indexed="81"/>
            <rFont val="宋体"/>
            <family val="2"/>
          </rPr>
          <t>#Input("延炼_油品动态_烃化液_油量",":key{{dw}}",":read</t>
        </r>
      </text>
    </comment>
    <comment ref="M61" authorId="0">
      <text>
        <r>
          <rPr>
            <b/>
            <sz val="9"/>
            <color indexed="81"/>
            <rFont val="宋体"/>
            <family val="2"/>
          </rPr>
          <t>#Input("延炼_油品动态_烃化液_空量",":key{{dw}}",":read</t>
        </r>
      </text>
    </comment>
    <comment ref="B62" authorId="0">
      <text>
        <r>
          <rPr>
            <b/>
            <sz val="9"/>
            <color indexed="81"/>
            <rFont val="宋体"/>
            <family val="2"/>
          </rPr>
          <t>#Input("延炼_油品动态_92#调罐2_罐号",":key{{dw}}")</t>
        </r>
      </text>
    </comment>
    <comment ref="E62" authorId="0">
      <text>
        <r>
          <rPr>
            <b/>
            <sz val="9"/>
            <color indexed="81"/>
            <rFont val="宋体"/>
            <family val="2"/>
          </rPr>
          <t>#Input("延炼_油品动态_92#调罐2_油尺",":key{{dw}}")</t>
        </r>
      </text>
    </comment>
    <comment ref="F62" authorId="0">
      <text>
        <r>
          <rPr>
            <b/>
            <sz val="9"/>
            <color indexed="81"/>
            <rFont val="宋体"/>
            <family val="2"/>
          </rPr>
          <t>#Input("延炼_油品动态_92#调罐2_油量",":key{{dw}}",":read")</t>
        </r>
      </text>
    </comment>
    <comment ref="G62" authorId="0">
      <text>
        <r>
          <rPr>
            <b/>
            <sz val="9"/>
            <color indexed="81"/>
            <rFont val="宋体"/>
            <family val="2"/>
          </rPr>
          <t>#Input("延炼_油品动态_92#调罐2_空量",":key{{dw}}",":read")</t>
        </r>
      </text>
    </comment>
    <comment ref="B63" authorId="0">
      <text>
        <r>
          <rPr>
            <sz val="9"/>
            <color indexed="81"/>
            <rFont val="Arial"/>
            <family val="2"/>
          </rPr>
          <t xml:space="preserve">#Input("延炼_油品动态_92#调罐3_罐号",":key{{dw}}")
</t>
        </r>
      </text>
    </comment>
    <comment ref="E63" authorId="0">
      <text>
        <r>
          <rPr>
            <b/>
            <sz val="9"/>
            <color indexed="81"/>
            <rFont val="宋体"/>
            <family val="2"/>
          </rPr>
          <t>#Input("延炼_油品动态_92#调罐3_油尺",":key{{dw}}")</t>
        </r>
      </text>
    </comment>
    <comment ref="F63" authorId="0">
      <text>
        <r>
          <rPr>
            <b/>
            <sz val="9"/>
            <color indexed="81"/>
            <rFont val="宋体"/>
            <family val="2"/>
          </rPr>
          <t>#Input("延炼_油品动态_92#调罐3_油量",":key{{dw}}",":read")</t>
        </r>
      </text>
    </comment>
    <comment ref="G63" authorId="0">
      <text>
        <r>
          <rPr>
            <b/>
            <sz val="9"/>
            <color indexed="81"/>
            <rFont val="宋体"/>
            <family val="2"/>
          </rPr>
          <t>#Input("延炼_油品动态_92#调罐3_空量",":key{{dw}}",":read")</t>
        </r>
      </text>
    </comment>
    <comment ref="B64" authorId="0">
      <text>
        <r>
          <rPr>
            <sz val="9"/>
            <color indexed="81"/>
            <rFont val="Arial"/>
            <family val="2"/>
          </rPr>
          <t xml:space="preserve">#Input("延炼_油品动态_92#调罐4_罐号",":key{{dw}}")
</t>
        </r>
      </text>
    </comment>
    <comment ref="E64" authorId="0">
      <text>
        <r>
          <rPr>
            <b/>
            <sz val="9"/>
            <color indexed="81"/>
            <rFont val="宋体"/>
            <family val="2"/>
          </rPr>
          <t>#Input("延炼_油品动态_825_油尺",":key{{dw}}")</t>
        </r>
      </text>
    </comment>
    <comment ref="F64" authorId="0">
      <text>
        <r>
          <rPr>
            <b/>
            <sz val="9"/>
            <color indexed="81"/>
            <rFont val="宋体"/>
            <family val="2"/>
          </rPr>
          <t>#Input("延炼_油品动态_92#调罐4_油量",":key{{dw}}",":read")</t>
        </r>
      </text>
    </comment>
    <comment ref="G64" authorId="0">
      <text>
        <r>
          <rPr>
            <b/>
            <sz val="9"/>
            <color indexed="81"/>
            <rFont val="宋体"/>
            <family val="2"/>
          </rPr>
          <t>#Input("延炼_油品动态_92#调罐4_空量",":key{{dw}}",":read")</t>
        </r>
      </text>
    </comment>
    <comment ref="K64" authorId="0">
      <text>
        <r>
          <rPr>
            <b/>
            <sz val="9"/>
            <color indexed="81"/>
            <rFont val="宋体"/>
            <family val="2"/>
          </rPr>
          <t>#Input("延炼_油品动态_2106_油尺",":key{{dw}}")</t>
        </r>
      </text>
    </comment>
    <comment ref="L64" authorId="0">
      <text>
        <r>
          <rPr>
            <b/>
            <sz val="9"/>
            <color indexed="81"/>
            <rFont val="宋体"/>
            <family val="2"/>
          </rPr>
          <t>#Input("延炼_油品动态_2106_油量",":key{{dw}}",":read")</t>
        </r>
      </text>
    </comment>
    <comment ref="M64" authorId="0">
      <text>
        <r>
          <rPr>
            <b/>
            <sz val="9"/>
            <color indexed="81"/>
            <rFont val="宋体"/>
            <family val="2"/>
          </rPr>
          <t>#Input("延炼_油品动态_2106_空量",":key{{dw}}",":read")</t>
        </r>
      </text>
    </comment>
    <comment ref="B65" authorId="0">
      <text>
        <r>
          <rPr>
            <sz val="9"/>
            <color indexed="81"/>
            <rFont val="Arial"/>
            <family val="2"/>
          </rPr>
          <t xml:space="preserve">#Input("延炼_油品动态_92#调罐5_罐号",":key{{dw}}")
</t>
        </r>
      </text>
    </comment>
    <comment ref="E65" authorId="0">
      <text>
        <r>
          <rPr>
            <b/>
            <sz val="9"/>
            <color indexed="81"/>
            <rFont val="宋体"/>
            <family val="2"/>
          </rPr>
          <t>#Input("延炼_油品动态_92#调罐5_油尺",":key{{dw}}")</t>
        </r>
      </text>
    </comment>
    <comment ref="F65" authorId="0">
      <text>
        <r>
          <rPr>
            <b/>
            <sz val="9"/>
            <color indexed="81"/>
            <rFont val="宋体"/>
            <family val="2"/>
          </rPr>
          <t>#Input("延炼_油品动态_92#调罐5_油量",":key{{dw}}",":read")</t>
        </r>
      </text>
    </comment>
    <comment ref="G65" authorId="0">
      <text>
        <r>
          <rPr>
            <b/>
            <sz val="9"/>
            <color indexed="81"/>
            <rFont val="宋体"/>
            <family val="2"/>
          </rPr>
          <t>#Input("延炼_油品动态_92#调罐5_空量",":key{{dw}}",":read")</t>
        </r>
      </text>
    </comment>
    <comment ref="L65" authorId="0">
      <text>
        <r>
          <rPr>
            <b/>
            <sz val="9"/>
            <color indexed="81"/>
            <rFont val="宋体"/>
            <family val="2"/>
          </rPr>
          <t>#Input("延炼_油品动态_脱氢液_油量",":key{{dw}}",":read")</t>
        </r>
      </text>
    </comment>
    <comment ref="M65" authorId="0">
      <text>
        <r>
          <rPr>
            <b/>
            <sz val="9"/>
            <color indexed="81"/>
            <rFont val="宋体"/>
            <family val="2"/>
          </rPr>
          <t>#Input("延炼_油品动态_脱氢液_空量",":key{{dw}}",":read")</t>
        </r>
      </text>
    </comment>
    <comment ref="E66" authorId="0">
      <text>
        <r>
          <rPr>
            <b/>
            <sz val="9"/>
            <color indexed="81"/>
            <rFont val="宋体"/>
            <family val="2"/>
          </rPr>
          <t>#Input("延炼_油品动态_26101_油尺",":key{{dw}}")</t>
        </r>
      </text>
    </comment>
    <comment ref="F66" authorId="0">
      <text>
        <r>
          <rPr>
            <b/>
            <sz val="9"/>
            <color indexed="81"/>
            <rFont val="宋体"/>
            <family val="2"/>
          </rPr>
          <t>#Input("延炼_油品动态_26101_油量",":key{{dw}}",":read")</t>
        </r>
      </text>
    </comment>
    <comment ref="G66" authorId="0">
      <text>
        <r>
          <rPr>
            <b/>
            <sz val="9"/>
            <color indexed="81"/>
            <rFont val="宋体"/>
            <family val="2"/>
          </rPr>
          <t>#Input("延炼_油品动态_26101_空量",":key{{dw}}",":read")</t>
        </r>
      </text>
    </comment>
    <comment ref="F67" authorId="0">
      <text>
        <r>
          <rPr>
            <b/>
            <sz val="9"/>
            <color indexed="81"/>
            <rFont val="宋体"/>
            <family val="2"/>
          </rPr>
          <t>#Input("延炼_油品动态_92#汽油_油量",":key{{dw}}",":read")</t>
        </r>
      </text>
    </comment>
    <comment ref="G67" authorId="0">
      <text>
        <r>
          <rPr>
            <b/>
            <sz val="9"/>
            <color indexed="81"/>
            <rFont val="宋体"/>
            <family val="2"/>
          </rPr>
          <t>#Input("延炼_油品动态_92#汽油_空量",":key{{dw}}",":read")</t>
        </r>
      </text>
    </comment>
    <comment ref="E68" authorId="0">
      <text>
        <r>
          <rPr>
            <b/>
            <sz val="9"/>
            <color indexed="81"/>
            <rFont val="宋体"/>
            <family val="2"/>
          </rPr>
          <t>#Input("延炼_油品动态_815_油尺",":key{{dw}}")</t>
        </r>
      </text>
    </comment>
    <comment ref="F68" authorId="0">
      <text>
        <r>
          <rPr>
            <b/>
            <sz val="9"/>
            <color indexed="81"/>
            <rFont val="宋体"/>
            <family val="2"/>
          </rPr>
          <t>#Input("延炼_油品动态_815_油量",":key{{dw}}",":read")</t>
        </r>
      </text>
    </comment>
    <comment ref="G68" authorId="0">
      <text>
        <r>
          <rPr>
            <b/>
            <sz val="9"/>
            <color indexed="81"/>
            <rFont val="宋体"/>
            <family val="2"/>
          </rPr>
          <t>#Input("延炼_油品动态_815_空量",":key{{dw}}",":read")</t>
        </r>
      </text>
    </comment>
    <comment ref="K68" authorId="0">
      <text>
        <r>
          <rPr>
            <b/>
            <sz val="9"/>
            <color indexed="81"/>
            <rFont val="宋体"/>
            <family val="2"/>
          </rPr>
          <t>#Input("延炼_油品动态_2107_油尺",":key{{dw}}")</t>
        </r>
      </text>
    </comment>
    <comment ref="L68" authorId="0">
      <text>
        <r>
          <rPr>
            <b/>
            <sz val="9"/>
            <color indexed="81"/>
            <rFont val="宋体"/>
            <family val="2"/>
          </rPr>
          <t>#Input("延炼_油品动态_2107_油量",":key{{dw}}",":read")</t>
        </r>
      </text>
    </comment>
    <comment ref="M68" authorId="0">
      <text>
        <r>
          <rPr>
            <b/>
            <sz val="9"/>
            <color indexed="81"/>
            <rFont val="宋体"/>
            <family val="2"/>
          </rPr>
          <t>#Input("延炼_油品动态_2107_空量",":key{{dw}}",":read")</t>
        </r>
      </text>
    </comment>
    <comment ref="K69" authorId="0">
      <text>
        <r>
          <rPr>
            <b/>
            <sz val="9"/>
            <color indexed="81"/>
            <rFont val="宋体"/>
            <family val="2"/>
          </rPr>
          <t>#Input("延炼_油品动态_2108_油尺",":key{{dw}}")</t>
        </r>
      </text>
    </comment>
    <comment ref="L69" authorId="0">
      <text>
        <r>
          <rPr>
            <b/>
            <sz val="9"/>
            <color indexed="81"/>
            <rFont val="宋体"/>
            <family val="2"/>
          </rPr>
          <t>#Input("延炼_油品动态_2108_油量",":key{{dw}}",":read")</t>
        </r>
      </text>
    </comment>
    <comment ref="M69" authorId="0">
      <text>
        <r>
          <rPr>
            <b/>
            <sz val="9"/>
            <color indexed="81"/>
            <rFont val="宋体"/>
            <family val="2"/>
          </rPr>
          <t>#Input("延炼_油品动态_2108_空量",":key{{dw}}",":read")</t>
        </r>
      </text>
    </comment>
    <comment ref="K70" authorId="0">
      <text>
        <r>
          <rPr>
            <b/>
            <sz val="9"/>
            <color indexed="81"/>
            <rFont val="宋体"/>
            <family val="2"/>
          </rPr>
          <t>#Input("延炼_油品动态_2109_油尺",":key{{dw}}")</t>
        </r>
      </text>
    </comment>
    <comment ref="L70" authorId="0">
      <text>
        <r>
          <rPr>
            <b/>
            <sz val="9"/>
            <color indexed="81"/>
            <rFont val="宋体"/>
            <family val="2"/>
          </rPr>
          <t>#Input("延炼_油品动态_2109_油量",":key{{dw}}",":read")</t>
        </r>
      </text>
    </comment>
    <comment ref="M70" authorId="0">
      <text>
        <r>
          <rPr>
            <b/>
            <sz val="9"/>
            <color indexed="81"/>
            <rFont val="宋体"/>
            <family val="2"/>
          </rPr>
          <t>#Input("延炼_油品动态_2109_空量",":key{{dw}}",":read")</t>
        </r>
      </text>
    </comment>
    <comment ref="E71" authorId="0">
      <text>
        <r>
          <rPr>
            <b/>
            <sz val="9"/>
            <color indexed="81"/>
            <rFont val="宋体"/>
            <family val="2"/>
          </rPr>
          <t>#Input("延炼_油品动态_814_油尺",":key{{dw}}")</t>
        </r>
      </text>
    </comment>
    <comment ref="F71" authorId="0">
      <text>
        <r>
          <rPr>
            <b/>
            <sz val="9"/>
            <color indexed="81"/>
            <rFont val="宋体"/>
            <family val="2"/>
          </rPr>
          <t>#Input("延炼_油品动态_814_油量",":key{{dw}}",":read")</t>
        </r>
      </text>
    </comment>
    <comment ref="G71" authorId="0">
      <text>
        <r>
          <rPr>
            <b/>
            <sz val="9"/>
            <color indexed="81"/>
            <rFont val="宋体"/>
            <family val="2"/>
          </rPr>
          <t>#Input("延炼_油品动态_814_空量",":key{{dw}}",":read")</t>
        </r>
      </text>
    </comment>
    <comment ref="K71" authorId="0">
      <text>
        <r>
          <rPr>
            <b/>
            <sz val="9"/>
            <color indexed="81"/>
            <rFont val="宋体"/>
            <family val="2"/>
          </rPr>
          <t>#Input("延炼_油品动态_2110_油尺",":key{{dw}}")</t>
        </r>
      </text>
    </comment>
    <comment ref="L71" authorId="0">
      <text>
        <r>
          <rPr>
            <b/>
            <sz val="9"/>
            <color indexed="81"/>
            <rFont val="宋体"/>
            <family val="2"/>
          </rPr>
          <t>#Input("延炼_油品动态_2110_油量",":key{{dw}}",":read")</t>
        </r>
      </text>
    </comment>
    <comment ref="M71" authorId="0">
      <text>
        <r>
          <rPr>
            <b/>
            <sz val="9"/>
            <color indexed="81"/>
            <rFont val="宋体"/>
            <family val="2"/>
          </rPr>
          <t>#Input("延炼_油品动态_2110_空量",":key{{dw}}",":read")</t>
        </r>
      </text>
    </comment>
    <comment ref="E72" authorId="0">
      <text>
        <r>
          <rPr>
            <b/>
            <sz val="9"/>
            <color indexed="81"/>
            <rFont val="宋体"/>
            <family val="2"/>
          </rPr>
          <t>#Input("延炼_油品动态_816_油尺",":key{{dw}}")</t>
        </r>
      </text>
    </comment>
    <comment ref="F72" authorId="0">
      <text>
        <r>
          <rPr>
            <b/>
            <sz val="9"/>
            <color indexed="81"/>
            <rFont val="宋体"/>
            <family val="2"/>
          </rPr>
          <t>#Input("延炼_油品动态_816_油量",":key{{dw}}",":read")</t>
        </r>
      </text>
    </comment>
    <comment ref="G72" authorId="0">
      <text>
        <r>
          <rPr>
            <b/>
            <sz val="9"/>
            <color indexed="81"/>
            <rFont val="宋体"/>
            <family val="2"/>
          </rPr>
          <t>#Input("延炼_油品动态_816_空量",":key{{dw}}",":read")</t>
        </r>
      </text>
    </comment>
    <comment ref="K72" authorId="0">
      <text>
        <r>
          <rPr>
            <b/>
            <sz val="9"/>
            <color indexed="81"/>
            <rFont val="宋体"/>
            <family val="2"/>
          </rPr>
          <t>#Input("延炼_油品动态_2113_油尺",":key{{dw}}")</t>
        </r>
      </text>
    </comment>
    <comment ref="L72" authorId="0">
      <text>
        <r>
          <rPr>
            <b/>
            <sz val="9"/>
            <color indexed="81"/>
            <rFont val="宋体"/>
            <family val="2"/>
          </rPr>
          <t>#Input("延炼_油品动态_2113_油量",":key{{dw}}",":read")</t>
        </r>
      </text>
    </comment>
    <comment ref="M72" authorId="0">
      <text>
        <r>
          <rPr>
            <b/>
            <sz val="9"/>
            <color indexed="81"/>
            <rFont val="宋体"/>
            <family val="2"/>
          </rPr>
          <t>#Input("延炼_油品动态_2113_空量",":key{{dw}}",":read")</t>
        </r>
      </text>
    </comment>
    <comment ref="E73" authorId="0">
      <text>
        <r>
          <rPr>
            <b/>
            <sz val="9"/>
            <color indexed="81"/>
            <rFont val="宋体"/>
            <family val="2"/>
          </rPr>
          <t>#Input("延炼_油品动态_817_油尺",":key{{dw}}")</t>
        </r>
      </text>
    </comment>
    <comment ref="F73" authorId="0">
      <text>
        <r>
          <rPr>
            <b/>
            <sz val="9"/>
            <color indexed="81"/>
            <rFont val="宋体"/>
            <family val="2"/>
          </rPr>
          <t>#Input("延炼_油品动态_817_油量",":key{{dw}}",":read")</t>
        </r>
      </text>
    </comment>
    <comment ref="G73" authorId="0">
      <text>
        <r>
          <rPr>
            <b/>
            <sz val="9"/>
            <color indexed="81"/>
            <rFont val="宋体"/>
            <family val="2"/>
          </rPr>
          <t>#Input("延炼_油品动态_817_空量",":key{{dw}}",":read")</t>
        </r>
      </text>
    </comment>
    <comment ref="L73" authorId="0">
      <text>
        <r>
          <rPr>
            <b/>
            <sz val="9"/>
            <color indexed="81"/>
            <rFont val="宋体"/>
            <family val="2"/>
          </rPr>
          <t>#Input("延炼_油品动态_石脑苯_油量",":key{{dw}}",":read")</t>
        </r>
      </text>
    </comment>
    <comment ref="M73" authorId="0">
      <text>
        <r>
          <rPr>
            <sz val="9"/>
            <color indexed="81"/>
            <rFont val="Arial"/>
            <family val="2"/>
          </rPr>
          <t xml:space="preserve">#Input("延炼_油品动态_石脑苯_空量",":key{{dw}}",":read")
</t>
        </r>
      </text>
    </comment>
    <comment ref="B74" authorId="0">
      <text>
        <r>
          <rPr>
            <b/>
            <sz val="9"/>
            <color indexed="81"/>
            <rFont val="宋体"/>
            <family val="2"/>
          </rPr>
          <t>#Input("延炼_油品动态_95#调罐1_罐号",":key{{dw}}")</t>
        </r>
      </text>
    </comment>
    <comment ref="E74" authorId="0">
      <text>
        <r>
          <rPr>
            <b/>
            <sz val="9"/>
            <color indexed="81"/>
            <rFont val="宋体"/>
            <family val="2"/>
          </rPr>
          <t>#Input("延炼_油品动态_95#调罐1_油尺",":key{{dw}}")</t>
        </r>
      </text>
    </comment>
    <comment ref="F74" authorId="0">
      <text>
        <r>
          <rPr>
            <b/>
            <sz val="9"/>
            <color indexed="81"/>
            <rFont val="宋体"/>
            <family val="2"/>
          </rPr>
          <t>#Input("延炼_油品动态_95#调罐1_油量",":key{{dw}}",":read")</t>
        </r>
      </text>
    </comment>
    <comment ref="G74" authorId="0">
      <text>
        <r>
          <rPr>
            <b/>
            <sz val="9"/>
            <color indexed="81"/>
            <rFont val="宋体"/>
            <family val="2"/>
          </rPr>
          <t>#Input("延炼_油品动态_95#调罐1_空量",":key{{dw}}",":read")</t>
        </r>
      </text>
    </comment>
    <comment ref="B75" authorId="0">
      <text>
        <r>
          <rPr>
            <b/>
            <sz val="9"/>
            <color indexed="81"/>
            <rFont val="宋体"/>
            <family val="2"/>
          </rPr>
          <t>#Input("延炼_油品动态_95#调罐2_罐号",":key{{dw}}")</t>
        </r>
      </text>
    </comment>
    <comment ref="E75" authorId="0">
      <text>
        <r>
          <rPr>
            <b/>
            <sz val="9"/>
            <color indexed="81"/>
            <rFont val="宋体"/>
            <family val="2"/>
          </rPr>
          <t>#Input("延炼_油品动态_95#调罐2_油尺",":key{{dw}}")</t>
        </r>
      </text>
    </comment>
    <comment ref="F75" authorId="0">
      <text>
        <r>
          <rPr>
            <b/>
            <sz val="9"/>
            <color indexed="81"/>
            <rFont val="宋体"/>
            <family val="2"/>
          </rPr>
          <t>#Input("延炼_油品动态_95#调罐2_油量",":key{{dw}}",":read")</t>
        </r>
      </text>
    </comment>
    <comment ref="G75" authorId="0">
      <text>
        <r>
          <rPr>
            <b/>
            <sz val="9"/>
            <color indexed="81"/>
            <rFont val="宋体"/>
            <family val="2"/>
          </rPr>
          <t>#Input("延炼_油品动态_95#调罐2_空量",":key{{dw}}",":read")</t>
        </r>
      </text>
    </comment>
    <comment ref="B76" authorId="0">
      <text>
        <r>
          <rPr>
            <b/>
            <sz val="9"/>
            <color indexed="81"/>
            <rFont val="宋体"/>
            <family val="2"/>
          </rPr>
          <t>#Input("延炼_油品动态_95#调罐3_罐号",":key{{dw}}")</t>
        </r>
      </text>
    </comment>
    <comment ref="C76" authorId="0">
      <text>
        <r>
          <rPr>
            <b/>
            <sz val="9"/>
            <color indexed="81"/>
            <rFont val="宋体"/>
            <family val="2"/>
          </rPr>
          <t>#Input("延炼_油品动态_95#调罐3_容积",":key{{dw}}")</t>
        </r>
      </text>
    </comment>
    <comment ref="D76" authorId="0">
      <text>
        <r>
          <rPr>
            <b/>
            <sz val="9"/>
            <color indexed="81"/>
            <rFont val="宋体"/>
            <family val="2"/>
          </rPr>
          <t>#Input("延炼_油品动态_95#调罐3_安全高度",":key{{dw}}")</t>
        </r>
      </text>
    </comment>
    <comment ref="E76" authorId="0">
      <text>
        <r>
          <rPr>
            <b/>
            <sz val="9"/>
            <color indexed="81"/>
            <rFont val="宋体"/>
            <family val="2"/>
          </rPr>
          <t>#Input("延炼_油品动态_95#调罐3_油尺",":key{{dw}}")</t>
        </r>
      </text>
    </comment>
    <comment ref="F76" authorId="0">
      <text>
        <r>
          <rPr>
            <b/>
            <sz val="9"/>
            <color indexed="81"/>
            <rFont val="宋体"/>
            <family val="2"/>
          </rPr>
          <t>#Input("延炼_油品动态_95#调罐3_油量",":key{{dw}}",":read")</t>
        </r>
      </text>
    </comment>
    <comment ref="G76" authorId="0">
      <text>
        <r>
          <rPr>
            <b/>
            <sz val="9"/>
            <color indexed="81"/>
            <rFont val="宋体"/>
            <family val="2"/>
          </rPr>
          <t>#Input("延炼_油品动态_95#调罐3_空量",":key{{dw}}",":read")</t>
        </r>
      </text>
    </comment>
    <comment ref="K76" authorId="0">
      <text>
        <r>
          <rPr>
            <b/>
            <sz val="9"/>
            <color indexed="81"/>
            <rFont val="宋体"/>
            <family val="2"/>
          </rPr>
          <t>#Input("延炼_油品动态_2114_油尺",":key{{dw}}")</t>
        </r>
      </text>
    </comment>
    <comment ref="L76" authorId="0">
      <text>
        <r>
          <rPr>
            <b/>
            <sz val="9"/>
            <color indexed="81"/>
            <rFont val="宋体"/>
            <family val="2"/>
          </rPr>
          <t>#Input("延炼_油品动态_2114_油量",":key{{dw}}",":read")</t>
        </r>
      </text>
    </comment>
    <comment ref="M76" authorId="0">
      <text>
        <r>
          <rPr>
            <b/>
            <sz val="9"/>
            <color indexed="81"/>
            <rFont val="宋体"/>
            <family val="2"/>
          </rPr>
          <t>#Input("延炼_油品动态_2114_空量",":key{{dw}}",":read")</t>
        </r>
      </text>
    </comment>
    <comment ref="E77" authorId="0">
      <text>
        <r>
          <rPr>
            <b/>
            <sz val="9"/>
            <color indexed="81"/>
            <rFont val="宋体"/>
            <family val="2"/>
          </rPr>
          <t>#Input("延炼_油品动态_26102_油尺",":key{{dw}}")</t>
        </r>
      </text>
    </comment>
    <comment ref="F77" authorId="0">
      <text>
        <r>
          <rPr>
            <b/>
            <sz val="9"/>
            <color indexed="81"/>
            <rFont val="宋体"/>
            <family val="2"/>
          </rPr>
          <t>#Input("延炼_油品动态_26102_油量",":key{{dw}}",":read")</t>
        </r>
      </text>
    </comment>
    <comment ref="G77" authorId="0">
      <text>
        <r>
          <rPr>
            <b/>
            <sz val="9"/>
            <color indexed="81"/>
            <rFont val="宋体"/>
            <family val="2"/>
          </rPr>
          <t>#Input("延炼_油品动态_26102_空量",":key{{dw}}",":read")</t>
        </r>
      </text>
    </comment>
    <comment ref="F78" authorId="0">
      <text>
        <r>
          <rPr>
            <b/>
            <sz val="9"/>
            <color indexed="81"/>
            <rFont val="宋体"/>
            <family val="2"/>
          </rPr>
          <t>#Input("延炼_油品动态_95#汽油_油量",":key{{dw}}",":read")</t>
        </r>
      </text>
    </comment>
    <comment ref="G78" authorId="0">
      <text>
        <r>
          <rPr>
            <b/>
            <sz val="9"/>
            <color indexed="81"/>
            <rFont val="宋体"/>
            <family val="2"/>
          </rPr>
          <t>#Input("延炼_油品动态_95#汽油_空量",":key{{dw}}",":read")</t>
        </r>
      </text>
    </comment>
    <comment ref="B79" authorId="0">
      <text>
        <r>
          <rPr>
            <b/>
            <sz val="9"/>
            <color indexed="81"/>
            <rFont val="宋体"/>
            <family val="2"/>
          </rPr>
          <t>#Input("延炼_油品动态_95#调罐4_罐号",":key{{dw}}")</t>
        </r>
      </text>
    </comment>
    <comment ref="C79" authorId="0">
      <text>
        <r>
          <rPr>
            <b/>
            <sz val="9"/>
            <color indexed="81"/>
            <rFont val="宋体"/>
            <family val="2"/>
          </rPr>
          <t>#Input("延炼_油品动态_95#调罐4_容积",":key{{dw}}")</t>
        </r>
      </text>
    </comment>
    <comment ref="D79" authorId="0">
      <text>
        <r>
          <rPr>
            <b/>
            <sz val="9"/>
            <color indexed="81"/>
            <rFont val="宋体"/>
            <family val="2"/>
          </rPr>
          <t>#Input("延炼_油品动态_95#调罐4_安全高度",":key{{dw}}")</t>
        </r>
      </text>
    </comment>
    <comment ref="E79" authorId="0">
      <text>
        <r>
          <rPr>
            <b/>
            <sz val="9"/>
            <color indexed="81"/>
            <rFont val="宋体"/>
            <family val="2"/>
          </rPr>
          <t>#Input("延炼_油品动态_95#调罐4_油尺",":key{{dw}}")</t>
        </r>
      </text>
    </comment>
    <comment ref="F79" authorId="0">
      <text>
        <r>
          <rPr>
            <b/>
            <sz val="9"/>
            <color indexed="81"/>
            <rFont val="宋体"/>
            <family val="2"/>
          </rPr>
          <t>#Input("延炼_油品动态_95#调罐4_油量",":key{{dw}}",":read")</t>
        </r>
      </text>
    </comment>
    <comment ref="G79" authorId="0">
      <text>
        <r>
          <rPr>
            <b/>
            <sz val="9"/>
            <color indexed="81"/>
            <rFont val="宋体"/>
            <family val="2"/>
          </rPr>
          <t>#Input("延炼_油品动态_95#调罐4_空量",":key{{dw}}",":read")</t>
        </r>
      </text>
    </comment>
    <comment ref="B80" authorId="0">
      <text>
        <r>
          <rPr>
            <b/>
            <sz val="9"/>
            <color indexed="81"/>
            <rFont val="宋体"/>
            <family val="2"/>
          </rPr>
          <t>#Input("延炼_油品动态_95#调罐5_罐号",":key{{dw}}")</t>
        </r>
      </text>
    </comment>
    <comment ref="C80" authorId="0">
      <text>
        <r>
          <rPr>
            <b/>
            <sz val="9"/>
            <color indexed="81"/>
            <rFont val="宋体"/>
            <family val="2"/>
          </rPr>
          <t>#Input("延炼_油品动态_95#调罐5_容积",":key{{dw}}")</t>
        </r>
      </text>
    </comment>
    <comment ref="D80" authorId="0">
      <text>
        <r>
          <rPr>
            <b/>
            <sz val="9"/>
            <color indexed="81"/>
            <rFont val="宋体"/>
            <family val="2"/>
          </rPr>
          <t>#Input("延炼_油品动态_95#调罐5_安全高度",":key{{dw}}")</t>
        </r>
      </text>
    </comment>
    <comment ref="E80" authorId="0">
      <text>
        <r>
          <rPr>
            <b/>
            <sz val="9"/>
            <color indexed="81"/>
            <rFont val="宋体"/>
            <family val="2"/>
          </rPr>
          <t>#Input("延炼_油品动态_95#调罐5_油尺",":key{{dw}}")</t>
        </r>
      </text>
    </comment>
    <comment ref="F80" authorId="0">
      <text>
        <r>
          <rPr>
            <b/>
            <sz val="9"/>
            <color indexed="81"/>
            <rFont val="宋体"/>
            <family val="2"/>
          </rPr>
          <t>#Input("延炼_油品动态_95#调罐5_油量",":key{{dw}}",":read")</t>
        </r>
      </text>
    </comment>
    <comment ref="G80" authorId="0">
      <text>
        <r>
          <rPr>
            <b/>
            <sz val="9"/>
            <color indexed="81"/>
            <rFont val="宋体"/>
            <family val="2"/>
          </rPr>
          <t>#Input("延炼_油品动态_95#调罐5_空量",":key{{dw}}",":read")</t>
        </r>
      </text>
    </comment>
    <comment ref="K81" authorId="0">
      <text>
        <r>
          <rPr>
            <b/>
            <sz val="9"/>
            <color indexed="81"/>
            <rFont val="宋体"/>
            <family val="2"/>
          </rPr>
          <t>#Input("延炼_油品动态_TK3001A_油尺",":key{{dw}}")</t>
        </r>
      </text>
    </comment>
    <comment ref="L81" authorId="0">
      <text>
        <r>
          <rPr>
            <b/>
            <sz val="9"/>
            <color indexed="81"/>
            <rFont val="宋体"/>
            <family val="2"/>
          </rPr>
          <t>#Input("延炼_油品动态_TK3001A_油量",":key{{dw}}",":read")</t>
        </r>
      </text>
    </comment>
    <comment ref="M81" authorId="0">
      <text>
        <r>
          <rPr>
            <b/>
            <sz val="9"/>
            <color indexed="81"/>
            <rFont val="宋体"/>
            <family val="2"/>
          </rPr>
          <t>#Input("延炼_油品动态_TK3001A_空量",":key{{dw}}",":read")</t>
        </r>
      </text>
    </comment>
    <comment ref="K82" authorId="0">
      <text>
        <r>
          <rPr>
            <b/>
            <sz val="9"/>
            <color indexed="81"/>
            <rFont val="宋体"/>
            <family val="2"/>
          </rPr>
          <t>#Input("延炼_油品动态_TK3001B_油尺",":key{{dw}}")</t>
        </r>
      </text>
    </comment>
    <comment ref="L82" authorId="0">
      <text>
        <r>
          <rPr>
            <b/>
            <sz val="9"/>
            <color indexed="81"/>
            <rFont val="宋体"/>
            <family val="2"/>
          </rPr>
          <t>#Input("延炼_油品动态_TK3001B_油量",":key{{dw}}",":read")</t>
        </r>
      </text>
    </comment>
    <comment ref="M82" authorId="0">
      <text>
        <r>
          <rPr>
            <b/>
            <sz val="9"/>
            <color indexed="81"/>
            <rFont val="宋体"/>
            <family val="2"/>
          </rPr>
          <t>#Input("延炼_油品动态_TK3001B_空量",":key{{dw}}",":read")</t>
        </r>
      </text>
    </comment>
    <comment ref="E83" authorId="0">
      <text>
        <r>
          <rPr>
            <b/>
            <sz val="9"/>
            <color indexed="81"/>
            <rFont val="宋体"/>
            <family val="2"/>
          </rPr>
          <t>#Input("延炼_油品动态_821_油尺",":key{{dw}}")</t>
        </r>
      </text>
    </comment>
    <comment ref="F83" authorId="0">
      <text>
        <r>
          <rPr>
            <b/>
            <sz val="9"/>
            <color indexed="81"/>
            <rFont val="宋体"/>
            <family val="2"/>
          </rPr>
          <t>#Input("延炼_油品动态_821_油量",":key{{dw}}",":read")</t>
        </r>
      </text>
    </comment>
    <comment ref="G83" authorId="0">
      <text>
        <r>
          <rPr>
            <b/>
            <sz val="9"/>
            <color indexed="81"/>
            <rFont val="宋体"/>
            <family val="2"/>
          </rPr>
          <t>#Input("延炼_油品动态_821_空量",":key{{dw}}",":read")</t>
        </r>
      </text>
    </comment>
    <comment ref="L83" authorId="0">
      <text>
        <r>
          <rPr>
            <b/>
            <sz val="9"/>
            <color indexed="81"/>
            <rFont val="宋体"/>
            <family val="2"/>
          </rPr>
          <t>#Input("延炼_油品动态_醋酸_油量",":key{{dw}}",":read")</t>
        </r>
      </text>
    </comment>
    <comment ref="M83" authorId="0">
      <text>
        <r>
          <rPr>
            <b/>
            <sz val="9"/>
            <color indexed="81"/>
            <rFont val="宋体"/>
            <family val="2"/>
          </rPr>
          <t>#Input("延炼_油品动态_醋酸_空量",":key{{dw}}",":read")</t>
        </r>
      </text>
    </comment>
    <comment ref="E86" authorId="0">
      <text>
        <r>
          <rPr>
            <b/>
            <sz val="9"/>
            <color indexed="81"/>
            <rFont val="宋体"/>
            <family val="2"/>
          </rPr>
          <t>#Input("延炼_油品动态_2115_油尺",":key{{dw}}")</t>
        </r>
      </text>
    </comment>
    <comment ref="F86" authorId="0">
      <text>
        <r>
          <rPr>
            <b/>
            <sz val="9"/>
            <color indexed="81"/>
            <rFont val="宋体"/>
            <family val="2"/>
          </rPr>
          <t>#Input("延炼_油品动态_2115_油量",":key{{dw}}",":read")</t>
        </r>
      </text>
    </comment>
    <comment ref="G86" authorId="0">
      <text>
        <r>
          <rPr>
            <b/>
            <sz val="9"/>
            <color indexed="81"/>
            <rFont val="宋体"/>
            <family val="2"/>
          </rPr>
          <t>#Input("延炼_油品动态_2115_空量",":key{{dw}}",":read")</t>
        </r>
      </text>
    </comment>
    <comment ref="K86" authorId="0">
      <text>
        <r>
          <rPr>
            <b/>
            <sz val="9"/>
            <color indexed="81"/>
            <rFont val="宋体"/>
            <family val="2"/>
          </rPr>
          <t>#Input("延炼_油品动态_3002A_油尺",":key{{dw}}")</t>
        </r>
      </text>
    </comment>
    <comment ref="L86" authorId="0">
      <text>
        <r>
          <rPr>
            <b/>
            <sz val="9"/>
            <color indexed="81"/>
            <rFont val="宋体"/>
            <family val="2"/>
          </rPr>
          <t>#Input("延炼_油品动态_3002A_油量",":key{{dw}}",":read")</t>
        </r>
      </text>
    </comment>
    <comment ref="M86" authorId="0">
      <text>
        <r>
          <rPr>
            <b/>
            <sz val="9"/>
            <color indexed="81"/>
            <rFont val="宋体"/>
            <family val="2"/>
          </rPr>
          <t>#Input("延炼_油品动态_3002A_空量",":key{{dw}}",":read")</t>
        </r>
      </text>
    </comment>
    <comment ref="E87" authorId="0">
      <text>
        <r>
          <rPr>
            <b/>
            <sz val="9"/>
            <color indexed="81"/>
            <rFont val="宋体"/>
            <family val="2"/>
          </rPr>
          <t>#Input("延炼_油品动态_2116_油尺",":key{{dw}}")</t>
        </r>
      </text>
    </comment>
    <comment ref="F87" authorId="0">
      <text>
        <r>
          <rPr>
            <b/>
            <sz val="9"/>
            <color indexed="81"/>
            <rFont val="宋体"/>
            <family val="2"/>
          </rPr>
          <t>#Input("延炼_油品动态_2116_油量",":key{{dw}}",":read")</t>
        </r>
      </text>
    </comment>
    <comment ref="G87" authorId="0">
      <text>
        <r>
          <rPr>
            <b/>
            <sz val="9"/>
            <color indexed="81"/>
            <rFont val="宋体"/>
            <family val="2"/>
          </rPr>
          <t>#Input("延炼_油品动态_2116_空量",":key{{dw}}",":read")</t>
        </r>
      </text>
    </comment>
    <comment ref="K87" authorId="0">
      <text>
        <r>
          <rPr>
            <b/>
            <sz val="9"/>
            <color indexed="81"/>
            <rFont val="宋体"/>
            <family val="2"/>
          </rPr>
          <t>#Input("延炼_油品动态_3002B_油尺",":key{{dw}}")</t>
        </r>
      </text>
    </comment>
    <comment ref="L87" authorId="0">
      <text>
        <r>
          <rPr>
            <b/>
            <sz val="9"/>
            <color indexed="81"/>
            <rFont val="宋体"/>
            <family val="2"/>
          </rPr>
          <t>#Input("延炼_油品动态_3002B_油量",":key{{dw}}",":read")</t>
        </r>
      </text>
    </comment>
    <comment ref="M87" authorId="0">
      <text>
        <r>
          <rPr>
            <b/>
            <sz val="9"/>
            <color indexed="81"/>
            <rFont val="宋体"/>
            <family val="2"/>
          </rPr>
          <t>#Input("延炼_油品动态_3002B_空量",":key{{dw}}",":read")</t>
        </r>
      </text>
    </comment>
    <comment ref="E88" authorId="0">
      <text>
        <r>
          <rPr>
            <b/>
            <sz val="9"/>
            <color indexed="81"/>
            <rFont val="宋体"/>
            <family val="2"/>
          </rPr>
          <t>#Input("延炼_油品动态_2117_油尺",":key{{dw}}")</t>
        </r>
      </text>
    </comment>
    <comment ref="F88" authorId="0">
      <text>
        <r>
          <rPr>
            <b/>
            <sz val="9"/>
            <color indexed="81"/>
            <rFont val="宋体"/>
            <family val="2"/>
          </rPr>
          <t>#Input("延炼_油品动态_2117_油量",":key{{dw}}",":read")</t>
        </r>
      </text>
    </comment>
    <comment ref="G88" authorId="0">
      <text>
        <r>
          <rPr>
            <b/>
            <sz val="9"/>
            <color indexed="81"/>
            <rFont val="宋体"/>
            <family val="2"/>
          </rPr>
          <t>#Input("延炼_油品动态_2117_空量",":key{{dw}}",":read")</t>
        </r>
      </text>
    </comment>
    <comment ref="L88" authorId="0">
      <text>
        <r>
          <rPr>
            <b/>
            <sz val="9"/>
            <color indexed="81"/>
            <rFont val="宋体"/>
            <family val="2"/>
          </rPr>
          <t>#Input("延炼_油品动态_醋酸仲丁酯_油量",":key{{dw}}",":read")</t>
        </r>
      </text>
    </comment>
    <comment ref="M88" authorId="0">
      <text>
        <r>
          <rPr>
            <sz val="9"/>
            <color indexed="81"/>
            <rFont val="Arial"/>
            <family val="2"/>
          </rPr>
          <t xml:space="preserve">#Input("延炼_油品动态_醋酸仲丁酯_空量",":key{{dw}}",":read")
</t>
        </r>
      </text>
    </comment>
    <comment ref="E89" authorId="0">
      <text>
        <r>
          <rPr>
            <b/>
            <sz val="9"/>
            <color indexed="81"/>
            <rFont val="宋体"/>
            <family val="2"/>
          </rPr>
          <t>#Input("延炼_油品动态_2118_油尺",":key{{dw}}")</t>
        </r>
      </text>
    </comment>
    <comment ref="F89" authorId="0">
      <text>
        <r>
          <rPr>
            <b/>
            <sz val="9"/>
            <color indexed="81"/>
            <rFont val="宋体"/>
            <family val="2"/>
          </rPr>
          <t>#Input("延炼_油品动态_2118_油量",":key{{dw}}",":read")</t>
        </r>
      </text>
    </comment>
    <comment ref="G89" authorId="0">
      <text>
        <r>
          <rPr>
            <b/>
            <sz val="9"/>
            <color indexed="81"/>
            <rFont val="宋体"/>
            <family val="2"/>
          </rPr>
          <t>#Input("延炼_油品动态_2118_空量",":key{{dw}}",":read")</t>
        </r>
      </text>
    </comment>
    <comment ref="L89" authorId="0">
      <text>
        <r>
          <rPr>
            <b/>
            <sz val="9"/>
            <color indexed="81"/>
            <rFont val="宋体"/>
            <family val="2"/>
          </rPr>
          <t>#Input("延炼_油品动态_原油入库",":key{{dw}}")</t>
        </r>
      </text>
    </comment>
    <comment ref="F90" authorId="0">
      <text>
        <r>
          <rPr>
            <b/>
            <sz val="9"/>
            <color indexed="81"/>
            <rFont val="宋体"/>
            <family val="2"/>
          </rPr>
          <t>#Input("延炼_油品动态_苯乙烯_油量",":key{{dw}}",":read")</t>
        </r>
      </text>
    </comment>
    <comment ref="G90" authorId="0">
      <text>
        <r>
          <rPr>
            <b/>
            <sz val="9"/>
            <color indexed="81"/>
            <rFont val="宋体"/>
            <family val="2"/>
          </rPr>
          <t>#Input("延炼_油品动态_苯乙烯_空量",":key{{dw}}",":read")</t>
        </r>
      </text>
    </comment>
    <comment ref="L90" authorId="0">
      <text>
        <r>
          <rPr>
            <b/>
            <sz val="9"/>
            <color indexed="81"/>
            <rFont val="宋体"/>
            <family val="2"/>
          </rPr>
          <t>#Input("延炼_油品动态_末站原油",":key{{dw}}")</t>
        </r>
      </text>
    </comment>
    <comment ref="L91" authorId="0">
      <text>
        <r>
          <rPr>
            <b/>
            <sz val="9"/>
            <color indexed="81"/>
            <rFont val="宋体"/>
            <family val="2"/>
          </rPr>
          <t>#Input("延炼_油品动态_长庆原油",":key{{dw}}")</t>
        </r>
      </text>
    </comment>
    <comment ref="L92" authorId="0">
      <text>
        <r>
          <rPr>
            <b/>
            <sz val="9"/>
            <color indexed="81"/>
            <rFont val="宋体"/>
            <family val="2"/>
          </rPr>
          <t>#Input("延炼_油品动态_进口原油",":key{{dw}}")</t>
        </r>
      </text>
    </comment>
    <comment ref="E93" authorId="0">
      <text>
        <r>
          <rPr>
            <b/>
            <sz val="9"/>
            <color indexed="81"/>
            <rFont val="宋体"/>
            <family val="2"/>
          </rPr>
          <t>#Input("延炼_油品动态_24901_油尺",":key{{dw}}")</t>
        </r>
      </text>
    </comment>
    <comment ref="F93" authorId="0">
      <text>
        <r>
          <rPr>
            <b/>
            <sz val="9"/>
            <color indexed="81"/>
            <rFont val="宋体"/>
            <family val="2"/>
          </rPr>
          <t>#Input("延炼_油品动态_24901_油量",":key{{dw}}",":read")</t>
        </r>
      </text>
    </comment>
    <comment ref="G93" authorId="0">
      <text>
        <r>
          <rPr>
            <b/>
            <sz val="9"/>
            <color indexed="81"/>
            <rFont val="宋体"/>
            <family val="2"/>
          </rPr>
          <t>#Input("延炼_油品动态_24901_空量",":key{{dw}}",":read")</t>
        </r>
      </text>
    </comment>
    <comment ref="L93" authorId="0">
      <text>
        <r>
          <rPr>
            <b/>
            <sz val="9"/>
            <color indexed="81"/>
            <rFont val="宋体"/>
            <family val="2"/>
          </rPr>
          <t>#Input("延炼_油品动态_末站库存",":key{{dw}}")</t>
        </r>
      </text>
    </comment>
    <comment ref="E94" authorId="0">
      <text>
        <r>
          <rPr>
            <b/>
            <sz val="9"/>
            <color indexed="81"/>
            <rFont val="宋体"/>
            <family val="2"/>
          </rPr>
          <t>#Input("延炼_油品动态_24902_油尺",":key{{dw}}")</t>
        </r>
      </text>
    </comment>
    <comment ref="F94" authorId="0">
      <text>
        <r>
          <rPr>
            <b/>
            <sz val="9"/>
            <color indexed="81"/>
            <rFont val="宋体"/>
            <family val="2"/>
          </rPr>
          <t>#Input("延炼_油品动态_24902_油量",":key{{dw}}",":read")</t>
        </r>
      </text>
    </comment>
    <comment ref="G94" authorId="0">
      <text>
        <r>
          <rPr>
            <b/>
            <sz val="9"/>
            <color indexed="81"/>
            <rFont val="宋体"/>
            <family val="2"/>
          </rPr>
          <t>#Input("延炼_油品动态_24902_空量",":key{{dw}}",":read")</t>
        </r>
      </text>
    </comment>
    <comment ref="L94" authorId="0">
      <text>
        <r>
          <rPr>
            <b/>
            <sz val="9"/>
            <color indexed="81"/>
            <rFont val="宋体"/>
            <family val="2"/>
          </rPr>
          <t>#Input("延炼_油品动态_末站进油量",":key{{dw}}")</t>
        </r>
      </text>
    </comment>
    <comment ref="F95" authorId="0">
      <text>
        <r>
          <rPr>
            <sz val="9"/>
            <color indexed="81"/>
            <rFont val="Arial"/>
            <family val="2"/>
          </rPr>
          <t xml:space="preserve">#Input("延炼_油品动态_甲醇_油量",":key{{dw}}",":read")
</t>
        </r>
      </text>
    </comment>
    <comment ref="G95" authorId="0">
      <text>
        <r>
          <rPr>
            <b/>
            <sz val="9"/>
            <color indexed="81"/>
            <rFont val="宋体"/>
            <family val="2"/>
          </rPr>
          <t>#Input("延炼_油品动态_甲醇_空量",":key{{dw}}",":read")</t>
        </r>
      </text>
    </comment>
    <comment ref="L95" authorId="0">
      <text>
        <r>
          <rPr>
            <b/>
            <sz val="9"/>
            <color indexed="81"/>
            <rFont val="宋体"/>
            <family val="2"/>
          </rPr>
          <t>#Input("延炼_油品动态_一次加工",":key{{dw}}")</t>
        </r>
      </text>
    </comment>
    <comment ref="F96" authorId="0">
      <text>
        <r>
          <rPr>
            <b/>
            <sz val="9"/>
            <color indexed="81"/>
            <rFont val="宋体"/>
            <family val="2"/>
          </rPr>
          <t>#Input("延炼_油品动态_老区高位水罐",":key{{dw}}")</t>
        </r>
      </text>
    </comment>
    <comment ref="L96" authorId="0">
      <text>
        <r>
          <rPr>
            <b/>
            <sz val="9"/>
            <color indexed="81"/>
            <rFont val="宋体"/>
            <family val="2"/>
          </rPr>
          <t>#Input("延炼_油品动态_二次加工",":key{{dw}}")</t>
        </r>
      </text>
    </comment>
    <comment ref="F97" authorId="0">
      <text>
        <r>
          <rPr>
            <b/>
            <sz val="9"/>
            <color indexed="81"/>
            <rFont val="宋体"/>
            <family val="2"/>
          </rPr>
          <t>#Input("延炼_油品动态_咀头高位水罐",":key{{dw}}")</t>
        </r>
      </text>
    </comment>
    <comment ref="L97" authorId="0">
      <text>
        <r>
          <rPr>
            <b/>
            <sz val="9"/>
            <color indexed="81"/>
            <rFont val="宋体"/>
            <family val="2"/>
          </rPr>
          <t>#Input("延炼_油品动态_自产渣油",":key{{dw}}")</t>
        </r>
      </text>
    </comment>
    <comment ref="F98" authorId="0">
      <text>
        <r>
          <rPr>
            <b/>
            <sz val="9"/>
            <color indexed="81"/>
            <rFont val="宋体"/>
            <family val="2"/>
          </rPr>
          <t>#Input("延炼_油品动态_二甲苯卸车",":key{{dw}}")</t>
        </r>
      </text>
    </comment>
    <comment ref="L98" authorId="0">
      <text>
        <r>
          <rPr>
            <b/>
            <sz val="9"/>
            <color indexed="81"/>
            <rFont val="宋体"/>
            <family val="2"/>
          </rPr>
          <t>#Input("延炼_油品动态_饱和液化气库存",":key{{dw}}")</t>
        </r>
      </text>
    </comment>
    <comment ref="F99" authorId="0">
      <text>
        <r>
          <rPr>
            <b/>
            <sz val="9"/>
            <color indexed="81"/>
            <rFont val="宋体"/>
            <family val="2"/>
          </rPr>
          <t>#Input("延炼_油品动态_饱和液化气卸车",":key{{dw}}")</t>
        </r>
      </text>
    </comment>
    <comment ref="L99" authorId="0">
      <text>
        <r>
          <rPr>
            <b/>
            <sz val="9"/>
            <color indexed="81"/>
            <rFont val="宋体"/>
            <family val="2"/>
          </rPr>
          <t>#Input("延炼_油品动态_原料液化气库存",":key{{dw}}")</t>
        </r>
      </text>
    </comment>
    <comment ref="F100" authorId="0">
      <text>
        <r>
          <rPr>
            <b/>
            <sz val="9"/>
            <color indexed="81"/>
            <rFont val="宋体"/>
            <family val="2"/>
          </rPr>
          <t>#Input("延炼_油品动态_原料液化气卸车",":key{{dw}}")</t>
        </r>
      </text>
    </comment>
    <comment ref="L100" authorId="0">
      <text>
        <r>
          <rPr>
            <b/>
            <sz val="9"/>
            <color indexed="81"/>
            <rFont val="宋体"/>
            <family val="2"/>
          </rPr>
          <t>#Input("延炼_油品动态_丙烯原料库存",":key{{dw}}")</t>
        </r>
      </text>
    </comment>
    <comment ref="F101" authorId="0">
      <text>
        <r>
          <rPr>
            <b/>
            <sz val="9"/>
            <color indexed="81"/>
            <rFont val="宋体"/>
            <family val="2"/>
          </rPr>
          <t>#Input("延炼_油品动态_民用气内调",":key{{dw}}")</t>
        </r>
      </text>
    </comment>
    <comment ref="L101" authorId="0">
      <text>
        <r>
          <rPr>
            <b/>
            <sz val="9"/>
            <color indexed="81"/>
            <rFont val="宋体"/>
            <family val="2"/>
          </rPr>
          <t>#Input("延炼_油品动态_MTBE原料库存",":key{{dw}}")</t>
        </r>
      </text>
    </comment>
    <comment ref="F102" authorId="0">
      <text>
        <r>
          <rPr>
            <b/>
            <sz val="9"/>
            <color indexed="81"/>
            <rFont val="宋体"/>
            <family val="2"/>
          </rPr>
          <t>#Input("延炼_油品动态_醚后C4内调",":key{{dw}}")</t>
        </r>
      </text>
    </comment>
    <comment ref="L102" authorId="0">
      <text>
        <r>
          <rPr>
            <b/>
            <sz val="9"/>
            <color indexed="81"/>
            <rFont val="宋体"/>
            <family val="2"/>
          </rPr>
          <t>#Input("延炼_油品动态_民用气库存",":key{{dw}}")</t>
        </r>
      </text>
    </comment>
    <comment ref="F103" authorId="0">
      <text>
        <r>
          <rPr>
            <b/>
            <sz val="9"/>
            <color indexed="81"/>
            <rFont val="宋体"/>
            <family val="2"/>
          </rPr>
          <t>#Input("延炼_油品动态_苯乙烯销售",":key{{dw}}")</t>
        </r>
      </text>
    </comment>
    <comment ref="L103" authorId="0">
      <text>
        <r>
          <rPr>
            <b/>
            <sz val="9"/>
            <color indexed="81"/>
            <rFont val="宋体"/>
            <family val="2"/>
          </rPr>
          <t>#Input("延炼_油品动态_醚后C4库存",":key{{dw}}")</t>
        </r>
      </text>
    </comment>
    <comment ref="F104" authorId="0">
      <text>
        <r>
          <rPr>
            <b/>
            <sz val="9"/>
            <color indexed="81"/>
            <rFont val="宋体"/>
            <family val="2"/>
          </rPr>
          <t>#Input("延炼_油品动态_回炼油可销量",":key{{dw}}")</t>
        </r>
      </text>
    </comment>
    <comment ref="L104" authorId="0">
      <text>
        <r>
          <rPr>
            <b/>
            <sz val="9"/>
            <color indexed="81"/>
            <rFont val="宋体"/>
            <family val="2"/>
          </rPr>
          <t>#Input("延炼_油品动态_酯后C4库存",":key{{dw}}")</t>
        </r>
      </text>
    </comment>
    <comment ref="F105" authorId="0">
      <text>
        <r>
          <rPr>
            <b/>
            <sz val="9"/>
            <color indexed="81"/>
            <rFont val="宋体"/>
            <family val="2"/>
          </rPr>
          <t>#Input("延炼_油品动态_回炼油外调",":key{{dw}}")</t>
        </r>
      </text>
    </comment>
    <comment ref="L105" authorId="0">
      <text>
        <r>
          <rPr>
            <b/>
            <sz val="9"/>
            <color indexed="81"/>
            <rFont val="宋体"/>
            <family val="2"/>
          </rPr>
          <t>#Input("延炼_油品动态_回炼油库存",":key{{dw}}")</t>
        </r>
      </text>
    </comment>
    <comment ref="F106" authorId="0">
      <text>
        <r>
          <rPr>
            <b/>
            <sz val="9"/>
            <color indexed="81"/>
            <rFont val="宋体"/>
            <family val="2"/>
          </rPr>
          <t>#Input("延炼_油品动态_2#渣油可销量",":key{{dw}}")</t>
        </r>
      </text>
    </comment>
    <comment ref="L106" authorId="0">
      <text>
        <r>
          <rPr>
            <b/>
            <sz val="9"/>
            <color indexed="81"/>
            <rFont val="宋体"/>
            <family val="2"/>
          </rPr>
          <t>#Input("延炼_油品动态_2#渣油库存",":key{{dw}}")</t>
        </r>
      </text>
    </comment>
    <comment ref="F107" authorId="0">
      <text>
        <r>
          <rPr>
            <b/>
            <sz val="9"/>
            <color indexed="81"/>
            <rFont val="宋体"/>
            <family val="2"/>
          </rPr>
          <t>#Input("延炼_油品动态_2#渣油销售",":key{{dw}}")</t>
        </r>
      </text>
    </comment>
    <comment ref="L107" authorId="0">
      <text>
        <r>
          <rPr>
            <b/>
            <sz val="9"/>
            <color indexed="81"/>
            <rFont val="宋体"/>
            <family val="2"/>
          </rPr>
          <t>#Input("延炼_油品动态_丙烷库存",":key{{dw}}")</t>
        </r>
      </text>
    </comment>
    <comment ref="F108" authorId="0">
      <text>
        <r>
          <rPr>
            <b/>
            <sz val="9"/>
            <color indexed="81"/>
            <rFont val="宋体"/>
            <family val="2"/>
          </rPr>
          <t>#Input("延炼_油品动态_丙烯内调",":key{{dw}}")</t>
        </r>
      </text>
    </comment>
    <comment ref="L108" authorId="0">
      <text>
        <r>
          <rPr>
            <b/>
            <sz val="9"/>
            <color indexed="81"/>
            <rFont val="宋体"/>
            <family val="2"/>
          </rPr>
          <t>#Input("延炼_油品动态_天然气用量",":key{{dw}}")</t>
        </r>
      </text>
    </comment>
    <comment ref="F109" authorId="0">
      <text>
        <r>
          <rPr>
            <b/>
            <sz val="9"/>
            <color indexed="81"/>
            <rFont val="宋体"/>
            <family val="2"/>
          </rPr>
          <t>#Input("延炼_油品动态_SBA销售",":key{{dw}}")</t>
        </r>
      </text>
    </comment>
    <comment ref="L109" authorId="0">
      <text>
        <r>
          <rPr>
            <b/>
            <sz val="9"/>
            <color indexed="81"/>
            <rFont val="宋体"/>
            <family val="2"/>
          </rPr>
          <t>#Input("延炼_油品动态_醚后C4销售",":key{{dw}}")</t>
        </r>
      </text>
    </comment>
    <comment ref="F110" authorId="0">
      <text>
        <r>
          <rPr>
            <b/>
            <sz val="9"/>
            <color indexed="81"/>
            <rFont val="宋体"/>
            <family val="2"/>
          </rPr>
          <t>#Input("延炼_油品动态_外购醋酸",":key{{dw}}")</t>
        </r>
      </text>
    </comment>
    <comment ref="L110" authorId="0">
      <text>
        <r>
          <rPr>
            <b/>
            <sz val="9"/>
            <color indexed="81"/>
            <rFont val="宋体"/>
            <family val="2"/>
          </rPr>
          <t>#Input("延炼_油品动态_民用气销售",":key{{dw}}")</t>
        </r>
      </text>
    </comment>
    <comment ref="F111" authorId="0">
      <text>
        <r>
          <rPr>
            <b/>
            <sz val="9"/>
            <color indexed="81"/>
            <rFont val="宋体"/>
            <family val="2"/>
          </rPr>
          <t>#Input("延炼_油品动态_外购甲醇",":key{{dw}}")</t>
        </r>
      </text>
    </comment>
    <comment ref="L111" authorId="0">
      <text>
        <r>
          <rPr>
            <b/>
            <sz val="9"/>
            <color indexed="81"/>
            <rFont val="宋体"/>
            <family val="2"/>
          </rPr>
          <t>#Input("延炼_油品动态_丙烯销售",":key{{dw}}")</t>
        </r>
      </text>
    </comment>
    <comment ref="F112" authorId="0">
      <text>
        <r>
          <rPr>
            <b/>
            <sz val="9"/>
            <color indexed="81"/>
            <rFont val="宋体"/>
            <family val="2"/>
          </rPr>
          <t>#Input("延炼_油品动态_3号喷气燃料销售",":key{{dw}}")</t>
        </r>
      </text>
    </comment>
    <comment ref="F113" authorId="0">
      <text>
        <r>
          <rPr>
            <b/>
            <sz val="9"/>
            <color indexed="81"/>
            <rFont val="宋体"/>
            <family val="2"/>
          </rPr>
          <t>#Input("延炼_油品动态_单位负责人",":key{{dw}}")</t>
        </r>
      </text>
    </comment>
    <comment ref="L113" authorId="0">
      <text>
        <r>
          <rPr>
            <b/>
            <sz val="9"/>
            <color indexed="81"/>
            <rFont val="宋体"/>
            <family val="2"/>
          </rPr>
          <t>#Input("延炼_油品动态_填报人",":key{{dw}}")</t>
        </r>
      </text>
    </comment>
  </commentList>
</comments>
</file>

<file path=xl/sharedStrings.xml><?xml version="1.0" encoding="utf-8"?>
<sst xmlns="http://schemas.openxmlformats.org/spreadsheetml/2006/main" count="285" uniqueCount="95">
  <si>
    <t>原              油</t>
  </si>
  <si>
    <r>
      <t>1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 xml:space="preserve">    渣    油</t>
    </r>
  </si>
  <si>
    <t>罐号</t>
  </si>
  <si>
    <r>
      <t>容积(m</t>
    </r>
    <r>
      <rPr>
        <charset val="134"/>
        <family val="3"/>
        <rFont val="等线"/>
        <sz val="11"/>
        <vertAlign val="superscript"/>
      </rPr>
      <t>3</t>
    </r>
    <r>
      <rPr>
        <charset val="134"/>
        <family val="3"/>
        <rFont val="等线"/>
        <sz val="11"/>
      </rPr>
      <t>)</t>
    </r>
  </si>
  <si>
    <t>安全高度(米)</t>
  </si>
  <si>
    <t>油尺</t>
  </si>
  <si>
    <t>油量(吨)</t>
  </si>
  <si>
    <t>空量(吨)</t>
  </si>
  <si>
    <t>合计</t>
  </si>
  <si>
    <t>航煤原油掺炼污油专罐</t>
  </si>
  <si>
    <t>环   保   应   急   罐</t>
  </si>
  <si>
    <t>催     化     柴     油</t>
  </si>
  <si>
    <t>常    压   石   脑   油</t>
  </si>
  <si>
    <t>常  压  直  馏  柴  油</t>
  </si>
  <si>
    <t>过  剩  精  制  汽  油</t>
  </si>
  <si>
    <r>
      <t>0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 xml:space="preserve">    柴    油</t>
    </r>
  </si>
  <si>
    <t>催   化   汽   油（原料）</t>
  </si>
  <si>
    <t>MTBE</t>
  </si>
  <si>
    <t>二甲苯</t>
  </si>
  <si>
    <t>3#喷气  燃  料  油</t>
  </si>
  <si>
    <t>航   煤   原   料</t>
  </si>
  <si>
    <t>乙                 苯</t>
  </si>
  <si>
    <t>烷    基   化   油</t>
  </si>
  <si>
    <r>
      <t>92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 xml:space="preserve">    汽    油</t>
    </r>
  </si>
  <si>
    <t>烃        化       液</t>
  </si>
  <si>
    <t>脱        氢        液</t>
  </si>
  <si>
    <t>石        油        苯</t>
  </si>
  <si>
    <r>
      <t>95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 xml:space="preserve">    汽    油</t>
    </r>
  </si>
  <si>
    <t>不   合   格   苯</t>
  </si>
  <si>
    <t>醋   酸   原   料</t>
  </si>
  <si>
    <r>
      <t>98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 xml:space="preserve">    汽    油</t>
    </r>
  </si>
  <si>
    <t>TK3001A</t>
  </si>
  <si>
    <t>TK3001B</t>
  </si>
  <si>
    <t>G-821</t>
  </si>
  <si>
    <t>合 计</t>
  </si>
  <si>
    <t>苯        乙        烯</t>
  </si>
  <si>
    <t>醋   酸   仲   丁   酯</t>
  </si>
  <si>
    <t>3002A</t>
  </si>
  <si>
    <t>3002B</t>
  </si>
  <si>
    <t>原油入库</t>
  </si>
  <si>
    <t>末站原油</t>
  </si>
  <si>
    <t xml:space="preserve"> </t>
  </si>
  <si>
    <t>甲  醇  原  料</t>
  </si>
  <si>
    <t>长庆原油</t>
  </si>
  <si>
    <t>进口原油</t>
  </si>
  <si>
    <t>末站库存</t>
  </si>
  <si>
    <t>末站进油量</t>
  </si>
  <si>
    <t>一次加工</t>
  </si>
  <si>
    <t>老区高位水罐</t>
  </si>
  <si>
    <t>5000m3</t>
  </si>
  <si>
    <t>二次加工</t>
  </si>
  <si>
    <t>咀头高位水罐</t>
  </si>
  <si>
    <t>自产渣油</t>
  </si>
  <si>
    <t>二甲苯卸车</t>
  </si>
  <si>
    <t>饱和液化气库存</t>
  </si>
  <si>
    <t>饱和液化气卸车</t>
  </si>
  <si>
    <t>原料液化气库存</t>
  </si>
  <si>
    <t>原料液化气卸车</t>
  </si>
  <si>
    <t>丙烯原料库存</t>
  </si>
  <si>
    <t>民用气内调</t>
  </si>
  <si>
    <t>MTBE原料库存</t>
  </si>
  <si>
    <t>醚后C4内调</t>
  </si>
  <si>
    <t>民用气库存</t>
  </si>
  <si>
    <t>苯乙烯销售</t>
  </si>
  <si>
    <t>醚后C4库存</t>
  </si>
  <si>
    <t>回炼油可销量</t>
  </si>
  <si>
    <t>酯后C4库存</t>
  </si>
  <si>
    <t>回炼油外调</t>
  </si>
  <si>
    <t>回炼油库存</t>
  </si>
  <si>
    <t>2#渣油可销量</t>
  </si>
  <si>
    <t>2#渣油库存</t>
  </si>
  <si>
    <t>2#渣油销售</t>
  </si>
  <si>
    <t>丙烷库存</t>
  </si>
  <si>
    <t>丙烯内调</t>
  </si>
  <si>
    <t>天然气用量</t>
  </si>
  <si>
    <t>SBA销售</t>
  </si>
  <si>
    <t>醚后C4销售</t>
  </si>
  <si>
    <t>外购醋酸</t>
  </si>
  <si>
    <t>民用气销售</t>
  </si>
  <si>
    <t>外购甲醇</t>
  </si>
  <si>
    <t>丙烯销售</t>
  </si>
  <si>
    <t>3号喷气燃料销售</t>
  </si>
  <si>
    <t>单位负责人：</t>
  </si>
  <si>
    <t>王静</t>
  </si>
  <si>
    <t>填报人：</t>
  </si>
  <si>
    <t>卫娇</t>
  </si>
  <si>
    <t>2026-01-07</t>
  </si>
  <si>
    <t>油品动态</t>
  </si>
  <si>
    <r>
      <t>2</t>
    </r>
    <r>
      <rPr>
        <color theme="1"/>
        <family val="2"/>
        <rFont val="Calibri"/>
        <scheme val="minor"/>
        <sz val="11"/>
      </rPr>
      <t>0230914更新</t>
    </r>
  </si>
  <si>
    <t>米系数</t>
  </si>
  <si>
    <r>
      <t>5000</t>
    </r>
    <r>
      <rPr>
        <charset val="134"/>
        <color theme="1"/>
        <family val="3"/>
        <rFont val="Calibri"/>
        <scheme val="minor"/>
        <sz val="11"/>
      </rPr>
      <t>m3</t>
    </r>
  </si>
  <si>
    <t>榆能化公司1#渣油</t>
  </si>
  <si>
    <t>榆能化1#渣油</t>
  </si>
  <si>
    <t>永炼1#渣油卸车</t>
  </si>
  <si>
    <t>正丁烷销售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</si>
</sst>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);[Red]\(0\)"/>
    <numFmt numFmtId="172" formatCode="0.00_);[Red]\(0.00\)"/>
    <numFmt numFmtId="173" formatCode="0;[Red]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auto="1"/>
      <name val="宋体"/>
    </font>
    <font>
      <sz val="11"/>
      <color theme="1"/>
      <name val="等线"/>
    </font>
    <font>
      <sz val="11"/>
      <color auto="1"/>
      <name val="等线"/>
    </font>
    <font>
      <b/>
      <sz val="11"/>
      <color auto="1"/>
      <name val="等线"/>
    </font>
    <font>
      <b/>
      <sz val="11"/>
      <color theme="1"/>
      <name val="等线"/>
    </font>
    <font>
      <b/>
      <sz val="18"/>
      <color auto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9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21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0" fillId="0" borderId="0" xfId="0" applyFont="1">
      <alignment horizontal="right"/>
    </xf>
    <xf numFmtId="0" fontId="19" fillId="0" borderId="0" xfId="0" applyFont="1">
      <alignment vertical="center"/>
    </xf>
    <xf numFmtId="0" fontId="19" fillId="0" borderId="0" xfId="0" applyFont="1">
      <alignment horizontal="right" vertical="center"/>
    </xf>
    <xf numFmtId="0" fontId="19" fillId="7" borderId="0" xfId="0" applyFont="1" applyFill="1">
      <alignment vertical="center"/>
    </xf>
    <xf numFmtId="0" fontId="19" fillId="0" borderId="0" xfId="0" applyFont="1"/>
    <xf numFmtId="0" fontId="19" fillId="0" borderId="0" xfId="0" applyFont="1">
      <alignment horizontal="center" vertical="center"/>
    </xf>
    <xf numFmtId="0" fontId="18" fillId="0" borderId="0" xfId="47" applyFont="1"/>
    <xf numFmtId="0" fontId="0" fillId="0" borderId="0" xfId="0" applyFont="1">
      <alignment horizontal="right"/>
    </xf>
    <xf numFmtId="171" fontId="20" fillId="0" borderId="10" xfId="0" applyFont="1" applyBorder="1" applyNumberFormat="1">
      <alignment horizontal="center" vertical="center"/>
    </xf>
    <xf numFmtId="172" fontId="20" fillId="0" borderId="10" xfId="0" applyFont="1" applyBorder="1" applyNumberFormat="1">
      <alignment horizontal="center" vertical="center"/>
    </xf>
    <xf numFmtId="2" fontId="20" fillId="7" borderId="10" xfId="0" applyFont="1" applyFill="1" applyBorder="1" applyNumberFormat="1">
      <alignment horizontal="right" vertical="center"/>
    </xf>
    <xf numFmtId="171" fontId="20" fillId="7" borderId="10" xfId="0" applyFont="1" applyFill="1" applyBorder="1" applyNumberFormat="1">
      <alignment horizontal="right" vertical="center"/>
    </xf>
    <xf numFmtId="171" fontId="21" fillId="0" borderId="10" xfId="0" applyFont="1" applyBorder="1" applyNumberFormat="1">
      <alignment horizontal="center" vertical="center"/>
    </xf>
    <xf numFmtId="172" fontId="21" fillId="0" borderId="10" xfId="0" applyFont="1" applyBorder="1" applyNumberFormat="1">
      <alignment horizontal="right" vertical="center"/>
    </xf>
    <xf numFmtId="171" fontId="21" fillId="7" borderId="10" xfId="0" applyFont="1" applyFill="1" applyBorder="1" applyNumberFormat="1">
      <alignment horizontal="right" vertical="center"/>
    </xf>
    <xf numFmtId="2" fontId="21" fillId="0" borderId="10" xfId="0" applyFont="1" applyBorder="1" applyNumberFormat="1">
      <alignment horizontal="right" vertical="center"/>
    </xf>
    <xf numFmtId="171" fontId="21" fillId="0" borderId="10" xfId="0" applyFont="1" applyBorder="1" applyNumberFormat="1">
      <alignment horizontal="right" vertical="center"/>
    </xf>
    <xf numFmtId="0" fontId="19" fillId="0" borderId="10" xfId="0" applyFont="1" applyBorder="1">
      <alignment vertical="center"/>
    </xf>
    <xf numFmtId="0" fontId="19" fillId="0" borderId="10" xfId="0" applyFont="1" applyBorder="1">
      <alignment horizontal="center" vertical="center"/>
    </xf>
    <xf numFmtId="0" fontId="0" fillId="0" borderId="10" xfId="0" applyFont="1" applyBorder="1"/>
    <xf numFmtId="171" fontId="20" fillId="33" borderId="10" xfId="0" applyFont="1" applyFill="1" applyBorder="1" applyNumberFormat="1">
      <alignment horizontal="center" vertical="center"/>
    </xf>
    <xf numFmtId="172" fontId="21" fillId="0" borderId="10" xfId="0" applyFont="1" applyBorder="1" applyNumberFormat="1">
      <alignment horizontal="center" vertical="center"/>
    </xf>
    <xf numFmtId="172" fontId="20" fillId="33" borderId="10" xfId="0" applyFont="1" applyFill="1" applyBorder="1" applyNumberFormat="1">
      <alignment horizontal="center" vertical="center"/>
    </xf>
    <xf numFmtId="2" fontId="20" fillId="7" borderId="10" xfId="0" applyFont="1" applyFill="1" applyBorder="1" applyNumberFormat="1">
      <alignment horizontal="right" vertical="center"/>
    </xf>
    <xf numFmtId="171" fontId="20" fillId="7" borderId="10" xfId="0" applyFont="1" applyFill="1" applyBorder="1" applyNumberFormat="1">
      <alignment horizontal="right" vertical="center"/>
    </xf>
    <xf numFmtId="0" fontId="22" fillId="0" borderId="10" xfId="0" applyFont="1" applyBorder="1">
      <alignment horizontal="center" vertical="center"/>
    </xf>
    <xf numFmtId="0" fontId="21" fillId="0" borderId="10" xfId="0" applyFont="1" applyBorder="1">
      <alignment horizontal="right" vertical="center"/>
    </xf>
    <xf numFmtId="171" fontId="20" fillId="7" borderId="10" xfId="0" applyFont="1" applyFill="1" applyBorder="1" applyNumberFormat="1">
      <alignment horizontal="center" vertical="center"/>
    </xf>
    <xf numFmtId="171" fontId="20" fillId="33" borderId="10" xfId="0" applyFont="1" applyFill="1" applyBorder="1" applyNumberFormat="1">
      <alignment horizontal="center" vertical="center"/>
    </xf>
    <xf numFmtId="171" fontId="20" fillId="34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vertical="center"/>
    </xf>
    <xf numFmtId="0" fontId="20" fillId="0" borderId="10" xfId="0" applyFont="1" applyBorder="1">
      <alignment horizontal="center" vertical="center"/>
    </xf>
    <xf numFmtId="171" fontId="20" fillId="0" borderId="11" xfId="0" applyFont="1" applyBorder="1" applyNumberFormat="1">
      <alignment horizontal="center" vertical="center"/>
    </xf>
    <xf numFmtId="171" fontId="20" fillId="0" borderId="12" xfId="0" applyFont="1" applyBorder="1" applyNumberFormat="1">
      <alignment horizontal="center" vertical="center"/>
    </xf>
    <xf numFmtId="171" fontId="20" fillId="7" borderId="12" xfId="0" applyFont="1" applyFill="1" applyBorder="1" applyNumberFormat="1">
      <alignment horizontal="right" vertical="center"/>
    </xf>
    <xf numFmtId="171" fontId="21" fillId="0" borderId="11" xfId="0" applyFont="1" applyBorder="1" applyNumberFormat="1">
      <alignment horizontal="center" vertical="center"/>
    </xf>
    <xf numFmtId="171" fontId="21" fillId="7" borderId="12" xfId="0" applyFont="1" applyFill="1" applyBorder="1" applyNumberFormat="1">
      <alignment horizontal="right" vertical="center"/>
    </xf>
    <xf numFmtId="171" fontId="20" fillId="35" borderId="11" xfId="0" applyFont="1" applyFill="1" applyBorder="1" applyNumberFormat="1">
      <alignment horizontal="center" vertical="center"/>
    </xf>
    <xf numFmtId="0" fontId="19" fillId="0" borderId="12" xfId="0" applyFont="1" applyBorder="1">
      <alignment vertical="center"/>
    </xf>
    <xf numFmtId="0" fontId="0" fillId="0" borderId="12" xfId="0" applyFont="1" applyBorder="1"/>
    <xf numFmtId="171" fontId="20" fillId="33" borderId="11" xfId="0" applyFont="1" applyFill="1" applyBorder="1" applyNumberFormat="1">
      <alignment horizontal="center" vertical="center"/>
    </xf>
    <xf numFmtId="171" fontId="20" fillId="7" borderId="12" xfId="0" applyFont="1" applyFill="1" applyBorder="1" applyNumberFormat="1">
      <alignment horizontal="right" vertical="center"/>
    </xf>
    <xf numFmtId="171" fontId="20" fillId="7" borderId="11" xfId="0" applyFont="1" applyFill="1" applyBorder="1" applyNumberFormat="1">
      <alignment horizontal="center" vertical="center"/>
    </xf>
    <xf numFmtId="171" fontId="20" fillId="33" borderId="11" xfId="0" applyFont="1" applyFill="1" applyBorder="1" applyNumberFormat="1">
      <alignment horizontal="center" vertical="center"/>
    </xf>
    <xf numFmtId="0" fontId="20" fillId="0" borderId="11" xfId="0" applyFont="1" applyBorder="1">
      <alignment horizontal="center" vertical="center"/>
    </xf>
    <xf numFmtId="0" fontId="20" fillId="0" borderId="12" xfId="0" applyFont="1" applyBorder="1">
      <alignment horizontal="center" vertical="center"/>
    </xf>
    <xf numFmtId="172" fontId="20" fillId="0" borderId="13" xfId="0" applyFont="1" applyBorder="1" applyNumberFormat="1">
      <alignment horizontal="center" vertical="center"/>
    </xf>
    <xf numFmtId="171" fontId="20" fillId="7" borderId="13" xfId="0" applyFont="1" applyFill="1" applyBorder="1" applyNumberFormat="1">
      <alignment horizontal="right" vertical="center"/>
    </xf>
    <xf numFmtId="0" fontId="20" fillId="0" borderId="13" xfId="0" applyFont="1" applyBorder="1">
      <alignment horizontal="center" vertical="center"/>
    </xf>
    <xf numFmtId="0" fontId="19" fillId="0" borderId="11" xfId="0" applyFont="1" applyBorder="1">
      <alignment horizontal="center" vertical="center"/>
    </xf>
    <xf numFmtId="171" fontId="20" fillId="0" borderId="10" xfId="0" applyFont="1" applyBorder="1" applyNumberFormat="1">
      <alignment horizontal="center" vertical="center"/>
    </xf>
    <xf numFmtId="171" fontId="20" fillId="0" borderId="12" xfId="0" applyFont="1" applyBorder="1" applyNumberFormat="1">
      <alignment horizontal="center" vertical="center"/>
    </xf>
    <xf numFmtId="171" fontId="20" fillId="0" borderId="11" xfId="0" applyFont="1" applyBorder="1" applyNumberFormat="1">
      <alignment horizontal="center" vertical="center"/>
    </xf>
    <xf numFmtId="173" fontId="23" fillId="0" borderId="14" xfId="0" applyFont="1" applyBorder="1" applyNumberFormat="1">
      <alignment horizontal="center"/>
      <protection locked="0"/>
    </xf>
    <xf numFmtId="173" fontId="23" fillId="0" borderId="15" xfId="0" applyFont="1" applyBorder="1" applyNumberFormat="1">
      <alignment horizontal="center"/>
      <protection locked="0"/>
    </xf>
    <xf numFmtId="173" fontId="23" fillId="0" borderId="16" xfId="0" applyFont="1" applyBorder="1" applyNumberFormat="1">
      <alignment horizontal="center"/>
      <protection locked="0"/>
    </xf>
    <xf numFmtId="0" fontId="19" fillId="0" borderId="13" xfId="0" applyFont="1" applyBorder="1">
      <alignment vertical="center"/>
    </xf>
    <xf numFmtId="0" fontId="19" fillId="0" borderId="13" xfId="0" applyFont="1" applyBorder="1">
      <alignment horizontal="center" vertical="center"/>
    </xf>
    <xf numFmtId="0" fontId="19" fillId="0" borderId="17" xfId="0" applyFont="1" applyBorder="1">
      <alignment vertical="center"/>
    </xf>
    <xf numFmtId="0" fontId="20" fillId="0" borderId="18" xfId="0" applyFont="1" applyBorder="1">
      <alignment horizontal="center" vertical="center"/>
    </xf>
    <xf numFmtId="0" fontId="19" fillId="0" borderId="0" xfId="0" applyFont="1">
      <alignment wrapText="1"/>
    </xf>
    <xf numFmtId="0" fontId="19" fillId="0" borderId="0" xfId="0" applyFont="1">
      <alignment vertical="center" wrapText="1"/>
    </xf>
    <xf numFmtId="0" fontId="19" fillId="0" borderId="0" xfId="0" applyFont="1">
      <alignment horizontal="center" vertical="center" wrapText="1"/>
    </xf>
    <xf numFmtId="173" fontId="23" fillId="0" borderId="14" xfId="0" applyFont="1" applyBorder="1" applyNumberFormat="1">
      <alignment horizontal="center" wrapText="1"/>
      <protection locked="0"/>
    </xf>
    <xf numFmtId="173" fontId="23" fillId="0" borderId="15" xfId="0" applyFont="1" applyBorder="1" applyNumberFormat="1">
      <alignment horizontal="center" wrapText="1"/>
      <protection locked="0"/>
    </xf>
    <xf numFmtId="173" fontId="23" fillId="0" borderId="16" xfId="0" applyFont="1" applyBorder="1" applyNumberFormat="1">
      <alignment horizontal="center" wrapText="1"/>
      <protection locked="0"/>
    </xf>
    <xf numFmtId="171" fontId="20" fillId="0" borderId="11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171" fontId="20" fillId="0" borderId="12" xfId="0" applyFont="1" applyBorder="1" applyNumberFormat="1">
      <alignment horizontal="center" vertical="center" wrapText="1"/>
    </xf>
    <xf numFmtId="171" fontId="20" fillId="0" borderId="11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171" fontId="20" fillId="0" borderId="12" xfId="0" applyFont="1" applyBorder="1" applyNumberFormat="1">
      <alignment horizontal="center" vertical="center" wrapText="1"/>
    </xf>
    <xf numFmtId="172" fontId="20" fillId="0" borderId="10" xfId="0" applyFont="1" applyBorder="1" applyNumberFormat="1">
      <alignment horizontal="center" vertical="center" wrapText="1"/>
    </xf>
    <xf numFmtId="2" fontId="20" fillId="7" borderId="10" xfId="0" applyFont="1" applyFill="1" applyBorder="1" applyNumberFormat="1">
      <alignment horizontal="right" vertical="center" wrapText="1"/>
      <protection locked="0"/>
    </xf>
    <xf numFmtId="171" fontId="20" fillId="7" borderId="10" xfId="0" applyFont="1" applyFill="1" applyBorder="1" applyNumberFormat="1">
      <alignment horizontal="right" vertical="center" wrapText="1"/>
      <protection locked="0"/>
    </xf>
    <xf numFmtId="171" fontId="20" fillId="7" borderId="10" xfId="0" applyFont="1" applyFill="1" applyBorder="1" applyNumberFormat="1">
      <alignment horizontal="right" vertical="center" wrapText="1"/>
    </xf>
    <xf numFmtId="171" fontId="20" fillId="7" borderId="12" xfId="0" applyFont="1" applyFill="1" applyBorder="1" applyNumberFormat="1">
      <alignment horizontal="right" vertical="center" wrapText="1"/>
    </xf>
    <xf numFmtId="171" fontId="21" fillId="0" borderId="11" xfId="0" applyFont="1" applyBorder="1" applyNumberFormat="1">
      <alignment horizontal="center" vertical="center" wrapText="1"/>
    </xf>
    <xf numFmtId="171" fontId="21" fillId="0" borderId="10" xfId="0" applyFont="1" applyBorder="1" applyNumberFormat="1">
      <alignment horizontal="center" vertical="center" wrapText="1"/>
    </xf>
    <xf numFmtId="172" fontId="21" fillId="0" borderId="10" xfId="0" applyFont="1" applyBorder="1" applyNumberFormat="1">
      <alignment horizontal="right" vertical="center" wrapText="1"/>
    </xf>
    <xf numFmtId="171" fontId="21" fillId="7" borderId="10" xfId="0" applyFont="1" applyFill="1" applyBorder="1" applyNumberFormat="1">
      <alignment horizontal="right" vertical="center" wrapText="1"/>
    </xf>
    <xf numFmtId="2" fontId="21" fillId="0" borderId="10" xfId="0" applyFont="1" applyBorder="1" applyNumberFormat="1">
      <alignment horizontal="right" vertical="center" wrapText="1"/>
    </xf>
    <xf numFmtId="171" fontId="21" fillId="7" borderId="12" xfId="0" applyFont="1" applyFill="1" applyBorder="1" applyNumberFormat="1">
      <alignment horizontal="right" vertical="center" wrapText="1"/>
    </xf>
    <xf numFmtId="171" fontId="21" fillId="0" borderId="10" xfId="0" applyFont="1" applyBorder="1" applyNumberFormat="1">
      <alignment horizontal="right" vertical="center" wrapText="1"/>
    </xf>
    <xf numFmtId="171" fontId="20" fillId="35" borderId="11" xfId="0" applyFont="1" applyFill="1" applyBorder="1" applyNumberFormat="1">
      <alignment horizontal="center" vertical="center" wrapText="1"/>
      <protection locked="0"/>
    </xf>
    <xf numFmtId="0" fontId="19" fillId="0" borderId="10" xfId="0" applyFont="1" applyBorder="1">
      <alignment vertical="center" wrapText="1"/>
    </xf>
    <xf numFmtId="0" fontId="19" fillId="0" borderId="10" xfId="0" applyFont="1" applyBorder="1">
      <alignment horizontal="center" vertical="center" wrapText="1"/>
    </xf>
    <xf numFmtId="0" fontId="19" fillId="0" borderId="12" xfId="0" applyFont="1" applyBorder="1">
      <alignment vertical="center" wrapText="1"/>
    </xf>
    <xf numFmtId="0" fontId="0" fillId="0" borderId="0" xfId="0" applyFont="1"/>
    <xf numFmtId="0" fontId="19" fillId="0" borderId="0" xfId="0" applyFont="1">
      <alignment wrapText="1"/>
    </xf>
    <xf numFmtId="0" fontId="0" fillId="0" borderId="10" xfId="0" applyFont="1" applyBorder="1">
      <alignment wrapText="1"/>
    </xf>
    <xf numFmtId="0" fontId="0" fillId="0" borderId="12" xfId="0" applyFont="1" applyBorder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171" fontId="20" fillId="33" borderId="11" xfId="0" applyFont="1" applyFill="1" applyBorder="1" applyNumberFormat="1">
      <alignment horizontal="center" vertical="center" wrapText="1"/>
    </xf>
    <xf numFmtId="0" fontId="0" fillId="0" borderId="0" xfId="0" applyFont="1"/>
    <xf numFmtId="172" fontId="21" fillId="0" borderId="10" xfId="0" applyFont="1" applyBorder="1" applyNumberFormat="1">
      <alignment horizontal="center" vertical="center" wrapText="1"/>
    </xf>
    <xf numFmtId="0" fontId="0" fillId="0" borderId="0" xfId="0" applyFont="1"/>
    <xf numFmtId="171" fontId="20" fillId="7" borderId="12" xfId="0" applyFont="1" applyFill="1" applyBorder="1" applyNumberFormat="1">
      <alignment horizontal="right" vertical="center" wrapText="1"/>
      <protection locked="0"/>
    </xf>
    <xf numFmtId="171" fontId="20" fillId="33" borderId="10" xfId="0" applyFont="1" applyFill="1" applyBorder="1" applyNumberFormat="1">
      <alignment horizontal="center" vertical="center" wrapText="1"/>
    </xf>
    <xf numFmtId="172" fontId="20" fillId="33" borderId="10" xfId="0" applyFont="1" applyFill="1" applyBorder="1" applyNumberFormat="1">
      <alignment horizontal="center" vertical="center" wrapText="1"/>
    </xf>
    <xf numFmtId="2" fontId="20" fillId="7" borderId="10" xfId="0" applyFont="1" applyFill="1" applyBorder="1" applyNumberFormat="1">
      <alignment horizontal="right" vertical="center" wrapText="1"/>
      <protection locked="0"/>
    </xf>
    <xf numFmtId="171" fontId="20" fillId="7" borderId="10" xfId="0" applyFont="1" applyFill="1" applyBorder="1" applyNumberFormat="1">
      <alignment horizontal="right" vertical="center" wrapText="1"/>
    </xf>
    <xf numFmtId="0" fontId="22" fillId="0" borderId="10" xfId="0" applyFont="1" applyBorder="1">
      <alignment horizontal="center" vertical="center" wrapText="1"/>
    </xf>
    <xf numFmtId="0" fontId="21" fillId="0" borderId="10" xfId="0" applyFont="1" applyBorder="1">
      <alignment horizontal="right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171" fontId="20" fillId="7" borderId="12" xfId="0" applyFont="1" applyFill="1" applyBorder="1" applyNumberFormat="1">
      <alignment horizontal="right" vertical="center" wrapText="1"/>
    </xf>
    <xf numFmtId="171" fontId="20" fillId="7" borderId="11" xfId="0" applyFont="1" applyFill="1" applyBorder="1" applyNumberFormat="1">
      <alignment horizontal="center" vertical="center" wrapText="1"/>
      <protection locked="0"/>
    </xf>
    <xf numFmtId="171" fontId="20" fillId="33" borderId="11" xfId="0" applyFont="1" applyFill="1" applyBorder="1" applyNumberFormat="1">
      <alignment horizontal="center" vertical="center" wrapText="1"/>
    </xf>
    <xf numFmtId="171" fontId="20" fillId="34" borderId="10" xfId="0" applyFont="1" applyFill="1" applyBorder="1" applyNumberFormat="1">
      <alignment horizontal="center" vertical="center" wrapText="1"/>
    </xf>
    <xf numFmtId="171" fontId="20" fillId="0" borderId="10" xfId="0" applyFont="1" applyBorder="1" applyNumberFormat="1">
      <alignment vertical="center" wrapText="1"/>
    </xf>
    <xf numFmtId="171" fontId="20" fillId="33" borderId="10" xfId="0" applyFont="1" applyFill="1" applyBorder="1" applyNumberFormat="1">
      <alignment horizontal="center" vertical="center" wrapText="1"/>
    </xf>
    <xf numFmtId="0" fontId="0" fillId="0" borderId="0" xfId="0" applyFont="1"/>
    <xf numFmtId="0" fontId="0" fillId="0" borderId="0" xfId="0" applyFont="1"/>
    <xf numFmtId="171" fontId="20" fillId="7" borderId="10" xfId="0" applyFont="1" applyFill="1" applyBorder="1" applyNumberFormat="1">
      <alignment horizontal="center" vertical="center" wrapText="1"/>
      <protection locked="0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20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20" fillId="0" borderId="11" xfId="0" applyFont="1" applyBorder="1">
      <alignment horizontal="center" vertical="center" wrapText="1"/>
    </xf>
    <xf numFmtId="0" fontId="0" fillId="0" borderId="0" xfId="0" applyFont="1"/>
    <xf numFmtId="0" fontId="20" fillId="0" borderId="12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19" fillId="0" borderId="11" xfId="0" applyFont="1" applyBorder="1">
      <alignment horizontal="center" vertical="center" wrapText="1"/>
    </xf>
    <xf numFmtId="0" fontId="20" fillId="0" borderId="18" xfId="0" applyFont="1" applyBorder="1">
      <alignment horizontal="center" vertical="center" wrapText="1"/>
    </xf>
    <xf numFmtId="0" fontId="20" fillId="0" borderId="13" xfId="0" applyFont="1" applyBorder="1">
      <alignment horizontal="center" vertical="center" wrapText="1"/>
    </xf>
    <xf numFmtId="172" fontId="20" fillId="0" borderId="13" xfId="0" applyFont="1" applyBorder="1" applyNumberFormat="1">
      <alignment horizontal="center" vertical="center" wrapText="1"/>
    </xf>
    <xf numFmtId="171" fontId="20" fillId="7" borderId="13" xfId="0" applyFont="1" applyFill="1" applyBorder="1" applyNumberFormat="1">
      <alignment horizontal="right" vertical="center" wrapText="1"/>
      <protection locked="0"/>
    </xf>
    <xf numFmtId="0" fontId="19" fillId="0" borderId="13" xfId="0" applyFont="1" applyBorder="1">
      <alignment vertical="center" wrapText="1"/>
    </xf>
    <xf numFmtId="0" fontId="19" fillId="0" borderId="13" xfId="0" applyFont="1" applyBorder="1">
      <alignment horizontal="center" vertical="center" wrapText="1"/>
    </xf>
    <xf numFmtId="0" fontId="19" fillId="0" borderId="17" xfId="0" applyFont="1" applyBorder="1">
      <alignment vertical="center" wrapText="1"/>
    </xf>
    <xf numFmtId="0" fontId="19" fillId="0" borderId="0" xfId="0" applyFont="1">
      <alignment horizontal="right" vertical="center" wrapText="1"/>
    </xf>
    <xf numFmtId="0" fontId="19" fillId="7" borderId="0" xfId="0" applyFont="1" applyFill="1">
      <alignment vertical="center" wrapText="1"/>
      <protection locked="0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horizontal="right" wrapText="1"/>
    </xf>
    <xf numFmtId="0" fontId="0" fillId="0" borderId="0" xfId="0" applyFont="1">
      <alignment horizontal="right" wrapText="1"/>
    </xf>
    <xf numFmtId="0" fontId="18" fillId="0" borderId="0" xfId="0" applyFont="1">
      <alignment wrapText="1"/>
    </xf>
    <xf numFmtId="0" fontId="18" fillId="0" borderId="0" xfId="0" applyFont="1">
      <alignment wrapText="1"/>
    </xf>
    <xf numFmtId="0" fontId="0" fillId="0" borderId="0" xfId="0" applyFont="1"/>
    <xf numFmtId="0" fontId="18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 2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A986D83-8C9B-94A8-02B8-232683B95D2D}" mc:Ignorable="x14ac xr xr2 xr3">
  <dimension ref="A1:M113"/>
  <sheetViews>
    <sheetView topLeftCell="A1" showGridLines="0" zoomScale="130" workbookViewId="0" tabSelected="1">
      <pane ySplit="2" topLeftCell="A3" activePane="bottomLeft" state="frozen"/>
      <selection pane="bottomLeft" activeCell="A1" sqref="A1"/>
    </sheetView>
  </sheetViews>
  <sheetFormatPr customHeight="1" defaultRowHeight="14.25"/>
  <cols>
    <col min="1" max="1" style="52" width="1.8515625" customWidth="1"/>
    <col min="2" max="2" style="49" width="18.57421875" customWidth="1"/>
    <col min="3" max="4" style="53" width="13.57421875" customWidth="1"/>
    <col min="5" max="7" style="49" width="13.57421875" customWidth="1"/>
    <col min="8" max="8" style="49" width="18.57421875" customWidth="1"/>
    <col min="9" max="10" style="53" width="13.57421875" customWidth="1"/>
    <col min="11" max="13" style="49" width="13.57421875" customWidth="1"/>
  </cols>
  <sheetData>
    <row customHeight="1" ht="3">
      <c r="A1" s="108"/>
      <c r="B1" s="109"/>
      <c r="C1" s="110"/>
      <c r="D1" s="110"/>
      <c r="E1" s="109"/>
      <c r="F1" s="109"/>
      <c r="G1" s="109"/>
      <c r="H1" s="109"/>
      <c r="I1" s="110"/>
      <c r="J1" s="110"/>
      <c r="K1" s="109"/>
      <c r="L1" s="109"/>
      <c r="M1" s="109"/>
    </row>
    <row customHeight="1" ht="23.25">
      <c r="A2" s="108"/>
      <c r="B2" s="111" t="str">
        <f>取值!A1&amp;取值!B1</f>
        <v>2026-01-07油品动态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customHeight="1" ht="18">
      <c r="A3" s="108"/>
      <c r="B3" s="114" t="s">
        <v>0</v>
      </c>
      <c r="C3" s="115"/>
      <c r="D3" s="115"/>
      <c r="E3" s="115"/>
      <c r="F3" s="115"/>
      <c r="G3" s="115"/>
      <c r="H3" s="115" t="s">
        <v>1</v>
      </c>
      <c r="I3" s="115"/>
      <c r="J3" s="115"/>
      <c r="K3" s="115"/>
      <c r="L3" s="115"/>
      <c r="M3" s="116"/>
    </row>
    <row customHeight="1" ht="18">
      <c r="A4" s="108"/>
      <c r="B4" s="117" t="s">
        <v>2</v>
      </c>
      <c r="C4" s="118" t="s">
        <v>3</v>
      </c>
      <c r="D4" s="118" t="s">
        <v>4</v>
      </c>
      <c r="E4" s="118" t="s">
        <v>5</v>
      </c>
      <c r="F4" s="118" t="s">
        <v>6</v>
      </c>
      <c r="G4" s="118" t="s">
        <v>7</v>
      </c>
      <c r="H4" s="118" t="s">
        <v>2</v>
      </c>
      <c r="I4" s="118" t="s">
        <v>3</v>
      </c>
      <c r="J4" s="118" t="s">
        <v>4</v>
      </c>
      <c r="K4" s="118" t="s">
        <v>5</v>
      </c>
      <c r="L4" s="118" t="s">
        <v>6</v>
      </c>
      <c r="M4" s="119" t="s">
        <v>7</v>
      </c>
    </row>
    <row customHeight="1" ht="18">
      <c r="A5" s="108"/>
      <c r="B5" s="117">
        <v>6101</v>
      </c>
      <c r="C5" s="118">
        <v>10000</v>
      </c>
      <c r="D5" s="120">
        <v>14.2</v>
      </c>
      <c r="E5" s="121">
        <v>3.58</v>
      </c>
      <c r="F5" s="122">
        <v>1897.4</v>
      </c>
      <c r="G5" s="123">
        <f>IF(E5=0,0,(14.2-E5)*530)</f>
        <v>5628.6</v>
      </c>
      <c r="H5" s="118">
        <v>6201</v>
      </c>
      <c r="I5" s="118">
        <v>10000</v>
      </c>
      <c r="J5" s="120">
        <v>16.03</v>
      </c>
      <c r="K5" s="121">
        <v>4.6</v>
      </c>
      <c r="L5" s="123">
        <f>K5*522</f>
        <v>2401.2</v>
      </c>
      <c r="M5" s="124">
        <f>IF(K5=0,0,(16.03-K5)*522)</f>
        <v>5966.46</v>
      </c>
    </row>
    <row customHeight="1" ht="18">
      <c r="A6" s="108"/>
      <c r="B6" s="117">
        <v>6102</v>
      </c>
      <c r="C6" s="118">
        <v>10000</v>
      </c>
      <c r="D6" s="120">
        <v>14.2</v>
      </c>
      <c r="E6" s="121">
        <v>9.66</v>
      </c>
      <c r="F6" s="123">
        <f>E6*530</f>
        <v>5119.8</v>
      </c>
      <c r="G6" s="123">
        <f>IF(E6=0,0,(14.2-E6)*530)</f>
        <v>2406.2</v>
      </c>
      <c r="H6" s="118">
        <v>6202</v>
      </c>
      <c r="I6" s="118">
        <v>5000</v>
      </c>
      <c r="J6" s="120">
        <v>10.8</v>
      </c>
      <c r="K6" s="121">
        <v>2.75</v>
      </c>
      <c r="L6" s="123">
        <f>K6*388</f>
        <v>1067</v>
      </c>
      <c r="M6" s="124">
        <f>IF(K6=0,0,(10.8-K6)*388)</f>
        <v>3123.4</v>
      </c>
    </row>
    <row customHeight="1" ht="18">
      <c r="A7" s="108"/>
      <c r="B7" s="117">
        <v>6105</v>
      </c>
      <c r="C7" s="118">
        <v>10000</v>
      </c>
      <c r="D7" s="120">
        <v>14.2</v>
      </c>
      <c r="E7" s="121">
        <v>4.45</v>
      </c>
      <c r="F7" s="123">
        <f>E7*530</f>
        <v>2358.5</v>
      </c>
      <c r="G7" s="123">
        <f>IF(E7=0,0,(14.2-E7)*530)</f>
        <v>5167.5</v>
      </c>
      <c r="H7" s="118">
        <v>6204</v>
      </c>
      <c r="I7" s="118">
        <v>20000</v>
      </c>
      <c r="J7" s="120">
        <v>16.03</v>
      </c>
      <c r="K7" s="121">
        <v>7.06</v>
      </c>
      <c r="L7" s="123">
        <f>K7*997</f>
        <v>7038.82</v>
      </c>
      <c r="M7" s="124">
        <f>IF(K7=0,0,(16.03-K7)*997)</f>
        <v>8943.09</v>
      </c>
    </row>
    <row customHeight="1" ht="18">
      <c r="A8" s="108"/>
      <c r="B8" s="117">
        <v>6106</v>
      </c>
      <c r="C8" s="118">
        <v>10000</v>
      </c>
      <c r="D8" s="120">
        <v>14.2</v>
      </c>
      <c r="E8" s="121">
        <v>10.53</v>
      </c>
      <c r="F8" s="123">
        <f>E8*530</f>
        <v>5580.9</v>
      </c>
      <c r="G8" s="123">
        <f>IF(E8=0,0,(14.2-E8)*530)</f>
        <v>1945.1</v>
      </c>
      <c r="H8" s="118">
        <v>6205</v>
      </c>
      <c r="I8" s="118">
        <v>20000</v>
      </c>
      <c r="J8" s="120">
        <v>16.03</v>
      </c>
      <c r="K8" s="121">
        <v>6.9</v>
      </c>
      <c r="L8" s="123">
        <f>K8*996</f>
        <v>6872.4</v>
      </c>
      <c r="M8" s="124">
        <f>IF(K8=0,0,(16.03-K8)*996)</f>
        <v>9093.48</v>
      </c>
    </row>
    <row customHeight="1" ht="18">
      <c r="A9" s="108"/>
      <c r="B9" s="117">
        <v>9501</v>
      </c>
      <c r="C9" s="118">
        <v>10000</v>
      </c>
      <c r="D9" s="120">
        <v>13.6</v>
      </c>
      <c r="E9" s="121">
        <v>11.85</v>
      </c>
      <c r="F9" s="123">
        <f>E9*530</f>
        <v>6280.5</v>
      </c>
      <c r="G9" s="123">
        <f>IF(E9=0,0,(13.6-E9)*530)</f>
        <v>927.5</v>
      </c>
      <c r="H9" s="118">
        <v>9505</v>
      </c>
      <c r="I9" s="118">
        <v>5000</v>
      </c>
      <c r="J9" s="120">
        <v>8.5</v>
      </c>
      <c r="K9" s="121">
        <v>7.71</v>
      </c>
      <c r="L9" s="123">
        <f>K9*282</f>
        <v>2174.22</v>
      </c>
      <c r="M9" s="124">
        <f>IF(K9=0,0,(8.5-K9)*278)</f>
        <v>219.62</v>
      </c>
    </row>
    <row customHeight="1" ht="18">
      <c r="A10" s="108"/>
      <c r="B10" s="117">
        <v>9502</v>
      </c>
      <c r="C10" s="118">
        <v>10000</v>
      </c>
      <c r="D10" s="120">
        <v>13.6</v>
      </c>
      <c r="E10" s="121">
        <v>11.68</v>
      </c>
      <c r="F10" s="123">
        <f>E10*530</f>
        <v>6190.4</v>
      </c>
      <c r="G10" s="123">
        <f>IF(E10=0,0,(13.6-E10)*530)</f>
        <v>1017.6</v>
      </c>
      <c r="H10" s="118">
        <v>9506</v>
      </c>
      <c r="I10" s="118">
        <v>5000</v>
      </c>
      <c r="J10" s="120">
        <v>13.67</v>
      </c>
      <c r="K10" s="121">
        <v>11.06</v>
      </c>
      <c r="L10" s="123">
        <f>K10*282</f>
        <v>3118.92</v>
      </c>
      <c r="M10" s="124">
        <f>IF(K10=0,0,(13.67-K10)*278)</f>
        <v>725.58</v>
      </c>
    </row>
    <row customHeight="1" ht="18">
      <c r="A11" s="108"/>
      <c r="B11" s="117">
        <v>9503</v>
      </c>
      <c r="C11" s="118">
        <v>10000</v>
      </c>
      <c r="D11" s="120">
        <v>13.6</v>
      </c>
      <c r="E11" s="121">
        <v>11.2</v>
      </c>
      <c r="F11" s="123">
        <f>E11*530</f>
        <v>5936</v>
      </c>
      <c r="G11" s="123">
        <f>IF(E11=0,0,(13.6-E11)*530)</f>
        <v>1272</v>
      </c>
      <c r="H11" s="118">
        <v>9507</v>
      </c>
      <c r="I11" s="118">
        <v>5000</v>
      </c>
      <c r="J11" s="120">
        <v>13.67</v>
      </c>
      <c r="K11" s="121">
        <v>7.21</v>
      </c>
      <c r="L11" s="123">
        <f>K11*280</f>
        <v>2018.8</v>
      </c>
      <c r="M11" s="124">
        <f>IF(K11=0,0,(13.67-K11)*278)</f>
        <v>1795.88</v>
      </c>
    </row>
    <row customHeight="1" ht="18">
      <c r="A12" s="108"/>
      <c r="B12" s="117">
        <v>9510</v>
      </c>
      <c r="C12" s="118">
        <v>20000</v>
      </c>
      <c r="D12" s="120">
        <v>13.4</v>
      </c>
      <c r="E12" s="121">
        <v>8.91</v>
      </c>
      <c r="F12" s="123">
        <f>E12*1045</f>
        <v>9310.95</v>
      </c>
      <c r="G12" s="123">
        <f>IF(E12=0,0,(13.4-E12)*1045)</f>
        <v>4692.05</v>
      </c>
      <c r="H12" s="118">
        <v>9508</v>
      </c>
      <c r="I12" s="118">
        <v>5000</v>
      </c>
      <c r="J12" s="120">
        <v>13.67</v>
      </c>
      <c r="K12" s="121">
        <v>6.73</v>
      </c>
      <c r="L12" s="123">
        <f>K12*280</f>
        <v>1884.4</v>
      </c>
      <c r="M12" s="124">
        <f>IF(K12=0,0,(13.67-K12)*278)</f>
        <v>1929.32</v>
      </c>
    </row>
    <row customHeight="1" ht="18">
      <c r="A13" s="108"/>
      <c r="B13" s="125" t="s">
        <v>8</v>
      </c>
      <c r="C13" s="126"/>
      <c r="D13" s="126"/>
      <c r="E13" s="127"/>
      <c r="F13" s="128">
        <f>SUM(F5:F12)</f>
        <v>42674.45</v>
      </c>
      <c r="G13" s="128">
        <f>SUM(G5:G12)</f>
        <v>23056.55</v>
      </c>
      <c r="H13" s="118">
        <v>23601</v>
      </c>
      <c r="I13" s="118">
        <v>5000</v>
      </c>
      <c r="J13" s="120">
        <v>15.38</v>
      </c>
      <c r="K13" s="121">
        <v>14.82</v>
      </c>
      <c r="L13" s="123">
        <f>K13*277</f>
        <v>4105.14</v>
      </c>
      <c r="M13" s="124">
        <f>IF(K13=0,0,(15.38-K13)*278)</f>
        <v>155.68</v>
      </c>
    </row>
    <row customHeight="1" ht="18">
      <c r="A14" s="108"/>
      <c r="B14" s="114" t="s">
        <v>9</v>
      </c>
      <c r="C14" s="115"/>
      <c r="D14" s="115"/>
      <c r="E14" s="115"/>
      <c r="F14" s="115"/>
      <c r="G14" s="115"/>
      <c r="H14" s="118">
        <v>23602</v>
      </c>
      <c r="I14" s="118">
        <v>5000</v>
      </c>
      <c r="J14" s="120">
        <v>15.38</v>
      </c>
      <c r="K14" s="121">
        <v>10.8</v>
      </c>
      <c r="L14" s="123">
        <f>K14*277</f>
        <v>2991.6</v>
      </c>
      <c r="M14" s="124">
        <f>IF(K14=0,0,(15.38-K14)*278)</f>
        <v>1273.24</v>
      </c>
    </row>
    <row customHeight="1" ht="18">
      <c r="A15" s="108"/>
      <c r="B15" s="117">
        <v>6104</v>
      </c>
      <c r="C15" s="118">
        <v>5000</v>
      </c>
      <c r="D15" s="120">
        <v>12.8</v>
      </c>
      <c r="E15" s="121">
        <v>2.62</v>
      </c>
      <c r="F15" s="123">
        <f>E15*319</f>
        <v>835.78</v>
      </c>
      <c r="G15" s="123">
        <f>IF(E15=0,0,(12.8-E15)*319)</f>
        <v>3247.42</v>
      </c>
      <c r="H15" s="118">
        <v>23603</v>
      </c>
      <c r="I15" s="118">
        <v>5000</v>
      </c>
      <c r="J15" s="120">
        <v>15.38</v>
      </c>
      <c r="K15" s="121">
        <v>11.15</v>
      </c>
      <c r="L15" s="123">
        <f>K15*277</f>
        <v>3088.55</v>
      </c>
      <c r="M15" s="124">
        <f>IF(K15=0,0,(15.38-K15)*278)</f>
        <v>1175.94</v>
      </c>
    </row>
    <row customHeight="1" ht="18">
      <c r="A16" s="108"/>
      <c r="B16" s="114" t="s">
        <v>10</v>
      </c>
      <c r="C16" s="115"/>
      <c r="D16" s="115"/>
      <c r="E16" s="115"/>
      <c r="F16" s="115"/>
      <c r="G16" s="115"/>
      <c r="H16" s="118">
        <v>23604</v>
      </c>
      <c r="I16" s="118">
        <v>5000</v>
      </c>
      <c r="J16" s="120">
        <v>15.38</v>
      </c>
      <c r="K16" s="121">
        <v>11.18</v>
      </c>
      <c r="L16" s="123">
        <f>K16*277</f>
        <v>3096.86</v>
      </c>
      <c r="M16" s="124">
        <f>IF(K16=0,0,(15.38-K16)*278)</f>
        <v>1167.6</v>
      </c>
    </row>
    <row customHeight="1" ht="18">
      <c r="A17" s="108"/>
      <c r="B17" s="117">
        <v>6103</v>
      </c>
      <c r="C17" s="118">
        <v>5000</v>
      </c>
      <c r="D17" s="120">
        <v>12.8</v>
      </c>
      <c r="E17" s="121">
        <v>3.43</v>
      </c>
      <c r="F17" s="123">
        <f>E17*319</f>
        <v>1094.17</v>
      </c>
      <c r="G17" s="123">
        <f>IF(E17=0,0,(12.8-E17)*319)</f>
        <v>2989.03</v>
      </c>
      <c r="H17" s="126" t="s">
        <v>8</v>
      </c>
      <c r="I17" s="126"/>
      <c r="J17" s="126"/>
      <c r="K17" s="129"/>
      <c r="L17" s="128">
        <f>SUM(L5:L16)</f>
        <v>39857.91</v>
      </c>
      <c r="M17" s="130">
        <f>SUM(M5:M16)</f>
        <v>35569.29</v>
      </c>
    </row>
    <row customHeight="1" ht="18">
      <c r="A18" s="108"/>
      <c r="B18" s="117">
        <v>9504</v>
      </c>
      <c r="C18" s="118">
        <v>10000</v>
      </c>
      <c r="D18" s="120">
        <v>13.6</v>
      </c>
      <c r="E18" s="121">
        <v>3.39</v>
      </c>
      <c r="F18" s="123">
        <f>E18*530</f>
        <v>1796.7</v>
      </c>
      <c r="G18" s="123">
        <f>IF(E18=0,0,(13.6-E18)*530)</f>
        <v>5411.3</v>
      </c>
      <c r="H18" s="118">
        <v>6203</v>
      </c>
      <c r="I18" s="118"/>
      <c r="J18" s="118"/>
      <c r="K18" s="121">
        <v>0</v>
      </c>
      <c r="L18" s="123">
        <f>K18*388</f>
        <v>0</v>
      </c>
      <c r="M18" s="124">
        <f>取值!C1</f>
        <v>0</v>
      </c>
    </row>
    <row customHeight="1" ht="18">
      <c r="A19" s="108"/>
      <c r="B19" s="117">
        <v>9509</v>
      </c>
      <c r="C19" s="118">
        <v>20000</v>
      </c>
      <c r="D19" s="120">
        <v>13</v>
      </c>
      <c r="E19" s="121">
        <v>2.88</v>
      </c>
      <c r="F19" s="123">
        <f>E19*1244</f>
        <v>3582.72</v>
      </c>
      <c r="G19" s="123">
        <f>IF(E19=0,0,(13-E19)*1244)</f>
        <v>12589.28</v>
      </c>
      <c r="H19" s="115" t="s">
        <v>11</v>
      </c>
      <c r="I19" s="115"/>
      <c r="J19" s="115"/>
      <c r="K19" s="115"/>
      <c r="L19" s="115"/>
      <c r="M19" s="116"/>
    </row>
    <row customHeight="1" ht="18">
      <c r="A20" s="108"/>
      <c r="B20" s="125" t="s">
        <v>8</v>
      </c>
      <c r="C20" s="126"/>
      <c r="D20" s="126"/>
      <c r="E20" s="127"/>
      <c r="F20" s="128">
        <f>SUM(F17:F19)</f>
        <v>6473.59</v>
      </c>
      <c r="G20" s="128">
        <f>SUM(G17:G19)</f>
        <v>20989.61</v>
      </c>
      <c r="H20" s="118" t="s">
        <v>2</v>
      </c>
      <c r="I20" s="118" t="s">
        <v>3</v>
      </c>
      <c r="J20" s="118" t="s">
        <v>4</v>
      </c>
      <c r="K20" s="118" t="s">
        <v>5</v>
      </c>
      <c r="L20" s="118" t="s">
        <v>6</v>
      </c>
      <c r="M20" s="119" t="s">
        <v>7</v>
      </c>
    </row>
    <row customHeight="1" ht="18">
      <c r="A21" s="108"/>
      <c r="B21" s="114" t="s">
        <v>12</v>
      </c>
      <c r="C21" s="115"/>
      <c r="D21" s="115"/>
      <c r="E21" s="115"/>
      <c r="F21" s="115"/>
      <c r="G21" s="115"/>
      <c r="H21" s="118">
        <v>6801</v>
      </c>
      <c r="I21" s="118">
        <v>10000</v>
      </c>
      <c r="J21" s="120">
        <v>16.03</v>
      </c>
      <c r="K21" s="121">
        <v>7.17</v>
      </c>
      <c r="L21" s="123">
        <f>K21*492</f>
        <v>3527.64</v>
      </c>
      <c r="M21" s="124">
        <f>IF(K21=0,0,(16.03-K21)*492)</f>
        <v>4359.12</v>
      </c>
    </row>
    <row customHeight="1" ht="18">
      <c r="A22" s="108"/>
      <c r="B22" s="117" t="s">
        <v>2</v>
      </c>
      <c r="C22" s="118" t="s">
        <v>3</v>
      </c>
      <c r="D22" s="118" t="s">
        <v>4</v>
      </c>
      <c r="E22" s="118" t="s">
        <v>5</v>
      </c>
      <c r="F22" s="118" t="s">
        <v>6</v>
      </c>
      <c r="G22" s="118" t="s">
        <v>7</v>
      </c>
      <c r="H22" s="118">
        <v>6802</v>
      </c>
      <c r="I22" s="118">
        <v>10000</v>
      </c>
      <c r="J22" s="120">
        <v>16.03</v>
      </c>
      <c r="K22" s="121">
        <v>2.96</v>
      </c>
      <c r="L22" s="123">
        <f>K22*492</f>
        <v>1456.32</v>
      </c>
      <c r="M22" s="124">
        <f>IF(K22=0,0,(16.03-K22)*492)</f>
        <v>6430.44</v>
      </c>
    </row>
    <row customHeight="1" ht="18">
      <c r="A23" s="108"/>
      <c r="B23" s="117">
        <v>6803</v>
      </c>
      <c r="C23" s="118">
        <v>10000</v>
      </c>
      <c r="D23" s="120">
        <v>16.03</v>
      </c>
      <c r="E23" s="121">
        <v>15.08</v>
      </c>
      <c r="F23" s="123">
        <f>E23*439</f>
        <v>6620.12</v>
      </c>
      <c r="G23" s="123">
        <f>IF(E23=0,0,(16.03-E23)*439)</f>
        <v>417.05</v>
      </c>
      <c r="H23" s="126" t="s">
        <v>8</v>
      </c>
      <c r="I23" s="126"/>
      <c r="J23" s="126"/>
      <c r="K23" s="131"/>
      <c r="L23" s="128">
        <f>SUM(L21:L22)</f>
        <v>4983.96</v>
      </c>
      <c r="M23" s="130">
        <f>SUM(M21:M22)</f>
        <v>10789.56</v>
      </c>
    </row>
    <row customHeight="1" ht="18">
      <c r="A24" s="108"/>
      <c r="B24" s="117">
        <v>6804</v>
      </c>
      <c r="C24" s="118">
        <v>10000</v>
      </c>
      <c r="D24" s="120">
        <v>16.03</v>
      </c>
      <c r="E24" s="121">
        <v>11.91</v>
      </c>
      <c r="F24" s="123">
        <f>E24*439</f>
        <v>5228.49</v>
      </c>
      <c r="G24" s="123">
        <f>IF(E24=0,0,(16.03-E24)*439)</f>
        <v>1808.68</v>
      </c>
      <c r="H24" s="115" t="s">
        <v>13</v>
      </c>
      <c r="I24" s="115"/>
      <c r="J24" s="115"/>
      <c r="K24" s="115"/>
      <c r="L24" s="115"/>
      <c r="M24" s="116"/>
    </row>
    <row customHeight="1" ht="16.5">
      <c r="A25" s="108"/>
      <c r="B25" s="125" t="s">
        <v>8</v>
      </c>
      <c r="C25" s="126"/>
      <c r="D25" s="126"/>
      <c r="E25" s="131"/>
      <c r="F25" s="128">
        <f>SUM(F23:F24)</f>
        <v>11848.61</v>
      </c>
      <c r="G25" s="128">
        <f>SUM(G23:G24)</f>
        <v>2225.73</v>
      </c>
      <c r="H25" s="118" t="s">
        <v>2</v>
      </c>
      <c r="I25" s="118" t="s">
        <v>3</v>
      </c>
      <c r="J25" s="118" t="s">
        <v>4</v>
      </c>
      <c r="K25" s="118" t="s">
        <v>5</v>
      </c>
      <c r="L25" s="118" t="s">
        <v>6</v>
      </c>
      <c r="M25" s="119" t="s">
        <v>7</v>
      </c>
    </row>
    <row customHeight="1" ht="18">
      <c r="A26" s="108"/>
      <c r="B26" s="114" t="s">
        <v>14</v>
      </c>
      <c r="C26" s="115"/>
      <c r="D26" s="115"/>
      <c r="E26" s="115"/>
      <c r="F26" s="115"/>
      <c r="G26" s="115"/>
      <c r="H26" s="118">
        <v>9527</v>
      </c>
      <c r="I26" s="118">
        <v>10000</v>
      </c>
      <c r="J26" s="120">
        <v>15.5</v>
      </c>
      <c r="K26" s="121">
        <v>7.33</v>
      </c>
      <c r="L26" s="123">
        <f>K26*478</f>
        <v>3503.74</v>
      </c>
      <c r="M26" s="124">
        <f>IF(K26=0,0,(15.5-K26)*478)</f>
        <v>3905.26</v>
      </c>
    </row>
    <row customHeight="1" ht="18">
      <c r="A27" s="108"/>
      <c r="B27" s="117" t="s">
        <v>2</v>
      </c>
      <c r="C27" s="118" t="s">
        <v>3</v>
      </c>
      <c r="D27" s="118" t="s">
        <v>4</v>
      </c>
      <c r="E27" s="118" t="s">
        <v>5</v>
      </c>
      <c r="F27" s="118" t="s">
        <v>6</v>
      </c>
      <c r="G27" s="118" t="s">
        <v>7</v>
      </c>
      <c r="H27" s="118">
        <v>9528</v>
      </c>
      <c r="I27" s="118">
        <v>10000</v>
      </c>
      <c r="J27" s="120">
        <v>10</v>
      </c>
      <c r="K27" s="121">
        <v>5.95</v>
      </c>
      <c r="L27" s="123">
        <f>K27*478</f>
        <v>2844.1</v>
      </c>
      <c r="M27" s="124">
        <f>IF(K27=0,0,(10-K27)*478)</f>
        <v>1935.9</v>
      </c>
    </row>
    <row customHeight="1" ht="18">
      <c r="A28" s="108"/>
      <c r="B28" s="117">
        <v>9511</v>
      </c>
      <c r="C28" s="118">
        <v>5000</v>
      </c>
      <c r="D28" s="120">
        <v>13</v>
      </c>
      <c r="E28" s="121">
        <v>10.02</v>
      </c>
      <c r="F28" s="123">
        <f>E28*225</f>
        <v>2254.5</v>
      </c>
      <c r="G28" s="123">
        <f>IF(E28=0,0,(13-E28)*225)</f>
        <v>670.5</v>
      </c>
      <c r="H28" s="126" t="s">
        <v>8</v>
      </c>
      <c r="I28" s="126"/>
      <c r="J28" s="126"/>
      <c r="K28" s="127"/>
      <c r="L28" s="128">
        <f>SUM(L26:L27)</f>
        <v>6347.84</v>
      </c>
      <c r="M28" s="130">
        <f>SUM(M26:M27)</f>
        <v>5841.16</v>
      </c>
    </row>
    <row customHeight="1" ht="18" hidden="1">
      <c r="A29" s="108"/>
      <c r="B29" s="132" t="str">
        <f>_xlfn.IFERROR(IF(取值!C157=0,"",取值!C157),"")</f>
        <v/>
      </c>
      <c r="C29" s="118">
        <v>5000</v>
      </c>
      <c r="D29" s="120">
        <v>13</v>
      </c>
      <c r="E29" s="121" t="str">
        <f>_xlfn.IFERROR(IF(B29=9529,ROUND(取值!B73,2),IF(B29=9530,ROUND(取值!B74,2),IF(B29=823,ROUND(取值!B99,2),IF(B29=824,ROUND(取值!B86,2),"")))),"")</f>
        <v/>
      </c>
      <c r="F29" s="123" t="str">
        <f>_xlfn.IFERROR(IF(E29="","",E29*218),"")</f>
        <v/>
      </c>
      <c r="G29" s="123" t="str">
        <f>IF(E29=0,0,_xlfn.IFERROR(IF(E29="","",(13-E29)*225),""))</f>
        <v/>
      </c>
      <c r="H29" s="133"/>
      <c r="I29" s="134"/>
      <c r="J29" s="134"/>
      <c r="K29" s="133"/>
      <c r="L29" s="133"/>
      <c r="M29" s="135"/>
    </row>
    <row s="136" customFormat="1" customHeight="1" ht="18" hidden="1">
      <c r="A30" s="137"/>
      <c r="B30" s="132" t="str">
        <f>_xlfn.IFERROR(IF(取值!C158=0,"",取值!C158),"")</f>
        <v/>
      </c>
      <c r="C30" s="118">
        <v>5000</v>
      </c>
      <c r="D30" s="120">
        <v>13</v>
      </c>
      <c r="E30" s="121" t="str">
        <f>_xlfn.IFERROR(IF(B30=9529,ROUND(取值!B73,2),IF(B30=9530,ROUND(取值!B74,2),IF(B30=823,ROUND(取值!B99,2),IF(B30=824,ROUND(取值!B86,2),"")))),"")</f>
        <v/>
      </c>
      <c r="F30" s="123" t="str">
        <f>_xlfn.IFERROR(IF(E30="","",E30*218),"")</f>
        <v/>
      </c>
      <c r="G30" s="123" t="str">
        <f>IF(E30=0,0,_xlfn.IFERROR(IF(E30="","",(13-E30)*215),""))</f>
        <v/>
      </c>
      <c r="H30" s="138"/>
      <c r="I30" s="138"/>
      <c r="J30" s="138"/>
      <c r="K30" s="138"/>
      <c r="L30" s="138"/>
      <c r="M30" s="139"/>
    </row>
    <row customHeight="1" ht="18">
      <c r="A31" s="108"/>
      <c r="B31" s="125" t="s">
        <v>8</v>
      </c>
      <c r="C31" s="126"/>
      <c r="D31" s="126"/>
      <c r="E31" s="127"/>
      <c r="F31" s="128">
        <f>SUM(F28:F30)</f>
        <v>2254.5</v>
      </c>
      <c r="G31" s="128">
        <f>SUM(G28:G30)</f>
        <v>670.5</v>
      </c>
      <c r="H31" s="115" t="s">
        <v>15</v>
      </c>
      <c r="I31" s="115"/>
      <c r="J31" s="115"/>
      <c r="K31" s="115"/>
      <c r="L31" s="115"/>
      <c r="M31" s="116"/>
    </row>
    <row s="140" customFormat="1" customHeight="1" ht="18">
      <c r="A32" s="137"/>
      <c r="B32" s="114" t="s">
        <v>16</v>
      </c>
      <c r="C32" s="115"/>
      <c r="D32" s="115"/>
      <c r="E32" s="115"/>
      <c r="F32" s="115"/>
      <c r="G32" s="115"/>
      <c r="H32" s="118" t="s">
        <v>2</v>
      </c>
      <c r="I32" s="118" t="s">
        <v>3</v>
      </c>
      <c r="J32" s="118" t="s">
        <v>4</v>
      </c>
      <c r="K32" s="118" t="s">
        <v>5</v>
      </c>
      <c r="L32" s="118" t="s">
        <v>6</v>
      </c>
      <c r="M32" s="119" t="s">
        <v>7</v>
      </c>
    </row>
    <row s="141" customFormat="1" customHeight="1" ht="18">
      <c r="A33" s="137"/>
      <c r="B33" s="117" t="s">
        <v>2</v>
      </c>
      <c r="C33" s="118" t="s">
        <v>3</v>
      </c>
      <c r="D33" s="118" t="s">
        <v>4</v>
      </c>
      <c r="E33" s="118" t="s">
        <v>5</v>
      </c>
      <c r="F33" s="118" t="s">
        <v>6</v>
      </c>
      <c r="G33" s="118" t="s">
        <v>7</v>
      </c>
      <c r="H33" s="118">
        <v>801</v>
      </c>
      <c r="I33" s="118">
        <v>10000</v>
      </c>
      <c r="J33" s="120">
        <v>13.4</v>
      </c>
      <c r="K33" s="121">
        <v>13.09</v>
      </c>
      <c r="L33" s="123">
        <f>K33*515</f>
        <v>6741.35</v>
      </c>
      <c r="M33" s="124">
        <f>IF(K33=0,0,(13.4-K33)*515)</f>
        <v>159.65</v>
      </c>
    </row>
    <row s="142" customFormat="1" customHeight="1" ht="18">
      <c r="A34" s="137"/>
      <c r="B34" s="143">
        <v>9512</v>
      </c>
      <c r="C34" s="118">
        <v>5000</v>
      </c>
      <c r="D34" s="120">
        <v>13</v>
      </c>
      <c r="E34" s="121">
        <v>9.92</v>
      </c>
      <c r="F34" s="123">
        <f>E34*232.5</f>
        <v>2306.4</v>
      </c>
      <c r="G34" s="123">
        <f>IF(E34=0,0,(13-E34)*228)</f>
        <v>702.24</v>
      </c>
      <c r="H34" s="118">
        <v>802</v>
      </c>
      <c r="I34" s="118">
        <v>10000</v>
      </c>
      <c r="J34" s="120">
        <v>13.4</v>
      </c>
      <c r="K34" s="121">
        <v>13.09</v>
      </c>
      <c r="L34" s="123">
        <f>K34*515</f>
        <v>6741.35</v>
      </c>
      <c r="M34" s="124">
        <f>IF(K34=0,0,(13.4-K34)*515)</f>
        <v>159.65</v>
      </c>
    </row>
    <row s="144" customFormat="1" customHeight="1" ht="18">
      <c r="A35" s="137"/>
      <c r="B35" s="117">
        <v>9513</v>
      </c>
      <c r="C35" s="118">
        <v>5000</v>
      </c>
      <c r="D35" s="120">
        <v>13</v>
      </c>
      <c r="E35" s="121">
        <v>7.62</v>
      </c>
      <c r="F35" s="123">
        <f>E35*223</f>
        <v>1699.26</v>
      </c>
      <c r="G35" s="123">
        <f>IF(E35=0,0,(13-E35)*225)</f>
        <v>1210.5</v>
      </c>
      <c r="H35" s="118">
        <v>803</v>
      </c>
      <c r="I35" s="118">
        <v>10000</v>
      </c>
      <c r="J35" s="120">
        <v>13.4</v>
      </c>
      <c r="K35" s="121">
        <v>9.54</v>
      </c>
      <c r="L35" s="123">
        <f>K35*515</f>
        <v>4913.1</v>
      </c>
      <c r="M35" s="124">
        <f>IF(K35=0,0,(13.4-K35)*515)</f>
        <v>1987.9</v>
      </c>
    </row>
    <row customHeight="1" ht="18">
      <c r="A36" s="108"/>
      <c r="B36" s="125" t="s">
        <v>8</v>
      </c>
      <c r="C36" s="126"/>
      <c r="D36" s="145"/>
      <c r="E36" s="127"/>
      <c r="F36" s="128">
        <f>SUM(F35)</f>
        <v>1699.26</v>
      </c>
      <c r="G36" s="128">
        <f>SUM(G35)</f>
        <v>1210.5</v>
      </c>
      <c r="H36" s="118">
        <v>804</v>
      </c>
      <c r="I36" s="118">
        <v>10000</v>
      </c>
      <c r="J36" s="120">
        <v>13.4</v>
      </c>
      <c r="K36" s="121">
        <v>9.15</v>
      </c>
      <c r="L36" s="123">
        <f>K36*515</f>
        <v>4712.25</v>
      </c>
      <c r="M36" s="124">
        <f>IF(K36=0,0,(13.4-K36)*515)</f>
        <v>2188.75</v>
      </c>
    </row>
    <row customHeight="1" ht="18">
      <c r="A37" s="108"/>
      <c r="B37" s="114" t="s">
        <v>17</v>
      </c>
      <c r="C37" s="115"/>
      <c r="D37" s="115"/>
      <c r="E37" s="115"/>
      <c r="F37" s="115"/>
      <c r="G37" s="115"/>
      <c r="H37" s="118">
        <v>810</v>
      </c>
      <c r="I37" s="118">
        <v>5000</v>
      </c>
      <c r="J37" s="120">
        <v>10.2</v>
      </c>
      <c r="K37" s="121">
        <v>2.61</v>
      </c>
      <c r="L37" s="123">
        <f>K37*365</f>
        <v>952.65</v>
      </c>
      <c r="M37" s="124">
        <f>IF(K37=0,0,(10.2-K37)*365)</f>
        <v>2770.35</v>
      </c>
    </row>
    <row s="146" customFormat="1" customHeight="1" ht="18">
      <c r="A38" s="137"/>
      <c r="B38" s="117" t="s">
        <v>2</v>
      </c>
      <c r="C38" s="118" t="s">
        <v>3</v>
      </c>
      <c r="D38" s="118" t="s">
        <v>4</v>
      </c>
      <c r="E38" s="118" t="s">
        <v>5</v>
      </c>
      <c r="F38" s="118" t="s">
        <v>6</v>
      </c>
      <c r="G38" s="118" t="s">
        <v>7</v>
      </c>
      <c r="H38" s="118">
        <v>811</v>
      </c>
      <c r="I38" s="118">
        <v>5000</v>
      </c>
      <c r="J38" s="120">
        <v>10.2</v>
      </c>
      <c r="K38" s="121">
        <v>3.41</v>
      </c>
      <c r="L38" s="123">
        <f>K38*365</f>
        <v>1244.65</v>
      </c>
      <c r="M38" s="124">
        <f>IF(K38=0,0,(10.2-K38)*365)</f>
        <v>2478.35</v>
      </c>
    </row>
    <row customHeight="1" ht="18">
      <c r="A39" s="108"/>
      <c r="B39" s="117">
        <v>24903</v>
      </c>
      <c r="C39" s="118">
        <v>1000</v>
      </c>
      <c r="D39" s="120">
        <v>7.6</v>
      </c>
      <c r="E39" s="121">
        <v>3.16</v>
      </c>
      <c r="F39" s="123">
        <f>E39*68</f>
        <v>214.88</v>
      </c>
      <c r="G39" s="123">
        <f>IF(E39=0,0,(7.6-E39)*68)</f>
        <v>301.92</v>
      </c>
      <c r="H39" s="118">
        <v>812</v>
      </c>
      <c r="I39" s="118">
        <v>10000</v>
      </c>
      <c r="J39" s="120">
        <v>13.4</v>
      </c>
      <c r="K39" s="121">
        <v>2.7</v>
      </c>
      <c r="L39" s="123">
        <f>K39*575</f>
        <v>1552.5</v>
      </c>
      <c r="M39" s="147">
        <v>6152.5</v>
      </c>
    </row>
    <row customHeight="1" ht="18">
      <c r="A40" s="108"/>
      <c r="B40" s="117">
        <v>24904</v>
      </c>
      <c r="C40" s="118">
        <v>1000</v>
      </c>
      <c r="D40" s="120">
        <v>7.6</v>
      </c>
      <c r="E40" s="121">
        <v>4.91</v>
      </c>
      <c r="F40" s="123">
        <f>E40*68</f>
        <v>333.88</v>
      </c>
      <c r="G40" s="123">
        <f>IF(E40=0,0,(7.6-E40)*68)</f>
        <v>182.92</v>
      </c>
      <c r="H40" s="118">
        <v>813</v>
      </c>
      <c r="I40" s="118">
        <v>10000</v>
      </c>
      <c r="J40" s="120">
        <v>13.4</v>
      </c>
      <c r="K40" s="121">
        <v>10.92</v>
      </c>
      <c r="L40" s="123">
        <f>K40*575</f>
        <v>6279</v>
      </c>
      <c r="M40" s="124">
        <f>IF(K40=0,0,(13.4-K40)*575)</f>
        <v>1426</v>
      </c>
    </row>
    <row customHeight="1" ht="18">
      <c r="A41" s="108"/>
      <c r="B41" s="143">
        <v>24905</v>
      </c>
      <c r="C41" s="148">
        <v>1000</v>
      </c>
      <c r="D41" s="149">
        <v>7.6</v>
      </c>
      <c r="E41" s="150">
        <v>3.31</v>
      </c>
      <c r="F41" s="151">
        <f>E41*81</f>
        <v>268.11</v>
      </c>
      <c r="G41" s="151">
        <f>IF(E41=0,0,(7.6-E41)*81)</f>
        <v>347.49</v>
      </c>
      <c r="H41" s="118">
        <v>818</v>
      </c>
      <c r="I41" s="118">
        <v>5000</v>
      </c>
      <c r="J41" s="120">
        <v>12.5</v>
      </c>
      <c r="K41" s="121">
        <v>12.11</v>
      </c>
      <c r="L41" s="123">
        <f>K41*305</f>
        <v>3693.55</v>
      </c>
      <c r="M41" s="124">
        <f>IF(K41=0,0,(12.5-K41)*305)</f>
        <v>118.95</v>
      </c>
    </row>
    <row customHeight="1" ht="18">
      <c r="A42" s="108"/>
      <c r="B42" s="143">
        <v>9514</v>
      </c>
      <c r="C42" s="118">
        <v>5000</v>
      </c>
      <c r="D42" s="120">
        <v>13</v>
      </c>
      <c r="E42" s="121">
        <v>12.29</v>
      </c>
      <c r="F42" s="123">
        <f>E42*232.5</f>
        <v>2857.425</v>
      </c>
      <c r="G42" s="123">
        <f>IF(E42=0,0,(13-E42)*225)</f>
        <v>159.75</v>
      </c>
      <c r="H42" s="118">
        <v>819</v>
      </c>
      <c r="I42" s="118">
        <v>5000</v>
      </c>
      <c r="J42" s="120">
        <v>12.5</v>
      </c>
      <c r="K42" s="121">
        <v>12.14</v>
      </c>
      <c r="L42" s="123">
        <f>K42*305</f>
        <v>3702.7</v>
      </c>
      <c r="M42" s="124">
        <f>IF(K42=0,0,(12.5-K42)*305)</f>
        <v>109.8</v>
      </c>
    </row>
    <row customHeight="1" ht="18">
      <c r="A43" s="108"/>
      <c r="B43" s="117">
        <v>9516</v>
      </c>
      <c r="C43" s="118">
        <v>5000</v>
      </c>
      <c r="D43" s="120">
        <v>9.76</v>
      </c>
      <c r="E43" s="121">
        <v>8.46</v>
      </c>
      <c r="F43" s="123">
        <f>E43*224</f>
        <v>1895.04</v>
      </c>
      <c r="G43" s="123">
        <f>IF(E43=0,0,(13-E43)*225)</f>
        <v>1021.5</v>
      </c>
      <c r="H43" s="118">
        <v>26103</v>
      </c>
      <c r="I43" s="118">
        <v>20000</v>
      </c>
      <c r="J43" s="120">
        <v>15.5</v>
      </c>
      <c r="K43" s="121">
        <v>5.85</v>
      </c>
      <c r="L43" s="123">
        <f>K43*926</f>
        <v>5417.1</v>
      </c>
      <c r="M43" s="124">
        <f>IF(K43=0,0,(15.5-K43)*926)</f>
        <v>8935.9</v>
      </c>
    </row>
    <row customHeight="1" ht="18">
      <c r="A44" s="108"/>
      <c r="B44" s="125" t="s">
        <v>8</v>
      </c>
      <c r="C44" s="152"/>
      <c r="D44" s="152"/>
      <c r="E44" s="153"/>
      <c r="F44" s="128">
        <f>SUM(F39:F43)</f>
        <v>5569.335</v>
      </c>
      <c r="G44" s="128">
        <f>SUM(G39:G43)</f>
        <v>2013.58</v>
      </c>
      <c r="H44" s="118">
        <v>26104</v>
      </c>
      <c r="I44" s="118">
        <v>20000</v>
      </c>
      <c r="J44" s="120">
        <v>15.5</v>
      </c>
      <c r="K44" s="121">
        <v>7.04</v>
      </c>
      <c r="L44" s="123">
        <f>K44*926</f>
        <v>6519.04</v>
      </c>
      <c r="M44" s="124">
        <f>IF(K44=0,0,(15.5-K44)*926)</f>
        <v>7833.96</v>
      </c>
    </row>
    <row s="154" customFormat="1" customHeight="1" ht="18">
      <c r="A45" s="137"/>
      <c r="B45" s="114" t="s">
        <v>18</v>
      </c>
      <c r="C45" s="115"/>
      <c r="D45" s="115"/>
      <c r="E45" s="115"/>
      <c r="F45" s="115"/>
      <c r="G45" s="115"/>
      <c r="H45" s="126" t="s">
        <v>8</v>
      </c>
      <c r="I45" s="126"/>
      <c r="J45" s="126"/>
      <c r="K45" s="131"/>
      <c r="L45" s="128">
        <f>SUM(L33:L44)</f>
        <v>52469.24</v>
      </c>
      <c r="M45" s="130">
        <f>SUM(M33:M44)</f>
        <v>34321.76</v>
      </c>
    </row>
    <row customHeight="1" ht="18">
      <c r="A46" s="108"/>
      <c r="B46" s="143">
        <v>9515</v>
      </c>
      <c r="C46" s="148">
        <v>1000</v>
      </c>
      <c r="D46" s="149">
        <v>7.6</v>
      </c>
      <c r="E46" s="150">
        <v>3.3</v>
      </c>
      <c r="F46" s="151">
        <f>E46*232.5</f>
        <v>767.25</v>
      </c>
      <c r="G46" s="151">
        <f>IF(E46=0,0,(9.76-E46)*232.5)</f>
        <v>1501.95</v>
      </c>
      <c r="H46" s="115" t="s">
        <v>19</v>
      </c>
      <c r="I46" s="115"/>
      <c r="J46" s="115"/>
      <c r="K46" s="115"/>
      <c r="L46" s="115"/>
      <c r="M46" s="116"/>
    </row>
    <row s="155" customFormat="1" customHeight="1" ht="18">
      <c r="A47" s="137"/>
      <c r="B47" s="125" t="s">
        <v>8</v>
      </c>
      <c r="C47" s="152"/>
      <c r="D47" s="152"/>
      <c r="E47" s="153"/>
      <c r="F47" s="128">
        <f>SUM(F46)</f>
        <v>767.25</v>
      </c>
      <c r="G47" s="128">
        <f>SUM(G46)</f>
        <v>1501.95</v>
      </c>
      <c r="H47" s="118">
        <v>26105</v>
      </c>
      <c r="I47" s="118">
        <v>20000</v>
      </c>
      <c r="J47" s="120">
        <v>15.5</v>
      </c>
      <c r="K47" s="121">
        <v>14.25</v>
      </c>
      <c r="L47" s="123">
        <f>K47*892</f>
        <v>12711</v>
      </c>
      <c r="M47" s="124">
        <f>IF(K47=0,0,(15.5-K47)*892)</f>
        <v>1115</v>
      </c>
    </row>
    <row customHeight="1" ht="18">
      <c r="A48" s="108"/>
      <c r="B48" s="114" t="s">
        <v>20</v>
      </c>
      <c r="C48" s="115"/>
      <c r="D48" s="115"/>
      <c r="E48" s="115"/>
      <c r="F48" s="115"/>
      <c r="G48" s="115"/>
      <c r="H48" s="118">
        <v>26106</v>
      </c>
      <c r="I48" s="118">
        <v>20000</v>
      </c>
      <c r="J48" s="120">
        <v>15.5</v>
      </c>
      <c r="K48" s="121">
        <v>14.78</v>
      </c>
      <c r="L48" s="123">
        <f>K48*892</f>
        <v>13183.76</v>
      </c>
      <c r="M48" s="124">
        <f>IF(K48=0,0,(15.5-K48)*892)</f>
        <v>642.240000000001</v>
      </c>
    </row>
    <row customHeight="1" ht="18">
      <c r="A49" s="108"/>
      <c r="B49" s="117">
        <v>9525</v>
      </c>
      <c r="C49" s="118">
        <v>10000</v>
      </c>
      <c r="D49" s="120">
        <v>15.12</v>
      </c>
      <c r="E49" s="121">
        <v>12.27</v>
      </c>
      <c r="F49" s="123">
        <f>E49*468</f>
        <v>5742.36</v>
      </c>
      <c r="G49" s="123">
        <f>IF(E49=0,0,(15.12-E49)*467)</f>
        <v>1330.95</v>
      </c>
      <c r="H49" s="118">
        <v>26107</v>
      </c>
      <c r="I49" s="118">
        <v>20000</v>
      </c>
      <c r="J49" s="120">
        <v>15.5</v>
      </c>
      <c r="K49" s="121">
        <v>13.77</v>
      </c>
      <c r="L49" s="123">
        <f>K49*892</f>
        <v>12282.84</v>
      </c>
      <c r="M49" s="124">
        <f>IF(K49=0,0,(15.5-K49)*892)</f>
        <v>1543.16</v>
      </c>
    </row>
    <row s="156" customFormat="1" customHeight="1" ht="18">
      <c r="A50" s="137"/>
      <c r="B50" s="117">
        <v>9526</v>
      </c>
      <c r="C50" s="118">
        <v>10000</v>
      </c>
      <c r="D50" s="120">
        <v>15.12</v>
      </c>
      <c r="E50" s="121">
        <v>3.37</v>
      </c>
      <c r="F50" s="123">
        <f>E50*468</f>
        <v>1577.16</v>
      </c>
      <c r="G50" s="123">
        <f>IF(E50=0,0,(15.12-E50)*467)</f>
        <v>5487.25</v>
      </c>
      <c r="H50" s="126" t="s">
        <v>8</v>
      </c>
      <c r="I50" s="126"/>
      <c r="J50" s="126"/>
      <c r="K50" s="131"/>
      <c r="L50" s="128">
        <f>SUM(L47:L49)</f>
        <v>38177.6</v>
      </c>
      <c r="M50" s="130">
        <f>SUM(M47:M49)</f>
        <v>3300.4</v>
      </c>
    </row>
    <row s="157" customFormat="1" customHeight="1" ht="18">
      <c r="A51" s="137"/>
      <c r="B51" s="125" t="s">
        <v>8</v>
      </c>
      <c r="C51" s="126"/>
      <c r="D51" s="126"/>
      <c r="E51" s="153"/>
      <c r="F51" s="128">
        <f>SUM(F49:F50)</f>
        <v>7319.52</v>
      </c>
      <c r="G51" s="128">
        <f>SUM(G49:G50)</f>
        <v>6818.2</v>
      </c>
      <c r="H51" s="115" t="s">
        <v>21</v>
      </c>
      <c r="I51" s="115"/>
      <c r="J51" s="115"/>
      <c r="K51" s="115"/>
      <c r="L51" s="115"/>
      <c r="M51" s="116"/>
    </row>
    <row customHeight="1" ht="18">
      <c r="A52" s="108"/>
      <c r="B52" s="114" t="s">
        <v>22</v>
      </c>
      <c r="C52" s="115"/>
      <c r="D52" s="115"/>
      <c r="E52" s="115"/>
      <c r="F52" s="115"/>
      <c r="G52" s="115"/>
      <c r="H52" s="118" t="s">
        <v>2</v>
      </c>
      <c r="I52" s="118" t="s">
        <v>3</v>
      </c>
      <c r="J52" s="118" t="s">
        <v>4</v>
      </c>
      <c r="K52" s="118" t="s">
        <v>5</v>
      </c>
      <c r="L52" s="118" t="s">
        <v>6</v>
      </c>
      <c r="M52" s="119" t="s">
        <v>7</v>
      </c>
    </row>
    <row s="158" customFormat="1" customHeight="1" ht="18">
      <c r="A53" s="137"/>
      <c r="B53" s="117" t="s">
        <v>2</v>
      </c>
      <c r="C53" s="118" t="s">
        <v>3</v>
      </c>
      <c r="D53" s="118" t="s">
        <v>4</v>
      </c>
      <c r="E53" s="118" t="s">
        <v>5</v>
      </c>
      <c r="F53" s="118" t="s">
        <v>6</v>
      </c>
      <c r="G53" s="118" t="s">
        <v>7</v>
      </c>
      <c r="H53" s="148">
        <v>2101</v>
      </c>
      <c r="I53" s="148">
        <v>3000</v>
      </c>
      <c r="J53" s="149">
        <v>13.76</v>
      </c>
      <c r="K53" s="150">
        <v>9.29</v>
      </c>
      <c r="L53" s="151">
        <f>K53*172</f>
        <v>1597.88</v>
      </c>
      <c r="M53" s="159">
        <f>IF(K56=0,0,(13-K53)*172)</f>
        <v>638.12</v>
      </c>
    </row>
    <row customHeight="1" ht="18">
      <c r="A54" s="108"/>
      <c r="B54" s="160">
        <v>9529</v>
      </c>
      <c r="C54" s="118">
        <v>5000</v>
      </c>
      <c r="D54" s="120">
        <v>13</v>
      </c>
      <c r="E54" s="121">
        <v>12.22</v>
      </c>
      <c r="F54" s="123">
        <f>_xlfn.IFERROR(IF(E54="","",E54*218),"")</f>
        <v>2663.96</v>
      </c>
      <c r="G54" s="123">
        <f>IF(E54=0,0,_xlfn.IFERROR(IF(E54="","",(13-E54)*224),""))</f>
        <v>174.72</v>
      </c>
      <c r="H54" s="118">
        <v>2102</v>
      </c>
      <c r="I54" s="118">
        <v>3000</v>
      </c>
      <c r="J54" s="120">
        <v>13</v>
      </c>
      <c r="K54" s="121">
        <v>7.48</v>
      </c>
      <c r="L54" s="123">
        <f>K54*172</f>
        <v>1286.56</v>
      </c>
      <c r="M54" s="124">
        <f>IF(K54=0,0,(13-K54)*172)</f>
        <v>949.44</v>
      </c>
    </row>
    <row customHeight="1" ht="18">
      <c r="A55" s="108"/>
      <c r="B55" s="160">
        <v>9530</v>
      </c>
      <c r="C55" s="118">
        <v>5000</v>
      </c>
      <c r="D55" s="120">
        <v>13</v>
      </c>
      <c r="E55" s="121">
        <v>11.84</v>
      </c>
      <c r="F55" s="123">
        <f>_xlfn.IFERROR(IF(E55="","",E55*218),"")</f>
        <v>2581.12</v>
      </c>
      <c r="G55" s="123">
        <f>IF(E55=0,0,_xlfn.IFERROR(IF(E55="","",(13-E55)*224),""))</f>
        <v>259.84</v>
      </c>
      <c r="H55" s="118">
        <v>2103</v>
      </c>
      <c r="I55" s="118">
        <v>1000</v>
      </c>
      <c r="J55" s="120">
        <v>10.7</v>
      </c>
      <c r="K55" s="121">
        <v>4.82</v>
      </c>
      <c r="L55" s="123">
        <f>K55*82</f>
        <v>395.24</v>
      </c>
      <c r="M55" s="124">
        <f>IF(K55=0,0,(10.7-K55)*81)</f>
        <v>476.28</v>
      </c>
    </row>
    <row customHeight="1" ht="18">
      <c r="A56" s="108"/>
      <c r="B56" s="125" t="s">
        <v>8</v>
      </c>
      <c r="C56" s="126"/>
      <c r="D56" s="126"/>
      <c r="E56" s="127"/>
      <c r="F56" s="128">
        <f>SUM(F54:F55)</f>
        <v>5245.08</v>
      </c>
      <c r="G56" s="128">
        <f>SUM(G54:G55)</f>
        <v>434.56</v>
      </c>
      <c r="H56" s="118">
        <v>2104</v>
      </c>
      <c r="I56" s="118">
        <v>1000</v>
      </c>
      <c r="J56" s="120">
        <v>10.7</v>
      </c>
      <c r="K56" s="121">
        <v>3.7</v>
      </c>
      <c r="L56" s="123">
        <f>K56*81</f>
        <v>299.7</v>
      </c>
      <c r="M56" s="124">
        <f>IF(K56=0,0,(10.3-K56)*81)</f>
        <v>534.6</v>
      </c>
    </row>
    <row customHeight="1" ht="18">
      <c r="A57" s="108"/>
      <c r="B57" s="114" t="s">
        <v>23</v>
      </c>
      <c r="C57" s="115"/>
      <c r="D57" s="115"/>
      <c r="E57" s="115"/>
      <c r="F57" s="115"/>
      <c r="G57" s="115"/>
      <c r="H57" s="126" t="s">
        <v>8</v>
      </c>
      <c r="I57" s="126"/>
      <c r="J57" s="126"/>
      <c r="K57" s="153"/>
      <c r="L57" s="128">
        <f>SUM(L54:L56)</f>
        <v>1981.5</v>
      </c>
      <c r="M57" s="130">
        <f>SUM(M52:M56)</f>
        <v>2598.44</v>
      </c>
    </row>
    <row customHeight="1" ht="18">
      <c r="A58" s="108"/>
      <c r="B58" s="117" t="s">
        <v>2</v>
      </c>
      <c r="C58" s="118" t="s">
        <v>3</v>
      </c>
      <c r="D58" s="118" t="s">
        <v>4</v>
      </c>
      <c r="E58" s="118" t="s">
        <v>5</v>
      </c>
      <c r="F58" s="118" t="s">
        <v>6</v>
      </c>
      <c r="G58" s="118" t="s">
        <v>7</v>
      </c>
      <c r="H58" s="115" t="s">
        <v>24</v>
      </c>
      <c r="I58" s="115"/>
      <c r="J58" s="115"/>
      <c r="K58" s="115"/>
      <c r="L58" s="115"/>
      <c r="M58" s="116"/>
    </row>
    <row customHeight="1" ht="18">
      <c r="A59" s="108"/>
      <c r="B59" s="161">
        <v>806</v>
      </c>
      <c r="C59" s="162">
        <v>5000</v>
      </c>
      <c r="D59" s="120">
        <v>11.2</v>
      </c>
      <c r="E59" s="121">
        <v>5.07</v>
      </c>
      <c r="F59" s="123">
        <f>E59*300</f>
        <v>1521</v>
      </c>
      <c r="G59" s="123">
        <f>IF(F59=0,0,(11.2-E59)*300)</f>
        <v>1839</v>
      </c>
      <c r="H59" s="118" t="s">
        <v>2</v>
      </c>
      <c r="I59" s="118" t="s">
        <v>3</v>
      </c>
      <c r="J59" s="118" t="s">
        <v>4</v>
      </c>
      <c r="K59" s="118" t="s">
        <v>5</v>
      </c>
      <c r="L59" s="118" t="s">
        <v>6</v>
      </c>
      <c r="M59" s="119" t="s">
        <v>7</v>
      </c>
    </row>
    <row customHeight="1" ht="18">
      <c r="A60" s="108"/>
      <c r="B60" s="161">
        <v>807</v>
      </c>
      <c r="C60" s="162">
        <v>5000</v>
      </c>
      <c r="D60" s="120">
        <v>11.2</v>
      </c>
      <c r="E60" s="121">
        <v>10.79</v>
      </c>
      <c r="F60" s="123">
        <f>E60*300</f>
        <v>3237</v>
      </c>
      <c r="G60" s="123">
        <f>IF(F60=0,0,(11.2-E60)*300)</f>
        <v>123</v>
      </c>
      <c r="H60" s="118">
        <v>2105</v>
      </c>
      <c r="I60" s="118">
        <v>3000</v>
      </c>
      <c r="J60" s="120">
        <v>13.76</v>
      </c>
      <c r="K60" s="121">
        <v>4.43</v>
      </c>
      <c r="L60" s="123">
        <f>K60*172</f>
        <v>761.96</v>
      </c>
      <c r="M60" s="124">
        <f>IF(K60=0,0,(13.76-K60)*172)</f>
        <v>1604.76</v>
      </c>
    </row>
    <row customHeight="1" ht="18">
      <c r="A61" s="108"/>
      <c r="B61" s="160" t="str">
        <f>_xlfn.IFERROR(IF(取值!C144=0,"",取值!C144),"")</f>
        <v/>
      </c>
      <c r="C61" s="121"/>
      <c r="D61" s="121"/>
      <c r="E61" s="121" t="str">
        <f>_xlfn.IFERROR(IF(B61=821,ROUND(取值!B85,2),IF(B61=822,ROUND(取值!B98,2),IF(B61=823,ROUND(取值!B99,2),IF(B61=824,ROUND(取值!B86,2),"")))),"")</f>
        <v/>
      </c>
      <c r="F61" s="123" t="str">
        <f>_xlfn.IFERROR(IF(E61="","",E61*520),"")</f>
        <v/>
      </c>
      <c r="G61" s="123" t="str">
        <f>IF(E61=0,0,_xlfn.IFERROR(IF(E61="","",(20-E61)*520),""))</f>
        <v/>
      </c>
      <c r="H61" s="126" t="s">
        <v>8</v>
      </c>
      <c r="I61" s="163"/>
      <c r="J61" s="163"/>
      <c r="K61" s="129"/>
      <c r="L61" s="128">
        <f>SUM(L53:L60)</f>
        <v>6322.84</v>
      </c>
      <c r="M61" s="130">
        <f>SUM(M53:M60)</f>
        <v>6801.64</v>
      </c>
    </row>
    <row customHeight="1" ht="18">
      <c r="A62" s="108"/>
      <c r="B62" s="160">
        <v>822</v>
      </c>
      <c r="C62" s="162">
        <v>15000</v>
      </c>
      <c r="D62" s="120">
        <v>20</v>
      </c>
      <c r="E62" s="121">
        <v>5.66</v>
      </c>
      <c r="F62" s="123">
        <f>_xlfn.IFERROR(IF(E62="","",E62*520),"")</f>
        <v>2943.2</v>
      </c>
      <c r="G62" s="123">
        <f>IF(E62=0,0,_xlfn.IFERROR(IF(E62="","",(20-E62)*520),""))</f>
        <v>7456.8</v>
      </c>
      <c r="H62" s="115" t="s">
        <v>25</v>
      </c>
      <c r="I62" s="115"/>
      <c r="J62" s="115"/>
      <c r="K62" s="115"/>
      <c r="L62" s="115"/>
      <c r="M62" s="116"/>
    </row>
    <row customHeight="1" ht="18">
      <c r="A63" s="108"/>
      <c r="B63" s="160">
        <v>823</v>
      </c>
      <c r="C63" s="162">
        <v>15000</v>
      </c>
      <c r="D63" s="120">
        <v>20</v>
      </c>
      <c r="E63" s="121">
        <v>5.55</v>
      </c>
      <c r="F63" s="123">
        <f>_xlfn.IFERROR(IF(E63="","",E63*520),"")</f>
        <v>2886</v>
      </c>
      <c r="G63" s="123">
        <f>IF(E63=0,0,_xlfn.IFERROR(IF(E63="","",(20-E63)*520),""))</f>
        <v>7514</v>
      </c>
      <c r="H63" s="118" t="s">
        <v>2</v>
      </c>
      <c r="I63" s="118" t="s">
        <v>3</v>
      </c>
      <c r="J63" s="118" t="s">
        <v>4</v>
      </c>
      <c r="K63" s="118" t="s">
        <v>5</v>
      </c>
      <c r="L63" s="118" t="s">
        <v>6</v>
      </c>
      <c r="M63" s="119" t="s">
        <v>7</v>
      </c>
    </row>
    <row customHeight="1" ht="18">
      <c r="A64" s="108"/>
      <c r="B64" s="160">
        <v>825</v>
      </c>
      <c r="C64" s="162">
        <v>15000</v>
      </c>
      <c r="D64" s="120">
        <v>15.5</v>
      </c>
      <c r="E64" s="121">
        <v>14.84</v>
      </c>
      <c r="F64" s="123">
        <f>_xlfn.IFERROR(IF(E64="","",E64*595),"")</f>
        <v>8829.8</v>
      </c>
      <c r="G64" s="123">
        <f>IF(E64=0,0,_xlfn.IFERROR(IF(E64="","",(15.5-E64)*595),""))</f>
        <v>392.7</v>
      </c>
      <c r="H64" s="118">
        <v>2106</v>
      </c>
      <c r="I64" s="118">
        <v>3000</v>
      </c>
      <c r="J64" s="120">
        <v>13.76</v>
      </c>
      <c r="K64" s="121">
        <v>3.58</v>
      </c>
      <c r="L64" s="123">
        <f>K64*182</f>
        <v>651.56</v>
      </c>
      <c r="M64" s="124">
        <f>IF(K64=0,0,(13.76-K64)*182)</f>
        <v>1852.76</v>
      </c>
    </row>
    <row customHeight="1" ht="18">
      <c r="A65" s="108"/>
      <c r="B65" s="160">
        <v>826</v>
      </c>
      <c r="C65" s="162">
        <v>15000</v>
      </c>
      <c r="D65" s="120">
        <v>15.5</v>
      </c>
      <c r="E65" s="121">
        <v>7.2</v>
      </c>
      <c r="F65" s="123">
        <f>_xlfn.IFERROR(IF(E65="","",E65*595),"")</f>
        <v>4284</v>
      </c>
      <c r="G65" s="123">
        <f>IF(E65=0,0,_xlfn.IFERROR(IF(E65="","",(15.5-E65)*595),""))</f>
        <v>4938.5</v>
      </c>
      <c r="H65" s="126" t="s">
        <v>8</v>
      </c>
      <c r="I65" s="126"/>
      <c r="J65" s="126"/>
      <c r="K65" s="153"/>
      <c r="L65" s="128">
        <f>SUM(L64)</f>
        <v>651.56</v>
      </c>
      <c r="M65" s="130">
        <f>SUM(M64)</f>
        <v>1852.76</v>
      </c>
    </row>
    <row customHeight="1" ht="18">
      <c r="A66" s="108"/>
      <c r="B66" s="117">
        <v>26101</v>
      </c>
      <c r="C66" s="118">
        <v>20000</v>
      </c>
      <c r="D66" s="120">
        <v>15.5</v>
      </c>
      <c r="E66" s="121">
        <v>4.82</v>
      </c>
      <c r="F66" s="123">
        <f>E66*840</f>
        <v>4048.8</v>
      </c>
      <c r="G66" s="123">
        <f>IF(F66=0,0,(15.5-E66)*840)</f>
        <v>8971.2</v>
      </c>
      <c r="H66" s="115" t="s">
        <v>26</v>
      </c>
      <c r="I66" s="115"/>
      <c r="J66" s="115"/>
      <c r="K66" s="115"/>
      <c r="L66" s="115"/>
      <c r="M66" s="116"/>
    </row>
    <row customHeight="1" ht="18">
      <c r="A67" s="108"/>
      <c r="B67" s="125" t="s">
        <v>8</v>
      </c>
      <c r="C67" s="126"/>
      <c r="D67" s="126"/>
      <c r="E67" s="127"/>
      <c r="F67" s="128">
        <f>SUM(F59:F66)</f>
        <v>27749.8</v>
      </c>
      <c r="G67" s="128">
        <f>SUM(G59:G66)</f>
        <v>31235.2</v>
      </c>
      <c r="H67" s="118" t="s">
        <v>2</v>
      </c>
      <c r="I67" s="118" t="s">
        <v>3</v>
      </c>
      <c r="J67" s="118" t="s">
        <v>4</v>
      </c>
      <c r="K67" s="118" t="s">
        <v>5</v>
      </c>
      <c r="L67" s="118" t="s">
        <v>6</v>
      </c>
      <c r="M67" s="119" t="s">
        <v>7</v>
      </c>
    </row>
    <row customHeight="1" ht="18">
      <c r="A68" s="108"/>
      <c r="B68" s="161">
        <v>815</v>
      </c>
      <c r="C68" s="164"/>
      <c r="D68" s="164"/>
      <c r="E68" s="121">
        <v>4.69</v>
      </c>
      <c r="F68" s="123">
        <f>E68*275</f>
        <v>1289.75</v>
      </c>
      <c r="G68" s="123"/>
      <c r="H68" s="118">
        <v>2107</v>
      </c>
      <c r="I68" s="118">
        <v>700</v>
      </c>
      <c r="J68" s="120">
        <v>9.6</v>
      </c>
      <c r="K68" s="121">
        <v>7.85</v>
      </c>
      <c r="L68" s="123">
        <f>K68*54</f>
        <v>423.9</v>
      </c>
      <c r="M68" s="124">
        <f>IF(K68=0,0,(9.6-K68)*54)</f>
        <v>94.5</v>
      </c>
    </row>
    <row customHeight="1" ht="18">
      <c r="A69" s="108"/>
      <c r="B69" s="114" t="s">
        <v>27</v>
      </c>
      <c r="C69" s="115"/>
      <c r="D69" s="115"/>
      <c r="E69" s="115"/>
      <c r="F69" s="115"/>
      <c r="G69" s="115"/>
      <c r="H69" s="118">
        <v>2108</v>
      </c>
      <c r="I69" s="118">
        <v>700</v>
      </c>
      <c r="J69" s="120">
        <v>9.6</v>
      </c>
      <c r="K69" s="121">
        <v>8.16</v>
      </c>
      <c r="L69" s="123">
        <f>K69*54</f>
        <v>440.64</v>
      </c>
      <c r="M69" s="124">
        <f>IF(K69=0,0,(9.6-K69)*54)</f>
        <v>77.76</v>
      </c>
    </row>
    <row customHeight="1" ht="18">
      <c r="A70" s="108"/>
      <c r="B70" s="117" t="s">
        <v>2</v>
      </c>
      <c r="C70" s="118" t="s">
        <v>3</v>
      </c>
      <c r="D70" s="118" t="s">
        <v>4</v>
      </c>
      <c r="E70" s="118" t="s">
        <v>5</v>
      </c>
      <c r="F70" s="118" t="s">
        <v>6</v>
      </c>
      <c r="G70" s="118" t="s">
        <v>7</v>
      </c>
      <c r="H70" s="118">
        <v>2109</v>
      </c>
      <c r="I70" s="118">
        <v>700</v>
      </c>
      <c r="J70" s="120">
        <v>9.6</v>
      </c>
      <c r="K70" s="121">
        <v>7.24</v>
      </c>
      <c r="L70" s="123">
        <f>K70*54</f>
        <v>390.96</v>
      </c>
      <c r="M70" s="124">
        <f>IF(K70=0,0,(9.6-K70)*54)</f>
        <v>127.44</v>
      </c>
    </row>
    <row customHeight="1" ht="18">
      <c r="A71" s="108"/>
      <c r="B71" s="161">
        <v>814</v>
      </c>
      <c r="C71" s="162">
        <v>5000</v>
      </c>
      <c r="D71" s="120">
        <v>12.5</v>
      </c>
      <c r="E71" s="121">
        <v>9.91</v>
      </c>
      <c r="F71" s="123">
        <f>E71*275</f>
        <v>2725.25</v>
      </c>
      <c r="G71" s="123">
        <f>IF(F71=0,0,(12.5-E71)*275)</f>
        <v>712.25</v>
      </c>
      <c r="H71" s="118">
        <v>2110</v>
      </c>
      <c r="I71" s="118">
        <v>700</v>
      </c>
      <c r="J71" s="120">
        <v>9.6</v>
      </c>
      <c r="K71" s="121">
        <v>8.66</v>
      </c>
      <c r="L71" s="123">
        <f>K71*54</f>
        <v>467.64</v>
      </c>
      <c r="M71" s="124">
        <f>IF(K71=0,0,(9.6-K71)*54)</f>
        <v>50.76</v>
      </c>
    </row>
    <row customHeight="1" ht="18">
      <c r="A72" s="108"/>
      <c r="B72" s="161">
        <v>816</v>
      </c>
      <c r="C72" s="162">
        <v>5000</v>
      </c>
      <c r="D72" s="120">
        <v>12.5</v>
      </c>
      <c r="E72" s="121">
        <v>2.9</v>
      </c>
      <c r="F72" s="123">
        <f>E72*275</f>
        <v>797.5</v>
      </c>
      <c r="G72" s="123">
        <f>IF(F72=0,0,(12.5-E72)*275)</f>
        <v>2640</v>
      </c>
      <c r="H72" s="118">
        <v>2113</v>
      </c>
      <c r="I72" s="118">
        <v>500</v>
      </c>
      <c r="J72" s="120">
        <v>8.6</v>
      </c>
      <c r="K72" s="121">
        <v>3.97</v>
      </c>
      <c r="L72" s="123">
        <f>K72*44</f>
        <v>174.68</v>
      </c>
      <c r="M72" s="124">
        <f>IF(K72=0,0,(8.6-K72)*44)</f>
        <v>203.72</v>
      </c>
    </row>
    <row customHeight="1" ht="18">
      <c r="A73" s="108"/>
      <c r="B73" s="161">
        <v>817</v>
      </c>
      <c r="C73" s="162">
        <v>5000</v>
      </c>
      <c r="D73" s="120">
        <v>12.5</v>
      </c>
      <c r="E73" s="121">
        <v>2.68</v>
      </c>
      <c r="F73" s="123">
        <f>E73*275</f>
        <v>737</v>
      </c>
      <c r="G73" s="123">
        <f>IF(F73=0,0,(12.5-E73)*275)</f>
        <v>2700.5</v>
      </c>
      <c r="H73" s="126" t="s">
        <v>8</v>
      </c>
      <c r="I73" s="126"/>
      <c r="J73" s="126"/>
      <c r="K73" s="127"/>
      <c r="L73" s="128">
        <f>SUM(L68:L72)</f>
        <v>1897.82</v>
      </c>
      <c r="M73" s="130">
        <f>SUM(M68:M72)</f>
        <v>554.18</v>
      </c>
    </row>
    <row customHeight="1" ht="18">
      <c r="A74" s="108"/>
      <c r="B74" s="160">
        <v>821</v>
      </c>
      <c r="C74" s="162">
        <v>15000</v>
      </c>
      <c r="D74" s="120">
        <v>20</v>
      </c>
      <c r="E74" s="121">
        <v>11.68</v>
      </c>
      <c r="F74" s="123">
        <f>_xlfn.IFERROR(IF(E74="","",E74*520),"")</f>
        <v>6073.6</v>
      </c>
      <c r="G74" s="123">
        <f>IF(E74=0,0,_xlfn.IFERROR(IF(E74="","",(20-E74)*520),""))</f>
        <v>4326.4</v>
      </c>
      <c r="H74" s="115" t="s">
        <v>28</v>
      </c>
      <c r="I74" s="115"/>
      <c r="J74" s="115"/>
      <c r="K74" s="115"/>
      <c r="L74" s="115"/>
      <c r="M74" s="116"/>
    </row>
    <row s="165" customFormat="1" customHeight="1" ht="18">
      <c r="A75" s="137"/>
      <c r="B75" s="160">
        <v>824</v>
      </c>
      <c r="C75" s="162">
        <v>15000</v>
      </c>
      <c r="D75" s="120">
        <v>20</v>
      </c>
      <c r="E75" s="121">
        <v>17.56</v>
      </c>
      <c r="F75" s="123">
        <f>_xlfn.IFERROR(IF(E75="","",E75*520),"")</f>
        <v>9131.2</v>
      </c>
      <c r="G75" s="123">
        <f>IF(E75=0,0,_xlfn.IFERROR(IF(E75="","",(20-E75)*520),""))</f>
        <v>1268.8</v>
      </c>
      <c r="H75" s="118" t="s">
        <v>2</v>
      </c>
      <c r="I75" s="118" t="s">
        <v>3</v>
      </c>
      <c r="J75" s="118" t="s">
        <v>4</v>
      </c>
      <c r="K75" s="118" t="s">
        <v>5</v>
      </c>
      <c r="L75" s="118" t="s">
        <v>6</v>
      </c>
      <c r="M75" s="119" t="s">
        <v>7</v>
      </c>
    </row>
    <row s="166" customFormat="1" customHeight="1" ht="18">
      <c r="A76" s="137"/>
      <c r="B76" s="160" t="str">
        <f>_xlfn.IFERROR(IF(取值!C151=0,"",取值!C151),"")</f>
        <v/>
      </c>
      <c r="C76" s="167"/>
      <c r="D76" s="167"/>
      <c r="E76" s="121" t="str">
        <f>_xlfn.IFERROR(IF(B76=821,ROUND(取值!B85,2),IF(B76=822,ROUND(取值!B98,2),IF(B76=823,ROUND(取值!B99,2),IF(B76=824,ROUND(取值!B86,2),"")))),"")</f>
        <v/>
      </c>
      <c r="F76" s="123" t="str">
        <f>_xlfn.IFERROR(IF(E76="","",E76*520),"")</f>
        <v/>
      </c>
      <c r="G76" s="123" t="str">
        <f>IF(E76=0,0,_xlfn.IFERROR(IF(E76="","",(20-E76)*520),""))</f>
        <v/>
      </c>
      <c r="H76" s="118">
        <v>2114</v>
      </c>
      <c r="I76" s="118">
        <v>500</v>
      </c>
      <c r="J76" s="120">
        <v>8.6</v>
      </c>
      <c r="K76" s="121">
        <v>3.15</v>
      </c>
      <c r="L76" s="123">
        <f>K76*44</f>
        <v>138.6</v>
      </c>
      <c r="M76" s="124">
        <f>IF(K76=0,0,(8.6-K76)*44)</f>
        <v>239.8</v>
      </c>
    </row>
    <row s="168" customFormat="1" customHeight="1" ht="18">
      <c r="A77" s="137"/>
      <c r="B77" s="117">
        <v>26102</v>
      </c>
      <c r="C77" s="118">
        <v>20000</v>
      </c>
      <c r="D77" s="120">
        <v>15.5</v>
      </c>
      <c r="E77" s="121">
        <v>5.82</v>
      </c>
      <c r="F77" s="123">
        <f>E77*840</f>
        <v>4888.8</v>
      </c>
      <c r="G77" s="123">
        <f>IF(F77=0,0,(15.5-E77)*840)</f>
        <v>8131.2</v>
      </c>
      <c r="H77" s="115" t="s">
        <v>29</v>
      </c>
      <c r="I77" s="115"/>
      <c r="J77" s="115"/>
      <c r="K77" s="115"/>
      <c r="L77" s="115"/>
      <c r="M77" s="116"/>
    </row>
    <row customHeight="1" ht="18">
      <c r="A78" s="108"/>
      <c r="B78" s="125" t="s">
        <v>8</v>
      </c>
      <c r="C78" s="126"/>
      <c r="D78" s="126"/>
      <c r="E78" s="131"/>
      <c r="F78" s="128">
        <f>SUM(F71:F77)</f>
        <v>24353.35</v>
      </c>
      <c r="G78" s="128">
        <f>SUM(G71:G77)</f>
        <v>19779.15</v>
      </c>
      <c r="H78" s="118" t="s">
        <v>2</v>
      </c>
      <c r="I78" s="118" t="s">
        <v>3</v>
      </c>
      <c r="J78" s="118" t="s">
        <v>4</v>
      </c>
      <c r="K78" s="118" t="s">
        <v>5</v>
      </c>
      <c r="L78" s="118" t="s">
        <v>6</v>
      </c>
      <c r="M78" s="119" t="s">
        <v>7</v>
      </c>
    </row>
    <row customHeight="1" ht="18" hidden="1">
      <c r="A79" s="108"/>
      <c r="B79" s="160" t="str">
        <f>_xlfn.IFERROR(IF(取值!C152=0,"",取值!C152),"")</f>
        <v/>
      </c>
      <c r="C79" s="167"/>
      <c r="D79" s="167"/>
      <c r="E79" s="121" t="str">
        <f>_xlfn.IFERROR(IF(B79=821,ROUND(取值!B86,2),IF(B79=822,ROUND(取值!B99,2),IF(B79=823,ROUND(取值!B100,2),IF(B79=824,ROUND(取值!B89,2),"")))),"")</f>
        <v/>
      </c>
      <c r="F79" s="123" t="str">
        <f>_xlfn.IFERROR(IF(E79="","",E79*595),"")</f>
        <v/>
      </c>
      <c r="G79" s="123" t="str">
        <f>IF(E79=0,0,_xlfn.IFERROR(IF(E79="","",(15.5-E79)*595),""))</f>
        <v/>
      </c>
      <c r="H79" s="133"/>
      <c r="I79" s="134"/>
      <c r="J79" s="134"/>
      <c r="K79" s="133"/>
      <c r="L79" s="133"/>
      <c r="M79" s="135"/>
    </row>
    <row customHeight="1" ht="18" hidden="1">
      <c r="A80" s="108"/>
      <c r="B80" s="160" t="str">
        <f>_xlfn.IFERROR(IF(取值!C153=0,"",取值!C153),"")</f>
        <v/>
      </c>
      <c r="C80" s="167"/>
      <c r="D80" s="167"/>
      <c r="E80" s="121" t="str">
        <f>_xlfn.IFERROR(IF(B80=821,ROUND(取值!B89,2),IF(B80=822,ROUND(取值!B100,2),IF(B80=823,ROUND(取值!B101,2),IF(B80=824,ROUND(取值!B90,2),"")))),"")</f>
        <v/>
      </c>
      <c r="F80" s="123" t="str">
        <f>_xlfn.IFERROR(IF(E80="","",E80*595),"")</f>
        <v/>
      </c>
      <c r="G80" s="123" t="str">
        <f>IF(E80=0,0,_xlfn.IFERROR(IF(E80="","",(15.5-E80)*595),""))</f>
        <v/>
      </c>
      <c r="H80" s="133"/>
      <c r="I80" s="134"/>
      <c r="J80" s="134"/>
      <c r="K80" s="133"/>
      <c r="L80" s="133"/>
      <c r="M80" s="135"/>
    </row>
    <row s="169" customFormat="1" customHeight="1" ht="18">
      <c r="A81" s="137"/>
      <c r="B81" s="114" t="s">
        <v>30</v>
      </c>
      <c r="C81" s="115"/>
      <c r="D81" s="115"/>
      <c r="E81" s="115"/>
      <c r="F81" s="115"/>
      <c r="G81" s="115"/>
      <c r="H81" s="118" t="s">
        <v>31</v>
      </c>
      <c r="I81" s="118">
        <v>500</v>
      </c>
      <c r="J81" s="120">
        <v>8.5</v>
      </c>
      <c r="K81" s="121">
        <v>6.8268</v>
      </c>
      <c r="L81" s="123">
        <f>K81*53</f>
        <v>361.8204</v>
      </c>
      <c r="M81" s="124">
        <f>IF(K81=0,0,(8.5-K81)*53)</f>
        <v>88.6796</v>
      </c>
    </row>
    <row s="170" customFormat="1" customHeight="1" ht="18">
      <c r="A82" s="137"/>
      <c r="B82" s="117" t="s">
        <v>2</v>
      </c>
      <c r="C82" s="118" t="s">
        <v>3</v>
      </c>
      <c r="D82" s="118" t="s">
        <v>4</v>
      </c>
      <c r="E82" s="118" t="s">
        <v>5</v>
      </c>
      <c r="F82" s="118" t="s">
        <v>6</v>
      </c>
      <c r="G82" s="118" t="s">
        <v>7</v>
      </c>
      <c r="H82" s="118" t="s">
        <v>32</v>
      </c>
      <c r="I82" s="118">
        <v>500</v>
      </c>
      <c r="J82" s="120">
        <v>8.5</v>
      </c>
      <c r="K82" s="121">
        <v>7.83734</v>
      </c>
      <c r="L82" s="123">
        <f>K82*53</f>
        <v>415.37902</v>
      </c>
      <c r="M82" s="124">
        <f>IF(K82=0,0,(8.5-K82)*53)</f>
        <v>35.12098</v>
      </c>
    </row>
    <row s="171" customFormat="1" customHeight="1" ht="18">
      <c r="A83" s="137"/>
      <c r="B83" s="161" t="s">
        <v>33</v>
      </c>
      <c r="C83" s="162">
        <v>15000</v>
      </c>
      <c r="D83" s="120">
        <v>20</v>
      </c>
      <c r="E83" s="121"/>
      <c r="F83" s="123">
        <f>E83*520</f>
        <v>0</v>
      </c>
      <c r="G83" s="123">
        <f>IF(F83=0,0,(20-E83)*520)</f>
        <v>0</v>
      </c>
      <c r="H83" s="126" t="s">
        <v>34</v>
      </c>
      <c r="I83" s="126"/>
      <c r="J83" s="126"/>
      <c r="K83" s="127"/>
      <c r="L83" s="128">
        <f>SUM(L81:L82)</f>
        <v>777.19942</v>
      </c>
      <c r="M83" s="130">
        <f>SUM(M81:M82)</f>
        <v>123.80058</v>
      </c>
    </row>
    <row s="172" customFormat="1" customHeight="1" ht="18">
      <c r="A84" s="137"/>
      <c r="B84" s="114" t="s">
        <v>35</v>
      </c>
      <c r="C84" s="115"/>
      <c r="D84" s="115"/>
      <c r="E84" s="115"/>
      <c r="F84" s="115"/>
      <c r="G84" s="115"/>
      <c r="H84" s="115" t="s">
        <v>36</v>
      </c>
      <c r="I84" s="115"/>
      <c r="J84" s="115"/>
      <c r="K84" s="115"/>
      <c r="L84" s="115"/>
      <c r="M84" s="116"/>
    </row>
    <row s="173" customFormat="1" customHeight="1" ht="18">
      <c r="A85" s="137"/>
      <c r="B85" s="117" t="s">
        <v>2</v>
      </c>
      <c r="C85" s="118" t="s">
        <v>3</v>
      </c>
      <c r="D85" s="118" t="s">
        <v>4</v>
      </c>
      <c r="E85" s="118" t="s">
        <v>5</v>
      </c>
      <c r="F85" s="118" t="s">
        <v>6</v>
      </c>
      <c r="G85" s="118" t="s">
        <v>7</v>
      </c>
      <c r="H85" s="118" t="s">
        <v>2</v>
      </c>
      <c r="I85" s="118" t="s">
        <v>3</v>
      </c>
      <c r="J85" s="118" t="s">
        <v>4</v>
      </c>
      <c r="K85" s="118" t="s">
        <v>5</v>
      </c>
      <c r="L85" s="118" t="s">
        <v>6</v>
      </c>
      <c r="M85" s="119" t="s">
        <v>7</v>
      </c>
    </row>
    <row s="174" customFormat="1" customHeight="1" ht="18">
      <c r="A86" s="137"/>
      <c r="B86" s="117">
        <v>2115</v>
      </c>
      <c r="C86" s="118">
        <v>500</v>
      </c>
      <c r="D86" s="120">
        <v>8.1</v>
      </c>
      <c r="E86" s="121">
        <v>3.68</v>
      </c>
      <c r="F86" s="123">
        <f>E86*46</f>
        <v>169.28</v>
      </c>
      <c r="G86" s="123">
        <f>IF(E86=0,0,(8.1-E86)*46)</f>
        <v>203.32</v>
      </c>
      <c r="H86" s="118" t="s">
        <v>37</v>
      </c>
      <c r="I86" s="118">
        <v>1000</v>
      </c>
      <c r="J86" s="120">
        <v>9.6</v>
      </c>
      <c r="K86" s="121">
        <v>6.39438</v>
      </c>
      <c r="L86" s="123">
        <f>K86*80</f>
        <v>511.5504</v>
      </c>
      <c r="M86" s="124">
        <f>IF(K86=0,0,(9.6-K86)*80)</f>
        <v>256.4496</v>
      </c>
    </row>
    <row customHeight="1" ht="18">
      <c r="A87" s="108"/>
      <c r="B87" s="117">
        <v>2116</v>
      </c>
      <c r="C87" s="118">
        <v>500</v>
      </c>
      <c r="D87" s="120">
        <v>8.1</v>
      </c>
      <c r="E87" s="121">
        <v>4.57</v>
      </c>
      <c r="F87" s="123">
        <f>E87*46</f>
        <v>210.22</v>
      </c>
      <c r="G87" s="123">
        <f>IF(E87=0,0,(8.1-E87)*46)</f>
        <v>162.38</v>
      </c>
      <c r="H87" s="118" t="s">
        <v>38</v>
      </c>
      <c r="I87" s="118">
        <v>1000</v>
      </c>
      <c r="J87" s="120">
        <v>9.6</v>
      </c>
      <c r="K87" s="121">
        <v>3.50879</v>
      </c>
      <c r="L87" s="123">
        <f>K87*80</f>
        <v>280.7032</v>
      </c>
      <c r="M87" s="124">
        <f>IF(K87=0,0,(9.6-K87)*80)</f>
        <v>487.2968</v>
      </c>
    </row>
    <row customHeight="1" ht="18">
      <c r="A88" s="108"/>
      <c r="B88" s="117">
        <v>2117</v>
      </c>
      <c r="C88" s="118">
        <v>5000</v>
      </c>
      <c r="D88" s="120">
        <v>15.3</v>
      </c>
      <c r="E88" s="121">
        <v>3.28</v>
      </c>
      <c r="F88" s="123">
        <f>E88*272</f>
        <v>892.16</v>
      </c>
      <c r="G88" s="123">
        <f>IF(E88=0,0,(15.3-E88)*272)</f>
        <v>3269.44</v>
      </c>
      <c r="H88" s="126" t="s">
        <v>8</v>
      </c>
      <c r="I88" s="126"/>
      <c r="J88" s="126"/>
      <c r="K88" s="145"/>
      <c r="L88" s="128">
        <f>SUM(L86:L87)</f>
        <v>792.2536</v>
      </c>
      <c r="M88" s="130">
        <f>SUM(M86:M87)</f>
        <v>743.7464</v>
      </c>
    </row>
    <row customHeight="1" ht="18">
      <c r="A89" s="108"/>
      <c r="B89" s="117">
        <v>2118</v>
      </c>
      <c r="C89" s="118">
        <v>5000</v>
      </c>
      <c r="D89" s="120">
        <v>15.3</v>
      </c>
      <c r="E89" s="121">
        <v>3.16</v>
      </c>
      <c r="F89" s="123">
        <f>E89*272</f>
        <v>859.52</v>
      </c>
      <c r="G89" s="123">
        <f>IF(E89=0,0,(15.3-E89)*272)</f>
        <v>3302.08</v>
      </c>
      <c r="H89" s="118" t="s">
        <v>39</v>
      </c>
      <c r="I89" s="118"/>
      <c r="J89" s="118"/>
      <c r="K89" s="175"/>
      <c r="L89" s="122">
        <v>15115</v>
      </c>
      <c r="M89" s="119"/>
    </row>
    <row customHeight="1" ht="18">
      <c r="A90" s="108"/>
      <c r="B90" s="125" t="s">
        <v>8</v>
      </c>
      <c r="C90" s="126"/>
      <c r="D90" s="126"/>
      <c r="E90" s="127"/>
      <c r="F90" s="128">
        <f>SUM(F86:F89)</f>
        <v>2131.18</v>
      </c>
      <c r="G90" s="128">
        <f>SUM(G86:G89)</f>
        <v>6937.22</v>
      </c>
      <c r="H90" s="118" t="s">
        <v>40</v>
      </c>
      <c r="I90" s="118"/>
      <c r="J90" s="118"/>
      <c r="K90" s="175" t="s">
        <v>41</v>
      </c>
      <c r="L90" s="122">
        <v>14688</v>
      </c>
      <c r="M90" s="119" t="s">
        <v>41</v>
      </c>
    </row>
    <row customHeight="1" ht="18">
      <c r="A91" s="108"/>
      <c r="B91" s="114" t="s">
        <v>42</v>
      </c>
      <c r="C91" s="115"/>
      <c r="D91" s="115"/>
      <c r="E91" s="115"/>
      <c r="F91" s="115"/>
      <c r="G91" s="115"/>
      <c r="H91" s="118" t="s">
        <v>43</v>
      </c>
      <c r="I91" s="118"/>
      <c r="J91" s="118"/>
      <c r="K91" s="175"/>
      <c r="L91" s="122">
        <v>0</v>
      </c>
      <c r="M91" s="119"/>
    </row>
    <row customHeight="1" ht="18">
      <c r="A92" s="108"/>
      <c r="B92" s="117" t="s">
        <v>2</v>
      </c>
      <c r="C92" s="118" t="s">
        <v>3</v>
      </c>
      <c r="D92" s="118" t="s">
        <v>4</v>
      </c>
      <c r="E92" s="118" t="s">
        <v>5</v>
      </c>
      <c r="F92" s="118" t="s">
        <v>6</v>
      </c>
      <c r="G92" s="118" t="s">
        <v>7</v>
      </c>
      <c r="H92" s="118" t="s">
        <v>44</v>
      </c>
      <c r="I92" s="118"/>
      <c r="J92" s="118"/>
      <c r="K92" s="175"/>
      <c r="L92" s="122">
        <v>427</v>
      </c>
      <c r="M92" s="119"/>
    </row>
    <row customHeight="1" ht="18">
      <c r="A93" s="108"/>
      <c r="B93" s="117">
        <v>24901</v>
      </c>
      <c r="C93" s="118">
        <v>1000</v>
      </c>
      <c r="D93" s="120">
        <v>9.2</v>
      </c>
      <c r="E93" s="121">
        <v>6.8</v>
      </c>
      <c r="F93" s="123">
        <f>E93*73</f>
        <v>496.4</v>
      </c>
      <c r="G93" s="123">
        <f>IF(E93=0,0,(9.2-E93)*73)</f>
        <v>175.2</v>
      </c>
      <c r="H93" s="118" t="s">
        <v>45</v>
      </c>
      <c r="I93" s="118"/>
      <c r="J93" s="118"/>
      <c r="K93" s="175"/>
      <c r="L93" s="122">
        <v>99188</v>
      </c>
      <c r="M93" s="119" t="s">
        <v>41</v>
      </c>
    </row>
    <row customHeight="1" ht="18">
      <c r="A94" s="108"/>
      <c r="B94" s="117">
        <v>24902</v>
      </c>
      <c r="C94" s="118">
        <v>1000</v>
      </c>
      <c r="D94" s="120">
        <v>9.2</v>
      </c>
      <c r="E94" s="121">
        <v>6.31</v>
      </c>
      <c r="F94" s="123">
        <f>E94*73</f>
        <v>460.63</v>
      </c>
      <c r="G94" s="123">
        <f>IF(E94=0,0,(9.2-E94)*73)</f>
        <v>210.97</v>
      </c>
      <c r="H94" s="118" t="s">
        <v>46</v>
      </c>
      <c r="I94" s="118"/>
      <c r="J94" s="118"/>
      <c r="K94" s="175" t="s">
        <v>41</v>
      </c>
      <c r="L94" s="122">
        <v>418</v>
      </c>
      <c r="M94" s="119"/>
    </row>
    <row s="176" customFormat="1" customHeight="1" ht="18">
      <c r="A95" s="137"/>
      <c r="B95" s="125" t="s">
        <v>8</v>
      </c>
      <c r="C95" s="126"/>
      <c r="D95" s="126"/>
      <c r="E95" s="127"/>
      <c r="F95" s="128">
        <f>SUM(F93:F94)</f>
        <v>957.03</v>
      </c>
      <c r="G95" s="128">
        <f>SUM(G93:G94)</f>
        <v>386.17</v>
      </c>
      <c r="H95" s="118" t="s">
        <v>47</v>
      </c>
      <c r="I95" s="118"/>
      <c r="J95" s="118"/>
      <c r="K95" s="175"/>
      <c r="L95" s="122">
        <v>16826</v>
      </c>
      <c r="M95" s="119"/>
    </row>
    <row s="177" customFormat="1" customHeight="1" ht="18">
      <c r="A96" s="137"/>
      <c r="B96" s="178" t="s">
        <v>48</v>
      </c>
      <c r="C96" s="175"/>
      <c r="D96" s="175"/>
      <c r="E96" s="120"/>
      <c r="F96" s="122" t="s">
        <v>49</v>
      </c>
      <c r="G96" s="175"/>
      <c r="H96" s="118" t="s">
        <v>50</v>
      </c>
      <c r="I96" s="118"/>
      <c r="J96" s="118"/>
      <c r="K96" s="175"/>
      <c r="L96" s="122">
        <v>8809</v>
      </c>
      <c r="M96" s="119"/>
    </row>
    <row s="179" customFormat="1" customHeight="1" ht="18">
      <c r="A97" s="137"/>
      <c r="B97" s="117" t="s">
        <v>51</v>
      </c>
      <c r="C97" s="118"/>
      <c r="D97" s="118"/>
      <c r="E97" s="120"/>
      <c r="F97" s="122" t="s">
        <v>49</v>
      </c>
      <c r="G97" s="175"/>
      <c r="H97" s="118" t="s">
        <v>52</v>
      </c>
      <c r="I97" s="118"/>
      <c r="J97" s="118"/>
      <c r="K97" s="175" t="s">
        <v>41</v>
      </c>
      <c r="L97" s="122">
        <v>8589</v>
      </c>
      <c r="M97" s="180"/>
    </row>
    <row s="181" customFormat="1" customHeight="1" ht="18">
      <c r="A98" s="137"/>
      <c r="B98" s="117" t="s">
        <v>53</v>
      </c>
      <c r="C98" s="118"/>
      <c r="D98" s="118"/>
      <c r="E98" s="175"/>
      <c r="F98" s="122"/>
      <c r="G98" s="175"/>
      <c r="H98" s="118" t="s">
        <v>54</v>
      </c>
      <c r="I98" s="118"/>
      <c r="J98" s="118"/>
      <c r="K98" s="175"/>
      <c r="L98" s="122">
        <v>292</v>
      </c>
      <c r="M98" s="119"/>
    </row>
    <row customHeight="1" ht="18">
      <c r="A99" s="108"/>
      <c r="B99" s="117" t="s">
        <v>55</v>
      </c>
      <c r="C99" s="118"/>
      <c r="D99" s="118"/>
      <c r="E99" s="120"/>
      <c r="F99" s="122">
        <v>225</v>
      </c>
      <c r="G99" s="175"/>
      <c r="H99" s="118" t="s">
        <v>56</v>
      </c>
      <c r="I99" s="118"/>
      <c r="J99" s="118"/>
      <c r="K99" s="120"/>
      <c r="L99" s="122">
        <v>4528</v>
      </c>
      <c r="M99" s="119"/>
    </row>
    <row customHeight="1" ht="18">
      <c r="A100" s="108"/>
      <c r="B100" s="117" t="s">
        <v>57</v>
      </c>
      <c r="C100" s="118"/>
      <c r="D100" s="118"/>
      <c r="E100" s="120"/>
      <c r="F100" s="122">
        <v>1056</v>
      </c>
      <c r="G100" s="175"/>
      <c r="H100" s="118" t="s">
        <v>58</v>
      </c>
      <c r="I100" s="118"/>
      <c r="J100" s="118"/>
      <c r="K100" s="175"/>
      <c r="L100" s="122">
        <v>733</v>
      </c>
      <c r="M100" s="119"/>
    </row>
    <row s="182" customFormat="1" customHeight="1" ht="18">
      <c r="A101" s="137"/>
      <c r="B101" s="117" t="s">
        <v>59</v>
      </c>
      <c r="C101" s="118"/>
      <c r="D101" s="118"/>
      <c r="E101" s="120"/>
      <c r="F101" s="122">
        <v>603</v>
      </c>
      <c r="G101" s="175"/>
      <c r="H101" s="118" t="s">
        <v>60</v>
      </c>
      <c r="I101" s="118"/>
      <c r="J101" s="118"/>
      <c r="K101" s="120"/>
      <c r="L101" s="122">
        <v>198</v>
      </c>
      <c r="M101" s="180"/>
    </row>
    <row customHeight="1" ht="18">
      <c r="A102" s="108"/>
      <c r="B102" s="183" t="s">
        <v>61</v>
      </c>
      <c r="C102" s="134"/>
      <c r="D102" s="134"/>
      <c r="E102" s="133"/>
      <c r="F102" s="122">
        <v>25</v>
      </c>
      <c r="G102" s="133"/>
      <c r="H102" s="118" t="s">
        <v>62</v>
      </c>
      <c r="I102" s="118"/>
      <c r="J102" s="118"/>
      <c r="K102" s="120"/>
      <c r="L102" s="122">
        <v>1343</v>
      </c>
      <c r="M102" s="180"/>
    </row>
    <row customHeight="1" ht="18">
      <c r="A103" s="108"/>
      <c r="B103" s="117" t="s">
        <v>63</v>
      </c>
      <c r="C103" s="118"/>
      <c r="D103" s="118"/>
      <c r="E103" s="120"/>
      <c r="F103" s="122">
        <v>164</v>
      </c>
      <c r="G103" s="175"/>
      <c r="H103" s="118" t="s">
        <v>64</v>
      </c>
      <c r="I103" s="118"/>
      <c r="J103" s="118"/>
      <c r="K103" s="120"/>
      <c r="L103" s="122">
        <v>651</v>
      </c>
      <c r="M103" s="119"/>
    </row>
    <row customHeight="1" ht="18">
      <c r="A104" s="108"/>
      <c r="B104" s="117" t="s">
        <v>65</v>
      </c>
      <c r="C104" s="118"/>
      <c r="D104" s="118"/>
      <c r="E104" s="120"/>
      <c r="F104" s="122">
        <v>671</v>
      </c>
      <c r="G104" s="175"/>
      <c r="H104" s="118" t="s">
        <v>66</v>
      </c>
      <c r="I104" s="118"/>
      <c r="J104" s="118"/>
      <c r="K104" s="120"/>
      <c r="L104" s="122">
        <v>504</v>
      </c>
      <c r="M104" s="180"/>
    </row>
    <row customHeight="1" ht="18">
      <c r="A105" s="108"/>
      <c r="B105" s="117" t="s">
        <v>67</v>
      </c>
      <c r="C105" s="118"/>
      <c r="D105" s="118"/>
      <c r="E105" s="120"/>
      <c r="F105" s="122">
        <v>64</v>
      </c>
      <c r="G105" s="175"/>
      <c r="H105" s="118" t="s">
        <v>68</v>
      </c>
      <c r="I105" s="118"/>
      <c r="J105" s="118"/>
      <c r="K105" s="120"/>
      <c r="L105" s="122">
        <v>1156</v>
      </c>
      <c r="M105" s="180"/>
    </row>
    <row customHeight="1" ht="18">
      <c r="A106" s="108"/>
      <c r="B106" s="117" t="s">
        <v>69</v>
      </c>
      <c r="C106" s="118"/>
      <c r="D106" s="118"/>
      <c r="E106" s="120"/>
      <c r="F106" s="122">
        <v>220</v>
      </c>
      <c r="G106" s="175"/>
      <c r="H106" s="118" t="s">
        <v>70</v>
      </c>
      <c r="I106" s="118"/>
      <c r="J106" s="118"/>
      <c r="K106" s="120"/>
      <c r="L106" s="122">
        <v>1627</v>
      </c>
      <c r="M106" s="180"/>
    </row>
    <row customHeight="1" ht="18">
      <c r="A107" s="108"/>
      <c r="B107" s="117" t="s">
        <v>71</v>
      </c>
      <c r="C107" s="118"/>
      <c r="D107" s="118"/>
      <c r="E107" s="120"/>
      <c r="F107" s="122">
        <v>63</v>
      </c>
      <c r="G107" s="175"/>
      <c r="H107" s="118" t="s">
        <v>72</v>
      </c>
      <c r="I107" s="118"/>
      <c r="J107" s="118"/>
      <c r="K107" s="175"/>
      <c r="L107" s="122">
        <v>206</v>
      </c>
      <c r="M107" s="180"/>
    </row>
    <row customHeight="1" ht="18">
      <c r="A108" s="108"/>
      <c r="B108" s="117" t="s">
        <v>73</v>
      </c>
      <c r="C108" s="118"/>
      <c r="D108" s="118"/>
      <c r="E108" s="120"/>
      <c r="F108" s="122">
        <v>95</v>
      </c>
      <c r="G108" s="175"/>
      <c r="H108" s="118" t="s">
        <v>74</v>
      </c>
      <c r="I108" s="118"/>
      <c r="J108" s="118"/>
      <c r="K108" s="120"/>
      <c r="L108" s="122">
        <v>171599</v>
      </c>
      <c r="M108" s="180"/>
    </row>
    <row customHeight="1" ht="18">
      <c r="A109" s="108"/>
      <c r="B109" s="117" t="s">
        <v>75</v>
      </c>
      <c r="C109" s="118"/>
      <c r="D109" s="118"/>
      <c r="E109" s="120"/>
      <c r="F109" s="122">
        <v>196</v>
      </c>
      <c r="G109" s="175"/>
      <c r="H109" s="118" t="s">
        <v>76</v>
      </c>
      <c r="I109" s="118"/>
      <c r="J109" s="118"/>
      <c r="K109" s="120"/>
      <c r="L109" s="122"/>
      <c r="M109" s="180"/>
    </row>
    <row customHeight="1" ht="18">
      <c r="A110" s="108"/>
      <c r="B110" s="117" t="s">
        <v>77</v>
      </c>
      <c r="C110" s="118"/>
      <c r="D110" s="118"/>
      <c r="E110" s="120"/>
      <c r="F110" s="122">
        <v>96</v>
      </c>
      <c r="G110" s="175"/>
      <c r="H110" s="118" t="s">
        <v>78</v>
      </c>
      <c r="I110" s="118"/>
      <c r="J110" s="118"/>
      <c r="K110" s="175"/>
      <c r="L110" s="122">
        <v>0</v>
      </c>
      <c r="M110" s="180"/>
    </row>
    <row customHeight="1" ht="18">
      <c r="A111" s="108"/>
      <c r="B111" s="117" t="s">
        <v>79</v>
      </c>
      <c r="C111" s="118"/>
      <c r="D111" s="118"/>
      <c r="E111" s="120"/>
      <c r="F111" s="122">
        <v>33</v>
      </c>
      <c r="G111" s="175"/>
      <c r="H111" s="118" t="s">
        <v>80</v>
      </c>
      <c r="I111" s="118"/>
      <c r="J111" s="118"/>
      <c r="K111" s="120"/>
      <c r="L111" s="122">
        <v>0</v>
      </c>
      <c r="M111" s="180"/>
    </row>
    <row customHeight="1" ht="18">
      <c r="A112" s="108"/>
      <c r="B112" s="184" t="s">
        <v>81</v>
      </c>
      <c r="C112" s="185"/>
      <c r="D112" s="185"/>
      <c r="E112" s="186"/>
      <c r="F112" s="187">
        <v>65</v>
      </c>
      <c r="G112" s="185"/>
      <c r="H112" s="188"/>
      <c r="I112" s="189"/>
      <c r="J112" s="189"/>
      <c r="K112" s="188"/>
      <c r="L112" s="188"/>
      <c r="M112" s="190"/>
    </row>
    <row customHeight="1" ht="18">
      <c r="A113" s="108"/>
      <c r="B113" s="109"/>
      <c r="C113" s="110"/>
      <c r="D113" s="110"/>
      <c r="E113" s="191" t="s">
        <v>82</v>
      </c>
      <c r="F113" s="192" t="s">
        <v>83</v>
      </c>
      <c r="G113" s="109"/>
      <c r="H113" s="109"/>
      <c r="I113" s="110"/>
      <c r="J113" s="110"/>
      <c r="K113" s="191" t="s">
        <v>84</v>
      </c>
      <c r="L113" s="192" t="s">
        <v>85</v>
      </c>
      <c r="M113" s="109"/>
    </row>
  </sheetData>
  <mergeCells count="28">
    <mergeCell ref="H58:M58"/>
    <mergeCell ref="H62:M62"/>
    <mergeCell ref="H66:M66"/>
    <mergeCell ref="B52:G52"/>
    <mergeCell ref="B57:G57"/>
    <mergeCell ref="B21:G21"/>
    <mergeCell ref="H24:M24"/>
    <mergeCell ref="B26:G26"/>
    <mergeCell ref="H31:M31"/>
    <mergeCell ref="B32:G32"/>
    <mergeCell ref="B37:G37"/>
    <mergeCell ref="B48:G48"/>
    <mergeCell ref="H46:M46"/>
    <mergeCell ref="H51:M51"/>
    <mergeCell ref="B45:G45"/>
    <mergeCell ref="H19:M19"/>
    <mergeCell ref="B2:M2"/>
    <mergeCell ref="B3:G3"/>
    <mergeCell ref="H3:M3"/>
    <mergeCell ref="B14:G14"/>
    <mergeCell ref="B16:G16"/>
    <mergeCell ref="B91:G91"/>
    <mergeCell ref="B69:G69"/>
    <mergeCell ref="B81:G81"/>
    <mergeCell ref="H84:M84"/>
    <mergeCell ref="B84:G84"/>
    <mergeCell ref="H74:M74"/>
    <mergeCell ref="H77:M77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D166775-54A3-794D-16D8-9096D6F0FDD8}" mc:Ignorable="x14ac xr xr2 xr3">
  <dimension ref="A1:R160"/>
  <sheetViews>
    <sheetView topLeftCell="A136" workbookViewId="0">
      <selection activeCell="C151" sqref="C151"/>
    </sheetView>
  </sheetViews>
  <sheetFormatPr customHeight="1" defaultRowHeight="14.25"/>
  <cols>
    <col min="1" max="1" style="208" width="17.421875" customWidth="1"/>
    <col min="10" max="10" style="209" width="19.57421875" customWidth="1"/>
    <col min="12" max="12" style="210" width="16.140625" customWidth="1"/>
  </cols>
  <sheetData>
    <row customHeight="1" ht="14.25">
      <c r="A1" s="193" t="s">
        <v>86</v>
      </c>
      <c r="B1" s="193" t="s">
        <v>87</v>
      </c>
      <c r="C1" s="193">
        <v>0</v>
      </c>
      <c r="D1" s="194"/>
      <c r="E1" s="194"/>
      <c r="F1" s="194"/>
      <c r="G1" s="194"/>
      <c r="H1" s="194"/>
      <c r="I1" s="194"/>
      <c r="J1" s="195"/>
      <c r="K1" s="194"/>
      <c r="L1" s="193" t="s">
        <v>88</v>
      </c>
      <c r="M1" s="194"/>
      <c r="N1" s="194"/>
      <c r="O1" s="194"/>
      <c r="P1" s="194"/>
      <c r="Q1" s="194"/>
      <c r="R1" s="194"/>
    </row>
    <row customHeight="1" ht="14.25">
      <c r="A2" s="195"/>
      <c r="B2" s="194"/>
      <c r="C2" s="194"/>
      <c r="D2" s="194"/>
      <c r="E2" s="194"/>
      <c r="F2" s="194"/>
      <c r="G2" s="194"/>
      <c r="H2" s="194"/>
      <c r="I2" s="194"/>
      <c r="J2" s="195"/>
      <c r="K2" s="194"/>
      <c r="L2" s="195"/>
      <c r="M2" s="194"/>
      <c r="N2" s="194"/>
      <c r="O2" s="194"/>
      <c r="P2" s="194"/>
      <c r="Q2" s="194"/>
      <c r="R2" s="194"/>
    </row>
    <row customHeight="1" ht="14.25">
      <c r="A3" s="196">
        <v>6101</v>
      </c>
      <c r="B3" s="194">
        <v>3.589725</v>
      </c>
      <c r="C3" s="194"/>
      <c r="D3" s="194"/>
      <c r="E3" s="194"/>
      <c r="F3" s="194"/>
      <c r="G3" s="194"/>
      <c r="H3" s="194"/>
      <c r="I3" s="194"/>
      <c r="J3" s="195"/>
      <c r="K3" s="194"/>
      <c r="L3" s="195"/>
      <c r="M3" s="194" t="s">
        <v>83</v>
      </c>
      <c r="N3" s="194"/>
      <c r="O3" s="194"/>
      <c r="P3" s="194"/>
      <c r="Q3" s="194"/>
      <c r="R3" s="194"/>
    </row>
    <row customHeight="1" ht="14.25">
      <c r="A4" s="195">
        <v>6102</v>
      </c>
      <c r="B4" s="194">
        <v>9.667504</v>
      </c>
      <c r="C4" s="194"/>
      <c r="D4" s="194"/>
      <c r="E4" s="194"/>
      <c r="F4" s="194"/>
      <c r="G4" s="194"/>
      <c r="H4" s="194"/>
      <c r="I4" s="194"/>
      <c r="J4" s="195"/>
      <c r="K4" s="194"/>
      <c r="L4" s="195"/>
      <c r="M4" s="194"/>
      <c r="N4" s="194"/>
      <c r="O4" s="194"/>
      <c r="P4" s="194"/>
      <c r="Q4" s="194"/>
      <c r="R4" s="194"/>
    </row>
    <row customHeight="1" ht="14.25">
      <c r="A5" s="195">
        <v>6105</v>
      </c>
      <c r="B5" s="194">
        <v>4.456197</v>
      </c>
      <c r="C5" s="194"/>
      <c r="D5" s="194"/>
      <c r="E5" s="194"/>
      <c r="F5" s="194"/>
      <c r="G5" s="194"/>
      <c r="H5" s="194"/>
      <c r="I5" s="194"/>
      <c r="J5" s="195"/>
      <c r="K5" s="194"/>
      <c r="L5" s="195"/>
      <c r="M5" s="194"/>
      <c r="N5" s="194"/>
      <c r="O5" s="194"/>
      <c r="P5" s="194"/>
      <c r="Q5" s="194"/>
      <c r="R5" s="194"/>
    </row>
    <row customHeight="1" ht="14.25">
      <c r="A6" s="195">
        <v>6106</v>
      </c>
      <c r="B6" s="194">
        <v>10.55229</v>
      </c>
      <c r="C6" s="194"/>
      <c r="D6" s="194"/>
      <c r="E6" s="194"/>
      <c r="F6" s="194"/>
      <c r="G6" s="194"/>
      <c r="H6" s="194"/>
      <c r="I6" s="194"/>
      <c r="J6" s="195"/>
      <c r="K6" s="194"/>
      <c r="L6" s="195"/>
      <c r="M6" s="194"/>
      <c r="N6" s="194"/>
      <c r="O6" s="194"/>
      <c r="P6" s="194"/>
      <c r="Q6" s="194"/>
      <c r="R6" s="194"/>
    </row>
    <row customHeight="1" ht="14.25">
      <c r="A7" s="195">
        <v>9501</v>
      </c>
      <c r="B7" s="194">
        <v>11.81396</v>
      </c>
      <c r="C7" s="194"/>
      <c r="D7" s="194"/>
      <c r="E7" s="194"/>
      <c r="F7" s="194"/>
      <c r="G7" s="194"/>
      <c r="H7" s="194"/>
      <c r="I7" s="194"/>
      <c r="J7" s="195"/>
      <c r="K7" s="194"/>
      <c r="L7" s="195"/>
      <c r="M7" s="194"/>
      <c r="N7" s="194"/>
      <c r="O7" s="194"/>
      <c r="P7" s="194"/>
      <c r="Q7" s="194"/>
      <c r="R7" s="194"/>
    </row>
    <row customHeight="1" ht="14.25">
      <c r="A8" s="195">
        <v>9502</v>
      </c>
      <c r="B8" s="194">
        <v>11.72607</v>
      </c>
      <c r="C8" s="194"/>
      <c r="D8" s="194"/>
      <c r="E8" s="194"/>
      <c r="F8" s="194"/>
      <c r="G8" s="194"/>
      <c r="H8" s="194"/>
      <c r="I8" s="194"/>
      <c r="J8" s="195"/>
      <c r="K8" s="194"/>
      <c r="L8" s="195"/>
      <c r="M8" s="194"/>
      <c r="N8" s="194"/>
      <c r="O8" s="194"/>
      <c r="P8" s="194"/>
      <c r="Q8" s="194"/>
      <c r="R8" s="194"/>
    </row>
    <row customHeight="1" ht="14.25">
      <c r="A9" s="195">
        <v>9503</v>
      </c>
      <c r="B9" s="194">
        <v>10.78818</v>
      </c>
      <c r="C9" s="194"/>
      <c r="D9" s="194"/>
      <c r="E9" s="194"/>
      <c r="F9" s="194"/>
      <c r="G9" s="194"/>
      <c r="H9" s="194"/>
      <c r="I9" s="194"/>
      <c r="J9" s="195"/>
      <c r="K9" s="194"/>
      <c r="L9" s="195"/>
      <c r="M9" s="194"/>
      <c r="N9" s="194"/>
      <c r="O9" s="194"/>
      <c r="P9" s="194"/>
      <c r="Q9" s="194"/>
      <c r="R9" s="194"/>
    </row>
    <row customHeight="1" ht="14.25">
      <c r="A10" s="193">
        <v>9510</v>
      </c>
      <c r="B10" s="193">
        <v>8.879654</v>
      </c>
      <c r="C10" s="194"/>
      <c r="D10" s="194"/>
      <c r="E10" s="194"/>
      <c r="F10" s="194"/>
      <c r="G10" s="194"/>
      <c r="H10" s="194"/>
      <c r="I10" s="194"/>
      <c r="J10" s="195"/>
      <c r="K10" s="194"/>
      <c r="L10" s="195"/>
      <c r="M10" s="194"/>
      <c r="N10" s="194"/>
      <c r="O10" s="194"/>
      <c r="P10" s="194"/>
      <c r="Q10" s="194"/>
      <c r="R10" s="194"/>
    </row>
    <row customHeight="1" ht="14.25">
      <c r="A11" s="195"/>
      <c r="B11" s="194"/>
      <c r="C11" s="194"/>
      <c r="D11" s="194"/>
      <c r="E11" s="194"/>
      <c r="F11" s="194"/>
      <c r="G11" s="194"/>
      <c r="H11" s="194"/>
      <c r="I11" s="194"/>
      <c r="J11" s="195"/>
      <c r="K11" s="194"/>
      <c r="L11" s="195"/>
      <c r="M11" s="194"/>
      <c r="N11" s="194"/>
      <c r="O11" s="194"/>
      <c r="P11" s="194"/>
      <c r="Q11" s="194"/>
      <c r="R11" s="194"/>
    </row>
    <row customHeight="1" ht="14.25">
      <c r="A12" s="193">
        <v>6104</v>
      </c>
      <c r="B12" s="193">
        <v>2.622185</v>
      </c>
      <c r="C12" s="194"/>
      <c r="D12" s="194"/>
      <c r="E12" s="194"/>
      <c r="F12" s="194"/>
      <c r="G12" s="194"/>
      <c r="H12" s="194"/>
      <c r="I12" s="194"/>
      <c r="J12" s="195"/>
      <c r="K12" s="194"/>
      <c r="L12" s="195"/>
      <c r="M12" s="194"/>
      <c r="N12" s="194"/>
      <c r="O12" s="194"/>
      <c r="P12" s="194"/>
      <c r="Q12" s="194"/>
      <c r="R12" s="194"/>
    </row>
    <row customHeight="1" ht="14.25">
      <c r="A13" s="195"/>
      <c r="B13" s="194"/>
      <c r="C13" s="194"/>
      <c r="D13" s="194"/>
      <c r="E13" s="194"/>
      <c r="F13" s="194"/>
      <c r="G13" s="194"/>
      <c r="H13" s="194"/>
      <c r="I13" s="194"/>
      <c r="J13" s="195"/>
      <c r="K13" s="194"/>
      <c r="L13" s="195"/>
      <c r="M13" s="194"/>
      <c r="N13" s="194"/>
      <c r="O13" s="194"/>
      <c r="P13" s="194"/>
      <c r="Q13" s="194"/>
      <c r="R13" s="194"/>
    </row>
    <row customHeight="1" ht="14.25">
      <c r="A14" s="195">
        <v>6201</v>
      </c>
      <c r="B14" s="194">
        <v>4.613108</v>
      </c>
      <c r="C14" s="194"/>
      <c r="D14" s="194"/>
      <c r="E14" s="194"/>
      <c r="F14" s="194"/>
      <c r="G14" s="194"/>
      <c r="H14" s="194"/>
      <c r="I14" s="194"/>
      <c r="J14" s="195"/>
      <c r="K14" s="194"/>
      <c r="L14" s="195"/>
      <c r="M14" s="194"/>
      <c r="N14" s="194"/>
      <c r="O14" s="194"/>
      <c r="P14" s="194"/>
      <c r="Q14" s="194"/>
      <c r="R14" s="194"/>
    </row>
    <row customHeight="1" ht="14.25">
      <c r="A15" s="195">
        <v>6202</v>
      </c>
      <c r="B15" s="194">
        <v>2.754536</v>
      </c>
      <c r="C15" s="194"/>
      <c r="D15" s="194"/>
      <c r="E15" s="194"/>
      <c r="F15" s="194"/>
      <c r="G15" s="194"/>
      <c r="H15" s="194"/>
      <c r="I15" s="194"/>
      <c r="J15" s="195"/>
      <c r="K15" s="194"/>
      <c r="L15" s="195"/>
      <c r="M15" s="194"/>
      <c r="N15" s="194"/>
      <c r="O15" s="194"/>
      <c r="P15" s="194"/>
      <c r="Q15" s="194"/>
      <c r="R15" s="194"/>
    </row>
    <row customHeight="1" ht="14.25">
      <c r="A16" s="195">
        <v>6204</v>
      </c>
      <c r="B16" s="194">
        <v>7.067131</v>
      </c>
      <c r="C16" s="194"/>
      <c r="D16" s="194"/>
      <c r="E16" s="194"/>
      <c r="F16" s="194"/>
      <c r="G16" s="194"/>
      <c r="H16" s="194"/>
      <c r="I16" s="194"/>
      <c r="J16" s="195"/>
      <c r="K16" s="194"/>
      <c r="L16" s="195"/>
      <c r="M16" s="194"/>
      <c r="N16" s="194"/>
      <c r="O16" s="194"/>
      <c r="P16" s="194"/>
      <c r="Q16" s="194"/>
      <c r="R16" s="194"/>
    </row>
    <row customHeight="1" ht="14.25">
      <c r="A17" s="195">
        <v>6205</v>
      </c>
      <c r="B17" s="194">
        <v>6.905524</v>
      </c>
      <c r="C17" s="194"/>
      <c r="D17" s="194"/>
      <c r="E17" s="194"/>
      <c r="F17" s="194"/>
      <c r="G17" s="194"/>
      <c r="H17" s="194"/>
      <c r="I17" s="194"/>
      <c r="J17" s="195"/>
      <c r="K17" s="194"/>
      <c r="L17" s="195"/>
      <c r="M17" s="194"/>
      <c r="N17" s="194"/>
      <c r="O17" s="194"/>
      <c r="P17" s="194"/>
      <c r="Q17" s="194"/>
      <c r="R17" s="194"/>
    </row>
    <row customHeight="1" ht="14.25">
      <c r="A18" s="195">
        <v>9505</v>
      </c>
      <c r="B18" s="194">
        <v>7.937968</v>
      </c>
      <c r="C18" s="194"/>
      <c r="D18" s="194"/>
      <c r="E18" s="194"/>
      <c r="F18" s="194"/>
      <c r="G18" s="194"/>
      <c r="H18" s="194"/>
      <c r="I18" s="194"/>
      <c r="J18" s="195"/>
      <c r="K18" s="194"/>
      <c r="L18" s="195"/>
      <c r="M18" s="194"/>
      <c r="N18" s="194"/>
      <c r="O18" s="194"/>
      <c r="P18" s="194"/>
      <c r="Q18" s="194"/>
      <c r="R18" s="194"/>
    </row>
    <row customHeight="1" ht="14.25">
      <c r="A19" s="195">
        <v>9506</v>
      </c>
      <c r="B19" s="194">
        <v>10.84865</v>
      </c>
      <c r="C19" s="194"/>
      <c r="D19" s="194"/>
      <c r="E19" s="194"/>
      <c r="F19" s="194"/>
      <c r="G19" s="194"/>
      <c r="H19" s="194"/>
      <c r="I19" s="194"/>
      <c r="J19" s="195"/>
      <c r="K19" s="194"/>
      <c r="L19" s="195"/>
      <c r="M19" s="194"/>
      <c r="N19" s="194"/>
      <c r="O19" s="194"/>
      <c r="P19" s="194"/>
      <c r="Q19" s="194"/>
      <c r="R19" s="194"/>
    </row>
    <row customHeight="1" ht="14.25">
      <c r="A20" s="195">
        <v>9507</v>
      </c>
      <c r="B20" s="194">
        <v>7.21426</v>
      </c>
      <c r="C20" s="194"/>
      <c r="D20" s="194"/>
      <c r="E20" s="194"/>
      <c r="F20" s="194"/>
      <c r="G20" s="194"/>
      <c r="H20" s="194"/>
      <c r="I20" s="194"/>
      <c r="J20" s="195"/>
      <c r="K20" s="194"/>
      <c r="L20" s="195"/>
      <c r="M20" s="194"/>
      <c r="N20" s="194"/>
      <c r="O20" s="194"/>
      <c r="P20" s="194"/>
      <c r="Q20" s="194"/>
      <c r="R20" s="194"/>
    </row>
    <row customHeight="1" ht="14.25">
      <c r="A21" s="195">
        <v>9508</v>
      </c>
      <c r="B21" s="194">
        <v>6.735842</v>
      </c>
      <c r="C21" s="194"/>
      <c r="D21" s="194"/>
      <c r="E21" s="194"/>
      <c r="F21" s="194"/>
      <c r="G21" s="194"/>
      <c r="H21" s="194"/>
      <c r="I21" s="194"/>
      <c r="J21" s="195"/>
      <c r="K21" s="194"/>
      <c r="L21" s="195"/>
      <c r="M21" s="194"/>
      <c r="N21" s="194"/>
      <c r="O21" s="194"/>
      <c r="P21" s="194"/>
      <c r="Q21" s="194"/>
      <c r="R21" s="194"/>
    </row>
    <row customHeight="1" ht="14.25">
      <c r="A22" s="195">
        <v>23601</v>
      </c>
      <c r="B22" s="194">
        <v>14.73591</v>
      </c>
      <c r="C22" s="194"/>
      <c r="D22" s="194"/>
      <c r="E22" s="194"/>
      <c r="F22" s="194"/>
      <c r="G22" s="194"/>
      <c r="H22" s="194"/>
      <c r="I22" s="194"/>
      <c r="J22" s="195"/>
      <c r="K22" s="194"/>
      <c r="L22" s="195"/>
      <c r="M22" s="194"/>
      <c r="N22" s="194"/>
      <c r="O22" s="194"/>
      <c r="P22" s="194"/>
      <c r="Q22" s="194"/>
      <c r="R22" s="194"/>
    </row>
    <row customHeight="1" ht="14.25">
      <c r="A23" s="195">
        <v>23602</v>
      </c>
      <c r="B23" s="194">
        <v>10.95729</v>
      </c>
      <c r="C23" s="194"/>
      <c r="D23" s="194"/>
      <c r="E23" s="194"/>
      <c r="F23" s="194"/>
      <c r="G23" s="194"/>
      <c r="H23" s="194"/>
      <c r="I23" s="194"/>
      <c r="J23" s="195"/>
      <c r="K23" s="194"/>
      <c r="L23" s="195"/>
      <c r="M23" s="194"/>
      <c r="N23" s="194"/>
      <c r="O23" s="194"/>
      <c r="P23" s="194"/>
      <c r="Q23" s="194"/>
      <c r="R23" s="194"/>
    </row>
    <row customHeight="1" ht="14.25">
      <c r="A24" s="195">
        <v>23603</v>
      </c>
      <c r="B24" s="194">
        <v>11.24238</v>
      </c>
      <c r="C24" s="194"/>
      <c r="D24" s="194"/>
      <c r="E24" s="194"/>
      <c r="F24" s="194"/>
      <c r="G24" s="194"/>
      <c r="H24" s="194"/>
      <c r="I24" s="194"/>
      <c r="J24" s="195"/>
      <c r="K24" s="194"/>
      <c r="L24" s="195"/>
      <c r="M24" s="194"/>
      <c r="N24" s="194"/>
      <c r="O24" s="194"/>
      <c r="P24" s="194"/>
      <c r="Q24" s="194"/>
      <c r="R24" s="194"/>
    </row>
    <row customHeight="1" ht="14.25">
      <c r="A25" s="195">
        <v>23604</v>
      </c>
      <c r="B25" s="194">
        <v>4.231551</v>
      </c>
      <c r="C25" s="194"/>
      <c r="D25" s="194"/>
      <c r="E25" s="194"/>
      <c r="F25" s="194"/>
      <c r="G25" s="194"/>
      <c r="H25" s="194"/>
      <c r="I25" s="194"/>
      <c r="J25" s="195"/>
      <c r="K25" s="194"/>
      <c r="L25" s="195"/>
      <c r="M25" s="194"/>
      <c r="N25" s="194"/>
      <c r="O25" s="194"/>
      <c r="P25" s="194"/>
      <c r="Q25" s="194"/>
      <c r="R25" s="194"/>
    </row>
    <row customHeight="1" ht="14.25">
      <c r="A26" s="195">
        <v>6203</v>
      </c>
      <c r="B26" s="194">
        <v>0</v>
      </c>
      <c r="C26" s="194"/>
      <c r="D26" s="194"/>
      <c r="E26" s="194"/>
      <c r="F26" s="194"/>
      <c r="G26" s="194"/>
      <c r="H26" s="194"/>
      <c r="I26" s="194"/>
      <c r="J26" s="195"/>
      <c r="K26" s="194"/>
      <c r="L26" s="195"/>
      <c r="M26" s="194"/>
      <c r="N26" s="194"/>
      <c r="O26" s="194"/>
      <c r="P26" s="194"/>
      <c r="Q26" s="194"/>
      <c r="R26" s="194"/>
    </row>
    <row customHeight="1" ht="14.25">
      <c r="A27" s="195"/>
      <c r="B27" s="194"/>
      <c r="C27" s="194"/>
      <c r="D27" s="194"/>
      <c r="E27" s="194"/>
      <c r="F27" s="194"/>
      <c r="G27" s="194"/>
      <c r="H27" s="194"/>
      <c r="I27" s="194"/>
      <c r="J27" s="195"/>
      <c r="K27" s="194"/>
      <c r="L27" s="195"/>
      <c r="M27" s="194"/>
      <c r="N27" s="194"/>
      <c r="O27" s="194"/>
      <c r="P27" s="194"/>
      <c r="Q27" s="194"/>
      <c r="R27" s="194"/>
    </row>
    <row customHeight="1" ht="14.25">
      <c r="A28" s="195">
        <v>6103</v>
      </c>
      <c r="B28" s="194">
        <v>3.431341</v>
      </c>
      <c r="C28" s="194"/>
      <c r="D28" s="194"/>
      <c r="E28" s="194"/>
      <c r="F28" s="194"/>
      <c r="G28" s="194"/>
      <c r="H28" s="194"/>
      <c r="I28" s="194"/>
      <c r="J28" s="195"/>
      <c r="K28" s="194"/>
      <c r="L28" s="195"/>
      <c r="M28" s="194"/>
      <c r="N28" s="194"/>
      <c r="O28" s="194"/>
      <c r="P28" s="194"/>
      <c r="Q28" s="194"/>
      <c r="R28" s="194"/>
    </row>
    <row customHeight="1" ht="14.25">
      <c r="A29" s="195">
        <v>9504</v>
      </c>
      <c r="B29" s="194">
        <v>3.389469</v>
      </c>
      <c r="C29" s="194"/>
      <c r="D29" s="194"/>
      <c r="E29" s="194"/>
      <c r="F29" s="194"/>
      <c r="G29" s="194"/>
      <c r="H29" s="194"/>
      <c r="I29" s="194"/>
      <c r="J29" s="195"/>
      <c r="K29" s="194"/>
      <c r="L29" s="195"/>
      <c r="M29" s="194"/>
      <c r="N29" s="194"/>
      <c r="O29" s="194"/>
      <c r="P29" s="194"/>
      <c r="Q29" s="194"/>
      <c r="R29" s="194"/>
    </row>
    <row customHeight="1" ht="14.25">
      <c r="A30" s="195">
        <v>9509</v>
      </c>
      <c r="B30" s="194">
        <v>2.880814</v>
      </c>
      <c r="C30" s="194"/>
      <c r="D30" s="194"/>
      <c r="E30" s="194"/>
      <c r="F30" s="194"/>
      <c r="G30" s="194"/>
      <c r="H30" s="194"/>
      <c r="I30" s="194"/>
      <c r="J30" s="195"/>
      <c r="K30" s="194"/>
      <c r="L30" s="195"/>
      <c r="M30" s="194"/>
      <c r="N30" s="194"/>
      <c r="O30" s="194"/>
      <c r="P30" s="194"/>
      <c r="Q30" s="194"/>
      <c r="R30" s="194"/>
    </row>
    <row customHeight="1" ht="14.25">
      <c r="A31" s="195"/>
      <c r="B31" s="194"/>
      <c r="C31" s="194"/>
      <c r="D31" s="194"/>
      <c r="E31" s="194"/>
      <c r="F31" s="194"/>
      <c r="G31" s="194"/>
      <c r="H31" s="194"/>
      <c r="I31" s="194"/>
      <c r="J31" s="195"/>
      <c r="K31" s="194"/>
      <c r="L31" s="195"/>
      <c r="M31" s="194"/>
      <c r="N31" s="194"/>
      <c r="O31" s="194"/>
      <c r="P31" s="194"/>
      <c r="Q31" s="194"/>
      <c r="R31" s="194"/>
    </row>
    <row customHeight="1" ht="14.25">
      <c r="A32" s="195">
        <v>6801</v>
      </c>
      <c r="B32" s="194">
        <v>7.17073</v>
      </c>
      <c r="C32" s="194"/>
      <c r="D32" s="194"/>
      <c r="E32" s="194"/>
      <c r="F32" s="194"/>
      <c r="G32" s="194"/>
      <c r="H32" s="194"/>
      <c r="I32" s="194"/>
      <c r="J32" s="195"/>
      <c r="K32" s="194"/>
      <c r="L32" s="195"/>
      <c r="M32" s="194"/>
      <c r="N32" s="194"/>
      <c r="O32" s="194"/>
      <c r="P32" s="194"/>
      <c r="Q32" s="194"/>
      <c r="R32" s="194"/>
    </row>
    <row customHeight="1" ht="14.25">
      <c r="A33" s="195">
        <v>6802</v>
      </c>
      <c r="B33" s="194">
        <v>2.959194</v>
      </c>
      <c r="C33" s="194"/>
      <c r="D33" s="194"/>
      <c r="E33" s="194"/>
      <c r="F33" s="194"/>
      <c r="G33" s="194"/>
      <c r="H33" s="194"/>
      <c r="I33" s="194"/>
      <c r="J33" s="195"/>
      <c r="K33" s="194"/>
      <c r="L33" s="195"/>
      <c r="M33" s="194"/>
      <c r="N33" s="194"/>
      <c r="O33" s="194"/>
      <c r="P33" s="194"/>
      <c r="Q33" s="194"/>
      <c r="R33" s="194"/>
    </row>
    <row customHeight="1" ht="14.25">
      <c r="A34" s="195">
        <v>6803</v>
      </c>
      <c r="B34" s="194">
        <v>15.08297</v>
      </c>
      <c r="C34" s="194"/>
      <c r="D34" s="194"/>
      <c r="E34" s="194"/>
      <c r="F34" s="194"/>
      <c r="G34" s="194"/>
      <c r="H34" s="194"/>
      <c r="I34" s="194"/>
      <c r="J34" s="195"/>
      <c r="K34" s="194"/>
      <c r="L34" s="195"/>
      <c r="M34" s="194"/>
      <c r="N34" s="194"/>
      <c r="O34" s="194"/>
      <c r="P34" s="194"/>
      <c r="Q34" s="194"/>
      <c r="R34" s="194"/>
    </row>
    <row customHeight="1" ht="14.25">
      <c r="A35" s="195">
        <v>6804</v>
      </c>
      <c r="B35" s="194">
        <v>11.9147</v>
      </c>
      <c r="C35" s="194"/>
      <c r="D35" s="194"/>
      <c r="E35" s="194"/>
      <c r="F35" s="194"/>
      <c r="G35" s="194"/>
      <c r="H35" s="194"/>
      <c r="I35" s="194"/>
      <c r="J35" s="195"/>
      <c r="K35" s="194"/>
      <c r="L35" s="195"/>
      <c r="M35" s="194"/>
      <c r="N35" s="194"/>
      <c r="O35" s="194"/>
      <c r="P35" s="194"/>
      <c r="Q35" s="194"/>
      <c r="R35" s="194"/>
    </row>
    <row customHeight="1" ht="14.25">
      <c r="A36" s="195"/>
      <c r="B36" s="194"/>
      <c r="C36" s="194"/>
      <c r="D36" s="194"/>
      <c r="E36" s="194"/>
      <c r="F36" s="194"/>
      <c r="G36" s="194"/>
      <c r="H36" s="194"/>
      <c r="I36" s="194"/>
      <c r="J36" s="195"/>
      <c r="K36" s="194"/>
      <c r="L36" s="195"/>
      <c r="M36" s="194"/>
      <c r="N36" s="194"/>
      <c r="O36" s="194"/>
      <c r="P36" s="194"/>
      <c r="Q36" s="194"/>
      <c r="R36" s="194"/>
    </row>
    <row customHeight="1" ht="14.25">
      <c r="A37" s="195">
        <v>9527</v>
      </c>
      <c r="B37" s="194">
        <v>7.330278</v>
      </c>
      <c r="C37" s="194"/>
      <c r="D37" s="194"/>
      <c r="E37" s="194"/>
      <c r="F37" s="194"/>
      <c r="G37" s="194"/>
      <c r="H37" s="194"/>
      <c r="I37" s="194"/>
      <c r="J37" s="195"/>
      <c r="K37" s="194"/>
      <c r="L37" s="195"/>
      <c r="M37" s="194"/>
      <c r="N37" s="194" t="s">
        <v>89</v>
      </c>
      <c r="O37" s="194"/>
      <c r="P37" s="194"/>
      <c r="Q37" s="194"/>
      <c r="R37" s="194"/>
    </row>
    <row customHeight="1" ht="14.25">
      <c r="A38" s="195">
        <v>9528</v>
      </c>
      <c r="B38" s="194">
        <v>5.947126</v>
      </c>
      <c r="C38" s="194"/>
      <c r="D38" s="194"/>
      <c r="E38" s="194"/>
      <c r="F38" s="194"/>
      <c r="G38" s="194"/>
      <c r="H38" s="194"/>
      <c r="I38" s="194"/>
      <c r="J38" s="195"/>
      <c r="K38" s="194"/>
      <c r="L38" s="195"/>
      <c r="M38" s="194"/>
      <c r="N38" s="194"/>
      <c r="O38" s="194"/>
      <c r="P38" s="194"/>
      <c r="Q38" s="194"/>
      <c r="R38" s="194"/>
    </row>
    <row customHeight="1" ht="14.25">
      <c r="A39" s="195"/>
      <c r="B39" s="194"/>
      <c r="C39" s="194"/>
      <c r="D39" s="194"/>
      <c r="E39" s="194"/>
      <c r="F39" s="194"/>
      <c r="G39" s="194"/>
      <c r="H39" s="194"/>
      <c r="I39" s="194"/>
      <c r="J39" s="195"/>
      <c r="K39" s="194"/>
      <c r="L39" s="195"/>
      <c r="M39" s="194"/>
      <c r="N39" s="194"/>
      <c r="O39" s="194"/>
      <c r="P39" s="194"/>
      <c r="Q39" s="194"/>
      <c r="R39" s="194"/>
    </row>
    <row customHeight="1" ht="14.25">
      <c r="A40" s="195">
        <v>9511</v>
      </c>
      <c r="B40" s="194">
        <v>10.02477</v>
      </c>
      <c r="C40" s="194"/>
      <c r="D40" s="194"/>
      <c r="E40" s="194"/>
      <c r="F40" s="194"/>
      <c r="G40" s="194"/>
      <c r="H40" s="194"/>
      <c r="I40" s="194"/>
      <c r="J40" s="195"/>
      <c r="K40" s="194"/>
      <c r="L40" s="195"/>
      <c r="M40" s="194"/>
      <c r="N40" s="194"/>
      <c r="O40" s="194"/>
      <c r="P40" s="194"/>
      <c r="Q40" s="194"/>
      <c r="R40" s="194"/>
    </row>
    <row customHeight="1" ht="14.25">
      <c r="A41" s="195">
        <v>9514</v>
      </c>
      <c r="B41" s="194">
        <v>12.29096</v>
      </c>
      <c r="C41" s="194"/>
      <c r="D41" s="194"/>
      <c r="E41" s="194"/>
      <c r="F41" s="194"/>
      <c r="G41" s="194"/>
      <c r="H41" s="194"/>
      <c r="I41" s="194"/>
      <c r="J41" s="195"/>
      <c r="K41" s="194"/>
      <c r="L41" s="195"/>
      <c r="M41" s="194"/>
      <c r="N41" s="194"/>
      <c r="O41" s="194"/>
      <c r="P41" s="194"/>
      <c r="Q41" s="194"/>
      <c r="R41" s="194"/>
    </row>
    <row customHeight="1" ht="14.25">
      <c r="A42" s="195">
        <v>9516</v>
      </c>
      <c r="B42" s="194">
        <v>8.457937</v>
      </c>
      <c r="C42" s="194"/>
      <c r="D42" s="194"/>
      <c r="E42" s="194"/>
      <c r="F42" s="194"/>
      <c r="G42" s="194"/>
      <c r="H42" s="194"/>
      <c r="I42" s="194"/>
      <c r="J42" s="195"/>
      <c r="K42" s="194"/>
      <c r="L42" s="195"/>
      <c r="M42" s="194"/>
      <c r="N42" s="194"/>
      <c r="O42" s="194"/>
      <c r="P42" s="194"/>
      <c r="Q42" s="194"/>
      <c r="R42" s="194"/>
    </row>
    <row s="197" customFormat="1" customHeight="1" ht="14.25">
      <c r="A43" s="195"/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</row>
    <row customHeight="1" ht="14.25">
      <c r="A44" s="195"/>
      <c r="B44" s="194"/>
      <c r="C44" s="194"/>
      <c r="D44" s="194"/>
      <c r="E44" s="194"/>
      <c r="F44" s="194"/>
      <c r="G44" s="194"/>
      <c r="H44" s="194"/>
      <c r="I44" s="194"/>
      <c r="J44" s="195"/>
      <c r="K44" s="194"/>
      <c r="L44" s="195"/>
      <c r="M44" s="194"/>
      <c r="N44" s="194"/>
      <c r="O44" s="194"/>
      <c r="P44" s="194"/>
      <c r="Q44" s="194"/>
      <c r="R44" s="194"/>
    </row>
    <row customHeight="1" ht="14.25">
      <c r="A45" s="195">
        <v>801</v>
      </c>
      <c r="B45" s="194">
        <v>13.09319</v>
      </c>
      <c r="C45" s="194"/>
      <c r="D45" s="194"/>
      <c r="E45" s="194"/>
      <c r="F45" s="194"/>
      <c r="G45" s="194"/>
      <c r="H45" s="194"/>
      <c r="I45" s="194"/>
      <c r="J45" s="195"/>
      <c r="K45" s="194"/>
      <c r="L45" s="195"/>
      <c r="M45" s="194"/>
      <c r="N45" s="194"/>
      <c r="O45" s="194"/>
      <c r="P45" s="194"/>
      <c r="Q45" s="194"/>
      <c r="R45" s="194"/>
    </row>
    <row customHeight="1" ht="14.25">
      <c r="A46" s="195">
        <v>802</v>
      </c>
      <c r="B46" s="194">
        <v>13.091</v>
      </c>
      <c r="C46" s="194"/>
      <c r="D46" s="194"/>
      <c r="E46" s="194"/>
      <c r="F46" s="194"/>
      <c r="G46" s="194"/>
      <c r="H46" s="194"/>
      <c r="I46" s="194"/>
      <c r="J46" s="195"/>
      <c r="K46" s="194"/>
      <c r="L46" s="195"/>
      <c r="M46" s="194"/>
      <c r="N46" s="194"/>
      <c r="O46" s="194"/>
      <c r="P46" s="194"/>
      <c r="Q46" s="194"/>
      <c r="R46" s="194"/>
    </row>
    <row customHeight="1" ht="14.25">
      <c r="A47" s="195">
        <v>803</v>
      </c>
      <c r="B47" s="194">
        <v>9.645005</v>
      </c>
      <c r="C47" s="194"/>
      <c r="D47" s="194"/>
      <c r="E47" s="194"/>
      <c r="F47" s="194"/>
      <c r="G47" s="194"/>
      <c r="H47" s="194"/>
      <c r="I47" s="194"/>
      <c r="J47" s="195"/>
      <c r="K47" s="194"/>
      <c r="L47" s="195"/>
      <c r="M47" s="194"/>
      <c r="N47" s="194"/>
      <c r="O47" s="194"/>
      <c r="P47" s="194"/>
      <c r="Q47" s="194"/>
      <c r="R47" s="194"/>
    </row>
    <row customHeight="1" ht="14.25">
      <c r="A48" s="195">
        <v>804</v>
      </c>
      <c r="B48" s="194">
        <v>9.155269</v>
      </c>
      <c r="C48" s="194"/>
      <c r="D48" s="194"/>
      <c r="E48" s="194"/>
      <c r="F48" s="194"/>
      <c r="G48" s="194"/>
      <c r="H48" s="194"/>
      <c r="I48" s="194"/>
      <c r="J48" s="195"/>
      <c r="K48" s="194"/>
      <c r="L48" s="195"/>
      <c r="M48" s="194"/>
      <c r="N48" s="194"/>
      <c r="O48" s="194"/>
      <c r="P48" s="194"/>
      <c r="Q48" s="194"/>
      <c r="R48" s="194"/>
    </row>
    <row customHeight="1" ht="14.25">
      <c r="A49" s="195">
        <v>810</v>
      </c>
      <c r="B49" s="194">
        <v>2.611139</v>
      </c>
      <c r="C49" s="194"/>
      <c r="D49" s="194"/>
      <c r="E49" s="194"/>
      <c r="F49" s="194"/>
      <c r="G49" s="194"/>
      <c r="H49" s="194"/>
      <c r="I49" s="194"/>
      <c r="J49" s="195"/>
      <c r="K49" s="194"/>
      <c r="L49" s="195"/>
      <c r="M49" s="194"/>
      <c r="N49" s="194"/>
      <c r="O49" s="194"/>
      <c r="P49" s="194"/>
      <c r="Q49" s="194"/>
      <c r="R49" s="194"/>
    </row>
    <row customHeight="1" ht="14.25">
      <c r="A50" s="195">
        <v>811</v>
      </c>
      <c r="B50" s="194">
        <v>3.416842</v>
      </c>
      <c r="C50" s="194"/>
      <c r="D50" s="194"/>
      <c r="E50" s="194"/>
      <c r="F50" s="194"/>
      <c r="G50" s="194"/>
      <c r="H50" s="194"/>
      <c r="I50" s="194"/>
      <c r="J50" s="195"/>
      <c r="K50" s="194"/>
      <c r="L50" s="195"/>
      <c r="M50" s="194"/>
      <c r="N50" s="194"/>
      <c r="O50" s="194"/>
      <c r="P50" s="194"/>
      <c r="Q50" s="194"/>
      <c r="R50" s="194"/>
    </row>
    <row customHeight="1" ht="14.25">
      <c r="A51" s="195">
        <v>812</v>
      </c>
      <c r="B51" s="194">
        <v>2.679999</v>
      </c>
      <c r="C51" s="194"/>
      <c r="D51" s="194"/>
      <c r="E51" s="194"/>
      <c r="F51" s="194"/>
      <c r="G51" s="194"/>
      <c r="H51" s="194"/>
      <c r="I51" s="194"/>
      <c r="J51" s="195"/>
      <c r="K51" s="194"/>
      <c r="L51" s="195"/>
      <c r="M51" s="194"/>
      <c r="N51" s="194"/>
      <c r="O51" s="194"/>
      <c r="P51" s="194"/>
      <c r="Q51" s="194"/>
      <c r="R51" s="194"/>
    </row>
    <row customHeight="1" ht="14.25">
      <c r="A52" s="195">
        <v>813</v>
      </c>
      <c r="B52" s="194">
        <v>10.88624</v>
      </c>
      <c r="C52" s="194"/>
      <c r="D52" s="194"/>
      <c r="E52" s="194"/>
      <c r="F52" s="194"/>
      <c r="G52" s="194"/>
      <c r="H52" s="194"/>
      <c r="I52" s="194"/>
      <c r="J52" s="195"/>
      <c r="K52" s="194"/>
      <c r="L52" s="195"/>
      <c r="M52" s="194"/>
      <c r="N52" s="194"/>
      <c r="O52" s="194"/>
      <c r="P52" s="194"/>
      <c r="Q52" s="194"/>
      <c r="R52" s="194"/>
    </row>
    <row customHeight="1" ht="14.25">
      <c r="A53" s="195">
        <v>818</v>
      </c>
      <c r="B53" s="194">
        <v>12.11238</v>
      </c>
      <c r="C53" s="194"/>
      <c r="D53" s="194"/>
      <c r="E53" s="194"/>
      <c r="F53" s="194"/>
      <c r="G53" s="194"/>
      <c r="H53" s="194"/>
      <c r="I53" s="194"/>
      <c r="J53" s="195"/>
      <c r="K53" s="194"/>
      <c r="L53" s="195"/>
      <c r="M53" s="194"/>
      <c r="N53" s="194"/>
      <c r="O53" s="194"/>
      <c r="P53" s="194"/>
      <c r="Q53" s="194"/>
      <c r="R53" s="194"/>
    </row>
    <row customHeight="1" ht="14.25">
      <c r="A54" s="195">
        <v>819</v>
      </c>
      <c r="B54" s="194">
        <v>12.14299</v>
      </c>
      <c r="C54" s="194"/>
      <c r="D54" s="194"/>
      <c r="E54" s="194"/>
      <c r="F54" s="194"/>
      <c r="G54" s="194"/>
      <c r="H54" s="194"/>
      <c r="I54" s="194"/>
      <c r="J54" s="195"/>
      <c r="K54" s="194"/>
      <c r="L54" s="195"/>
      <c r="M54" s="194"/>
      <c r="N54" s="194"/>
      <c r="O54" s="194"/>
      <c r="P54" s="194"/>
      <c r="Q54" s="194"/>
      <c r="R54" s="194"/>
    </row>
    <row customHeight="1" ht="14.25">
      <c r="A55" s="195">
        <v>26103</v>
      </c>
      <c r="B55" s="194">
        <v>5.879032</v>
      </c>
      <c r="C55" s="194"/>
      <c r="D55" s="194"/>
      <c r="E55" s="194"/>
      <c r="F55" s="194"/>
      <c r="G55" s="194"/>
      <c r="H55" s="194"/>
      <c r="I55" s="194"/>
      <c r="J55" s="195"/>
      <c r="K55" s="194"/>
      <c r="L55" s="195"/>
      <c r="M55" s="194"/>
      <c r="N55" s="194"/>
      <c r="O55" s="194"/>
      <c r="P55" s="194"/>
      <c r="Q55" s="194"/>
      <c r="R55" s="194"/>
    </row>
    <row customHeight="1" ht="14.25">
      <c r="A56" s="195">
        <v>26104</v>
      </c>
      <c r="B56" s="194">
        <v>7.049914</v>
      </c>
      <c r="C56" s="194"/>
      <c r="D56" s="194"/>
      <c r="E56" s="194"/>
      <c r="F56" s="194"/>
      <c r="G56" s="194"/>
      <c r="H56" s="194"/>
      <c r="I56" s="194"/>
      <c r="J56" s="195"/>
      <c r="K56" s="194"/>
      <c r="L56" s="195"/>
      <c r="M56" s="194"/>
      <c r="N56" s="194"/>
      <c r="O56" s="194"/>
      <c r="P56" s="194"/>
      <c r="Q56" s="194"/>
      <c r="R56" s="194"/>
    </row>
    <row customHeight="1" ht="14.25">
      <c r="A57" s="195"/>
      <c r="B57" s="194"/>
      <c r="C57" s="194"/>
      <c r="D57" s="194"/>
      <c r="E57" s="194"/>
      <c r="F57" s="194"/>
      <c r="G57" s="194"/>
      <c r="H57" s="194"/>
      <c r="I57" s="194"/>
      <c r="J57" s="195"/>
      <c r="K57" s="194"/>
      <c r="L57" s="195"/>
      <c r="M57" s="194"/>
      <c r="N57" s="194"/>
      <c r="O57" s="194"/>
      <c r="P57" s="194"/>
      <c r="Q57" s="194"/>
      <c r="R57" s="194"/>
    </row>
    <row customHeight="1" ht="14.25">
      <c r="A58" s="195">
        <v>9513</v>
      </c>
      <c r="B58" s="194">
        <v>7.61674</v>
      </c>
      <c r="C58" s="194"/>
      <c r="D58" s="194"/>
      <c r="E58" s="194"/>
      <c r="F58" s="194"/>
      <c r="G58" s="194"/>
      <c r="H58" s="194"/>
      <c r="I58" s="194"/>
      <c r="J58" s="195"/>
      <c r="K58" s="194"/>
      <c r="L58" s="195"/>
      <c r="M58" s="194"/>
      <c r="N58" s="194"/>
      <c r="O58" s="194"/>
      <c r="P58" s="194"/>
      <c r="Q58" s="194"/>
      <c r="R58" s="194"/>
    </row>
    <row customHeight="1" ht="14.25">
      <c r="A59" s="195"/>
      <c r="B59" s="194"/>
      <c r="C59" s="194"/>
      <c r="D59" s="194"/>
      <c r="E59" s="194"/>
      <c r="F59" s="194"/>
      <c r="G59" s="194"/>
      <c r="H59" s="194"/>
      <c r="I59" s="194"/>
      <c r="J59" s="195"/>
      <c r="K59" s="194"/>
      <c r="L59" s="195"/>
      <c r="M59" s="194"/>
      <c r="N59" s="194"/>
      <c r="O59" s="194"/>
      <c r="P59" s="194"/>
      <c r="Q59" s="194"/>
      <c r="R59" s="194"/>
    </row>
    <row customHeight="1" ht="14.25">
      <c r="A60" s="195">
        <v>24903</v>
      </c>
      <c r="B60" s="194">
        <v>3.160397</v>
      </c>
      <c r="C60" s="194"/>
      <c r="D60" s="194"/>
      <c r="E60" s="194"/>
      <c r="F60" s="194"/>
      <c r="G60" s="194"/>
      <c r="H60" s="194"/>
      <c r="I60" s="194"/>
      <c r="J60" s="195"/>
      <c r="K60" s="194"/>
      <c r="L60" s="195"/>
      <c r="M60" s="194"/>
      <c r="N60" s="194"/>
      <c r="O60" s="194"/>
      <c r="P60" s="194"/>
      <c r="Q60" s="194"/>
      <c r="R60" s="194"/>
    </row>
    <row customHeight="1" ht="14.25">
      <c r="A61" s="195">
        <v>24904</v>
      </c>
      <c r="B61" s="194">
        <v>4.908128</v>
      </c>
      <c r="C61" s="194"/>
      <c r="D61" s="194"/>
      <c r="E61" s="194"/>
      <c r="F61" s="194"/>
      <c r="G61" s="194"/>
      <c r="H61" s="194"/>
      <c r="I61" s="194"/>
      <c r="J61" s="195"/>
      <c r="K61" s="194"/>
      <c r="L61" s="195"/>
      <c r="M61" s="194"/>
      <c r="N61" s="194"/>
      <c r="O61" s="194"/>
      <c r="P61" s="194"/>
      <c r="Q61" s="194"/>
      <c r="R61" s="194"/>
    </row>
    <row customHeight="1" ht="14.25">
      <c r="A62" s="195">
        <v>24905</v>
      </c>
      <c r="B62" s="194">
        <v>3.311727</v>
      </c>
      <c r="C62" s="194"/>
      <c r="D62" s="194"/>
      <c r="E62" s="194"/>
      <c r="F62" s="194"/>
      <c r="G62" s="194"/>
      <c r="H62" s="194"/>
      <c r="I62" s="194"/>
      <c r="J62" s="195"/>
      <c r="K62" s="194"/>
      <c r="L62" s="195"/>
      <c r="M62" s="194"/>
      <c r="N62" s="194"/>
      <c r="O62" s="194"/>
      <c r="P62" s="194"/>
      <c r="Q62" s="194"/>
      <c r="R62" s="194"/>
    </row>
    <row customHeight="1" ht="14.25">
      <c r="A63" s="195">
        <v>9512</v>
      </c>
      <c r="B63" s="194">
        <v>9.923367</v>
      </c>
      <c r="C63" s="194"/>
      <c r="D63" s="194"/>
      <c r="E63" s="194"/>
      <c r="F63" s="194"/>
      <c r="G63" s="194"/>
      <c r="H63" s="194"/>
      <c r="I63" s="194"/>
      <c r="J63" s="195"/>
      <c r="K63" s="194"/>
      <c r="L63" s="195"/>
      <c r="M63" s="194"/>
      <c r="N63" s="194"/>
      <c r="O63" s="194"/>
      <c r="P63" s="194"/>
      <c r="Q63" s="194"/>
      <c r="R63" s="194"/>
    </row>
    <row customHeight="1" ht="14.25">
      <c r="A64" s="195"/>
      <c r="B64" s="194"/>
      <c r="C64" s="194"/>
      <c r="D64" s="194"/>
      <c r="E64" s="194"/>
      <c r="F64" s="194"/>
      <c r="G64" s="194"/>
      <c r="H64" s="194"/>
      <c r="I64" s="194"/>
      <c r="J64" s="195"/>
      <c r="K64" s="194"/>
      <c r="L64" s="195"/>
      <c r="M64" s="194"/>
      <c r="N64" s="194"/>
      <c r="O64" s="194"/>
      <c r="P64" s="194"/>
      <c r="Q64" s="194"/>
      <c r="R64" s="194"/>
    </row>
    <row customHeight="1" ht="14.25">
      <c r="A65" s="195">
        <v>9525</v>
      </c>
      <c r="B65" s="194">
        <v>12.26894</v>
      </c>
      <c r="C65" s="194"/>
      <c r="D65" s="194"/>
      <c r="E65" s="194"/>
      <c r="F65" s="194"/>
      <c r="G65" s="194"/>
      <c r="H65" s="194"/>
      <c r="I65" s="194"/>
      <c r="J65" s="195"/>
      <c r="K65" s="194"/>
      <c r="L65" s="195"/>
      <c r="M65" s="194"/>
      <c r="N65" s="194"/>
      <c r="O65" s="194"/>
      <c r="P65" s="194"/>
      <c r="Q65" s="194"/>
      <c r="R65" s="194"/>
    </row>
    <row customHeight="1" ht="14.25">
      <c r="A66" s="195">
        <v>9526</v>
      </c>
      <c r="B66" s="194">
        <v>3.373777</v>
      </c>
      <c r="C66" s="194"/>
      <c r="D66" s="194"/>
      <c r="E66" s="194"/>
      <c r="F66" s="194"/>
      <c r="G66" s="194"/>
      <c r="H66" s="194"/>
      <c r="I66" s="194"/>
      <c r="J66" s="195"/>
      <c r="K66" s="194"/>
      <c r="L66" s="195"/>
      <c r="M66" s="194"/>
      <c r="N66" s="194"/>
      <c r="O66" s="194"/>
      <c r="P66" s="194"/>
      <c r="Q66" s="194"/>
      <c r="R66" s="194"/>
    </row>
    <row customHeight="1" ht="14.25">
      <c r="A67" s="195"/>
      <c r="B67" s="194"/>
      <c r="C67" s="194"/>
      <c r="D67" s="194"/>
      <c r="E67" s="194"/>
      <c r="F67" s="194"/>
      <c r="G67" s="194"/>
      <c r="H67" s="194"/>
      <c r="I67" s="194"/>
      <c r="J67" s="195"/>
      <c r="K67" s="194"/>
      <c r="L67" s="195"/>
      <c r="M67" s="194"/>
      <c r="N67" s="194"/>
      <c r="O67" s="194"/>
      <c r="P67" s="194"/>
      <c r="Q67" s="194"/>
      <c r="R67" s="194"/>
    </row>
    <row customHeight="1" ht="14.25">
      <c r="A68" s="195">
        <v>26105</v>
      </c>
      <c r="B68" s="194">
        <v>14.27581</v>
      </c>
      <c r="C68" s="194"/>
      <c r="D68" s="194"/>
      <c r="E68" s="194"/>
      <c r="F68" s="194"/>
      <c r="G68" s="194"/>
      <c r="H68" s="194"/>
      <c r="I68" s="194"/>
      <c r="J68" s="195"/>
      <c r="K68" s="194"/>
      <c r="L68" s="195"/>
      <c r="M68" s="194"/>
      <c r="N68" s="194"/>
      <c r="O68" s="194"/>
      <c r="P68" s="194"/>
      <c r="Q68" s="194"/>
      <c r="R68" s="194"/>
    </row>
    <row customHeight="1" ht="14.25">
      <c r="A69" s="195">
        <v>26106</v>
      </c>
      <c r="B69" s="194">
        <v>14.78178</v>
      </c>
      <c r="C69" s="194"/>
      <c r="D69" s="194"/>
      <c r="E69" s="194"/>
      <c r="F69" s="194"/>
      <c r="G69" s="194"/>
      <c r="H69" s="194"/>
      <c r="I69" s="194"/>
      <c r="J69" s="195"/>
      <c r="K69" s="194"/>
      <c r="L69" s="195"/>
      <c r="M69" s="194"/>
      <c r="N69" s="194"/>
      <c r="O69" s="194"/>
      <c r="P69" s="194"/>
      <c r="Q69" s="194"/>
      <c r="R69" s="194"/>
    </row>
    <row customHeight="1" ht="14.25">
      <c r="A70" s="195">
        <v>26107</v>
      </c>
      <c r="B70" s="194">
        <v>13.78174</v>
      </c>
      <c r="C70" s="194"/>
      <c r="D70" s="194"/>
      <c r="E70" s="194"/>
      <c r="F70" s="194"/>
      <c r="G70" s="194"/>
      <c r="H70" s="194"/>
      <c r="I70" s="194"/>
      <c r="J70" s="195"/>
      <c r="K70" s="194"/>
      <c r="L70" s="195"/>
      <c r="M70" s="194"/>
      <c r="N70" s="194"/>
      <c r="O70" s="194"/>
      <c r="P70" s="194"/>
      <c r="Q70" s="194"/>
      <c r="R70" s="194"/>
    </row>
    <row customHeight="1" ht="14.25">
      <c r="A71" s="195"/>
      <c r="B71" s="194"/>
      <c r="C71" s="194"/>
      <c r="D71" s="194"/>
      <c r="E71" s="194"/>
      <c r="F71" s="194"/>
      <c r="G71" s="194"/>
      <c r="H71" s="194"/>
      <c r="I71" s="194"/>
      <c r="J71" s="195"/>
      <c r="K71" s="194"/>
      <c r="L71" s="195"/>
      <c r="M71" s="194"/>
      <c r="N71" s="194"/>
      <c r="O71" s="194"/>
      <c r="P71" s="194"/>
      <c r="Q71" s="194"/>
      <c r="R71" s="194"/>
    </row>
    <row customHeight="1" ht="14.25">
      <c r="A72" s="195">
        <v>9515</v>
      </c>
      <c r="B72" s="194">
        <v>3.297121</v>
      </c>
      <c r="C72" s="194"/>
      <c r="D72" s="194"/>
      <c r="E72" s="194"/>
      <c r="F72" s="194"/>
      <c r="G72" s="194"/>
      <c r="H72" s="194"/>
      <c r="I72" s="194"/>
      <c r="J72" s="195"/>
      <c r="K72" s="194"/>
      <c r="L72" s="195"/>
      <c r="M72" s="194"/>
      <c r="N72" s="194"/>
      <c r="O72" s="194"/>
      <c r="P72" s="194"/>
      <c r="Q72" s="194"/>
      <c r="R72" s="194"/>
    </row>
    <row customHeight="1" ht="14.25">
      <c r="A73" s="195">
        <v>9529</v>
      </c>
      <c r="B73" s="194">
        <v>12.22054</v>
      </c>
      <c r="C73" s="194"/>
      <c r="D73" s="194"/>
      <c r="E73" s="194"/>
      <c r="F73" s="194"/>
      <c r="G73" s="194"/>
      <c r="H73" s="194"/>
      <c r="I73" s="194"/>
      <c r="J73" s="195"/>
      <c r="K73" s="194"/>
      <c r="L73" s="195"/>
      <c r="M73" s="194"/>
      <c r="N73" s="194"/>
      <c r="O73" s="194"/>
      <c r="P73" s="194"/>
      <c r="Q73" s="194"/>
      <c r="R73" s="194"/>
    </row>
    <row customHeight="1" ht="14.25">
      <c r="A74" s="195">
        <v>9530</v>
      </c>
      <c r="B74" s="194">
        <v>11.83992</v>
      </c>
      <c r="C74" s="194"/>
      <c r="D74" s="194"/>
      <c r="E74" s="194"/>
      <c r="F74" s="194"/>
      <c r="G74" s="194"/>
      <c r="H74" s="194"/>
      <c r="I74" s="194"/>
      <c r="J74" s="195"/>
      <c r="K74" s="194"/>
      <c r="L74" s="195"/>
      <c r="M74" s="194"/>
      <c r="N74" s="194"/>
      <c r="O74" s="194"/>
      <c r="P74" s="194"/>
      <c r="Q74" s="194"/>
      <c r="R74" s="194"/>
    </row>
    <row customHeight="1" ht="14.25">
      <c r="A75" s="195"/>
      <c r="B75" s="194"/>
      <c r="C75" s="194"/>
      <c r="D75" s="194"/>
      <c r="E75" s="194"/>
      <c r="F75" s="194"/>
      <c r="G75" s="194"/>
      <c r="H75" s="194"/>
      <c r="I75" s="194"/>
      <c r="J75" s="195"/>
      <c r="K75" s="194"/>
      <c r="L75" s="195"/>
      <c r="M75" s="194"/>
      <c r="N75" s="194"/>
      <c r="O75" s="194"/>
      <c r="P75" s="194"/>
      <c r="Q75" s="194"/>
      <c r="R75" s="194"/>
    </row>
    <row customHeight="1" ht="14.25">
      <c r="A76" s="195">
        <v>2101</v>
      </c>
      <c r="B76" s="194">
        <v>9.286194</v>
      </c>
      <c r="C76" s="194"/>
      <c r="D76" s="194"/>
      <c r="E76" s="194"/>
      <c r="F76" s="194"/>
      <c r="G76" s="194"/>
      <c r="H76" s="194"/>
      <c r="I76" s="194"/>
      <c r="J76" s="195"/>
      <c r="K76" s="194"/>
      <c r="L76" s="195"/>
      <c r="M76" s="194"/>
      <c r="N76" s="194"/>
      <c r="O76" s="194"/>
      <c r="P76" s="194"/>
      <c r="Q76" s="194"/>
      <c r="R76" s="194"/>
    </row>
    <row customHeight="1" ht="14.25">
      <c r="A77" s="195">
        <v>2102</v>
      </c>
      <c r="B77" s="194">
        <v>7.47998</v>
      </c>
      <c r="C77" s="194"/>
      <c r="D77" s="194"/>
      <c r="E77" s="194"/>
      <c r="F77" s="194"/>
      <c r="G77" s="194"/>
      <c r="H77" s="194"/>
      <c r="I77" s="194"/>
      <c r="J77" s="195"/>
      <c r="K77" s="194"/>
      <c r="L77" s="195"/>
      <c r="M77" s="194"/>
      <c r="N77" s="194"/>
      <c r="O77" s="194"/>
      <c r="P77" s="194"/>
      <c r="Q77" s="194"/>
      <c r="R77" s="194"/>
    </row>
    <row customHeight="1" ht="14.25">
      <c r="A78" s="195">
        <v>2103</v>
      </c>
      <c r="B78" s="194">
        <v>4.821888</v>
      </c>
      <c r="C78" s="194"/>
      <c r="D78" s="194"/>
      <c r="E78" s="194"/>
      <c r="F78" s="194"/>
      <c r="G78" s="194"/>
      <c r="H78" s="194"/>
      <c r="I78" s="194"/>
      <c r="J78" s="195"/>
      <c r="K78" s="194"/>
      <c r="L78" s="195"/>
      <c r="M78" s="194"/>
      <c r="N78" s="194"/>
      <c r="O78" s="194"/>
      <c r="P78" s="194"/>
      <c r="Q78" s="194"/>
      <c r="R78" s="194"/>
    </row>
    <row customHeight="1" ht="14.25">
      <c r="A79" s="195">
        <v>2104</v>
      </c>
      <c r="B79" s="194">
        <v>3.699887</v>
      </c>
      <c r="C79" s="194"/>
      <c r="D79" s="194"/>
      <c r="E79" s="194"/>
      <c r="F79" s="194"/>
      <c r="G79" s="194"/>
      <c r="H79" s="194"/>
      <c r="I79" s="194"/>
      <c r="J79" s="195"/>
      <c r="K79" s="194"/>
      <c r="L79" s="195"/>
      <c r="M79" s="194"/>
      <c r="N79" s="194"/>
      <c r="O79" s="194"/>
      <c r="P79" s="194"/>
      <c r="Q79" s="194"/>
      <c r="R79" s="194"/>
    </row>
    <row customHeight="1" ht="14.25">
      <c r="A80" s="195"/>
      <c r="B80" s="194"/>
      <c r="C80" s="194"/>
      <c r="D80" s="194"/>
      <c r="E80" s="194"/>
      <c r="F80" s="194"/>
      <c r="G80" s="194"/>
      <c r="H80" s="194"/>
      <c r="I80" s="194"/>
      <c r="J80" s="195"/>
      <c r="K80" s="194"/>
      <c r="L80" s="195"/>
      <c r="M80" s="194"/>
      <c r="N80" s="194"/>
      <c r="O80" s="194"/>
      <c r="P80" s="194"/>
      <c r="Q80" s="194"/>
      <c r="R80" s="194"/>
    </row>
    <row customHeight="1" ht="14.25">
      <c r="A81" s="195">
        <v>806</v>
      </c>
      <c r="B81" s="194">
        <v>5.078434</v>
      </c>
      <c r="C81" s="194"/>
      <c r="D81" s="194"/>
      <c r="E81" s="194"/>
      <c r="F81" s="194"/>
      <c r="G81" s="194"/>
      <c r="H81" s="194"/>
      <c r="I81" s="194"/>
      <c r="J81" s="195"/>
      <c r="K81" s="194"/>
      <c r="L81" s="195"/>
      <c r="M81" s="194"/>
      <c r="N81" s="194"/>
      <c r="O81" s="194"/>
      <c r="P81" s="194"/>
      <c r="Q81" s="194"/>
      <c r="R81" s="194"/>
    </row>
    <row customHeight="1" ht="14.25">
      <c r="A82" s="195">
        <v>807</v>
      </c>
      <c r="B82" s="194">
        <v>10.79557</v>
      </c>
      <c r="C82" s="194"/>
      <c r="D82" s="194"/>
      <c r="E82" s="194"/>
      <c r="F82" s="194"/>
      <c r="G82" s="194"/>
      <c r="H82" s="194"/>
      <c r="I82" s="194"/>
      <c r="J82" s="195"/>
      <c r="K82" s="194"/>
      <c r="L82" s="195"/>
      <c r="M82" s="194"/>
      <c r="N82" s="194"/>
      <c r="O82" s="194"/>
      <c r="P82" s="194"/>
      <c r="Q82" s="194"/>
      <c r="R82" s="194"/>
    </row>
    <row customHeight="1" ht="14.25">
      <c r="A83" s="195">
        <v>808</v>
      </c>
      <c r="B83" s="194">
        <v>0</v>
      </c>
      <c r="C83" s="194"/>
      <c r="D83" s="194"/>
      <c r="E83" s="194"/>
      <c r="F83" s="194"/>
      <c r="G83" s="194"/>
      <c r="H83" s="194"/>
      <c r="I83" s="194"/>
      <c r="J83" s="195"/>
      <c r="K83" s="194"/>
      <c r="L83" s="195"/>
      <c r="M83" s="194"/>
      <c r="N83" s="194"/>
      <c r="O83" s="194"/>
      <c r="P83" s="194"/>
      <c r="Q83" s="194"/>
      <c r="R83" s="194"/>
    </row>
    <row customHeight="1" ht="14.25">
      <c r="A84" s="195">
        <v>809</v>
      </c>
      <c r="B84" s="194">
        <v>0</v>
      </c>
      <c r="C84" s="194"/>
      <c r="D84" s="194"/>
      <c r="E84" s="194"/>
      <c r="F84" s="194"/>
      <c r="G84" s="194"/>
      <c r="H84" s="194"/>
      <c r="I84" s="194"/>
      <c r="J84" s="195"/>
      <c r="K84" s="194"/>
      <c r="L84" s="195"/>
      <c r="M84" s="194"/>
      <c r="N84" s="194"/>
      <c r="O84" s="194"/>
      <c r="P84" s="194"/>
      <c r="Q84" s="194"/>
      <c r="R84" s="194"/>
    </row>
    <row customHeight="1" ht="14.25">
      <c r="A85" s="195">
        <v>821</v>
      </c>
      <c r="B85" s="194">
        <v>11.68087</v>
      </c>
      <c r="C85" s="194"/>
      <c r="D85" s="194"/>
      <c r="E85" s="194"/>
      <c r="F85" s="194"/>
      <c r="G85" s="194"/>
      <c r="H85" s="194"/>
      <c r="I85" s="194"/>
      <c r="J85" s="195"/>
      <c r="K85" s="194"/>
      <c r="L85" s="195"/>
      <c r="M85" s="194"/>
      <c r="N85" s="194"/>
      <c r="O85" s="194"/>
      <c r="P85" s="194"/>
      <c r="Q85" s="194"/>
      <c r="R85" s="194"/>
    </row>
    <row customHeight="1" ht="14.25">
      <c r="A86" s="195">
        <v>824</v>
      </c>
      <c r="B86" s="194">
        <v>17.5165</v>
      </c>
      <c r="C86" s="194"/>
      <c r="D86" s="194"/>
      <c r="E86" s="194"/>
      <c r="F86" s="194"/>
      <c r="G86" s="194"/>
      <c r="H86" s="194"/>
      <c r="I86" s="194"/>
      <c r="J86" s="195"/>
      <c r="K86" s="194"/>
      <c r="L86" s="195"/>
      <c r="M86" s="194"/>
      <c r="N86" s="194"/>
      <c r="O86" s="194"/>
      <c r="P86" s="194"/>
      <c r="Q86" s="194"/>
      <c r="R86" s="194"/>
    </row>
    <row s="198" customFormat="1" customHeight="1" ht="14.25">
      <c r="A87" s="193">
        <v>825</v>
      </c>
      <c r="B87" s="193">
        <v>14.84857</v>
      </c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</row>
    <row s="199" customFormat="1" customHeight="1" ht="14.25">
      <c r="A88" s="193">
        <v>826</v>
      </c>
      <c r="B88" s="193">
        <v>7.308513</v>
      </c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</row>
    <row customHeight="1" ht="14.25">
      <c r="A89" s="195">
        <v>26101</v>
      </c>
      <c r="B89" s="194">
        <v>4.823859</v>
      </c>
      <c r="C89" s="194"/>
      <c r="D89" s="194"/>
      <c r="E89" s="194"/>
      <c r="F89" s="194"/>
      <c r="G89" s="194"/>
      <c r="H89" s="194"/>
      <c r="I89" s="194"/>
      <c r="J89" s="195"/>
      <c r="K89" s="194"/>
      <c r="L89" s="195"/>
      <c r="M89" s="194"/>
      <c r="N89" s="194"/>
      <c r="O89" s="194"/>
      <c r="P89" s="194"/>
      <c r="Q89" s="194"/>
      <c r="R89" s="194"/>
    </row>
    <row customHeight="1" ht="14.25">
      <c r="A90" s="195">
        <v>815</v>
      </c>
      <c r="B90" s="194">
        <v>4.685415</v>
      </c>
      <c r="C90" s="194"/>
      <c r="D90" s="194"/>
      <c r="E90" s="194"/>
      <c r="F90" s="194"/>
      <c r="G90" s="194"/>
      <c r="H90" s="194"/>
      <c r="I90" s="194"/>
      <c r="J90" s="195"/>
      <c r="K90" s="194"/>
      <c r="L90" s="195"/>
      <c r="M90" s="194"/>
      <c r="N90" s="194"/>
      <c r="O90" s="194"/>
      <c r="P90" s="194"/>
      <c r="Q90" s="194"/>
      <c r="R90" s="194"/>
    </row>
    <row customHeight="1" ht="14.25">
      <c r="A91" s="195"/>
      <c r="B91" s="194"/>
      <c r="C91" s="194"/>
      <c r="D91" s="194"/>
      <c r="E91" s="194"/>
      <c r="F91" s="194"/>
      <c r="G91" s="194"/>
      <c r="H91" s="194"/>
      <c r="I91" s="194"/>
      <c r="J91" s="195"/>
      <c r="K91" s="194"/>
      <c r="L91" s="195"/>
      <c r="M91" s="194"/>
      <c r="N91" s="194"/>
      <c r="O91" s="194"/>
      <c r="P91" s="194"/>
      <c r="Q91" s="194"/>
      <c r="R91" s="194"/>
    </row>
    <row customHeight="1" ht="14.25">
      <c r="A92" s="195">
        <v>2105</v>
      </c>
      <c r="B92" s="194">
        <v>4.429687</v>
      </c>
      <c r="C92" s="194"/>
      <c r="D92" s="194"/>
      <c r="E92" s="194"/>
      <c r="F92" s="194"/>
      <c r="G92" s="194"/>
      <c r="H92" s="194"/>
      <c r="I92" s="194"/>
      <c r="J92" s="195"/>
      <c r="K92" s="194"/>
      <c r="L92" s="195"/>
      <c r="M92" s="194"/>
      <c r="N92" s="194"/>
      <c r="O92" s="194"/>
      <c r="P92" s="194"/>
      <c r="Q92" s="194"/>
      <c r="R92" s="194"/>
    </row>
    <row customHeight="1" ht="14.25">
      <c r="A93" s="195">
        <v>2106</v>
      </c>
      <c r="B93" s="194">
        <v>3.581505</v>
      </c>
      <c r="C93" s="194"/>
      <c r="D93" s="194"/>
      <c r="E93" s="194"/>
      <c r="F93" s="194"/>
      <c r="G93" s="194"/>
      <c r="H93" s="194"/>
      <c r="I93" s="194"/>
      <c r="J93" s="195"/>
      <c r="K93" s="194"/>
      <c r="L93" s="195"/>
      <c r="M93" s="194"/>
      <c r="N93" s="194"/>
      <c r="O93" s="194"/>
      <c r="P93" s="194"/>
      <c r="Q93" s="194"/>
      <c r="R93" s="194"/>
    </row>
    <row customHeight="1" ht="14.25">
      <c r="A94" s="195"/>
      <c r="B94" s="194"/>
      <c r="C94" s="194"/>
      <c r="D94" s="194"/>
      <c r="E94" s="194"/>
      <c r="F94" s="194"/>
      <c r="G94" s="194"/>
      <c r="H94" s="194"/>
      <c r="I94" s="194"/>
      <c r="J94" s="195"/>
      <c r="K94" s="194"/>
      <c r="L94" s="195"/>
      <c r="M94" s="194"/>
      <c r="N94" s="194"/>
      <c r="O94" s="194"/>
      <c r="P94" s="194"/>
      <c r="Q94" s="194"/>
      <c r="R94" s="194"/>
    </row>
    <row customHeight="1" ht="14.25">
      <c r="A95" s="195">
        <v>814</v>
      </c>
      <c r="B95" s="194">
        <v>9.914648</v>
      </c>
      <c r="C95" s="194"/>
      <c r="D95" s="194"/>
      <c r="E95" s="194"/>
      <c r="F95" s="194"/>
      <c r="G95" s="194"/>
      <c r="H95" s="194"/>
      <c r="I95" s="194"/>
      <c r="J95" s="195"/>
      <c r="K95" s="194"/>
      <c r="L95" s="195"/>
      <c r="M95" s="194"/>
      <c r="N95" s="194"/>
      <c r="O95" s="194"/>
      <c r="P95" s="194"/>
      <c r="Q95" s="194"/>
      <c r="R95" s="194"/>
    </row>
    <row customHeight="1" ht="14.25">
      <c r="A96" s="195">
        <v>816</v>
      </c>
      <c r="B96" s="194">
        <v>2.900141</v>
      </c>
      <c r="C96" s="194"/>
      <c r="D96" s="194"/>
      <c r="E96" s="194"/>
      <c r="F96" s="194"/>
      <c r="G96" s="194"/>
      <c r="H96" s="194"/>
      <c r="I96" s="194"/>
      <c r="J96" s="195"/>
      <c r="K96" s="194"/>
      <c r="L96" s="195"/>
      <c r="M96" s="194"/>
      <c r="N96" s="194"/>
      <c r="O96" s="194"/>
      <c r="P96" s="194"/>
      <c r="Q96" s="194"/>
      <c r="R96" s="194"/>
    </row>
    <row customHeight="1" ht="14.25">
      <c r="A97" s="195">
        <v>817</v>
      </c>
      <c r="B97" s="194">
        <v>2.682554</v>
      </c>
      <c r="C97" s="194"/>
      <c r="D97" s="194"/>
      <c r="E97" s="194"/>
      <c r="F97" s="194"/>
      <c r="G97" s="194"/>
      <c r="H97" s="194"/>
      <c r="I97" s="194"/>
      <c r="J97" s="195"/>
      <c r="K97" s="194"/>
      <c r="L97" s="195"/>
      <c r="M97" s="194"/>
      <c r="N97" s="194"/>
      <c r="O97" s="194"/>
      <c r="P97" s="194"/>
      <c r="Q97" s="194"/>
      <c r="R97" s="194"/>
    </row>
    <row customHeight="1" ht="14.25">
      <c r="A98" s="195">
        <v>822</v>
      </c>
      <c r="B98" s="194">
        <v>5.652132</v>
      </c>
      <c r="C98" s="194"/>
      <c r="D98" s="194"/>
      <c r="E98" s="194"/>
      <c r="F98" s="194"/>
      <c r="G98" s="194"/>
      <c r="H98" s="194"/>
      <c r="I98" s="194"/>
      <c r="J98" s="195"/>
      <c r="K98" s="194"/>
      <c r="L98" s="195"/>
      <c r="M98" s="194"/>
      <c r="N98" s="194"/>
      <c r="O98" s="194"/>
      <c r="P98" s="194"/>
      <c r="Q98" s="194"/>
      <c r="R98" s="194"/>
    </row>
    <row customHeight="1" ht="14.25">
      <c r="A99" s="195">
        <v>823</v>
      </c>
      <c r="B99" s="194">
        <v>5.548301</v>
      </c>
      <c r="C99" s="194"/>
      <c r="D99" s="194"/>
      <c r="E99" s="194"/>
      <c r="F99" s="194"/>
      <c r="G99" s="194"/>
      <c r="H99" s="194"/>
      <c r="I99" s="194"/>
      <c r="J99" s="195"/>
      <c r="K99" s="194"/>
      <c r="L99" s="195"/>
      <c r="M99" s="194"/>
      <c r="N99" s="194"/>
      <c r="O99" s="194"/>
      <c r="P99" s="194"/>
      <c r="Q99" s="194"/>
      <c r="R99" s="194"/>
    </row>
    <row customHeight="1" ht="14.25">
      <c r="A100" s="195">
        <v>26102</v>
      </c>
      <c r="B100" s="194">
        <v>5.825305</v>
      </c>
      <c r="C100" s="194"/>
      <c r="D100" s="194"/>
      <c r="E100" s="194"/>
      <c r="F100" s="194"/>
      <c r="G100" s="194"/>
      <c r="H100" s="194"/>
      <c r="I100" s="194"/>
      <c r="J100" s="195"/>
      <c r="K100" s="194"/>
      <c r="L100" s="195"/>
      <c r="M100" s="194"/>
      <c r="N100" s="194"/>
      <c r="O100" s="194"/>
      <c r="P100" s="194"/>
      <c r="Q100" s="194"/>
      <c r="R100" s="194"/>
    </row>
    <row customHeight="1" ht="14.25">
      <c r="A101" s="195"/>
      <c r="B101" s="194"/>
      <c r="C101" s="194"/>
      <c r="D101" s="194"/>
      <c r="E101" s="194"/>
      <c r="F101" s="194"/>
      <c r="G101" s="194"/>
      <c r="H101" s="194"/>
      <c r="I101" s="194"/>
      <c r="J101" s="195"/>
      <c r="K101" s="194"/>
      <c r="L101" s="195"/>
      <c r="M101" s="194"/>
      <c r="N101" s="194"/>
      <c r="O101" s="194"/>
      <c r="P101" s="194"/>
      <c r="Q101" s="194"/>
      <c r="R101" s="194"/>
    </row>
    <row customHeight="1" ht="14.25">
      <c r="A102" s="195">
        <v>2107</v>
      </c>
      <c r="B102" s="194">
        <v>7.847332</v>
      </c>
      <c r="C102" s="194"/>
      <c r="D102" s="194"/>
      <c r="E102" s="194"/>
      <c r="F102" s="194"/>
      <c r="G102" s="194"/>
      <c r="H102" s="194"/>
      <c r="I102" s="194"/>
      <c r="J102" s="195"/>
      <c r="K102" s="194"/>
      <c r="L102" s="195"/>
      <c r="M102" s="194"/>
      <c r="N102" s="194"/>
      <c r="O102" s="194"/>
      <c r="P102" s="194"/>
      <c r="Q102" s="194"/>
      <c r="R102" s="194"/>
    </row>
    <row customHeight="1" ht="14.25">
      <c r="A103" s="195">
        <v>2108</v>
      </c>
      <c r="B103" s="194">
        <v>8.156247</v>
      </c>
      <c r="C103" s="194"/>
      <c r="D103" s="194"/>
      <c r="E103" s="194"/>
      <c r="F103" s="194"/>
      <c r="G103" s="194"/>
      <c r="H103" s="194"/>
      <c r="I103" s="194"/>
      <c r="J103" s="195"/>
      <c r="K103" s="194"/>
      <c r="L103" s="195"/>
      <c r="M103" s="194"/>
      <c r="N103" s="194"/>
      <c r="O103" s="194"/>
      <c r="P103" s="194"/>
      <c r="Q103" s="194"/>
      <c r="R103" s="194"/>
    </row>
    <row customHeight="1" ht="14.25">
      <c r="A104" s="195">
        <v>2109</v>
      </c>
      <c r="B104" s="194">
        <v>7.237396</v>
      </c>
      <c r="C104" s="194"/>
      <c r="D104" s="194"/>
      <c r="E104" s="194"/>
      <c r="F104" s="194"/>
      <c r="G104" s="194"/>
      <c r="H104" s="194"/>
      <c r="I104" s="194"/>
      <c r="J104" s="195"/>
      <c r="K104" s="194"/>
      <c r="L104" s="195"/>
      <c r="M104" s="194"/>
      <c r="N104" s="194"/>
      <c r="O104" s="194"/>
      <c r="P104" s="194"/>
      <c r="Q104" s="194"/>
      <c r="R104" s="194"/>
    </row>
    <row customHeight="1" ht="14.25">
      <c r="A105" s="195">
        <v>2110</v>
      </c>
      <c r="B105" s="194">
        <v>8.65712</v>
      </c>
      <c r="C105" s="194"/>
      <c r="D105" s="194"/>
      <c r="E105" s="194"/>
      <c r="F105" s="194"/>
      <c r="G105" s="194"/>
      <c r="H105" s="194"/>
      <c r="I105" s="194"/>
      <c r="J105" s="195"/>
      <c r="K105" s="194"/>
      <c r="L105" s="195"/>
      <c r="M105" s="194"/>
      <c r="N105" s="194"/>
      <c r="O105" s="194"/>
      <c r="P105" s="194"/>
      <c r="Q105" s="194"/>
      <c r="R105" s="194"/>
    </row>
    <row customHeight="1" ht="14.25">
      <c r="A106" s="195">
        <v>2113</v>
      </c>
      <c r="B106" s="194">
        <v>3.973408</v>
      </c>
      <c r="C106" s="194"/>
      <c r="D106" s="194"/>
      <c r="E106" s="194"/>
      <c r="F106" s="194"/>
      <c r="G106" s="194"/>
      <c r="H106" s="194"/>
      <c r="I106" s="194"/>
      <c r="J106" s="195"/>
      <c r="K106" s="194"/>
      <c r="L106" s="195"/>
      <c r="M106" s="194"/>
      <c r="N106" s="194"/>
      <c r="O106" s="194"/>
      <c r="P106" s="194"/>
      <c r="Q106" s="194"/>
      <c r="R106" s="194"/>
    </row>
    <row customHeight="1" ht="14.25">
      <c r="A107" s="195">
        <v>2114</v>
      </c>
      <c r="B107" s="194">
        <v>3.154685</v>
      </c>
      <c r="C107" s="194"/>
      <c r="D107" s="194"/>
      <c r="E107" s="194"/>
      <c r="F107" s="194"/>
      <c r="G107" s="194"/>
      <c r="H107" s="194"/>
      <c r="I107" s="194"/>
      <c r="J107" s="195"/>
      <c r="K107" s="194"/>
      <c r="L107" s="195"/>
      <c r="M107" s="194"/>
      <c r="N107" s="194"/>
      <c r="O107" s="194"/>
      <c r="P107" s="194"/>
      <c r="Q107" s="194"/>
      <c r="R107" s="194"/>
    </row>
    <row customHeight="1" ht="14.25">
      <c r="A108" s="195"/>
      <c r="B108" s="194"/>
      <c r="C108" s="194"/>
      <c r="D108" s="194"/>
      <c r="E108" s="194"/>
      <c r="F108" s="194"/>
      <c r="G108" s="194"/>
      <c r="H108" s="194"/>
      <c r="I108" s="194"/>
      <c r="J108" s="195"/>
      <c r="K108" s="194"/>
      <c r="L108" s="195"/>
      <c r="M108" s="194"/>
      <c r="N108" s="194"/>
      <c r="O108" s="194"/>
      <c r="P108" s="194"/>
      <c r="Q108" s="194"/>
      <c r="R108" s="194"/>
    </row>
    <row customHeight="1" ht="14.25">
      <c r="A109" s="195">
        <v>2115</v>
      </c>
      <c r="B109" s="194">
        <v>3.683322</v>
      </c>
      <c r="C109" s="194"/>
      <c r="D109" s="194"/>
      <c r="E109" s="194"/>
      <c r="F109" s="194"/>
      <c r="G109" s="194"/>
      <c r="H109" s="194"/>
      <c r="I109" s="194"/>
      <c r="J109" s="195"/>
      <c r="K109" s="194"/>
      <c r="L109" s="195"/>
      <c r="M109" s="194"/>
      <c r="N109" s="194"/>
      <c r="O109" s="194"/>
      <c r="P109" s="194"/>
      <c r="Q109" s="194"/>
      <c r="R109" s="194"/>
    </row>
    <row customHeight="1" ht="14.25">
      <c r="A110" s="195">
        <v>2116</v>
      </c>
      <c r="B110" s="194">
        <v>4.571513</v>
      </c>
      <c r="C110" s="194"/>
      <c r="D110" s="194"/>
      <c r="E110" s="194"/>
      <c r="F110" s="194"/>
      <c r="G110" s="194"/>
      <c r="H110" s="194"/>
      <c r="I110" s="194"/>
      <c r="J110" s="195"/>
      <c r="K110" s="194"/>
      <c r="L110" s="195"/>
      <c r="M110" s="194"/>
      <c r="N110" s="194"/>
      <c r="O110" s="194"/>
      <c r="P110" s="194"/>
      <c r="Q110" s="194"/>
      <c r="R110" s="194"/>
    </row>
    <row customHeight="1" ht="14.25">
      <c r="A111" s="195">
        <v>2117</v>
      </c>
      <c r="B111" s="194">
        <v>3.278337</v>
      </c>
      <c r="C111" s="194"/>
      <c r="D111" s="194"/>
      <c r="E111" s="194"/>
      <c r="F111" s="194"/>
      <c r="G111" s="194"/>
      <c r="H111" s="194"/>
      <c r="I111" s="194"/>
      <c r="J111" s="195"/>
      <c r="K111" s="194"/>
      <c r="L111" s="195"/>
      <c r="M111" s="194"/>
      <c r="N111" s="194"/>
      <c r="O111" s="194"/>
      <c r="P111" s="194"/>
      <c r="Q111" s="194"/>
      <c r="R111" s="194"/>
    </row>
    <row customHeight="1" ht="14.25">
      <c r="A112" s="195">
        <v>2118</v>
      </c>
      <c r="B112" s="200"/>
      <c r="C112" s="194"/>
      <c r="D112" s="194"/>
      <c r="E112" s="194"/>
      <c r="F112" s="194"/>
      <c r="G112" s="194"/>
      <c r="H112" s="194"/>
      <c r="I112" s="194"/>
      <c r="J112" s="195"/>
      <c r="K112" s="194"/>
      <c r="L112" s="195"/>
      <c r="M112" s="194"/>
      <c r="N112" s="194"/>
      <c r="O112" s="194"/>
      <c r="P112" s="194"/>
      <c r="Q112" s="194"/>
      <c r="R112" s="194"/>
    </row>
    <row customHeight="1" ht="14.25">
      <c r="A113" s="195"/>
      <c r="B113" s="194"/>
      <c r="C113" s="194"/>
      <c r="D113" s="194"/>
      <c r="E113" s="194"/>
      <c r="F113" s="194"/>
      <c r="G113" s="194"/>
      <c r="H113" s="194"/>
      <c r="I113" s="194"/>
      <c r="J113" s="195"/>
      <c r="K113" s="194"/>
      <c r="L113" s="195"/>
      <c r="M113" s="194"/>
      <c r="N113" s="194"/>
      <c r="O113" s="194"/>
      <c r="P113" s="194"/>
      <c r="Q113" s="194"/>
      <c r="R113" s="194"/>
    </row>
    <row customHeight="1" ht="14.25">
      <c r="A114" s="195" t="s">
        <v>31</v>
      </c>
      <c r="B114" s="194">
        <v>6826.804</v>
      </c>
      <c r="C114" s="194"/>
      <c r="D114" s="194"/>
      <c r="E114" s="194"/>
      <c r="F114" s="194"/>
      <c r="G114" s="194"/>
      <c r="H114" s="194"/>
      <c r="I114" s="194"/>
      <c r="J114" s="195"/>
      <c r="K114" s="194"/>
      <c r="L114" s="195"/>
      <c r="M114" s="194"/>
      <c r="N114" s="194"/>
      <c r="O114" s="194"/>
      <c r="P114" s="194"/>
      <c r="Q114" s="194"/>
      <c r="R114" s="194"/>
    </row>
    <row customHeight="1" ht="14.25">
      <c r="A115" s="195" t="s">
        <v>32</v>
      </c>
      <c r="B115" s="194">
        <v>7837.337</v>
      </c>
      <c r="C115" s="194"/>
      <c r="D115" s="194"/>
      <c r="E115" s="194"/>
      <c r="F115" s="194"/>
      <c r="G115" s="194"/>
      <c r="H115" s="194"/>
      <c r="I115" s="194"/>
      <c r="J115" s="195"/>
      <c r="K115" s="194"/>
      <c r="L115" s="195"/>
      <c r="M115" s="194"/>
      <c r="N115" s="194"/>
      <c r="O115" s="194"/>
      <c r="P115" s="194"/>
      <c r="Q115" s="194"/>
      <c r="R115" s="194"/>
    </row>
    <row customHeight="1" ht="14.25">
      <c r="A116" s="195"/>
      <c r="B116" s="194">
        <v>7837.337</v>
      </c>
      <c r="C116" s="194"/>
      <c r="D116" s="194"/>
      <c r="E116" s="194"/>
      <c r="F116" s="194"/>
      <c r="G116" s="194"/>
      <c r="H116" s="194"/>
      <c r="I116" s="194"/>
      <c r="J116" s="195"/>
      <c r="K116" s="194"/>
      <c r="L116" s="195"/>
      <c r="M116" s="194"/>
      <c r="N116" s="194"/>
      <c r="O116" s="194"/>
      <c r="P116" s="194"/>
      <c r="Q116" s="194"/>
      <c r="R116" s="194"/>
    </row>
    <row customHeight="1" ht="14.25">
      <c r="A117" s="195" t="s">
        <v>37</v>
      </c>
      <c r="B117" s="194">
        <v>6394.378</v>
      </c>
      <c r="C117" s="194"/>
      <c r="D117" s="194"/>
      <c r="E117" s="194"/>
      <c r="F117" s="194"/>
      <c r="G117" s="194"/>
      <c r="H117" s="194"/>
      <c r="I117" s="194"/>
      <c r="J117" s="195"/>
      <c r="K117" s="194"/>
      <c r="L117" s="195"/>
      <c r="M117" s="194"/>
      <c r="N117" s="194"/>
      <c r="O117" s="194"/>
      <c r="P117" s="194"/>
      <c r="Q117" s="194"/>
      <c r="R117" s="194"/>
    </row>
    <row customHeight="1" ht="14.25">
      <c r="A118" s="195" t="s">
        <v>38</v>
      </c>
      <c r="B118" s="194">
        <v>3508.785</v>
      </c>
      <c r="C118" s="194"/>
      <c r="D118" s="194"/>
      <c r="E118" s="194"/>
      <c r="F118" s="194"/>
      <c r="G118" s="194"/>
      <c r="H118" s="194"/>
      <c r="I118" s="194"/>
      <c r="J118" s="195"/>
      <c r="K118" s="194"/>
      <c r="L118" s="195"/>
      <c r="M118" s="194"/>
      <c r="N118" s="194"/>
      <c r="O118" s="194"/>
      <c r="P118" s="194"/>
      <c r="Q118" s="194"/>
      <c r="R118" s="194"/>
    </row>
    <row customHeight="1" ht="14.25">
      <c r="A119" s="195"/>
      <c r="B119" s="194"/>
      <c r="C119" s="194"/>
      <c r="D119" s="194"/>
      <c r="E119" s="194"/>
      <c r="F119" s="194"/>
      <c r="G119" s="194"/>
      <c r="H119" s="194"/>
      <c r="I119" s="194"/>
      <c r="J119" s="195"/>
      <c r="K119" s="194"/>
      <c r="L119" s="195"/>
      <c r="M119" s="194"/>
      <c r="N119" s="194"/>
      <c r="O119" s="194"/>
      <c r="P119" s="194"/>
      <c r="Q119" s="194"/>
      <c r="R119" s="194"/>
    </row>
    <row customHeight="1" ht="14.25">
      <c r="A120" s="195">
        <v>24901</v>
      </c>
      <c r="B120" s="194">
        <v>6.80173</v>
      </c>
      <c r="C120" s="194"/>
      <c r="D120" s="194"/>
      <c r="E120" s="194"/>
      <c r="F120" s="194"/>
      <c r="G120" s="194"/>
      <c r="H120" s="194"/>
      <c r="I120" s="194"/>
      <c r="J120" s="195"/>
      <c r="K120" s="194"/>
      <c r="L120" s="195"/>
      <c r="M120" s="194"/>
      <c r="N120" s="194"/>
      <c r="O120" s="194"/>
      <c r="P120" s="194"/>
      <c r="Q120" s="194"/>
      <c r="R120" s="194"/>
    </row>
    <row customHeight="1" ht="14.25">
      <c r="A121" s="195">
        <v>24902</v>
      </c>
      <c r="B121" s="194">
        <v>6.312459</v>
      </c>
      <c r="C121" s="194"/>
      <c r="D121" s="194"/>
      <c r="E121" s="194"/>
      <c r="F121" s="194"/>
      <c r="G121" s="194"/>
      <c r="H121" s="194"/>
      <c r="I121" s="194"/>
      <c r="J121" s="195"/>
      <c r="K121" s="194"/>
      <c r="L121" s="195"/>
      <c r="M121" s="194"/>
      <c r="N121" s="194"/>
      <c r="O121" s="194"/>
      <c r="P121" s="194"/>
      <c r="Q121" s="194"/>
      <c r="R121" s="194"/>
    </row>
    <row customHeight="1" ht="14.25">
      <c r="A122" s="195"/>
      <c r="B122" s="194"/>
      <c r="C122" s="194"/>
      <c r="D122" s="194"/>
      <c r="E122" s="194"/>
      <c r="F122" s="194"/>
      <c r="G122" s="194"/>
      <c r="H122" s="194"/>
      <c r="I122" s="194"/>
      <c r="J122" s="195"/>
      <c r="K122" s="194"/>
      <c r="L122" s="195"/>
      <c r="M122" s="194"/>
      <c r="N122" s="194"/>
      <c r="O122" s="194"/>
      <c r="P122" s="194"/>
      <c r="Q122" s="194"/>
      <c r="R122" s="194"/>
    </row>
    <row customHeight="1" ht="14.25">
      <c r="A123" s="195"/>
      <c r="B123" s="194"/>
      <c r="C123" s="194"/>
      <c r="D123" s="194"/>
      <c r="E123" s="194"/>
      <c r="F123" s="194"/>
      <c r="G123" s="194"/>
      <c r="H123" s="194"/>
      <c r="I123" s="194"/>
      <c r="J123" s="195"/>
      <c r="K123" s="194"/>
      <c r="L123" s="195"/>
      <c r="M123" s="194"/>
      <c r="N123" s="194"/>
      <c r="O123" s="194"/>
      <c r="P123" s="194"/>
      <c r="Q123" s="194"/>
      <c r="R123" s="194"/>
    </row>
    <row customHeight="1" ht="14.25">
      <c r="A124" s="195"/>
      <c r="B124" s="194"/>
      <c r="C124" s="194"/>
      <c r="D124" s="194"/>
      <c r="E124" s="194"/>
      <c r="F124" s="194"/>
      <c r="G124" s="194"/>
      <c r="H124" s="194"/>
      <c r="I124" s="194"/>
      <c r="J124" s="201" t="s">
        <v>39</v>
      </c>
      <c r="K124" s="194">
        <f>_xlfn.IFERROR(SUM(L124:R124),0)</f>
        <v>14688</v>
      </c>
      <c r="L124" s="196">
        <v>0</v>
      </c>
      <c r="M124" s="194">
        <v>14688</v>
      </c>
      <c r="N124" s="194">
        <v>0</v>
      </c>
      <c r="O124" s="194">
        <v>0</v>
      </c>
      <c r="P124" s="194">
        <v>0</v>
      </c>
      <c r="Q124" s="194">
        <v>0</v>
      </c>
      <c r="R124" s="194">
        <v>0</v>
      </c>
    </row>
    <row customHeight="1" ht="14.25">
      <c r="A125" s="195"/>
      <c r="B125" s="194"/>
      <c r="C125" s="194"/>
      <c r="D125" s="194"/>
      <c r="E125" s="194"/>
      <c r="F125" s="194"/>
      <c r="G125" s="194"/>
      <c r="H125" s="194"/>
      <c r="I125" s="194"/>
      <c r="J125" s="202" t="s">
        <v>40</v>
      </c>
      <c r="K125" s="194">
        <f>_xlfn.IFERROR(ROUND(M124,0),0)</f>
        <v>14688</v>
      </c>
      <c r="L125" s="195"/>
      <c r="M125" s="194"/>
      <c r="N125" s="194"/>
      <c r="O125" s="194"/>
      <c r="P125" s="194"/>
      <c r="Q125" s="194"/>
      <c r="R125" s="194"/>
    </row>
    <row customHeight="1" ht="14.25">
      <c r="A126" s="195"/>
      <c r="B126" s="194"/>
      <c r="C126" s="194"/>
      <c r="D126" s="194"/>
      <c r="E126" s="194"/>
      <c r="F126" s="194"/>
      <c r="G126" s="194"/>
      <c r="H126" s="194"/>
      <c r="I126" s="194"/>
      <c r="J126" s="202" t="s">
        <v>43</v>
      </c>
      <c r="K126" s="194">
        <f>_xlfn.IFERROR(ROUND(L124,0),0)</f>
        <v>0</v>
      </c>
      <c r="L126" s="195"/>
      <c r="M126" s="194"/>
      <c r="N126" s="194"/>
      <c r="O126" s="194"/>
      <c r="P126" s="194"/>
      <c r="Q126" s="194"/>
      <c r="R126" s="194"/>
    </row>
    <row customHeight="1" ht="14.25">
      <c r="A127" s="195" t="s">
        <v>48</v>
      </c>
      <c r="B127" s="194" t="s">
        <v>90</v>
      </c>
      <c r="C127" s="194"/>
      <c r="D127" s="194"/>
      <c r="E127" s="194"/>
      <c r="F127" s="194"/>
      <c r="G127" s="194"/>
      <c r="H127" s="194"/>
      <c r="I127" s="194"/>
      <c r="J127" s="202" t="s">
        <v>45</v>
      </c>
      <c r="K127" s="194"/>
      <c r="L127" s="195"/>
      <c r="M127" s="194"/>
      <c r="N127" s="194"/>
      <c r="O127" s="194"/>
      <c r="P127" s="194"/>
      <c r="Q127" s="194"/>
      <c r="R127" s="194"/>
    </row>
    <row customHeight="1" ht="14.25">
      <c r="A128" s="195" t="s">
        <v>51</v>
      </c>
      <c r="B128" s="194" t="s">
        <v>90</v>
      </c>
      <c r="C128" s="194"/>
      <c r="D128" s="194"/>
      <c r="E128" s="194"/>
      <c r="F128" s="194"/>
      <c r="G128" s="194"/>
      <c r="H128" s="194"/>
      <c r="I128" s="194"/>
      <c r="J128" s="202" t="s">
        <v>46</v>
      </c>
      <c r="K128" s="194"/>
      <c r="L128" s="195"/>
      <c r="M128" s="194"/>
      <c r="N128" s="194"/>
      <c r="O128" s="194"/>
      <c r="P128" s="194"/>
      <c r="Q128" s="194"/>
      <c r="R128" s="194"/>
    </row>
    <row customHeight="1" ht="14.25">
      <c r="A129" s="195" t="s">
        <v>91</v>
      </c>
      <c r="B129" s="194"/>
      <c r="C129" s="194"/>
      <c r="D129" s="194"/>
      <c r="E129" s="194"/>
      <c r="F129" s="194"/>
      <c r="G129" s="194"/>
      <c r="H129" s="194"/>
      <c r="I129" s="194"/>
      <c r="J129" s="202" t="s">
        <v>47</v>
      </c>
      <c r="K129" s="194">
        <f>_xlfn.IFERROR(SUM(L129,M129),0)</f>
        <v>16826</v>
      </c>
      <c r="L129" s="196">
        <v>7325</v>
      </c>
      <c r="M129" s="194">
        <v>9501</v>
      </c>
      <c r="N129" s="194"/>
      <c r="O129" s="194"/>
      <c r="P129" s="194"/>
      <c r="Q129" s="194"/>
      <c r="R129" s="194"/>
    </row>
    <row customHeight="1" ht="14.25">
      <c r="A130" s="195" t="s">
        <v>92</v>
      </c>
      <c r="B130" s="194"/>
      <c r="C130" s="194"/>
      <c r="D130" s="194"/>
      <c r="E130" s="194"/>
      <c r="F130" s="194"/>
      <c r="G130" s="194"/>
      <c r="H130" s="194"/>
      <c r="I130" s="194"/>
      <c r="J130" s="202" t="s">
        <v>50</v>
      </c>
      <c r="K130" s="194">
        <f>_xlfn.IFERROR(SUM(L130:O130),0)</f>
        <v>8867</v>
      </c>
      <c r="L130" s="196">
        <v>2809</v>
      </c>
      <c r="M130" s="194">
        <v>10</v>
      </c>
      <c r="N130" s="194">
        <v>48</v>
      </c>
      <c r="O130" s="194">
        <v>6000</v>
      </c>
      <c r="P130" s="194"/>
      <c r="Q130" s="194"/>
      <c r="R130" s="194"/>
    </row>
    <row customHeight="1" ht="14.25">
      <c r="A131" s="195" t="s">
        <v>93</v>
      </c>
      <c r="B131" s="194">
        <f>_xlfn.IFERROR(SUM(C131),0)</f>
        <v>0</v>
      </c>
      <c r="C131" s="194">
        <v>0</v>
      </c>
      <c r="D131" s="194"/>
      <c r="E131" s="194"/>
      <c r="F131" s="194"/>
      <c r="G131" s="194"/>
      <c r="H131" s="194"/>
      <c r="I131" s="194"/>
      <c r="J131" s="202" t="s">
        <v>52</v>
      </c>
      <c r="K131" s="194">
        <f>_xlfn.IFERROR(SUM(L131,M131),0)</f>
        <v>8589</v>
      </c>
      <c r="L131" s="196">
        <v>3741</v>
      </c>
      <c r="M131" s="194">
        <v>4848</v>
      </c>
      <c r="N131" s="194"/>
      <c r="O131" s="194"/>
      <c r="P131" s="194"/>
      <c r="Q131" s="194"/>
      <c r="R131" s="194"/>
    </row>
    <row customHeight="1" ht="14.25">
      <c r="A132" s="195" t="s">
        <v>55</v>
      </c>
      <c r="B132" s="194">
        <f>_xlfn.IFERROR(SUM(C132),0)</f>
        <v>225</v>
      </c>
      <c r="C132" s="194">
        <v>225</v>
      </c>
      <c r="D132" s="194"/>
      <c r="E132" s="194"/>
      <c r="F132" s="194"/>
      <c r="G132" s="194"/>
      <c r="H132" s="194"/>
      <c r="I132" s="194"/>
      <c r="J132" s="202" t="s">
        <v>54</v>
      </c>
      <c r="K132" s="194">
        <f>_xlfn.IFERROR(SUM(L132),0)</f>
        <v>292</v>
      </c>
      <c r="L132" s="196">
        <v>292</v>
      </c>
      <c r="M132" s="194"/>
      <c r="N132" s="194"/>
      <c r="O132" s="194"/>
      <c r="P132" s="194"/>
      <c r="Q132" s="194"/>
      <c r="R132" s="194"/>
    </row>
    <row customHeight="1" ht="14.25">
      <c r="A133" s="195" t="s">
        <v>57</v>
      </c>
      <c r="B133" s="194">
        <f>_xlfn.IFERROR(SUM(C133),0)</f>
        <v>1056</v>
      </c>
      <c r="C133" s="194">
        <v>1056</v>
      </c>
      <c r="D133" s="194"/>
      <c r="E133" s="194"/>
      <c r="F133" s="194"/>
      <c r="G133" s="194"/>
      <c r="H133" s="194"/>
      <c r="I133" s="194"/>
      <c r="J133" s="202" t="s">
        <v>56</v>
      </c>
      <c r="K133" s="194">
        <f>_xlfn.IFERROR(SUM(L133:M133),0)</f>
        <v>4528</v>
      </c>
      <c r="L133" s="196">
        <v>2037</v>
      </c>
      <c r="M133" s="194">
        <v>2491</v>
      </c>
      <c r="N133" s="194"/>
      <c r="O133" s="194"/>
      <c r="P133" s="194"/>
      <c r="Q133" s="194"/>
      <c r="R133" s="194"/>
    </row>
    <row customHeight="1" ht="14.25">
      <c r="A134" s="195" t="s">
        <v>63</v>
      </c>
      <c r="B134" s="194">
        <f>_xlfn.IFERROR(SUM(C134),0)</f>
        <v>164</v>
      </c>
      <c r="C134" s="194">
        <v>164</v>
      </c>
      <c r="D134" s="194"/>
      <c r="E134" s="194"/>
      <c r="F134" s="194"/>
      <c r="G134" s="194"/>
      <c r="H134" s="194"/>
      <c r="I134" s="194"/>
      <c r="J134" s="202" t="s">
        <v>58</v>
      </c>
      <c r="K134" s="194">
        <f>_xlfn.IFERROR(SUM(L134),0)</f>
        <v>733</v>
      </c>
      <c r="L134" s="196">
        <v>733</v>
      </c>
      <c r="M134" s="194"/>
      <c r="N134" s="194"/>
      <c r="O134" s="194"/>
      <c r="P134" s="194"/>
      <c r="Q134" s="194"/>
      <c r="R134" s="194"/>
    </row>
    <row customHeight="1" ht="14.25">
      <c r="A135" s="195" t="s">
        <v>71</v>
      </c>
      <c r="B135" s="194">
        <f>_xlfn.IFERROR(SUM(C135),0)</f>
        <v>63</v>
      </c>
      <c r="C135" s="194">
        <v>63</v>
      </c>
      <c r="D135" s="194"/>
      <c r="E135" s="194"/>
      <c r="F135" s="194"/>
      <c r="G135" s="194"/>
      <c r="H135" s="194"/>
      <c r="I135" s="194"/>
      <c r="J135" s="202" t="s">
        <v>60</v>
      </c>
      <c r="K135" s="194">
        <f>_xlfn.IFERROR(SUM(L135),0)</f>
        <v>198</v>
      </c>
      <c r="L135" s="196">
        <v>198</v>
      </c>
      <c r="M135" s="194"/>
      <c r="N135" s="194"/>
      <c r="O135" s="194"/>
      <c r="P135" s="194"/>
      <c r="Q135" s="194"/>
      <c r="R135" s="194"/>
    </row>
    <row customHeight="1" ht="14.25">
      <c r="A136" s="195" t="s">
        <v>78</v>
      </c>
      <c r="B136" s="194">
        <f>_xlfn.IFERROR(SUM(C136),0)</f>
        <v>0</v>
      </c>
      <c r="C136" s="194">
        <v>0</v>
      </c>
      <c r="D136" s="194"/>
      <c r="E136" s="194"/>
      <c r="F136" s="194"/>
      <c r="G136" s="194"/>
      <c r="H136" s="194"/>
      <c r="I136" s="194"/>
      <c r="J136" s="202" t="s">
        <v>62</v>
      </c>
      <c r="K136" s="194">
        <f>_xlfn.IFERROR(SUM(L136:M136),0)</f>
        <v>1343</v>
      </c>
      <c r="L136" s="196">
        <v>262</v>
      </c>
      <c r="M136" s="194">
        <v>1081</v>
      </c>
      <c r="N136" s="194"/>
      <c r="O136" s="194"/>
      <c r="P136" s="194"/>
      <c r="Q136" s="194"/>
      <c r="R136" s="194"/>
    </row>
    <row customHeight="1" ht="14.25">
      <c r="A137" s="195" t="s">
        <v>94</v>
      </c>
      <c r="B137" s="194"/>
      <c r="C137" s="194"/>
      <c r="D137" s="194"/>
      <c r="E137" s="194"/>
      <c r="F137" s="194"/>
      <c r="G137" s="194"/>
      <c r="H137" s="194"/>
      <c r="I137" s="194"/>
      <c r="J137" s="202" t="s">
        <v>64</v>
      </c>
      <c r="K137" s="194">
        <f>_xlfn.IFERROR(SUM(L137:M137),0)</f>
        <v>651</v>
      </c>
      <c r="L137" s="196">
        <v>196</v>
      </c>
      <c r="M137" s="194">
        <v>455</v>
      </c>
      <c r="N137" s="194"/>
      <c r="O137" s="194"/>
      <c r="P137" s="194"/>
      <c r="Q137" s="194"/>
      <c r="R137" s="194"/>
    </row>
    <row customHeight="1" ht="14.25">
      <c r="A138" s="195" t="s">
        <v>80</v>
      </c>
      <c r="B138" s="194">
        <f>_xlfn.IFERROR(SUM(C138),0)</f>
        <v>0</v>
      </c>
      <c r="C138" s="194">
        <v>0</v>
      </c>
      <c r="D138" s="194"/>
      <c r="E138" s="194"/>
      <c r="F138" s="194"/>
      <c r="G138" s="194"/>
      <c r="H138" s="194"/>
      <c r="I138" s="194"/>
      <c r="J138" s="202" t="s">
        <v>66</v>
      </c>
      <c r="K138" s="194">
        <f>_xlfn.IFERROR(SUM(L138),0)</f>
        <v>504</v>
      </c>
      <c r="L138" s="196">
        <v>504</v>
      </c>
      <c r="M138" s="194"/>
      <c r="N138" s="194"/>
      <c r="O138" s="194"/>
      <c r="P138" s="194"/>
      <c r="Q138" s="194"/>
      <c r="R138" s="194"/>
    </row>
    <row customHeight="1" ht="14.25">
      <c r="A139" s="195" t="s">
        <v>75</v>
      </c>
      <c r="B139" s="194">
        <f>_xlfn.IFERROR(SUM(C139),0)</f>
        <v>196</v>
      </c>
      <c r="C139" s="194">
        <v>196</v>
      </c>
      <c r="D139" s="194"/>
      <c r="E139" s="194"/>
      <c r="F139" s="194"/>
      <c r="G139" s="194"/>
      <c r="H139" s="194"/>
      <c r="I139" s="194"/>
      <c r="J139" s="202" t="s">
        <v>70</v>
      </c>
      <c r="K139" s="194">
        <f>_xlfn.IFERROR(SUM(L139),0)</f>
        <v>1627</v>
      </c>
      <c r="L139" s="196">
        <v>1627</v>
      </c>
      <c r="M139" s="194"/>
      <c r="N139" s="194"/>
      <c r="O139" s="194"/>
      <c r="P139" s="194"/>
      <c r="Q139" s="194"/>
      <c r="R139" s="194"/>
    </row>
    <row customHeight="1" ht="14.25">
      <c r="A140" s="195" t="s">
        <v>67</v>
      </c>
      <c r="B140" s="194">
        <f>_xlfn.IFERROR(SUM(C140),0)</f>
        <v>64</v>
      </c>
      <c r="C140" s="194">
        <v>64</v>
      </c>
      <c r="D140" s="194"/>
      <c r="E140" s="194"/>
      <c r="F140" s="194"/>
      <c r="G140" s="194"/>
      <c r="H140" s="194"/>
      <c r="I140" s="194"/>
      <c r="J140" s="202" t="s">
        <v>69</v>
      </c>
      <c r="K140" s="194">
        <f>_xlfn.IFERROR(SUM(L140),0)</f>
        <v>220</v>
      </c>
      <c r="L140" s="196">
        <v>220</v>
      </c>
      <c r="M140" s="194"/>
      <c r="N140" s="194"/>
      <c r="O140" s="194"/>
      <c r="P140" s="194"/>
      <c r="Q140" s="194"/>
      <c r="R140" s="194"/>
    </row>
    <row customHeight="1" ht="14.25">
      <c r="A141" s="195" t="s">
        <v>77</v>
      </c>
      <c r="B141" s="194">
        <f>_xlfn.IFERROR(SUM(C141),0)</f>
        <v>96</v>
      </c>
      <c r="C141" s="194">
        <v>96</v>
      </c>
      <c r="D141" s="194"/>
      <c r="E141" s="194"/>
      <c r="F141" s="194"/>
      <c r="G141" s="194"/>
      <c r="H141" s="194"/>
      <c r="I141" s="194"/>
      <c r="J141" s="202" t="s">
        <v>72</v>
      </c>
      <c r="K141" s="194">
        <f>_xlfn.IFERROR(SUM(L141),0)</f>
        <v>206</v>
      </c>
      <c r="L141" s="196">
        <v>206</v>
      </c>
      <c r="M141" s="194"/>
      <c r="N141" s="194"/>
      <c r="O141" s="194"/>
      <c r="P141" s="194"/>
      <c r="Q141" s="194"/>
      <c r="R141" s="194"/>
    </row>
    <row customHeight="1" ht="14.25">
      <c r="A142" s="195" t="s">
        <v>79</v>
      </c>
      <c r="B142" s="194">
        <f>_xlfn.IFERROR(SUM(C142),0)</f>
        <v>0</v>
      </c>
      <c r="C142" s="194">
        <v>0</v>
      </c>
      <c r="D142" s="194"/>
      <c r="E142" s="194"/>
      <c r="F142" s="194"/>
      <c r="G142" s="194"/>
      <c r="H142" s="194"/>
      <c r="I142" s="194"/>
      <c r="J142" s="202" t="s">
        <v>74</v>
      </c>
      <c r="K142" s="194">
        <f>_xlfn.IFERROR(SUM(L142),0)</f>
        <v>171599</v>
      </c>
      <c r="L142" s="196">
        <v>171599</v>
      </c>
      <c r="M142" s="194"/>
      <c r="N142" s="194"/>
      <c r="O142" s="194"/>
      <c r="P142" s="194"/>
      <c r="Q142" s="194"/>
      <c r="R142" s="194"/>
    </row>
    <row customHeight="1" ht="14.25">
      <c r="A143" s="195"/>
      <c r="B143" s="194"/>
      <c r="C143" s="194"/>
      <c r="D143" s="194"/>
      <c r="E143" s="194"/>
      <c r="F143" s="194"/>
      <c r="G143" s="194"/>
      <c r="H143" s="194"/>
      <c r="I143" s="194"/>
      <c r="J143" s="195"/>
      <c r="K143" s="194"/>
      <c r="L143" s="195"/>
      <c r="M143" s="194"/>
      <c r="N143" s="194"/>
      <c r="O143" s="194"/>
      <c r="P143" s="194"/>
      <c r="Q143" s="194"/>
      <c r="R143" s="194"/>
    </row>
    <row customHeight="1" ht="14.25">
      <c r="A144" s="195"/>
      <c r="B144" s="194"/>
      <c r="C144" s="203"/>
      <c r="D144" s="194"/>
      <c r="E144" s="194"/>
      <c r="F144" s="194"/>
      <c r="G144" s="194"/>
      <c r="H144" s="194"/>
      <c r="I144" s="194"/>
      <c r="J144" s="195"/>
      <c r="K144" s="194"/>
      <c r="L144" s="195"/>
      <c r="M144" s="194"/>
      <c r="N144" s="194"/>
      <c r="O144" s="194"/>
      <c r="P144" s="194"/>
      <c r="Q144" s="194"/>
      <c r="R144" s="194"/>
    </row>
    <row customHeight="1" ht="14.25">
      <c r="A145" s="195"/>
      <c r="B145" s="194"/>
      <c r="C145" s="204">
        <v>822</v>
      </c>
      <c r="D145" s="194"/>
      <c r="E145" s="194"/>
      <c r="F145" s="194"/>
      <c r="G145" s="194"/>
      <c r="H145" s="194"/>
      <c r="I145" s="194"/>
      <c r="J145" s="195"/>
      <c r="K145" s="194"/>
      <c r="L145" s="195"/>
      <c r="M145" s="194"/>
      <c r="N145" s="194"/>
      <c r="O145" s="194"/>
      <c r="P145" s="194"/>
      <c r="Q145" s="194"/>
      <c r="R145" s="194"/>
    </row>
    <row customHeight="1" ht="14.25">
      <c r="A146" s="195"/>
      <c r="B146" s="194"/>
      <c r="C146" s="204">
        <v>823</v>
      </c>
      <c r="D146" s="194"/>
      <c r="E146" s="194"/>
      <c r="F146" s="194"/>
      <c r="G146" s="194"/>
      <c r="H146" s="194"/>
      <c r="I146" s="194"/>
      <c r="J146" s="195"/>
      <c r="K146" s="194"/>
      <c r="L146" s="195"/>
      <c r="M146" s="194"/>
      <c r="N146" s="194"/>
      <c r="O146" s="194"/>
      <c r="P146" s="194"/>
      <c r="Q146" s="194"/>
      <c r="R146" s="194"/>
    </row>
    <row s="205" customFormat="1" customHeight="1" ht="14.25">
      <c r="A147" s="195"/>
      <c r="B147" s="195"/>
      <c r="C147" s="206">
        <v>825</v>
      </c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</row>
    <row s="207" customFormat="1" customHeight="1" ht="14.25">
      <c r="A148" s="195"/>
      <c r="B148" s="195"/>
      <c r="C148" s="206">
        <v>826</v>
      </c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</row>
    <row customHeight="1" ht="14.25">
      <c r="A149" s="195"/>
      <c r="B149" s="194"/>
      <c r="C149" s="204">
        <v>821</v>
      </c>
      <c r="D149" s="194"/>
      <c r="E149" s="194"/>
      <c r="F149" s="194"/>
      <c r="G149" s="194"/>
      <c r="H149" s="194"/>
      <c r="I149" s="194"/>
      <c r="J149" s="195"/>
      <c r="K149" s="194"/>
      <c r="L149" s="195"/>
      <c r="M149" s="194"/>
      <c r="N149" s="194"/>
      <c r="O149" s="194"/>
      <c r="P149" s="194"/>
      <c r="Q149" s="194"/>
      <c r="R149" s="194"/>
    </row>
    <row customHeight="1" ht="14.25">
      <c r="A150" s="195"/>
      <c r="B150" s="194"/>
      <c r="C150" s="204">
        <v>824</v>
      </c>
      <c r="D150" s="194"/>
      <c r="E150" s="194"/>
      <c r="F150" s="194"/>
      <c r="G150" s="194"/>
      <c r="H150" s="194"/>
      <c r="I150" s="194"/>
      <c r="J150" s="195"/>
      <c r="K150" s="194"/>
      <c r="L150" s="195"/>
      <c r="M150" s="194"/>
      <c r="N150" s="194"/>
      <c r="O150" s="194"/>
      <c r="P150" s="194"/>
      <c r="Q150" s="194"/>
      <c r="R150" s="194"/>
    </row>
    <row customHeight="1" ht="14.25">
      <c r="A151" s="195"/>
      <c r="B151" s="194"/>
      <c r="C151" s="204"/>
      <c r="D151" s="194"/>
      <c r="E151" s="194"/>
      <c r="F151" s="194"/>
      <c r="G151" s="194"/>
      <c r="H151" s="194"/>
      <c r="I151" s="194"/>
      <c r="J151" s="195"/>
      <c r="K151" s="194"/>
      <c r="L151" s="195"/>
      <c r="M151" s="194"/>
      <c r="N151" s="194"/>
      <c r="O151" s="194"/>
      <c r="P151" s="194"/>
      <c r="Q151" s="194"/>
      <c r="R151" s="194"/>
    </row>
    <row customHeight="1" ht="14.25">
      <c r="A152" s="195"/>
      <c r="B152" s="194"/>
      <c r="C152" s="204"/>
      <c r="D152" s="194"/>
      <c r="E152" s="194"/>
      <c r="F152" s="194"/>
      <c r="G152" s="194"/>
      <c r="H152" s="194"/>
      <c r="I152" s="194"/>
      <c r="J152" s="195"/>
      <c r="K152" s="194"/>
      <c r="L152" s="195"/>
      <c r="M152" s="194"/>
      <c r="N152" s="194"/>
      <c r="O152" s="194"/>
      <c r="P152" s="194"/>
      <c r="Q152" s="194"/>
      <c r="R152" s="194"/>
    </row>
    <row customHeight="1" ht="14.25">
      <c r="A153" s="195"/>
      <c r="B153" s="194"/>
      <c r="C153" s="204"/>
      <c r="D153" s="194"/>
      <c r="E153" s="194"/>
      <c r="F153" s="194"/>
      <c r="G153" s="194"/>
      <c r="H153" s="194"/>
      <c r="I153" s="194"/>
      <c r="J153" s="195"/>
      <c r="K153" s="194"/>
      <c r="L153" s="195"/>
      <c r="M153" s="194"/>
      <c r="N153" s="194"/>
      <c r="O153" s="194"/>
      <c r="P153" s="194"/>
      <c r="Q153" s="194"/>
      <c r="R153" s="194"/>
    </row>
    <row customHeight="1" ht="14.25">
      <c r="A154" s="195"/>
      <c r="B154" s="194"/>
      <c r="C154" s="194"/>
      <c r="D154" s="194"/>
      <c r="E154" s="194"/>
      <c r="F154" s="194"/>
      <c r="G154" s="194"/>
      <c r="H154" s="194"/>
      <c r="I154" s="194"/>
      <c r="J154" s="195"/>
      <c r="K154" s="194"/>
      <c r="L154" s="195"/>
      <c r="M154" s="194"/>
      <c r="N154" s="194"/>
      <c r="O154" s="194"/>
      <c r="P154" s="194"/>
      <c r="Q154" s="194"/>
      <c r="R154" s="194"/>
    </row>
    <row customHeight="1" ht="14.25">
      <c r="A155" s="195"/>
      <c r="B155" s="194"/>
      <c r="C155" s="194"/>
      <c r="D155" s="194"/>
      <c r="E155" s="194"/>
      <c r="F155" s="194"/>
      <c r="G155" s="194"/>
      <c r="H155" s="194"/>
      <c r="I155" s="194"/>
      <c r="J155" s="195"/>
      <c r="K155" s="194"/>
      <c r="L155" s="195"/>
      <c r="M155" s="194"/>
      <c r="N155" s="194"/>
      <c r="O155" s="194"/>
      <c r="P155" s="194"/>
      <c r="Q155" s="194"/>
      <c r="R155" s="194"/>
    </row>
    <row customHeight="1" ht="14.25">
      <c r="A156" s="195"/>
      <c r="B156" s="194"/>
      <c r="C156" s="194"/>
      <c r="D156" s="194"/>
      <c r="E156" s="194"/>
      <c r="F156" s="194"/>
      <c r="G156" s="194"/>
      <c r="H156" s="194"/>
      <c r="I156" s="194"/>
      <c r="J156" s="195"/>
      <c r="K156" s="194"/>
      <c r="L156" s="195"/>
      <c r="M156" s="194"/>
      <c r="N156" s="194"/>
      <c r="O156" s="194"/>
      <c r="P156" s="194"/>
      <c r="Q156" s="194"/>
      <c r="R156" s="194"/>
    </row>
    <row customHeight="1" ht="14.25">
      <c r="A157" s="195"/>
      <c r="B157" s="194"/>
      <c r="C157" s="203"/>
      <c r="D157" s="194"/>
      <c r="E157" s="194"/>
      <c r="F157" s="194"/>
      <c r="G157" s="194"/>
      <c r="H157" s="194"/>
      <c r="I157" s="194"/>
      <c r="J157" s="195"/>
      <c r="K157" s="194"/>
      <c r="L157" s="195"/>
      <c r="M157" s="194"/>
      <c r="N157" s="194"/>
      <c r="O157" s="194"/>
      <c r="P157" s="194"/>
      <c r="Q157" s="194"/>
      <c r="R157" s="194"/>
    </row>
    <row customHeight="1" ht="14.25">
      <c r="A158" s="195"/>
      <c r="B158" s="194"/>
      <c r="C158" s="203"/>
      <c r="D158" s="194"/>
      <c r="E158" s="194"/>
      <c r="F158" s="194"/>
      <c r="G158" s="194"/>
      <c r="H158" s="194"/>
      <c r="I158" s="194"/>
      <c r="J158" s="195"/>
      <c r="K158" s="194"/>
      <c r="L158" s="195"/>
      <c r="M158" s="194"/>
      <c r="N158" s="194"/>
      <c r="O158" s="194"/>
      <c r="P158" s="194"/>
      <c r="Q158" s="194"/>
      <c r="R158" s="194"/>
    </row>
    <row customHeight="1" ht="14.25">
      <c r="A159" s="195"/>
      <c r="B159" s="194"/>
      <c r="C159" s="203">
        <v>9529</v>
      </c>
      <c r="D159" s="194"/>
      <c r="E159" s="194"/>
      <c r="F159" s="194"/>
      <c r="G159" s="194"/>
      <c r="H159" s="194"/>
      <c r="I159" s="194"/>
      <c r="J159" s="195"/>
      <c r="K159" s="194"/>
      <c r="L159" s="195"/>
      <c r="M159" s="194"/>
      <c r="N159" s="194"/>
      <c r="O159" s="194"/>
      <c r="P159" s="194"/>
      <c r="Q159" s="194"/>
      <c r="R159" s="194"/>
    </row>
    <row customHeight="1" ht="14.25">
      <c r="A160" s="195"/>
      <c r="B160" s="194"/>
      <c r="C160" s="203">
        <v>9530</v>
      </c>
      <c r="D160" s="194"/>
      <c r="E160" s="194"/>
      <c r="F160" s="194"/>
      <c r="G160" s="194"/>
      <c r="H160" s="194"/>
      <c r="I160" s="194"/>
      <c r="J160" s="195"/>
      <c r="K160" s="194"/>
      <c r="L160" s="195"/>
      <c r="M160" s="194"/>
      <c r="N160" s="194"/>
      <c r="O160" s="194"/>
      <c r="P160" s="194"/>
      <c r="Q160" s="194"/>
      <c r="R160" s="194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油品动态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dhc</cp:lastModifiedBy>
  <cp:lastPrinted>2023-09-14T05:44:16Z</cp:lastPrinted>
  <dcterms:created xsi:type="dcterms:W3CDTF">2015-06-05T18:19:34Z</dcterms:created>
  <dcterms:modified xsi:type="dcterms:W3CDTF">2024-12-05T07:31:20Z</dcterms:modified>
</cp:coreProperties>
</file>